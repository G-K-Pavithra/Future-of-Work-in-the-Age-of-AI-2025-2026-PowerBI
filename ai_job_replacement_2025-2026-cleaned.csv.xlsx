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HRA\Desktop\Data Analytics\"/>
    </mc:Choice>
  </mc:AlternateContent>
  <xr:revisionPtr revIDLastSave="0" documentId="13_ncr:1_{80E526EA-2AFC-4439-A7CF-6DECD6C66B39}" xr6:coauthVersionLast="47" xr6:coauthVersionMax="47" xr10:uidLastSave="{00000000-0000-0000-0000-000000000000}"/>
  <bookViews>
    <workbookView xWindow="-108" yWindow="-108" windowWidth="23256" windowHeight="12576" xr2:uid="{C9C2361A-B481-4C05-BFAE-83ECE5056F16}"/>
  </bookViews>
  <sheets>
    <sheet name="Sheet1" sheetId="1" r:id="rId1"/>
  </sheets>
  <definedNames>
    <definedName name="_xlnm._FilterDatabase" localSheetId="0" hidden="1">Sheet1!$V$1:$X$4328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</calcChain>
</file>

<file path=xl/sharedStrings.xml><?xml version="1.0" encoding="utf-8"?>
<sst xmlns="http://schemas.openxmlformats.org/spreadsheetml/2006/main" count="17332" uniqueCount="54">
  <si>
    <t>job_id</t>
  </si>
  <si>
    <t>job_role</t>
  </si>
  <si>
    <t>industry</t>
  </si>
  <si>
    <t>country</t>
  </si>
  <si>
    <t>year</t>
  </si>
  <si>
    <t>automation_risk_percent</t>
  </si>
  <si>
    <t>ai_replacement_score</t>
  </si>
  <si>
    <t>skill_gap_index</t>
  </si>
  <si>
    <t>salary_change_percent</t>
  </si>
  <si>
    <t>skill_demand_growth_percent</t>
  </si>
  <si>
    <t>remote_feasibility_score</t>
  </si>
  <si>
    <t>ai_adoption_level</t>
  </si>
  <si>
    <t>education_requirement_level</t>
  </si>
  <si>
    <t>automation_risk_category</t>
  </si>
  <si>
    <t>skill_transition_pressure</t>
  </si>
  <si>
    <t>wage_volatility_index</t>
  </si>
  <si>
    <t>reskilling_urgency_score</t>
  </si>
  <si>
    <t>ai_disruption_intensity</t>
  </si>
  <si>
    <t>Marketing Specialist</t>
  </si>
  <si>
    <t>Retail</t>
  </si>
  <si>
    <t>USA</t>
  </si>
  <si>
    <t>Low</t>
  </si>
  <si>
    <t>HR Manager</t>
  </si>
  <si>
    <t>Education</t>
  </si>
  <si>
    <t>Germany</t>
  </si>
  <si>
    <t>Medium</t>
  </si>
  <si>
    <t>Data Analyst</t>
  </si>
  <si>
    <t>Healthcare</t>
  </si>
  <si>
    <t>Brazil</t>
  </si>
  <si>
    <t>Customer Support Rep</t>
  </si>
  <si>
    <t>Finance</t>
  </si>
  <si>
    <t>India</t>
  </si>
  <si>
    <t>UK</t>
  </si>
  <si>
    <t>Technology</t>
  </si>
  <si>
    <t>Manufacturing</t>
  </si>
  <si>
    <t>Canada</t>
  </si>
  <si>
    <t>Singapore</t>
  </si>
  <si>
    <t>High</t>
  </si>
  <si>
    <t>Transportation</t>
  </si>
  <si>
    <t>Mechanical Engineer</t>
  </si>
  <si>
    <t>Energy</t>
  </si>
  <si>
    <t>Truck Driver</t>
  </si>
  <si>
    <t>Japan</t>
  </si>
  <si>
    <t>Teacher</t>
  </si>
  <si>
    <t>Accountant</t>
  </si>
  <si>
    <t>Financial Analyst</t>
  </si>
  <si>
    <t>Software Engineer</t>
  </si>
  <si>
    <t>Australia</t>
  </si>
  <si>
    <t>Salary Difference'</t>
  </si>
  <si>
    <t>Salary_before</t>
  </si>
  <si>
    <t>Salary_after</t>
  </si>
  <si>
    <t>AI Impact category</t>
  </si>
  <si>
    <t>Job future status</t>
  </si>
  <si>
    <t>Skill Gap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</si>
</sst>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10"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6B7A0-DC78-45CA-BBDC-4175F755215D}" name="Table1" displayName="Table1" ref="A1:U4328" totalsRowShown="0" headerRowDxfId="9">
  <autoFilter ref="A1:U4328" xr:uid="{7BDFCAF1-3B7B-4B79-BE09-9BC126D7BDE0}"/>
  <tableColumns count="21">
    <tableColumn id="1" xr3:uid="{66478962-8C2E-48C2-80C0-12981891D2C6}" name="job_id"/>
    <tableColumn id="2" xr3:uid="{C202EB75-A916-4233-935F-F1F7F1683780}" name="job_role"/>
    <tableColumn id="3" xr3:uid="{64DB3D52-59EF-4F8F-92F1-1EB5392F1700}" name="industry"/>
    <tableColumn id="4" xr3:uid="{7554709A-FDD7-4655-83BB-50C6308FF76E}" name="country"/>
    <tableColumn id="5" xr3:uid="{0AE18F47-A7A2-4846-9D9F-36AA065010ED}" name="year" dataDxfId="8"/>
    <tableColumn id="27" xr3:uid="{A7B8B546-F0B1-4E6F-9B1B-BE1A22354EAB}" name="automation_risk_percent" dataDxfId="2"/>
    <tableColumn id="7" xr3:uid="{3F5BD0B8-45CD-46B2-9EDA-2658BB3EB94E}" name="ai_replacement_score"/>
    <tableColumn id="8" xr3:uid="{6E0AFB26-BCCB-4049-AF37-A2F57CD5F4A9}" name="skill_gap_index"/>
    <tableColumn id="9" xr3:uid="{CCF17103-99F4-40CA-A97C-FA655C8309B2}" name="Salary_before" dataDxfId="7"/>
    <tableColumn id="10" xr3:uid="{B891A232-151C-4246-9780-372E1FB3974D}" name="Salary_after" dataDxfId="6"/>
    <tableColumn id="21" xr3:uid="{3329600A-CA53-4CCC-82CA-5E5F5A589A8E}" name="Salary Difference'" dataDxfId="5">
      <calculatedColumnFormula>Table1[[#This Row],[Salary_after]]-Table1[[#This Row],[Salary_before]]</calculatedColumnFormula>
    </tableColumn>
    <tableColumn id="25" xr3:uid="{B7E1A4DF-11F4-4EC2-8F9E-5F0E1929C975}" name="salary_change_percent" dataDxfId="1"/>
    <tableColumn id="12" xr3:uid="{4E6E5420-A4FC-460C-AFA3-58317F474C75}" name="skill_demand_growth_percent" dataDxfId="0"/>
    <tableColumn id="13" xr3:uid="{B1567581-36C1-4AA7-9AF7-BD8B3AE74D16}" name="remote_feasibility_score"/>
    <tableColumn id="14" xr3:uid="{CC655998-94E7-42DE-BBDC-F97F5096B369}" name="ai_adoption_level"/>
    <tableColumn id="15" xr3:uid="{F215A65B-2BE9-46FE-91B9-056689651002}" name="education_requirement_level"/>
    <tableColumn id="16" xr3:uid="{69DEB462-8A86-4202-8431-CF31BC40BC48}" name="automation_risk_category"/>
    <tableColumn id="17" xr3:uid="{0A78E1EA-0A12-437E-B28A-BB5D5A916726}" name="skill_transition_pressure"/>
    <tableColumn id="18" xr3:uid="{A9A61AF2-016A-4CCA-A9E9-D269B2060265}" name="wage_volatility_index"/>
    <tableColumn id="19" xr3:uid="{CED99A19-9976-43D0-B8F1-3C9E2435E226}" name="reskilling_urgency_score" dataDxfId="4"/>
    <tableColumn id="20" xr3:uid="{3852E166-E157-4D5B-843B-44F12DCE8453}" name="ai_disruption_intensity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CAF1-3B7B-4B79-BE09-9BC126D7BDE0}">
  <dimension ref="A1:X4328"/>
  <sheetViews>
    <sheetView tabSelected="1" workbookViewId="0">
      <selection sqref="A1:U1"/>
    </sheetView>
  </sheetViews>
  <sheetFormatPr defaultRowHeight="14.4" x14ac:dyDescent="0.3"/>
  <cols>
    <col min="1" max="1" width="8.21875" customWidth="1"/>
    <col min="2" max="2" width="19.44140625" bestFit="1" customWidth="1"/>
    <col min="3" max="3" width="14.109375" customWidth="1"/>
    <col min="4" max="4" width="10.33203125" customWidth="1"/>
    <col min="5" max="5" width="8.88671875" style="1"/>
    <col min="6" max="6" width="13.109375" style="11" bestFit="1" customWidth="1"/>
    <col min="7" max="7" width="21.33203125" customWidth="1"/>
    <col min="8" max="8" width="15.6640625" customWidth="1"/>
    <col min="9" max="9" width="18.33203125" style="2" customWidth="1"/>
    <col min="10" max="11" width="16.77734375" style="2" customWidth="1"/>
    <col min="12" max="12" width="28.44140625" style="11" customWidth="1"/>
    <col min="13" max="13" width="23.44140625" style="11" customWidth="1"/>
    <col min="14" max="14" width="17.88671875" customWidth="1"/>
    <col min="15" max="15" width="27.6640625" customWidth="1"/>
    <col min="16" max="16" width="25" customWidth="1"/>
    <col min="17" max="17" width="23.109375" customWidth="1"/>
    <col min="18" max="18" width="21.109375" customWidth="1"/>
    <col min="19" max="19" width="23.44140625" style="4" customWidth="1"/>
    <col min="20" max="20" width="22.109375" style="4" customWidth="1"/>
    <col min="21" max="22" width="27.6640625" customWidth="1"/>
    <col min="23" max="23" width="22.109375" style="4" customWidth="1"/>
  </cols>
  <sheetData>
    <row r="1" spans="1:24" s="9" customFormat="1" ht="32.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10" t="s">
        <v>5</v>
      </c>
      <c r="G1" s="5" t="s">
        <v>6</v>
      </c>
      <c r="H1" s="5" t="s">
        <v>7</v>
      </c>
      <c r="I1" s="7" t="s">
        <v>49</v>
      </c>
      <c r="J1" s="7" t="s">
        <v>50</v>
      </c>
      <c r="K1" s="7" t="s">
        <v>48</v>
      </c>
      <c r="L1" s="10" t="s">
        <v>8</v>
      </c>
      <c r="M1" s="10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8" t="s">
        <v>16</v>
      </c>
      <c r="U1" s="8" t="s">
        <v>17</v>
      </c>
      <c r="V1" s="5" t="s">
        <v>51</v>
      </c>
      <c r="W1" s="5" t="s">
        <v>53</v>
      </c>
      <c r="X1" s="8" t="s">
        <v>52</v>
      </c>
    </row>
    <row r="2" spans="1:24" x14ac:dyDescent="0.3">
      <c r="A2">
        <v>7</v>
      </c>
      <c r="B2" t="s">
        <v>43</v>
      </c>
      <c r="C2" t="s">
        <v>30</v>
      </c>
      <c r="D2" t="s">
        <v>47</v>
      </c>
      <c r="E2" s="1">
        <v>2026</v>
      </c>
      <c r="F2" s="11">
        <v>0.13170000000000001</v>
      </c>
      <c r="G2">
        <v>12.25</v>
      </c>
      <c r="H2">
        <v>38.869999999999997</v>
      </c>
      <c r="I2" s="2">
        <v>62561.88</v>
      </c>
      <c r="J2" s="2">
        <v>59680.04</v>
      </c>
      <c r="K2" s="2">
        <f>Table1[[#This Row],[Salary_after]]-Table1[[#This Row],[Salary_before]]</f>
        <v>-2881.8399999999965</v>
      </c>
      <c r="L2" s="11">
        <v>-4.6100000000000002E-2</v>
      </c>
      <c r="M2" s="11">
        <v>0.15570000000000001</v>
      </c>
      <c r="N2">
        <v>35.28</v>
      </c>
      <c r="O2">
        <v>54.27</v>
      </c>
      <c r="P2">
        <v>3</v>
      </c>
      <c r="Q2" t="s">
        <v>21</v>
      </c>
      <c r="R2">
        <v>26.02</v>
      </c>
      <c r="S2">
        <v>4.6100000000000003</v>
      </c>
      <c r="T2" s="4">
        <v>18.312000000000001</v>
      </c>
      <c r="U2" s="4">
        <v>7.1473589999999998</v>
      </c>
      <c r="V2" s="3" t="str">
        <f>IF(Table1[[#This Row],[ai_disruption_intensity]]&gt;70,"High",
IF(Table1[[#This Row],[ai_disruption_intensity]]&gt;40,"Medium","Low"))</f>
        <v>Low</v>
      </c>
      <c r="W2" t="str">
        <f>IF(Table1[[#This Row],[skill_gap_index]]&gt;70,"Large Gap",
IF(Table1[[#This Row],[skill_gap_index]]&gt;40,"Medium Gap","Small Gap"))</f>
        <v>Small Gap</v>
      </c>
      <c r="X2" s="3" t="str">
        <f>IF(Table1[[#This Row],[automation_risk_percent]]&gt;0.7,"Highly Automatable",
IF(Table1[[#This Row],[automation_risk_percent]]&gt;0.4,"Moderate Risk","Safe Job"))</f>
        <v>Safe Job</v>
      </c>
    </row>
    <row r="3" spans="1:24" x14ac:dyDescent="0.3">
      <c r="A3">
        <v>8</v>
      </c>
      <c r="B3" t="s">
        <v>18</v>
      </c>
      <c r="C3" t="s">
        <v>19</v>
      </c>
      <c r="D3" t="s">
        <v>20</v>
      </c>
      <c r="E3" s="1">
        <v>2025</v>
      </c>
      <c r="F3" s="11">
        <v>0.1986</v>
      </c>
      <c r="G3">
        <v>22.27</v>
      </c>
      <c r="H3">
        <v>7.46</v>
      </c>
      <c r="I3" s="2">
        <v>148426.43</v>
      </c>
      <c r="J3" s="2">
        <v>138379.12</v>
      </c>
      <c r="K3" s="2">
        <f>Table1[[#This Row],[Salary_after]]-Table1[[#This Row],[Salary_before]]</f>
        <v>-10047.309999999998</v>
      </c>
      <c r="L3" s="11">
        <v>-6.7699999999999996E-2</v>
      </c>
      <c r="M3" s="11">
        <v>0.11119999999999999</v>
      </c>
      <c r="N3">
        <v>10.5</v>
      </c>
      <c r="O3">
        <v>81.55</v>
      </c>
      <c r="P3">
        <v>4</v>
      </c>
      <c r="Q3" t="s">
        <v>21</v>
      </c>
      <c r="R3">
        <v>13.66</v>
      </c>
      <c r="S3">
        <v>6.77</v>
      </c>
      <c r="T3" s="4">
        <v>12.212999999999999</v>
      </c>
      <c r="U3" s="4">
        <v>16.195829999999901</v>
      </c>
      <c r="V3" t="str">
        <f>IF(Table1[[#This Row],[ai_disruption_intensity]]&gt;70,"High",
IF(Table1[[#This Row],[ai_disruption_intensity]]&gt;40,"Medium","Low"))</f>
        <v>Low</v>
      </c>
      <c r="W3" t="str">
        <f>IF(Table1[[#This Row],[skill_gap_index]]&gt;70,"Large Gap",
IF(Table1[[#This Row],[skill_gap_index]]&gt;40,"Medium Gap","Small Gap"))</f>
        <v>Small Gap</v>
      </c>
      <c r="X3" s="3" t="str">
        <f>IF(Table1[[#This Row],[automation_risk_percent]]&gt;0.7,"Highly Automatable",
IF(Table1[[#This Row],[automation_risk_percent]]&gt;0.4,"Moderate Risk","Safe Job"))</f>
        <v>Safe Job</v>
      </c>
    </row>
    <row r="4" spans="1:24" x14ac:dyDescent="0.3">
      <c r="A4">
        <v>10</v>
      </c>
      <c r="B4" t="s">
        <v>22</v>
      </c>
      <c r="C4" t="s">
        <v>23</v>
      </c>
      <c r="D4" t="s">
        <v>24</v>
      </c>
      <c r="E4" s="1">
        <v>2025</v>
      </c>
      <c r="F4" s="11">
        <v>0.33159999999999995</v>
      </c>
      <c r="G4">
        <v>27.37</v>
      </c>
      <c r="H4">
        <v>31.1</v>
      </c>
      <c r="I4" s="2">
        <v>69022</v>
      </c>
      <c r="J4" s="2">
        <v>74630.210000000006</v>
      </c>
      <c r="K4" s="2">
        <f>Table1[[#This Row],[Salary_after]]-Table1[[#This Row],[Salary_before]]</f>
        <v>5608.2100000000064</v>
      </c>
      <c r="L4" s="11">
        <v>8.1300000000000011E-2</v>
      </c>
      <c r="M4" s="11">
        <v>0.18559999999999999</v>
      </c>
      <c r="N4">
        <v>89.85</v>
      </c>
      <c r="O4">
        <v>47.22</v>
      </c>
      <c r="P4">
        <v>1</v>
      </c>
      <c r="Q4" t="s">
        <v>25</v>
      </c>
      <c r="R4">
        <v>32.129999999999903</v>
      </c>
      <c r="S4">
        <v>8.1300000000000008</v>
      </c>
      <c r="T4" s="4">
        <v>25.033000000000001</v>
      </c>
      <c r="U4" s="4">
        <v>15.6581519999999</v>
      </c>
      <c r="V4" t="str">
        <f>IF(Table1[[#This Row],[ai_disruption_intensity]]&gt;70,"High",
IF(Table1[[#This Row],[ai_disruption_intensity]]&gt;40,"Medium","Low"))</f>
        <v>Low</v>
      </c>
      <c r="W4" t="str">
        <f>IF(Table1[[#This Row],[skill_gap_index]]&gt;70,"Large Gap",
IF(Table1[[#This Row],[skill_gap_index]]&gt;40,"Medium Gap","Small Gap"))</f>
        <v>Small Gap</v>
      </c>
      <c r="X4" s="3" t="str">
        <f>IF(Table1[[#This Row],[automation_risk_percent]]&gt;0.7,"Highly Automatable",
IF(Table1[[#This Row],[automation_risk_percent]]&gt;0.4,"Moderate Risk","Safe Job"))</f>
        <v>Safe Job</v>
      </c>
    </row>
    <row r="5" spans="1:24" x14ac:dyDescent="0.3">
      <c r="A5">
        <v>14</v>
      </c>
      <c r="B5" t="s">
        <v>26</v>
      </c>
      <c r="C5" t="s">
        <v>27</v>
      </c>
      <c r="D5" t="s">
        <v>28</v>
      </c>
      <c r="E5" s="1">
        <v>2025</v>
      </c>
      <c r="F5" s="11">
        <v>0.44340000000000002</v>
      </c>
      <c r="G5">
        <v>50.93</v>
      </c>
      <c r="H5">
        <v>80.37</v>
      </c>
      <c r="I5" s="2">
        <v>52388.41</v>
      </c>
      <c r="J5" s="2">
        <v>52896.98</v>
      </c>
      <c r="K5" s="2">
        <f>Table1[[#This Row],[Salary_after]]-Table1[[#This Row],[Salary_before]]</f>
        <v>508.56999999999971</v>
      </c>
      <c r="L5" s="11">
        <v>9.7000000000000003E-3</v>
      </c>
      <c r="M5" s="11">
        <v>0.1469</v>
      </c>
      <c r="N5">
        <v>82.67</v>
      </c>
      <c r="O5">
        <v>89.61</v>
      </c>
      <c r="P5">
        <v>2</v>
      </c>
      <c r="Q5" t="s">
        <v>25</v>
      </c>
      <c r="R5">
        <v>62.354999999999997</v>
      </c>
      <c r="S5">
        <v>0.97</v>
      </c>
      <c r="T5" s="4">
        <v>42.137999999999998</v>
      </c>
      <c r="U5" s="4">
        <v>39.733074000000002</v>
      </c>
      <c r="V5" t="str">
        <f>IF(Table1[[#This Row],[ai_disruption_intensity]]&gt;70,"High",
IF(Table1[[#This Row],[ai_disruption_intensity]]&gt;40,"Medium","Low"))</f>
        <v>Low</v>
      </c>
      <c r="W5" t="str">
        <f>IF(Table1[[#This Row],[skill_gap_index]]&gt;70,"Large Gap",
IF(Table1[[#This Row],[skill_gap_index]]&gt;40,"Medium Gap","Small Gap"))</f>
        <v>Large Gap</v>
      </c>
      <c r="X5" s="3" t="str">
        <f>IF(Table1[[#This Row],[automation_risk_percent]]&gt;0.7,"Highly Automatable",
IF(Table1[[#This Row],[automation_risk_percent]]&gt;0.4,"Moderate Risk","Safe Job"))</f>
        <v>Moderate Risk</v>
      </c>
    </row>
    <row r="6" spans="1:24" x14ac:dyDescent="0.3">
      <c r="A6">
        <v>18</v>
      </c>
      <c r="B6" t="s">
        <v>18</v>
      </c>
      <c r="C6" t="s">
        <v>23</v>
      </c>
      <c r="D6" t="s">
        <v>24</v>
      </c>
      <c r="E6" s="1">
        <v>2025</v>
      </c>
      <c r="F6" s="11">
        <v>0.52670000000000006</v>
      </c>
      <c r="G6">
        <v>52.73</v>
      </c>
      <c r="H6">
        <v>5.15</v>
      </c>
      <c r="I6" s="2">
        <v>63437.58</v>
      </c>
      <c r="J6" s="2">
        <v>62217.279999999999</v>
      </c>
      <c r="K6" s="2">
        <f>Table1[[#This Row],[Salary_after]]-Table1[[#This Row],[Salary_before]]</f>
        <v>-1220.3000000000029</v>
      </c>
      <c r="L6" s="11">
        <v>-1.9199999999999998E-2</v>
      </c>
      <c r="M6" s="11">
        <v>8.0199999999999994E-2</v>
      </c>
      <c r="N6">
        <v>23.04</v>
      </c>
      <c r="O6">
        <v>48.95</v>
      </c>
      <c r="P6">
        <v>4</v>
      </c>
      <c r="Q6" t="s">
        <v>25</v>
      </c>
      <c r="R6">
        <v>28.91</v>
      </c>
      <c r="S6">
        <v>1.92</v>
      </c>
      <c r="T6" s="4">
        <v>23.189</v>
      </c>
      <c r="U6" s="4">
        <v>25.781965</v>
      </c>
      <c r="V6" t="str">
        <f>IF(Table1[[#This Row],[ai_disruption_intensity]]&gt;70,"High",
IF(Table1[[#This Row],[ai_disruption_intensity]]&gt;40,"Medium","Low"))</f>
        <v>Low</v>
      </c>
      <c r="W6" t="str">
        <f>IF(Table1[[#This Row],[skill_gap_index]]&gt;70,"Large Gap",
IF(Table1[[#This Row],[skill_gap_index]]&gt;40,"Medium Gap","Small Gap"))</f>
        <v>Small Gap</v>
      </c>
      <c r="X6" s="3" t="str">
        <f>IF(Table1[[#This Row],[automation_risk_percent]]&gt;0.7,"Highly Automatable",
IF(Table1[[#This Row],[automation_risk_percent]]&gt;0.4,"Moderate Risk","Safe Job"))</f>
        <v>Moderate Risk</v>
      </c>
    </row>
    <row r="7" spans="1:24" x14ac:dyDescent="0.3">
      <c r="A7">
        <v>24</v>
      </c>
      <c r="B7" t="s">
        <v>41</v>
      </c>
      <c r="C7" t="s">
        <v>19</v>
      </c>
      <c r="D7" t="s">
        <v>28</v>
      </c>
      <c r="E7" s="1">
        <v>2026</v>
      </c>
      <c r="F7" s="11">
        <v>0.75819999999999999</v>
      </c>
      <c r="G7">
        <v>87.86</v>
      </c>
      <c r="H7">
        <v>88.71</v>
      </c>
      <c r="I7" s="2">
        <v>123585.07</v>
      </c>
      <c r="J7" s="2">
        <v>115180.98</v>
      </c>
      <c r="K7" s="2">
        <f>Table1[[#This Row],[Salary_after]]-Table1[[#This Row],[Salary_before]]</f>
        <v>-8404.0900000000111</v>
      </c>
      <c r="L7" s="11">
        <v>-6.8000000000000005E-2</v>
      </c>
      <c r="M7" s="11">
        <v>7.3200000000000001E-2</v>
      </c>
      <c r="N7">
        <v>24.55</v>
      </c>
      <c r="O7">
        <v>89.86</v>
      </c>
      <c r="P7">
        <v>1</v>
      </c>
      <c r="Q7" t="s">
        <v>37</v>
      </c>
      <c r="R7">
        <v>82.264999999999901</v>
      </c>
      <c r="S7">
        <v>6.8</v>
      </c>
      <c r="T7" s="4">
        <v>58.980999999999902</v>
      </c>
      <c r="U7" s="4">
        <v>68.131851999999995</v>
      </c>
      <c r="V7" t="str">
        <f>IF(Table1[[#This Row],[ai_disruption_intensity]]&gt;70,"High",
IF(Table1[[#This Row],[ai_disruption_intensity]]&gt;40,"Medium","Low"))</f>
        <v>Medium</v>
      </c>
      <c r="W7" t="str">
        <f>IF(Table1[[#This Row],[skill_gap_index]]&gt;70,"Large Gap",
IF(Table1[[#This Row],[skill_gap_index]]&gt;40,"Medium Gap","Small Gap"))</f>
        <v>Large Gap</v>
      </c>
      <c r="X7" s="3" t="str">
        <f>IF(Table1[[#This Row],[automation_risk_percent]]&gt;0.7,"Highly Automatable",
IF(Table1[[#This Row],[automation_risk_percent]]&gt;0.4,"Moderate Risk","Safe Job"))</f>
        <v>Highly Automatable</v>
      </c>
    </row>
    <row r="8" spans="1:24" x14ac:dyDescent="0.3">
      <c r="A8">
        <v>31</v>
      </c>
      <c r="B8" t="s">
        <v>29</v>
      </c>
      <c r="C8" t="s">
        <v>30</v>
      </c>
      <c r="D8" t="s">
        <v>31</v>
      </c>
      <c r="E8" s="1">
        <v>2025</v>
      </c>
      <c r="F8" s="11">
        <v>0.36859999999999998</v>
      </c>
      <c r="G8">
        <v>37.700000000000003</v>
      </c>
      <c r="H8">
        <v>93.62</v>
      </c>
      <c r="I8" s="2">
        <v>113523.58</v>
      </c>
      <c r="J8" s="2">
        <v>103489.71</v>
      </c>
      <c r="K8" s="2">
        <f>Table1[[#This Row],[Salary_after]]-Table1[[#This Row],[Salary_before]]</f>
        <v>-10033.869999999995</v>
      </c>
      <c r="L8" s="11">
        <v>-8.8399999999999992E-2</v>
      </c>
      <c r="M8" s="11">
        <v>6.54E-2</v>
      </c>
      <c r="N8">
        <v>65.349999999999994</v>
      </c>
      <c r="O8">
        <v>99.01</v>
      </c>
      <c r="P8">
        <v>4</v>
      </c>
      <c r="Q8" t="s">
        <v>25</v>
      </c>
      <c r="R8">
        <v>65.239999999999995</v>
      </c>
      <c r="S8">
        <v>8.84</v>
      </c>
      <c r="T8" s="4">
        <v>45.481999999999999</v>
      </c>
      <c r="U8" s="4">
        <v>36.495086000000001</v>
      </c>
      <c r="V8" t="str">
        <f>IF(Table1[[#This Row],[ai_disruption_intensity]]&gt;70,"High",
IF(Table1[[#This Row],[ai_disruption_intensity]]&gt;40,"Medium","Low"))</f>
        <v>Low</v>
      </c>
      <c r="W8" t="str">
        <f>IF(Table1[[#This Row],[skill_gap_index]]&gt;70,"Large Gap",
IF(Table1[[#This Row],[skill_gap_index]]&gt;40,"Medium Gap","Small Gap"))</f>
        <v>Large Gap</v>
      </c>
      <c r="X8" s="3" t="str">
        <f>IF(Table1[[#This Row],[automation_risk_percent]]&gt;0.7,"Highly Automatable",
IF(Table1[[#This Row],[automation_risk_percent]]&gt;0.4,"Moderate Risk","Safe Job"))</f>
        <v>Safe Job</v>
      </c>
    </row>
    <row r="9" spans="1:24" x14ac:dyDescent="0.3">
      <c r="A9">
        <v>32</v>
      </c>
      <c r="B9" t="s">
        <v>26</v>
      </c>
      <c r="C9" t="s">
        <v>27</v>
      </c>
      <c r="D9" t="s">
        <v>32</v>
      </c>
      <c r="E9" s="1">
        <v>2025</v>
      </c>
      <c r="F9" s="11">
        <v>9.8100000000000007E-2</v>
      </c>
      <c r="G9">
        <v>9.8800000000000008</v>
      </c>
      <c r="H9">
        <v>87.74</v>
      </c>
      <c r="I9" s="2">
        <v>118892.23</v>
      </c>
      <c r="J9" s="2">
        <v>131768.87</v>
      </c>
      <c r="K9" s="2">
        <f>Table1[[#This Row],[Salary_after]]-Table1[[#This Row],[Salary_before]]</f>
        <v>12876.64</v>
      </c>
      <c r="L9" s="11">
        <v>0.10830000000000001</v>
      </c>
      <c r="M9" s="11">
        <v>0.15539999999999998</v>
      </c>
      <c r="N9">
        <v>42.35</v>
      </c>
      <c r="O9">
        <v>29.36</v>
      </c>
      <c r="P9">
        <v>4</v>
      </c>
      <c r="Q9" t="s">
        <v>21</v>
      </c>
      <c r="R9">
        <v>48.774999999999999</v>
      </c>
      <c r="S9">
        <v>10.83</v>
      </c>
      <c r="T9" s="4">
        <v>33.494999999999997</v>
      </c>
      <c r="U9" s="4">
        <v>2.8802159999999999</v>
      </c>
      <c r="V9" t="str">
        <f>IF(Table1[[#This Row],[ai_disruption_intensity]]&gt;70,"High",
IF(Table1[[#This Row],[ai_disruption_intensity]]&gt;40,"Medium","Low"))</f>
        <v>Low</v>
      </c>
      <c r="W9" t="str">
        <f>IF(Table1[[#This Row],[skill_gap_index]]&gt;70,"Large Gap",
IF(Table1[[#This Row],[skill_gap_index]]&gt;40,"Medium Gap","Small Gap"))</f>
        <v>Large Gap</v>
      </c>
      <c r="X9" s="3" t="str">
        <f>IF(Table1[[#This Row],[automation_risk_percent]]&gt;0.7,"Highly Automatable",
IF(Table1[[#This Row],[automation_risk_percent]]&gt;0.4,"Moderate Risk","Safe Job"))</f>
        <v>Safe Job</v>
      </c>
    </row>
    <row r="10" spans="1:24" x14ac:dyDescent="0.3">
      <c r="A10">
        <v>34</v>
      </c>
      <c r="B10" t="s">
        <v>43</v>
      </c>
      <c r="C10" t="s">
        <v>34</v>
      </c>
      <c r="D10" t="s">
        <v>28</v>
      </c>
      <c r="E10" s="1">
        <v>2026</v>
      </c>
      <c r="F10" s="11">
        <v>0.59140000000000004</v>
      </c>
      <c r="G10">
        <v>66.13</v>
      </c>
      <c r="H10">
        <v>89</v>
      </c>
      <c r="I10" s="2">
        <v>70559.42</v>
      </c>
      <c r="J10" s="2">
        <v>65106.41</v>
      </c>
      <c r="K10" s="2">
        <f>Table1[[#This Row],[Salary_after]]-Table1[[#This Row],[Salary_before]]</f>
        <v>-5453.0099999999948</v>
      </c>
      <c r="L10" s="11">
        <v>-7.7300000000000008E-2</v>
      </c>
      <c r="M10" s="11">
        <v>2.63E-2</v>
      </c>
      <c r="N10">
        <v>62.05</v>
      </c>
      <c r="O10">
        <v>3.59</v>
      </c>
      <c r="P10">
        <v>2</v>
      </c>
      <c r="Q10" t="s">
        <v>25</v>
      </c>
      <c r="R10">
        <v>74.069999999999993</v>
      </c>
      <c r="S10">
        <v>7.73</v>
      </c>
      <c r="T10" s="4">
        <v>52.674999999999997</v>
      </c>
      <c r="U10" s="4">
        <v>2.1231260000000001</v>
      </c>
      <c r="V10" t="str">
        <f>IF(Table1[[#This Row],[ai_disruption_intensity]]&gt;70,"High",
IF(Table1[[#This Row],[ai_disruption_intensity]]&gt;40,"Medium","Low"))</f>
        <v>Low</v>
      </c>
      <c r="W10" t="str">
        <f>IF(Table1[[#This Row],[skill_gap_index]]&gt;70,"Large Gap",
IF(Table1[[#This Row],[skill_gap_index]]&gt;40,"Medium Gap","Small Gap"))</f>
        <v>Large Gap</v>
      </c>
      <c r="X10" s="3" t="str">
        <f>IF(Table1[[#This Row],[automation_risk_percent]]&gt;0.7,"Highly Automatable",
IF(Table1[[#This Row],[automation_risk_percent]]&gt;0.4,"Moderate Risk","Safe Job"))</f>
        <v>Moderate Risk</v>
      </c>
    </row>
    <row r="11" spans="1:24" x14ac:dyDescent="0.3">
      <c r="A11">
        <v>38</v>
      </c>
      <c r="B11" t="s">
        <v>29</v>
      </c>
      <c r="C11" t="s">
        <v>33</v>
      </c>
      <c r="D11" t="s">
        <v>31</v>
      </c>
      <c r="E11" s="1">
        <v>2025</v>
      </c>
      <c r="F11" s="11">
        <v>0.26769999999999999</v>
      </c>
      <c r="G11">
        <v>31.73</v>
      </c>
      <c r="H11">
        <v>83.6</v>
      </c>
      <c r="I11" s="2">
        <v>113516.9</v>
      </c>
      <c r="J11" s="2">
        <v>99891.51</v>
      </c>
      <c r="K11" s="2">
        <f>Table1[[#This Row],[Salary_after]]-Table1[[#This Row],[Salary_before]]</f>
        <v>-13625.39</v>
      </c>
      <c r="L11" s="11">
        <v>-0.12</v>
      </c>
      <c r="M11" s="11">
        <v>1.6500000000000001E-2</v>
      </c>
      <c r="N11">
        <v>24.08</v>
      </c>
      <c r="O11">
        <v>25.02</v>
      </c>
      <c r="P11">
        <v>1</v>
      </c>
      <c r="Q11" t="s">
        <v>21</v>
      </c>
      <c r="R11">
        <v>55.184999999999903</v>
      </c>
      <c r="S11">
        <v>12</v>
      </c>
      <c r="T11" s="4">
        <v>39.387999999999998</v>
      </c>
      <c r="U11" s="4">
        <v>6.6978539999999898</v>
      </c>
      <c r="V11" t="str">
        <f>IF(Table1[[#This Row],[ai_disruption_intensity]]&gt;70,"High",
IF(Table1[[#This Row],[ai_disruption_intensity]]&gt;40,"Medium","Low"))</f>
        <v>Low</v>
      </c>
      <c r="W11" t="str">
        <f>IF(Table1[[#This Row],[skill_gap_index]]&gt;70,"Large Gap",
IF(Table1[[#This Row],[skill_gap_index]]&gt;40,"Medium Gap","Small Gap"))</f>
        <v>Large Gap</v>
      </c>
      <c r="X11" s="3" t="str">
        <f>IF(Table1[[#This Row],[automation_risk_percent]]&gt;0.7,"Highly Automatable",
IF(Table1[[#This Row],[automation_risk_percent]]&gt;0.4,"Moderate Risk","Safe Job"))</f>
        <v>Safe Job</v>
      </c>
    </row>
    <row r="12" spans="1:24" x14ac:dyDescent="0.3">
      <c r="A12">
        <v>39</v>
      </c>
      <c r="B12" t="s">
        <v>29</v>
      </c>
      <c r="C12" t="s">
        <v>30</v>
      </c>
      <c r="D12" t="s">
        <v>20</v>
      </c>
      <c r="E12" s="1">
        <v>2026</v>
      </c>
      <c r="F12" s="11">
        <v>0.63450000000000006</v>
      </c>
      <c r="G12">
        <v>68.89</v>
      </c>
      <c r="H12">
        <v>66.02</v>
      </c>
      <c r="I12" s="2">
        <v>63592.07</v>
      </c>
      <c r="J12" s="2">
        <v>77087.3</v>
      </c>
      <c r="K12" s="2">
        <f>Table1[[#This Row],[Salary_after]]-Table1[[#This Row],[Salary_before]]</f>
        <v>13495.230000000003</v>
      </c>
      <c r="L12" s="11">
        <v>0.2122</v>
      </c>
      <c r="M12" s="11">
        <v>0.1532</v>
      </c>
      <c r="N12">
        <v>47.76</v>
      </c>
      <c r="O12">
        <v>24.77</v>
      </c>
      <c r="P12">
        <v>3</v>
      </c>
      <c r="Q12" t="s">
        <v>37</v>
      </c>
      <c r="R12">
        <v>64.734999999999999</v>
      </c>
      <c r="S12">
        <v>21.22</v>
      </c>
      <c r="T12" s="4">
        <v>51.552</v>
      </c>
      <c r="U12" s="4">
        <v>15.716564999999999</v>
      </c>
      <c r="V12" t="str">
        <f>IF(Table1[[#This Row],[ai_disruption_intensity]]&gt;70,"High",
IF(Table1[[#This Row],[ai_disruption_intensity]]&gt;40,"Medium","Low"))</f>
        <v>Low</v>
      </c>
      <c r="W12" t="str">
        <f>IF(Table1[[#This Row],[skill_gap_index]]&gt;70,"Large Gap",
IF(Table1[[#This Row],[skill_gap_index]]&gt;40,"Medium Gap","Small Gap"))</f>
        <v>Medium Gap</v>
      </c>
      <c r="X12" s="3" t="str">
        <f>IF(Table1[[#This Row],[automation_risk_percent]]&gt;0.7,"Highly Automatable",
IF(Table1[[#This Row],[automation_risk_percent]]&gt;0.4,"Moderate Risk","Safe Job"))</f>
        <v>Moderate Risk</v>
      </c>
    </row>
    <row r="13" spans="1:24" x14ac:dyDescent="0.3">
      <c r="A13">
        <v>40</v>
      </c>
      <c r="B13" t="s">
        <v>26</v>
      </c>
      <c r="C13" t="s">
        <v>34</v>
      </c>
      <c r="D13" t="s">
        <v>35</v>
      </c>
      <c r="E13" s="1">
        <v>2025</v>
      </c>
      <c r="F13" s="11">
        <v>0.2492</v>
      </c>
      <c r="G13">
        <v>27.49</v>
      </c>
      <c r="H13">
        <v>1.44</v>
      </c>
      <c r="I13" s="2">
        <v>43928.72</v>
      </c>
      <c r="J13" s="2">
        <v>45878.36</v>
      </c>
      <c r="K13" s="2">
        <f>Table1[[#This Row],[Salary_after]]-Table1[[#This Row],[Salary_before]]</f>
        <v>1949.6399999999994</v>
      </c>
      <c r="L13" s="11">
        <v>4.4400000000000002E-2</v>
      </c>
      <c r="M13" s="11">
        <v>0.1275</v>
      </c>
      <c r="N13">
        <v>52.68</v>
      </c>
      <c r="O13">
        <v>9.7799999999999994</v>
      </c>
      <c r="P13">
        <v>4</v>
      </c>
      <c r="Q13" t="s">
        <v>21</v>
      </c>
      <c r="R13">
        <v>13.18</v>
      </c>
      <c r="S13">
        <v>4.4400000000000004</v>
      </c>
      <c r="T13" s="4">
        <v>11.731999999999999</v>
      </c>
      <c r="U13" s="4">
        <v>2.437176</v>
      </c>
      <c r="V13" t="str">
        <f>IF(Table1[[#This Row],[ai_disruption_intensity]]&gt;70,"High",
IF(Table1[[#This Row],[ai_disruption_intensity]]&gt;40,"Medium","Low"))</f>
        <v>Low</v>
      </c>
      <c r="W13" t="str">
        <f>IF(Table1[[#This Row],[skill_gap_index]]&gt;70,"Large Gap",
IF(Table1[[#This Row],[skill_gap_index]]&gt;40,"Medium Gap","Small Gap"))</f>
        <v>Small Gap</v>
      </c>
      <c r="X13" s="3" t="str">
        <f>IF(Table1[[#This Row],[automation_risk_percent]]&gt;0.7,"Highly Automatable",
IF(Table1[[#This Row],[automation_risk_percent]]&gt;0.4,"Moderate Risk","Safe Job"))</f>
        <v>Safe Job</v>
      </c>
    </row>
    <row r="14" spans="1:24" x14ac:dyDescent="0.3">
      <c r="A14">
        <v>44</v>
      </c>
      <c r="B14" t="s">
        <v>26</v>
      </c>
      <c r="C14" t="s">
        <v>33</v>
      </c>
      <c r="D14" t="s">
        <v>36</v>
      </c>
      <c r="E14" s="1">
        <v>2025</v>
      </c>
      <c r="F14" s="11">
        <v>0.65900000000000003</v>
      </c>
      <c r="G14">
        <v>62.9</v>
      </c>
      <c r="H14">
        <v>96.12</v>
      </c>
      <c r="I14" s="2">
        <v>138642.07999999999</v>
      </c>
      <c r="J14" s="2">
        <v>142537.81</v>
      </c>
      <c r="K14" s="2">
        <f>Table1[[#This Row],[Salary_after]]-Table1[[#This Row],[Salary_before]]</f>
        <v>3895.7300000000105</v>
      </c>
      <c r="L14" s="11">
        <v>2.81E-2</v>
      </c>
      <c r="M14" s="11">
        <v>-1.23E-2</v>
      </c>
      <c r="N14">
        <v>16.41</v>
      </c>
      <c r="O14">
        <v>31.9</v>
      </c>
      <c r="P14">
        <v>3</v>
      </c>
      <c r="Q14" t="s">
        <v>37</v>
      </c>
      <c r="R14">
        <v>81.010000000000005</v>
      </c>
      <c r="S14">
        <v>2.81</v>
      </c>
      <c r="T14" s="4">
        <v>56.039000000000001</v>
      </c>
      <c r="U14" s="4">
        <v>21.022099999999998</v>
      </c>
      <c r="V14" t="str">
        <f>IF(Table1[[#This Row],[ai_disruption_intensity]]&gt;70,"High",
IF(Table1[[#This Row],[ai_disruption_intensity]]&gt;40,"Medium","Low"))</f>
        <v>Low</v>
      </c>
      <c r="W14" t="str">
        <f>IF(Table1[[#This Row],[skill_gap_index]]&gt;70,"Large Gap",
IF(Table1[[#This Row],[skill_gap_index]]&gt;40,"Medium Gap","Small Gap"))</f>
        <v>Large Gap</v>
      </c>
      <c r="X14" s="3" t="str">
        <f>IF(Table1[[#This Row],[automation_risk_percent]]&gt;0.7,"Highly Automatable",
IF(Table1[[#This Row],[automation_risk_percent]]&gt;0.4,"Moderate Risk","Safe Job"))</f>
        <v>Moderate Risk</v>
      </c>
    </row>
    <row r="15" spans="1:24" x14ac:dyDescent="0.3">
      <c r="A15">
        <v>48</v>
      </c>
      <c r="B15" t="s">
        <v>26</v>
      </c>
      <c r="C15" t="s">
        <v>33</v>
      </c>
      <c r="D15" t="s">
        <v>28</v>
      </c>
      <c r="E15" s="1">
        <v>2026</v>
      </c>
      <c r="F15" s="11">
        <v>7.22E-2</v>
      </c>
      <c r="G15">
        <v>8.3800000000000008</v>
      </c>
      <c r="H15">
        <v>50.53</v>
      </c>
      <c r="I15" s="2">
        <v>129174.9</v>
      </c>
      <c r="J15" s="2">
        <v>137984.01999999999</v>
      </c>
      <c r="K15" s="2">
        <f>Table1[[#This Row],[Salary_after]]-Table1[[#This Row],[Salary_before]]</f>
        <v>8809.1199999999953</v>
      </c>
      <c r="L15" s="11">
        <v>6.8199999999999997E-2</v>
      </c>
      <c r="M15" s="11">
        <v>1.9E-2</v>
      </c>
      <c r="N15">
        <v>45.03</v>
      </c>
      <c r="O15">
        <v>1.08</v>
      </c>
      <c r="P15">
        <v>1</v>
      </c>
      <c r="Q15" t="s">
        <v>21</v>
      </c>
      <c r="R15">
        <v>28.875</v>
      </c>
      <c r="S15">
        <v>6.82</v>
      </c>
      <c r="T15" s="4">
        <v>20.0929999999999</v>
      </c>
      <c r="U15" s="4">
        <v>7.7976000000000004E-2</v>
      </c>
      <c r="V15" t="str">
        <f>IF(Table1[[#This Row],[ai_disruption_intensity]]&gt;70,"High",
IF(Table1[[#This Row],[ai_disruption_intensity]]&gt;40,"Medium","Low"))</f>
        <v>Low</v>
      </c>
      <c r="W15" t="str">
        <f>IF(Table1[[#This Row],[skill_gap_index]]&gt;70,"Large Gap",
IF(Table1[[#This Row],[skill_gap_index]]&gt;40,"Medium Gap","Small Gap"))</f>
        <v>Medium Gap</v>
      </c>
      <c r="X15" s="3" t="str">
        <f>IF(Table1[[#This Row],[automation_risk_percent]]&gt;0.7,"Highly Automatable",
IF(Table1[[#This Row],[automation_risk_percent]]&gt;0.4,"Moderate Risk","Safe Job"))</f>
        <v>Safe Job</v>
      </c>
    </row>
    <row r="16" spans="1:24" x14ac:dyDescent="0.3">
      <c r="A16">
        <v>52</v>
      </c>
      <c r="B16" t="s">
        <v>22</v>
      </c>
      <c r="C16" t="s">
        <v>38</v>
      </c>
      <c r="D16" t="s">
        <v>28</v>
      </c>
      <c r="E16" s="1">
        <v>2025</v>
      </c>
      <c r="F16" s="11">
        <v>0.53280000000000005</v>
      </c>
      <c r="G16">
        <v>44.78</v>
      </c>
      <c r="H16">
        <v>8.41</v>
      </c>
      <c r="I16" s="2">
        <v>114116.3</v>
      </c>
      <c r="J16" s="2">
        <v>108740.98</v>
      </c>
      <c r="K16" s="2">
        <f>Table1[[#This Row],[Salary_after]]-Table1[[#This Row],[Salary_before]]</f>
        <v>-5375.320000000007</v>
      </c>
      <c r="L16" s="11">
        <v>-4.7100000000000003E-2</v>
      </c>
      <c r="M16" s="11">
        <v>7.3200000000000001E-2</v>
      </c>
      <c r="N16">
        <v>17.64</v>
      </c>
      <c r="O16">
        <v>98.66</v>
      </c>
      <c r="P16">
        <v>4</v>
      </c>
      <c r="Q16" t="s">
        <v>25</v>
      </c>
      <c r="R16">
        <v>30.844999999999999</v>
      </c>
      <c r="S16">
        <v>4.71</v>
      </c>
      <c r="T16" s="4">
        <v>25.248000000000001</v>
      </c>
      <c r="U16" s="4">
        <v>52.566048000000002</v>
      </c>
      <c r="V16" t="str">
        <f>IF(Table1[[#This Row],[ai_disruption_intensity]]&gt;70,"High",
IF(Table1[[#This Row],[ai_disruption_intensity]]&gt;40,"Medium","Low"))</f>
        <v>Medium</v>
      </c>
      <c r="W16" t="str">
        <f>IF(Table1[[#This Row],[skill_gap_index]]&gt;70,"Large Gap",
IF(Table1[[#This Row],[skill_gap_index]]&gt;40,"Medium Gap","Small Gap"))</f>
        <v>Small Gap</v>
      </c>
      <c r="X16" s="3" t="str">
        <f>IF(Table1[[#This Row],[automation_risk_percent]]&gt;0.7,"Highly Automatable",
IF(Table1[[#This Row],[automation_risk_percent]]&gt;0.4,"Moderate Risk","Safe Job"))</f>
        <v>Moderate Risk</v>
      </c>
    </row>
    <row r="17" spans="1:24" x14ac:dyDescent="0.3">
      <c r="A17">
        <v>55</v>
      </c>
      <c r="B17" t="s">
        <v>18</v>
      </c>
      <c r="C17" t="s">
        <v>40</v>
      </c>
      <c r="D17" t="s">
        <v>28</v>
      </c>
      <c r="E17" s="1">
        <v>2026</v>
      </c>
      <c r="F17" s="11">
        <v>0.18230000000000002</v>
      </c>
      <c r="G17">
        <v>19.309999999999999</v>
      </c>
      <c r="H17">
        <v>74.599999999999994</v>
      </c>
      <c r="I17" s="2">
        <v>100004.25</v>
      </c>
      <c r="J17" s="2">
        <v>98916.6</v>
      </c>
      <c r="K17" s="2">
        <f>Table1[[#This Row],[Salary_after]]-Table1[[#This Row],[Salary_before]]</f>
        <v>-1087.6499999999942</v>
      </c>
      <c r="L17" s="11">
        <v>-1.09E-2</v>
      </c>
      <c r="M17" s="11">
        <v>9.0200000000000002E-2</v>
      </c>
      <c r="N17">
        <v>35.71</v>
      </c>
      <c r="O17">
        <v>86.86</v>
      </c>
      <c r="P17">
        <v>5</v>
      </c>
      <c r="Q17" t="s">
        <v>21</v>
      </c>
      <c r="R17">
        <v>46.414999999999999</v>
      </c>
      <c r="S17">
        <v>1.0900000000000001</v>
      </c>
      <c r="T17" s="4">
        <v>29.998999999999999</v>
      </c>
      <c r="U17" s="4">
        <v>15.834578</v>
      </c>
      <c r="V17" t="str">
        <f>IF(Table1[[#This Row],[ai_disruption_intensity]]&gt;70,"High",
IF(Table1[[#This Row],[ai_disruption_intensity]]&gt;40,"Medium","Low"))</f>
        <v>Low</v>
      </c>
      <c r="W17" t="str">
        <f>IF(Table1[[#This Row],[skill_gap_index]]&gt;70,"Large Gap",
IF(Table1[[#This Row],[skill_gap_index]]&gt;40,"Medium Gap","Small Gap"))</f>
        <v>Large Gap</v>
      </c>
      <c r="X17" s="3" t="str">
        <f>IF(Table1[[#This Row],[automation_risk_percent]]&gt;0.7,"Highly Automatable",
IF(Table1[[#This Row],[automation_risk_percent]]&gt;0.4,"Moderate Risk","Safe Job"))</f>
        <v>Safe Job</v>
      </c>
    </row>
    <row r="18" spans="1:24" x14ac:dyDescent="0.3">
      <c r="A18">
        <v>68</v>
      </c>
      <c r="B18" t="s">
        <v>29</v>
      </c>
      <c r="C18" t="s">
        <v>23</v>
      </c>
      <c r="D18" t="s">
        <v>24</v>
      </c>
      <c r="E18" s="1">
        <v>2025</v>
      </c>
      <c r="F18" s="11">
        <v>0.5948</v>
      </c>
      <c r="G18">
        <v>55.41</v>
      </c>
      <c r="H18">
        <v>63.34</v>
      </c>
      <c r="I18" s="2">
        <v>58817.47</v>
      </c>
      <c r="J18" s="2">
        <v>60973.71</v>
      </c>
      <c r="K18" s="2">
        <f>Table1[[#This Row],[Salary_after]]-Table1[[#This Row],[Salary_before]]</f>
        <v>2156.239999999998</v>
      </c>
      <c r="L18" s="11">
        <v>3.6699999999999997E-2</v>
      </c>
      <c r="M18" s="11">
        <v>-4.4000000000000004E-2</v>
      </c>
      <c r="N18">
        <v>26.37</v>
      </c>
      <c r="O18">
        <v>34.57</v>
      </c>
      <c r="P18">
        <v>3</v>
      </c>
      <c r="Q18" t="s">
        <v>25</v>
      </c>
      <c r="R18">
        <v>61.41</v>
      </c>
      <c r="S18">
        <v>3.67</v>
      </c>
      <c r="T18" s="4">
        <v>43.894999999999897</v>
      </c>
      <c r="U18" s="4">
        <v>20.562235999999999</v>
      </c>
      <c r="V18" t="str">
        <f>IF(Table1[[#This Row],[ai_disruption_intensity]]&gt;70,"High",
IF(Table1[[#This Row],[ai_disruption_intensity]]&gt;40,"Medium","Low"))</f>
        <v>Low</v>
      </c>
      <c r="W18" t="str">
        <f>IF(Table1[[#This Row],[skill_gap_index]]&gt;70,"Large Gap",
IF(Table1[[#This Row],[skill_gap_index]]&gt;40,"Medium Gap","Small Gap"))</f>
        <v>Medium Gap</v>
      </c>
      <c r="X18" s="3" t="str">
        <f>IF(Table1[[#This Row],[automation_risk_percent]]&gt;0.7,"Highly Automatable",
IF(Table1[[#This Row],[automation_risk_percent]]&gt;0.4,"Moderate Risk","Safe Job"))</f>
        <v>Moderate Risk</v>
      </c>
    </row>
    <row r="19" spans="1:24" x14ac:dyDescent="0.3">
      <c r="A19">
        <v>69</v>
      </c>
      <c r="B19" t="s">
        <v>45</v>
      </c>
      <c r="C19" t="s">
        <v>40</v>
      </c>
      <c r="D19" t="s">
        <v>35</v>
      </c>
      <c r="E19" s="1">
        <v>2026</v>
      </c>
      <c r="F19" s="11">
        <v>0.7278</v>
      </c>
      <c r="G19">
        <v>72.02</v>
      </c>
      <c r="H19">
        <v>66.760000000000005</v>
      </c>
      <c r="I19" s="2">
        <v>50678.38</v>
      </c>
      <c r="J19" s="2">
        <v>47991.12</v>
      </c>
      <c r="K19" s="2">
        <f>Table1[[#This Row],[Salary_after]]-Table1[[#This Row],[Salary_before]]</f>
        <v>-2687.2599999999948</v>
      </c>
      <c r="L19" s="11">
        <v>-5.2999999999999999E-2</v>
      </c>
      <c r="M19" s="11">
        <v>-2.9300000000000003E-2</v>
      </c>
      <c r="N19">
        <v>25.93</v>
      </c>
      <c r="O19">
        <v>8.8699999999999992</v>
      </c>
      <c r="P19">
        <v>1</v>
      </c>
      <c r="Q19" t="s">
        <v>37</v>
      </c>
      <c r="R19">
        <v>69.77</v>
      </c>
      <c r="S19">
        <v>5.3</v>
      </c>
      <c r="T19" s="4">
        <v>50.73</v>
      </c>
      <c r="U19" s="4">
        <v>6.4555859999999896</v>
      </c>
      <c r="V19" t="str">
        <f>IF(Table1[[#This Row],[ai_disruption_intensity]]&gt;70,"High",
IF(Table1[[#This Row],[ai_disruption_intensity]]&gt;40,"Medium","Low"))</f>
        <v>Low</v>
      </c>
      <c r="W19" t="str">
        <f>IF(Table1[[#This Row],[skill_gap_index]]&gt;70,"Large Gap",
IF(Table1[[#This Row],[skill_gap_index]]&gt;40,"Medium Gap","Small Gap"))</f>
        <v>Medium Gap</v>
      </c>
      <c r="X19" s="3" t="str">
        <f>IF(Table1[[#This Row],[automation_risk_percent]]&gt;0.7,"Highly Automatable",
IF(Table1[[#This Row],[automation_risk_percent]]&gt;0.4,"Moderate Risk","Safe Job"))</f>
        <v>Highly Automatable</v>
      </c>
    </row>
    <row r="20" spans="1:24" x14ac:dyDescent="0.3">
      <c r="A20">
        <v>76</v>
      </c>
      <c r="B20" t="s">
        <v>29</v>
      </c>
      <c r="C20" t="s">
        <v>30</v>
      </c>
      <c r="D20" t="s">
        <v>47</v>
      </c>
      <c r="E20" s="1">
        <v>2026</v>
      </c>
      <c r="F20" s="11">
        <v>0.55220000000000002</v>
      </c>
      <c r="G20">
        <v>46.99</v>
      </c>
      <c r="H20">
        <v>28.38</v>
      </c>
      <c r="I20" s="2">
        <v>73569.88</v>
      </c>
      <c r="J20" s="2">
        <v>80383.75</v>
      </c>
      <c r="K20" s="2">
        <f>Table1[[#This Row],[Salary_after]]-Table1[[#This Row],[Salary_before]]</f>
        <v>6813.8699999999953</v>
      </c>
      <c r="L20" s="11">
        <v>9.2600000000000002E-2</v>
      </c>
      <c r="M20" s="11">
        <v>0.2409</v>
      </c>
      <c r="N20">
        <v>42.05</v>
      </c>
      <c r="O20">
        <v>98.65</v>
      </c>
      <c r="P20">
        <v>5</v>
      </c>
      <c r="Q20" t="s">
        <v>25</v>
      </c>
      <c r="R20">
        <v>41.8</v>
      </c>
      <c r="S20">
        <v>9.26</v>
      </c>
      <c r="T20" s="4">
        <v>33.380000000000003</v>
      </c>
      <c r="U20" s="4">
        <v>54.474530000000001</v>
      </c>
      <c r="V20" t="str">
        <f>IF(Table1[[#This Row],[ai_disruption_intensity]]&gt;70,"High",
IF(Table1[[#This Row],[ai_disruption_intensity]]&gt;40,"Medium","Low"))</f>
        <v>Medium</v>
      </c>
      <c r="W20" t="str">
        <f>IF(Table1[[#This Row],[skill_gap_index]]&gt;70,"Large Gap",
IF(Table1[[#This Row],[skill_gap_index]]&gt;40,"Medium Gap","Small Gap"))</f>
        <v>Small Gap</v>
      </c>
      <c r="X20" s="3" t="str">
        <f>IF(Table1[[#This Row],[automation_risk_percent]]&gt;0.7,"Highly Automatable",
IF(Table1[[#This Row],[automation_risk_percent]]&gt;0.4,"Moderate Risk","Safe Job"))</f>
        <v>Moderate Risk</v>
      </c>
    </row>
    <row r="21" spans="1:24" x14ac:dyDescent="0.3">
      <c r="A21">
        <v>77</v>
      </c>
      <c r="B21" t="s">
        <v>43</v>
      </c>
      <c r="C21" t="s">
        <v>27</v>
      </c>
      <c r="D21" t="s">
        <v>24</v>
      </c>
      <c r="E21" s="1">
        <v>2026</v>
      </c>
      <c r="F21" s="11">
        <v>0.52400000000000002</v>
      </c>
      <c r="G21">
        <v>46.9</v>
      </c>
      <c r="H21">
        <v>10.18</v>
      </c>
      <c r="I21" s="2">
        <v>48343.1</v>
      </c>
      <c r="J21" s="2">
        <v>45197.69</v>
      </c>
      <c r="K21" s="2">
        <f>Table1[[#This Row],[Salary_after]]-Table1[[#This Row],[Salary_before]]</f>
        <v>-3145.4099999999962</v>
      </c>
      <c r="L21" s="11">
        <v>-6.5099999999999991E-2</v>
      </c>
      <c r="M21" s="11">
        <v>1.2999999999999999E-3</v>
      </c>
      <c r="N21">
        <v>26.79</v>
      </c>
      <c r="O21">
        <v>28.51</v>
      </c>
      <c r="P21">
        <v>2</v>
      </c>
      <c r="Q21" t="s">
        <v>25</v>
      </c>
      <c r="R21">
        <v>31.29</v>
      </c>
      <c r="S21">
        <v>6.51</v>
      </c>
      <c r="T21" s="4">
        <v>25.966999999999999</v>
      </c>
      <c r="U21" s="4">
        <v>14.93924</v>
      </c>
      <c r="V21" t="str">
        <f>IF(Table1[[#This Row],[ai_disruption_intensity]]&gt;70,"High",
IF(Table1[[#This Row],[ai_disruption_intensity]]&gt;40,"Medium","Low"))</f>
        <v>Low</v>
      </c>
      <c r="W21" t="str">
        <f>IF(Table1[[#This Row],[skill_gap_index]]&gt;70,"Large Gap",
IF(Table1[[#This Row],[skill_gap_index]]&gt;40,"Medium Gap","Small Gap"))</f>
        <v>Small Gap</v>
      </c>
      <c r="X21" s="3" t="str">
        <f>IF(Table1[[#This Row],[automation_risk_percent]]&gt;0.7,"Highly Automatable",
IF(Table1[[#This Row],[automation_risk_percent]]&gt;0.4,"Moderate Risk","Safe Job"))</f>
        <v>Moderate Risk</v>
      </c>
    </row>
    <row r="22" spans="1:24" x14ac:dyDescent="0.3">
      <c r="A22">
        <v>81</v>
      </c>
      <c r="B22" t="s">
        <v>41</v>
      </c>
      <c r="C22" t="s">
        <v>23</v>
      </c>
      <c r="D22" t="s">
        <v>35</v>
      </c>
      <c r="E22" s="1">
        <v>2026</v>
      </c>
      <c r="F22" s="11">
        <v>0.33039999999999997</v>
      </c>
      <c r="G22">
        <v>34.5</v>
      </c>
      <c r="H22">
        <v>28.86</v>
      </c>
      <c r="I22" s="2">
        <v>99748.59</v>
      </c>
      <c r="J22" s="2">
        <v>99089.45</v>
      </c>
      <c r="K22" s="2">
        <f>Table1[[#This Row],[Salary_after]]-Table1[[#This Row],[Salary_before]]</f>
        <v>-659.13999999999942</v>
      </c>
      <c r="L22" s="11">
        <v>-6.6E-3</v>
      </c>
      <c r="M22" s="11">
        <v>-7.1099999999999997E-2</v>
      </c>
      <c r="N22">
        <v>57.93</v>
      </c>
      <c r="O22">
        <v>5.18</v>
      </c>
      <c r="P22">
        <v>2</v>
      </c>
      <c r="Q22" t="s">
        <v>25</v>
      </c>
      <c r="R22">
        <v>30.95</v>
      </c>
      <c r="S22">
        <v>0.66</v>
      </c>
      <c r="T22" s="4">
        <v>22.071999999999999</v>
      </c>
      <c r="U22" s="4">
        <v>1.7114719999999899</v>
      </c>
      <c r="V22" t="str">
        <f>IF(Table1[[#This Row],[ai_disruption_intensity]]&gt;70,"High",
IF(Table1[[#This Row],[ai_disruption_intensity]]&gt;40,"Medium","Low"))</f>
        <v>Low</v>
      </c>
      <c r="W22" t="str">
        <f>IF(Table1[[#This Row],[skill_gap_index]]&gt;70,"Large Gap",
IF(Table1[[#This Row],[skill_gap_index]]&gt;40,"Medium Gap","Small Gap"))</f>
        <v>Small Gap</v>
      </c>
      <c r="X22" s="3" t="str">
        <f>IF(Table1[[#This Row],[automation_risk_percent]]&gt;0.7,"Highly Automatable",
IF(Table1[[#This Row],[automation_risk_percent]]&gt;0.4,"Moderate Risk","Safe Job"))</f>
        <v>Safe Job</v>
      </c>
    </row>
    <row r="23" spans="1:24" x14ac:dyDescent="0.3">
      <c r="A23">
        <v>90</v>
      </c>
      <c r="B23" t="s">
        <v>39</v>
      </c>
      <c r="C23" t="s">
        <v>23</v>
      </c>
      <c r="D23" t="s">
        <v>31</v>
      </c>
      <c r="E23" s="1">
        <v>2025</v>
      </c>
      <c r="F23" s="11">
        <v>0.63369999999999993</v>
      </c>
      <c r="G23">
        <v>72.92</v>
      </c>
      <c r="H23">
        <v>34.21</v>
      </c>
      <c r="I23" s="2">
        <v>128550.88</v>
      </c>
      <c r="J23" s="2">
        <v>125081.61</v>
      </c>
      <c r="K23" s="2">
        <f>Table1[[#This Row],[Salary_after]]-Table1[[#This Row],[Salary_before]]</f>
        <v>-3469.2700000000041</v>
      </c>
      <c r="L23" s="11">
        <v>-2.7000000000000003E-2</v>
      </c>
      <c r="M23" s="11">
        <v>-4.7899999999999998E-2</v>
      </c>
      <c r="N23">
        <v>81.760000000000005</v>
      </c>
      <c r="O23">
        <v>14.99</v>
      </c>
      <c r="P23">
        <v>3</v>
      </c>
      <c r="Q23" t="s">
        <v>37</v>
      </c>
      <c r="R23">
        <v>48.79</v>
      </c>
      <c r="S23">
        <v>2.7</v>
      </c>
      <c r="T23" s="4">
        <v>36.420999999999999</v>
      </c>
      <c r="U23" s="4">
        <v>9.4991629999999994</v>
      </c>
      <c r="V23" t="str">
        <f>IF(Table1[[#This Row],[ai_disruption_intensity]]&gt;70,"High",
IF(Table1[[#This Row],[ai_disruption_intensity]]&gt;40,"Medium","Low"))</f>
        <v>Low</v>
      </c>
      <c r="W23" t="str">
        <f>IF(Table1[[#This Row],[skill_gap_index]]&gt;70,"Large Gap",
IF(Table1[[#This Row],[skill_gap_index]]&gt;40,"Medium Gap","Small Gap"))</f>
        <v>Small Gap</v>
      </c>
      <c r="X23" s="3" t="str">
        <f>IF(Table1[[#This Row],[automation_risk_percent]]&gt;0.7,"Highly Automatable",
IF(Table1[[#This Row],[automation_risk_percent]]&gt;0.4,"Moderate Risk","Safe Job"))</f>
        <v>Moderate Risk</v>
      </c>
    </row>
    <row r="24" spans="1:24" x14ac:dyDescent="0.3">
      <c r="A24">
        <v>96</v>
      </c>
      <c r="B24" t="s">
        <v>29</v>
      </c>
      <c r="C24" t="s">
        <v>40</v>
      </c>
      <c r="D24" t="s">
        <v>32</v>
      </c>
      <c r="E24" s="1">
        <v>2025</v>
      </c>
      <c r="F24" s="11">
        <v>0.2883</v>
      </c>
      <c r="G24">
        <v>26.93</v>
      </c>
      <c r="H24">
        <v>80.290000000000006</v>
      </c>
      <c r="I24" s="2">
        <v>30555.84</v>
      </c>
      <c r="J24" s="2">
        <v>27463.27</v>
      </c>
      <c r="K24" s="2">
        <f>Table1[[#This Row],[Salary_after]]-Table1[[#This Row],[Salary_before]]</f>
        <v>-3092.5699999999997</v>
      </c>
      <c r="L24" s="11">
        <v>-0.1012</v>
      </c>
      <c r="M24" s="11">
        <v>-0.11550000000000001</v>
      </c>
      <c r="N24">
        <v>58.37</v>
      </c>
      <c r="O24">
        <v>91.99</v>
      </c>
      <c r="P24">
        <v>1</v>
      </c>
      <c r="Q24" t="s">
        <v>21</v>
      </c>
      <c r="R24">
        <v>54.56</v>
      </c>
      <c r="S24">
        <v>10.119999999999999</v>
      </c>
      <c r="T24" s="4">
        <v>38.655000000000001</v>
      </c>
      <c r="U24" s="4">
        <v>26.520716999999902</v>
      </c>
      <c r="V24" t="str">
        <f>IF(Table1[[#This Row],[ai_disruption_intensity]]&gt;70,"High",
IF(Table1[[#This Row],[ai_disruption_intensity]]&gt;40,"Medium","Low"))</f>
        <v>Low</v>
      </c>
      <c r="W24" t="str">
        <f>IF(Table1[[#This Row],[skill_gap_index]]&gt;70,"Large Gap",
IF(Table1[[#This Row],[skill_gap_index]]&gt;40,"Medium Gap","Small Gap"))</f>
        <v>Large Gap</v>
      </c>
      <c r="X24" s="3" t="str">
        <f>IF(Table1[[#This Row],[automation_risk_percent]]&gt;0.7,"Highly Automatable",
IF(Table1[[#This Row],[automation_risk_percent]]&gt;0.4,"Moderate Risk","Safe Job"))</f>
        <v>Safe Job</v>
      </c>
    </row>
    <row r="25" spans="1:24" x14ac:dyDescent="0.3">
      <c r="A25">
        <v>97</v>
      </c>
      <c r="B25" t="s">
        <v>22</v>
      </c>
      <c r="C25" t="s">
        <v>23</v>
      </c>
      <c r="D25" t="s">
        <v>31</v>
      </c>
      <c r="E25" s="1">
        <v>2026</v>
      </c>
      <c r="F25" s="11">
        <v>0.34240000000000004</v>
      </c>
      <c r="G25">
        <v>32.15</v>
      </c>
      <c r="H25">
        <v>73.75</v>
      </c>
      <c r="I25" s="2">
        <v>84266.15</v>
      </c>
      <c r="J25" s="2">
        <v>82078.679999999993</v>
      </c>
      <c r="K25" s="2">
        <f>Table1[[#This Row],[Salary_after]]-Table1[[#This Row],[Salary_before]]</f>
        <v>-2187.4700000000012</v>
      </c>
      <c r="L25" s="11">
        <v>-2.6000000000000002E-2</v>
      </c>
      <c r="M25" s="11">
        <v>-0.1003</v>
      </c>
      <c r="N25">
        <v>22.68</v>
      </c>
      <c r="O25">
        <v>17.64</v>
      </c>
      <c r="P25">
        <v>2</v>
      </c>
      <c r="Q25" t="s">
        <v>25</v>
      </c>
      <c r="R25">
        <v>53.994999999999997</v>
      </c>
      <c r="S25">
        <v>2.6</v>
      </c>
      <c r="T25" s="4">
        <v>36.600999999999999</v>
      </c>
      <c r="U25" s="4">
        <v>6.039936</v>
      </c>
      <c r="V25" t="str">
        <f>IF(Table1[[#This Row],[ai_disruption_intensity]]&gt;70,"High",
IF(Table1[[#This Row],[ai_disruption_intensity]]&gt;40,"Medium","Low"))</f>
        <v>Low</v>
      </c>
      <c r="W25" t="str">
        <f>IF(Table1[[#This Row],[skill_gap_index]]&gt;70,"Large Gap",
IF(Table1[[#This Row],[skill_gap_index]]&gt;40,"Medium Gap","Small Gap"))</f>
        <v>Large Gap</v>
      </c>
      <c r="X25" s="3" t="str">
        <f>IF(Table1[[#This Row],[automation_risk_percent]]&gt;0.7,"Highly Automatable",
IF(Table1[[#This Row],[automation_risk_percent]]&gt;0.4,"Moderate Risk","Safe Job"))</f>
        <v>Safe Job</v>
      </c>
    </row>
    <row r="26" spans="1:24" x14ac:dyDescent="0.3">
      <c r="A26">
        <v>100</v>
      </c>
      <c r="B26" t="s">
        <v>41</v>
      </c>
      <c r="C26" t="s">
        <v>38</v>
      </c>
      <c r="D26" t="s">
        <v>24</v>
      </c>
      <c r="E26" s="1">
        <v>2025</v>
      </c>
      <c r="F26" s="11">
        <v>0.39689999999999998</v>
      </c>
      <c r="G26">
        <v>46.01</v>
      </c>
      <c r="H26">
        <v>20.51</v>
      </c>
      <c r="I26" s="2">
        <v>52882.53</v>
      </c>
      <c r="J26" s="2">
        <v>52709.32</v>
      </c>
      <c r="K26" s="2">
        <f>Table1[[#This Row],[Salary_after]]-Table1[[#This Row],[Salary_before]]</f>
        <v>-173.20999999999913</v>
      </c>
      <c r="L26" s="11">
        <v>-3.3E-3</v>
      </c>
      <c r="M26" s="11">
        <v>-4.3E-3</v>
      </c>
      <c r="N26">
        <v>60.84</v>
      </c>
      <c r="O26">
        <v>6.57</v>
      </c>
      <c r="P26">
        <v>4</v>
      </c>
      <c r="Q26" t="s">
        <v>25</v>
      </c>
      <c r="R26">
        <v>30.1</v>
      </c>
      <c r="S26">
        <v>0.33</v>
      </c>
      <c r="T26" s="4">
        <v>22.128</v>
      </c>
      <c r="U26" s="4">
        <v>2.6076329999999999</v>
      </c>
      <c r="V26" t="str">
        <f>IF(Table1[[#This Row],[ai_disruption_intensity]]&gt;70,"High",
IF(Table1[[#This Row],[ai_disruption_intensity]]&gt;40,"Medium","Low"))</f>
        <v>Low</v>
      </c>
      <c r="W26" t="str">
        <f>IF(Table1[[#This Row],[skill_gap_index]]&gt;70,"Large Gap",
IF(Table1[[#This Row],[skill_gap_index]]&gt;40,"Medium Gap","Small Gap"))</f>
        <v>Small Gap</v>
      </c>
      <c r="X26" s="3" t="str">
        <f>IF(Table1[[#This Row],[automation_risk_percent]]&gt;0.7,"Highly Automatable",
IF(Table1[[#This Row],[automation_risk_percent]]&gt;0.4,"Moderate Risk","Safe Job"))</f>
        <v>Safe Job</v>
      </c>
    </row>
    <row r="27" spans="1:24" x14ac:dyDescent="0.3">
      <c r="A27">
        <v>104</v>
      </c>
      <c r="B27" t="s">
        <v>41</v>
      </c>
      <c r="C27" t="s">
        <v>27</v>
      </c>
      <c r="D27" t="s">
        <v>42</v>
      </c>
      <c r="E27" s="1">
        <v>2025</v>
      </c>
      <c r="F27" s="11">
        <v>0.80989999999999995</v>
      </c>
      <c r="G27">
        <v>70.58</v>
      </c>
      <c r="H27">
        <v>65.27</v>
      </c>
      <c r="I27" s="2">
        <v>58581.93</v>
      </c>
      <c r="J27" s="2">
        <v>57174.06</v>
      </c>
      <c r="K27" s="2">
        <f>Table1[[#This Row],[Salary_after]]-Table1[[#This Row],[Salary_before]]</f>
        <v>-1407.8700000000026</v>
      </c>
      <c r="L27" s="11">
        <v>-2.4E-2</v>
      </c>
      <c r="M27" s="11">
        <v>1.2500000000000001E-2</v>
      </c>
      <c r="N27">
        <v>75</v>
      </c>
      <c r="O27">
        <v>85.57</v>
      </c>
      <c r="P27">
        <v>5</v>
      </c>
      <c r="Q27" t="s">
        <v>37</v>
      </c>
      <c r="R27">
        <v>73.13</v>
      </c>
      <c r="S27">
        <v>2.4</v>
      </c>
      <c r="T27" s="4">
        <v>52.697000000000003</v>
      </c>
      <c r="U27" s="4">
        <v>69.303142999999906</v>
      </c>
      <c r="V27" t="str">
        <f>IF(Table1[[#This Row],[ai_disruption_intensity]]&gt;70,"High",
IF(Table1[[#This Row],[ai_disruption_intensity]]&gt;40,"Medium","Low"))</f>
        <v>Medium</v>
      </c>
      <c r="W27" t="str">
        <f>IF(Table1[[#This Row],[skill_gap_index]]&gt;70,"Large Gap",
IF(Table1[[#This Row],[skill_gap_index]]&gt;40,"Medium Gap","Small Gap"))</f>
        <v>Medium Gap</v>
      </c>
      <c r="X27" s="3" t="str">
        <f>IF(Table1[[#This Row],[automation_risk_percent]]&gt;0.7,"Highly Automatable",
IF(Table1[[#This Row],[automation_risk_percent]]&gt;0.4,"Moderate Risk","Safe Job"))</f>
        <v>Highly Automatable</v>
      </c>
    </row>
    <row r="28" spans="1:24" x14ac:dyDescent="0.3">
      <c r="A28">
        <v>106</v>
      </c>
      <c r="B28" t="s">
        <v>43</v>
      </c>
      <c r="C28" t="s">
        <v>40</v>
      </c>
      <c r="D28" t="s">
        <v>32</v>
      </c>
      <c r="E28" s="1">
        <v>2025</v>
      </c>
      <c r="F28" s="11">
        <v>0.2455</v>
      </c>
      <c r="G28">
        <v>19.899999999999999</v>
      </c>
      <c r="H28">
        <v>18.14</v>
      </c>
      <c r="I28" s="2">
        <v>99964.99</v>
      </c>
      <c r="J28" s="2">
        <v>109202.02</v>
      </c>
      <c r="K28" s="2">
        <f>Table1[[#This Row],[Salary_after]]-Table1[[#This Row],[Salary_before]]</f>
        <v>9237.0299999999988</v>
      </c>
      <c r="L28" s="11">
        <v>9.2399999999999996E-2</v>
      </c>
      <c r="M28" s="11">
        <v>3.15E-2</v>
      </c>
      <c r="N28">
        <v>83.57</v>
      </c>
      <c r="O28">
        <v>34.18</v>
      </c>
      <c r="P28">
        <v>4</v>
      </c>
      <c r="Q28" t="s">
        <v>21</v>
      </c>
      <c r="R28">
        <v>21.344999999999999</v>
      </c>
      <c r="S28">
        <v>9.24</v>
      </c>
      <c r="T28" s="4">
        <v>18.033999999999999</v>
      </c>
      <c r="U28" s="4">
        <v>8.3911899999999999</v>
      </c>
      <c r="V28" t="str">
        <f>IF(Table1[[#This Row],[ai_disruption_intensity]]&gt;70,"High",
IF(Table1[[#This Row],[ai_disruption_intensity]]&gt;40,"Medium","Low"))</f>
        <v>Low</v>
      </c>
      <c r="W28" t="str">
        <f>IF(Table1[[#This Row],[skill_gap_index]]&gt;70,"Large Gap",
IF(Table1[[#This Row],[skill_gap_index]]&gt;40,"Medium Gap","Small Gap"))</f>
        <v>Small Gap</v>
      </c>
      <c r="X28" s="3" t="str">
        <f>IF(Table1[[#This Row],[automation_risk_percent]]&gt;0.7,"Highly Automatable",
IF(Table1[[#This Row],[automation_risk_percent]]&gt;0.4,"Moderate Risk","Safe Job"))</f>
        <v>Safe Job</v>
      </c>
    </row>
    <row r="29" spans="1:24" x14ac:dyDescent="0.3">
      <c r="A29">
        <v>107</v>
      </c>
      <c r="B29" t="s">
        <v>41</v>
      </c>
      <c r="C29" t="s">
        <v>19</v>
      </c>
      <c r="D29" t="s">
        <v>24</v>
      </c>
      <c r="E29" s="1">
        <v>2026</v>
      </c>
      <c r="F29" s="11">
        <v>0.43159999999999998</v>
      </c>
      <c r="G29">
        <v>41.08</v>
      </c>
      <c r="H29">
        <v>59.03</v>
      </c>
      <c r="I29" s="2">
        <v>62167.64</v>
      </c>
      <c r="J29" s="2">
        <v>54207.51</v>
      </c>
      <c r="K29" s="2">
        <f>Table1[[#This Row],[Salary_after]]-Table1[[#This Row],[Salary_before]]</f>
        <v>-7960.1299999999974</v>
      </c>
      <c r="L29" s="11">
        <v>-0.128</v>
      </c>
      <c r="M29" s="11">
        <v>0.22550000000000001</v>
      </c>
      <c r="N29">
        <v>59.68</v>
      </c>
      <c r="O29">
        <v>43.61</v>
      </c>
      <c r="P29">
        <v>3</v>
      </c>
      <c r="Q29" t="s">
        <v>25</v>
      </c>
      <c r="R29">
        <v>51.094999999999999</v>
      </c>
      <c r="S29">
        <v>12.8</v>
      </c>
      <c r="T29" s="4">
        <v>38.813000000000002</v>
      </c>
      <c r="U29" s="4">
        <v>18.8220759999999</v>
      </c>
      <c r="V29" t="str">
        <f>IF(Table1[[#This Row],[ai_disruption_intensity]]&gt;70,"High",
IF(Table1[[#This Row],[ai_disruption_intensity]]&gt;40,"Medium","Low"))</f>
        <v>Low</v>
      </c>
      <c r="W29" t="str">
        <f>IF(Table1[[#This Row],[skill_gap_index]]&gt;70,"Large Gap",
IF(Table1[[#This Row],[skill_gap_index]]&gt;40,"Medium Gap","Small Gap"))</f>
        <v>Medium Gap</v>
      </c>
      <c r="X29" s="3" t="str">
        <f>IF(Table1[[#This Row],[automation_risk_percent]]&gt;0.7,"Highly Automatable",
IF(Table1[[#This Row],[automation_risk_percent]]&gt;0.4,"Moderate Risk","Safe Job"))</f>
        <v>Moderate Risk</v>
      </c>
    </row>
    <row r="30" spans="1:24" x14ac:dyDescent="0.3">
      <c r="A30">
        <v>123</v>
      </c>
      <c r="B30" t="s">
        <v>22</v>
      </c>
      <c r="C30" t="s">
        <v>38</v>
      </c>
      <c r="D30" t="s">
        <v>35</v>
      </c>
      <c r="E30" s="1">
        <v>2026</v>
      </c>
      <c r="F30" s="11">
        <v>0.72019999999999995</v>
      </c>
      <c r="G30">
        <v>75.36</v>
      </c>
      <c r="H30">
        <v>23.3</v>
      </c>
      <c r="I30" s="2">
        <v>32928.089999999997</v>
      </c>
      <c r="J30" s="2">
        <v>33199.040000000001</v>
      </c>
      <c r="K30" s="2">
        <f>Table1[[#This Row],[Salary_after]]-Table1[[#This Row],[Salary_before]]</f>
        <v>270.95000000000437</v>
      </c>
      <c r="L30" s="11">
        <v>8.199999999999999E-3</v>
      </c>
      <c r="M30" s="11">
        <v>0.1565</v>
      </c>
      <c r="N30">
        <v>94.52</v>
      </c>
      <c r="O30">
        <v>79.88</v>
      </c>
      <c r="P30">
        <v>1</v>
      </c>
      <c r="Q30" t="s">
        <v>37</v>
      </c>
      <c r="R30">
        <v>47.66</v>
      </c>
      <c r="S30">
        <v>0.82</v>
      </c>
      <c r="T30" s="4">
        <v>36.043999999999997</v>
      </c>
      <c r="U30" s="4">
        <v>57.529575999999999</v>
      </c>
      <c r="V30" t="str">
        <f>IF(Table1[[#This Row],[ai_disruption_intensity]]&gt;70,"High",
IF(Table1[[#This Row],[ai_disruption_intensity]]&gt;40,"Medium","Low"))</f>
        <v>Medium</v>
      </c>
      <c r="W30" t="str">
        <f>IF(Table1[[#This Row],[skill_gap_index]]&gt;70,"Large Gap",
IF(Table1[[#This Row],[skill_gap_index]]&gt;40,"Medium Gap","Small Gap"))</f>
        <v>Small Gap</v>
      </c>
      <c r="X30" s="3" t="str">
        <f>IF(Table1[[#This Row],[automation_risk_percent]]&gt;0.7,"Highly Automatable",
IF(Table1[[#This Row],[automation_risk_percent]]&gt;0.4,"Moderate Risk","Safe Job"))</f>
        <v>Highly Automatable</v>
      </c>
    </row>
    <row r="31" spans="1:24" x14ac:dyDescent="0.3">
      <c r="A31">
        <v>125</v>
      </c>
      <c r="B31" t="s">
        <v>29</v>
      </c>
      <c r="C31" t="s">
        <v>30</v>
      </c>
      <c r="D31" t="s">
        <v>20</v>
      </c>
      <c r="E31" s="1">
        <v>2026</v>
      </c>
      <c r="F31" s="11">
        <v>0.78780000000000006</v>
      </c>
      <c r="G31">
        <v>76.19</v>
      </c>
      <c r="H31">
        <v>42.14</v>
      </c>
      <c r="I31" s="2">
        <v>118509.88</v>
      </c>
      <c r="J31" s="2">
        <v>113530.25</v>
      </c>
      <c r="K31" s="2">
        <f>Table1[[#This Row],[Salary_after]]-Table1[[#This Row],[Salary_before]]</f>
        <v>-4979.6300000000047</v>
      </c>
      <c r="L31" s="11">
        <v>-4.2000000000000003E-2</v>
      </c>
      <c r="M31" s="11">
        <v>2.18E-2</v>
      </c>
      <c r="N31">
        <v>41.92</v>
      </c>
      <c r="O31">
        <v>28.72</v>
      </c>
      <c r="P31">
        <v>1</v>
      </c>
      <c r="Q31" t="s">
        <v>37</v>
      </c>
      <c r="R31">
        <v>60.46</v>
      </c>
      <c r="S31">
        <v>4.2</v>
      </c>
      <c r="T31" s="4">
        <v>45.413999999999902</v>
      </c>
      <c r="U31" s="4">
        <v>22.625616000000001</v>
      </c>
      <c r="V31" t="str">
        <f>IF(Table1[[#This Row],[ai_disruption_intensity]]&gt;70,"High",
IF(Table1[[#This Row],[ai_disruption_intensity]]&gt;40,"Medium","Low"))</f>
        <v>Low</v>
      </c>
      <c r="W31" t="str">
        <f>IF(Table1[[#This Row],[skill_gap_index]]&gt;70,"Large Gap",
IF(Table1[[#This Row],[skill_gap_index]]&gt;40,"Medium Gap","Small Gap"))</f>
        <v>Medium Gap</v>
      </c>
      <c r="X31" s="3" t="str">
        <f>IF(Table1[[#This Row],[automation_risk_percent]]&gt;0.7,"Highly Automatable",
IF(Table1[[#This Row],[automation_risk_percent]]&gt;0.4,"Moderate Risk","Safe Job"))</f>
        <v>Highly Automatable</v>
      </c>
    </row>
    <row r="32" spans="1:24" x14ac:dyDescent="0.3">
      <c r="A32">
        <v>127</v>
      </c>
      <c r="B32" t="s">
        <v>29</v>
      </c>
      <c r="C32" t="s">
        <v>27</v>
      </c>
      <c r="D32" t="s">
        <v>42</v>
      </c>
      <c r="E32" s="1">
        <v>2025</v>
      </c>
      <c r="F32" s="11">
        <v>0.40279999999999999</v>
      </c>
      <c r="G32">
        <v>47.53</v>
      </c>
      <c r="H32">
        <v>78.63</v>
      </c>
      <c r="I32" s="2">
        <v>40729.32</v>
      </c>
      <c r="J32" s="2">
        <v>44738.400000000001</v>
      </c>
      <c r="K32" s="2">
        <f>Table1[[#This Row],[Salary_after]]-Table1[[#This Row],[Salary_before]]</f>
        <v>4009.0800000000017</v>
      </c>
      <c r="L32" s="11">
        <v>9.8400000000000001E-2</v>
      </c>
      <c r="M32" s="11">
        <v>2.86E-2</v>
      </c>
      <c r="N32">
        <v>95.03</v>
      </c>
      <c r="O32">
        <v>46.74</v>
      </c>
      <c r="P32">
        <v>1</v>
      </c>
      <c r="Q32" t="s">
        <v>25</v>
      </c>
      <c r="R32">
        <v>59.454999999999998</v>
      </c>
      <c r="S32">
        <v>9.84</v>
      </c>
      <c r="T32" s="4">
        <v>42.652999999999999</v>
      </c>
      <c r="U32" s="4">
        <v>18.826872000000002</v>
      </c>
      <c r="V32" t="str">
        <f>IF(Table1[[#This Row],[ai_disruption_intensity]]&gt;70,"High",
IF(Table1[[#This Row],[ai_disruption_intensity]]&gt;40,"Medium","Low"))</f>
        <v>Low</v>
      </c>
      <c r="W32" t="str">
        <f>IF(Table1[[#This Row],[skill_gap_index]]&gt;70,"Large Gap",
IF(Table1[[#This Row],[skill_gap_index]]&gt;40,"Medium Gap","Small Gap"))</f>
        <v>Large Gap</v>
      </c>
      <c r="X32" s="3" t="str">
        <f>IF(Table1[[#This Row],[automation_risk_percent]]&gt;0.7,"Highly Automatable",
IF(Table1[[#This Row],[automation_risk_percent]]&gt;0.4,"Moderate Risk","Safe Job"))</f>
        <v>Moderate Risk</v>
      </c>
    </row>
    <row r="33" spans="1:24" x14ac:dyDescent="0.3">
      <c r="A33">
        <v>128</v>
      </c>
      <c r="B33" t="s">
        <v>18</v>
      </c>
      <c r="C33" t="s">
        <v>34</v>
      </c>
      <c r="D33" t="s">
        <v>42</v>
      </c>
      <c r="E33" s="1">
        <v>2025</v>
      </c>
      <c r="F33" s="11">
        <v>0.52939999999999998</v>
      </c>
      <c r="G33">
        <v>45.89</v>
      </c>
      <c r="H33">
        <v>99.12</v>
      </c>
      <c r="I33" s="2">
        <v>57800.6</v>
      </c>
      <c r="J33" s="2">
        <v>58762.71</v>
      </c>
      <c r="K33" s="2">
        <f>Table1[[#This Row],[Salary_after]]-Table1[[#This Row],[Salary_before]]</f>
        <v>962.11000000000058</v>
      </c>
      <c r="L33" s="11">
        <v>1.66E-2</v>
      </c>
      <c r="M33" s="11">
        <v>9.9199999999999997E-2</v>
      </c>
      <c r="N33">
        <v>64.7</v>
      </c>
      <c r="O33">
        <v>51.27</v>
      </c>
      <c r="P33">
        <v>3</v>
      </c>
      <c r="Q33" t="s">
        <v>25</v>
      </c>
      <c r="R33">
        <v>76.03</v>
      </c>
      <c r="S33">
        <v>1.66</v>
      </c>
      <c r="T33" s="4">
        <v>51.41</v>
      </c>
      <c r="U33" s="4">
        <v>27.142337999999999</v>
      </c>
      <c r="V33" t="str">
        <f>IF(Table1[[#This Row],[ai_disruption_intensity]]&gt;70,"High",
IF(Table1[[#This Row],[ai_disruption_intensity]]&gt;40,"Medium","Low"))</f>
        <v>Low</v>
      </c>
      <c r="W33" t="str">
        <f>IF(Table1[[#This Row],[skill_gap_index]]&gt;70,"Large Gap",
IF(Table1[[#This Row],[skill_gap_index]]&gt;40,"Medium Gap","Small Gap"))</f>
        <v>Large Gap</v>
      </c>
      <c r="X33" s="3" t="str">
        <f>IF(Table1[[#This Row],[automation_risk_percent]]&gt;0.7,"Highly Automatable",
IF(Table1[[#This Row],[automation_risk_percent]]&gt;0.4,"Moderate Risk","Safe Job"))</f>
        <v>Moderate Risk</v>
      </c>
    </row>
    <row r="34" spans="1:24" x14ac:dyDescent="0.3">
      <c r="A34">
        <v>129</v>
      </c>
      <c r="B34" t="s">
        <v>39</v>
      </c>
      <c r="C34" t="s">
        <v>27</v>
      </c>
      <c r="D34" t="s">
        <v>31</v>
      </c>
      <c r="E34" s="1">
        <v>2026</v>
      </c>
      <c r="F34" s="11">
        <v>0.26150000000000001</v>
      </c>
      <c r="G34">
        <v>22.76</v>
      </c>
      <c r="H34">
        <v>22.05</v>
      </c>
      <c r="I34" s="2">
        <v>52372.59</v>
      </c>
      <c r="J34" s="2">
        <v>49034.43</v>
      </c>
      <c r="K34" s="2">
        <f>Table1[[#This Row],[Salary_after]]-Table1[[#This Row],[Salary_before]]</f>
        <v>-3338.1599999999962</v>
      </c>
      <c r="L34" s="11">
        <v>-6.3700000000000007E-2</v>
      </c>
      <c r="M34" s="11">
        <v>0.16889999999999999</v>
      </c>
      <c r="N34">
        <v>15.21</v>
      </c>
      <c r="O34">
        <v>96.91</v>
      </c>
      <c r="P34">
        <v>2</v>
      </c>
      <c r="Q34" t="s">
        <v>21</v>
      </c>
      <c r="R34">
        <v>24.1</v>
      </c>
      <c r="S34">
        <v>6.37</v>
      </c>
      <c r="T34" s="4">
        <v>18.986000000000001</v>
      </c>
      <c r="U34" s="4">
        <v>25.341964999999899</v>
      </c>
      <c r="V34" t="str">
        <f>IF(Table1[[#This Row],[ai_disruption_intensity]]&gt;70,"High",
IF(Table1[[#This Row],[ai_disruption_intensity]]&gt;40,"Medium","Low"))</f>
        <v>Low</v>
      </c>
      <c r="W34" t="str">
        <f>IF(Table1[[#This Row],[skill_gap_index]]&gt;70,"Large Gap",
IF(Table1[[#This Row],[skill_gap_index]]&gt;40,"Medium Gap","Small Gap"))</f>
        <v>Small Gap</v>
      </c>
      <c r="X34" s="3" t="str">
        <f>IF(Table1[[#This Row],[automation_risk_percent]]&gt;0.7,"Highly Automatable",
IF(Table1[[#This Row],[automation_risk_percent]]&gt;0.4,"Moderate Risk","Safe Job"))</f>
        <v>Safe Job</v>
      </c>
    </row>
    <row r="35" spans="1:24" x14ac:dyDescent="0.3">
      <c r="A35">
        <v>132</v>
      </c>
      <c r="B35" t="s">
        <v>29</v>
      </c>
      <c r="C35" t="s">
        <v>30</v>
      </c>
      <c r="D35" t="s">
        <v>35</v>
      </c>
      <c r="E35" s="1">
        <v>2026</v>
      </c>
      <c r="F35" s="11">
        <v>0.43590000000000001</v>
      </c>
      <c r="G35">
        <v>37.130000000000003</v>
      </c>
      <c r="H35">
        <v>88.87</v>
      </c>
      <c r="I35" s="2">
        <v>144678.18</v>
      </c>
      <c r="J35" s="2">
        <v>148814.03</v>
      </c>
      <c r="K35" s="2">
        <f>Table1[[#This Row],[Salary_after]]-Table1[[#This Row],[Salary_before]]</f>
        <v>4135.8500000000058</v>
      </c>
      <c r="L35" s="11">
        <v>2.86E-2</v>
      </c>
      <c r="M35" s="11">
        <v>8.3400000000000002E-2</v>
      </c>
      <c r="N35">
        <v>68.97</v>
      </c>
      <c r="O35">
        <v>55.09</v>
      </c>
      <c r="P35">
        <v>5</v>
      </c>
      <c r="Q35" t="s">
        <v>25</v>
      </c>
      <c r="R35">
        <v>66.23</v>
      </c>
      <c r="S35">
        <v>2.86</v>
      </c>
      <c r="T35" s="4">
        <v>44.954999999999998</v>
      </c>
      <c r="U35" s="4">
        <v>24.013731</v>
      </c>
      <c r="V35" t="str">
        <f>IF(Table1[[#This Row],[ai_disruption_intensity]]&gt;70,"High",
IF(Table1[[#This Row],[ai_disruption_intensity]]&gt;40,"Medium","Low"))</f>
        <v>Low</v>
      </c>
      <c r="W35" t="str">
        <f>IF(Table1[[#This Row],[skill_gap_index]]&gt;70,"Large Gap",
IF(Table1[[#This Row],[skill_gap_index]]&gt;40,"Medium Gap","Small Gap"))</f>
        <v>Large Gap</v>
      </c>
      <c r="X35" s="3" t="str">
        <f>IF(Table1[[#This Row],[automation_risk_percent]]&gt;0.7,"Highly Automatable",
IF(Table1[[#This Row],[automation_risk_percent]]&gt;0.4,"Moderate Risk","Safe Job"))</f>
        <v>Moderate Risk</v>
      </c>
    </row>
    <row r="36" spans="1:24" x14ac:dyDescent="0.3">
      <c r="A36">
        <v>134</v>
      </c>
      <c r="B36" t="s">
        <v>39</v>
      </c>
      <c r="C36" t="s">
        <v>30</v>
      </c>
      <c r="D36" t="s">
        <v>28</v>
      </c>
      <c r="E36" s="1">
        <v>2025</v>
      </c>
      <c r="F36" s="11">
        <v>0.57830000000000004</v>
      </c>
      <c r="G36">
        <v>48.02</v>
      </c>
      <c r="H36">
        <v>85.12</v>
      </c>
      <c r="I36" s="2">
        <v>89417.58</v>
      </c>
      <c r="J36" s="2">
        <v>112012.8</v>
      </c>
      <c r="K36" s="2">
        <f>Table1[[#This Row],[Salary_after]]-Table1[[#This Row],[Salary_before]]</f>
        <v>22595.22</v>
      </c>
      <c r="L36" s="11">
        <v>0.25269999999999998</v>
      </c>
      <c r="M36" s="11">
        <v>-3.0999999999999999E-3</v>
      </c>
      <c r="N36">
        <v>84.22</v>
      </c>
      <c r="O36">
        <v>34.78</v>
      </c>
      <c r="P36">
        <v>3</v>
      </c>
      <c r="Q36" t="s">
        <v>25</v>
      </c>
      <c r="R36">
        <v>71.474999999999994</v>
      </c>
      <c r="S36">
        <v>25.27</v>
      </c>
      <c r="T36" s="4">
        <v>56.249000000000002</v>
      </c>
      <c r="U36" s="4">
        <v>20.113274000000001</v>
      </c>
      <c r="V36" t="str">
        <f>IF(Table1[[#This Row],[ai_disruption_intensity]]&gt;70,"High",
IF(Table1[[#This Row],[ai_disruption_intensity]]&gt;40,"Medium","Low"))</f>
        <v>Low</v>
      </c>
      <c r="W36" t="str">
        <f>IF(Table1[[#This Row],[skill_gap_index]]&gt;70,"Large Gap",
IF(Table1[[#This Row],[skill_gap_index]]&gt;40,"Medium Gap","Small Gap"))</f>
        <v>Large Gap</v>
      </c>
      <c r="X36" s="3" t="str">
        <f>IF(Table1[[#This Row],[automation_risk_percent]]&gt;0.7,"Highly Automatable",
IF(Table1[[#This Row],[automation_risk_percent]]&gt;0.4,"Moderate Risk","Safe Job"))</f>
        <v>Moderate Risk</v>
      </c>
    </row>
    <row r="37" spans="1:24" x14ac:dyDescent="0.3">
      <c r="A37">
        <v>137</v>
      </c>
      <c r="B37" t="s">
        <v>45</v>
      </c>
      <c r="C37" t="s">
        <v>19</v>
      </c>
      <c r="D37" t="s">
        <v>28</v>
      </c>
      <c r="E37" s="1">
        <v>2026</v>
      </c>
      <c r="F37" s="11">
        <v>0.71030000000000004</v>
      </c>
      <c r="G37">
        <v>57.65</v>
      </c>
      <c r="H37">
        <v>82.58</v>
      </c>
      <c r="I37" s="2">
        <v>45464.38</v>
      </c>
      <c r="J37" s="2">
        <v>50949.7</v>
      </c>
      <c r="K37" s="2">
        <f>Table1[[#This Row],[Salary_after]]-Table1[[#This Row],[Salary_before]]</f>
        <v>5485.32</v>
      </c>
      <c r="L37" s="11">
        <v>0.1207</v>
      </c>
      <c r="M37" s="11">
        <v>-3.1699999999999999E-2</v>
      </c>
      <c r="N37">
        <v>24.47</v>
      </c>
      <c r="O37">
        <v>81.8</v>
      </c>
      <c r="P37">
        <v>4</v>
      </c>
      <c r="Q37" t="s">
        <v>37</v>
      </c>
      <c r="R37">
        <v>76.805000000000007</v>
      </c>
      <c r="S37">
        <v>12.07</v>
      </c>
      <c r="T37" s="4">
        <v>56.807000000000002</v>
      </c>
      <c r="U37" s="4">
        <v>58.102539999999998</v>
      </c>
      <c r="V37" t="str">
        <f>IF(Table1[[#This Row],[ai_disruption_intensity]]&gt;70,"High",
IF(Table1[[#This Row],[ai_disruption_intensity]]&gt;40,"Medium","Low"))</f>
        <v>Medium</v>
      </c>
      <c r="W37" t="str">
        <f>IF(Table1[[#This Row],[skill_gap_index]]&gt;70,"Large Gap",
IF(Table1[[#This Row],[skill_gap_index]]&gt;40,"Medium Gap","Small Gap"))</f>
        <v>Large Gap</v>
      </c>
      <c r="X37" s="3" t="str">
        <f>IF(Table1[[#This Row],[automation_risk_percent]]&gt;0.7,"Highly Automatable",
IF(Table1[[#This Row],[automation_risk_percent]]&gt;0.4,"Moderate Risk","Safe Job"))</f>
        <v>Highly Automatable</v>
      </c>
    </row>
    <row r="38" spans="1:24" x14ac:dyDescent="0.3">
      <c r="A38">
        <v>145</v>
      </c>
      <c r="B38" t="s">
        <v>41</v>
      </c>
      <c r="C38" t="s">
        <v>40</v>
      </c>
      <c r="D38" t="s">
        <v>42</v>
      </c>
      <c r="E38" s="1">
        <v>2026</v>
      </c>
      <c r="F38" s="11">
        <v>0.52829999999999999</v>
      </c>
      <c r="G38">
        <v>48.06</v>
      </c>
      <c r="H38">
        <v>98.4</v>
      </c>
      <c r="I38" s="2">
        <v>79120.08</v>
      </c>
      <c r="J38" s="2">
        <v>77211.42</v>
      </c>
      <c r="K38" s="2">
        <f>Table1[[#This Row],[Salary_after]]-Table1[[#This Row],[Salary_before]]</f>
        <v>-1908.6600000000035</v>
      </c>
      <c r="L38" s="11">
        <v>-2.41E-2</v>
      </c>
      <c r="M38" s="11">
        <v>8.5199999999999998E-2</v>
      </c>
      <c r="N38">
        <v>29.18</v>
      </c>
      <c r="O38">
        <v>3.11</v>
      </c>
      <c r="P38">
        <v>1</v>
      </c>
      <c r="Q38" t="s">
        <v>25</v>
      </c>
      <c r="R38">
        <v>75.614999999999995</v>
      </c>
      <c r="S38">
        <v>2.41</v>
      </c>
      <c r="T38" s="4">
        <v>51.375</v>
      </c>
      <c r="U38" s="4">
        <v>1.6430130000000001</v>
      </c>
      <c r="V38" t="str">
        <f>IF(Table1[[#This Row],[ai_disruption_intensity]]&gt;70,"High",
IF(Table1[[#This Row],[ai_disruption_intensity]]&gt;40,"Medium","Low"))</f>
        <v>Low</v>
      </c>
      <c r="W38" t="str">
        <f>IF(Table1[[#This Row],[skill_gap_index]]&gt;70,"Large Gap",
IF(Table1[[#This Row],[skill_gap_index]]&gt;40,"Medium Gap","Small Gap"))</f>
        <v>Large Gap</v>
      </c>
      <c r="X38" s="3" t="str">
        <f>IF(Table1[[#This Row],[automation_risk_percent]]&gt;0.7,"Highly Automatable",
IF(Table1[[#This Row],[automation_risk_percent]]&gt;0.4,"Moderate Risk","Safe Job"))</f>
        <v>Moderate Risk</v>
      </c>
    </row>
    <row r="39" spans="1:24" x14ac:dyDescent="0.3">
      <c r="A39">
        <v>151</v>
      </c>
      <c r="B39" t="s">
        <v>44</v>
      </c>
      <c r="C39" t="s">
        <v>34</v>
      </c>
      <c r="D39" t="s">
        <v>24</v>
      </c>
      <c r="E39" s="1">
        <v>2025</v>
      </c>
      <c r="F39" s="11">
        <v>0.19969999999999999</v>
      </c>
      <c r="G39">
        <v>19.97</v>
      </c>
      <c r="H39">
        <v>61.82</v>
      </c>
      <c r="I39" s="2">
        <v>114295.8</v>
      </c>
      <c r="J39" s="2">
        <v>111770.27</v>
      </c>
      <c r="K39" s="2">
        <f>Table1[[#This Row],[Salary_after]]-Table1[[#This Row],[Salary_before]]</f>
        <v>-2525.5299999999988</v>
      </c>
      <c r="L39" s="11">
        <v>-2.2099999999999998E-2</v>
      </c>
      <c r="M39" s="11">
        <v>5.2699999999999997E-2</v>
      </c>
      <c r="N39">
        <v>39.380000000000003</v>
      </c>
      <c r="O39">
        <v>51.77</v>
      </c>
      <c r="P39">
        <v>4</v>
      </c>
      <c r="Q39" t="s">
        <v>21</v>
      </c>
      <c r="R39">
        <v>40.894999999999897</v>
      </c>
      <c r="S39">
        <v>2.21</v>
      </c>
      <c r="T39" s="4">
        <v>27.196999999999999</v>
      </c>
      <c r="U39" s="4">
        <v>10.338469</v>
      </c>
      <c r="V39" t="str">
        <f>IF(Table1[[#This Row],[ai_disruption_intensity]]&gt;70,"High",
IF(Table1[[#This Row],[ai_disruption_intensity]]&gt;40,"Medium","Low"))</f>
        <v>Low</v>
      </c>
      <c r="W39" t="str">
        <f>IF(Table1[[#This Row],[skill_gap_index]]&gt;70,"Large Gap",
IF(Table1[[#This Row],[skill_gap_index]]&gt;40,"Medium Gap","Small Gap"))</f>
        <v>Medium Gap</v>
      </c>
      <c r="X39" s="3" t="str">
        <f>IF(Table1[[#This Row],[automation_risk_percent]]&gt;0.7,"Highly Automatable",
IF(Table1[[#This Row],[automation_risk_percent]]&gt;0.4,"Moderate Risk","Safe Job"))</f>
        <v>Safe Job</v>
      </c>
    </row>
    <row r="40" spans="1:24" x14ac:dyDescent="0.3">
      <c r="A40">
        <v>152</v>
      </c>
      <c r="B40" t="s">
        <v>22</v>
      </c>
      <c r="C40" t="s">
        <v>19</v>
      </c>
      <c r="D40" t="s">
        <v>31</v>
      </c>
      <c r="E40" s="1">
        <v>2026</v>
      </c>
      <c r="F40" s="11">
        <v>0.16149999999999998</v>
      </c>
      <c r="G40">
        <v>15.19</v>
      </c>
      <c r="H40">
        <v>3.32</v>
      </c>
      <c r="I40" s="2">
        <v>39429.42</v>
      </c>
      <c r="J40" s="2">
        <v>35480.089999999997</v>
      </c>
      <c r="K40" s="2">
        <f>Table1[[#This Row],[Salary_after]]-Table1[[#This Row],[Salary_before]]</f>
        <v>-3949.3300000000017</v>
      </c>
      <c r="L40" s="11">
        <v>-0.1002</v>
      </c>
      <c r="M40" s="11">
        <v>2.1899999999999999E-2</v>
      </c>
      <c r="N40">
        <v>61.08</v>
      </c>
      <c r="O40">
        <v>68.95</v>
      </c>
      <c r="P40">
        <v>2</v>
      </c>
      <c r="Q40" t="s">
        <v>21</v>
      </c>
      <c r="R40">
        <v>9.7349999999999994</v>
      </c>
      <c r="S40">
        <v>10.02</v>
      </c>
      <c r="T40" s="4">
        <v>10.462</v>
      </c>
      <c r="U40" s="4">
        <v>11.135425</v>
      </c>
      <c r="V40" t="str">
        <f>IF(Table1[[#This Row],[ai_disruption_intensity]]&gt;70,"High",
IF(Table1[[#This Row],[ai_disruption_intensity]]&gt;40,"Medium","Low"))</f>
        <v>Low</v>
      </c>
      <c r="W40" t="str">
        <f>IF(Table1[[#This Row],[skill_gap_index]]&gt;70,"Large Gap",
IF(Table1[[#This Row],[skill_gap_index]]&gt;40,"Medium Gap","Small Gap"))</f>
        <v>Small Gap</v>
      </c>
      <c r="X40" s="3" t="str">
        <f>IF(Table1[[#This Row],[automation_risk_percent]]&gt;0.7,"Highly Automatable",
IF(Table1[[#This Row],[automation_risk_percent]]&gt;0.4,"Moderate Risk","Safe Job"))</f>
        <v>Safe Job</v>
      </c>
    </row>
    <row r="41" spans="1:24" x14ac:dyDescent="0.3">
      <c r="A41">
        <v>155</v>
      </c>
      <c r="B41" t="s">
        <v>45</v>
      </c>
      <c r="C41" t="s">
        <v>19</v>
      </c>
      <c r="D41" t="s">
        <v>32</v>
      </c>
      <c r="E41" s="1">
        <v>2025</v>
      </c>
      <c r="F41" s="11">
        <v>0.15609999999999999</v>
      </c>
      <c r="G41">
        <v>18.07</v>
      </c>
      <c r="H41">
        <v>54.76</v>
      </c>
      <c r="I41" s="2">
        <v>128075.73</v>
      </c>
      <c r="J41" s="2">
        <v>154654.79</v>
      </c>
      <c r="K41" s="2">
        <f>Table1[[#This Row],[Salary_after]]-Table1[[#This Row],[Salary_before]]</f>
        <v>26579.060000000012</v>
      </c>
      <c r="L41" s="11">
        <v>0.20749999999999999</v>
      </c>
      <c r="M41" s="11">
        <v>-1.89E-2</v>
      </c>
      <c r="N41">
        <v>57.38</v>
      </c>
      <c r="O41">
        <v>73.16</v>
      </c>
      <c r="P41">
        <v>4</v>
      </c>
      <c r="Q41" t="s">
        <v>21</v>
      </c>
      <c r="R41">
        <v>35.185000000000002</v>
      </c>
      <c r="S41">
        <v>20.75</v>
      </c>
      <c r="T41" s="4">
        <v>28.896999999999998</v>
      </c>
      <c r="U41" s="4">
        <v>11.420275999999999</v>
      </c>
      <c r="V41" t="str">
        <f>IF(Table1[[#This Row],[ai_disruption_intensity]]&gt;70,"High",
IF(Table1[[#This Row],[ai_disruption_intensity]]&gt;40,"Medium","Low"))</f>
        <v>Low</v>
      </c>
      <c r="W41" t="str">
        <f>IF(Table1[[#This Row],[skill_gap_index]]&gt;70,"Large Gap",
IF(Table1[[#This Row],[skill_gap_index]]&gt;40,"Medium Gap","Small Gap"))</f>
        <v>Medium Gap</v>
      </c>
      <c r="X41" s="3" t="str">
        <f>IF(Table1[[#This Row],[automation_risk_percent]]&gt;0.7,"Highly Automatable",
IF(Table1[[#This Row],[automation_risk_percent]]&gt;0.4,"Moderate Risk","Safe Job"))</f>
        <v>Safe Job</v>
      </c>
    </row>
    <row r="42" spans="1:24" x14ac:dyDescent="0.3">
      <c r="A42">
        <v>163</v>
      </c>
      <c r="B42" t="s">
        <v>18</v>
      </c>
      <c r="C42" t="s">
        <v>33</v>
      </c>
      <c r="D42" t="s">
        <v>31</v>
      </c>
      <c r="E42" s="1">
        <v>2026</v>
      </c>
      <c r="F42" s="11">
        <v>0.35149999999999998</v>
      </c>
      <c r="G42">
        <v>36.450000000000003</v>
      </c>
      <c r="H42">
        <v>16.350000000000001</v>
      </c>
      <c r="I42" s="2">
        <v>76929.78</v>
      </c>
      <c r="J42" s="2">
        <v>66969.83</v>
      </c>
      <c r="K42" s="2">
        <f>Table1[[#This Row],[Salary_after]]-Table1[[#This Row],[Salary_before]]</f>
        <v>-9959.9499999999971</v>
      </c>
      <c r="L42" s="11">
        <v>-0.1295</v>
      </c>
      <c r="M42" s="11">
        <v>0.1661</v>
      </c>
      <c r="N42">
        <v>79.61</v>
      </c>
      <c r="O42">
        <v>13.09</v>
      </c>
      <c r="P42">
        <v>2</v>
      </c>
      <c r="Q42" t="s">
        <v>25</v>
      </c>
      <c r="R42">
        <v>25.75</v>
      </c>
      <c r="S42">
        <v>12.95</v>
      </c>
      <c r="T42" s="4">
        <v>22.85</v>
      </c>
      <c r="U42" s="4">
        <v>4.6011350000000002</v>
      </c>
      <c r="V42" t="str">
        <f>IF(Table1[[#This Row],[ai_disruption_intensity]]&gt;70,"High",
IF(Table1[[#This Row],[ai_disruption_intensity]]&gt;40,"Medium","Low"))</f>
        <v>Low</v>
      </c>
      <c r="W42" t="str">
        <f>IF(Table1[[#This Row],[skill_gap_index]]&gt;70,"Large Gap",
IF(Table1[[#This Row],[skill_gap_index]]&gt;40,"Medium Gap","Small Gap"))</f>
        <v>Small Gap</v>
      </c>
      <c r="X42" s="3" t="str">
        <f>IF(Table1[[#This Row],[automation_risk_percent]]&gt;0.7,"Highly Automatable",
IF(Table1[[#This Row],[automation_risk_percent]]&gt;0.4,"Moderate Risk","Safe Job"))</f>
        <v>Safe Job</v>
      </c>
    </row>
    <row r="43" spans="1:24" x14ac:dyDescent="0.3">
      <c r="A43">
        <v>169</v>
      </c>
      <c r="B43" t="s">
        <v>29</v>
      </c>
      <c r="C43" t="s">
        <v>27</v>
      </c>
      <c r="D43" t="s">
        <v>35</v>
      </c>
      <c r="E43" s="1">
        <v>2026</v>
      </c>
      <c r="F43" s="11">
        <v>0.59219999999999995</v>
      </c>
      <c r="G43">
        <v>63.17</v>
      </c>
      <c r="H43">
        <v>13.97</v>
      </c>
      <c r="I43" s="2">
        <v>33596.83</v>
      </c>
      <c r="J43" s="2">
        <v>37319.97</v>
      </c>
      <c r="K43" s="2">
        <f>Table1[[#This Row],[Salary_after]]-Table1[[#This Row],[Salary_before]]</f>
        <v>3723.1399999999994</v>
      </c>
      <c r="L43" s="11">
        <v>0.1108</v>
      </c>
      <c r="M43" s="11">
        <v>-5.4000000000000006E-2</v>
      </c>
      <c r="N43">
        <v>28.17</v>
      </c>
      <c r="O43">
        <v>67.34</v>
      </c>
      <c r="P43">
        <v>2</v>
      </c>
      <c r="Q43" t="s">
        <v>25</v>
      </c>
      <c r="R43">
        <v>36.594999999999999</v>
      </c>
      <c r="S43">
        <v>11.08</v>
      </c>
      <c r="T43" s="4">
        <v>31.202999999999999</v>
      </c>
      <c r="U43" s="4">
        <v>39.878748000000002</v>
      </c>
      <c r="V43" t="str">
        <f>IF(Table1[[#This Row],[ai_disruption_intensity]]&gt;70,"High",
IF(Table1[[#This Row],[ai_disruption_intensity]]&gt;40,"Medium","Low"))</f>
        <v>Low</v>
      </c>
      <c r="W43" t="str">
        <f>IF(Table1[[#This Row],[skill_gap_index]]&gt;70,"Large Gap",
IF(Table1[[#This Row],[skill_gap_index]]&gt;40,"Medium Gap","Small Gap"))</f>
        <v>Small Gap</v>
      </c>
      <c r="X43" s="3" t="str">
        <f>IF(Table1[[#This Row],[automation_risk_percent]]&gt;0.7,"Highly Automatable",
IF(Table1[[#This Row],[automation_risk_percent]]&gt;0.4,"Moderate Risk","Safe Job"))</f>
        <v>Moderate Risk</v>
      </c>
    </row>
    <row r="44" spans="1:24" x14ac:dyDescent="0.3">
      <c r="A44">
        <v>170</v>
      </c>
      <c r="B44" t="s">
        <v>26</v>
      </c>
      <c r="C44" t="s">
        <v>33</v>
      </c>
      <c r="D44" t="s">
        <v>32</v>
      </c>
      <c r="E44" s="1">
        <v>2026</v>
      </c>
      <c r="F44" s="11">
        <v>0.67890000000000006</v>
      </c>
      <c r="G44">
        <v>56.87</v>
      </c>
      <c r="H44">
        <v>67.260000000000005</v>
      </c>
      <c r="I44" s="2">
        <v>83250.03</v>
      </c>
      <c r="J44" s="2">
        <v>81662.59</v>
      </c>
      <c r="K44" s="2">
        <f>Table1[[#This Row],[Salary_after]]-Table1[[#This Row],[Salary_before]]</f>
        <v>-1587.4400000000023</v>
      </c>
      <c r="L44" s="11">
        <v>-1.9099999999999999E-2</v>
      </c>
      <c r="M44" s="11">
        <v>7.17E-2</v>
      </c>
      <c r="N44">
        <v>72.34</v>
      </c>
      <c r="O44">
        <v>83.81</v>
      </c>
      <c r="P44">
        <v>3</v>
      </c>
      <c r="Q44" t="s">
        <v>37</v>
      </c>
      <c r="R44">
        <v>67.575000000000003</v>
      </c>
      <c r="S44">
        <v>1.91</v>
      </c>
      <c r="T44" s="4">
        <v>47.906999999999996</v>
      </c>
      <c r="U44" s="4">
        <v>56.898609</v>
      </c>
      <c r="V44" t="str">
        <f>IF(Table1[[#This Row],[ai_disruption_intensity]]&gt;70,"High",
IF(Table1[[#This Row],[ai_disruption_intensity]]&gt;40,"Medium","Low"))</f>
        <v>Medium</v>
      </c>
      <c r="W44" t="str">
        <f>IF(Table1[[#This Row],[skill_gap_index]]&gt;70,"Large Gap",
IF(Table1[[#This Row],[skill_gap_index]]&gt;40,"Medium Gap","Small Gap"))</f>
        <v>Medium Gap</v>
      </c>
      <c r="X44" s="3" t="str">
        <f>IF(Table1[[#This Row],[automation_risk_percent]]&gt;0.7,"Highly Automatable",
IF(Table1[[#This Row],[automation_risk_percent]]&gt;0.4,"Moderate Risk","Safe Job"))</f>
        <v>Moderate Risk</v>
      </c>
    </row>
    <row r="45" spans="1:24" x14ac:dyDescent="0.3">
      <c r="A45">
        <v>176</v>
      </c>
      <c r="B45" t="s">
        <v>44</v>
      </c>
      <c r="C45" t="s">
        <v>40</v>
      </c>
      <c r="D45" t="s">
        <v>28</v>
      </c>
      <c r="E45" s="1">
        <v>2025</v>
      </c>
      <c r="F45" s="11">
        <v>0.37200000000000005</v>
      </c>
      <c r="G45">
        <v>36.44</v>
      </c>
      <c r="H45">
        <v>23.75</v>
      </c>
      <c r="I45" s="2">
        <v>74790.210000000006</v>
      </c>
      <c r="J45" s="2">
        <v>87070.88</v>
      </c>
      <c r="K45" s="2">
        <f>Table1[[#This Row],[Salary_after]]-Table1[[#This Row],[Salary_before]]</f>
        <v>12280.669999999998</v>
      </c>
      <c r="L45" s="11">
        <v>0.16420000000000001</v>
      </c>
      <c r="M45" s="11">
        <v>0.151</v>
      </c>
      <c r="N45">
        <v>65.75</v>
      </c>
      <c r="O45">
        <v>46.35</v>
      </c>
      <c r="P45">
        <v>4</v>
      </c>
      <c r="Q45" t="s">
        <v>25</v>
      </c>
      <c r="R45">
        <v>30.475000000000001</v>
      </c>
      <c r="S45">
        <v>16.420000000000002</v>
      </c>
      <c r="T45" s="4">
        <v>26.931000000000001</v>
      </c>
      <c r="U45" s="4">
        <v>17.2422</v>
      </c>
      <c r="V45" t="str">
        <f>IF(Table1[[#This Row],[ai_disruption_intensity]]&gt;70,"High",
IF(Table1[[#This Row],[ai_disruption_intensity]]&gt;40,"Medium","Low"))</f>
        <v>Low</v>
      </c>
      <c r="W45" t="str">
        <f>IF(Table1[[#This Row],[skill_gap_index]]&gt;70,"Large Gap",
IF(Table1[[#This Row],[skill_gap_index]]&gt;40,"Medium Gap","Small Gap"))</f>
        <v>Small Gap</v>
      </c>
      <c r="X45" s="3" t="str">
        <f>IF(Table1[[#This Row],[automation_risk_percent]]&gt;0.7,"Highly Automatable",
IF(Table1[[#This Row],[automation_risk_percent]]&gt;0.4,"Moderate Risk","Safe Job"))</f>
        <v>Safe Job</v>
      </c>
    </row>
    <row r="46" spans="1:24" x14ac:dyDescent="0.3">
      <c r="A46">
        <v>177</v>
      </c>
      <c r="B46" t="s">
        <v>22</v>
      </c>
      <c r="C46" t="s">
        <v>27</v>
      </c>
      <c r="D46" t="s">
        <v>36</v>
      </c>
      <c r="E46" s="1">
        <v>2025</v>
      </c>
      <c r="F46" s="11">
        <v>0.36590000000000006</v>
      </c>
      <c r="G46">
        <v>41.9</v>
      </c>
      <c r="H46">
        <v>51.91</v>
      </c>
      <c r="I46" s="2">
        <v>87501.83</v>
      </c>
      <c r="J46" s="2">
        <v>75342.81</v>
      </c>
      <c r="K46" s="2">
        <f>Table1[[#This Row],[Salary_after]]-Table1[[#This Row],[Salary_before]]</f>
        <v>-12159.020000000004</v>
      </c>
      <c r="L46" s="11">
        <v>-0.13900000000000001</v>
      </c>
      <c r="M46" s="11">
        <v>-0.11449999999999999</v>
      </c>
      <c r="N46">
        <v>62.22</v>
      </c>
      <c r="O46">
        <v>53.36</v>
      </c>
      <c r="P46">
        <v>4</v>
      </c>
      <c r="Q46" t="s">
        <v>25</v>
      </c>
      <c r="R46">
        <v>44.25</v>
      </c>
      <c r="S46">
        <v>13.9</v>
      </c>
      <c r="T46" s="4">
        <v>34.378999999999998</v>
      </c>
      <c r="U46" s="4">
        <v>19.524424</v>
      </c>
      <c r="V46" t="str">
        <f>IF(Table1[[#This Row],[ai_disruption_intensity]]&gt;70,"High",
IF(Table1[[#This Row],[ai_disruption_intensity]]&gt;40,"Medium","Low"))</f>
        <v>Low</v>
      </c>
      <c r="W46" t="str">
        <f>IF(Table1[[#This Row],[skill_gap_index]]&gt;70,"Large Gap",
IF(Table1[[#This Row],[skill_gap_index]]&gt;40,"Medium Gap","Small Gap"))</f>
        <v>Medium Gap</v>
      </c>
      <c r="X46" s="3" t="str">
        <f>IF(Table1[[#This Row],[automation_risk_percent]]&gt;0.7,"Highly Automatable",
IF(Table1[[#This Row],[automation_risk_percent]]&gt;0.4,"Moderate Risk","Safe Job"))</f>
        <v>Safe Job</v>
      </c>
    </row>
    <row r="47" spans="1:24" x14ac:dyDescent="0.3">
      <c r="A47">
        <v>180</v>
      </c>
      <c r="B47" t="s">
        <v>41</v>
      </c>
      <c r="C47" t="s">
        <v>19</v>
      </c>
      <c r="D47" t="s">
        <v>36</v>
      </c>
      <c r="E47" s="1">
        <v>2026</v>
      </c>
      <c r="F47" s="11">
        <v>0.81209999999999993</v>
      </c>
      <c r="G47">
        <v>82.48</v>
      </c>
      <c r="H47">
        <v>31.13</v>
      </c>
      <c r="I47" s="2">
        <v>103240.05</v>
      </c>
      <c r="J47" s="2">
        <v>93023.13</v>
      </c>
      <c r="K47" s="2">
        <f>Table1[[#This Row],[Salary_after]]-Table1[[#This Row],[Salary_before]]</f>
        <v>-10216.919999999998</v>
      </c>
      <c r="L47" s="11">
        <v>-9.9000000000000005E-2</v>
      </c>
      <c r="M47" s="11">
        <v>0.14410000000000001</v>
      </c>
      <c r="N47">
        <v>47.22</v>
      </c>
      <c r="O47">
        <v>12.19</v>
      </c>
      <c r="P47">
        <v>5</v>
      </c>
      <c r="Q47" t="s">
        <v>37</v>
      </c>
      <c r="R47">
        <v>56.169999999999902</v>
      </c>
      <c r="S47">
        <v>9.9</v>
      </c>
      <c r="T47" s="4">
        <v>44.792999999999999</v>
      </c>
      <c r="U47" s="4">
        <v>9.8994989999999898</v>
      </c>
      <c r="V47" t="str">
        <f>IF(Table1[[#This Row],[ai_disruption_intensity]]&gt;70,"High",
IF(Table1[[#This Row],[ai_disruption_intensity]]&gt;40,"Medium","Low"))</f>
        <v>Low</v>
      </c>
      <c r="W47" t="str">
        <f>IF(Table1[[#This Row],[skill_gap_index]]&gt;70,"Large Gap",
IF(Table1[[#This Row],[skill_gap_index]]&gt;40,"Medium Gap","Small Gap"))</f>
        <v>Small Gap</v>
      </c>
      <c r="X47" s="3" t="str">
        <f>IF(Table1[[#This Row],[automation_risk_percent]]&gt;0.7,"Highly Automatable",
IF(Table1[[#This Row],[automation_risk_percent]]&gt;0.4,"Moderate Risk","Safe Job"))</f>
        <v>Highly Automatable</v>
      </c>
    </row>
    <row r="48" spans="1:24" x14ac:dyDescent="0.3">
      <c r="A48">
        <v>182</v>
      </c>
      <c r="B48" t="s">
        <v>39</v>
      </c>
      <c r="C48" t="s">
        <v>30</v>
      </c>
      <c r="D48" t="s">
        <v>36</v>
      </c>
      <c r="E48" s="1">
        <v>2026</v>
      </c>
      <c r="F48" s="11">
        <v>0.77400000000000002</v>
      </c>
      <c r="G48">
        <v>76.900000000000006</v>
      </c>
      <c r="H48">
        <v>80.599999999999994</v>
      </c>
      <c r="I48" s="2">
        <v>96027.19</v>
      </c>
      <c r="J48" s="2">
        <v>97229.68</v>
      </c>
      <c r="K48" s="2">
        <f>Table1[[#This Row],[Salary_after]]-Table1[[#This Row],[Salary_before]]</f>
        <v>1202.4899999999907</v>
      </c>
      <c r="L48" s="11">
        <v>1.2500000000000001E-2</v>
      </c>
      <c r="M48" s="11">
        <v>7.0999999999999995E-3</v>
      </c>
      <c r="N48">
        <v>95.63</v>
      </c>
      <c r="O48">
        <v>60.16</v>
      </c>
      <c r="P48">
        <v>5</v>
      </c>
      <c r="Q48" t="s">
        <v>37</v>
      </c>
      <c r="R48">
        <v>79</v>
      </c>
      <c r="S48">
        <v>1.25</v>
      </c>
      <c r="T48" s="4">
        <v>55.515000000000001</v>
      </c>
      <c r="U48" s="4">
        <v>46.563839999999999</v>
      </c>
      <c r="V48" t="str">
        <f>IF(Table1[[#This Row],[ai_disruption_intensity]]&gt;70,"High",
IF(Table1[[#This Row],[ai_disruption_intensity]]&gt;40,"Medium","Low"))</f>
        <v>Medium</v>
      </c>
      <c r="W48" t="str">
        <f>IF(Table1[[#This Row],[skill_gap_index]]&gt;70,"Large Gap",
IF(Table1[[#This Row],[skill_gap_index]]&gt;40,"Medium Gap","Small Gap"))</f>
        <v>Large Gap</v>
      </c>
      <c r="X48" s="3" t="str">
        <f>IF(Table1[[#This Row],[automation_risk_percent]]&gt;0.7,"Highly Automatable",
IF(Table1[[#This Row],[automation_risk_percent]]&gt;0.4,"Moderate Risk","Safe Job"))</f>
        <v>Highly Automatable</v>
      </c>
    </row>
    <row r="49" spans="1:24" x14ac:dyDescent="0.3">
      <c r="A49">
        <v>184</v>
      </c>
      <c r="B49" t="s">
        <v>45</v>
      </c>
      <c r="C49" t="s">
        <v>23</v>
      </c>
      <c r="D49" t="s">
        <v>42</v>
      </c>
      <c r="E49" s="1">
        <v>2025</v>
      </c>
      <c r="F49" s="11">
        <v>0.34740000000000004</v>
      </c>
      <c r="G49">
        <v>31.08</v>
      </c>
      <c r="H49">
        <v>78.05</v>
      </c>
      <c r="I49" s="2">
        <v>62976.72</v>
      </c>
      <c r="J49" s="2">
        <v>61119.23</v>
      </c>
      <c r="K49" s="2">
        <f>Table1[[#This Row],[Salary_after]]-Table1[[#This Row],[Salary_before]]</f>
        <v>-1857.489999999998</v>
      </c>
      <c r="L49" s="11">
        <v>-2.9500000000000002E-2</v>
      </c>
      <c r="M49" s="11">
        <v>0.17480000000000001</v>
      </c>
      <c r="N49">
        <v>70.08</v>
      </c>
      <c r="O49">
        <v>9.5500000000000007</v>
      </c>
      <c r="P49">
        <v>4</v>
      </c>
      <c r="Q49" t="s">
        <v>25</v>
      </c>
      <c r="R49">
        <v>56.394999999999897</v>
      </c>
      <c r="S49">
        <v>2.95</v>
      </c>
      <c r="T49" s="4">
        <v>38.195999999999998</v>
      </c>
      <c r="U49" s="4">
        <v>3.3176700000000001</v>
      </c>
      <c r="V49" t="str">
        <f>IF(Table1[[#This Row],[ai_disruption_intensity]]&gt;70,"High",
IF(Table1[[#This Row],[ai_disruption_intensity]]&gt;40,"Medium","Low"))</f>
        <v>Low</v>
      </c>
      <c r="W49" t="str">
        <f>IF(Table1[[#This Row],[skill_gap_index]]&gt;70,"Large Gap",
IF(Table1[[#This Row],[skill_gap_index]]&gt;40,"Medium Gap","Small Gap"))</f>
        <v>Large Gap</v>
      </c>
      <c r="X49" s="3" t="str">
        <f>IF(Table1[[#This Row],[automation_risk_percent]]&gt;0.7,"Highly Automatable",
IF(Table1[[#This Row],[automation_risk_percent]]&gt;0.4,"Moderate Risk","Safe Job"))</f>
        <v>Safe Job</v>
      </c>
    </row>
    <row r="50" spans="1:24" x14ac:dyDescent="0.3">
      <c r="A50">
        <v>190</v>
      </c>
      <c r="B50" t="s">
        <v>45</v>
      </c>
      <c r="C50" t="s">
        <v>19</v>
      </c>
      <c r="D50" t="s">
        <v>36</v>
      </c>
      <c r="E50" s="1">
        <v>2026</v>
      </c>
      <c r="F50" s="11">
        <v>0.2636</v>
      </c>
      <c r="G50">
        <v>26.78</v>
      </c>
      <c r="H50">
        <v>88.01</v>
      </c>
      <c r="I50" s="2">
        <v>108105.28</v>
      </c>
      <c r="J50" s="2">
        <v>86551.95</v>
      </c>
      <c r="K50" s="2">
        <f>Table1[[#This Row],[Salary_after]]-Table1[[#This Row],[Salary_before]]</f>
        <v>-21553.33</v>
      </c>
      <c r="L50" s="11">
        <v>-0.19940000000000002</v>
      </c>
      <c r="M50" s="11">
        <v>8.7400000000000005E-2</v>
      </c>
      <c r="N50">
        <v>39.97</v>
      </c>
      <c r="O50">
        <v>66.95</v>
      </c>
      <c r="P50">
        <v>4</v>
      </c>
      <c r="Q50" t="s">
        <v>21</v>
      </c>
      <c r="R50">
        <v>57.185000000000002</v>
      </c>
      <c r="S50">
        <v>19.940000000000001</v>
      </c>
      <c r="T50" s="4">
        <v>42.929000000000002</v>
      </c>
      <c r="U50" s="4">
        <v>17.648019999999999</v>
      </c>
      <c r="V50" t="str">
        <f>IF(Table1[[#This Row],[ai_disruption_intensity]]&gt;70,"High",
IF(Table1[[#This Row],[ai_disruption_intensity]]&gt;40,"Medium","Low"))</f>
        <v>Low</v>
      </c>
      <c r="W50" t="str">
        <f>IF(Table1[[#This Row],[skill_gap_index]]&gt;70,"Large Gap",
IF(Table1[[#This Row],[skill_gap_index]]&gt;40,"Medium Gap","Small Gap"))</f>
        <v>Large Gap</v>
      </c>
      <c r="X50" s="3" t="str">
        <f>IF(Table1[[#This Row],[automation_risk_percent]]&gt;0.7,"Highly Automatable",
IF(Table1[[#This Row],[automation_risk_percent]]&gt;0.4,"Moderate Risk","Safe Job"))</f>
        <v>Safe Job</v>
      </c>
    </row>
    <row r="51" spans="1:24" x14ac:dyDescent="0.3">
      <c r="A51">
        <v>192</v>
      </c>
      <c r="B51" t="s">
        <v>43</v>
      </c>
      <c r="C51" t="s">
        <v>34</v>
      </c>
      <c r="D51" t="s">
        <v>28</v>
      </c>
      <c r="E51" s="1">
        <v>2025</v>
      </c>
      <c r="F51" s="11">
        <v>0.22270000000000001</v>
      </c>
      <c r="G51">
        <v>23.96</v>
      </c>
      <c r="H51">
        <v>20.09</v>
      </c>
      <c r="I51" s="2">
        <v>94299.32</v>
      </c>
      <c r="J51" s="2">
        <v>93250.47</v>
      </c>
      <c r="K51" s="2">
        <f>Table1[[#This Row],[Salary_after]]-Table1[[#This Row],[Salary_before]]</f>
        <v>-1048.8500000000058</v>
      </c>
      <c r="L51" s="11">
        <v>-1.11E-2</v>
      </c>
      <c r="M51" s="11">
        <v>-4.0399999999999998E-2</v>
      </c>
      <c r="N51">
        <v>78.05</v>
      </c>
      <c r="O51">
        <v>34.76</v>
      </c>
      <c r="P51">
        <v>2</v>
      </c>
      <c r="Q51" t="s">
        <v>21</v>
      </c>
      <c r="R51">
        <v>21.18</v>
      </c>
      <c r="S51">
        <v>1.1100000000000001</v>
      </c>
      <c r="T51" s="4">
        <v>15.267999999999899</v>
      </c>
      <c r="U51" s="4">
        <v>7.7410519999999998</v>
      </c>
      <c r="V51" t="str">
        <f>IF(Table1[[#This Row],[ai_disruption_intensity]]&gt;70,"High",
IF(Table1[[#This Row],[ai_disruption_intensity]]&gt;40,"Medium","Low"))</f>
        <v>Low</v>
      </c>
      <c r="W51" t="str">
        <f>IF(Table1[[#This Row],[skill_gap_index]]&gt;70,"Large Gap",
IF(Table1[[#This Row],[skill_gap_index]]&gt;40,"Medium Gap","Small Gap"))</f>
        <v>Small Gap</v>
      </c>
      <c r="X51" s="3" t="str">
        <f>IF(Table1[[#This Row],[automation_risk_percent]]&gt;0.7,"Highly Automatable",
IF(Table1[[#This Row],[automation_risk_percent]]&gt;0.4,"Moderate Risk","Safe Job"))</f>
        <v>Safe Job</v>
      </c>
    </row>
    <row r="52" spans="1:24" x14ac:dyDescent="0.3">
      <c r="A52">
        <v>194</v>
      </c>
      <c r="B52" t="s">
        <v>22</v>
      </c>
      <c r="C52" t="s">
        <v>33</v>
      </c>
      <c r="D52" t="s">
        <v>35</v>
      </c>
      <c r="E52" s="1">
        <v>2025</v>
      </c>
      <c r="F52" s="11">
        <v>0.47799999999999998</v>
      </c>
      <c r="G52">
        <v>54.34</v>
      </c>
      <c r="H52">
        <v>52.1</v>
      </c>
      <c r="I52" s="2">
        <v>104830.28</v>
      </c>
      <c r="J52" s="2">
        <v>106843.54</v>
      </c>
      <c r="K52" s="2">
        <f>Table1[[#This Row],[Salary_after]]-Table1[[#This Row],[Salary_before]]</f>
        <v>2013.2599999999948</v>
      </c>
      <c r="L52" s="11">
        <v>1.9199999999999998E-2</v>
      </c>
      <c r="M52" s="11">
        <v>1.9099999999999999E-2</v>
      </c>
      <c r="N52">
        <v>21.49</v>
      </c>
      <c r="O52">
        <v>82.61</v>
      </c>
      <c r="P52">
        <v>3</v>
      </c>
      <c r="Q52" t="s">
        <v>25</v>
      </c>
      <c r="R52">
        <v>49.95</v>
      </c>
      <c r="S52">
        <v>1.92</v>
      </c>
      <c r="T52" s="4">
        <v>35.326000000000001</v>
      </c>
      <c r="U52" s="4">
        <v>39.487580000000001</v>
      </c>
      <c r="V52" t="str">
        <f>IF(Table1[[#This Row],[ai_disruption_intensity]]&gt;70,"High",
IF(Table1[[#This Row],[ai_disruption_intensity]]&gt;40,"Medium","Low"))</f>
        <v>Low</v>
      </c>
      <c r="W52" t="str">
        <f>IF(Table1[[#This Row],[skill_gap_index]]&gt;70,"Large Gap",
IF(Table1[[#This Row],[skill_gap_index]]&gt;40,"Medium Gap","Small Gap"))</f>
        <v>Medium Gap</v>
      </c>
      <c r="X52" s="3" t="str">
        <f>IF(Table1[[#This Row],[automation_risk_percent]]&gt;0.7,"Highly Automatable",
IF(Table1[[#This Row],[automation_risk_percent]]&gt;0.4,"Moderate Risk","Safe Job"))</f>
        <v>Moderate Risk</v>
      </c>
    </row>
    <row r="53" spans="1:24" x14ac:dyDescent="0.3">
      <c r="A53">
        <v>197</v>
      </c>
      <c r="B53" t="s">
        <v>43</v>
      </c>
      <c r="C53" t="s">
        <v>40</v>
      </c>
      <c r="D53" t="s">
        <v>47</v>
      </c>
      <c r="E53" s="1">
        <v>2026</v>
      </c>
      <c r="F53" s="11">
        <v>0.79449999999999998</v>
      </c>
      <c r="G53">
        <v>90.62</v>
      </c>
      <c r="H53">
        <v>20.85</v>
      </c>
      <c r="I53" s="2">
        <v>141671.43</v>
      </c>
      <c r="J53" s="2">
        <v>142830.71</v>
      </c>
      <c r="K53" s="2">
        <f>Table1[[#This Row],[Salary_after]]-Table1[[#This Row],[Salary_before]]</f>
        <v>1159.2799999999988</v>
      </c>
      <c r="L53" s="11">
        <v>8.199999999999999E-3</v>
      </c>
      <c r="M53" s="11">
        <v>4.0099999999999997E-2</v>
      </c>
      <c r="N53">
        <v>44.26</v>
      </c>
      <c r="O53">
        <v>87.8</v>
      </c>
      <c r="P53">
        <v>2</v>
      </c>
      <c r="Q53" t="s">
        <v>37</v>
      </c>
      <c r="R53">
        <v>50.15</v>
      </c>
      <c r="S53">
        <v>0.82</v>
      </c>
      <c r="T53" s="4">
        <v>38.280999999999999</v>
      </c>
      <c r="U53" s="4">
        <v>69.757099999999994</v>
      </c>
      <c r="V53" t="str">
        <f>IF(Table1[[#This Row],[ai_disruption_intensity]]&gt;70,"High",
IF(Table1[[#This Row],[ai_disruption_intensity]]&gt;40,"Medium","Low"))</f>
        <v>Medium</v>
      </c>
      <c r="W53" t="str">
        <f>IF(Table1[[#This Row],[skill_gap_index]]&gt;70,"Large Gap",
IF(Table1[[#This Row],[skill_gap_index]]&gt;40,"Medium Gap","Small Gap"))</f>
        <v>Small Gap</v>
      </c>
      <c r="X53" s="3" t="str">
        <f>IF(Table1[[#This Row],[automation_risk_percent]]&gt;0.7,"Highly Automatable",
IF(Table1[[#This Row],[automation_risk_percent]]&gt;0.4,"Moderate Risk","Safe Job"))</f>
        <v>Highly Automatable</v>
      </c>
    </row>
    <row r="54" spans="1:24" x14ac:dyDescent="0.3">
      <c r="A54">
        <v>198</v>
      </c>
      <c r="B54" t="s">
        <v>29</v>
      </c>
      <c r="C54" t="s">
        <v>38</v>
      </c>
      <c r="D54" t="s">
        <v>24</v>
      </c>
      <c r="E54" s="1">
        <v>2026</v>
      </c>
      <c r="F54" s="11">
        <v>0.85760000000000003</v>
      </c>
      <c r="G54">
        <v>96.26</v>
      </c>
      <c r="H54">
        <v>79</v>
      </c>
      <c r="I54" s="2">
        <v>66561.5</v>
      </c>
      <c r="J54" s="2">
        <v>65396.94</v>
      </c>
      <c r="K54" s="2">
        <f>Table1[[#This Row],[Salary_after]]-Table1[[#This Row],[Salary_before]]</f>
        <v>-1164.5599999999977</v>
      </c>
      <c r="L54" s="11">
        <v>-1.7500000000000002E-2</v>
      </c>
      <c r="M54" s="11">
        <v>-2.5600000000000001E-2</v>
      </c>
      <c r="N54">
        <v>25.62</v>
      </c>
      <c r="O54">
        <v>69.5</v>
      </c>
      <c r="P54">
        <v>4</v>
      </c>
      <c r="Q54" t="s">
        <v>37</v>
      </c>
      <c r="R54">
        <v>82.38</v>
      </c>
      <c r="S54">
        <v>1.75</v>
      </c>
      <c r="T54" s="4">
        <v>58.529000000000003</v>
      </c>
      <c r="U54" s="4">
        <v>59.603200000000001</v>
      </c>
      <c r="V54" t="str">
        <f>IF(Table1[[#This Row],[ai_disruption_intensity]]&gt;70,"High",
IF(Table1[[#This Row],[ai_disruption_intensity]]&gt;40,"Medium","Low"))</f>
        <v>Medium</v>
      </c>
      <c r="W54" t="str">
        <f>IF(Table1[[#This Row],[skill_gap_index]]&gt;70,"Large Gap",
IF(Table1[[#This Row],[skill_gap_index]]&gt;40,"Medium Gap","Small Gap"))</f>
        <v>Large Gap</v>
      </c>
      <c r="X54" s="3" t="str">
        <f>IF(Table1[[#This Row],[automation_risk_percent]]&gt;0.7,"Highly Automatable",
IF(Table1[[#This Row],[automation_risk_percent]]&gt;0.4,"Moderate Risk","Safe Job"))</f>
        <v>Highly Automatable</v>
      </c>
    </row>
    <row r="55" spans="1:24" x14ac:dyDescent="0.3">
      <c r="A55">
        <v>199</v>
      </c>
      <c r="B55" t="s">
        <v>46</v>
      </c>
      <c r="C55" t="s">
        <v>23</v>
      </c>
      <c r="D55" t="s">
        <v>42</v>
      </c>
      <c r="E55" s="1">
        <v>2025</v>
      </c>
      <c r="F55" s="11">
        <v>0.24230000000000002</v>
      </c>
      <c r="G55">
        <v>28.84</v>
      </c>
      <c r="H55">
        <v>64.099999999999994</v>
      </c>
      <c r="I55" s="2">
        <v>128697.67</v>
      </c>
      <c r="J55" s="2">
        <v>128375.58</v>
      </c>
      <c r="K55" s="2">
        <f>Table1[[#This Row],[Salary_after]]-Table1[[#This Row],[Salary_before]]</f>
        <v>-322.08999999999651</v>
      </c>
      <c r="L55" s="11">
        <v>-2.5000000000000001E-3</v>
      </c>
      <c r="M55" s="11">
        <v>0.1318</v>
      </c>
      <c r="N55">
        <v>64.56</v>
      </c>
      <c r="O55">
        <v>76.48</v>
      </c>
      <c r="P55">
        <v>4</v>
      </c>
      <c r="Q55" t="s">
        <v>21</v>
      </c>
      <c r="R55">
        <v>44.164999999999999</v>
      </c>
      <c r="S55">
        <v>0.25</v>
      </c>
      <c r="T55" s="4">
        <v>28.9969999999999</v>
      </c>
      <c r="U55" s="4">
        <v>18.531103999999999</v>
      </c>
      <c r="V55" t="str">
        <f>IF(Table1[[#This Row],[ai_disruption_intensity]]&gt;70,"High",
IF(Table1[[#This Row],[ai_disruption_intensity]]&gt;40,"Medium","Low"))</f>
        <v>Low</v>
      </c>
      <c r="W55" t="str">
        <f>IF(Table1[[#This Row],[skill_gap_index]]&gt;70,"Large Gap",
IF(Table1[[#This Row],[skill_gap_index]]&gt;40,"Medium Gap","Small Gap"))</f>
        <v>Medium Gap</v>
      </c>
      <c r="X55" s="3" t="str">
        <f>IF(Table1[[#This Row],[automation_risk_percent]]&gt;0.7,"Highly Automatable",
IF(Table1[[#This Row],[automation_risk_percent]]&gt;0.4,"Moderate Risk","Safe Job"))</f>
        <v>Safe Job</v>
      </c>
    </row>
    <row r="56" spans="1:24" x14ac:dyDescent="0.3">
      <c r="A56">
        <v>201</v>
      </c>
      <c r="B56" t="s">
        <v>45</v>
      </c>
      <c r="C56" t="s">
        <v>23</v>
      </c>
      <c r="D56" t="s">
        <v>31</v>
      </c>
      <c r="E56" s="1">
        <v>2026</v>
      </c>
      <c r="F56" s="11">
        <v>0.7742</v>
      </c>
      <c r="G56">
        <v>78.95</v>
      </c>
      <c r="H56">
        <v>96.58</v>
      </c>
      <c r="I56" s="2">
        <v>81899.75</v>
      </c>
      <c r="J56" s="2">
        <v>82427.789999999994</v>
      </c>
      <c r="K56" s="2">
        <f>Table1[[#This Row],[Salary_after]]-Table1[[#This Row],[Salary_before]]</f>
        <v>528.0399999999936</v>
      </c>
      <c r="L56" s="11">
        <v>6.4000000000000003E-3</v>
      </c>
      <c r="M56" s="11">
        <v>-0.14749999999999999</v>
      </c>
      <c r="N56">
        <v>49.56</v>
      </c>
      <c r="O56">
        <v>10.57</v>
      </c>
      <c r="P56">
        <v>4</v>
      </c>
      <c r="Q56" t="s">
        <v>37</v>
      </c>
      <c r="R56">
        <v>87</v>
      </c>
      <c r="S56">
        <v>0.64</v>
      </c>
      <c r="T56" s="4">
        <v>60.134</v>
      </c>
      <c r="U56" s="4">
        <v>8.1832940000000001</v>
      </c>
      <c r="V56" t="str">
        <f>IF(Table1[[#This Row],[ai_disruption_intensity]]&gt;70,"High",
IF(Table1[[#This Row],[ai_disruption_intensity]]&gt;40,"Medium","Low"))</f>
        <v>Low</v>
      </c>
      <c r="W56" t="str">
        <f>IF(Table1[[#This Row],[skill_gap_index]]&gt;70,"Large Gap",
IF(Table1[[#This Row],[skill_gap_index]]&gt;40,"Medium Gap","Small Gap"))</f>
        <v>Large Gap</v>
      </c>
      <c r="X56" s="3" t="str">
        <f>IF(Table1[[#This Row],[automation_risk_percent]]&gt;0.7,"Highly Automatable",
IF(Table1[[#This Row],[automation_risk_percent]]&gt;0.4,"Moderate Risk","Safe Job"))</f>
        <v>Highly Automatable</v>
      </c>
    </row>
    <row r="57" spans="1:24" x14ac:dyDescent="0.3">
      <c r="A57">
        <v>202</v>
      </c>
      <c r="B57" t="s">
        <v>26</v>
      </c>
      <c r="C57" t="s">
        <v>40</v>
      </c>
      <c r="D57" t="s">
        <v>20</v>
      </c>
      <c r="E57" s="1">
        <v>2025</v>
      </c>
      <c r="F57" s="11">
        <v>0.4486</v>
      </c>
      <c r="G57">
        <v>39.76</v>
      </c>
      <c r="H57">
        <v>61.96</v>
      </c>
      <c r="I57" s="2">
        <v>108024.13</v>
      </c>
      <c r="J57" s="2">
        <v>105718.43</v>
      </c>
      <c r="K57" s="2">
        <f>Table1[[#This Row],[Salary_after]]-Table1[[#This Row],[Salary_before]]</f>
        <v>-2305.7000000000116</v>
      </c>
      <c r="L57" s="11">
        <v>-2.1299999999999999E-2</v>
      </c>
      <c r="M57" s="11">
        <v>0.1991</v>
      </c>
      <c r="N57">
        <v>15.23</v>
      </c>
      <c r="O57">
        <v>99.49</v>
      </c>
      <c r="P57">
        <v>2</v>
      </c>
      <c r="Q57" t="s">
        <v>25</v>
      </c>
      <c r="R57">
        <v>53.41</v>
      </c>
      <c r="S57">
        <v>2.13</v>
      </c>
      <c r="T57" s="4">
        <v>37.170999999999999</v>
      </c>
      <c r="U57" s="4">
        <v>44.631214</v>
      </c>
      <c r="V57" t="str">
        <f>IF(Table1[[#This Row],[ai_disruption_intensity]]&gt;70,"High",
IF(Table1[[#This Row],[ai_disruption_intensity]]&gt;40,"Medium","Low"))</f>
        <v>Medium</v>
      </c>
      <c r="W57" t="str">
        <f>IF(Table1[[#This Row],[skill_gap_index]]&gt;70,"Large Gap",
IF(Table1[[#This Row],[skill_gap_index]]&gt;40,"Medium Gap","Small Gap"))</f>
        <v>Medium Gap</v>
      </c>
      <c r="X57" s="3" t="str">
        <f>IF(Table1[[#This Row],[automation_risk_percent]]&gt;0.7,"Highly Automatable",
IF(Table1[[#This Row],[automation_risk_percent]]&gt;0.4,"Moderate Risk","Safe Job"))</f>
        <v>Moderate Risk</v>
      </c>
    </row>
    <row r="58" spans="1:24" x14ac:dyDescent="0.3">
      <c r="A58">
        <v>204</v>
      </c>
      <c r="B58" t="s">
        <v>39</v>
      </c>
      <c r="C58" t="s">
        <v>38</v>
      </c>
      <c r="D58" t="s">
        <v>31</v>
      </c>
      <c r="E58" s="1">
        <v>2026</v>
      </c>
      <c r="F58" s="11">
        <v>0.45659999999999995</v>
      </c>
      <c r="G58">
        <v>54.73</v>
      </c>
      <c r="H58">
        <v>81.400000000000006</v>
      </c>
      <c r="I58" s="2">
        <v>103826.33</v>
      </c>
      <c r="J58" s="2">
        <v>113685.2</v>
      </c>
      <c r="K58" s="2">
        <f>Table1[[#This Row],[Salary_after]]-Table1[[#This Row],[Salary_before]]</f>
        <v>9858.8699999999953</v>
      </c>
      <c r="L58" s="11">
        <v>9.5000000000000001E-2</v>
      </c>
      <c r="M58" s="11">
        <v>-9.849999999999999E-2</v>
      </c>
      <c r="N58">
        <v>57.43</v>
      </c>
      <c r="O58">
        <v>42.61</v>
      </c>
      <c r="P58">
        <v>3</v>
      </c>
      <c r="Q58" t="s">
        <v>25</v>
      </c>
      <c r="R58">
        <v>63.53</v>
      </c>
      <c r="S58">
        <v>9.5</v>
      </c>
      <c r="T58" s="4">
        <v>45.533999999999999</v>
      </c>
      <c r="U58" s="4">
        <v>19.455725999999999</v>
      </c>
      <c r="V58" t="str">
        <f>IF(Table1[[#This Row],[ai_disruption_intensity]]&gt;70,"High",
IF(Table1[[#This Row],[ai_disruption_intensity]]&gt;40,"Medium","Low"))</f>
        <v>Low</v>
      </c>
      <c r="W58" t="str">
        <f>IF(Table1[[#This Row],[skill_gap_index]]&gt;70,"Large Gap",
IF(Table1[[#This Row],[skill_gap_index]]&gt;40,"Medium Gap","Small Gap"))</f>
        <v>Large Gap</v>
      </c>
      <c r="X58" s="3" t="str">
        <f>IF(Table1[[#This Row],[automation_risk_percent]]&gt;0.7,"Highly Automatable",
IF(Table1[[#This Row],[automation_risk_percent]]&gt;0.4,"Moderate Risk","Safe Job"))</f>
        <v>Moderate Risk</v>
      </c>
    </row>
    <row r="59" spans="1:24" x14ac:dyDescent="0.3">
      <c r="A59">
        <v>205</v>
      </c>
      <c r="B59" t="s">
        <v>45</v>
      </c>
      <c r="C59" t="s">
        <v>38</v>
      </c>
      <c r="D59" t="s">
        <v>47</v>
      </c>
      <c r="E59" s="1">
        <v>2025</v>
      </c>
      <c r="F59" s="11">
        <v>0.19149999999999998</v>
      </c>
      <c r="G59">
        <v>22.11</v>
      </c>
      <c r="H59">
        <v>44.98</v>
      </c>
      <c r="I59" s="2">
        <v>53354.7</v>
      </c>
      <c r="J59" s="2">
        <v>47111.6</v>
      </c>
      <c r="K59" s="2">
        <f>Table1[[#This Row],[Salary_after]]-Table1[[#This Row],[Salary_before]]</f>
        <v>-6243.0999999999985</v>
      </c>
      <c r="L59" s="11">
        <v>-0.11699999999999999</v>
      </c>
      <c r="M59" s="11">
        <v>-0.13019999999999998</v>
      </c>
      <c r="N59">
        <v>84.48</v>
      </c>
      <c r="O59">
        <v>73.36</v>
      </c>
      <c r="P59">
        <v>4</v>
      </c>
      <c r="Q59" t="s">
        <v>21</v>
      </c>
      <c r="R59">
        <v>32.064999999999998</v>
      </c>
      <c r="S59">
        <v>11.7</v>
      </c>
      <c r="T59" s="4">
        <v>24.663999999999898</v>
      </c>
      <c r="U59" s="4">
        <v>14.0484399999999</v>
      </c>
      <c r="V59" t="str">
        <f>IF(Table1[[#This Row],[ai_disruption_intensity]]&gt;70,"High",
IF(Table1[[#This Row],[ai_disruption_intensity]]&gt;40,"Medium","Low"))</f>
        <v>Low</v>
      </c>
      <c r="W59" t="str">
        <f>IF(Table1[[#This Row],[skill_gap_index]]&gt;70,"Large Gap",
IF(Table1[[#This Row],[skill_gap_index]]&gt;40,"Medium Gap","Small Gap"))</f>
        <v>Medium Gap</v>
      </c>
      <c r="X59" s="3" t="str">
        <f>IF(Table1[[#This Row],[automation_risk_percent]]&gt;0.7,"Highly Automatable",
IF(Table1[[#This Row],[automation_risk_percent]]&gt;0.4,"Moderate Risk","Safe Job"))</f>
        <v>Safe Job</v>
      </c>
    </row>
    <row r="60" spans="1:24" x14ac:dyDescent="0.3">
      <c r="A60">
        <v>213</v>
      </c>
      <c r="B60" t="s">
        <v>44</v>
      </c>
      <c r="C60" t="s">
        <v>34</v>
      </c>
      <c r="D60" t="s">
        <v>42</v>
      </c>
      <c r="E60" s="1">
        <v>2025</v>
      </c>
      <c r="F60" s="11">
        <v>0.56299999999999994</v>
      </c>
      <c r="G60">
        <v>49.21</v>
      </c>
      <c r="H60">
        <v>17.41</v>
      </c>
      <c r="I60" s="2">
        <v>41807.480000000003</v>
      </c>
      <c r="J60" s="2">
        <v>46764.61</v>
      </c>
      <c r="K60" s="2">
        <f>Table1[[#This Row],[Salary_after]]-Table1[[#This Row],[Salary_before]]</f>
        <v>4957.1299999999974</v>
      </c>
      <c r="L60" s="11">
        <v>0.1186</v>
      </c>
      <c r="M60" s="11">
        <v>0.12189999999999999</v>
      </c>
      <c r="N60">
        <v>33.85</v>
      </c>
      <c r="O60">
        <v>2.09</v>
      </c>
      <c r="P60">
        <v>3</v>
      </c>
      <c r="Q60" t="s">
        <v>25</v>
      </c>
      <c r="R60">
        <v>36.854999999999997</v>
      </c>
      <c r="S60">
        <v>11.86</v>
      </c>
      <c r="T60" s="4">
        <v>31.300999999999998</v>
      </c>
      <c r="U60" s="4">
        <v>1.1766699999999899</v>
      </c>
      <c r="V60" t="str">
        <f>IF(Table1[[#This Row],[ai_disruption_intensity]]&gt;70,"High",
IF(Table1[[#This Row],[ai_disruption_intensity]]&gt;40,"Medium","Low"))</f>
        <v>Low</v>
      </c>
      <c r="W60" t="str">
        <f>IF(Table1[[#This Row],[skill_gap_index]]&gt;70,"Large Gap",
IF(Table1[[#This Row],[skill_gap_index]]&gt;40,"Medium Gap","Small Gap"))</f>
        <v>Small Gap</v>
      </c>
      <c r="X60" s="3" t="str">
        <f>IF(Table1[[#This Row],[automation_risk_percent]]&gt;0.7,"Highly Automatable",
IF(Table1[[#This Row],[automation_risk_percent]]&gt;0.4,"Moderate Risk","Safe Job"))</f>
        <v>Moderate Risk</v>
      </c>
    </row>
    <row r="61" spans="1:24" x14ac:dyDescent="0.3">
      <c r="A61">
        <v>214</v>
      </c>
      <c r="B61" t="s">
        <v>41</v>
      </c>
      <c r="C61" t="s">
        <v>19</v>
      </c>
      <c r="D61" t="s">
        <v>20</v>
      </c>
      <c r="E61" s="1">
        <v>2026</v>
      </c>
      <c r="F61" s="11">
        <v>0.3075</v>
      </c>
      <c r="G61">
        <v>36.51</v>
      </c>
      <c r="H61">
        <v>29.54</v>
      </c>
      <c r="I61" s="2">
        <v>122306.78</v>
      </c>
      <c r="J61" s="2">
        <v>104917.07</v>
      </c>
      <c r="K61" s="2">
        <f>Table1[[#This Row],[Salary_after]]-Table1[[#This Row],[Salary_before]]</f>
        <v>-17389.709999999992</v>
      </c>
      <c r="L61" s="11">
        <v>-0.14219999999999999</v>
      </c>
      <c r="M61" s="11">
        <v>0.20010000000000003</v>
      </c>
      <c r="N61">
        <v>28.51</v>
      </c>
      <c r="O61">
        <v>12.14</v>
      </c>
      <c r="P61">
        <v>4</v>
      </c>
      <c r="Q61" t="s">
        <v>25</v>
      </c>
      <c r="R61">
        <v>30.145</v>
      </c>
      <c r="S61">
        <v>14.22</v>
      </c>
      <c r="T61" s="4">
        <v>25.427999999999901</v>
      </c>
      <c r="U61" s="4">
        <v>3.73305</v>
      </c>
      <c r="V61" t="str">
        <f>IF(Table1[[#This Row],[ai_disruption_intensity]]&gt;70,"High",
IF(Table1[[#This Row],[ai_disruption_intensity]]&gt;40,"Medium","Low"))</f>
        <v>Low</v>
      </c>
      <c r="W61" t="str">
        <f>IF(Table1[[#This Row],[skill_gap_index]]&gt;70,"Large Gap",
IF(Table1[[#This Row],[skill_gap_index]]&gt;40,"Medium Gap","Small Gap"))</f>
        <v>Small Gap</v>
      </c>
      <c r="X61" s="3" t="str">
        <f>IF(Table1[[#This Row],[automation_risk_percent]]&gt;0.7,"Highly Automatable",
IF(Table1[[#This Row],[automation_risk_percent]]&gt;0.4,"Moderate Risk","Safe Job"))</f>
        <v>Safe Job</v>
      </c>
    </row>
    <row r="62" spans="1:24" x14ac:dyDescent="0.3">
      <c r="A62">
        <v>216</v>
      </c>
      <c r="B62" t="s">
        <v>18</v>
      </c>
      <c r="C62" t="s">
        <v>19</v>
      </c>
      <c r="D62" t="s">
        <v>36</v>
      </c>
      <c r="E62" s="1">
        <v>2025</v>
      </c>
      <c r="F62" s="11">
        <v>0.50770000000000004</v>
      </c>
      <c r="G62">
        <v>55.81</v>
      </c>
      <c r="H62">
        <v>81.180000000000007</v>
      </c>
      <c r="I62" s="2">
        <v>108777.43</v>
      </c>
      <c r="J62" s="2">
        <v>104807.57</v>
      </c>
      <c r="K62" s="2">
        <f>Table1[[#This Row],[Salary_after]]-Table1[[#This Row],[Salary_before]]</f>
        <v>-3969.859999999986</v>
      </c>
      <c r="L62" s="11">
        <v>-3.6499999999999998E-2</v>
      </c>
      <c r="M62" s="11">
        <v>-3.39E-2</v>
      </c>
      <c r="N62">
        <v>93.53</v>
      </c>
      <c r="O62">
        <v>22.46</v>
      </c>
      <c r="P62">
        <v>3</v>
      </c>
      <c r="Q62" t="s">
        <v>25</v>
      </c>
      <c r="R62">
        <v>65.974999999999994</v>
      </c>
      <c r="S62">
        <v>3.65</v>
      </c>
      <c r="T62" s="4">
        <v>45.756999999999998</v>
      </c>
      <c r="U62" s="4">
        <v>11.402941999999999</v>
      </c>
      <c r="V62" t="str">
        <f>IF(Table1[[#This Row],[ai_disruption_intensity]]&gt;70,"High",
IF(Table1[[#This Row],[ai_disruption_intensity]]&gt;40,"Medium","Low"))</f>
        <v>Low</v>
      </c>
      <c r="W62" t="str">
        <f>IF(Table1[[#This Row],[skill_gap_index]]&gt;70,"Large Gap",
IF(Table1[[#This Row],[skill_gap_index]]&gt;40,"Medium Gap","Small Gap"))</f>
        <v>Large Gap</v>
      </c>
      <c r="X62" s="3" t="str">
        <f>IF(Table1[[#This Row],[automation_risk_percent]]&gt;0.7,"Highly Automatable",
IF(Table1[[#This Row],[automation_risk_percent]]&gt;0.4,"Moderate Risk","Safe Job"))</f>
        <v>Moderate Risk</v>
      </c>
    </row>
    <row r="63" spans="1:24" x14ac:dyDescent="0.3">
      <c r="A63">
        <v>222</v>
      </c>
      <c r="B63" t="s">
        <v>18</v>
      </c>
      <c r="C63" t="s">
        <v>19</v>
      </c>
      <c r="D63" t="s">
        <v>32</v>
      </c>
      <c r="E63" s="1">
        <v>2025</v>
      </c>
      <c r="F63" s="11">
        <v>0.5454</v>
      </c>
      <c r="G63">
        <v>60.24</v>
      </c>
      <c r="H63">
        <v>16.010000000000002</v>
      </c>
      <c r="I63" s="2">
        <v>85386.9</v>
      </c>
      <c r="J63" s="2">
        <v>83602.11</v>
      </c>
      <c r="K63" s="2">
        <f>Table1[[#This Row],[Salary_after]]-Table1[[#This Row],[Salary_before]]</f>
        <v>-1784.7899999999936</v>
      </c>
      <c r="L63" s="11">
        <v>-2.0899999999999998E-2</v>
      </c>
      <c r="M63" s="11">
        <v>-3.5099999999999999E-2</v>
      </c>
      <c r="N63">
        <v>82.01</v>
      </c>
      <c r="O63">
        <v>20.399999999999999</v>
      </c>
      <c r="P63">
        <v>1</v>
      </c>
      <c r="Q63" t="s">
        <v>25</v>
      </c>
      <c r="R63">
        <v>35.274999999999999</v>
      </c>
      <c r="S63">
        <v>2.09</v>
      </c>
      <c r="T63" s="4">
        <v>27.245999999999999</v>
      </c>
      <c r="U63" s="4">
        <v>11.12616</v>
      </c>
      <c r="V63" t="str">
        <f>IF(Table1[[#This Row],[ai_disruption_intensity]]&gt;70,"High",
IF(Table1[[#This Row],[ai_disruption_intensity]]&gt;40,"Medium","Low"))</f>
        <v>Low</v>
      </c>
      <c r="W63" t="str">
        <f>IF(Table1[[#This Row],[skill_gap_index]]&gt;70,"Large Gap",
IF(Table1[[#This Row],[skill_gap_index]]&gt;40,"Medium Gap","Small Gap"))</f>
        <v>Small Gap</v>
      </c>
      <c r="X63" s="3" t="str">
        <f>IF(Table1[[#This Row],[automation_risk_percent]]&gt;0.7,"Highly Automatable",
IF(Table1[[#This Row],[automation_risk_percent]]&gt;0.4,"Moderate Risk","Safe Job"))</f>
        <v>Moderate Risk</v>
      </c>
    </row>
    <row r="64" spans="1:24" x14ac:dyDescent="0.3">
      <c r="A64">
        <v>228</v>
      </c>
      <c r="B64" t="s">
        <v>44</v>
      </c>
      <c r="C64" t="s">
        <v>34</v>
      </c>
      <c r="D64" t="s">
        <v>36</v>
      </c>
      <c r="E64" s="1">
        <v>2026</v>
      </c>
      <c r="F64" s="11">
        <v>0.57350000000000001</v>
      </c>
      <c r="G64">
        <v>64.349999999999994</v>
      </c>
      <c r="H64">
        <v>26.98</v>
      </c>
      <c r="I64" s="2">
        <v>129005.93</v>
      </c>
      <c r="J64" s="2">
        <v>118450.68</v>
      </c>
      <c r="K64" s="2">
        <f>Table1[[#This Row],[Salary_after]]-Table1[[#This Row],[Salary_before]]</f>
        <v>-10555.25</v>
      </c>
      <c r="L64" s="11">
        <v>-8.1799999999999998E-2</v>
      </c>
      <c r="M64" s="11">
        <v>4.9699999999999994E-2</v>
      </c>
      <c r="N64">
        <v>15.27</v>
      </c>
      <c r="O64">
        <v>33.42</v>
      </c>
      <c r="P64">
        <v>5</v>
      </c>
      <c r="Q64" t="s">
        <v>25</v>
      </c>
      <c r="R64">
        <v>42.164999999999999</v>
      </c>
      <c r="S64">
        <v>8.18</v>
      </c>
      <c r="T64" s="4">
        <v>33.488</v>
      </c>
      <c r="U64" s="4">
        <v>19.166370000000001</v>
      </c>
      <c r="V64" t="str">
        <f>IF(Table1[[#This Row],[ai_disruption_intensity]]&gt;70,"High",
IF(Table1[[#This Row],[ai_disruption_intensity]]&gt;40,"Medium","Low"))</f>
        <v>Low</v>
      </c>
      <c r="W64" t="str">
        <f>IF(Table1[[#This Row],[skill_gap_index]]&gt;70,"Large Gap",
IF(Table1[[#This Row],[skill_gap_index]]&gt;40,"Medium Gap","Small Gap"))</f>
        <v>Small Gap</v>
      </c>
      <c r="X64" s="3" t="str">
        <f>IF(Table1[[#This Row],[automation_risk_percent]]&gt;0.7,"Highly Automatable",
IF(Table1[[#This Row],[automation_risk_percent]]&gt;0.4,"Moderate Risk","Safe Job"))</f>
        <v>Moderate Risk</v>
      </c>
    </row>
    <row r="65" spans="1:24" x14ac:dyDescent="0.3">
      <c r="A65">
        <v>233</v>
      </c>
      <c r="B65" t="s">
        <v>29</v>
      </c>
      <c r="C65" t="s">
        <v>30</v>
      </c>
      <c r="D65" t="s">
        <v>42</v>
      </c>
      <c r="E65" s="1">
        <v>2025</v>
      </c>
      <c r="F65" s="11">
        <v>0.43149999999999999</v>
      </c>
      <c r="G65">
        <v>41.94</v>
      </c>
      <c r="H65">
        <v>87.27</v>
      </c>
      <c r="I65" s="2">
        <v>131032.03</v>
      </c>
      <c r="J65" s="2">
        <v>137761.82999999999</v>
      </c>
      <c r="K65" s="2">
        <f>Table1[[#This Row],[Salary_after]]-Table1[[#This Row],[Salary_before]]</f>
        <v>6729.7999999999884</v>
      </c>
      <c r="L65" s="11">
        <v>5.1399999999999994E-2</v>
      </c>
      <c r="M65" s="11">
        <v>-3.3E-3</v>
      </c>
      <c r="N65">
        <v>51.24</v>
      </c>
      <c r="O65">
        <v>48.3</v>
      </c>
      <c r="P65">
        <v>3</v>
      </c>
      <c r="Q65" t="s">
        <v>25</v>
      </c>
      <c r="R65">
        <v>65.209999999999994</v>
      </c>
      <c r="S65">
        <v>5.14</v>
      </c>
      <c r="T65" s="4">
        <v>44.982999999999997</v>
      </c>
      <c r="U65" s="4">
        <v>20.841449999999998</v>
      </c>
      <c r="V65" t="str">
        <f>IF(Table1[[#This Row],[ai_disruption_intensity]]&gt;70,"High",
IF(Table1[[#This Row],[ai_disruption_intensity]]&gt;40,"Medium","Low"))</f>
        <v>Low</v>
      </c>
      <c r="W65" t="str">
        <f>IF(Table1[[#This Row],[skill_gap_index]]&gt;70,"Large Gap",
IF(Table1[[#This Row],[skill_gap_index]]&gt;40,"Medium Gap","Small Gap"))</f>
        <v>Large Gap</v>
      </c>
      <c r="X65" s="3" t="str">
        <f>IF(Table1[[#This Row],[automation_risk_percent]]&gt;0.7,"Highly Automatable",
IF(Table1[[#This Row],[automation_risk_percent]]&gt;0.4,"Moderate Risk","Safe Job"))</f>
        <v>Moderate Risk</v>
      </c>
    </row>
    <row r="66" spans="1:24" x14ac:dyDescent="0.3">
      <c r="A66">
        <v>240</v>
      </c>
      <c r="B66" t="s">
        <v>26</v>
      </c>
      <c r="C66" t="s">
        <v>23</v>
      </c>
      <c r="D66" t="s">
        <v>28</v>
      </c>
      <c r="E66" s="1">
        <v>2025</v>
      </c>
      <c r="F66" s="11">
        <v>7.9899999999999999E-2</v>
      </c>
      <c r="G66">
        <v>6.87</v>
      </c>
      <c r="H66">
        <v>22.53</v>
      </c>
      <c r="I66" s="2">
        <v>60116</v>
      </c>
      <c r="J66" s="2">
        <v>61321.74</v>
      </c>
      <c r="K66" s="2">
        <f>Table1[[#This Row],[Salary_after]]-Table1[[#This Row],[Salary_before]]</f>
        <v>1205.739999999998</v>
      </c>
      <c r="L66" s="11">
        <v>2.0099999999999996E-2</v>
      </c>
      <c r="M66" s="11">
        <v>0.16489999999999999</v>
      </c>
      <c r="N66">
        <v>57.11</v>
      </c>
      <c r="O66">
        <v>11.48</v>
      </c>
      <c r="P66">
        <v>3</v>
      </c>
      <c r="Q66" t="s">
        <v>21</v>
      </c>
      <c r="R66">
        <v>15.26</v>
      </c>
      <c r="S66">
        <v>2.0099999999999998</v>
      </c>
      <c r="T66" s="4">
        <v>10.558</v>
      </c>
      <c r="U66" s="4">
        <v>0.91725199999999996</v>
      </c>
      <c r="V66" t="str">
        <f>IF(Table1[[#This Row],[ai_disruption_intensity]]&gt;70,"High",
IF(Table1[[#This Row],[ai_disruption_intensity]]&gt;40,"Medium","Low"))</f>
        <v>Low</v>
      </c>
      <c r="W66" t="str">
        <f>IF(Table1[[#This Row],[skill_gap_index]]&gt;70,"Large Gap",
IF(Table1[[#This Row],[skill_gap_index]]&gt;40,"Medium Gap","Small Gap"))</f>
        <v>Small Gap</v>
      </c>
      <c r="X66" s="3" t="str">
        <f>IF(Table1[[#This Row],[automation_risk_percent]]&gt;0.7,"Highly Automatable",
IF(Table1[[#This Row],[automation_risk_percent]]&gt;0.4,"Moderate Risk","Safe Job"))</f>
        <v>Safe Job</v>
      </c>
    </row>
    <row r="67" spans="1:24" x14ac:dyDescent="0.3">
      <c r="A67">
        <v>242</v>
      </c>
      <c r="B67" t="s">
        <v>41</v>
      </c>
      <c r="C67" t="s">
        <v>30</v>
      </c>
      <c r="D67" t="s">
        <v>24</v>
      </c>
      <c r="E67" s="1">
        <v>2025</v>
      </c>
      <c r="F67" s="11">
        <v>0.36599999999999999</v>
      </c>
      <c r="G67">
        <v>43.13</v>
      </c>
      <c r="H67">
        <v>85</v>
      </c>
      <c r="I67" s="2">
        <v>110282.68</v>
      </c>
      <c r="J67" s="2">
        <v>84223.63</v>
      </c>
      <c r="K67" s="2">
        <f>Table1[[#This Row],[Salary_after]]-Table1[[#This Row],[Salary_before]]</f>
        <v>-26059.049999999988</v>
      </c>
      <c r="L67" s="11">
        <v>-0.23629999999999998</v>
      </c>
      <c r="M67" s="11">
        <v>-5.0999999999999997E-2</v>
      </c>
      <c r="N67">
        <v>68.59</v>
      </c>
      <c r="O67">
        <v>54.54</v>
      </c>
      <c r="P67">
        <v>5</v>
      </c>
      <c r="Q67" t="s">
        <v>25</v>
      </c>
      <c r="R67">
        <v>60.8</v>
      </c>
      <c r="S67">
        <v>23.63</v>
      </c>
      <c r="T67" s="4">
        <v>47.228999999999999</v>
      </c>
      <c r="U67" s="4">
        <v>19.961639999999999</v>
      </c>
      <c r="V67" t="str">
        <f>IF(Table1[[#This Row],[ai_disruption_intensity]]&gt;70,"High",
IF(Table1[[#This Row],[ai_disruption_intensity]]&gt;40,"Medium","Low"))</f>
        <v>Low</v>
      </c>
      <c r="W67" t="str">
        <f>IF(Table1[[#This Row],[skill_gap_index]]&gt;70,"Large Gap",
IF(Table1[[#This Row],[skill_gap_index]]&gt;40,"Medium Gap","Small Gap"))</f>
        <v>Large Gap</v>
      </c>
      <c r="X67" s="3" t="str">
        <f>IF(Table1[[#This Row],[automation_risk_percent]]&gt;0.7,"Highly Automatable",
IF(Table1[[#This Row],[automation_risk_percent]]&gt;0.4,"Moderate Risk","Safe Job"))</f>
        <v>Safe Job</v>
      </c>
    </row>
    <row r="68" spans="1:24" x14ac:dyDescent="0.3">
      <c r="A68">
        <v>244</v>
      </c>
      <c r="B68" t="s">
        <v>18</v>
      </c>
      <c r="C68" t="s">
        <v>34</v>
      </c>
      <c r="D68" t="s">
        <v>31</v>
      </c>
      <c r="E68" s="1">
        <v>2026</v>
      </c>
      <c r="F68" s="11">
        <v>0.62970000000000004</v>
      </c>
      <c r="G68">
        <v>63.46</v>
      </c>
      <c r="H68">
        <v>20.49</v>
      </c>
      <c r="I68" s="2">
        <v>135339.60999999999</v>
      </c>
      <c r="J68" s="2">
        <v>131390.25</v>
      </c>
      <c r="K68" s="2">
        <f>Table1[[#This Row],[Salary_after]]-Table1[[#This Row],[Salary_before]]</f>
        <v>-3949.359999999986</v>
      </c>
      <c r="L68" s="11">
        <v>-2.92E-2</v>
      </c>
      <c r="M68" s="11">
        <v>-0.10630000000000001</v>
      </c>
      <c r="N68">
        <v>98.65</v>
      </c>
      <c r="O68">
        <v>77.2</v>
      </c>
      <c r="P68">
        <v>5</v>
      </c>
      <c r="Q68" t="s">
        <v>37</v>
      </c>
      <c r="R68">
        <v>41.73</v>
      </c>
      <c r="S68">
        <v>2.92</v>
      </c>
      <c r="T68" s="4">
        <v>32.210999999999999</v>
      </c>
      <c r="U68" s="4">
        <v>48.612839999999998</v>
      </c>
      <c r="V68" t="str">
        <f>IF(Table1[[#This Row],[ai_disruption_intensity]]&gt;70,"High",
IF(Table1[[#This Row],[ai_disruption_intensity]]&gt;40,"Medium","Low"))</f>
        <v>Medium</v>
      </c>
      <c r="W68" t="str">
        <f>IF(Table1[[#This Row],[skill_gap_index]]&gt;70,"Large Gap",
IF(Table1[[#This Row],[skill_gap_index]]&gt;40,"Medium Gap","Small Gap"))</f>
        <v>Small Gap</v>
      </c>
      <c r="X68" s="3" t="str">
        <f>IF(Table1[[#This Row],[automation_risk_percent]]&gt;0.7,"Highly Automatable",
IF(Table1[[#This Row],[automation_risk_percent]]&gt;0.4,"Moderate Risk","Safe Job"))</f>
        <v>Moderate Risk</v>
      </c>
    </row>
    <row r="69" spans="1:24" x14ac:dyDescent="0.3">
      <c r="A69">
        <v>246</v>
      </c>
      <c r="B69" t="s">
        <v>18</v>
      </c>
      <c r="C69" t="s">
        <v>33</v>
      </c>
      <c r="D69" t="s">
        <v>35</v>
      </c>
      <c r="E69" s="1">
        <v>2026</v>
      </c>
      <c r="F69" s="11">
        <v>0.67549999999999999</v>
      </c>
      <c r="G69">
        <v>64.319999999999993</v>
      </c>
      <c r="H69">
        <v>77.56</v>
      </c>
      <c r="I69" s="2">
        <v>145737.20000000001</v>
      </c>
      <c r="J69" s="2">
        <v>147387.97</v>
      </c>
      <c r="K69" s="2">
        <f>Table1[[#This Row],[Salary_after]]-Table1[[#This Row],[Salary_before]]</f>
        <v>1650.7699999999895</v>
      </c>
      <c r="L69" s="11">
        <v>1.1299999999999999E-2</v>
      </c>
      <c r="M69" s="11">
        <v>-9.3800000000000008E-2</v>
      </c>
      <c r="N69">
        <v>35.840000000000003</v>
      </c>
      <c r="O69">
        <v>79.290000000000006</v>
      </c>
      <c r="P69">
        <v>2</v>
      </c>
      <c r="Q69" t="s">
        <v>37</v>
      </c>
      <c r="R69">
        <v>72.555000000000007</v>
      </c>
      <c r="S69">
        <v>1.1299999999999999</v>
      </c>
      <c r="T69" s="4">
        <v>50.626999999999903</v>
      </c>
      <c r="U69" s="4">
        <v>53.560395</v>
      </c>
      <c r="V69" t="str">
        <f>IF(Table1[[#This Row],[ai_disruption_intensity]]&gt;70,"High",
IF(Table1[[#This Row],[ai_disruption_intensity]]&gt;40,"Medium","Low"))</f>
        <v>Medium</v>
      </c>
      <c r="W69" t="str">
        <f>IF(Table1[[#This Row],[skill_gap_index]]&gt;70,"Large Gap",
IF(Table1[[#This Row],[skill_gap_index]]&gt;40,"Medium Gap","Small Gap"))</f>
        <v>Large Gap</v>
      </c>
      <c r="X69" s="3" t="str">
        <f>IF(Table1[[#This Row],[automation_risk_percent]]&gt;0.7,"Highly Automatable",
IF(Table1[[#This Row],[automation_risk_percent]]&gt;0.4,"Moderate Risk","Safe Job"))</f>
        <v>Moderate Risk</v>
      </c>
    </row>
    <row r="70" spans="1:24" x14ac:dyDescent="0.3">
      <c r="A70">
        <v>248</v>
      </c>
      <c r="B70" t="s">
        <v>44</v>
      </c>
      <c r="C70" t="s">
        <v>33</v>
      </c>
      <c r="D70" t="s">
        <v>47</v>
      </c>
      <c r="E70" s="1">
        <v>2026</v>
      </c>
      <c r="F70" s="11">
        <v>0.65529999999999999</v>
      </c>
      <c r="G70">
        <v>60.73</v>
      </c>
      <c r="H70">
        <v>85.72</v>
      </c>
      <c r="I70" s="2">
        <v>138737.19</v>
      </c>
      <c r="J70" s="2">
        <v>134092.60999999999</v>
      </c>
      <c r="K70" s="2">
        <f>Table1[[#This Row],[Salary_after]]-Table1[[#This Row],[Salary_before]]</f>
        <v>-4644.5800000000163</v>
      </c>
      <c r="L70" s="11">
        <v>-3.3500000000000002E-2</v>
      </c>
      <c r="M70" s="11">
        <v>9.5999999999999992E-3</v>
      </c>
      <c r="N70">
        <v>26.58</v>
      </c>
      <c r="O70">
        <v>89.4</v>
      </c>
      <c r="P70">
        <v>2</v>
      </c>
      <c r="Q70" t="s">
        <v>37</v>
      </c>
      <c r="R70">
        <v>75.625</v>
      </c>
      <c r="S70">
        <v>3.35</v>
      </c>
      <c r="T70" s="4">
        <v>52.933</v>
      </c>
      <c r="U70" s="4">
        <v>58.583820000000003</v>
      </c>
      <c r="V70" t="str">
        <f>IF(Table1[[#This Row],[ai_disruption_intensity]]&gt;70,"High",
IF(Table1[[#This Row],[ai_disruption_intensity]]&gt;40,"Medium","Low"))</f>
        <v>Medium</v>
      </c>
      <c r="W70" t="str">
        <f>IF(Table1[[#This Row],[skill_gap_index]]&gt;70,"Large Gap",
IF(Table1[[#This Row],[skill_gap_index]]&gt;40,"Medium Gap","Small Gap"))</f>
        <v>Large Gap</v>
      </c>
      <c r="X70" s="3" t="str">
        <f>IF(Table1[[#This Row],[automation_risk_percent]]&gt;0.7,"Highly Automatable",
IF(Table1[[#This Row],[automation_risk_percent]]&gt;0.4,"Moderate Risk","Safe Job"))</f>
        <v>Moderate Risk</v>
      </c>
    </row>
    <row r="71" spans="1:24" x14ac:dyDescent="0.3">
      <c r="A71">
        <v>251</v>
      </c>
      <c r="B71" t="s">
        <v>26</v>
      </c>
      <c r="C71" t="s">
        <v>40</v>
      </c>
      <c r="D71" t="s">
        <v>42</v>
      </c>
      <c r="E71" s="1">
        <v>2026</v>
      </c>
      <c r="F71" s="11">
        <v>0.39179999999999998</v>
      </c>
      <c r="G71">
        <v>39.61</v>
      </c>
      <c r="H71">
        <v>71.94</v>
      </c>
      <c r="I71" s="2">
        <v>136830.97</v>
      </c>
      <c r="J71" s="2">
        <v>139490.75</v>
      </c>
      <c r="K71" s="2">
        <f>Table1[[#This Row],[Salary_after]]-Table1[[#This Row],[Salary_before]]</f>
        <v>2659.7799999999988</v>
      </c>
      <c r="L71" s="11">
        <v>1.9400000000000001E-2</v>
      </c>
      <c r="M71" s="11">
        <v>1.47E-2</v>
      </c>
      <c r="N71">
        <v>26.87</v>
      </c>
      <c r="O71">
        <v>85.82</v>
      </c>
      <c r="P71">
        <v>3</v>
      </c>
      <c r="Q71" t="s">
        <v>25</v>
      </c>
      <c r="R71">
        <v>55.56</v>
      </c>
      <c r="S71">
        <v>1.94</v>
      </c>
      <c r="T71" s="4">
        <v>37.835999999999999</v>
      </c>
      <c r="U71" s="4">
        <v>33.624275999999902</v>
      </c>
      <c r="V71" t="str">
        <f>IF(Table1[[#This Row],[ai_disruption_intensity]]&gt;70,"High",
IF(Table1[[#This Row],[ai_disruption_intensity]]&gt;40,"Medium","Low"))</f>
        <v>Low</v>
      </c>
      <c r="W71" t="str">
        <f>IF(Table1[[#This Row],[skill_gap_index]]&gt;70,"Large Gap",
IF(Table1[[#This Row],[skill_gap_index]]&gt;40,"Medium Gap","Small Gap"))</f>
        <v>Large Gap</v>
      </c>
      <c r="X71" s="3" t="str">
        <f>IF(Table1[[#This Row],[automation_risk_percent]]&gt;0.7,"Highly Automatable",
IF(Table1[[#This Row],[automation_risk_percent]]&gt;0.4,"Moderate Risk","Safe Job"))</f>
        <v>Safe Job</v>
      </c>
    </row>
    <row r="72" spans="1:24" x14ac:dyDescent="0.3">
      <c r="A72">
        <v>254</v>
      </c>
      <c r="B72" t="s">
        <v>46</v>
      </c>
      <c r="C72" t="s">
        <v>33</v>
      </c>
      <c r="D72" t="s">
        <v>42</v>
      </c>
      <c r="E72" s="1">
        <v>2026</v>
      </c>
      <c r="F72" s="11">
        <v>9.9399999999999988E-2</v>
      </c>
      <c r="G72">
        <v>9.33</v>
      </c>
      <c r="H72">
        <v>45.04</v>
      </c>
      <c r="I72" s="2">
        <v>119859.16</v>
      </c>
      <c r="J72" s="2">
        <v>134447.92000000001</v>
      </c>
      <c r="K72" s="2">
        <f>Table1[[#This Row],[Salary_after]]-Table1[[#This Row],[Salary_before]]</f>
        <v>14588.760000000009</v>
      </c>
      <c r="L72" s="11">
        <v>0.1217</v>
      </c>
      <c r="M72" s="11">
        <v>0.2021</v>
      </c>
      <c r="N72">
        <v>41.71</v>
      </c>
      <c r="O72">
        <v>84.14</v>
      </c>
      <c r="P72">
        <v>4</v>
      </c>
      <c r="Q72" t="s">
        <v>21</v>
      </c>
      <c r="R72">
        <v>27.49</v>
      </c>
      <c r="S72">
        <v>12.17</v>
      </c>
      <c r="T72" s="4">
        <v>21.138999999999999</v>
      </c>
      <c r="U72" s="4">
        <v>8.36351599999999</v>
      </c>
      <c r="V72" t="str">
        <f>IF(Table1[[#This Row],[ai_disruption_intensity]]&gt;70,"High",
IF(Table1[[#This Row],[ai_disruption_intensity]]&gt;40,"Medium","Low"))</f>
        <v>Low</v>
      </c>
      <c r="W72" t="str">
        <f>IF(Table1[[#This Row],[skill_gap_index]]&gt;70,"Large Gap",
IF(Table1[[#This Row],[skill_gap_index]]&gt;40,"Medium Gap","Small Gap"))</f>
        <v>Medium Gap</v>
      </c>
      <c r="X72" s="3" t="str">
        <f>IF(Table1[[#This Row],[automation_risk_percent]]&gt;0.7,"Highly Automatable",
IF(Table1[[#This Row],[automation_risk_percent]]&gt;0.4,"Moderate Risk","Safe Job"))</f>
        <v>Safe Job</v>
      </c>
    </row>
    <row r="73" spans="1:24" x14ac:dyDescent="0.3">
      <c r="A73">
        <v>255</v>
      </c>
      <c r="B73" t="s">
        <v>43</v>
      </c>
      <c r="C73" t="s">
        <v>30</v>
      </c>
      <c r="D73" t="s">
        <v>42</v>
      </c>
      <c r="E73" s="1">
        <v>2025</v>
      </c>
      <c r="F73" s="11">
        <v>0.4299</v>
      </c>
      <c r="G73">
        <v>51.23</v>
      </c>
      <c r="H73">
        <v>63.41</v>
      </c>
      <c r="I73" s="2">
        <v>45151.77</v>
      </c>
      <c r="J73" s="2">
        <v>39828.199999999997</v>
      </c>
      <c r="K73" s="2">
        <f>Table1[[#This Row],[Salary_after]]-Table1[[#This Row],[Salary_before]]</f>
        <v>-5323.57</v>
      </c>
      <c r="L73" s="11">
        <v>-0.11789999999999999</v>
      </c>
      <c r="M73" s="11">
        <v>0.16879999999999998</v>
      </c>
      <c r="N73">
        <v>71.77</v>
      </c>
      <c r="O73">
        <v>6.96</v>
      </c>
      <c r="P73">
        <v>4</v>
      </c>
      <c r="Q73" t="s">
        <v>25</v>
      </c>
      <c r="R73">
        <v>53.2</v>
      </c>
      <c r="S73">
        <v>11.79</v>
      </c>
      <c r="T73" s="4">
        <v>39.756</v>
      </c>
      <c r="U73" s="4">
        <v>2.9921039999999999</v>
      </c>
      <c r="V73" t="str">
        <f>IF(Table1[[#This Row],[ai_disruption_intensity]]&gt;70,"High",
IF(Table1[[#This Row],[ai_disruption_intensity]]&gt;40,"Medium","Low"))</f>
        <v>Low</v>
      </c>
      <c r="W73" t="str">
        <f>IF(Table1[[#This Row],[skill_gap_index]]&gt;70,"Large Gap",
IF(Table1[[#This Row],[skill_gap_index]]&gt;40,"Medium Gap","Small Gap"))</f>
        <v>Medium Gap</v>
      </c>
      <c r="X73" s="3" t="str">
        <f>IF(Table1[[#This Row],[automation_risk_percent]]&gt;0.7,"Highly Automatable",
IF(Table1[[#This Row],[automation_risk_percent]]&gt;0.4,"Moderate Risk","Safe Job"))</f>
        <v>Moderate Risk</v>
      </c>
    </row>
    <row r="74" spans="1:24" x14ac:dyDescent="0.3">
      <c r="A74">
        <v>260</v>
      </c>
      <c r="B74" t="s">
        <v>26</v>
      </c>
      <c r="C74" t="s">
        <v>30</v>
      </c>
      <c r="D74" t="s">
        <v>28</v>
      </c>
      <c r="E74" s="1">
        <v>2025</v>
      </c>
      <c r="F74" s="11">
        <v>0.19600000000000001</v>
      </c>
      <c r="G74">
        <v>22.41</v>
      </c>
      <c r="H74">
        <v>29.22</v>
      </c>
      <c r="I74" s="2">
        <v>139292.42000000001</v>
      </c>
      <c r="J74" s="2">
        <v>149583.49</v>
      </c>
      <c r="K74" s="2">
        <f>Table1[[#This Row],[Salary_after]]-Table1[[#This Row],[Salary_before]]</f>
        <v>10291.069999999978</v>
      </c>
      <c r="L74" s="11">
        <v>7.3899999999999993E-2</v>
      </c>
      <c r="M74" s="11">
        <v>0.1115</v>
      </c>
      <c r="N74">
        <v>11.62</v>
      </c>
      <c r="O74">
        <v>96.28</v>
      </c>
      <c r="P74">
        <v>2</v>
      </c>
      <c r="Q74" t="s">
        <v>21</v>
      </c>
      <c r="R74">
        <v>24.41</v>
      </c>
      <c r="S74">
        <v>7.39</v>
      </c>
      <c r="T74" s="4">
        <v>18.823</v>
      </c>
      <c r="U74" s="4">
        <v>18.87088</v>
      </c>
      <c r="V74" t="str">
        <f>IF(Table1[[#This Row],[ai_disruption_intensity]]&gt;70,"High",
IF(Table1[[#This Row],[ai_disruption_intensity]]&gt;40,"Medium","Low"))</f>
        <v>Low</v>
      </c>
      <c r="W74" t="str">
        <f>IF(Table1[[#This Row],[skill_gap_index]]&gt;70,"Large Gap",
IF(Table1[[#This Row],[skill_gap_index]]&gt;40,"Medium Gap","Small Gap"))</f>
        <v>Small Gap</v>
      </c>
      <c r="X74" s="3" t="str">
        <f>IF(Table1[[#This Row],[automation_risk_percent]]&gt;0.7,"Highly Automatable",
IF(Table1[[#This Row],[automation_risk_percent]]&gt;0.4,"Moderate Risk","Safe Job"))</f>
        <v>Safe Job</v>
      </c>
    </row>
    <row r="75" spans="1:24" x14ac:dyDescent="0.3">
      <c r="A75">
        <v>262</v>
      </c>
      <c r="B75" t="s">
        <v>41</v>
      </c>
      <c r="C75" t="s">
        <v>38</v>
      </c>
      <c r="D75" t="s">
        <v>36</v>
      </c>
      <c r="E75" s="1">
        <v>2025</v>
      </c>
      <c r="F75" s="11">
        <v>0.25869999999999999</v>
      </c>
      <c r="G75">
        <v>25.55</v>
      </c>
      <c r="H75">
        <v>30.13</v>
      </c>
      <c r="I75" s="2">
        <v>101802.9</v>
      </c>
      <c r="J75" s="2">
        <v>91076.11</v>
      </c>
      <c r="K75" s="2">
        <f>Table1[[#This Row],[Salary_after]]-Table1[[#This Row],[Salary_before]]</f>
        <v>-10726.789999999994</v>
      </c>
      <c r="L75" s="11">
        <v>-0.10539999999999999</v>
      </c>
      <c r="M75" s="11">
        <v>-5.6799999999999996E-2</v>
      </c>
      <c r="N75">
        <v>76.89</v>
      </c>
      <c r="O75">
        <v>4.8099999999999996</v>
      </c>
      <c r="P75">
        <v>1</v>
      </c>
      <c r="Q75" t="s">
        <v>21</v>
      </c>
      <c r="R75">
        <v>28</v>
      </c>
      <c r="S75">
        <v>10.54</v>
      </c>
      <c r="T75" s="4">
        <v>22.548999999999999</v>
      </c>
      <c r="U75" s="4">
        <v>1.2443469999999901</v>
      </c>
      <c r="V75" t="str">
        <f>IF(Table1[[#This Row],[ai_disruption_intensity]]&gt;70,"High",
IF(Table1[[#This Row],[ai_disruption_intensity]]&gt;40,"Medium","Low"))</f>
        <v>Low</v>
      </c>
      <c r="W75" t="str">
        <f>IF(Table1[[#This Row],[skill_gap_index]]&gt;70,"Large Gap",
IF(Table1[[#This Row],[skill_gap_index]]&gt;40,"Medium Gap","Small Gap"))</f>
        <v>Small Gap</v>
      </c>
      <c r="X75" s="3" t="str">
        <f>IF(Table1[[#This Row],[automation_risk_percent]]&gt;0.7,"Highly Automatable",
IF(Table1[[#This Row],[automation_risk_percent]]&gt;0.4,"Moderate Risk","Safe Job"))</f>
        <v>Safe Job</v>
      </c>
    </row>
    <row r="76" spans="1:24" x14ac:dyDescent="0.3">
      <c r="A76">
        <v>263</v>
      </c>
      <c r="B76" t="s">
        <v>39</v>
      </c>
      <c r="C76" t="s">
        <v>38</v>
      </c>
      <c r="D76" t="s">
        <v>47</v>
      </c>
      <c r="E76" s="1">
        <v>2025</v>
      </c>
      <c r="F76" s="11">
        <v>0.73199999999999998</v>
      </c>
      <c r="G76">
        <v>83.52</v>
      </c>
      <c r="H76">
        <v>66.78</v>
      </c>
      <c r="I76" s="2">
        <v>101186.59</v>
      </c>
      <c r="J76" s="2">
        <v>100129.7</v>
      </c>
      <c r="K76" s="2">
        <f>Table1[[#This Row],[Salary_after]]-Table1[[#This Row],[Salary_before]]</f>
        <v>-1056.8899999999994</v>
      </c>
      <c r="L76" s="11">
        <v>-1.04E-2</v>
      </c>
      <c r="M76" s="11">
        <v>3.3099999999999997E-2</v>
      </c>
      <c r="N76">
        <v>81.510000000000005</v>
      </c>
      <c r="O76">
        <v>3.47</v>
      </c>
      <c r="P76">
        <v>3</v>
      </c>
      <c r="Q76" t="s">
        <v>37</v>
      </c>
      <c r="R76">
        <v>69.989999999999995</v>
      </c>
      <c r="S76">
        <v>1.04</v>
      </c>
      <c r="T76" s="4">
        <v>49.625999999999998</v>
      </c>
      <c r="U76" s="4">
        <v>2.5400399999999999</v>
      </c>
      <c r="V76" t="str">
        <f>IF(Table1[[#This Row],[ai_disruption_intensity]]&gt;70,"High",
IF(Table1[[#This Row],[ai_disruption_intensity]]&gt;40,"Medium","Low"))</f>
        <v>Low</v>
      </c>
      <c r="W76" t="str">
        <f>IF(Table1[[#This Row],[skill_gap_index]]&gt;70,"Large Gap",
IF(Table1[[#This Row],[skill_gap_index]]&gt;40,"Medium Gap","Small Gap"))</f>
        <v>Medium Gap</v>
      </c>
      <c r="X76" s="3" t="str">
        <f>IF(Table1[[#This Row],[automation_risk_percent]]&gt;0.7,"Highly Automatable",
IF(Table1[[#This Row],[automation_risk_percent]]&gt;0.4,"Moderate Risk","Safe Job"))</f>
        <v>Highly Automatable</v>
      </c>
    </row>
    <row r="77" spans="1:24" x14ac:dyDescent="0.3">
      <c r="A77">
        <v>267</v>
      </c>
      <c r="B77" t="s">
        <v>26</v>
      </c>
      <c r="C77" t="s">
        <v>38</v>
      </c>
      <c r="D77" t="s">
        <v>47</v>
      </c>
      <c r="E77" s="1">
        <v>2026</v>
      </c>
      <c r="F77" s="11">
        <v>0.16620000000000001</v>
      </c>
      <c r="G77">
        <v>16.7</v>
      </c>
      <c r="H77">
        <v>10.42</v>
      </c>
      <c r="I77" s="2">
        <v>76141.36</v>
      </c>
      <c r="J77" s="2">
        <v>92671.21</v>
      </c>
      <c r="K77" s="2">
        <f>Table1[[#This Row],[Salary_after]]-Table1[[#This Row],[Salary_before]]</f>
        <v>16529.850000000006</v>
      </c>
      <c r="L77" s="11">
        <v>0.21710000000000002</v>
      </c>
      <c r="M77" s="11">
        <v>3.2400000000000005E-2</v>
      </c>
      <c r="N77">
        <v>95.55</v>
      </c>
      <c r="O77">
        <v>60.07</v>
      </c>
      <c r="P77">
        <v>4</v>
      </c>
      <c r="Q77" t="s">
        <v>21</v>
      </c>
      <c r="R77">
        <v>13.52</v>
      </c>
      <c r="S77">
        <v>21.71</v>
      </c>
      <c r="T77" s="4">
        <v>16.286999999999999</v>
      </c>
      <c r="U77" s="4">
        <v>9.9836340000000003</v>
      </c>
      <c r="V77" t="str">
        <f>IF(Table1[[#This Row],[ai_disruption_intensity]]&gt;70,"High",
IF(Table1[[#This Row],[ai_disruption_intensity]]&gt;40,"Medium","Low"))</f>
        <v>Low</v>
      </c>
      <c r="W77" t="str">
        <f>IF(Table1[[#This Row],[skill_gap_index]]&gt;70,"Large Gap",
IF(Table1[[#This Row],[skill_gap_index]]&gt;40,"Medium Gap","Small Gap"))</f>
        <v>Small Gap</v>
      </c>
      <c r="X77" s="3" t="str">
        <f>IF(Table1[[#This Row],[automation_risk_percent]]&gt;0.7,"Highly Automatable",
IF(Table1[[#This Row],[automation_risk_percent]]&gt;0.4,"Moderate Risk","Safe Job"))</f>
        <v>Safe Job</v>
      </c>
    </row>
    <row r="78" spans="1:24" x14ac:dyDescent="0.3">
      <c r="A78">
        <v>269</v>
      </c>
      <c r="B78" t="s">
        <v>18</v>
      </c>
      <c r="C78" t="s">
        <v>34</v>
      </c>
      <c r="D78" t="s">
        <v>32</v>
      </c>
      <c r="E78" s="1">
        <v>2025</v>
      </c>
      <c r="F78" s="11">
        <v>0.19800000000000001</v>
      </c>
      <c r="G78">
        <v>18.03</v>
      </c>
      <c r="H78">
        <v>97.15</v>
      </c>
      <c r="I78" s="2">
        <v>69761.64</v>
      </c>
      <c r="J78" s="2">
        <v>59950.94</v>
      </c>
      <c r="K78" s="2">
        <f>Table1[[#This Row],[Salary_after]]-Table1[[#This Row],[Salary_before]]</f>
        <v>-9810.6999999999971</v>
      </c>
      <c r="L78" s="11">
        <v>-0.1406</v>
      </c>
      <c r="M78" s="11">
        <v>4.1700000000000001E-2</v>
      </c>
      <c r="N78">
        <v>64.97</v>
      </c>
      <c r="O78">
        <v>28.07</v>
      </c>
      <c r="P78">
        <v>4</v>
      </c>
      <c r="Q78" t="s">
        <v>21</v>
      </c>
      <c r="R78">
        <v>58.475000000000001</v>
      </c>
      <c r="S78">
        <v>14.06</v>
      </c>
      <c r="T78" s="4">
        <v>41.283000000000001</v>
      </c>
      <c r="U78" s="4">
        <v>5.5578599999999998</v>
      </c>
      <c r="V78" t="str">
        <f>IF(Table1[[#This Row],[ai_disruption_intensity]]&gt;70,"High",
IF(Table1[[#This Row],[ai_disruption_intensity]]&gt;40,"Medium","Low"))</f>
        <v>Low</v>
      </c>
      <c r="W78" t="str">
        <f>IF(Table1[[#This Row],[skill_gap_index]]&gt;70,"Large Gap",
IF(Table1[[#This Row],[skill_gap_index]]&gt;40,"Medium Gap","Small Gap"))</f>
        <v>Large Gap</v>
      </c>
      <c r="X78" s="3" t="str">
        <f>IF(Table1[[#This Row],[automation_risk_percent]]&gt;0.7,"Highly Automatable",
IF(Table1[[#This Row],[automation_risk_percent]]&gt;0.4,"Moderate Risk","Safe Job"))</f>
        <v>Safe Job</v>
      </c>
    </row>
    <row r="79" spans="1:24" x14ac:dyDescent="0.3">
      <c r="A79">
        <v>270</v>
      </c>
      <c r="B79" t="s">
        <v>29</v>
      </c>
      <c r="C79" t="s">
        <v>30</v>
      </c>
      <c r="D79" t="s">
        <v>47</v>
      </c>
      <c r="E79" s="1">
        <v>2026</v>
      </c>
      <c r="F79" s="11">
        <v>0.39490000000000003</v>
      </c>
      <c r="G79">
        <v>39.75</v>
      </c>
      <c r="H79">
        <v>0.55000000000000004</v>
      </c>
      <c r="I79" s="2">
        <v>30919.68</v>
      </c>
      <c r="J79" s="2">
        <v>29963.62</v>
      </c>
      <c r="K79" s="2">
        <f>Table1[[#This Row],[Salary_after]]-Table1[[#This Row],[Salary_before]]</f>
        <v>-956.06000000000131</v>
      </c>
      <c r="L79" s="11">
        <v>-3.0899999999999997E-2</v>
      </c>
      <c r="M79" s="11">
        <v>-2.52E-2</v>
      </c>
      <c r="N79">
        <v>82.23</v>
      </c>
      <c r="O79">
        <v>57.2</v>
      </c>
      <c r="P79">
        <v>5</v>
      </c>
      <c r="Q79" t="s">
        <v>25</v>
      </c>
      <c r="R79">
        <v>20.02</v>
      </c>
      <c r="S79">
        <v>3.09</v>
      </c>
      <c r="T79" s="4">
        <v>16.888000000000002</v>
      </c>
      <c r="U79" s="4">
        <v>22.588280000000001</v>
      </c>
      <c r="V79" t="str">
        <f>IF(Table1[[#This Row],[ai_disruption_intensity]]&gt;70,"High",
IF(Table1[[#This Row],[ai_disruption_intensity]]&gt;40,"Medium","Low"))</f>
        <v>Low</v>
      </c>
      <c r="W79" t="str">
        <f>IF(Table1[[#This Row],[skill_gap_index]]&gt;70,"Large Gap",
IF(Table1[[#This Row],[skill_gap_index]]&gt;40,"Medium Gap","Small Gap"))</f>
        <v>Small Gap</v>
      </c>
      <c r="X79" s="3" t="str">
        <f>IF(Table1[[#This Row],[automation_risk_percent]]&gt;0.7,"Highly Automatable",
IF(Table1[[#This Row],[automation_risk_percent]]&gt;0.4,"Moderate Risk","Safe Job"))</f>
        <v>Safe Job</v>
      </c>
    </row>
    <row r="80" spans="1:24" x14ac:dyDescent="0.3">
      <c r="A80">
        <v>281</v>
      </c>
      <c r="B80" t="s">
        <v>22</v>
      </c>
      <c r="C80" t="s">
        <v>40</v>
      </c>
      <c r="D80" t="s">
        <v>28</v>
      </c>
      <c r="E80" s="1">
        <v>2025</v>
      </c>
      <c r="F80" s="11">
        <v>0.59389999999999998</v>
      </c>
      <c r="G80">
        <v>63.87</v>
      </c>
      <c r="H80">
        <v>37.46</v>
      </c>
      <c r="I80" s="2">
        <v>50023.22</v>
      </c>
      <c r="J80" s="2">
        <v>44492.13</v>
      </c>
      <c r="K80" s="2">
        <f>Table1[[#This Row],[Salary_after]]-Table1[[#This Row],[Salary_before]]</f>
        <v>-5531.0900000000038</v>
      </c>
      <c r="L80" s="11">
        <v>-0.1106</v>
      </c>
      <c r="M80" s="11">
        <v>2.8500000000000001E-2</v>
      </c>
      <c r="N80">
        <v>90.11</v>
      </c>
      <c r="O80">
        <v>34.590000000000003</v>
      </c>
      <c r="P80">
        <v>3</v>
      </c>
      <c r="Q80" t="s">
        <v>25</v>
      </c>
      <c r="R80">
        <v>48.424999999999997</v>
      </c>
      <c r="S80">
        <v>11.06</v>
      </c>
      <c r="T80" s="4">
        <v>38.311999999999998</v>
      </c>
      <c r="U80" s="4">
        <v>20.543001</v>
      </c>
      <c r="V80" t="str">
        <f>IF(Table1[[#This Row],[ai_disruption_intensity]]&gt;70,"High",
IF(Table1[[#This Row],[ai_disruption_intensity]]&gt;40,"Medium","Low"))</f>
        <v>Low</v>
      </c>
      <c r="W80" t="str">
        <f>IF(Table1[[#This Row],[skill_gap_index]]&gt;70,"Large Gap",
IF(Table1[[#This Row],[skill_gap_index]]&gt;40,"Medium Gap","Small Gap"))</f>
        <v>Small Gap</v>
      </c>
      <c r="X80" s="3" t="str">
        <f>IF(Table1[[#This Row],[automation_risk_percent]]&gt;0.7,"Highly Automatable",
IF(Table1[[#This Row],[automation_risk_percent]]&gt;0.4,"Moderate Risk","Safe Job"))</f>
        <v>Moderate Risk</v>
      </c>
    </row>
    <row r="81" spans="1:24" x14ac:dyDescent="0.3">
      <c r="A81">
        <v>294</v>
      </c>
      <c r="B81" t="s">
        <v>44</v>
      </c>
      <c r="C81" t="s">
        <v>30</v>
      </c>
      <c r="D81" t="s">
        <v>28</v>
      </c>
      <c r="E81" s="1">
        <v>2025</v>
      </c>
      <c r="F81" s="11">
        <v>0.67930000000000001</v>
      </c>
      <c r="G81">
        <v>75.11</v>
      </c>
      <c r="H81">
        <v>57.35</v>
      </c>
      <c r="I81" s="2">
        <v>144725.66</v>
      </c>
      <c r="J81" s="2">
        <v>141869.66</v>
      </c>
      <c r="K81" s="2">
        <f>Table1[[#This Row],[Salary_after]]-Table1[[#This Row],[Salary_before]]</f>
        <v>-2856</v>
      </c>
      <c r="L81" s="11">
        <v>-1.9699999999999999E-2</v>
      </c>
      <c r="M81" s="11">
        <v>3.49E-2</v>
      </c>
      <c r="N81">
        <v>86.86</v>
      </c>
      <c r="O81">
        <v>43.91</v>
      </c>
      <c r="P81">
        <v>1</v>
      </c>
      <c r="Q81" t="s">
        <v>37</v>
      </c>
      <c r="R81">
        <v>62.64</v>
      </c>
      <c r="S81">
        <v>1.97</v>
      </c>
      <c r="T81" s="4">
        <v>44.968000000000004</v>
      </c>
      <c r="U81" s="4">
        <v>29.828063</v>
      </c>
      <c r="V81" t="str">
        <f>IF(Table1[[#This Row],[ai_disruption_intensity]]&gt;70,"High",
IF(Table1[[#This Row],[ai_disruption_intensity]]&gt;40,"Medium","Low"))</f>
        <v>Low</v>
      </c>
      <c r="W81" t="str">
        <f>IF(Table1[[#This Row],[skill_gap_index]]&gt;70,"Large Gap",
IF(Table1[[#This Row],[skill_gap_index]]&gt;40,"Medium Gap","Small Gap"))</f>
        <v>Medium Gap</v>
      </c>
      <c r="X81" s="3" t="str">
        <f>IF(Table1[[#This Row],[automation_risk_percent]]&gt;0.7,"Highly Automatable",
IF(Table1[[#This Row],[automation_risk_percent]]&gt;0.4,"Moderate Risk","Safe Job"))</f>
        <v>Moderate Risk</v>
      </c>
    </row>
    <row r="82" spans="1:24" x14ac:dyDescent="0.3">
      <c r="A82">
        <v>298</v>
      </c>
      <c r="B82" t="s">
        <v>41</v>
      </c>
      <c r="C82" t="s">
        <v>40</v>
      </c>
      <c r="D82" t="s">
        <v>47</v>
      </c>
      <c r="E82" s="1">
        <v>2026</v>
      </c>
      <c r="F82" s="11">
        <v>0.76650000000000007</v>
      </c>
      <c r="G82">
        <v>86.9</v>
      </c>
      <c r="H82">
        <v>74.05</v>
      </c>
      <c r="I82" s="2">
        <v>47142.03</v>
      </c>
      <c r="J82" s="2">
        <v>50915.33</v>
      </c>
      <c r="K82" s="2">
        <f>Table1[[#This Row],[Salary_after]]-Table1[[#This Row],[Salary_before]]</f>
        <v>3773.3000000000029</v>
      </c>
      <c r="L82" s="11">
        <v>0.08</v>
      </c>
      <c r="M82" s="11">
        <v>0.12539999999999998</v>
      </c>
      <c r="N82">
        <v>69.27</v>
      </c>
      <c r="O82">
        <v>76.61</v>
      </c>
      <c r="P82">
        <v>3</v>
      </c>
      <c r="Q82" t="s">
        <v>37</v>
      </c>
      <c r="R82">
        <v>75.349999999999994</v>
      </c>
      <c r="S82">
        <v>8</v>
      </c>
      <c r="T82" s="4">
        <v>55.274999999999999</v>
      </c>
      <c r="U82" s="4">
        <v>58.721564999999998</v>
      </c>
      <c r="V82" t="str">
        <f>IF(Table1[[#This Row],[ai_disruption_intensity]]&gt;70,"High",
IF(Table1[[#This Row],[ai_disruption_intensity]]&gt;40,"Medium","Low"))</f>
        <v>Medium</v>
      </c>
      <c r="W82" t="str">
        <f>IF(Table1[[#This Row],[skill_gap_index]]&gt;70,"Large Gap",
IF(Table1[[#This Row],[skill_gap_index]]&gt;40,"Medium Gap","Small Gap"))</f>
        <v>Large Gap</v>
      </c>
      <c r="X82" s="3" t="str">
        <f>IF(Table1[[#This Row],[automation_risk_percent]]&gt;0.7,"Highly Automatable",
IF(Table1[[#This Row],[automation_risk_percent]]&gt;0.4,"Moderate Risk","Safe Job"))</f>
        <v>Highly Automatable</v>
      </c>
    </row>
    <row r="83" spans="1:24" x14ac:dyDescent="0.3">
      <c r="A83">
        <v>306</v>
      </c>
      <c r="B83" t="s">
        <v>39</v>
      </c>
      <c r="C83" t="s">
        <v>30</v>
      </c>
      <c r="D83" t="s">
        <v>28</v>
      </c>
      <c r="E83" s="1">
        <v>2025</v>
      </c>
      <c r="F83" s="11">
        <v>0.62409999999999999</v>
      </c>
      <c r="G83">
        <v>57.85</v>
      </c>
      <c r="H83">
        <v>0.01</v>
      </c>
      <c r="I83" s="2">
        <v>91335.5</v>
      </c>
      <c r="J83" s="2">
        <v>88340.65</v>
      </c>
      <c r="K83" s="2">
        <f>Table1[[#This Row],[Salary_after]]-Table1[[#This Row],[Salary_before]]</f>
        <v>-2994.8500000000058</v>
      </c>
      <c r="L83" s="11">
        <v>-3.2799999999999996E-2</v>
      </c>
      <c r="M83" s="11">
        <v>6.5500000000000003E-2</v>
      </c>
      <c r="N83">
        <v>85.54</v>
      </c>
      <c r="O83">
        <v>0.38</v>
      </c>
      <c r="P83">
        <v>2</v>
      </c>
      <c r="Q83" t="s">
        <v>37</v>
      </c>
      <c r="R83">
        <v>31.209999999999901</v>
      </c>
      <c r="S83">
        <v>3.28</v>
      </c>
      <c r="T83" s="4">
        <v>25.950999999999901</v>
      </c>
      <c r="U83" s="4">
        <v>0.23715799999999901</v>
      </c>
      <c r="V83" t="str">
        <f>IF(Table1[[#This Row],[ai_disruption_intensity]]&gt;70,"High",
IF(Table1[[#This Row],[ai_disruption_intensity]]&gt;40,"Medium","Low"))</f>
        <v>Low</v>
      </c>
      <c r="W83" t="str">
        <f>IF(Table1[[#This Row],[skill_gap_index]]&gt;70,"Large Gap",
IF(Table1[[#This Row],[skill_gap_index]]&gt;40,"Medium Gap","Small Gap"))</f>
        <v>Small Gap</v>
      </c>
      <c r="X83" s="3" t="str">
        <f>IF(Table1[[#This Row],[automation_risk_percent]]&gt;0.7,"Highly Automatable",
IF(Table1[[#This Row],[automation_risk_percent]]&gt;0.4,"Moderate Risk","Safe Job"))</f>
        <v>Moderate Risk</v>
      </c>
    </row>
    <row r="84" spans="1:24" x14ac:dyDescent="0.3">
      <c r="A84">
        <v>309</v>
      </c>
      <c r="B84" t="s">
        <v>43</v>
      </c>
      <c r="C84" t="s">
        <v>38</v>
      </c>
      <c r="D84" t="s">
        <v>47</v>
      </c>
      <c r="E84" s="1">
        <v>2025</v>
      </c>
      <c r="F84" s="11">
        <v>0.44569999999999999</v>
      </c>
      <c r="G84">
        <v>42.56</v>
      </c>
      <c r="H84">
        <v>63.27</v>
      </c>
      <c r="I84" s="2">
        <v>114462.85</v>
      </c>
      <c r="J84" s="2">
        <v>125513.07</v>
      </c>
      <c r="K84" s="2">
        <f>Table1[[#This Row],[Salary_after]]-Table1[[#This Row],[Salary_before]]</f>
        <v>11050.220000000001</v>
      </c>
      <c r="L84" s="11">
        <v>9.6500000000000002E-2</v>
      </c>
      <c r="M84" s="11">
        <v>0.1736</v>
      </c>
      <c r="N84">
        <v>96.94</v>
      </c>
      <c r="O84">
        <v>76.099999999999994</v>
      </c>
      <c r="P84">
        <v>5</v>
      </c>
      <c r="Q84" t="s">
        <v>25</v>
      </c>
      <c r="R84">
        <v>53.92</v>
      </c>
      <c r="S84">
        <v>9.65</v>
      </c>
      <c r="T84" s="4">
        <v>39.704000000000001</v>
      </c>
      <c r="U84" s="4">
        <v>33.917769999999997</v>
      </c>
      <c r="V84" t="str">
        <f>IF(Table1[[#This Row],[ai_disruption_intensity]]&gt;70,"High",
IF(Table1[[#This Row],[ai_disruption_intensity]]&gt;40,"Medium","Low"))</f>
        <v>Low</v>
      </c>
      <c r="W84" t="str">
        <f>IF(Table1[[#This Row],[skill_gap_index]]&gt;70,"Large Gap",
IF(Table1[[#This Row],[skill_gap_index]]&gt;40,"Medium Gap","Small Gap"))</f>
        <v>Medium Gap</v>
      </c>
      <c r="X84" s="3" t="str">
        <f>IF(Table1[[#This Row],[automation_risk_percent]]&gt;0.7,"Highly Automatable",
IF(Table1[[#This Row],[automation_risk_percent]]&gt;0.4,"Moderate Risk","Safe Job"))</f>
        <v>Moderate Risk</v>
      </c>
    </row>
    <row r="85" spans="1:24" x14ac:dyDescent="0.3">
      <c r="A85">
        <v>318</v>
      </c>
      <c r="B85" t="s">
        <v>44</v>
      </c>
      <c r="C85" t="s">
        <v>30</v>
      </c>
      <c r="D85" t="s">
        <v>35</v>
      </c>
      <c r="E85" s="1">
        <v>2026</v>
      </c>
      <c r="F85" s="11">
        <v>0.11230000000000001</v>
      </c>
      <c r="G85">
        <v>10.3</v>
      </c>
      <c r="H85">
        <v>77.31</v>
      </c>
      <c r="I85" s="2">
        <v>92155.26</v>
      </c>
      <c r="J85" s="2">
        <v>80736.240000000005</v>
      </c>
      <c r="K85" s="2">
        <f>Table1[[#This Row],[Salary_after]]-Table1[[#This Row],[Salary_before]]</f>
        <v>-11419.01999999999</v>
      </c>
      <c r="L85" s="11">
        <v>-0.12390000000000001</v>
      </c>
      <c r="M85" s="11">
        <v>-9.6799999999999997E-2</v>
      </c>
      <c r="N85">
        <v>10.119999999999999</v>
      </c>
      <c r="O85">
        <v>29.98</v>
      </c>
      <c r="P85">
        <v>1</v>
      </c>
      <c r="Q85" t="s">
        <v>21</v>
      </c>
      <c r="R85">
        <v>44.27</v>
      </c>
      <c r="S85">
        <v>12.39</v>
      </c>
      <c r="T85" s="4">
        <v>31.402000000000001</v>
      </c>
      <c r="U85" s="4">
        <v>3.3667539999999998</v>
      </c>
      <c r="V85" t="str">
        <f>IF(Table1[[#This Row],[ai_disruption_intensity]]&gt;70,"High",
IF(Table1[[#This Row],[ai_disruption_intensity]]&gt;40,"Medium","Low"))</f>
        <v>Low</v>
      </c>
      <c r="W85" t="str">
        <f>IF(Table1[[#This Row],[skill_gap_index]]&gt;70,"Large Gap",
IF(Table1[[#This Row],[skill_gap_index]]&gt;40,"Medium Gap","Small Gap"))</f>
        <v>Large Gap</v>
      </c>
      <c r="X85" s="3" t="str">
        <f>IF(Table1[[#This Row],[automation_risk_percent]]&gt;0.7,"Highly Automatable",
IF(Table1[[#This Row],[automation_risk_percent]]&gt;0.4,"Moderate Risk","Safe Job"))</f>
        <v>Safe Job</v>
      </c>
    </row>
    <row r="86" spans="1:24" x14ac:dyDescent="0.3">
      <c r="A86">
        <v>319</v>
      </c>
      <c r="B86" t="s">
        <v>45</v>
      </c>
      <c r="C86" t="s">
        <v>33</v>
      </c>
      <c r="D86" t="s">
        <v>47</v>
      </c>
      <c r="E86" s="1">
        <v>2026</v>
      </c>
      <c r="F86" s="11">
        <v>0.55249999999999999</v>
      </c>
      <c r="G86">
        <v>65.73</v>
      </c>
      <c r="H86">
        <v>84.71</v>
      </c>
      <c r="I86" s="2">
        <v>32831.4</v>
      </c>
      <c r="J86" s="2">
        <v>33400.5</v>
      </c>
      <c r="K86" s="2">
        <f>Table1[[#This Row],[Salary_after]]-Table1[[#This Row],[Salary_before]]</f>
        <v>569.09999999999854</v>
      </c>
      <c r="L86" s="11">
        <v>1.7299999999999999E-2</v>
      </c>
      <c r="M86" s="11">
        <v>7.4400000000000008E-2</v>
      </c>
      <c r="N86">
        <v>80.23</v>
      </c>
      <c r="O86">
        <v>45.8</v>
      </c>
      <c r="P86">
        <v>5</v>
      </c>
      <c r="Q86" t="s">
        <v>25</v>
      </c>
      <c r="R86">
        <v>69.979999999999905</v>
      </c>
      <c r="S86">
        <v>1.73</v>
      </c>
      <c r="T86" s="4">
        <v>48.031999999999996</v>
      </c>
      <c r="U86" s="4">
        <v>25.304499999999901</v>
      </c>
      <c r="V86" t="str">
        <f>IF(Table1[[#This Row],[ai_disruption_intensity]]&gt;70,"High",
IF(Table1[[#This Row],[ai_disruption_intensity]]&gt;40,"Medium","Low"))</f>
        <v>Low</v>
      </c>
      <c r="W86" t="str">
        <f>IF(Table1[[#This Row],[skill_gap_index]]&gt;70,"Large Gap",
IF(Table1[[#This Row],[skill_gap_index]]&gt;40,"Medium Gap","Small Gap"))</f>
        <v>Large Gap</v>
      </c>
      <c r="X86" s="3" t="str">
        <f>IF(Table1[[#This Row],[automation_risk_percent]]&gt;0.7,"Highly Automatable",
IF(Table1[[#This Row],[automation_risk_percent]]&gt;0.4,"Moderate Risk","Safe Job"))</f>
        <v>Moderate Risk</v>
      </c>
    </row>
    <row r="87" spans="1:24" x14ac:dyDescent="0.3">
      <c r="A87">
        <v>324</v>
      </c>
      <c r="B87" t="s">
        <v>41</v>
      </c>
      <c r="C87" t="s">
        <v>34</v>
      </c>
      <c r="D87" t="s">
        <v>47</v>
      </c>
      <c r="E87" s="1">
        <v>2025</v>
      </c>
      <c r="F87" s="11">
        <v>0.57899999999999996</v>
      </c>
      <c r="G87">
        <v>66.930000000000007</v>
      </c>
      <c r="H87">
        <v>70.77</v>
      </c>
      <c r="I87" s="2">
        <v>37464.39</v>
      </c>
      <c r="J87" s="2">
        <v>34335.58</v>
      </c>
      <c r="K87" s="2">
        <f>Table1[[#This Row],[Salary_after]]-Table1[[#This Row],[Salary_before]]</f>
        <v>-3128.8099999999977</v>
      </c>
      <c r="L87" s="11">
        <v>-8.3499999999999991E-2</v>
      </c>
      <c r="M87" s="11">
        <v>0.25900000000000001</v>
      </c>
      <c r="N87">
        <v>22.08</v>
      </c>
      <c r="O87">
        <v>95.79</v>
      </c>
      <c r="P87">
        <v>5</v>
      </c>
      <c r="Q87" t="s">
        <v>25</v>
      </c>
      <c r="R87">
        <v>64.334999999999994</v>
      </c>
      <c r="S87">
        <v>8.35</v>
      </c>
      <c r="T87" s="4">
        <v>46.896000000000001</v>
      </c>
      <c r="U87" s="4">
        <v>55.462409999999998</v>
      </c>
      <c r="V87" t="str">
        <f>IF(Table1[[#This Row],[ai_disruption_intensity]]&gt;70,"High",
IF(Table1[[#This Row],[ai_disruption_intensity]]&gt;40,"Medium","Low"))</f>
        <v>Medium</v>
      </c>
      <c r="W87" t="str">
        <f>IF(Table1[[#This Row],[skill_gap_index]]&gt;70,"Large Gap",
IF(Table1[[#This Row],[skill_gap_index]]&gt;40,"Medium Gap","Small Gap"))</f>
        <v>Large Gap</v>
      </c>
      <c r="X87" s="3" t="str">
        <f>IF(Table1[[#This Row],[automation_risk_percent]]&gt;0.7,"Highly Automatable",
IF(Table1[[#This Row],[automation_risk_percent]]&gt;0.4,"Moderate Risk","Safe Job"))</f>
        <v>Moderate Risk</v>
      </c>
    </row>
    <row r="88" spans="1:24" x14ac:dyDescent="0.3">
      <c r="A88">
        <v>325</v>
      </c>
      <c r="B88" t="s">
        <v>41</v>
      </c>
      <c r="C88" t="s">
        <v>40</v>
      </c>
      <c r="D88" t="s">
        <v>35</v>
      </c>
      <c r="E88" s="1">
        <v>2026</v>
      </c>
      <c r="F88" s="11">
        <v>0.62080000000000002</v>
      </c>
      <c r="G88">
        <v>55.67</v>
      </c>
      <c r="H88">
        <v>50.06</v>
      </c>
      <c r="I88" s="2">
        <v>111554.44</v>
      </c>
      <c r="J88" s="2">
        <v>109434.47</v>
      </c>
      <c r="K88" s="2">
        <f>Table1[[#This Row],[Salary_after]]-Table1[[#This Row],[Salary_before]]</f>
        <v>-2119.9700000000012</v>
      </c>
      <c r="L88" s="11">
        <v>-1.9E-2</v>
      </c>
      <c r="M88" s="11">
        <v>1.43E-2</v>
      </c>
      <c r="N88">
        <v>82.63</v>
      </c>
      <c r="O88">
        <v>45.97</v>
      </c>
      <c r="P88">
        <v>4</v>
      </c>
      <c r="Q88" t="s">
        <v>37</v>
      </c>
      <c r="R88">
        <v>56.07</v>
      </c>
      <c r="S88">
        <v>1.9</v>
      </c>
      <c r="T88" s="4">
        <v>40.42</v>
      </c>
      <c r="U88" s="4">
        <v>28.538176</v>
      </c>
      <c r="V88" t="str">
        <f>IF(Table1[[#This Row],[ai_disruption_intensity]]&gt;70,"High",
IF(Table1[[#This Row],[ai_disruption_intensity]]&gt;40,"Medium","Low"))</f>
        <v>Low</v>
      </c>
      <c r="W88" t="str">
        <f>IF(Table1[[#This Row],[skill_gap_index]]&gt;70,"Large Gap",
IF(Table1[[#This Row],[skill_gap_index]]&gt;40,"Medium Gap","Small Gap"))</f>
        <v>Medium Gap</v>
      </c>
      <c r="X88" s="3" t="str">
        <f>IF(Table1[[#This Row],[automation_risk_percent]]&gt;0.7,"Highly Automatable",
IF(Table1[[#This Row],[automation_risk_percent]]&gt;0.4,"Moderate Risk","Safe Job"))</f>
        <v>Moderate Risk</v>
      </c>
    </row>
    <row r="89" spans="1:24" x14ac:dyDescent="0.3">
      <c r="A89">
        <v>326</v>
      </c>
      <c r="B89" t="s">
        <v>45</v>
      </c>
      <c r="C89" t="s">
        <v>38</v>
      </c>
      <c r="D89" t="s">
        <v>32</v>
      </c>
      <c r="E89" s="1">
        <v>2026</v>
      </c>
      <c r="F89" s="11">
        <v>0.48259999999999997</v>
      </c>
      <c r="G89">
        <v>46.96</v>
      </c>
      <c r="H89">
        <v>4.3899999999999997</v>
      </c>
      <c r="I89" s="2">
        <v>49889.97</v>
      </c>
      <c r="J89" s="2">
        <v>42785.86</v>
      </c>
      <c r="K89" s="2">
        <f>Table1[[#This Row],[Salary_after]]-Table1[[#This Row],[Salary_before]]</f>
        <v>-7104.1100000000006</v>
      </c>
      <c r="L89" s="11">
        <v>-0.1424</v>
      </c>
      <c r="M89" s="11">
        <v>2.3300000000000001E-2</v>
      </c>
      <c r="N89">
        <v>14.5</v>
      </c>
      <c r="O89">
        <v>84.36</v>
      </c>
      <c r="P89">
        <v>2</v>
      </c>
      <c r="Q89" t="s">
        <v>25</v>
      </c>
      <c r="R89">
        <v>26.324999999999999</v>
      </c>
      <c r="S89">
        <v>14.24</v>
      </c>
      <c r="T89" s="4">
        <v>24.893000000000001</v>
      </c>
      <c r="U89" s="4">
        <v>40.712135999999902</v>
      </c>
      <c r="V89" t="str">
        <f>IF(Table1[[#This Row],[ai_disruption_intensity]]&gt;70,"High",
IF(Table1[[#This Row],[ai_disruption_intensity]]&gt;40,"Medium","Low"))</f>
        <v>Medium</v>
      </c>
      <c r="W89" t="str">
        <f>IF(Table1[[#This Row],[skill_gap_index]]&gt;70,"Large Gap",
IF(Table1[[#This Row],[skill_gap_index]]&gt;40,"Medium Gap","Small Gap"))</f>
        <v>Small Gap</v>
      </c>
      <c r="X89" s="3" t="str">
        <f>IF(Table1[[#This Row],[automation_risk_percent]]&gt;0.7,"Highly Automatable",
IF(Table1[[#This Row],[automation_risk_percent]]&gt;0.4,"Moderate Risk","Safe Job"))</f>
        <v>Moderate Risk</v>
      </c>
    </row>
    <row r="90" spans="1:24" x14ac:dyDescent="0.3">
      <c r="A90">
        <v>328</v>
      </c>
      <c r="B90" t="s">
        <v>39</v>
      </c>
      <c r="C90" t="s">
        <v>30</v>
      </c>
      <c r="D90" t="s">
        <v>28</v>
      </c>
      <c r="E90" s="1">
        <v>2026</v>
      </c>
      <c r="F90" s="11">
        <v>0.1512</v>
      </c>
      <c r="G90">
        <v>15.86</v>
      </c>
      <c r="H90">
        <v>98.12</v>
      </c>
      <c r="I90" s="2">
        <v>52812.92</v>
      </c>
      <c r="J90" s="2">
        <v>55062.15</v>
      </c>
      <c r="K90" s="2">
        <f>Table1[[#This Row],[Salary_after]]-Table1[[#This Row],[Salary_before]]</f>
        <v>2249.2300000000032</v>
      </c>
      <c r="L90" s="11">
        <v>4.2599999999999999E-2</v>
      </c>
      <c r="M90" s="11">
        <v>5.1900000000000002E-2</v>
      </c>
      <c r="N90">
        <v>78.16</v>
      </c>
      <c r="O90">
        <v>16.170000000000002</v>
      </c>
      <c r="P90">
        <v>1</v>
      </c>
      <c r="Q90" t="s">
        <v>21</v>
      </c>
      <c r="R90">
        <v>56.62</v>
      </c>
      <c r="S90">
        <v>4.26</v>
      </c>
      <c r="T90" s="4">
        <v>36.762</v>
      </c>
      <c r="U90" s="4">
        <v>2.4449040000000002</v>
      </c>
      <c r="V90" t="str">
        <f>IF(Table1[[#This Row],[ai_disruption_intensity]]&gt;70,"High",
IF(Table1[[#This Row],[ai_disruption_intensity]]&gt;40,"Medium","Low"))</f>
        <v>Low</v>
      </c>
      <c r="W90" t="str">
        <f>IF(Table1[[#This Row],[skill_gap_index]]&gt;70,"Large Gap",
IF(Table1[[#This Row],[skill_gap_index]]&gt;40,"Medium Gap","Small Gap"))</f>
        <v>Large Gap</v>
      </c>
      <c r="X90" s="3" t="str">
        <f>IF(Table1[[#This Row],[automation_risk_percent]]&gt;0.7,"Highly Automatable",
IF(Table1[[#This Row],[automation_risk_percent]]&gt;0.4,"Moderate Risk","Safe Job"))</f>
        <v>Safe Job</v>
      </c>
    </row>
    <row r="91" spans="1:24" x14ac:dyDescent="0.3">
      <c r="A91">
        <v>337</v>
      </c>
      <c r="B91" t="s">
        <v>44</v>
      </c>
      <c r="C91" t="s">
        <v>38</v>
      </c>
      <c r="D91" t="s">
        <v>31</v>
      </c>
      <c r="E91" s="1">
        <v>2026</v>
      </c>
      <c r="F91" s="11">
        <v>0.44829999999999998</v>
      </c>
      <c r="G91">
        <v>39.53</v>
      </c>
      <c r="H91">
        <v>59.11</v>
      </c>
      <c r="I91" s="2">
        <v>52336.31</v>
      </c>
      <c r="J91" s="2">
        <v>56977.95</v>
      </c>
      <c r="K91" s="2">
        <f>Table1[[#This Row],[Salary_after]]-Table1[[#This Row],[Salary_before]]</f>
        <v>4641.6399999999994</v>
      </c>
      <c r="L91" s="11">
        <v>8.8699999999999987E-2</v>
      </c>
      <c r="M91" s="11">
        <v>7.9000000000000008E-3</v>
      </c>
      <c r="N91">
        <v>28.64</v>
      </c>
      <c r="O91">
        <v>7.12</v>
      </c>
      <c r="P91">
        <v>3</v>
      </c>
      <c r="Q91" t="s">
        <v>25</v>
      </c>
      <c r="R91">
        <v>51.97</v>
      </c>
      <c r="S91">
        <v>8.8699999999999992</v>
      </c>
      <c r="T91" s="4">
        <v>38.326000000000001</v>
      </c>
      <c r="U91" s="4">
        <v>3.1918959999999998</v>
      </c>
      <c r="V91" t="str">
        <f>IF(Table1[[#This Row],[ai_disruption_intensity]]&gt;70,"High",
IF(Table1[[#This Row],[ai_disruption_intensity]]&gt;40,"Medium","Low"))</f>
        <v>Low</v>
      </c>
      <c r="W91" t="str">
        <f>IF(Table1[[#This Row],[skill_gap_index]]&gt;70,"Large Gap",
IF(Table1[[#This Row],[skill_gap_index]]&gt;40,"Medium Gap","Small Gap"))</f>
        <v>Medium Gap</v>
      </c>
      <c r="X91" s="3" t="str">
        <f>IF(Table1[[#This Row],[automation_risk_percent]]&gt;0.7,"Highly Automatable",
IF(Table1[[#This Row],[automation_risk_percent]]&gt;0.4,"Moderate Risk","Safe Job"))</f>
        <v>Moderate Risk</v>
      </c>
    </row>
    <row r="92" spans="1:24" x14ac:dyDescent="0.3">
      <c r="A92">
        <v>344</v>
      </c>
      <c r="B92" t="s">
        <v>45</v>
      </c>
      <c r="C92" t="s">
        <v>33</v>
      </c>
      <c r="D92" t="s">
        <v>36</v>
      </c>
      <c r="E92" s="1">
        <v>2026</v>
      </c>
      <c r="F92" s="11">
        <v>0.59650000000000003</v>
      </c>
      <c r="G92">
        <v>51.71</v>
      </c>
      <c r="H92">
        <v>78.06</v>
      </c>
      <c r="I92" s="2">
        <v>100052.73</v>
      </c>
      <c r="J92" s="2">
        <v>106560.66</v>
      </c>
      <c r="K92" s="2">
        <f>Table1[[#This Row],[Salary_after]]-Table1[[#This Row],[Salary_before]]</f>
        <v>6507.9300000000076</v>
      </c>
      <c r="L92" s="11">
        <v>6.5000000000000002E-2</v>
      </c>
      <c r="M92" s="11">
        <v>-0.1003</v>
      </c>
      <c r="N92">
        <v>36.69</v>
      </c>
      <c r="O92">
        <v>71.44</v>
      </c>
      <c r="P92">
        <v>4</v>
      </c>
      <c r="Q92" t="s">
        <v>25</v>
      </c>
      <c r="R92">
        <v>68.855000000000004</v>
      </c>
      <c r="S92">
        <v>6.5</v>
      </c>
      <c r="T92" s="4">
        <v>49.228000000000002</v>
      </c>
      <c r="U92" s="4">
        <v>42.613959999999999</v>
      </c>
      <c r="V92" t="str">
        <f>IF(Table1[[#This Row],[ai_disruption_intensity]]&gt;70,"High",
IF(Table1[[#This Row],[ai_disruption_intensity]]&gt;40,"Medium","Low"))</f>
        <v>Medium</v>
      </c>
      <c r="W92" t="str">
        <f>IF(Table1[[#This Row],[skill_gap_index]]&gt;70,"Large Gap",
IF(Table1[[#This Row],[skill_gap_index]]&gt;40,"Medium Gap","Small Gap"))</f>
        <v>Large Gap</v>
      </c>
      <c r="X92" s="3" t="str">
        <f>IF(Table1[[#This Row],[automation_risk_percent]]&gt;0.7,"Highly Automatable",
IF(Table1[[#This Row],[automation_risk_percent]]&gt;0.4,"Moderate Risk","Safe Job"))</f>
        <v>Moderate Risk</v>
      </c>
    </row>
    <row r="93" spans="1:24" x14ac:dyDescent="0.3">
      <c r="A93">
        <v>348</v>
      </c>
      <c r="B93" t="s">
        <v>45</v>
      </c>
      <c r="C93" t="s">
        <v>23</v>
      </c>
      <c r="D93" t="s">
        <v>32</v>
      </c>
      <c r="E93" s="1">
        <v>2026</v>
      </c>
      <c r="F93" s="11">
        <v>0.76300000000000001</v>
      </c>
      <c r="G93">
        <v>76.180000000000007</v>
      </c>
      <c r="H93">
        <v>38.049999999999997</v>
      </c>
      <c r="I93" s="2">
        <v>49564.24</v>
      </c>
      <c r="J93" s="2">
        <v>53011.62</v>
      </c>
      <c r="K93" s="2">
        <f>Table1[[#This Row],[Salary_after]]-Table1[[#This Row],[Salary_before]]</f>
        <v>3447.3800000000047</v>
      </c>
      <c r="L93" s="11">
        <v>6.9599999999999995E-2</v>
      </c>
      <c r="M93" s="11">
        <v>0.13489999999999999</v>
      </c>
      <c r="N93">
        <v>44.59</v>
      </c>
      <c r="O93">
        <v>2.52</v>
      </c>
      <c r="P93">
        <v>4</v>
      </c>
      <c r="Q93" t="s">
        <v>37</v>
      </c>
      <c r="R93">
        <v>57.174999999999997</v>
      </c>
      <c r="S93">
        <v>6.96</v>
      </c>
      <c r="T93" s="4">
        <v>44.023000000000003</v>
      </c>
      <c r="U93" s="4">
        <v>1.92275999999999</v>
      </c>
      <c r="V93" t="str">
        <f>IF(Table1[[#This Row],[ai_disruption_intensity]]&gt;70,"High",
IF(Table1[[#This Row],[ai_disruption_intensity]]&gt;40,"Medium","Low"))</f>
        <v>Low</v>
      </c>
      <c r="W93" t="str">
        <f>IF(Table1[[#This Row],[skill_gap_index]]&gt;70,"Large Gap",
IF(Table1[[#This Row],[skill_gap_index]]&gt;40,"Medium Gap","Small Gap"))</f>
        <v>Small Gap</v>
      </c>
      <c r="X93" s="3" t="str">
        <f>IF(Table1[[#This Row],[automation_risk_percent]]&gt;0.7,"Highly Automatable",
IF(Table1[[#This Row],[automation_risk_percent]]&gt;0.4,"Moderate Risk","Safe Job"))</f>
        <v>Highly Automatable</v>
      </c>
    </row>
    <row r="94" spans="1:24" x14ac:dyDescent="0.3">
      <c r="A94">
        <v>353</v>
      </c>
      <c r="B94" t="s">
        <v>22</v>
      </c>
      <c r="C94" t="s">
        <v>23</v>
      </c>
      <c r="D94" t="s">
        <v>20</v>
      </c>
      <c r="E94" s="1">
        <v>2026</v>
      </c>
      <c r="F94" s="11">
        <v>0.57179999999999997</v>
      </c>
      <c r="G94">
        <v>46.93</v>
      </c>
      <c r="H94">
        <v>54.89</v>
      </c>
      <c r="I94" s="2">
        <v>64515.93</v>
      </c>
      <c r="J94" s="2">
        <v>57874.84</v>
      </c>
      <c r="K94" s="2">
        <f>Table1[[#This Row],[Salary_after]]-Table1[[#This Row],[Salary_before]]</f>
        <v>-6641.0900000000038</v>
      </c>
      <c r="L94" s="11">
        <v>-0.10289999999999999</v>
      </c>
      <c r="M94" s="11">
        <v>-8.5299999999999987E-2</v>
      </c>
      <c r="N94">
        <v>65.92</v>
      </c>
      <c r="O94">
        <v>33.4</v>
      </c>
      <c r="P94">
        <v>3</v>
      </c>
      <c r="Q94" t="s">
        <v>25</v>
      </c>
      <c r="R94">
        <v>56.034999999999997</v>
      </c>
      <c r="S94">
        <v>10.29</v>
      </c>
      <c r="T94" s="4">
        <v>42.426000000000002</v>
      </c>
      <c r="U94" s="4">
        <v>19.098119999999899</v>
      </c>
      <c r="V94" t="str">
        <f>IF(Table1[[#This Row],[ai_disruption_intensity]]&gt;70,"High",
IF(Table1[[#This Row],[ai_disruption_intensity]]&gt;40,"Medium","Low"))</f>
        <v>Low</v>
      </c>
      <c r="W94" t="str">
        <f>IF(Table1[[#This Row],[skill_gap_index]]&gt;70,"Large Gap",
IF(Table1[[#This Row],[skill_gap_index]]&gt;40,"Medium Gap","Small Gap"))</f>
        <v>Medium Gap</v>
      </c>
      <c r="X94" s="3" t="str">
        <f>IF(Table1[[#This Row],[automation_risk_percent]]&gt;0.7,"Highly Automatable",
IF(Table1[[#This Row],[automation_risk_percent]]&gt;0.4,"Moderate Risk","Safe Job"))</f>
        <v>Moderate Risk</v>
      </c>
    </row>
    <row r="95" spans="1:24" x14ac:dyDescent="0.3">
      <c r="A95">
        <v>365</v>
      </c>
      <c r="B95" t="s">
        <v>18</v>
      </c>
      <c r="C95" t="s">
        <v>33</v>
      </c>
      <c r="D95" t="s">
        <v>32</v>
      </c>
      <c r="E95" s="1">
        <v>2025</v>
      </c>
      <c r="F95" s="11">
        <v>0.5998</v>
      </c>
      <c r="G95">
        <v>50.18</v>
      </c>
      <c r="H95">
        <v>19.93</v>
      </c>
      <c r="I95" s="2">
        <v>135296.41</v>
      </c>
      <c r="J95" s="2">
        <v>124692.34</v>
      </c>
      <c r="K95" s="2">
        <f>Table1[[#This Row],[Salary_after]]-Table1[[#This Row],[Salary_before]]</f>
        <v>-10604.070000000007</v>
      </c>
      <c r="L95" s="11">
        <v>-7.8399999999999997E-2</v>
      </c>
      <c r="M95" s="11">
        <v>-1.9099999999999999E-2</v>
      </c>
      <c r="N95">
        <v>34.369999999999997</v>
      </c>
      <c r="O95">
        <v>24.76</v>
      </c>
      <c r="P95">
        <v>4</v>
      </c>
      <c r="Q95" t="s">
        <v>25</v>
      </c>
      <c r="R95">
        <v>39.954999999999998</v>
      </c>
      <c r="S95">
        <v>7.84</v>
      </c>
      <c r="T95" s="4">
        <v>32.323</v>
      </c>
      <c r="U95" s="4">
        <v>14.851048</v>
      </c>
      <c r="V95" t="str">
        <f>IF(Table1[[#This Row],[ai_disruption_intensity]]&gt;70,"High",
IF(Table1[[#This Row],[ai_disruption_intensity]]&gt;40,"Medium","Low"))</f>
        <v>Low</v>
      </c>
      <c r="W95" t="str">
        <f>IF(Table1[[#This Row],[skill_gap_index]]&gt;70,"Large Gap",
IF(Table1[[#This Row],[skill_gap_index]]&gt;40,"Medium Gap","Small Gap"))</f>
        <v>Small Gap</v>
      </c>
      <c r="X95" s="3" t="str">
        <f>IF(Table1[[#This Row],[automation_risk_percent]]&gt;0.7,"Highly Automatable",
IF(Table1[[#This Row],[automation_risk_percent]]&gt;0.4,"Moderate Risk","Safe Job"))</f>
        <v>Moderate Risk</v>
      </c>
    </row>
    <row r="96" spans="1:24" x14ac:dyDescent="0.3">
      <c r="A96">
        <v>366</v>
      </c>
      <c r="B96" t="s">
        <v>39</v>
      </c>
      <c r="C96" t="s">
        <v>23</v>
      </c>
      <c r="D96" t="s">
        <v>42</v>
      </c>
      <c r="E96" s="1">
        <v>2026</v>
      </c>
      <c r="F96" s="11">
        <v>0.14380000000000001</v>
      </c>
      <c r="G96">
        <v>14.14</v>
      </c>
      <c r="H96">
        <v>73.27</v>
      </c>
      <c r="I96" s="2">
        <v>102807.81</v>
      </c>
      <c r="J96" s="2">
        <v>96844.41</v>
      </c>
      <c r="K96" s="2">
        <f>Table1[[#This Row],[Salary_after]]-Table1[[#This Row],[Salary_before]]</f>
        <v>-5963.3999999999942</v>
      </c>
      <c r="L96" s="11">
        <v>-5.7999999999999996E-2</v>
      </c>
      <c r="M96" s="11">
        <v>7.3899999999999993E-2</v>
      </c>
      <c r="N96">
        <v>95.63</v>
      </c>
      <c r="O96">
        <v>83.85</v>
      </c>
      <c r="P96">
        <v>1</v>
      </c>
      <c r="Q96" t="s">
        <v>21</v>
      </c>
      <c r="R96">
        <v>43.824999999999903</v>
      </c>
      <c r="S96">
        <v>5.8</v>
      </c>
      <c r="T96" s="4">
        <v>29.4729999999999</v>
      </c>
      <c r="U96" s="4">
        <v>12.05763</v>
      </c>
      <c r="V96" t="str">
        <f>IF(Table1[[#This Row],[ai_disruption_intensity]]&gt;70,"High",
IF(Table1[[#This Row],[ai_disruption_intensity]]&gt;40,"Medium","Low"))</f>
        <v>Low</v>
      </c>
      <c r="W96" t="str">
        <f>IF(Table1[[#This Row],[skill_gap_index]]&gt;70,"Large Gap",
IF(Table1[[#This Row],[skill_gap_index]]&gt;40,"Medium Gap","Small Gap"))</f>
        <v>Large Gap</v>
      </c>
      <c r="X96" s="3" t="str">
        <f>IF(Table1[[#This Row],[automation_risk_percent]]&gt;0.7,"Highly Automatable",
IF(Table1[[#This Row],[automation_risk_percent]]&gt;0.4,"Moderate Risk","Safe Job"))</f>
        <v>Safe Job</v>
      </c>
    </row>
    <row r="97" spans="1:24" x14ac:dyDescent="0.3">
      <c r="A97">
        <v>370</v>
      </c>
      <c r="B97" t="s">
        <v>26</v>
      </c>
      <c r="C97" t="s">
        <v>19</v>
      </c>
      <c r="D97" t="s">
        <v>35</v>
      </c>
      <c r="E97" s="1">
        <v>2025</v>
      </c>
      <c r="F97" s="11">
        <v>0.30980000000000002</v>
      </c>
      <c r="G97">
        <v>32.83</v>
      </c>
      <c r="H97">
        <v>93.63</v>
      </c>
      <c r="I97" s="2">
        <v>37680.76</v>
      </c>
      <c r="J97" s="2">
        <v>35609.99</v>
      </c>
      <c r="K97" s="2">
        <f>Table1[[#This Row],[Salary_after]]-Table1[[#This Row],[Salary_before]]</f>
        <v>-2070.7700000000041</v>
      </c>
      <c r="L97" s="11">
        <v>-5.5E-2</v>
      </c>
      <c r="M97" s="11">
        <v>0.13600000000000001</v>
      </c>
      <c r="N97">
        <v>49.95</v>
      </c>
      <c r="O97">
        <v>2.19</v>
      </c>
      <c r="P97">
        <v>4</v>
      </c>
      <c r="Q97" t="s">
        <v>25</v>
      </c>
      <c r="R97">
        <v>62.305</v>
      </c>
      <c r="S97">
        <v>5.5</v>
      </c>
      <c r="T97" s="4">
        <v>42.131</v>
      </c>
      <c r="U97" s="4">
        <v>0.67846200000000001</v>
      </c>
      <c r="V97" t="str">
        <f>IF(Table1[[#This Row],[ai_disruption_intensity]]&gt;70,"High",
IF(Table1[[#This Row],[ai_disruption_intensity]]&gt;40,"Medium","Low"))</f>
        <v>Low</v>
      </c>
      <c r="W97" t="str">
        <f>IF(Table1[[#This Row],[skill_gap_index]]&gt;70,"Large Gap",
IF(Table1[[#This Row],[skill_gap_index]]&gt;40,"Medium Gap","Small Gap"))</f>
        <v>Large Gap</v>
      </c>
      <c r="X97" s="3" t="str">
        <f>IF(Table1[[#This Row],[automation_risk_percent]]&gt;0.7,"Highly Automatable",
IF(Table1[[#This Row],[automation_risk_percent]]&gt;0.4,"Moderate Risk","Safe Job"))</f>
        <v>Safe Job</v>
      </c>
    </row>
    <row r="98" spans="1:24" x14ac:dyDescent="0.3">
      <c r="A98">
        <v>373</v>
      </c>
      <c r="B98" t="s">
        <v>26</v>
      </c>
      <c r="C98" t="s">
        <v>23</v>
      </c>
      <c r="D98" t="s">
        <v>47</v>
      </c>
      <c r="E98" s="1">
        <v>2025</v>
      </c>
      <c r="F98" s="11">
        <v>7.7300000000000008E-2</v>
      </c>
      <c r="G98">
        <v>7.08</v>
      </c>
      <c r="H98">
        <v>30.98</v>
      </c>
      <c r="I98" s="2">
        <v>59994.83</v>
      </c>
      <c r="J98" s="2">
        <v>77687.88</v>
      </c>
      <c r="K98" s="2">
        <f>Table1[[#This Row],[Salary_after]]-Table1[[#This Row],[Salary_before]]</f>
        <v>17693.050000000003</v>
      </c>
      <c r="L98" s="11">
        <v>0.2949</v>
      </c>
      <c r="M98" s="11">
        <v>0.17449999999999999</v>
      </c>
      <c r="N98">
        <v>42.12</v>
      </c>
      <c r="O98">
        <v>35.380000000000003</v>
      </c>
      <c r="P98">
        <v>1</v>
      </c>
      <c r="Q98" t="s">
        <v>21</v>
      </c>
      <c r="R98">
        <v>19.355</v>
      </c>
      <c r="S98">
        <v>29.49</v>
      </c>
      <c r="T98" s="4">
        <v>21.233000000000001</v>
      </c>
      <c r="U98" s="4">
        <v>2.734874</v>
      </c>
      <c r="V98" t="str">
        <f>IF(Table1[[#This Row],[ai_disruption_intensity]]&gt;70,"High",
IF(Table1[[#This Row],[ai_disruption_intensity]]&gt;40,"Medium","Low"))</f>
        <v>Low</v>
      </c>
      <c r="W98" t="str">
        <f>IF(Table1[[#This Row],[skill_gap_index]]&gt;70,"Large Gap",
IF(Table1[[#This Row],[skill_gap_index]]&gt;40,"Medium Gap","Small Gap"))</f>
        <v>Small Gap</v>
      </c>
      <c r="X98" s="3" t="str">
        <f>IF(Table1[[#This Row],[automation_risk_percent]]&gt;0.7,"Highly Automatable",
IF(Table1[[#This Row],[automation_risk_percent]]&gt;0.4,"Moderate Risk","Safe Job"))</f>
        <v>Safe Job</v>
      </c>
    </row>
    <row r="99" spans="1:24" x14ac:dyDescent="0.3">
      <c r="A99">
        <v>374</v>
      </c>
      <c r="B99" t="s">
        <v>45</v>
      </c>
      <c r="C99" t="s">
        <v>19</v>
      </c>
      <c r="D99" t="s">
        <v>35</v>
      </c>
      <c r="E99" s="1">
        <v>2026</v>
      </c>
      <c r="F99" s="11">
        <v>0.68</v>
      </c>
      <c r="G99">
        <v>75.87</v>
      </c>
      <c r="H99">
        <v>30.78</v>
      </c>
      <c r="I99" s="2">
        <v>139654.60999999999</v>
      </c>
      <c r="J99" s="2">
        <v>137902.59</v>
      </c>
      <c r="K99" s="2">
        <f>Table1[[#This Row],[Salary_after]]-Table1[[#This Row],[Salary_before]]</f>
        <v>-1752.0199999999895</v>
      </c>
      <c r="L99" s="11">
        <v>-1.2500000000000001E-2</v>
      </c>
      <c r="M99" s="11">
        <v>8.2799999999999999E-2</v>
      </c>
      <c r="N99">
        <v>41.9</v>
      </c>
      <c r="O99">
        <v>50.56</v>
      </c>
      <c r="P99">
        <v>2</v>
      </c>
      <c r="Q99" t="s">
        <v>37</v>
      </c>
      <c r="R99">
        <v>49.39</v>
      </c>
      <c r="S99">
        <v>1.25</v>
      </c>
      <c r="T99" s="4">
        <v>36.808999999999997</v>
      </c>
      <c r="U99" s="4">
        <v>34.380800000000001</v>
      </c>
      <c r="V99" t="str">
        <f>IF(Table1[[#This Row],[ai_disruption_intensity]]&gt;70,"High",
IF(Table1[[#This Row],[ai_disruption_intensity]]&gt;40,"Medium","Low"))</f>
        <v>Low</v>
      </c>
      <c r="W99" t="str">
        <f>IF(Table1[[#This Row],[skill_gap_index]]&gt;70,"Large Gap",
IF(Table1[[#This Row],[skill_gap_index]]&gt;40,"Medium Gap","Small Gap"))</f>
        <v>Small Gap</v>
      </c>
      <c r="X99" s="3" t="str">
        <f>IF(Table1[[#This Row],[automation_risk_percent]]&gt;0.7,"Highly Automatable",
IF(Table1[[#This Row],[automation_risk_percent]]&gt;0.4,"Moderate Risk","Safe Job"))</f>
        <v>Moderate Risk</v>
      </c>
    </row>
    <row r="100" spans="1:24" x14ac:dyDescent="0.3">
      <c r="A100">
        <v>376</v>
      </c>
      <c r="B100" t="s">
        <v>29</v>
      </c>
      <c r="C100" t="s">
        <v>27</v>
      </c>
      <c r="D100" t="s">
        <v>24</v>
      </c>
      <c r="E100" s="1">
        <v>2026</v>
      </c>
      <c r="F100" s="11">
        <v>0.72389999999999999</v>
      </c>
      <c r="G100">
        <v>82.17</v>
      </c>
      <c r="H100">
        <v>85.88</v>
      </c>
      <c r="I100" s="2">
        <v>119802.7</v>
      </c>
      <c r="J100" s="2">
        <v>144440.65</v>
      </c>
      <c r="K100" s="2">
        <f>Table1[[#This Row],[Salary_after]]-Table1[[#This Row],[Salary_before]]</f>
        <v>24637.949999999997</v>
      </c>
      <c r="L100" s="11">
        <v>0.20569999999999999</v>
      </c>
      <c r="M100" s="11">
        <v>-6.3099999999999989E-2</v>
      </c>
      <c r="N100">
        <v>24.43</v>
      </c>
      <c r="O100">
        <v>67.36</v>
      </c>
      <c r="P100">
        <v>4</v>
      </c>
      <c r="Q100" t="s">
        <v>37</v>
      </c>
      <c r="R100">
        <v>79.134999999999906</v>
      </c>
      <c r="S100">
        <v>20.57</v>
      </c>
      <c r="T100" s="4">
        <v>60.890999999999998</v>
      </c>
      <c r="U100" s="4">
        <v>48.761904000000001</v>
      </c>
      <c r="V100" t="str">
        <f>IF(Table1[[#This Row],[ai_disruption_intensity]]&gt;70,"High",
IF(Table1[[#This Row],[ai_disruption_intensity]]&gt;40,"Medium","Low"))</f>
        <v>Medium</v>
      </c>
      <c r="W100" t="str">
        <f>IF(Table1[[#This Row],[skill_gap_index]]&gt;70,"Large Gap",
IF(Table1[[#This Row],[skill_gap_index]]&gt;40,"Medium Gap","Small Gap"))</f>
        <v>Large Gap</v>
      </c>
      <c r="X100" s="3" t="str">
        <f>IF(Table1[[#This Row],[automation_risk_percent]]&gt;0.7,"Highly Automatable",
IF(Table1[[#This Row],[automation_risk_percent]]&gt;0.4,"Moderate Risk","Safe Job"))</f>
        <v>Highly Automatable</v>
      </c>
    </row>
    <row r="101" spans="1:24" x14ac:dyDescent="0.3">
      <c r="A101">
        <v>384</v>
      </c>
      <c r="B101" t="s">
        <v>44</v>
      </c>
      <c r="C101" t="s">
        <v>27</v>
      </c>
      <c r="D101" t="s">
        <v>47</v>
      </c>
      <c r="E101" s="1">
        <v>2025</v>
      </c>
      <c r="F101" s="11">
        <v>0.27729999999999999</v>
      </c>
      <c r="G101">
        <v>22.29</v>
      </c>
      <c r="H101">
        <v>72.34</v>
      </c>
      <c r="I101" s="2">
        <v>94278.79</v>
      </c>
      <c r="J101" s="2">
        <v>97786.96</v>
      </c>
      <c r="K101" s="2">
        <f>Table1[[#This Row],[Salary_after]]-Table1[[#This Row],[Salary_before]]</f>
        <v>3508.1700000000128</v>
      </c>
      <c r="L101" s="11">
        <v>3.7200000000000004E-2</v>
      </c>
      <c r="M101" s="11">
        <v>8.8900000000000007E-2</v>
      </c>
      <c r="N101">
        <v>85.9</v>
      </c>
      <c r="O101">
        <v>48.51</v>
      </c>
      <c r="P101">
        <v>2</v>
      </c>
      <c r="Q101" t="s">
        <v>21</v>
      </c>
      <c r="R101">
        <v>50.034999999999997</v>
      </c>
      <c r="S101">
        <v>3.72</v>
      </c>
      <c r="T101" s="4">
        <v>33.909999999999997</v>
      </c>
      <c r="U101" s="4">
        <v>13.451822999999999</v>
      </c>
      <c r="V101" t="str">
        <f>IF(Table1[[#This Row],[ai_disruption_intensity]]&gt;70,"High",
IF(Table1[[#This Row],[ai_disruption_intensity]]&gt;40,"Medium","Low"))</f>
        <v>Low</v>
      </c>
      <c r="W101" t="str">
        <f>IF(Table1[[#This Row],[skill_gap_index]]&gt;70,"Large Gap",
IF(Table1[[#This Row],[skill_gap_index]]&gt;40,"Medium Gap","Small Gap"))</f>
        <v>Large Gap</v>
      </c>
      <c r="X101" s="3" t="str">
        <f>IF(Table1[[#This Row],[automation_risk_percent]]&gt;0.7,"Highly Automatable",
IF(Table1[[#This Row],[automation_risk_percent]]&gt;0.4,"Moderate Risk","Safe Job"))</f>
        <v>Safe Job</v>
      </c>
    </row>
    <row r="102" spans="1:24" x14ac:dyDescent="0.3">
      <c r="A102">
        <v>386</v>
      </c>
      <c r="B102" t="s">
        <v>45</v>
      </c>
      <c r="C102" t="s">
        <v>19</v>
      </c>
      <c r="D102" t="s">
        <v>32</v>
      </c>
      <c r="E102" s="1">
        <v>2025</v>
      </c>
      <c r="F102" s="11">
        <v>0.73120000000000007</v>
      </c>
      <c r="G102">
        <v>64.45</v>
      </c>
      <c r="H102">
        <v>6.7</v>
      </c>
      <c r="I102" s="2">
        <v>135282.04999999999</v>
      </c>
      <c r="J102" s="2">
        <v>146759.79999999999</v>
      </c>
      <c r="K102" s="2">
        <f>Table1[[#This Row],[Salary_after]]-Table1[[#This Row],[Salary_before]]</f>
        <v>11477.75</v>
      </c>
      <c r="L102" s="11">
        <v>8.48E-2</v>
      </c>
      <c r="M102" s="11">
        <v>-0.17469999999999999</v>
      </c>
      <c r="N102">
        <v>97.13</v>
      </c>
      <c r="O102">
        <v>6.66</v>
      </c>
      <c r="P102">
        <v>3</v>
      </c>
      <c r="Q102" t="s">
        <v>37</v>
      </c>
      <c r="R102">
        <v>39.909999999999997</v>
      </c>
      <c r="S102">
        <v>8.48</v>
      </c>
      <c r="T102" s="4">
        <v>33.802</v>
      </c>
      <c r="U102" s="4">
        <v>4.8697920000000003</v>
      </c>
      <c r="V102" t="str">
        <f>IF(Table1[[#This Row],[ai_disruption_intensity]]&gt;70,"High",
IF(Table1[[#This Row],[ai_disruption_intensity]]&gt;40,"Medium","Low"))</f>
        <v>Low</v>
      </c>
      <c r="W102" t="str">
        <f>IF(Table1[[#This Row],[skill_gap_index]]&gt;70,"Large Gap",
IF(Table1[[#This Row],[skill_gap_index]]&gt;40,"Medium Gap","Small Gap"))</f>
        <v>Small Gap</v>
      </c>
      <c r="X102" s="3" t="str">
        <f>IF(Table1[[#This Row],[automation_risk_percent]]&gt;0.7,"Highly Automatable",
IF(Table1[[#This Row],[automation_risk_percent]]&gt;0.4,"Moderate Risk","Safe Job"))</f>
        <v>Highly Automatable</v>
      </c>
    </row>
    <row r="103" spans="1:24" x14ac:dyDescent="0.3">
      <c r="A103">
        <v>387</v>
      </c>
      <c r="B103" t="s">
        <v>18</v>
      </c>
      <c r="C103" t="s">
        <v>30</v>
      </c>
      <c r="D103" t="s">
        <v>28</v>
      </c>
      <c r="E103" s="1">
        <v>2025</v>
      </c>
      <c r="F103" s="11">
        <v>0.55380000000000007</v>
      </c>
      <c r="G103">
        <v>45.95</v>
      </c>
      <c r="H103">
        <v>37.549999999999997</v>
      </c>
      <c r="I103" s="2">
        <v>126457.75</v>
      </c>
      <c r="J103" s="2">
        <v>102727.28</v>
      </c>
      <c r="K103" s="2">
        <f>Table1[[#This Row],[Salary_after]]-Table1[[#This Row],[Salary_before]]</f>
        <v>-23730.47</v>
      </c>
      <c r="L103" s="11">
        <v>-0.18770000000000001</v>
      </c>
      <c r="M103" s="11">
        <v>0.11199999999999999</v>
      </c>
      <c r="N103">
        <v>29.81</v>
      </c>
      <c r="O103">
        <v>35.049999999999997</v>
      </c>
      <c r="P103">
        <v>2</v>
      </c>
      <c r="Q103" t="s">
        <v>25</v>
      </c>
      <c r="R103">
        <v>46.465000000000003</v>
      </c>
      <c r="S103">
        <v>18.77</v>
      </c>
      <c r="T103" s="4">
        <v>39.048000000000002</v>
      </c>
      <c r="U103" s="4">
        <v>19.410689999999999</v>
      </c>
      <c r="V103" t="str">
        <f>IF(Table1[[#This Row],[ai_disruption_intensity]]&gt;70,"High",
IF(Table1[[#This Row],[ai_disruption_intensity]]&gt;40,"Medium","Low"))</f>
        <v>Low</v>
      </c>
      <c r="W103" t="str">
        <f>IF(Table1[[#This Row],[skill_gap_index]]&gt;70,"Large Gap",
IF(Table1[[#This Row],[skill_gap_index]]&gt;40,"Medium Gap","Small Gap"))</f>
        <v>Small Gap</v>
      </c>
      <c r="X103" s="3" t="str">
        <f>IF(Table1[[#This Row],[automation_risk_percent]]&gt;0.7,"Highly Automatable",
IF(Table1[[#This Row],[automation_risk_percent]]&gt;0.4,"Moderate Risk","Safe Job"))</f>
        <v>Moderate Risk</v>
      </c>
    </row>
    <row r="104" spans="1:24" x14ac:dyDescent="0.3">
      <c r="A104">
        <v>388</v>
      </c>
      <c r="B104" t="s">
        <v>18</v>
      </c>
      <c r="C104" t="s">
        <v>27</v>
      </c>
      <c r="D104" t="s">
        <v>32</v>
      </c>
      <c r="E104" s="1">
        <v>2025</v>
      </c>
      <c r="F104" s="11">
        <v>0.36080000000000001</v>
      </c>
      <c r="G104">
        <v>29.85</v>
      </c>
      <c r="H104">
        <v>36.96</v>
      </c>
      <c r="I104" s="2">
        <v>85708.62</v>
      </c>
      <c r="J104" s="2">
        <v>93397.25</v>
      </c>
      <c r="K104" s="2">
        <f>Table1[[#This Row],[Salary_after]]-Table1[[#This Row],[Salary_before]]</f>
        <v>7688.6300000000047</v>
      </c>
      <c r="L104" s="11">
        <v>8.9700000000000002E-2</v>
      </c>
      <c r="M104" s="11">
        <v>0.17749999999999999</v>
      </c>
      <c r="N104">
        <v>73.790000000000006</v>
      </c>
      <c r="O104">
        <v>0.84</v>
      </c>
      <c r="P104">
        <v>5</v>
      </c>
      <c r="Q104" t="s">
        <v>25</v>
      </c>
      <c r="R104">
        <v>36.519999999999897</v>
      </c>
      <c r="S104">
        <v>8.9700000000000006</v>
      </c>
      <c r="T104" s="4">
        <v>28.210999999999999</v>
      </c>
      <c r="U104" s="4">
        <v>0.30307200000000001</v>
      </c>
      <c r="V104" t="str">
        <f>IF(Table1[[#This Row],[ai_disruption_intensity]]&gt;70,"High",
IF(Table1[[#This Row],[ai_disruption_intensity]]&gt;40,"Medium","Low"))</f>
        <v>Low</v>
      </c>
      <c r="W104" t="str">
        <f>IF(Table1[[#This Row],[skill_gap_index]]&gt;70,"Large Gap",
IF(Table1[[#This Row],[skill_gap_index]]&gt;40,"Medium Gap","Small Gap"))</f>
        <v>Small Gap</v>
      </c>
      <c r="X104" s="3" t="str">
        <f>IF(Table1[[#This Row],[automation_risk_percent]]&gt;0.7,"Highly Automatable",
IF(Table1[[#This Row],[automation_risk_percent]]&gt;0.4,"Moderate Risk","Safe Job"))</f>
        <v>Safe Job</v>
      </c>
    </row>
    <row r="105" spans="1:24" x14ac:dyDescent="0.3">
      <c r="A105">
        <v>389</v>
      </c>
      <c r="B105" t="s">
        <v>18</v>
      </c>
      <c r="C105" t="s">
        <v>23</v>
      </c>
      <c r="D105" t="s">
        <v>20</v>
      </c>
      <c r="E105" s="1">
        <v>2026</v>
      </c>
      <c r="F105" s="11">
        <v>0.25239999999999996</v>
      </c>
      <c r="G105">
        <v>26.87</v>
      </c>
      <c r="H105">
        <v>48.4</v>
      </c>
      <c r="I105" s="2">
        <v>30637.62</v>
      </c>
      <c r="J105" s="2">
        <v>32472.18</v>
      </c>
      <c r="K105" s="2">
        <f>Table1[[#This Row],[Salary_after]]-Table1[[#This Row],[Salary_before]]</f>
        <v>1834.5600000000013</v>
      </c>
      <c r="L105" s="11">
        <v>5.9900000000000002E-2</v>
      </c>
      <c r="M105" s="11">
        <v>0.1168</v>
      </c>
      <c r="N105">
        <v>59.36</v>
      </c>
      <c r="O105">
        <v>6.65</v>
      </c>
      <c r="P105">
        <v>1</v>
      </c>
      <c r="Q105" t="s">
        <v>21</v>
      </c>
      <c r="R105">
        <v>36.82</v>
      </c>
      <c r="S105">
        <v>5.99</v>
      </c>
      <c r="T105" s="4">
        <v>26.413</v>
      </c>
      <c r="U105" s="4">
        <v>1.6784600000000001</v>
      </c>
      <c r="V105" t="str">
        <f>IF(Table1[[#This Row],[ai_disruption_intensity]]&gt;70,"High",
IF(Table1[[#This Row],[ai_disruption_intensity]]&gt;40,"Medium","Low"))</f>
        <v>Low</v>
      </c>
      <c r="W105" t="str">
        <f>IF(Table1[[#This Row],[skill_gap_index]]&gt;70,"Large Gap",
IF(Table1[[#This Row],[skill_gap_index]]&gt;40,"Medium Gap","Small Gap"))</f>
        <v>Medium Gap</v>
      </c>
      <c r="X105" s="3" t="str">
        <f>IF(Table1[[#This Row],[automation_risk_percent]]&gt;0.7,"Highly Automatable",
IF(Table1[[#This Row],[automation_risk_percent]]&gt;0.4,"Moderate Risk","Safe Job"))</f>
        <v>Safe Job</v>
      </c>
    </row>
    <row r="106" spans="1:24" x14ac:dyDescent="0.3">
      <c r="A106">
        <v>390</v>
      </c>
      <c r="B106" t="s">
        <v>26</v>
      </c>
      <c r="C106" t="s">
        <v>33</v>
      </c>
      <c r="D106" t="s">
        <v>35</v>
      </c>
      <c r="E106" s="1">
        <v>2025</v>
      </c>
      <c r="F106" s="11">
        <v>0.53659999999999997</v>
      </c>
      <c r="G106">
        <v>55.45</v>
      </c>
      <c r="H106">
        <v>78.2</v>
      </c>
      <c r="I106" s="2">
        <v>120209.64</v>
      </c>
      <c r="J106" s="2">
        <v>121217.32</v>
      </c>
      <c r="K106" s="2">
        <f>Table1[[#This Row],[Salary_after]]-Table1[[#This Row],[Salary_before]]</f>
        <v>1007.6800000000076</v>
      </c>
      <c r="L106" s="11">
        <v>8.3999999999999995E-3</v>
      </c>
      <c r="M106" s="11">
        <v>0.191</v>
      </c>
      <c r="N106">
        <v>22.63</v>
      </c>
      <c r="O106">
        <v>67.12</v>
      </c>
      <c r="P106">
        <v>2</v>
      </c>
      <c r="Q106" t="s">
        <v>25</v>
      </c>
      <c r="R106">
        <v>65.930000000000007</v>
      </c>
      <c r="S106">
        <v>0.84</v>
      </c>
      <c r="T106" s="4">
        <v>45.176000000000002</v>
      </c>
      <c r="U106" s="4">
        <v>36.016592000000003</v>
      </c>
      <c r="V106" t="str">
        <f>IF(Table1[[#This Row],[ai_disruption_intensity]]&gt;70,"High",
IF(Table1[[#This Row],[ai_disruption_intensity]]&gt;40,"Medium","Low"))</f>
        <v>Low</v>
      </c>
      <c r="W106" t="str">
        <f>IF(Table1[[#This Row],[skill_gap_index]]&gt;70,"Large Gap",
IF(Table1[[#This Row],[skill_gap_index]]&gt;40,"Medium Gap","Small Gap"))</f>
        <v>Large Gap</v>
      </c>
      <c r="X106" s="3" t="str">
        <f>IF(Table1[[#This Row],[automation_risk_percent]]&gt;0.7,"Highly Automatable",
IF(Table1[[#This Row],[automation_risk_percent]]&gt;0.4,"Moderate Risk","Safe Job"))</f>
        <v>Moderate Risk</v>
      </c>
    </row>
    <row r="107" spans="1:24" x14ac:dyDescent="0.3">
      <c r="A107">
        <v>393</v>
      </c>
      <c r="B107" t="s">
        <v>22</v>
      </c>
      <c r="C107" t="s">
        <v>40</v>
      </c>
      <c r="D107" t="s">
        <v>31</v>
      </c>
      <c r="E107" s="1">
        <v>2025</v>
      </c>
      <c r="F107" s="11">
        <v>0.28970000000000001</v>
      </c>
      <c r="G107">
        <v>25.52</v>
      </c>
      <c r="H107">
        <v>31.38</v>
      </c>
      <c r="I107" s="2">
        <v>58980.08</v>
      </c>
      <c r="J107" s="2">
        <v>56794.82</v>
      </c>
      <c r="K107" s="2">
        <f>Table1[[#This Row],[Salary_after]]-Table1[[#This Row],[Salary_before]]</f>
        <v>-2185.260000000002</v>
      </c>
      <c r="L107" s="11">
        <v>-3.7100000000000001E-2</v>
      </c>
      <c r="M107" s="11">
        <v>-9.06E-2</v>
      </c>
      <c r="N107">
        <v>91.71</v>
      </c>
      <c r="O107">
        <v>50.71</v>
      </c>
      <c r="P107">
        <v>1</v>
      </c>
      <c r="Q107" t="s">
        <v>21</v>
      </c>
      <c r="R107">
        <v>30.174999999999901</v>
      </c>
      <c r="S107">
        <v>3.71</v>
      </c>
      <c r="T107" s="4">
        <v>22.114999999999998</v>
      </c>
      <c r="U107" s="4">
        <v>14.690687</v>
      </c>
      <c r="V107" t="str">
        <f>IF(Table1[[#This Row],[ai_disruption_intensity]]&gt;70,"High",
IF(Table1[[#This Row],[ai_disruption_intensity]]&gt;40,"Medium","Low"))</f>
        <v>Low</v>
      </c>
      <c r="W107" t="str">
        <f>IF(Table1[[#This Row],[skill_gap_index]]&gt;70,"Large Gap",
IF(Table1[[#This Row],[skill_gap_index]]&gt;40,"Medium Gap","Small Gap"))</f>
        <v>Small Gap</v>
      </c>
      <c r="X107" s="3" t="str">
        <f>IF(Table1[[#This Row],[automation_risk_percent]]&gt;0.7,"Highly Automatable",
IF(Table1[[#This Row],[automation_risk_percent]]&gt;0.4,"Moderate Risk","Safe Job"))</f>
        <v>Safe Job</v>
      </c>
    </row>
    <row r="108" spans="1:24" x14ac:dyDescent="0.3">
      <c r="A108">
        <v>396</v>
      </c>
      <c r="B108" t="s">
        <v>39</v>
      </c>
      <c r="C108" t="s">
        <v>38</v>
      </c>
      <c r="D108" t="s">
        <v>32</v>
      </c>
      <c r="E108" s="1">
        <v>2026</v>
      </c>
      <c r="F108" s="11">
        <v>0.25309999999999999</v>
      </c>
      <c r="G108">
        <v>26.27</v>
      </c>
      <c r="H108">
        <v>26.46</v>
      </c>
      <c r="I108" s="2">
        <v>109436.27</v>
      </c>
      <c r="J108" s="2">
        <v>115480.44</v>
      </c>
      <c r="K108" s="2">
        <f>Table1[[#This Row],[Salary_after]]-Table1[[#This Row],[Salary_before]]</f>
        <v>6044.1699999999983</v>
      </c>
      <c r="L108" s="11">
        <v>5.5199999999999999E-2</v>
      </c>
      <c r="M108" s="11">
        <v>0.11259999999999999</v>
      </c>
      <c r="N108">
        <v>78.48</v>
      </c>
      <c r="O108">
        <v>18.77</v>
      </c>
      <c r="P108">
        <v>3</v>
      </c>
      <c r="Q108" t="s">
        <v>21</v>
      </c>
      <c r="R108">
        <v>25.884999999999899</v>
      </c>
      <c r="S108">
        <v>5.52</v>
      </c>
      <c r="T108" s="4">
        <v>19.718</v>
      </c>
      <c r="U108" s="4">
        <v>4.7506870000000001</v>
      </c>
      <c r="V108" t="str">
        <f>IF(Table1[[#This Row],[ai_disruption_intensity]]&gt;70,"High",
IF(Table1[[#This Row],[ai_disruption_intensity]]&gt;40,"Medium","Low"))</f>
        <v>Low</v>
      </c>
      <c r="W108" t="str">
        <f>IF(Table1[[#This Row],[skill_gap_index]]&gt;70,"Large Gap",
IF(Table1[[#This Row],[skill_gap_index]]&gt;40,"Medium Gap","Small Gap"))</f>
        <v>Small Gap</v>
      </c>
      <c r="X108" s="3" t="str">
        <f>IF(Table1[[#This Row],[automation_risk_percent]]&gt;0.7,"Highly Automatable",
IF(Table1[[#This Row],[automation_risk_percent]]&gt;0.4,"Moderate Risk","Safe Job"))</f>
        <v>Safe Job</v>
      </c>
    </row>
    <row r="109" spans="1:24" x14ac:dyDescent="0.3">
      <c r="A109">
        <v>400</v>
      </c>
      <c r="B109" t="s">
        <v>43</v>
      </c>
      <c r="C109" t="s">
        <v>34</v>
      </c>
      <c r="D109" t="s">
        <v>32</v>
      </c>
      <c r="E109" s="1">
        <v>2026</v>
      </c>
      <c r="F109" s="11">
        <v>0.26899999999999996</v>
      </c>
      <c r="G109">
        <v>21.96</v>
      </c>
      <c r="H109">
        <v>41.12</v>
      </c>
      <c r="I109" s="2">
        <v>45609.68</v>
      </c>
      <c r="J109" s="2">
        <v>45430.400000000001</v>
      </c>
      <c r="K109" s="2">
        <f>Table1[[#This Row],[Salary_after]]-Table1[[#This Row],[Salary_before]]</f>
        <v>-179.27999999999884</v>
      </c>
      <c r="L109" s="11">
        <v>-3.9000000000000003E-3</v>
      </c>
      <c r="M109" s="11">
        <v>3.6600000000000001E-2</v>
      </c>
      <c r="N109">
        <v>80.540000000000006</v>
      </c>
      <c r="O109">
        <v>56.62</v>
      </c>
      <c r="P109">
        <v>3</v>
      </c>
      <c r="Q109" t="s">
        <v>21</v>
      </c>
      <c r="R109">
        <v>34.01</v>
      </c>
      <c r="S109">
        <v>0.39</v>
      </c>
      <c r="T109" s="4">
        <v>23.212999999999901</v>
      </c>
      <c r="U109" s="4">
        <v>15.2307799999999</v>
      </c>
      <c r="V109" t="str">
        <f>IF(Table1[[#This Row],[ai_disruption_intensity]]&gt;70,"High",
IF(Table1[[#This Row],[ai_disruption_intensity]]&gt;40,"Medium","Low"))</f>
        <v>Low</v>
      </c>
      <c r="W109" t="str">
        <f>IF(Table1[[#This Row],[skill_gap_index]]&gt;70,"Large Gap",
IF(Table1[[#This Row],[skill_gap_index]]&gt;40,"Medium Gap","Small Gap"))</f>
        <v>Medium Gap</v>
      </c>
      <c r="X109" s="3" t="str">
        <f>IF(Table1[[#This Row],[automation_risk_percent]]&gt;0.7,"Highly Automatable",
IF(Table1[[#This Row],[automation_risk_percent]]&gt;0.4,"Moderate Risk","Safe Job"))</f>
        <v>Safe Job</v>
      </c>
    </row>
    <row r="110" spans="1:24" x14ac:dyDescent="0.3">
      <c r="A110">
        <v>401</v>
      </c>
      <c r="B110" t="s">
        <v>18</v>
      </c>
      <c r="C110" t="s">
        <v>23</v>
      </c>
      <c r="D110" t="s">
        <v>24</v>
      </c>
      <c r="E110" s="1">
        <v>2026</v>
      </c>
      <c r="F110" s="11">
        <v>0.31890000000000002</v>
      </c>
      <c r="G110">
        <v>33.86</v>
      </c>
      <c r="H110">
        <v>23.2</v>
      </c>
      <c r="I110" s="2">
        <v>31725.77</v>
      </c>
      <c r="J110" s="2">
        <v>33699.339999999997</v>
      </c>
      <c r="K110" s="2">
        <f>Table1[[#This Row],[Salary_after]]-Table1[[#This Row],[Salary_before]]</f>
        <v>1973.5699999999961</v>
      </c>
      <c r="L110" s="11">
        <v>6.2199999999999998E-2</v>
      </c>
      <c r="M110" s="11">
        <v>0.18289999999999998</v>
      </c>
      <c r="N110">
        <v>78.61</v>
      </c>
      <c r="O110">
        <v>3.89</v>
      </c>
      <c r="P110">
        <v>2</v>
      </c>
      <c r="Q110" t="s">
        <v>25</v>
      </c>
      <c r="R110">
        <v>27.545000000000002</v>
      </c>
      <c r="S110">
        <v>6.22</v>
      </c>
      <c r="T110" s="4">
        <v>21.582000000000001</v>
      </c>
      <c r="U110" s="4">
        <v>1.240521</v>
      </c>
      <c r="V110" t="str">
        <f>IF(Table1[[#This Row],[ai_disruption_intensity]]&gt;70,"High",
IF(Table1[[#This Row],[ai_disruption_intensity]]&gt;40,"Medium","Low"))</f>
        <v>Low</v>
      </c>
      <c r="W110" t="str">
        <f>IF(Table1[[#This Row],[skill_gap_index]]&gt;70,"Large Gap",
IF(Table1[[#This Row],[skill_gap_index]]&gt;40,"Medium Gap","Small Gap"))</f>
        <v>Small Gap</v>
      </c>
      <c r="X110" s="3" t="str">
        <f>IF(Table1[[#This Row],[automation_risk_percent]]&gt;0.7,"Highly Automatable",
IF(Table1[[#This Row],[automation_risk_percent]]&gt;0.4,"Moderate Risk","Safe Job"))</f>
        <v>Safe Job</v>
      </c>
    </row>
    <row r="111" spans="1:24" x14ac:dyDescent="0.3">
      <c r="A111">
        <v>413</v>
      </c>
      <c r="B111" t="s">
        <v>46</v>
      </c>
      <c r="C111" t="s">
        <v>27</v>
      </c>
      <c r="D111" t="s">
        <v>47</v>
      </c>
      <c r="E111" s="1">
        <v>2026</v>
      </c>
      <c r="F111" s="11">
        <v>0.16059999999999999</v>
      </c>
      <c r="G111">
        <v>15.86</v>
      </c>
      <c r="H111">
        <v>26.86</v>
      </c>
      <c r="I111" s="2">
        <v>42117.37</v>
      </c>
      <c r="J111" s="2">
        <v>41038.410000000003</v>
      </c>
      <c r="K111" s="2">
        <f>Table1[[#This Row],[Salary_after]]-Table1[[#This Row],[Salary_before]]</f>
        <v>-1078.9599999999991</v>
      </c>
      <c r="L111" s="11">
        <v>-2.5600000000000001E-2</v>
      </c>
      <c r="M111" s="11">
        <v>2.5899999999999999E-2</v>
      </c>
      <c r="N111">
        <v>97.58</v>
      </c>
      <c r="O111">
        <v>75.930000000000007</v>
      </c>
      <c r="P111">
        <v>4</v>
      </c>
      <c r="Q111" t="s">
        <v>21</v>
      </c>
      <c r="R111">
        <v>21.46</v>
      </c>
      <c r="S111">
        <v>2.56</v>
      </c>
      <c r="T111" s="4">
        <v>15.25</v>
      </c>
      <c r="U111" s="4">
        <v>12.194357999999999</v>
      </c>
      <c r="V111" t="str">
        <f>IF(Table1[[#This Row],[ai_disruption_intensity]]&gt;70,"High",
IF(Table1[[#This Row],[ai_disruption_intensity]]&gt;40,"Medium","Low"))</f>
        <v>Low</v>
      </c>
      <c r="W111" t="str">
        <f>IF(Table1[[#This Row],[skill_gap_index]]&gt;70,"Large Gap",
IF(Table1[[#This Row],[skill_gap_index]]&gt;40,"Medium Gap","Small Gap"))</f>
        <v>Small Gap</v>
      </c>
      <c r="X111" s="3" t="str">
        <f>IF(Table1[[#This Row],[automation_risk_percent]]&gt;0.7,"Highly Automatable",
IF(Table1[[#This Row],[automation_risk_percent]]&gt;0.4,"Moderate Risk","Safe Job"))</f>
        <v>Safe Job</v>
      </c>
    </row>
    <row r="112" spans="1:24" x14ac:dyDescent="0.3">
      <c r="A112">
        <v>421</v>
      </c>
      <c r="B112" t="s">
        <v>44</v>
      </c>
      <c r="C112" t="s">
        <v>38</v>
      </c>
      <c r="D112" t="s">
        <v>32</v>
      </c>
      <c r="E112" s="1">
        <v>2026</v>
      </c>
      <c r="F112" s="11">
        <v>0.4178</v>
      </c>
      <c r="G112">
        <v>46.17</v>
      </c>
      <c r="H112">
        <v>12.6</v>
      </c>
      <c r="I112" s="2">
        <v>53570.31</v>
      </c>
      <c r="J112" s="2">
        <v>63770.82</v>
      </c>
      <c r="K112" s="2">
        <f>Table1[[#This Row],[Salary_after]]-Table1[[#This Row],[Salary_before]]</f>
        <v>10200.510000000002</v>
      </c>
      <c r="L112" s="11">
        <v>0.19039999999999999</v>
      </c>
      <c r="M112" s="11">
        <v>0.21260000000000001</v>
      </c>
      <c r="N112">
        <v>54.07</v>
      </c>
      <c r="O112">
        <v>64.47</v>
      </c>
      <c r="P112">
        <v>2</v>
      </c>
      <c r="Q112" t="s">
        <v>25</v>
      </c>
      <c r="R112">
        <v>27.19</v>
      </c>
      <c r="S112">
        <v>19.04</v>
      </c>
      <c r="T112" s="4">
        <v>26.204000000000001</v>
      </c>
      <c r="U112" s="4">
        <v>26.935565999999898</v>
      </c>
      <c r="V112" t="str">
        <f>IF(Table1[[#This Row],[ai_disruption_intensity]]&gt;70,"High",
IF(Table1[[#This Row],[ai_disruption_intensity]]&gt;40,"Medium","Low"))</f>
        <v>Low</v>
      </c>
      <c r="W112" t="str">
        <f>IF(Table1[[#This Row],[skill_gap_index]]&gt;70,"Large Gap",
IF(Table1[[#This Row],[skill_gap_index]]&gt;40,"Medium Gap","Small Gap"))</f>
        <v>Small Gap</v>
      </c>
      <c r="X112" s="3" t="str">
        <f>IF(Table1[[#This Row],[automation_risk_percent]]&gt;0.7,"Highly Automatable",
IF(Table1[[#This Row],[automation_risk_percent]]&gt;0.4,"Moderate Risk","Safe Job"))</f>
        <v>Moderate Risk</v>
      </c>
    </row>
    <row r="113" spans="1:24" x14ac:dyDescent="0.3">
      <c r="A113">
        <v>424</v>
      </c>
      <c r="B113" t="s">
        <v>43</v>
      </c>
      <c r="C113" t="s">
        <v>40</v>
      </c>
      <c r="D113" t="s">
        <v>20</v>
      </c>
      <c r="E113" s="1">
        <v>2025</v>
      </c>
      <c r="F113" s="11">
        <v>0.35719999999999996</v>
      </c>
      <c r="G113">
        <v>29.82</v>
      </c>
      <c r="H113">
        <v>55.68</v>
      </c>
      <c r="I113" s="2">
        <v>131414.5</v>
      </c>
      <c r="J113" s="2">
        <v>124433.58</v>
      </c>
      <c r="K113" s="2">
        <f>Table1[[#This Row],[Salary_after]]-Table1[[#This Row],[Salary_before]]</f>
        <v>-6980.9199999999983</v>
      </c>
      <c r="L113" s="11">
        <v>-5.3099999999999994E-2</v>
      </c>
      <c r="M113" s="11">
        <v>9.8400000000000001E-2</v>
      </c>
      <c r="N113">
        <v>70.55</v>
      </c>
      <c r="O113">
        <v>22.05</v>
      </c>
      <c r="P113">
        <v>2</v>
      </c>
      <c r="Q113" t="s">
        <v>25</v>
      </c>
      <c r="R113">
        <v>45.7</v>
      </c>
      <c r="S113">
        <v>5.31</v>
      </c>
      <c r="T113" s="4">
        <v>32.585000000000001</v>
      </c>
      <c r="U113" s="4">
        <v>7.8762599999999896</v>
      </c>
      <c r="V113" t="str">
        <f>IF(Table1[[#This Row],[ai_disruption_intensity]]&gt;70,"High",
IF(Table1[[#This Row],[ai_disruption_intensity]]&gt;40,"Medium","Low"))</f>
        <v>Low</v>
      </c>
      <c r="W113" t="str">
        <f>IF(Table1[[#This Row],[skill_gap_index]]&gt;70,"Large Gap",
IF(Table1[[#This Row],[skill_gap_index]]&gt;40,"Medium Gap","Small Gap"))</f>
        <v>Medium Gap</v>
      </c>
      <c r="X113" s="3" t="str">
        <f>IF(Table1[[#This Row],[automation_risk_percent]]&gt;0.7,"Highly Automatable",
IF(Table1[[#This Row],[automation_risk_percent]]&gt;0.4,"Moderate Risk","Safe Job"))</f>
        <v>Safe Job</v>
      </c>
    </row>
    <row r="114" spans="1:24" x14ac:dyDescent="0.3">
      <c r="A114">
        <v>432</v>
      </c>
      <c r="B114" t="s">
        <v>45</v>
      </c>
      <c r="C114" t="s">
        <v>38</v>
      </c>
      <c r="D114" t="s">
        <v>36</v>
      </c>
      <c r="E114" s="1">
        <v>2026</v>
      </c>
      <c r="F114" s="11">
        <v>0.57420000000000004</v>
      </c>
      <c r="G114">
        <v>58.93</v>
      </c>
      <c r="H114">
        <v>92.91</v>
      </c>
      <c r="I114" s="2">
        <v>76478.7</v>
      </c>
      <c r="J114" s="2">
        <v>77228.710000000006</v>
      </c>
      <c r="K114" s="2">
        <f>Table1[[#This Row],[Salary_after]]-Table1[[#This Row],[Salary_before]]</f>
        <v>750.01000000000931</v>
      </c>
      <c r="L114" s="11">
        <v>9.7999999999999997E-3</v>
      </c>
      <c r="M114" s="11">
        <v>0.17960000000000001</v>
      </c>
      <c r="N114">
        <v>79.77</v>
      </c>
      <c r="O114">
        <v>23.44</v>
      </c>
      <c r="P114">
        <v>3</v>
      </c>
      <c r="Q114" t="s">
        <v>25</v>
      </c>
      <c r="R114">
        <v>75.164999999999907</v>
      </c>
      <c r="S114">
        <v>0.98</v>
      </c>
      <c r="T114" s="4">
        <v>51.134999999999998</v>
      </c>
      <c r="U114" s="4">
        <v>13.459248000000001</v>
      </c>
      <c r="V114" t="str">
        <f>IF(Table1[[#This Row],[ai_disruption_intensity]]&gt;70,"High",
IF(Table1[[#This Row],[ai_disruption_intensity]]&gt;40,"Medium","Low"))</f>
        <v>Low</v>
      </c>
      <c r="W114" t="str">
        <f>IF(Table1[[#This Row],[skill_gap_index]]&gt;70,"Large Gap",
IF(Table1[[#This Row],[skill_gap_index]]&gt;40,"Medium Gap","Small Gap"))</f>
        <v>Large Gap</v>
      </c>
      <c r="X114" s="3" t="str">
        <f>IF(Table1[[#This Row],[automation_risk_percent]]&gt;0.7,"Highly Automatable",
IF(Table1[[#This Row],[automation_risk_percent]]&gt;0.4,"Moderate Risk","Safe Job"))</f>
        <v>Moderate Risk</v>
      </c>
    </row>
    <row r="115" spans="1:24" x14ac:dyDescent="0.3">
      <c r="A115">
        <v>434</v>
      </c>
      <c r="B115" t="s">
        <v>39</v>
      </c>
      <c r="C115" t="s">
        <v>40</v>
      </c>
      <c r="D115" t="s">
        <v>35</v>
      </c>
      <c r="E115" s="1">
        <v>2025</v>
      </c>
      <c r="F115" s="11">
        <v>0.32229999999999998</v>
      </c>
      <c r="G115">
        <v>36.72</v>
      </c>
      <c r="H115">
        <v>94.72</v>
      </c>
      <c r="I115" s="2">
        <v>136182.60999999999</v>
      </c>
      <c r="J115" s="2">
        <v>124072.7</v>
      </c>
      <c r="K115" s="2">
        <f>Table1[[#This Row],[Salary_after]]-Table1[[#This Row],[Salary_before]]</f>
        <v>-12109.909999999989</v>
      </c>
      <c r="L115" s="11">
        <v>-8.8900000000000007E-2</v>
      </c>
      <c r="M115" s="11">
        <v>0.14550000000000002</v>
      </c>
      <c r="N115">
        <v>35.35</v>
      </c>
      <c r="O115">
        <v>96.34</v>
      </c>
      <c r="P115">
        <v>4</v>
      </c>
      <c r="Q115" t="s">
        <v>25</v>
      </c>
      <c r="R115">
        <v>63.474999999999902</v>
      </c>
      <c r="S115">
        <v>8.89</v>
      </c>
      <c r="T115" s="4">
        <v>43.975000000000001</v>
      </c>
      <c r="U115" s="4">
        <v>31.050381999999999</v>
      </c>
      <c r="V115" t="str">
        <f>IF(Table1[[#This Row],[ai_disruption_intensity]]&gt;70,"High",
IF(Table1[[#This Row],[ai_disruption_intensity]]&gt;40,"Medium","Low"))</f>
        <v>Low</v>
      </c>
      <c r="W115" t="str">
        <f>IF(Table1[[#This Row],[skill_gap_index]]&gt;70,"Large Gap",
IF(Table1[[#This Row],[skill_gap_index]]&gt;40,"Medium Gap","Small Gap"))</f>
        <v>Large Gap</v>
      </c>
      <c r="X115" s="3" t="str">
        <f>IF(Table1[[#This Row],[automation_risk_percent]]&gt;0.7,"Highly Automatable",
IF(Table1[[#This Row],[automation_risk_percent]]&gt;0.4,"Moderate Risk","Safe Job"))</f>
        <v>Safe Job</v>
      </c>
    </row>
    <row r="116" spans="1:24" x14ac:dyDescent="0.3">
      <c r="A116">
        <v>437</v>
      </c>
      <c r="B116" t="s">
        <v>29</v>
      </c>
      <c r="C116" t="s">
        <v>34</v>
      </c>
      <c r="D116" t="s">
        <v>20</v>
      </c>
      <c r="E116" s="1">
        <v>2025</v>
      </c>
      <c r="F116" s="11">
        <v>0.36399999999999999</v>
      </c>
      <c r="G116">
        <v>37.78</v>
      </c>
      <c r="H116">
        <v>15.05</v>
      </c>
      <c r="I116" s="2">
        <v>146169.17000000001</v>
      </c>
      <c r="J116" s="2">
        <v>147414.67000000001</v>
      </c>
      <c r="K116" s="2">
        <f>Table1[[#This Row],[Salary_after]]-Table1[[#This Row],[Salary_before]]</f>
        <v>1245.5</v>
      </c>
      <c r="L116" s="11">
        <v>8.5000000000000006E-3</v>
      </c>
      <c r="M116" s="11">
        <v>-0.24909999999999999</v>
      </c>
      <c r="N116">
        <v>32.200000000000003</v>
      </c>
      <c r="O116">
        <v>47.1</v>
      </c>
      <c r="P116">
        <v>5</v>
      </c>
      <c r="Q116" t="s">
        <v>25</v>
      </c>
      <c r="R116">
        <v>25.725000000000001</v>
      </c>
      <c r="S116">
        <v>0.85</v>
      </c>
      <c r="T116" s="4">
        <v>19.329999999999998</v>
      </c>
      <c r="U116" s="4">
        <v>17.144400000000001</v>
      </c>
      <c r="V116" t="str">
        <f>IF(Table1[[#This Row],[ai_disruption_intensity]]&gt;70,"High",
IF(Table1[[#This Row],[ai_disruption_intensity]]&gt;40,"Medium","Low"))</f>
        <v>Low</v>
      </c>
      <c r="W116" t="str">
        <f>IF(Table1[[#This Row],[skill_gap_index]]&gt;70,"Large Gap",
IF(Table1[[#This Row],[skill_gap_index]]&gt;40,"Medium Gap","Small Gap"))</f>
        <v>Small Gap</v>
      </c>
      <c r="X116" s="3" t="str">
        <f>IF(Table1[[#This Row],[automation_risk_percent]]&gt;0.7,"Highly Automatable",
IF(Table1[[#This Row],[automation_risk_percent]]&gt;0.4,"Moderate Risk","Safe Job"))</f>
        <v>Safe Job</v>
      </c>
    </row>
    <row r="117" spans="1:24" x14ac:dyDescent="0.3">
      <c r="A117">
        <v>439</v>
      </c>
      <c r="B117" t="s">
        <v>39</v>
      </c>
      <c r="C117" t="s">
        <v>40</v>
      </c>
      <c r="D117" t="s">
        <v>31</v>
      </c>
      <c r="E117" s="1">
        <v>2025</v>
      </c>
      <c r="F117" s="11">
        <v>0.72689999999999999</v>
      </c>
      <c r="G117">
        <v>84.59</v>
      </c>
      <c r="H117">
        <v>31.39</v>
      </c>
      <c r="I117" s="2">
        <v>112926.7</v>
      </c>
      <c r="J117" s="2">
        <v>103615.73</v>
      </c>
      <c r="K117" s="2">
        <f>Table1[[#This Row],[Salary_after]]-Table1[[#This Row],[Salary_before]]</f>
        <v>-9310.9700000000012</v>
      </c>
      <c r="L117" s="11">
        <v>-8.2500000000000004E-2</v>
      </c>
      <c r="M117" s="11">
        <v>-1.09E-2</v>
      </c>
      <c r="N117">
        <v>26.62</v>
      </c>
      <c r="O117">
        <v>34.21</v>
      </c>
      <c r="P117">
        <v>2</v>
      </c>
      <c r="Q117" t="s">
        <v>37</v>
      </c>
      <c r="R117">
        <v>52.04</v>
      </c>
      <c r="S117">
        <v>8.25</v>
      </c>
      <c r="T117" s="4">
        <v>40.968000000000004</v>
      </c>
      <c r="U117" s="4">
        <v>24.867249000000001</v>
      </c>
      <c r="V117" t="str">
        <f>IF(Table1[[#This Row],[ai_disruption_intensity]]&gt;70,"High",
IF(Table1[[#This Row],[ai_disruption_intensity]]&gt;40,"Medium","Low"))</f>
        <v>Low</v>
      </c>
      <c r="W117" t="str">
        <f>IF(Table1[[#This Row],[skill_gap_index]]&gt;70,"Large Gap",
IF(Table1[[#This Row],[skill_gap_index]]&gt;40,"Medium Gap","Small Gap"))</f>
        <v>Small Gap</v>
      </c>
      <c r="X117" s="3" t="str">
        <f>IF(Table1[[#This Row],[automation_risk_percent]]&gt;0.7,"Highly Automatable",
IF(Table1[[#This Row],[automation_risk_percent]]&gt;0.4,"Moderate Risk","Safe Job"))</f>
        <v>Highly Automatable</v>
      </c>
    </row>
    <row r="118" spans="1:24" x14ac:dyDescent="0.3">
      <c r="A118">
        <v>440</v>
      </c>
      <c r="B118" t="s">
        <v>46</v>
      </c>
      <c r="C118" t="s">
        <v>27</v>
      </c>
      <c r="D118" t="s">
        <v>36</v>
      </c>
      <c r="E118" s="1">
        <v>2025</v>
      </c>
      <c r="F118" s="11">
        <v>0.30099999999999999</v>
      </c>
      <c r="G118">
        <v>34.08</v>
      </c>
      <c r="H118">
        <v>11.99</v>
      </c>
      <c r="I118" s="2">
        <v>118191.1</v>
      </c>
      <c r="J118" s="2">
        <v>96673.19</v>
      </c>
      <c r="K118" s="2">
        <f>Table1[[#This Row],[Salary_after]]-Table1[[#This Row],[Salary_before]]</f>
        <v>-21517.910000000003</v>
      </c>
      <c r="L118" s="11">
        <v>-0.18210000000000001</v>
      </c>
      <c r="M118" s="11">
        <v>7.6999999999999999E-2</v>
      </c>
      <c r="N118">
        <v>54.35</v>
      </c>
      <c r="O118">
        <v>29.99</v>
      </c>
      <c r="P118">
        <v>4</v>
      </c>
      <c r="Q118" t="s">
        <v>25</v>
      </c>
      <c r="R118">
        <v>21.045000000000002</v>
      </c>
      <c r="S118">
        <v>18.21</v>
      </c>
      <c r="T118" s="4">
        <v>21.1</v>
      </c>
      <c r="U118" s="4">
        <v>9.0269899999999996</v>
      </c>
      <c r="V118" t="str">
        <f>IF(Table1[[#This Row],[ai_disruption_intensity]]&gt;70,"High",
IF(Table1[[#This Row],[ai_disruption_intensity]]&gt;40,"Medium","Low"))</f>
        <v>Low</v>
      </c>
      <c r="W118" t="str">
        <f>IF(Table1[[#This Row],[skill_gap_index]]&gt;70,"Large Gap",
IF(Table1[[#This Row],[skill_gap_index]]&gt;40,"Medium Gap","Small Gap"))</f>
        <v>Small Gap</v>
      </c>
      <c r="X118" s="3" t="str">
        <f>IF(Table1[[#This Row],[automation_risk_percent]]&gt;0.7,"Highly Automatable",
IF(Table1[[#This Row],[automation_risk_percent]]&gt;0.4,"Moderate Risk","Safe Job"))</f>
        <v>Safe Job</v>
      </c>
    </row>
    <row r="119" spans="1:24" x14ac:dyDescent="0.3">
      <c r="A119">
        <v>446</v>
      </c>
      <c r="B119" t="s">
        <v>45</v>
      </c>
      <c r="C119" t="s">
        <v>40</v>
      </c>
      <c r="D119" t="s">
        <v>32</v>
      </c>
      <c r="E119" s="1">
        <v>2026</v>
      </c>
      <c r="F119" s="11">
        <v>0.58440000000000003</v>
      </c>
      <c r="G119">
        <v>57.46</v>
      </c>
      <c r="H119">
        <v>22.65</v>
      </c>
      <c r="I119" s="2">
        <v>103676.44</v>
      </c>
      <c r="J119" s="2">
        <v>108715.49</v>
      </c>
      <c r="K119" s="2">
        <f>Table1[[#This Row],[Salary_after]]-Table1[[#This Row],[Salary_before]]</f>
        <v>5039.0500000000029</v>
      </c>
      <c r="L119" s="11">
        <v>4.8600000000000004E-2</v>
      </c>
      <c r="M119" s="11">
        <v>-0.1047</v>
      </c>
      <c r="N119">
        <v>42.33</v>
      </c>
      <c r="O119">
        <v>82.36</v>
      </c>
      <c r="P119">
        <v>5</v>
      </c>
      <c r="Q119" t="s">
        <v>25</v>
      </c>
      <c r="R119">
        <v>40.545000000000002</v>
      </c>
      <c r="S119">
        <v>4.8600000000000003</v>
      </c>
      <c r="T119" s="4">
        <v>31.628999999999898</v>
      </c>
      <c r="U119" s="4">
        <v>48.131183999999898</v>
      </c>
      <c r="V119" t="str">
        <f>IF(Table1[[#This Row],[ai_disruption_intensity]]&gt;70,"High",
IF(Table1[[#This Row],[ai_disruption_intensity]]&gt;40,"Medium","Low"))</f>
        <v>Medium</v>
      </c>
      <c r="W119" t="str">
        <f>IF(Table1[[#This Row],[skill_gap_index]]&gt;70,"Large Gap",
IF(Table1[[#This Row],[skill_gap_index]]&gt;40,"Medium Gap","Small Gap"))</f>
        <v>Small Gap</v>
      </c>
      <c r="X119" s="3" t="str">
        <f>IF(Table1[[#This Row],[automation_risk_percent]]&gt;0.7,"Highly Automatable",
IF(Table1[[#This Row],[automation_risk_percent]]&gt;0.4,"Moderate Risk","Safe Job"))</f>
        <v>Moderate Risk</v>
      </c>
    </row>
    <row r="120" spans="1:24" x14ac:dyDescent="0.3">
      <c r="A120">
        <v>447</v>
      </c>
      <c r="B120" t="s">
        <v>41</v>
      </c>
      <c r="C120" t="s">
        <v>19</v>
      </c>
      <c r="D120" t="s">
        <v>24</v>
      </c>
      <c r="E120" s="1">
        <v>2026</v>
      </c>
      <c r="F120" s="11">
        <v>0.82450000000000001</v>
      </c>
      <c r="G120">
        <v>81.7</v>
      </c>
      <c r="H120">
        <v>35.08</v>
      </c>
      <c r="I120" s="2">
        <v>73507.179999999993</v>
      </c>
      <c r="J120" s="2">
        <v>69217.3</v>
      </c>
      <c r="K120" s="2">
        <f>Table1[[#This Row],[Salary_after]]-Table1[[#This Row],[Salary_before]]</f>
        <v>-4289.8799999999901</v>
      </c>
      <c r="L120" s="11">
        <v>-5.8400000000000001E-2</v>
      </c>
      <c r="M120" s="11">
        <v>0.15380000000000002</v>
      </c>
      <c r="N120">
        <v>28.82</v>
      </c>
      <c r="O120">
        <v>8.4700000000000006</v>
      </c>
      <c r="P120">
        <v>1</v>
      </c>
      <c r="Q120" t="s">
        <v>37</v>
      </c>
      <c r="R120">
        <v>58.765000000000001</v>
      </c>
      <c r="S120">
        <v>5.84</v>
      </c>
      <c r="T120" s="4">
        <v>45.256</v>
      </c>
      <c r="U120" s="4">
        <v>6.9835149999999997</v>
      </c>
      <c r="V120" t="str">
        <f>IF(Table1[[#This Row],[ai_disruption_intensity]]&gt;70,"High",
IF(Table1[[#This Row],[ai_disruption_intensity]]&gt;40,"Medium","Low"))</f>
        <v>Low</v>
      </c>
      <c r="W120" t="str">
        <f>IF(Table1[[#This Row],[skill_gap_index]]&gt;70,"Large Gap",
IF(Table1[[#This Row],[skill_gap_index]]&gt;40,"Medium Gap","Small Gap"))</f>
        <v>Small Gap</v>
      </c>
      <c r="X120" s="3" t="str">
        <f>IF(Table1[[#This Row],[automation_risk_percent]]&gt;0.7,"Highly Automatable",
IF(Table1[[#This Row],[automation_risk_percent]]&gt;0.4,"Moderate Risk","Safe Job"))</f>
        <v>Highly Automatable</v>
      </c>
    </row>
    <row r="121" spans="1:24" x14ac:dyDescent="0.3">
      <c r="A121">
        <v>448</v>
      </c>
      <c r="B121" t="s">
        <v>39</v>
      </c>
      <c r="C121" t="s">
        <v>27</v>
      </c>
      <c r="D121" t="s">
        <v>42</v>
      </c>
      <c r="E121" s="1">
        <v>2025</v>
      </c>
      <c r="F121" s="11">
        <v>0.42670000000000002</v>
      </c>
      <c r="G121">
        <v>42.36</v>
      </c>
      <c r="H121">
        <v>84.09</v>
      </c>
      <c r="I121" s="2">
        <v>56548.639999999999</v>
      </c>
      <c r="J121" s="2">
        <v>63335.96</v>
      </c>
      <c r="K121" s="2">
        <f>Table1[[#This Row],[Salary_after]]-Table1[[#This Row],[Salary_before]]</f>
        <v>6787.32</v>
      </c>
      <c r="L121" s="11">
        <v>0.12</v>
      </c>
      <c r="M121" s="11">
        <v>3.7000000000000002E-3</v>
      </c>
      <c r="N121">
        <v>84.13</v>
      </c>
      <c r="O121">
        <v>38.46</v>
      </c>
      <c r="P121">
        <v>3</v>
      </c>
      <c r="Q121" t="s">
        <v>25</v>
      </c>
      <c r="R121">
        <v>63.38</v>
      </c>
      <c r="S121">
        <v>12</v>
      </c>
      <c r="T121" s="4">
        <v>45.895000000000003</v>
      </c>
      <c r="U121" s="4">
        <v>16.410882000000001</v>
      </c>
      <c r="V121" t="str">
        <f>IF(Table1[[#This Row],[ai_disruption_intensity]]&gt;70,"High",
IF(Table1[[#This Row],[ai_disruption_intensity]]&gt;40,"Medium","Low"))</f>
        <v>Low</v>
      </c>
      <c r="W121" t="str">
        <f>IF(Table1[[#This Row],[skill_gap_index]]&gt;70,"Large Gap",
IF(Table1[[#This Row],[skill_gap_index]]&gt;40,"Medium Gap","Small Gap"))</f>
        <v>Large Gap</v>
      </c>
      <c r="X121" s="3" t="str">
        <f>IF(Table1[[#This Row],[automation_risk_percent]]&gt;0.7,"Highly Automatable",
IF(Table1[[#This Row],[automation_risk_percent]]&gt;0.4,"Moderate Risk","Safe Job"))</f>
        <v>Moderate Risk</v>
      </c>
    </row>
    <row r="122" spans="1:24" x14ac:dyDescent="0.3">
      <c r="A122">
        <v>449</v>
      </c>
      <c r="B122" t="s">
        <v>44</v>
      </c>
      <c r="C122" t="s">
        <v>33</v>
      </c>
      <c r="D122" t="s">
        <v>47</v>
      </c>
      <c r="E122" s="1">
        <v>2026</v>
      </c>
      <c r="F122" s="11">
        <v>0.4214</v>
      </c>
      <c r="G122">
        <v>38.82</v>
      </c>
      <c r="H122">
        <v>93.26</v>
      </c>
      <c r="I122" s="2">
        <v>44237.25</v>
      </c>
      <c r="J122" s="2">
        <v>45079.63</v>
      </c>
      <c r="K122" s="2">
        <f>Table1[[#This Row],[Salary_after]]-Table1[[#This Row],[Salary_before]]</f>
        <v>842.37999999999738</v>
      </c>
      <c r="L122" s="11">
        <v>1.9E-2</v>
      </c>
      <c r="M122" s="11">
        <v>9.4899999999999998E-2</v>
      </c>
      <c r="N122">
        <v>57.84</v>
      </c>
      <c r="O122">
        <v>3.27</v>
      </c>
      <c r="P122">
        <v>3</v>
      </c>
      <c r="Q122" t="s">
        <v>25</v>
      </c>
      <c r="R122">
        <v>67.7</v>
      </c>
      <c r="S122">
        <v>1.9</v>
      </c>
      <c r="T122" s="4">
        <v>45.404000000000003</v>
      </c>
      <c r="U122" s="4">
        <v>1.3779779999999999</v>
      </c>
      <c r="V122" t="str">
        <f>IF(Table1[[#This Row],[ai_disruption_intensity]]&gt;70,"High",
IF(Table1[[#This Row],[ai_disruption_intensity]]&gt;40,"Medium","Low"))</f>
        <v>Low</v>
      </c>
      <c r="W122" t="str">
        <f>IF(Table1[[#This Row],[skill_gap_index]]&gt;70,"Large Gap",
IF(Table1[[#This Row],[skill_gap_index]]&gt;40,"Medium Gap","Small Gap"))</f>
        <v>Large Gap</v>
      </c>
      <c r="X122" s="3" t="str">
        <f>IF(Table1[[#This Row],[automation_risk_percent]]&gt;0.7,"Highly Automatable",
IF(Table1[[#This Row],[automation_risk_percent]]&gt;0.4,"Moderate Risk","Safe Job"))</f>
        <v>Moderate Risk</v>
      </c>
    </row>
    <row r="123" spans="1:24" x14ac:dyDescent="0.3">
      <c r="A123">
        <v>455</v>
      </c>
      <c r="B123" t="s">
        <v>46</v>
      </c>
      <c r="C123" t="s">
        <v>19</v>
      </c>
      <c r="D123" t="s">
        <v>47</v>
      </c>
      <c r="E123" s="1">
        <v>2025</v>
      </c>
      <c r="F123" s="11">
        <v>0.67069999999999996</v>
      </c>
      <c r="G123">
        <v>59.57</v>
      </c>
      <c r="H123">
        <v>88.62</v>
      </c>
      <c r="I123" s="2">
        <v>142116.49</v>
      </c>
      <c r="J123" s="2">
        <v>145317.87</v>
      </c>
      <c r="K123" s="2">
        <f>Table1[[#This Row],[Salary_after]]-Table1[[#This Row],[Salary_before]]</f>
        <v>3201.3800000000047</v>
      </c>
      <c r="L123" s="11">
        <v>2.2499999999999999E-2</v>
      </c>
      <c r="M123" s="11">
        <v>0.1193</v>
      </c>
      <c r="N123">
        <v>66.680000000000007</v>
      </c>
      <c r="O123">
        <v>40.32</v>
      </c>
      <c r="P123">
        <v>2</v>
      </c>
      <c r="Q123" t="s">
        <v>37</v>
      </c>
      <c r="R123">
        <v>77.844999999999999</v>
      </c>
      <c r="S123">
        <v>2.25</v>
      </c>
      <c r="T123" s="4">
        <v>54.088999999999999</v>
      </c>
      <c r="U123" s="4">
        <v>27.042623999999901</v>
      </c>
      <c r="V123" t="str">
        <f>IF(Table1[[#This Row],[ai_disruption_intensity]]&gt;70,"High",
IF(Table1[[#This Row],[ai_disruption_intensity]]&gt;40,"Medium","Low"))</f>
        <v>Low</v>
      </c>
      <c r="W123" t="str">
        <f>IF(Table1[[#This Row],[skill_gap_index]]&gt;70,"Large Gap",
IF(Table1[[#This Row],[skill_gap_index]]&gt;40,"Medium Gap","Small Gap"))</f>
        <v>Large Gap</v>
      </c>
      <c r="X123" s="3" t="str">
        <f>IF(Table1[[#This Row],[automation_risk_percent]]&gt;0.7,"Highly Automatable",
IF(Table1[[#This Row],[automation_risk_percent]]&gt;0.4,"Moderate Risk","Safe Job"))</f>
        <v>Moderate Risk</v>
      </c>
    </row>
    <row r="124" spans="1:24" x14ac:dyDescent="0.3">
      <c r="A124">
        <v>457</v>
      </c>
      <c r="B124" t="s">
        <v>43</v>
      </c>
      <c r="C124" t="s">
        <v>19</v>
      </c>
      <c r="D124" t="s">
        <v>31</v>
      </c>
      <c r="E124" s="1">
        <v>2025</v>
      </c>
      <c r="F124" s="11">
        <v>0.47820000000000001</v>
      </c>
      <c r="G124">
        <v>54.41</v>
      </c>
      <c r="H124">
        <v>43.13</v>
      </c>
      <c r="I124" s="2">
        <v>75484.86</v>
      </c>
      <c r="J124" s="2">
        <v>74082</v>
      </c>
      <c r="K124" s="2">
        <f>Table1[[#This Row],[Salary_after]]-Table1[[#This Row],[Salary_before]]</f>
        <v>-1402.8600000000006</v>
      </c>
      <c r="L124" s="11">
        <v>-1.8600000000000002E-2</v>
      </c>
      <c r="M124" s="11">
        <v>8.1000000000000003E-2</v>
      </c>
      <c r="N124">
        <v>85.98</v>
      </c>
      <c r="O124">
        <v>48.4</v>
      </c>
      <c r="P124">
        <v>3</v>
      </c>
      <c r="Q124" t="s">
        <v>25</v>
      </c>
      <c r="R124">
        <v>45.475000000000001</v>
      </c>
      <c r="S124">
        <v>1.86</v>
      </c>
      <c r="T124" s="4">
        <v>32.625</v>
      </c>
      <c r="U124" s="4">
        <v>23.144879999999901</v>
      </c>
      <c r="V124" t="str">
        <f>IF(Table1[[#This Row],[ai_disruption_intensity]]&gt;70,"High",
IF(Table1[[#This Row],[ai_disruption_intensity]]&gt;40,"Medium","Low"))</f>
        <v>Low</v>
      </c>
      <c r="W124" t="str">
        <f>IF(Table1[[#This Row],[skill_gap_index]]&gt;70,"Large Gap",
IF(Table1[[#This Row],[skill_gap_index]]&gt;40,"Medium Gap","Small Gap"))</f>
        <v>Medium Gap</v>
      </c>
      <c r="X124" s="3" t="str">
        <f>IF(Table1[[#This Row],[automation_risk_percent]]&gt;0.7,"Highly Automatable",
IF(Table1[[#This Row],[automation_risk_percent]]&gt;0.4,"Moderate Risk","Safe Job"))</f>
        <v>Moderate Risk</v>
      </c>
    </row>
    <row r="125" spans="1:24" x14ac:dyDescent="0.3">
      <c r="A125">
        <v>460</v>
      </c>
      <c r="B125" t="s">
        <v>41</v>
      </c>
      <c r="C125" t="s">
        <v>34</v>
      </c>
      <c r="D125" t="s">
        <v>24</v>
      </c>
      <c r="E125" s="1">
        <v>2025</v>
      </c>
      <c r="F125" s="11">
        <v>0.67249999999999999</v>
      </c>
      <c r="G125">
        <v>71.540000000000006</v>
      </c>
      <c r="H125">
        <v>68.8</v>
      </c>
      <c r="I125" s="2">
        <v>44446.51</v>
      </c>
      <c r="J125" s="2">
        <v>38698.949999999997</v>
      </c>
      <c r="K125" s="2">
        <f>Table1[[#This Row],[Salary_after]]-Table1[[#This Row],[Salary_before]]</f>
        <v>-5747.5600000000049</v>
      </c>
      <c r="L125" s="11">
        <v>-0.1293</v>
      </c>
      <c r="M125" s="11">
        <v>0.1072</v>
      </c>
      <c r="N125">
        <v>37.65</v>
      </c>
      <c r="O125">
        <v>54.65</v>
      </c>
      <c r="P125">
        <v>5</v>
      </c>
      <c r="Q125" t="s">
        <v>37</v>
      </c>
      <c r="R125">
        <v>68.025000000000006</v>
      </c>
      <c r="S125">
        <v>12.93</v>
      </c>
      <c r="T125" s="4">
        <v>51.418999999999997</v>
      </c>
      <c r="U125" s="4">
        <v>36.752124999999999</v>
      </c>
      <c r="V125" t="str">
        <f>IF(Table1[[#This Row],[ai_disruption_intensity]]&gt;70,"High",
IF(Table1[[#This Row],[ai_disruption_intensity]]&gt;40,"Medium","Low"))</f>
        <v>Low</v>
      </c>
      <c r="W125" t="str">
        <f>IF(Table1[[#This Row],[skill_gap_index]]&gt;70,"Large Gap",
IF(Table1[[#This Row],[skill_gap_index]]&gt;40,"Medium Gap","Small Gap"))</f>
        <v>Medium Gap</v>
      </c>
      <c r="X125" s="3" t="str">
        <f>IF(Table1[[#This Row],[automation_risk_percent]]&gt;0.7,"Highly Automatable",
IF(Table1[[#This Row],[automation_risk_percent]]&gt;0.4,"Moderate Risk","Safe Job"))</f>
        <v>Moderate Risk</v>
      </c>
    </row>
    <row r="126" spans="1:24" x14ac:dyDescent="0.3">
      <c r="A126">
        <v>461</v>
      </c>
      <c r="B126" t="s">
        <v>26</v>
      </c>
      <c r="C126" t="s">
        <v>40</v>
      </c>
      <c r="D126" t="s">
        <v>28</v>
      </c>
      <c r="E126" s="1">
        <v>2025</v>
      </c>
      <c r="F126" s="11">
        <v>0.29199999999999998</v>
      </c>
      <c r="G126">
        <v>25.23</v>
      </c>
      <c r="H126">
        <v>17.09</v>
      </c>
      <c r="I126" s="2">
        <v>80177.37</v>
      </c>
      <c r="J126" s="2">
        <v>83296.100000000006</v>
      </c>
      <c r="K126" s="2">
        <f>Table1[[#This Row],[Salary_after]]-Table1[[#This Row],[Salary_before]]</f>
        <v>3118.7300000000105</v>
      </c>
      <c r="L126" s="11">
        <v>3.8900000000000004E-2</v>
      </c>
      <c r="M126" s="11">
        <v>7.51E-2</v>
      </c>
      <c r="N126">
        <v>17.57</v>
      </c>
      <c r="O126">
        <v>39.31</v>
      </c>
      <c r="P126">
        <v>3</v>
      </c>
      <c r="Q126" t="s">
        <v>21</v>
      </c>
      <c r="R126">
        <v>23.145</v>
      </c>
      <c r="S126">
        <v>3.89</v>
      </c>
      <c r="T126" s="4">
        <v>17.974</v>
      </c>
      <c r="U126" s="4">
        <v>11.47852</v>
      </c>
      <c r="V126" t="str">
        <f>IF(Table1[[#This Row],[ai_disruption_intensity]]&gt;70,"High",
IF(Table1[[#This Row],[ai_disruption_intensity]]&gt;40,"Medium","Low"))</f>
        <v>Low</v>
      </c>
      <c r="W126" t="str">
        <f>IF(Table1[[#This Row],[skill_gap_index]]&gt;70,"Large Gap",
IF(Table1[[#This Row],[skill_gap_index]]&gt;40,"Medium Gap","Small Gap"))</f>
        <v>Small Gap</v>
      </c>
      <c r="X126" s="3" t="str">
        <f>IF(Table1[[#This Row],[automation_risk_percent]]&gt;0.7,"Highly Automatable",
IF(Table1[[#This Row],[automation_risk_percent]]&gt;0.4,"Moderate Risk","Safe Job"))</f>
        <v>Safe Job</v>
      </c>
    </row>
    <row r="127" spans="1:24" x14ac:dyDescent="0.3">
      <c r="A127">
        <v>462</v>
      </c>
      <c r="B127" t="s">
        <v>26</v>
      </c>
      <c r="C127" t="s">
        <v>30</v>
      </c>
      <c r="D127" t="s">
        <v>20</v>
      </c>
      <c r="E127" s="1">
        <v>2026</v>
      </c>
      <c r="F127" s="11">
        <v>7.0199999999999999E-2</v>
      </c>
      <c r="G127">
        <v>5.66</v>
      </c>
      <c r="H127">
        <v>66.17</v>
      </c>
      <c r="I127" s="2">
        <v>102293.93</v>
      </c>
      <c r="J127" s="2">
        <v>97347.39</v>
      </c>
      <c r="K127" s="2">
        <f>Table1[[#This Row],[Salary_after]]-Table1[[#This Row],[Salary_before]]</f>
        <v>-4946.5399999999936</v>
      </c>
      <c r="L127" s="11">
        <v>-4.8399999999999999E-2</v>
      </c>
      <c r="M127" s="11">
        <v>-1.1200000000000002E-2</v>
      </c>
      <c r="N127">
        <v>12.13</v>
      </c>
      <c r="O127">
        <v>83.49</v>
      </c>
      <c r="P127">
        <v>5</v>
      </c>
      <c r="Q127" t="s">
        <v>21</v>
      </c>
      <c r="R127">
        <v>36.594999999999999</v>
      </c>
      <c r="S127">
        <v>4.84</v>
      </c>
      <c r="T127" s="4">
        <v>24.110999999999901</v>
      </c>
      <c r="U127" s="4">
        <v>5.8609979999999897</v>
      </c>
      <c r="V127" t="str">
        <f>IF(Table1[[#This Row],[ai_disruption_intensity]]&gt;70,"High",
IF(Table1[[#This Row],[ai_disruption_intensity]]&gt;40,"Medium","Low"))</f>
        <v>Low</v>
      </c>
      <c r="W127" t="str">
        <f>IF(Table1[[#This Row],[skill_gap_index]]&gt;70,"Large Gap",
IF(Table1[[#This Row],[skill_gap_index]]&gt;40,"Medium Gap","Small Gap"))</f>
        <v>Medium Gap</v>
      </c>
      <c r="X127" s="3" t="str">
        <f>IF(Table1[[#This Row],[automation_risk_percent]]&gt;0.7,"Highly Automatable",
IF(Table1[[#This Row],[automation_risk_percent]]&gt;0.4,"Moderate Risk","Safe Job"))</f>
        <v>Safe Job</v>
      </c>
    </row>
    <row r="128" spans="1:24" x14ac:dyDescent="0.3">
      <c r="A128">
        <v>464</v>
      </c>
      <c r="B128" t="s">
        <v>39</v>
      </c>
      <c r="C128" t="s">
        <v>40</v>
      </c>
      <c r="D128" t="s">
        <v>31</v>
      </c>
      <c r="E128" s="1">
        <v>2025</v>
      </c>
      <c r="F128" s="11">
        <v>0.50180000000000002</v>
      </c>
      <c r="G128">
        <v>48.03</v>
      </c>
      <c r="H128">
        <v>2.87</v>
      </c>
      <c r="I128" s="2">
        <v>99990.29</v>
      </c>
      <c r="J128" s="2">
        <v>99098.03</v>
      </c>
      <c r="K128" s="2">
        <f>Table1[[#This Row],[Salary_after]]-Table1[[#This Row],[Salary_before]]</f>
        <v>-892.25999999999476</v>
      </c>
      <c r="L128" s="11">
        <v>-8.8999999999999999E-3</v>
      </c>
      <c r="M128" s="11">
        <v>4.6199999999999998E-2</v>
      </c>
      <c r="N128">
        <v>62.95</v>
      </c>
      <c r="O128">
        <v>39.770000000000003</v>
      </c>
      <c r="P128">
        <v>2</v>
      </c>
      <c r="Q128" t="s">
        <v>25</v>
      </c>
      <c r="R128">
        <v>26.524999999999999</v>
      </c>
      <c r="S128">
        <v>0.89</v>
      </c>
      <c r="T128" s="4">
        <v>21.2</v>
      </c>
      <c r="U128" s="4">
        <v>19.956586000000001</v>
      </c>
      <c r="V128" t="str">
        <f>IF(Table1[[#This Row],[ai_disruption_intensity]]&gt;70,"High",
IF(Table1[[#This Row],[ai_disruption_intensity]]&gt;40,"Medium","Low"))</f>
        <v>Low</v>
      </c>
      <c r="W128" t="str">
        <f>IF(Table1[[#This Row],[skill_gap_index]]&gt;70,"Large Gap",
IF(Table1[[#This Row],[skill_gap_index]]&gt;40,"Medium Gap","Small Gap"))</f>
        <v>Small Gap</v>
      </c>
      <c r="X128" s="3" t="str">
        <f>IF(Table1[[#This Row],[automation_risk_percent]]&gt;0.7,"Highly Automatable",
IF(Table1[[#This Row],[automation_risk_percent]]&gt;0.4,"Moderate Risk","Safe Job"))</f>
        <v>Moderate Risk</v>
      </c>
    </row>
    <row r="129" spans="1:24" x14ac:dyDescent="0.3">
      <c r="A129">
        <v>468</v>
      </c>
      <c r="B129" t="s">
        <v>46</v>
      </c>
      <c r="C129" t="s">
        <v>38</v>
      </c>
      <c r="D129" t="s">
        <v>35</v>
      </c>
      <c r="E129" s="1">
        <v>2026</v>
      </c>
      <c r="F129" s="11">
        <v>0.371</v>
      </c>
      <c r="G129">
        <v>32.07</v>
      </c>
      <c r="H129">
        <v>57.2</v>
      </c>
      <c r="I129" s="2">
        <v>126651.88</v>
      </c>
      <c r="J129" s="2">
        <v>118970.4</v>
      </c>
      <c r="K129" s="2">
        <f>Table1[[#This Row],[Salary_after]]-Table1[[#This Row],[Salary_before]]</f>
        <v>-7681.4800000000105</v>
      </c>
      <c r="L129" s="11">
        <v>-6.0700000000000004E-2</v>
      </c>
      <c r="M129" s="11">
        <v>9.5600000000000004E-2</v>
      </c>
      <c r="N129">
        <v>23.43</v>
      </c>
      <c r="O129">
        <v>26.82</v>
      </c>
      <c r="P129">
        <v>1</v>
      </c>
      <c r="Q129" t="s">
        <v>25</v>
      </c>
      <c r="R129">
        <v>47.15</v>
      </c>
      <c r="S129">
        <v>6.07</v>
      </c>
      <c r="T129" s="4">
        <v>33.820999999999998</v>
      </c>
      <c r="U129" s="4">
        <v>9.9502199999999998</v>
      </c>
      <c r="V129" t="str">
        <f>IF(Table1[[#This Row],[ai_disruption_intensity]]&gt;70,"High",
IF(Table1[[#This Row],[ai_disruption_intensity]]&gt;40,"Medium","Low"))</f>
        <v>Low</v>
      </c>
      <c r="W129" t="str">
        <f>IF(Table1[[#This Row],[skill_gap_index]]&gt;70,"Large Gap",
IF(Table1[[#This Row],[skill_gap_index]]&gt;40,"Medium Gap","Small Gap"))</f>
        <v>Medium Gap</v>
      </c>
      <c r="X129" s="3" t="str">
        <f>IF(Table1[[#This Row],[automation_risk_percent]]&gt;0.7,"Highly Automatable",
IF(Table1[[#This Row],[automation_risk_percent]]&gt;0.4,"Moderate Risk","Safe Job"))</f>
        <v>Safe Job</v>
      </c>
    </row>
    <row r="130" spans="1:24" x14ac:dyDescent="0.3">
      <c r="A130">
        <v>471</v>
      </c>
      <c r="B130" t="s">
        <v>22</v>
      </c>
      <c r="C130" t="s">
        <v>38</v>
      </c>
      <c r="D130" t="s">
        <v>32</v>
      </c>
      <c r="E130" s="1">
        <v>2026</v>
      </c>
      <c r="F130" s="11">
        <v>0.57069999999999999</v>
      </c>
      <c r="G130">
        <v>64.510000000000005</v>
      </c>
      <c r="H130">
        <v>67.31</v>
      </c>
      <c r="I130" s="2">
        <v>128922.05</v>
      </c>
      <c r="J130" s="2">
        <v>114693.32</v>
      </c>
      <c r="K130" s="2">
        <f>Table1[[#This Row],[Salary_after]]-Table1[[#This Row],[Salary_before]]</f>
        <v>-14228.729999999996</v>
      </c>
      <c r="L130" s="11">
        <v>-0.1104</v>
      </c>
      <c r="M130" s="11">
        <v>1.6899999999999998E-2</v>
      </c>
      <c r="N130">
        <v>76.42</v>
      </c>
      <c r="O130">
        <v>36.049999999999997</v>
      </c>
      <c r="P130">
        <v>2</v>
      </c>
      <c r="Q130" t="s">
        <v>25</v>
      </c>
      <c r="R130">
        <v>62.19</v>
      </c>
      <c r="S130">
        <v>11.04</v>
      </c>
      <c r="T130" s="4">
        <v>46.332999999999998</v>
      </c>
      <c r="U130" s="4">
        <v>20.5737349999999</v>
      </c>
      <c r="V130" t="str">
        <f>IF(Table1[[#This Row],[ai_disruption_intensity]]&gt;70,"High",
IF(Table1[[#This Row],[ai_disruption_intensity]]&gt;40,"Medium","Low"))</f>
        <v>Low</v>
      </c>
      <c r="W130" t="str">
        <f>IF(Table1[[#This Row],[skill_gap_index]]&gt;70,"Large Gap",
IF(Table1[[#This Row],[skill_gap_index]]&gt;40,"Medium Gap","Small Gap"))</f>
        <v>Medium Gap</v>
      </c>
      <c r="X130" s="3" t="str">
        <f>IF(Table1[[#This Row],[automation_risk_percent]]&gt;0.7,"Highly Automatable",
IF(Table1[[#This Row],[automation_risk_percent]]&gt;0.4,"Moderate Risk","Safe Job"))</f>
        <v>Moderate Risk</v>
      </c>
    </row>
    <row r="131" spans="1:24" x14ac:dyDescent="0.3">
      <c r="A131">
        <v>475</v>
      </c>
      <c r="B131" t="s">
        <v>44</v>
      </c>
      <c r="C131" t="s">
        <v>34</v>
      </c>
      <c r="D131" t="s">
        <v>20</v>
      </c>
      <c r="E131" s="1">
        <v>2026</v>
      </c>
      <c r="F131" s="11">
        <v>0.70590000000000008</v>
      </c>
      <c r="G131">
        <v>59.38</v>
      </c>
      <c r="H131">
        <v>12.6</v>
      </c>
      <c r="I131" s="2">
        <v>147498.19</v>
      </c>
      <c r="J131" s="2">
        <v>160778.9</v>
      </c>
      <c r="K131" s="2">
        <f>Table1[[#This Row],[Salary_after]]-Table1[[#This Row],[Salary_before]]</f>
        <v>13280.709999999992</v>
      </c>
      <c r="L131" s="11">
        <v>0.09</v>
      </c>
      <c r="M131" s="11">
        <v>9.5100000000000004E-2</v>
      </c>
      <c r="N131">
        <v>39.19</v>
      </c>
      <c r="O131">
        <v>67.650000000000006</v>
      </c>
      <c r="P131">
        <v>1</v>
      </c>
      <c r="Q131" t="s">
        <v>37</v>
      </c>
      <c r="R131">
        <v>41.594999999999999</v>
      </c>
      <c r="S131">
        <v>9</v>
      </c>
      <c r="T131" s="4">
        <v>34.716000000000001</v>
      </c>
      <c r="U131" s="4">
        <v>47.754134999999998</v>
      </c>
      <c r="V131" t="str">
        <f>IF(Table1[[#This Row],[ai_disruption_intensity]]&gt;70,"High",
IF(Table1[[#This Row],[ai_disruption_intensity]]&gt;40,"Medium","Low"))</f>
        <v>Medium</v>
      </c>
      <c r="W131" t="str">
        <f>IF(Table1[[#This Row],[skill_gap_index]]&gt;70,"Large Gap",
IF(Table1[[#This Row],[skill_gap_index]]&gt;40,"Medium Gap","Small Gap"))</f>
        <v>Small Gap</v>
      </c>
      <c r="X131" s="3" t="str">
        <f>IF(Table1[[#This Row],[automation_risk_percent]]&gt;0.7,"Highly Automatable",
IF(Table1[[#This Row],[automation_risk_percent]]&gt;0.4,"Moderate Risk","Safe Job"))</f>
        <v>Highly Automatable</v>
      </c>
    </row>
    <row r="132" spans="1:24" x14ac:dyDescent="0.3">
      <c r="A132">
        <v>478</v>
      </c>
      <c r="B132" t="s">
        <v>44</v>
      </c>
      <c r="C132" t="s">
        <v>19</v>
      </c>
      <c r="D132" t="s">
        <v>24</v>
      </c>
      <c r="E132" s="1">
        <v>2025</v>
      </c>
      <c r="F132" s="11">
        <v>0.6139</v>
      </c>
      <c r="G132">
        <v>57.49</v>
      </c>
      <c r="H132">
        <v>47.85</v>
      </c>
      <c r="I132" s="2">
        <v>141463.15</v>
      </c>
      <c r="J132" s="2">
        <v>135551.26999999999</v>
      </c>
      <c r="K132" s="2">
        <f>Table1[[#This Row],[Salary_after]]-Table1[[#This Row],[Salary_before]]</f>
        <v>-5911.8800000000047</v>
      </c>
      <c r="L132" s="11">
        <v>-4.1799999999999997E-2</v>
      </c>
      <c r="M132" s="11">
        <v>-0.15259999999999999</v>
      </c>
      <c r="N132">
        <v>11.23</v>
      </c>
      <c r="O132">
        <v>8.16</v>
      </c>
      <c r="P132">
        <v>1</v>
      </c>
      <c r="Q132" t="s">
        <v>37</v>
      </c>
      <c r="R132">
        <v>54.62</v>
      </c>
      <c r="S132">
        <v>4.18</v>
      </c>
      <c r="T132" s="4">
        <v>40.164999999999999</v>
      </c>
      <c r="U132" s="4">
        <v>5.0094240000000001</v>
      </c>
      <c r="V132" t="str">
        <f>IF(Table1[[#This Row],[ai_disruption_intensity]]&gt;70,"High",
IF(Table1[[#This Row],[ai_disruption_intensity]]&gt;40,"Medium","Low"))</f>
        <v>Low</v>
      </c>
      <c r="W132" t="str">
        <f>IF(Table1[[#This Row],[skill_gap_index]]&gt;70,"Large Gap",
IF(Table1[[#This Row],[skill_gap_index]]&gt;40,"Medium Gap","Small Gap"))</f>
        <v>Medium Gap</v>
      </c>
      <c r="X132" s="3" t="str">
        <f>IF(Table1[[#This Row],[automation_risk_percent]]&gt;0.7,"Highly Automatable",
IF(Table1[[#This Row],[automation_risk_percent]]&gt;0.4,"Moderate Risk","Safe Job"))</f>
        <v>Moderate Risk</v>
      </c>
    </row>
    <row r="133" spans="1:24" x14ac:dyDescent="0.3">
      <c r="A133">
        <v>487</v>
      </c>
      <c r="B133" t="s">
        <v>46</v>
      </c>
      <c r="C133" t="s">
        <v>23</v>
      </c>
      <c r="D133" t="s">
        <v>36</v>
      </c>
      <c r="E133" s="1">
        <v>2026</v>
      </c>
      <c r="F133" s="11">
        <v>0.42499999999999999</v>
      </c>
      <c r="G133">
        <v>40.61</v>
      </c>
      <c r="H133">
        <v>24.03</v>
      </c>
      <c r="I133" s="2">
        <v>41395.83</v>
      </c>
      <c r="J133" s="2">
        <v>38797.279999999999</v>
      </c>
      <c r="K133" s="2">
        <f>Table1[[#This Row],[Salary_after]]-Table1[[#This Row],[Salary_before]]</f>
        <v>-2598.5500000000029</v>
      </c>
      <c r="L133" s="11">
        <v>-6.2800000000000009E-2</v>
      </c>
      <c r="M133" s="11">
        <v>2.12E-2</v>
      </c>
      <c r="N133">
        <v>25.92</v>
      </c>
      <c r="O133">
        <v>98.73</v>
      </c>
      <c r="P133">
        <v>5</v>
      </c>
      <c r="Q133" t="s">
        <v>25</v>
      </c>
      <c r="R133">
        <v>33.265000000000001</v>
      </c>
      <c r="S133">
        <v>6.28</v>
      </c>
      <c r="T133" s="4">
        <v>26.093</v>
      </c>
      <c r="U133" s="4">
        <v>41.960250000000002</v>
      </c>
      <c r="V133" t="str">
        <f>IF(Table1[[#This Row],[ai_disruption_intensity]]&gt;70,"High",
IF(Table1[[#This Row],[ai_disruption_intensity]]&gt;40,"Medium","Low"))</f>
        <v>Medium</v>
      </c>
      <c r="W133" t="str">
        <f>IF(Table1[[#This Row],[skill_gap_index]]&gt;70,"Large Gap",
IF(Table1[[#This Row],[skill_gap_index]]&gt;40,"Medium Gap","Small Gap"))</f>
        <v>Small Gap</v>
      </c>
      <c r="X133" s="3" t="str">
        <f>IF(Table1[[#This Row],[automation_risk_percent]]&gt;0.7,"Highly Automatable",
IF(Table1[[#This Row],[automation_risk_percent]]&gt;0.4,"Moderate Risk","Safe Job"))</f>
        <v>Moderate Risk</v>
      </c>
    </row>
    <row r="134" spans="1:24" x14ac:dyDescent="0.3">
      <c r="A134">
        <v>490</v>
      </c>
      <c r="B134" t="s">
        <v>29</v>
      </c>
      <c r="C134" t="s">
        <v>19</v>
      </c>
      <c r="D134" t="s">
        <v>32</v>
      </c>
      <c r="E134" s="1">
        <v>2026</v>
      </c>
      <c r="F134" s="11">
        <v>0.73540000000000005</v>
      </c>
      <c r="G134">
        <v>79.44</v>
      </c>
      <c r="H134">
        <v>75.349999999999994</v>
      </c>
      <c r="I134" s="2">
        <v>134743.13</v>
      </c>
      <c r="J134" s="2">
        <v>158473.93</v>
      </c>
      <c r="K134" s="2">
        <f>Table1[[#This Row],[Salary_after]]-Table1[[#This Row],[Salary_before]]</f>
        <v>23730.799999999988</v>
      </c>
      <c r="L134" s="11">
        <v>0.17610000000000001</v>
      </c>
      <c r="M134" s="11">
        <v>0.05</v>
      </c>
      <c r="N134">
        <v>65.73</v>
      </c>
      <c r="O134">
        <v>18.66</v>
      </c>
      <c r="P134">
        <v>4</v>
      </c>
      <c r="Q134" t="s">
        <v>37</v>
      </c>
      <c r="R134">
        <v>74.444999999999993</v>
      </c>
      <c r="S134">
        <v>17.61</v>
      </c>
      <c r="T134" s="4">
        <v>57.304000000000002</v>
      </c>
      <c r="U134" s="4">
        <v>13.722564</v>
      </c>
      <c r="V134" t="str">
        <f>IF(Table1[[#This Row],[ai_disruption_intensity]]&gt;70,"High",
IF(Table1[[#This Row],[ai_disruption_intensity]]&gt;40,"Medium","Low"))</f>
        <v>Low</v>
      </c>
      <c r="W134" t="str">
        <f>IF(Table1[[#This Row],[skill_gap_index]]&gt;70,"Large Gap",
IF(Table1[[#This Row],[skill_gap_index]]&gt;40,"Medium Gap","Small Gap"))</f>
        <v>Large Gap</v>
      </c>
      <c r="X134" s="3" t="str">
        <f>IF(Table1[[#This Row],[automation_risk_percent]]&gt;0.7,"Highly Automatable",
IF(Table1[[#This Row],[automation_risk_percent]]&gt;0.4,"Moderate Risk","Safe Job"))</f>
        <v>Highly Automatable</v>
      </c>
    </row>
    <row r="135" spans="1:24" x14ac:dyDescent="0.3">
      <c r="A135">
        <v>493</v>
      </c>
      <c r="B135" t="s">
        <v>39</v>
      </c>
      <c r="C135" t="s">
        <v>30</v>
      </c>
      <c r="D135" t="s">
        <v>42</v>
      </c>
      <c r="E135" s="1">
        <v>2026</v>
      </c>
      <c r="F135" s="11">
        <v>0.5464</v>
      </c>
      <c r="G135">
        <v>61.64</v>
      </c>
      <c r="H135">
        <v>4.16</v>
      </c>
      <c r="I135" s="2">
        <v>89775.59</v>
      </c>
      <c r="J135" s="2">
        <v>79970.63</v>
      </c>
      <c r="K135" s="2">
        <f>Table1[[#This Row],[Salary_after]]-Table1[[#This Row],[Salary_before]]</f>
        <v>-9804.9599999999919</v>
      </c>
      <c r="L135" s="11">
        <v>-0.10920000000000001</v>
      </c>
      <c r="M135" s="11">
        <v>0.13350000000000001</v>
      </c>
      <c r="N135">
        <v>37.700000000000003</v>
      </c>
      <c r="O135">
        <v>61.36</v>
      </c>
      <c r="P135">
        <v>3</v>
      </c>
      <c r="Q135" t="s">
        <v>25</v>
      </c>
      <c r="R135">
        <v>29.4</v>
      </c>
      <c r="S135">
        <v>10.92</v>
      </c>
      <c r="T135" s="4">
        <v>26.38</v>
      </c>
      <c r="U135" s="4">
        <v>33.527104000000001</v>
      </c>
      <c r="V135" t="str">
        <f>IF(Table1[[#This Row],[ai_disruption_intensity]]&gt;70,"High",
IF(Table1[[#This Row],[ai_disruption_intensity]]&gt;40,"Medium","Low"))</f>
        <v>Low</v>
      </c>
      <c r="W135" t="str">
        <f>IF(Table1[[#This Row],[skill_gap_index]]&gt;70,"Large Gap",
IF(Table1[[#This Row],[skill_gap_index]]&gt;40,"Medium Gap","Small Gap"))</f>
        <v>Small Gap</v>
      </c>
      <c r="X135" s="3" t="str">
        <f>IF(Table1[[#This Row],[automation_risk_percent]]&gt;0.7,"Highly Automatable",
IF(Table1[[#This Row],[automation_risk_percent]]&gt;0.4,"Moderate Risk","Safe Job"))</f>
        <v>Moderate Risk</v>
      </c>
    </row>
    <row r="136" spans="1:24" x14ac:dyDescent="0.3">
      <c r="A136">
        <v>506</v>
      </c>
      <c r="B136" t="s">
        <v>41</v>
      </c>
      <c r="C136" t="s">
        <v>23</v>
      </c>
      <c r="D136" t="s">
        <v>35</v>
      </c>
      <c r="E136" s="1">
        <v>2026</v>
      </c>
      <c r="F136" s="11">
        <v>0.72060000000000002</v>
      </c>
      <c r="G136">
        <v>71.52</v>
      </c>
      <c r="H136">
        <v>80.97</v>
      </c>
      <c r="I136" s="2">
        <v>144063.94</v>
      </c>
      <c r="J136" s="2">
        <v>134340.57</v>
      </c>
      <c r="K136" s="2">
        <f>Table1[[#This Row],[Salary_after]]-Table1[[#This Row],[Salary_before]]</f>
        <v>-9723.3699999999953</v>
      </c>
      <c r="L136" s="11">
        <v>-6.7500000000000004E-2</v>
      </c>
      <c r="M136" s="11">
        <v>9.7000000000000003E-3</v>
      </c>
      <c r="N136">
        <v>49.59</v>
      </c>
      <c r="O136">
        <v>64.400000000000006</v>
      </c>
      <c r="P136">
        <v>4</v>
      </c>
      <c r="Q136" t="s">
        <v>37</v>
      </c>
      <c r="R136">
        <v>76.515000000000001</v>
      </c>
      <c r="S136">
        <v>6.75</v>
      </c>
      <c r="T136" s="4">
        <v>55.14</v>
      </c>
      <c r="U136" s="4">
        <v>46.406640000000003</v>
      </c>
      <c r="V136" t="str">
        <f>IF(Table1[[#This Row],[ai_disruption_intensity]]&gt;70,"High",
IF(Table1[[#This Row],[ai_disruption_intensity]]&gt;40,"Medium","Low"))</f>
        <v>Medium</v>
      </c>
      <c r="W136" t="str">
        <f>IF(Table1[[#This Row],[skill_gap_index]]&gt;70,"Large Gap",
IF(Table1[[#This Row],[skill_gap_index]]&gt;40,"Medium Gap","Small Gap"))</f>
        <v>Large Gap</v>
      </c>
      <c r="X136" s="3" t="str">
        <f>IF(Table1[[#This Row],[automation_risk_percent]]&gt;0.7,"Highly Automatable",
IF(Table1[[#This Row],[automation_risk_percent]]&gt;0.4,"Moderate Risk","Safe Job"))</f>
        <v>Highly Automatable</v>
      </c>
    </row>
    <row r="137" spans="1:24" x14ac:dyDescent="0.3">
      <c r="A137">
        <v>507</v>
      </c>
      <c r="B137" t="s">
        <v>41</v>
      </c>
      <c r="C137" t="s">
        <v>40</v>
      </c>
      <c r="D137" t="s">
        <v>32</v>
      </c>
      <c r="E137" s="1">
        <v>2025</v>
      </c>
      <c r="F137" s="11">
        <v>0.51670000000000005</v>
      </c>
      <c r="G137">
        <v>42.46</v>
      </c>
      <c r="H137">
        <v>59.95</v>
      </c>
      <c r="I137" s="2">
        <v>138288.39000000001</v>
      </c>
      <c r="J137" s="2">
        <v>120412.88</v>
      </c>
      <c r="K137" s="2">
        <f>Table1[[#This Row],[Salary_after]]-Table1[[#This Row],[Salary_before]]</f>
        <v>-17875.510000000009</v>
      </c>
      <c r="L137" s="11">
        <v>-0.1293</v>
      </c>
      <c r="M137" s="11">
        <v>-3.2000000000000002E-3</v>
      </c>
      <c r="N137">
        <v>49.83</v>
      </c>
      <c r="O137">
        <v>4.84</v>
      </c>
      <c r="P137">
        <v>3</v>
      </c>
      <c r="Q137" t="s">
        <v>25</v>
      </c>
      <c r="R137">
        <v>55.81</v>
      </c>
      <c r="S137">
        <v>12.93</v>
      </c>
      <c r="T137" s="4">
        <v>42.531999999999996</v>
      </c>
      <c r="U137" s="4">
        <v>2.5008279999999998</v>
      </c>
      <c r="V137" t="str">
        <f>IF(Table1[[#This Row],[ai_disruption_intensity]]&gt;70,"High",
IF(Table1[[#This Row],[ai_disruption_intensity]]&gt;40,"Medium","Low"))</f>
        <v>Low</v>
      </c>
      <c r="W137" t="str">
        <f>IF(Table1[[#This Row],[skill_gap_index]]&gt;70,"Large Gap",
IF(Table1[[#This Row],[skill_gap_index]]&gt;40,"Medium Gap","Small Gap"))</f>
        <v>Medium Gap</v>
      </c>
      <c r="X137" s="3" t="str">
        <f>IF(Table1[[#This Row],[automation_risk_percent]]&gt;0.7,"Highly Automatable",
IF(Table1[[#This Row],[automation_risk_percent]]&gt;0.4,"Moderate Risk","Safe Job"))</f>
        <v>Moderate Risk</v>
      </c>
    </row>
    <row r="138" spans="1:24" x14ac:dyDescent="0.3">
      <c r="A138">
        <v>521</v>
      </c>
      <c r="B138" t="s">
        <v>45</v>
      </c>
      <c r="C138" t="s">
        <v>40</v>
      </c>
      <c r="D138" t="s">
        <v>20</v>
      </c>
      <c r="E138" s="1">
        <v>2025</v>
      </c>
      <c r="F138" s="11">
        <v>0.68279999999999996</v>
      </c>
      <c r="G138">
        <v>76.59</v>
      </c>
      <c r="H138">
        <v>86.64</v>
      </c>
      <c r="I138" s="2">
        <v>37154.080000000002</v>
      </c>
      <c r="J138" s="2">
        <v>34198.26</v>
      </c>
      <c r="K138" s="2">
        <f>Table1[[#This Row],[Salary_after]]-Table1[[#This Row],[Salary_before]]</f>
        <v>-2955.8199999999997</v>
      </c>
      <c r="L138" s="11">
        <v>-7.9600000000000004E-2</v>
      </c>
      <c r="M138" s="11">
        <v>9.2399999999999996E-2</v>
      </c>
      <c r="N138">
        <v>47.42</v>
      </c>
      <c r="O138">
        <v>54.86</v>
      </c>
      <c r="P138">
        <v>1</v>
      </c>
      <c r="Q138" t="s">
        <v>37</v>
      </c>
      <c r="R138">
        <v>77.459999999999994</v>
      </c>
      <c r="S138">
        <v>7.96</v>
      </c>
      <c r="T138" s="4">
        <v>55.692</v>
      </c>
      <c r="U138" s="4">
        <v>37.458407999999999</v>
      </c>
      <c r="V138" t="str">
        <f>IF(Table1[[#This Row],[ai_disruption_intensity]]&gt;70,"High",
IF(Table1[[#This Row],[ai_disruption_intensity]]&gt;40,"Medium","Low"))</f>
        <v>Low</v>
      </c>
      <c r="W138" t="str">
        <f>IF(Table1[[#This Row],[skill_gap_index]]&gt;70,"Large Gap",
IF(Table1[[#This Row],[skill_gap_index]]&gt;40,"Medium Gap","Small Gap"))</f>
        <v>Large Gap</v>
      </c>
      <c r="X138" s="3" t="str">
        <f>IF(Table1[[#This Row],[automation_risk_percent]]&gt;0.7,"Highly Automatable",
IF(Table1[[#This Row],[automation_risk_percent]]&gt;0.4,"Moderate Risk","Safe Job"))</f>
        <v>Moderate Risk</v>
      </c>
    </row>
    <row r="139" spans="1:24" x14ac:dyDescent="0.3">
      <c r="A139">
        <v>522</v>
      </c>
      <c r="B139" t="s">
        <v>44</v>
      </c>
      <c r="C139" t="s">
        <v>30</v>
      </c>
      <c r="D139" t="s">
        <v>42</v>
      </c>
      <c r="E139" s="1">
        <v>2026</v>
      </c>
      <c r="F139" s="11">
        <v>0.38189999999999996</v>
      </c>
      <c r="G139">
        <v>38.49</v>
      </c>
      <c r="H139">
        <v>99.65</v>
      </c>
      <c r="I139" s="2">
        <v>46226.080000000002</v>
      </c>
      <c r="J139" s="2">
        <v>41762.19</v>
      </c>
      <c r="K139" s="2">
        <f>Table1[[#This Row],[Salary_after]]-Table1[[#This Row],[Salary_before]]</f>
        <v>-4463.8899999999994</v>
      </c>
      <c r="L139" s="11">
        <v>-9.6600000000000005E-2</v>
      </c>
      <c r="M139" s="11">
        <v>0.21289999999999998</v>
      </c>
      <c r="N139">
        <v>21.97</v>
      </c>
      <c r="O139">
        <v>15.87</v>
      </c>
      <c r="P139">
        <v>4</v>
      </c>
      <c r="Q139" t="s">
        <v>25</v>
      </c>
      <c r="R139">
        <v>68.92</v>
      </c>
      <c r="S139">
        <v>9.66</v>
      </c>
      <c r="T139" s="4">
        <v>48.069000000000003</v>
      </c>
      <c r="U139" s="4">
        <v>6.0607530000000001</v>
      </c>
      <c r="V139" t="str">
        <f>IF(Table1[[#This Row],[ai_disruption_intensity]]&gt;70,"High",
IF(Table1[[#This Row],[ai_disruption_intensity]]&gt;40,"Medium","Low"))</f>
        <v>Low</v>
      </c>
      <c r="W139" t="str">
        <f>IF(Table1[[#This Row],[skill_gap_index]]&gt;70,"Large Gap",
IF(Table1[[#This Row],[skill_gap_index]]&gt;40,"Medium Gap","Small Gap"))</f>
        <v>Large Gap</v>
      </c>
      <c r="X139" s="3" t="str">
        <f>IF(Table1[[#This Row],[automation_risk_percent]]&gt;0.7,"Highly Automatable",
IF(Table1[[#This Row],[automation_risk_percent]]&gt;0.4,"Moderate Risk","Safe Job"))</f>
        <v>Safe Job</v>
      </c>
    </row>
    <row r="140" spans="1:24" x14ac:dyDescent="0.3">
      <c r="A140">
        <v>525</v>
      </c>
      <c r="B140" t="s">
        <v>22</v>
      </c>
      <c r="C140" t="s">
        <v>33</v>
      </c>
      <c r="D140" t="s">
        <v>32</v>
      </c>
      <c r="E140" s="1">
        <v>2026</v>
      </c>
      <c r="F140" s="11">
        <v>0.24710000000000001</v>
      </c>
      <c r="G140">
        <v>27.1</v>
      </c>
      <c r="H140">
        <v>2.52</v>
      </c>
      <c r="I140" s="2">
        <v>72579.820000000007</v>
      </c>
      <c r="J140" s="2">
        <v>74981.14</v>
      </c>
      <c r="K140" s="2">
        <f>Table1[[#This Row],[Salary_after]]-Table1[[#This Row],[Salary_before]]</f>
        <v>2401.3199999999924</v>
      </c>
      <c r="L140" s="11">
        <v>3.3099999999999997E-2</v>
      </c>
      <c r="M140" s="11">
        <v>0.19510000000000002</v>
      </c>
      <c r="N140">
        <v>33.5</v>
      </c>
      <c r="O140">
        <v>69.5</v>
      </c>
      <c r="P140">
        <v>3</v>
      </c>
      <c r="Q140" t="s">
        <v>21</v>
      </c>
      <c r="R140">
        <v>13.615</v>
      </c>
      <c r="S140">
        <v>3.31</v>
      </c>
      <c r="T140" s="4">
        <v>11.632999999999999</v>
      </c>
      <c r="U140" s="4">
        <v>17.173449999999999</v>
      </c>
      <c r="V140" t="str">
        <f>IF(Table1[[#This Row],[ai_disruption_intensity]]&gt;70,"High",
IF(Table1[[#This Row],[ai_disruption_intensity]]&gt;40,"Medium","Low"))</f>
        <v>Low</v>
      </c>
      <c r="W140" t="str">
        <f>IF(Table1[[#This Row],[skill_gap_index]]&gt;70,"Large Gap",
IF(Table1[[#This Row],[skill_gap_index]]&gt;40,"Medium Gap","Small Gap"))</f>
        <v>Small Gap</v>
      </c>
      <c r="X140" s="3" t="str">
        <f>IF(Table1[[#This Row],[automation_risk_percent]]&gt;0.7,"Highly Automatable",
IF(Table1[[#This Row],[automation_risk_percent]]&gt;0.4,"Moderate Risk","Safe Job"))</f>
        <v>Safe Job</v>
      </c>
    </row>
    <row r="141" spans="1:24" x14ac:dyDescent="0.3">
      <c r="A141">
        <v>526</v>
      </c>
      <c r="B141" t="s">
        <v>46</v>
      </c>
      <c r="C141" t="s">
        <v>34</v>
      </c>
      <c r="D141" t="s">
        <v>32</v>
      </c>
      <c r="E141" s="1">
        <v>2026</v>
      </c>
      <c r="F141" s="11">
        <v>0.3972</v>
      </c>
      <c r="G141">
        <v>44.42</v>
      </c>
      <c r="H141">
        <v>73.5</v>
      </c>
      <c r="I141" s="2">
        <v>103212.95</v>
      </c>
      <c r="J141" s="2">
        <v>91740</v>
      </c>
      <c r="K141" s="2">
        <f>Table1[[#This Row],[Salary_after]]-Table1[[#This Row],[Salary_before]]</f>
        <v>-11472.949999999997</v>
      </c>
      <c r="L141" s="11">
        <v>-0.11119999999999999</v>
      </c>
      <c r="M141" s="11">
        <v>4.6399999999999997E-2</v>
      </c>
      <c r="N141">
        <v>33.520000000000003</v>
      </c>
      <c r="O141">
        <v>41.91</v>
      </c>
      <c r="P141">
        <v>4</v>
      </c>
      <c r="Q141" t="s">
        <v>25</v>
      </c>
      <c r="R141">
        <v>56.61</v>
      </c>
      <c r="S141">
        <v>11.12</v>
      </c>
      <c r="T141" s="4">
        <v>41.274000000000001</v>
      </c>
      <c r="U141" s="4">
        <v>16.646652</v>
      </c>
      <c r="V141" t="str">
        <f>IF(Table1[[#This Row],[ai_disruption_intensity]]&gt;70,"High",
IF(Table1[[#This Row],[ai_disruption_intensity]]&gt;40,"Medium","Low"))</f>
        <v>Low</v>
      </c>
      <c r="W141" t="str">
        <f>IF(Table1[[#This Row],[skill_gap_index]]&gt;70,"Large Gap",
IF(Table1[[#This Row],[skill_gap_index]]&gt;40,"Medium Gap","Small Gap"))</f>
        <v>Large Gap</v>
      </c>
      <c r="X141" s="3" t="str">
        <f>IF(Table1[[#This Row],[automation_risk_percent]]&gt;0.7,"Highly Automatable",
IF(Table1[[#This Row],[automation_risk_percent]]&gt;0.4,"Moderate Risk","Safe Job"))</f>
        <v>Safe Job</v>
      </c>
    </row>
    <row r="142" spans="1:24" x14ac:dyDescent="0.3">
      <c r="A142">
        <v>529</v>
      </c>
      <c r="B142" t="s">
        <v>44</v>
      </c>
      <c r="C142" t="s">
        <v>30</v>
      </c>
      <c r="D142" t="s">
        <v>28</v>
      </c>
      <c r="E142" s="1">
        <v>2025</v>
      </c>
      <c r="F142" s="11">
        <v>0.46500000000000002</v>
      </c>
      <c r="G142">
        <v>53.87</v>
      </c>
      <c r="H142">
        <v>19.63</v>
      </c>
      <c r="I142" s="2">
        <v>32707.74</v>
      </c>
      <c r="J142" s="2">
        <v>33456.99</v>
      </c>
      <c r="K142" s="2">
        <f>Table1[[#This Row],[Salary_after]]-Table1[[#This Row],[Salary_before]]</f>
        <v>749.24999999999636</v>
      </c>
      <c r="L142" s="11">
        <v>2.29E-2</v>
      </c>
      <c r="M142" s="11">
        <v>0.15740000000000001</v>
      </c>
      <c r="N142">
        <v>90.16</v>
      </c>
      <c r="O142">
        <v>59.69</v>
      </c>
      <c r="P142">
        <v>3</v>
      </c>
      <c r="Q142" t="s">
        <v>25</v>
      </c>
      <c r="R142">
        <v>33.064999999999998</v>
      </c>
      <c r="S142">
        <v>2.29</v>
      </c>
      <c r="T142" s="4">
        <v>25.175999999999998</v>
      </c>
      <c r="U142" s="4">
        <v>27.755849999999999</v>
      </c>
      <c r="V142" t="str">
        <f>IF(Table1[[#This Row],[ai_disruption_intensity]]&gt;70,"High",
IF(Table1[[#This Row],[ai_disruption_intensity]]&gt;40,"Medium","Low"))</f>
        <v>Low</v>
      </c>
      <c r="W142" t="str">
        <f>IF(Table1[[#This Row],[skill_gap_index]]&gt;70,"Large Gap",
IF(Table1[[#This Row],[skill_gap_index]]&gt;40,"Medium Gap","Small Gap"))</f>
        <v>Small Gap</v>
      </c>
      <c r="X142" s="3" t="str">
        <f>IF(Table1[[#This Row],[automation_risk_percent]]&gt;0.7,"Highly Automatable",
IF(Table1[[#This Row],[automation_risk_percent]]&gt;0.4,"Moderate Risk","Safe Job"))</f>
        <v>Moderate Risk</v>
      </c>
    </row>
    <row r="143" spans="1:24" x14ac:dyDescent="0.3">
      <c r="A143">
        <v>533</v>
      </c>
      <c r="B143" t="s">
        <v>43</v>
      </c>
      <c r="C143" t="s">
        <v>38</v>
      </c>
      <c r="D143" t="s">
        <v>32</v>
      </c>
      <c r="E143" s="1">
        <v>2025</v>
      </c>
      <c r="F143" s="11">
        <v>0.56820000000000004</v>
      </c>
      <c r="G143">
        <v>63.61</v>
      </c>
      <c r="H143">
        <v>93.28</v>
      </c>
      <c r="I143" s="2">
        <v>32416.54</v>
      </c>
      <c r="J143" s="2">
        <v>39884.14</v>
      </c>
      <c r="K143" s="2">
        <f>Table1[[#This Row],[Salary_after]]-Table1[[#This Row],[Salary_before]]</f>
        <v>7467.5999999999985</v>
      </c>
      <c r="L143" s="11">
        <v>0.23039999999999999</v>
      </c>
      <c r="M143" s="11">
        <v>-9.7899999999999987E-2</v>
      </c>
      <c r="N143">
        <v>69.67</v>
      </c>
      <c r="O143">
        <v>67.91</v>
      </c>
      <c r="P143">
        <v>5</v>
      </c>
      <c r="Q143" t="s">
        <v>25</v>
      </c>
      <c r="R143">
        <v>75.05</v>
      </c>
      <c r="S143">
        <v>23.04</v>
      </c>
      <c r="T143" s="4">
        <v>57.624000000000002</v>
      </c>
      <c r="U143" s="4">
        <v>38.586461999999997</v>
      </c>
      <c r="V143" t="str">
        <f>IF(Table1[[#This Row],[ai_disruption_intensity]]&gt;70,"High",
IF(Table1[[#This Row],[ai_disruption_intensity]]&gt;40,"Medium","Low"))</f>
        <v>Low</v>
      </c>
      <c r="W143" t="str">
        <f>IF(Table1[[#This Row],[skill_gap_index]]&gt;70,"Large Gap",
IF(Table1[[#This Row],[skill_gap_index]]&gt;40,"Medium Gap","Small Gap"))</f>
        <v>Large Gap</v>
      </c>
      <c r="X143" s="3" t="str">
        <f>IF(Table1[[#This Row],[automation_risk_percent]]&gt;0.7,"Highly Automatable",
IF(Table1[[#This Row],[automation_risk_percent]]&gt;0.4,"Moderate Risk","Safe Job"))</f>
        <v>Moderate Risk</v>
      </c>
    </row>
    <row r="144" spans="1:24" x14ac:dyDescent="0.3">
      <c r="A144">
        <v>534</v>
      </c>
      <c r="B144" t="s">
        <v>43</v>
      </c>
      <c r="C144" t="s">
        <v>30</v>
      </c>
      <c r="D144" t="s">
        <v>35</v>
      </c>
      <c r="E144" s="1">
        <v>2026</v>
      </c>
      <c r="F144" s="11">
        <v>0.75219999999999998</v>
      </c>
      <c r="G144">
        <v>90.17</v>
      </c>
      <c r="H144">
        <v>72.02</v>
      </c>
      <c r="I144" s="2">
        <v>64466.55</v>
      </c>
      <c r="J144" s="2">
        <v>66633.56</v>
      </c>
      <c r="K144" s="2">
        <f>Table1[[#This Row],[Salary_after]]-Table1[[#This Row],[Salary_before]]</f>
        <v>2167.0099999999948</v>
      </c>
      <c r="L144" s="11">
        <v>3.3599999999999998E-2</v>
      </c>
      <c r="M144" s="11">
        <v>2.7300000000000001E-2</v>
      </c>
      <c r="N144">
        <v>33.06</v>
      </c>
      <c r="O144">
        <v>22.07</v>
      </c>
      <c r="P144">
        <v>2</v>
      </c>
      <c r="Q144" t="s">
        <v>37</v>
      </c>
      <c r="R144">
        <v>73.62</v>
      </c>
      <c r="S144">
        <v>3.36</v>
      </c>
      <c r="T144" s="4">
        <v>52.701999999999998</v>
      </c>
      <c r="U144" s="4">
        <v>16.601053999999898</v>
      </c>
      <c r="V144" t="str">
        <f>IF(Table1[[#This Row],[ai_disruption_intensity]]&gt;70,"High",
IF(Table1[[#This Row],[ai_disruption_intensity]]&gt;40,"Medium","Low"))</f>
        <v>Low</v>
      </c>
      <c r="W144" t="str">
        <f>IF(Table1[[#This Row],[skill_gap_index]]&gt;70,"Large Gap",
IF(Table1[[#This Row],[skill_gap_index]]&gt;40,"Medium Gap","Small Gap"))</f>
        <v>Large Gap</v>
      </c>
      <c r="X144" s="3" t="str">
        <f>IF(Table1[[#This Row],[automation_risk_percent]]&gt;0.7,"Highly Automatable",
IF(Table1[[#This Row],[automation_risk_percent]]&gt;0.4,"Moderate Risk","Safe Job"))</f>
        <v>Highly Automatable</v>
      </c>
    </row>
    <row r="145" spans="1:24" x14ac:dyDescent="0.3">
      <c r="A145">
        <v>541</v>
      </c>
      <c r="B145" t="s">
        <v>45</v>
      </c>
      <c r="C145" t="s">
        <v>30</v>
      </c>
      <c r="D145" t="s">
        <v>47</v>
      </c>
      <c r="E145" s="1">
        <v>2026</v>
      </c>
      <c r="F145" s="11">
        <v>0.66620000000000001</v>
      </c>
      <c r="G145">
        <v>76.62</v>
      </c>
      <c r="H145">
        <v>30.25</v>
      </c>
      <c r="I145" s="2">
        <v>133043.76999999999</v>
      </c>
      <c r="J145" s="2">
        <v>138472.66</v>
      </c>
      <c r="K145" s="2">
        <f>Table1[[#This Row],[Salary_after]]-Table1[[#This Row],[Salary_before]]</f>
        <v>5428.890000000014</v>
      </c>
      <c r="L145" s="11">
        <v>4.0800000000000003E-2</v>
      </c>
      <c r="M145" s="11">
        <v>0.1051</v>
      </c>
      <c r="N145">
        <v>23.2</v>
      </c>
      <c r="O145">
        <v>69.03</v>
      </c>
      <c r="P145">
        <v>4</v>
      </c>
      <c r="Q145" t="s">
        <v>37</v>
      </c>
      <c r="R145">
        <v>48.435000000000002</v>
      </c>
      <c r="S145">
        <v>4.08</v>
      </c>
      <c r="T145" s="4">
        <v>36.946999999999903</v>
      </c>
      <c r="U145" s="4">
        <v>45.987786</v>
      </c>
      <c r="V145" t="str">
        <f>IF(Table1[[#This Row],[ai_disruption_intensity]]&gt;70,"High",
IF(Table1[[#This Row],[ai_disruption_intensity]]&gt;40,"Medium","Low"))</f>
        <v>Medium</v>
      </c>
      <c r="W145" t="str">
        <f>IF(Table1[[#This Row],[skill_gap_index]]&gt;70,"Large Gap",
IF(Table1[[#This Row],[skill_gap_index]]&gt;40,"Medium Gap","Small Gap"))</f>
        <v>Small Gap</v>
      </c>
      <c r="X145" s="3" t="str">
        <f>IF(Table1[[#This Row],[automation_risk_percent]]&gt;0.7,"Highly Automatable",
IF(Table1[[#This Row],[automation_risk_percent]]&gt;0.4,"Moderate Risk","Safe Job"))</f>
        <v>Moderate Risk</v>
      </c>
    </row>
    <row r="146" spans="1:24" x14ac:dyDescent="0.3">
      <c r="A146">
        <v>547</v>
      </c>
      <c r="B146" t="s">
        <v>39</v>
      </c>
      <c r="C146" t="s">
        <v>19</v>
      </c>
      <c r="D146" t="s">
        <v>24</v>
      </c>
      <c r="E146" s="1">
        <v>2025</v>
      </c>
      <c r="F146" s="11">
        <v>0.68069999999999997</v>
      </c>
      <c r="G146">
        <v>73.77</v>
      </c>
      <c r="H146">
        <v>10.54</v>
      </c>
      <c r="I146" s="2">
        <v>130662.46</v>
      </c>
      <c r="J146" s="2">
        <v>146579.70000000001</v>
      </c>
      <c r="K146" s="2">
        <f>Table1[[#This Row],[Salary_after]]-Table1[[#This Row],[Salary_before]]</f>
        <v>15917.240000000005</v>
      </c>
      <c r="L146" s="11">
        <v>0.12179999999999999</v>
      </c>
      <c r="M146" s="11">
        <v>0.15570000000000001</v>
      </c>
      <c r="N146">
        <v>42.67</v>
      </c>
      <c r="O146">
        <v>87.93</v>
      </c>
      <c r="P146">
        <v>4</v>
      </c>
      <c r="Q146" t="s">
        <v>37</v>
      </c>
      <c r="R146">
        <v>39.3049999999999</v>
      </c>
      <c r="S146">
        <v>12.18</v>
      </c>
      <c r="T146" s="4">
        <v>34.043999999999997</v>
      </c>
      <c r="U146" s="4">
        <v>59.853950999999903</v>
      </c>
      <c r="V146" t="str">
        <f>IF(Table1[[#This Row],[ai_disruption_intensity]]&gt;70,"High",
IF(Table1[[#This Row],[ai_disruption_intensity]]&gt;40,"Medium","Low"))</f>
        <v>Medium</v>
      </c>
      <c r="W146" t="str">
        <f>IF(Table1[[#This Row],[skill_gap_index]]&gt;70,"Large Gap",
IF(Table1[[#This Row],[skill_gap_index]]&gt;40,"Medium Gap","Small Gap"))</f>
        <v>Small Gap</v>
      </c>
      <c r="X146" s="3" t="str">
        <f>IF(Table1[[#This Row],[automation_risk_percent]]&gt;0.7,"Highly Automatable",
IF(Table1[[#This Row],[automation_risk_percent]]&gt;0.4,"Moderate Risk","Safe Job"))</f>
        <v>Moderate Risk</v>
      </c>
    </row>
    <row r="147" spans="1:24" x14ac:dyDescent="0.3">
      <c r="A147">
        <v>554</v>
      </c>
      <c r="B147" t="s">
        <v>39</v>
      </c>
      <c r="C147" t="s">
        <v>38</v>
      </c>
      <c r="D147" t="s">
        <v>35</v>
      </c>
      <c r="E147" s="1">
        <v>2026</v>
      </c>
      <c r="F147" s="11">
        <v>0.25370000000000004</v>
      </c>
      <c r="G147">
        <v>20.3</v>
      </c>
      <c r="H147">
        <v>91.5</v>
      </c>
      <c r="I147" s="2">
        <v>131265.53</v>
      </c>
      <c r="J147" s="2">
        <v>121884.24</v>
      </c>
      <c r="K147" s="2">
        <f>Table1[[#This Row],[Salary_after]]-Table1[[#This Row],[Salary_before]]</f>
        <v>-9381.2899999999936</v>
      </c>
      <c r="L147" s="11">
        <v>-7.1500000000000008E-2</v>
      </c>
      <c r="M147" s="11">
        <v>0.10210000000000001</v>
      </c>
      <c r="N147">
        <v>20.83</v>
      </c>
      <c r="O147">
        <v>6.76</v>
      </c>
      <c r="P147">
        <v>4</v>
      </c>
      <c r="Q147" t="s">
        <v>21</v>
      </c>
      <c r="R147">
        <v>58.435000000000002</v>
      </c>
      <c r="S147">
        <v>7.15</v>
      </c>
      <c r="T147" s="4">
        <v>39.743000000000002</v>
      </c>
      <c r="U147" s="4">
        <v>1.715012</v>
      </c>
      <c r="V147" t="str">
        <f>IF(Table1[[#This Row],[ai_disruption_intensity]]&gt;70,"High",
IF(Table1[[#This Row],[ai_disruption_intensity]]&gt;40,"Medium","Low"))</f>
        <v>Low</v>
      </c>
      <c r="W147" t="str">
        <f>IF(Table1[[#This Row],[skill_gap_index]]&gt;70,"Large Gap",
IF(Table1[[#This Row],[skill_gap_index]]&gt;40,"Medium Gap","Small Gap"))</f>
        <v>Large Gap</v>
      </c>
      <c r="X147" s="3" t="str">
        <f>IF(Table1[[#This Row],[automation_risk_percent]]&gt;0.7,"Highly Automatable",
IF(Table1[[#This Row],[automation_risk_percent]]&gt;0.4,"Moderate Risk","Safe Job"))</f>
        <v>Safe Job</v>
      </c>
    </row>
    <row r="148" spans="1:24" x14ac:dyDescent="0.3">
      <c r="A148">
        <v>556</v>
      </c>
      <c r="B148" t="s">
        <v>44</v>
      </c>
      <c r="C148" t="s">
        <v>33</v>
      </c>
      <c r="D148" t="s">
        <v>42</v>
      </c>
      <c r="E148" s="1">
        <v>2025</v>
      </c>
      <c r="F148" s="11">
        <v>0.60309999999999997</v>
      </c>
      <c r="G148">
        <v>50.92</v>
      </c>
      <c r="H148">
        <v>3.56</v>
      </c>
      <c r="I148" s="2">
        <v>149319.64000000001</v>
      </c>
      <c r="J148" s="2">
        <v>168027.04</v>
      </c>
      <c r="K148" s="2">
        <f>Table1[[#This Row],[Salary_after]]-Table1[[#This Row],[Salary_before]]</f>
        <v>18707.399999999994</v>
      </c>
      <c r="L148" s="11">
        <v>0.12529999999999999</v>
      </c>
      <c r="M148" s="11">
        <v>5.1999999999999998E-3</v>
      </c>
      <c r="N148">
        <v>40.71</v>
      </c>
      <c r="O148">
        <v>44.42</v>
      </c>
      <c r="P148">
        <v>2</v>
      </c>
      <c r="Q148" t="s">
        <v>37</v>
      </c>
      <c r="R148">
        <v>31.934999999999999</v>
      </c>
      <c r="S148">
        <v>12.53</v>
      </c>
      <c r="T148" s="4">
        <v>28.951000000000001</v>
      </c>
      <c r="U148" s="4">
        <v>26.789701999999998</v>
      </c>
      <c r="V148" t="str">
        <f>IF(Table1[[#This Row],[ai_disruption_intensity]]&gt;70,"High",
IF(Table1[[#This Row],[ai_disruption_intensity]]&gt;40,"Medium","Low"))</f>
        <v>Low</v>
      </c>
      <c r="W148" t="str">
        <f>IF(Table1[[#This Row],[skill_gap_index]]&gt;70,"Large Gap",
IF(Table1[[#This Row],[skill_gap_index]]&gt;40,"Medium Gap","Small Gap"))</f>
        <v>Small Gap</v>
      </c>
      <c r="X148" s="3" t="str">
        <f>IF(Table1[[#This Row],[automation_risk_percent]]&gt;0.7,"Highly Automatable",
IF(Table1[[#This Row],[automation_risk_percent]]&gt;0.4,"Moderate Risk","Safe Job"))</f>
        <v>Moderate Risk</v>
      </c>
    </row>
    <row r="149" spans="1:24" x14ac:dyDescent="0.3">
      <c r="A149">
        <v>557</v>
      </c>
      <c r="B149" t="s">
        <v>41</v>
      </c>
      <c r="C149" t="s">
        <v>19</v>
      </c>
      <c r="D149" t="s">
        <v>31</v>
      </c>
      <c r="E149" s="1">
        <v>2026</v>
      </c>
      <c r="F149" s="11">
        <v>0.7229000000000001</v>
      </c>
      <c r="G149">
        <v>72.55</v>
      </c>
      <c r="H149">
        <v>86.14</v>
      </c>
      <c r="I149" s="2">
        <v>133924.28</v>
      </c>
      <c r="J149" s="2">
        <v>137638.78</v>
      </c>
      <c r="K149" s="2">
        <f>Table1[[#This Row],[Salary_after]]-Table1[[#This Row],[Salary_before]]</f>
        <v>3714.5</v>
      </c>
      <c r="L149" s="11">
        <v>2.7699999999999999E-2</v>
      </c>
      <c r="M149" s="11">
        <v>4.7800000000000002E-2</v>
      </c>
      <c r="N149">
        <v>53.49</v>
      </c>
      <c r="O149">
        <v>98.69</v>
      </c>
      <c r="P149">
        <v>4</v>
      </c>
      <c r="Q149" t="s">
        <v>37</v>
      </c>
      <c r="R149">
        <v>79.215000000000003</v>
      </c>
      <c r="S149">
        <v>2.77</v>
      </c>
      <c r="T149" s="4">
        <v>55.588999999999999</v>
      </c>
      <c r="U149" s="4">
        <v>71.343001000000001</v>
      </c>
      <c r="V149" t="str">
        <f>IF(Table1[[#This Row],[ai_disruption_intensity]]&gt;70,"High",
IF(Table1[[#This Row],[ai_disruption_intensity]]&gt;40,"Medium","Low"))</f>
        <v>High</v>
      </c>
      <c r="W149" t="str">
        <f>IF(Table1[[#This Row],[skill_gap_index]]&gt;70,"Large Gap",
IF(Table1[[#This Row],[skill_gap_index]]&gt;40,"Medium Gap","Small Gap"))</f>
        <v>Large Gap</v>
      </c>
      <c r="X149" s="3" t="str">
        <f>IF(Table1[[#This Row],[automation_risk_percent]]&gt;0.7,"Highly Automatable",
IF(Table1[[#This Row],[automation_risk_percent]]&gt;0.4,"Moderate Risk","Safe Job"))</f>
        <v>Highly Automatable</v>
      </c>
    </row>
    <row r="150" spans="1:24" x14ac:dyDescent="0.3">
      <c r="A150">
        <v>561</v>
      </c>
      <c r="B150" t="s">
        <v>43</v>
      </c>
      <c r="C150" t="s">
        <v>33</v>
      </c>
      <c r="D150" t="s">
        <v>47</v>
      </c>
      <c r="E150" s="1">
        <v>2025</v>
      </c>
      <c r="F150" s="11">
        <v>0.14219999999999999</v>
      </c>
      <c r="G150">
        <v>13.07</v>
      </c>
      <c r="H150">
        <v>29.81</v>
      </c>
      <c r="I150" s="2">
        <v>68448.149999999994</v>
      </c>
      <c r="J150" s="2">
        <v>71626.679999999993</v>
      </c>
      <c r="K150" s="2">
        <f>Table1[[#This Row],[Salary_after]]-Table1[[#This Row],[Salary_before]]</f>
        <v>3178.5299999999988</v>
      </c>
      <c r="L150" s="11">
        <v>4.6399999999999997E-2</v>
      </c>
      <c r="M150" s="11">
        <v>-5.1000000000000004E-3</v>
      </c>
      <c r="N150">
        <v>21.02</v>
      </c>
      <c r="O150">
        <v>63.49</v>
      </c>
      <c r="P150">
        <v>5</v>
      </c>
      <c r="Q150" t="s">
        <v>21</v>
      </c>
      <c r="R150">
        <v>22.015000000000001</v>
      </c>
      <c r="S150">
        <v>4.6399999999999997</v>
      </c>
      <c r="T150" s="4">
        <v>16.023</v>
      </c>
      <c r="U150" s="4">
        <v>9.0282780000000002</v>
      </c>
      <c r="V150" t="str">
        <f>IF(Table1[[#This Row],[ai_disruption_intensity]]&gt;70,"High",
IF(Table1[[#This Row],[ai_disruption_intensity]]&gt;40,"Medium","Low"))</f>
        <v>Low</v>
      </c>
      <c r="W150" t="str">
        <f>IF(Table1[[#This Row],[skill_gap_index]]&gt;70,"Large Gap",
IF(Table1[[#This Row],[skill_gap_index]]&gt;40,"Medium Gap","Small Gap"))</f>
        <v>Small Gap</v>
      </c>
      <c r="X150" s="3" t="str">
        <f>IF(Table1[[#This Row],[automation_risk_percent]]&gt;0.7,"Highly Automatable",
IF(Table1[[#This Row],[automation_risk_percent]]&gt;0.4,"Moderate Risk","Safe Job"))</f>
        <v>Safe Job</v>
      </c>
    </row>
    <row r="151" spans="1:24" x14ac:dyDescent="0.3">
      <c r="A151">
        <v>562</v>
      </c>
      <c r="B151" t="s">
        <v>18</v>
      </c>
      <c r="C151" t="s">
        <v>30</v>
      </c>
      <c r="D151" t="s">
        <v>31</v>
      </c>
      <c r="E151" s="1">
        <v>2026</v>
      </c>
      <c r="F151" s="11">
        <v>0.1867</v>
      </c>
      <c r="G151">
        <v>15.46</v>
      </c>
      <c r="H151">
        <v>90.94</v>
      </c>
      <c r="I151" s="2">
        <v>52815.45</v>
      </c>
      <c r="J151" s="2">
        <v>53771.74</v>
      </c>
      <c r="K151" s="2">
        <f>Table1[[#This Row],[Salary_after]]-Table1[[#This Row],[Salary_before]]</f>
        <v>956.29000000000087</v>
      </c>
      <c r="L151" s="11">
        <v>1.8100000000000002E-2</v>
      </c>
      <c r="M151" s="11">
        <v>0.18030000000000002</v>
      </c>
      <c r="N151">
        <v>17.010000000000002</v>
      </c>
      <c r="O151">
        <v>95.54</v>
      </c>
      <c r="P151">
        <v>2</v>
      </c>
      <c r="Q151" t="s">
        <v>21</v>
      </c>
      <c r="R151">
        <v>54.805</v>
      </c>
      <c r="S151">
        <v>1.81</v>
      </c>
      <c r="T151" s="4">
        <v>35.292999999999999</v>
      </c>
      <c r="U151" s="4">
        <v>17.837318</v>
      </c>
      <c r="V151" t="str">
        <f>IF(Table1[[#This Row],[ai_disruption_intensity]]&gt;70,"High",
IF(Table1[[#This Row],[ai_disruption_intensity]]&gt;40,"Medium","Low"))</f>
        <v>Low</v>
      </c>
      <c r="W151" t="str">
        <f>IF(Table1[[#This Row],[skill_gap_index]]&gt;70,"Large Gap",
IF(Table1[[#This Row],[skill_gap_index]]&gt;40,"Medium Gap","Small Gap"))</f>
        <v>Large Gap</v>
      </c>
      <c r="X151" s="3" t="str">
        <f>IF(Table1[[#This Row],[automation_risk_percent]]&gt;0.7,"Highly Automatable",
IF(Table1[[#This Row],[automation_risk_percent]]&gt;0.4,"Moderate Risk","Safe Job"))</f>
        <v>Safe Job</v>
      </c>
    </row>
    <row r="152" spans="1:24" x14ac:dyDescent="0.3">
      <c r="A152">
        <v>565</v>
      </c>
      <c r="B152" t="s">
        <v>22</v>
      </c>
      <c r="C152" t="s">
        <v>34</v>
      </c>
      <c r="D152" t="s">
        <v>28</v>
      </c>
      <c r="E152" s="1">
        <v>2025</v>
      </c>
      <c r="F152" s="11">
        <v>0.48119999999999996</v>
      </c>
      <c r="G152">
        <v>41.57</v>
      </c>
      <c r="H152">
        <v>69.12</v>
      </c>
      <c r="I152" s="2">
        <v>50107.98</v>
      </c>
      <c r="J152" s="2">
        <v>50281.93</v>
      </c>
      <c r="K152" s="2">
        <f>Table1[[#This Row],[Salary_after]]-Table1[[#This Row],[Salary_before]]</f>
        <v>173.94999999999709</v>
      </c>
      <c r="L152" s="11">
        <v>3.4999999999999996E-3</v>
      </c>
      <c r="M152" s="11">
        <v>-0.1469</v>
      </c>
      <c r="N152">
        <v>81.680000000000007</v>
      </c>
      <c r="O152">
        <v>73.95</v>
      </c>
      <c r="P152">
        <v>5</v>
      </c>
      <c r="Q152" t="s">
        <v>25</v>
      </c>
      <c r="R152">
        <v>58.62</v>
      </c>
      <c r="S152">
        <v>0.35</v>
      </c>
      <c r="T152" s="4">
        <v>40.088999999999999</v>
      </c>
      <c r="U152" s="4">
        <v>35.584739999999996</v>
      </c>
      <c r="V152" t="str">
        <f>IF(Table1[[#This Row],[ai_disruption_intensity]]&gt;70,"High",
IF(Table1[[#This Row],[ai_disruption_intensity]]&gt;40,"Medium","Low"))</f>
        <v>Low</v>
      </c>
      <c r="W152" t="str">
        <f>IF(Table1[[#This Row],[skill_gap_index]]&gt;70,"Large Gap",
IF(Table1[[#This Row],[skill_gap_index]]&gt;40,"Medium Gap","Small Gap"))</f>
        <v>Medium Gap</v>
      </c>
      <c r="X152" s="3" t="str">
        <f>IF(Table1[[#This Row],[automation_risk_percent]]&gt;0.7,"Highly Automatable",
IF(Table1[[#This Row],[automation_risk_percent]]&gt;0.4,"Moderate Risk","Safe Job"))</f>
        <v>Moderate Risk</v>
      </c>
    </row>
    <row r="153" spans="1:24" x14ac:dyDescent="0.3">
      <c r="A153">
        <v>572</v>
      </c>
      <c r="B153" t="s">
        <v>46</v>
      </c>
      <c r="C153" t="s">
        <v>30</v>
      </c>
      <c r="D153" t="s">
        <v>20</v>
      </c>
      <c r="E153" s="1">
        <v>2026</v>
      </c>
      <c r="F153" s="11">
        <v>0.1429</v>
      </c>
      <c r="G153">
        <v>14.11</v>
      </c>
      <c r="H153">
        <v>80.09</v>
      </c>
      <c r="I153" s="2">
        <v>51619.040000000001</v>
      </c>
      <c r="J153" s="2">
        <v>58309.19</v>
      </c>
      <c r="K153" s="2">
        <f>Table1[[#This Row],[Salary_after]]-Table1[[#This Row],[Salary_before]]</f>
        <v>6690.1500000000015</v>
      </c>
      <c r="L153" s="11">
        <v>0.12960000000000002</v>
      </c>
      <c r="M153" s="11">
        <v>-6.0700000000000004E-2</v>
      </c>
      <c r="N153">
        <v>12.28</v>
      </c>
      <c r="O153">
        <v>69</v>
      </c>
      <c r="P153">
        <v>3</v>
      </c>
      <c r="Q153" t="s">
        <v>21</v>
      </c>
      <c r="R153">
        <v>47.19</v>
      </c>
      <c r="S153">
        <v>12.96</v>
      </c>
      <c r="T153" s="4">
        <v>33.631</v>
      </c>
      <c r="U153" s="4">
        <v>9.8600999999999992</v>
      </c>
      <c r="V153" t="str">
        <f>IF(Table1[[#This Row],[ai_disruption_intensity]]&gt;70,"High",
IF(Table1[[#This Row],[ai_disruption_intensity]]&gt;40,"Medium","Low"))</f>
        <v>Low</v>
      </c>
      <c r="W153" t="str">
        <f>IF(Table1[[#This Row],[skill_gap_index]]&gt;70,"Large Gap",
IF(Table1[[#This Row],[skill_gap_index]]&gt;40,"Medium Gap","Small Gap"))</f>
        <v>Large Gap</v>
      </c>
      <c r="X153" s="3" t="str">
        <f>IF(Table1[[#This Row],[automation_risk_percent]]&gt;0.7,"Highly Automatable",
IF(Table1[[#This Row],[automation_risk_percent]]&gt;0.4,"Moderate Risk","Safe Job"))</f>
        <v>Safe Job</v>
      </c>
    </row>
    <row r="154" spans="1:24" x14ac:dyDescent="0.3">
      <c r="A154">
        <v>575</v>
      </c>
      <c r="B154" t="s">
        <v>41</v>
      </c>
      <c r="C154" t="s">
        <v>34</v>
      </c>
      <c r="D154" t="s">
        <v>36</v>
      </c>
      <c r="E154" s="1">
        <v>2025</v>
      </c>
      <c r="F154" s="11">
        <v>0.92610000000000003</v>
      </c>
      <c r="G154">
        <v>81.709999999999994</v>
      </c>
      <c r="H154">
        <v>74.16</v>
      </c>
      <c r="I154" s="2">
        <v>95601.27</v>
      </c>
      <c r="J154" s="2">
        <v>96938.61</v>
      </c>
      <c r="K154" s="2">
        <f>Table1[[#This Row],[Salary_after]]-Table1[[#This Row],[Salary_before]]</f>
        <v>1337.3399999999965</v>
      </c>
      <c r="L154" s="11">
        <v>1.3999999999999999E-2</v>
      </c>
      <c r="M154" s="11">
        <v>0.14960000000000001</v>
      </c>
      <c r="N154">
        <v>58.11</v>
      </c>
      <c r="O154">
        <v>19.55</v>
      </c>
      <c r="P154">
        <v>2</v>
      </c>
      <c r="Q154" t="s">
        <v>37</v>
      </c>
      <c r="R154">
        <v>83.384999999999906</v>
      </c>
      <c r="S154">
        <v>1.4</v>
      </c>
      <c r="T154" s="4">
        <v>59.712000000000003</v>
      </c>
      <c r="U154" s="4">
        <v>18.105255</v>
      </c>
      <c r="V154" t="str">
        <f>IF(Table1[[#This Row],[ai_disruption_intensity]]&gt;70,"High",
IF(Table1[[#This Row],[ai_disruption_intensity]]&gt;40,"Medium","Low"))</f>
        <v>Low</v>
      </c>
      <c r="W154" t="str">
        <f>IF(Table1[[#This Row],[skill_gap_index]]&gt;70,"Large Gap",
IF(Table1[[#This Row],[skill_gap_index]]&gt;40,"Medium Gap","Small Gap"))</f>
        <v>Large Gap</v>
      </c>
      <c r="X154" s="3" t="str">
        <f>IF(Table1[[#This Row],[automation_risk_percent]]&gt;0.7,"Highly Automatable",
IF(Table1[[#This Row],[automation_risk_percent]]&gt;0.4,"Moderate Risk","Safe Job"))</f>
        <v>Highly Automatable</v>
      </c>
    </row>
    <row r="155" spans="1:24" x14ac:dyDescent="0.3">
      <c r="A155">
        <v>578</v>
      </c>
      <c r="B155" t="s">
        <v>29</v>
      </c>
      <c r="C155" t="s">
        <v>34</v>
      </c>
      <c r="D155" t="s">
        <v>35</v>
      </c>
      <c r="E155" s="1">
        <v>2026</v>
      </c>
      <c r="F155" s="11">
        <v>0.54659999999999997</v>
      </c>
      <c r="G155">
        <v>51.21</v>
      </c>
      <c r="H155">
        <v>96.16</v>
      </c>
      <c r="I155" s="2">
        <v>83382.289999999994</v>
      </c>
      <c r="J155" s="2">
        <v>65070.47</v>
      </c>
      <c r="K155" s="2">
        <f>Table1[[#This Row],[Salary_after]]-Table1[[#This Row],[Salary_before]]</f>
        <v>-18311.819999999992</v>
      </c>
      <c r="L155" s="11">
        <v>-0.21960000000000002</v>
      </c>
      <c r="M155" s="11">
        <v>3.3799999999999997E-2</v>
      </c>
      <c r="N155">
        <v>91.86</v>
      </c>
      <c r="O155">
        <v>56.9</v>
      </c>
      <c r="P155">
        <v>1</v>
      </c>
      <c r="Q155" t="s">
        <v>25</v>
      </c>
      <c r="R155">
        <v>75.41</v>
      </c>
      <c r="S155">
        <v>21.96</v>
      </c>
      <c r="T155" s="4">
        <v>57.3</v>
      </c>
      <c r="U155" s="4">
        <v>31.1015399999999</v>
      </c>
      <c r="V155" t="str">
        <f>IF(Table1[[#This Row],[ai_disruption_intensity]]&gt;70,"High",
IF(Table1[[#This Row],[ai_disruption_intensity]]&gt;40,"Medium","Low"))</f>
        <v>Low</v>
      </c>
      <c r="W155" t="str">
        <f>IF(Table1[[#This Row],[skill_gap_index]]&gt;70,"Large Gap",
IF(Table1[[#This Row],[skill_gap_index]]&gt;40,"Medium Gap","Small Gap"))</f>
        <v>Large Gap</v>
      </c>
      <c r="X155" s="3" t="str">
        <f>IF(Table1[[#This Row],[automation_risk_percent]]&gt;0.7,"Highly Automatable",
IF(Table1[[#This Row],[automation_risk_percent]]&gt;0.4,"Moderate Risk","Safe Job"))</f>
        <v>Moderate Risk</v>
      </c>
    </row>
    <row r="156" spans="1:24" x14ac:dyDescent="0.3">
      <c r="A156">
        <v>595</v>
      </c>
      <c r="B156" t="s">
        <v>45</v>
      </c>
      <c r="C156" t="s">
        <v>19</v>
      </c>
      <c r="D156" t="s">
        <v>32</v>
      </c>
      <c r="E156" s="1">
        <v>2026</v>
      </c>
      <c r="F156" s="11">
        <v>0.48700000000000004</v>
      </c>
      <c r="G156">
        <v>53.38</v>
      </c>
      <c r="H156">
        <v>48.5</v>
      </c>
      <c r="I156" s="2">
        <v>40248.36</v>
      </c>
      <c r="J156" s="2">
        <v>40320.879999999997</v>
      </c>
      <c r="K156" s="2">
        <f>Table1[[#This Row],[Salary_after]]-Table1[[#This Row],[Salary_before]]</f>
        <v>72.519999999996799</v>
      </c>
      <c r="L156" s="11">
        <v>1.8E-3</v>
      </c>
      <c r="M156" s="11">
        <v>9.7299999999999998E-2</v>
      </c>
      <c r="N156">
        <v>65.28</v>
      </c>
      <c r="O156">
        <v>23.66</v>
      </c>
      <c r="P156">
        <v>4</v>
      </c>
      <c r="Q156" t="s">
        <v>25</v>
      </c>
      <c r="R156">
        <v>48.6</v>
      </c>
      <c r="S156">
        <v>0.18</v>
      </c>
      <c r="T156" s="4">
        <v>34.084000000000003</v>
      </c>
      <c r="U156" s="4">
        <v>11.52242</v>
      </c>
      <c r="V156" t="str">
        <f>IF(Table1[[#This Row],[ai_disruption_intensity]]&gt;70,"High",
IF(Table1[[#This Row],[ai_disruption_intensity]]&gt;40,"Medium","Low"))</f>
        <v>Low</v>
      </c>
      <c r="W156" t="str">
        <f>IF(Table1[[#This Row],[skill_gap_index]]&gt;70,"Large Gap",
IF(Table1[[#This Row],[skill_gap_index]]&gt;40,"Medium Gap","Small Gap"))</f>
        <v>Medium Gap</v>
      </c>
      <c r="X156" s="3" t="str">
        <f>IF(Table1[[#This Row],[automation_risk_percent]]&gt;0.7,"Highly Automatable",
IF(Table1[[#This Row],[automation_risk_percent]]&gt;0.4,"Moderate Risk","Safe Job"))</f>
        <v>Moderate Risk</v>
      </c>
    </row>
    <row r="157" spans="1:24" x14ac:dyDescent="0.3">
      <c r="A157">
        <v>597</v>
      </c>
      <c r="B157" t="s">
        <v>18</v>
      </c>
      <c r="C157" t="s">
        <v>30</v>
      </c>
      <c r="D157" t="s">
        <v>35</v>
      </c>
      <c r="E157" s="1">
        <v>2026</v>
      </c>
      <c r="F157" s="11">
        <v>0.6381</v>
      </c>
      <c r="G157">
        <v>52.63</v>
      </c>
      <c r="H157">
        <v>57.68</v>
      </c>
      <c r="I157" s="2">
        <v>44305.25</v>
      </c>
      <c r="J157" s="2">
        <v>43954.94</v>
      </c>
      <c r="K157" s="2">
        <f>Table1[[#This Row],[Salary_after]]-Table1[[#This Row],[Salary_before]]</f>
        <v>-350.30999999999767</v>
      </c>
      <c r="L157" s="11">
        <v>-7.9000000000000008E-3</v>
      </c>
      <c r="M157" s="11">
        <v>-7.9000000000000008E-3</v>
      </c>
      <c r="N157">
        <v>85.96</v>
      </c>
      <c r="O157">
        <v>26.24</v>
      </c>
      <c r="P157">
        <v>5</v>
      </c>
      <c r="Q157" t="s">
        <v>37</v>
      </c>
      <c r="R157">
        <v>60.744999999999997</v>
      </c>
      <c r="S157">
        <v>0.79</v>
      </c>
      <c r="T157" s="4">
        <v>43.064999999999998</v>
      </c>
      <c r="U157" s="4">
        <v>16.743744</v>
      </c>
      <c r="V157" t="str">
        <f>IF(Table1[[#This Row],[ai_disruption_intensity]]&gt;70,"High",
IF(Table1[[#This Row],[ai_disruption_intensity]]&gt;40,"Medium","Low"))</f>
        <v>Low</v>
      </c>
      <c r="W157" t="str">
        <f>IF(Table1[[#This Row],[skill_gap_index]]&gt;70,"Large Gap",
IF(Table1[[#This Row],[skill_gap_index]]&gt;40,"Medium Gap","Small Gap"))</f>
        <v>Medium Gap</v>
      </c>
      <c r="X157" s="3" t="str">
        <f>IF(Table1[[#This Row],[automation_risk_percent]]&gt;0.7,"Highly Automatable",
IF(Table1[[#This Row],[automation_risk_percent]]&gt;0.4,"Moderate Risk","Safe Job"))</f>
        <v>Moderate Risk</v>
      </c>
    </row>
    <row r="158" spans="1:24" x14ac:dyDescent="0.3">
      <c r="A158">
        <v>600</v>
      </c>
      <c r="B158" t="s">
        <v>41</v>
      </c>
      <c r="C158" t="s">
        <v>19</v>
      </c>
      <c r="D158" t="s">
        <v>47</v>
      </c>
      <c r="E158" s="1">
        <v>2026</v>
      </c>
      <c r="F158" s="11">
        <v>0.56899999999999995</v>
      </c>
      <c r="G158">
        <v>56.49</v>
      </c>
      <c r="H158">
        <v>75.78</v>
      </c>
      <c r="I158" s="2">
        <v>63830.2</v>
      </c>
      <c r="J158" s="2">
        <v>67129.88</v>
      </c>
      <c r="K158" s="2">
        <f>Table1[[#This Row],[Salary_after]]-Table1[[#This Row],[Salary_before]]</f>
        <v>3299.6800000000076</v>
      </c>
      <c r="L158" s="11">
        <v>5.1699999999999996E-2</v>
      </c>
      <c r="M158" s="11">
        <v>2.7799999999999998E-2</v>
      </c>
      <c r="N158">
        <v>15.06</v>
      </c>
      <c r="O158">
        <v>48.56</v>
      </c>
      <c r="P158">
        <v>1</v>
      </c>
      <c r="Q158" t="s">
        <v>25</v>
      </c>
      <c r="R158">
        <v>66.34</v>
      </c>
      <c r="S158">
        <v>5.17</v>
      </c>
      <c r="T158" s="4">
        <v>47.045000000000002</v>
      </c>
      <c r="U158" s="4">
        <v>27.63064</v>
      </c>
      <c r="V158" t="str">
        <f>IF(Table1[[#This Row],[ai_disruption_intensity]]&gt;70,"High",
IF(Table1[[#This Row],[ai_disruption_intensity]]&gt;40,"Medium","Low"))</f>
        <v>Low</v>
      </c>
      <c r="W158" t="str">
        <f>IF(Table1[[#This Row],[skill_gap_index]]&gt;70,"Large Gap",
IF(Table1[[#This Row],[skill_gap_index]]&gt;40,"Medium Gap","Small Gap"))</f>
        <v>Large Gap</v>
      </c>
      <c r="X158" s="3" t="str">
        <f>IF(Table1[[#This Row],[automation_risk_percent]]&gt;0.7,"Highly Automatable",
IF(Table1[[#This Row],[automation_risk_percent]]&gt;0.4,"Moderate Risk","Safe Job"))</f>
        <v>Moderate Risk</v>
      </c>
    </row>
    <row r="159" spans="1:24" x14ac:dyDescent="0.3">
      <c r="A159">
        <v>605</v>
      </c>
      <c r="B159" t="s">
        <v>22</v>
      </c>
      <c r="C159" t="s">
        <v>19</v>
      </c>
      <c r="D159" t="s">
        <v>35</v>
      </c>
      <c r="E159" s="1">
        <v>2026</v>
      </c>
      <c r="F159" s="11">
        <v>0.2288</v>
      </c>
      <c r="G159">
        <v>25.23</v>
      </c>
      <c r="H159">
        <v>47.42</v>
      </c>
      <c r="I159" s="2">
        <v>57094.75</v>
      </c>
      <c r="J159" s="2">
        <v>54548.639999999999</v>
      </c>
      <c r="K159" s="2">
        <f>Table1[[#This Row],[Salary_after]]-Table1[[#This Row],[Salary_before]]</f>
        <v>-2546.1100000000006</v>
      </c>
      <c r="L159" s="11">
        <v>-4.4600000000000001E-2</v>
      </c>
      <c r="M159" s="11">
        <v>6.13E-2</v>
      </c>
      <c r="N159">
        <v>39.36</v>
      </c>
      <c r="O159">
        <v>46.86</v>
      </c>
      <c r="P159">
        <v>5</v>
      </c>
      <c r="Q159" t="s">
        <v>21</v>
      </c>
      <c r="R159">
        <v>35.15</v>
      </c>
      <c r="S159">
        <v>4.46</v>
      </c>
      <c r="T159" s="4">
        <v>24.716000000000001</v>
      </c>
      <c r="U159" s="4">
        <v>10.721568</v>
      </c>
      <c r="V159" t="str">
        <f>IF(Table1[[#This Row],[ai_disruption_intensity]]&gt;70,"High",
IF(Table1[[#This Row],[ai_disruption_intensity]]&gt;40,"Medium","Low"))</f>
        <v>Low</v>
      </c>
      <c r="W159" t="str">
        <f>IF(Table1[[#This Row],[skill_gap_index]]&gt;70,"Large Gap",
IF(Table1[[#This Row],[skill_gap_index]]&gt;40,"Medium Gap","Small Gap"))</f>
        <v>Medium Gap</v>
      </c>
      <c r="X159" s="3" t="str">
        <f>IF(Table1[[#This Row],[automation_risk_percent]]&gt;0.7,"Highly Automatable",
IF(Table1[[#This Row],[automation_risk_percent]]&gt;0.4,"Moderate Risk","Safe Job"))</f>
        <v>Safe Job</v>
      </c>
    </row>
    <row r="160" spans="1:24" x14ac:dyDescent="0.3">
      <c r="A160">
        <v>610</v>
      </c>
      <c r="B160" t="s">
        <v>26</v>
      </c>
      <c r="C160" t="s">
        <v>38</v>
      </c>
      <c r="D160" t="s">
        <v>28</v>
      </c>
      <c r="E160" s="1">
        <v>2025</v>
      </c>
      <c r="F160" s="11">
        <v>0.27110000000000001</v>
      </c>
      <c r="G160">
        <v>24.75</v>
      </c>
      <c r="H160">
        <v>30.45</v>
      </c>
      <c r="I160" s="2">
        <v>147953.63</v>
      </c>
      <c r="J160" s="2">
        <v>167943.24</v>
      </c>
      <c r="K160" s="2">
        <f>Table1[[#This Row],[Salary_after]]-Table1[[#This Row],[Salary_before]]</f>
        <v>19989.609999999986</v>
      </c>
      <c r="L160" s="11">
        <v>0.1351</v>
      </c>
      <c r="M160" s="11">
        <v>0.1386</v>
      </c>
      <c r="N160">
        <v>97.9</v>
      </c>
      <c r="O160">
        <v>37.72</v>
      </c>
      <c r="P160">
        <v>3</v>
      </c>
      <c r="Q160" t="s">
        <v>21</v>
      </c>
      <c r="R160">
        <v>28.78</v>
      </c>
      <c r="S160">
        <v>13.51</v>
      </c>
      <c r="T160" s="4">
        <v>24.032</v>
      </c>
      <c r="U160" s="4">
        <v>10.225891999999901</v>
      </c>
      <c r="V160" t="str">
        <f>IF(Table1[[#This Row],[ai_disruption_intensity]]&gt;70,"High",
IF(Table1[[#This Row],[ai_disruption_intensity]]&gt;40,"Medium","Low"))</f>
        <v>Low</v>
      </c>
      <c r="W160" t="str">
        <f>IF(Table1[[#This Row],[skill_gap_index]]&gt;70,"Large Gap",
IF(Table1[[#This Row],[skill_gap_index]]&gt;40,"Medium Gap","Small Gap"))</f>
        <v>Small Gap</v>
      </c>
      <c r="X160" s="3" t="str">
        <f>IF(Table1[[#This Row],[automation_risk_percent]]&gt;0.7,"Highly Automatable",
IF(Table1[[#This Row],[automation_risk_percent]]&gt;0.4,"Moderate Risk","Safe Job"))</f>
        <v>Safe Job</v>
      </c>
    </row>
    <row r="161" spans="1:24" x14ac:dyDescent="0.3">
      <c r="A161">
        <v>612</v>
      </c>
      <c r="B161" t="s">
        <v>46</v>
      </c>
      <c r="C161" t="s">
        <v>30</v>
      </c>
      <c r="D161" t="s">
        <v>42</v>
      </c>
      <c r="E161" s="1">
        <v>2025</v>
      </c>
      <c r="F161" s="11">
        <v>0.31120000000000003</v>
      </c>
      <c r="G161">
        <v>34.14</v>
      </c>
      <c r="H161">
        <v>22.83</v>
      </c>
      <c r="I161" s="2">
        <v>37014.959999999999</v>
      </c>
      <c r="J161" s="2">
        <v>36116.61</v>
      </c>
      <c r="K161" s="2">
        <f>Table1[[#This Row],[Salary_after]]-Table1[[#This Row],[Salary_before]]</f>
        <v>-898.34999999999854</v>
      </c>
      <c r="L161" s="11">
        <v>-2.4300000000000002E-2</v>
      </c>
      <c r="M161" s="11">
        <v>-0.13900000000000001</v>
      </c>
      <c r="N161">
        <v>25.12</v>
      </c>
      <c r="O161">
        <v>35.479999999999997</v>
      </c>
      <c r="P161">
        <v>3</v>
      </c>
      <c r="Q161" t="s">
        <v>25</v>
      </c>
      <c r="R161">
        <v>26.975000000000001</v>
      </c>
      <c r="S161">
        <v>2.4300000000000002</v>
      </c>
      <c r="T161" s="4">
        <v>20.026</v>
      </c>
      <c r="U161" s="4">
        <v>11.041376</v>
      </c>
      <c r="V161" t="str">
        <f>IF(Table1[[#This Row],[ai_disruption_intensity]]&gt;70,"High",
IF(Table1[[#This Row],[ai_disruption_intensity]]&gt;40,"Medium","Low"))</f>
        <v>Low</v>
      </c>
      <c r="W161" t="str">
        <f>IF(Table1[[#This Row],[skill_gap_index]]&gt;70,"Large Gap",
IF(Table1[[#This Row],[skill_gap_index]]&gt;40,"Medium Gap","Small Gap"))</f>
        <v>Small Gap</v>
      </c>
      <c r="X161" s="3" t="str">
        <f>IF(Table1[[#This Row],[automation_risk_percent]]&gt;0.7,"Highly Automatable",
IF(Table1[[#This Row],[automation_risk_percent]]&gt;0.4,"Moderate Risk","Safe Job"))</f>
        <v>Safe Job</v>
      </c>
    </row>
    <row r="162" spans="1:24" x14ac:dyDescent="0.3">
      <c r="A162">
        <v>614</v>
      </c>
      <c r="B162" t="s">
        <v>41</v>
      </c>
      <c r="C162" t="s">
        <v>19</v>
      </c>
      <c r="D162" t="s">
        <v>47</v>
      </c>
      <c r="E162" s="1">
        <v>2026</v>
      </c>
      <c r="F162" s="11">
        <v>0.74080000000000001</v>
      </c>
      <c r="G162">
        <v>71.430000000000007</v>
      </c>
      <c r="H162">
        <v>50.46</v>
      </c>
      <c r="I162" s="2">
        <v>30882.37</v>
      </c>
      <c r="J162" s="2">
        <v>34187.910000000003</v>
      </c>
      <c r="K162" s="2">
        <f>Table1[[#This Row],[Salary_after]]-Table1[[#This Row],[Salary_before]]</f>
        <v>3305.5400000000045</v>
      </c>
      <c r="L162" s="11">
        <v>0.107</v>
      </c>
      <c r="M162" s="11">
        <v>0.1772</v>
      </c>
      <c r="N162">
        <v>13.46</v>
      </c>
      <c r="O162">
        <v>36.83</v>
      </c>
      <c r="P162">
        <v>3</v>
      </c>
      <c r="Q162" t="s">
        <v>37</v>
      </c>
      <c r="R162">
        <v>62.269999999999897</v>
      </c>
      <c r="S162">
        <v>10.7</v>
      </c>
      <c r="T162" s="4">
        <v>47.98</v>
      </c>
      <c r="U162" s="4">
        <v>27.283663999999899</v>
      </c>
      <c r="V162" t="str">
        <f>IF(Table1[[#This Row],[ai_disruption_intensity]]&gt;70,"High",
IF(Table1[[#This Row],[ai_disruption_intensity]]&gt;40,"Medium","Low"))</f>
        <v>Low</v>
      </c>
      <c r="W162" t="str">
        <f>IF(Table1[[#This Row],[skill_gap_index]]&gt;70,"Large Gap",
IF(Table1[[#This Row],[skill_gap_index]]&gt;40,"Medium Gap","Small Gap"))</f>
        <v>Medium Gap</v>
      </c>
      <c r="X162" s="3" t="str">
        <f>IF(Table1[[#This Row],[automation_risk_percent]]&gt;0.7,"Highly Automatable",
IF(Table1[[#This Row],[automation_risk_percent]]&gt;0.4,"Moderate Risk","Safe Job"))</f>
        <v>Highly Automatable</v>
      </c>
    </row>
    <row r="163" spans="1:24" x14ac:dyDescent="0.3">
      <c r="A163">
        <v>615</v>
      </c>
      <c r="B163" t="s">
        <v>39</v>
      </c>
      <c r="C163" t="s">
        <v>27</v>
      </c>
      <c r="D163" t="s">
        <v>42</v>
      </c>
      <c r="E163" s="1">
        <v>2026</v>
      </c>
      <c r="F163" s="11">
        <v>0.7853</v>
      </c>
      <c r="G163">
        <v>76.040000000000006</v>
      </c>
      <c r="H163">
        <v>50.19</v>
      </c>
      <c r="I163" s="2">
        <v>139191.62</v>
      </c>
      <c r="J163" s="2">
        <v>147806</v>
      </c>
      <c r="K163" s="2">
        <f>Table1[[#This Row],[Salary_after]]-Table1[[#This Row],[Salary_before]]</f>
        <v>8614.3800000000047</v>
      </c>
      <c r="L163" s="11">
        <v>6.1900000000000004E-2</v>
      </c>
      <c r="M163" s="11">
        <v>0.21379999999999999</v>
      </c>
      <c r="N163">
        <v>81.8</v>
      </c>
      <c r="O163">
        <v>86.44</v>
      </c>
      <c r="P163">
        <v>3</v>
      </c>
      <c r="Q163" t="s">
        <v>37</v>
      </c>
      <c r="R163">
        <v>64.36</v>
      </c>
      <c r="S163">
        <v>6.19</v>
      </c>
      <c r="T163" s="4">
        <v>48.326000000000001</v>
      </c>
      <c r="U163" s="4">
        <v>67.881332</v>
      </c>
      <c r="V163" t="str">
        <f>IF(Table1[[#This Row],[ai_disruption_intensity]]&gt;70,"High",
IF(Table1[[#This Row],[ai_disruption_intensity]]&gt;40,"Medium","Low"))</f>
        <v>Medium</v>
      </c>
      <c r="W163" t="str">
        <f>IF(Table1[[#This Row],[skill_gap_index]]&gt;70,"Large Gap",
IF(Table1[[#This Row],[skill_gap_index]]&gt;40,"Medium Gap","Small Gap"))</f>
        <v>Medium Gap</v>
      </c>
      <c r="X163" s="3" t="str">
        <f>IF(Table1[[#This Row],[automation_risk_percent]]&gt;0.7,"Highly Automatable",
IF(Table1[[#This Row],[automation_risk_percent]]&gt;0.4,"Moderate Risk","Safe Job"))</f>
        <v>Highly Automatable</v>
      </c>
    </row>
    <row r="164" spans="1:24" x14ac:dyDescent="0.3">
      <c r="A164">
        <v>616</v>
      </c>
      <c r="B164" t="s">
        <v>46</v>
      </c>
      <c r="C164" t="s">
        <v>33</v>
      </c>
      <c r="D164" t="s">
        <v>31</v>
      </c>
      <c r="E164" s="1">
        <v>2025</v>
      </c>
      <c r="F164" s="11">
        <v>0.31980000000000003</v>
      </c>
      <c r="G164">
        <v>31.66</v>
      </c>
      <c r="H164">
        <v>38.61</v>
      </c>
      <c r="I164" s="2">
        <v>146004.74</v>
      </c>
      <c r="J164" s="2">
        <v>138488.67000000001</v>
      </c>
      <c r="K164" s="2">
        <f>Table1[[#This Row],[Salary_after]]-Table1[[#This Row],[Salary_before]]</f>
        <v>-7516.0699999999779</v>
      </c>
      <c r="L164" s="11">
        <v>-5.1500000000000004E-2</v>
      </c>
      <c r="M164" s="11">
        <v>7.4400000000000008E-2</v>
      </c>
      <c r="N164">
        <v>87.67</v>
      </c>
      <c r="O164">
        <v>48.06</v>
      </c>
      <c r="P164">
        <v>4</v>
      </c>
      <c r="Q164" t="s">
        <v>25</v>
      </c>
      <c r="R164">
        <v>35.295000000000002</v>
      </c>
      <c r="S164">
        <v>5.15</v>
      </c>
      <c r="T164" s="4">
        <v>25.92</v>
      </c>
      <c r="U164" s="4">
        <v>15.369588</v>
      </c>
      <c r="V164" t="str">
        <f>IF(Table1[[#This Row],[ai_disruption_intensity]]&gt;70,"High",
IF(Table1[[#This Row],[ai_disruption_intensity]]&gt;40,"Medium","Low"))</f>
        <v>Low</v>
      </c>
      <c r="W164" t="str">
        <f>IF(Table1[[#This Row],[skill_gap_index]]&gt;70,"Large Gap",
IF(Table1[[#This Row],[skill_gap_index]]&gt;40,"Medium Gap","Small Gap"))</f>
        <v>Small Gap</v>
      </c>
      <c r="X164" s="3" t="str">
        <f>IF(Table1[[#This Row],[automation_risk_percent]]&gt;0.7,"Highly Automatable",
IF(Table1[[#This Row],[automation_risk_percent]]&gt;0.4,"Moderate Risk","Safe Job"))</f>
        <v>Safe Job</v>
      </c>
    </row>
    <row r="165" spans="1:24" x14ac:dyDescent="0.3">
      <c r="A165">
        <v>618</v>
      </c>
      <c r="B165" t="s">
        <v>46</v>
      </c>
      <c r="C165" t="s">
        <v>38</v>
      </c>
      <c r="D165" t="s">
        <v>24</v>
      </c>
      <c r="E165" s="1">
        <v>2025</v>
      </c>
      <c r="F165" s="11">
        <v>0.68030000000000002</v>
      </c>
      <c r="G165">
        <v>68.37</v>
      </c>
      <c r="H165">
        <v>29.09</v>
      </c>
      <c r="I165" s="2">
        <v>86328.82</v>
      </c>
      <c r="J165" s="2">
        <v>82592.740000000005</v>
      </c>
      <c r="K165" s="2">
        <f>Table1[[#This Row],[Salary_after]]-Table1[[#This Row],[Salary_before]]</f>
        <v>-3736.0800000000017</v>
      </c>
      <c r="L165" s="11">
        <v>-4.3299999999999998E-2</v>
      </c>
      <c r="M165" s="11">
        <v>0.12939999999999999</v>
      </c>
      <c r="N165">
        <v>27.34</v>
      </c>
      <c r="O165">
        <v>12.91</v>
      </c>
      <c r="P165">
        <v>2</v>
      </c>
      <c r="Q165" t="s">
        <v>37</v>
      </c>
      <c r="R165">
        <v>48.56</v>
      </c>
      <c r="S165">
        <v>4.33</v>
      </c>
      <c r="T165" s="4">
        <v>37.238</v>
      </c>
      <c r="U165" s="4">
        <v>8.7826729999999902</v>
      </c>
      <c r="V165" t="str">
        <f>IF(Table1[[#This Row],[ai_disruption_intensity]]&gt;70,"High",
IF(Table1[[#This Row],[ai_disruption_intensity]]&gt;40,"Medium","Low"))</f>
        <v>Low</v>
      </c>
      <c r="W165" t="str">
        <f>IF(Table1[[#This Row],[skill_gap_index]]&gt;70,"Large Gap",
IF(Table1[[#This Row],[skill_gap_index]]&gt;40,"Medium Gap","Small Gap"))</f>
        <v>Small Gap</v>
      </c>
      <c r="X165" s="3" t="str">
        <f>IF(Table1[[#This Row],[automation_risk_percent]]&gt;0.7,"Highly Automatable",
IF(Table1[[#This Row],[automation_risk_percent]]&gt;0.4,"Moderate Risk","Safe Job"))</f>
        <v>Moderate Risk</v>
      </c>
    </row>
    <row r="166" spans="1:24" x14ac:dyDescent="0.3">
      <c r="A166">
        <v>620</v>
      </c>
      <c r="B166" t="s">
        <v>22</v>
      </c>
      <c r="C166" t="s">
        <v>30</v>
      </c>
      <c r="D166" t="s">
        <v>47</v>
      </c>
      <c r="E166" s="1">
        <v>2025</v>
      </c>
      <c r="F166" s="11">
        <v>0.79170000000000007</v>
      </c>
      <c r="G166">
        <v>78.7</v>
      </c>
      <c r="H166">
        <v>17.920000000000002</v>
      </c>
      <c r="I166" s="2">
        <v>136936.81</v>
      </c>
      <c r="J166" s="2">
        <v>161769.04</v>
      </c>
      <c r="K166" s="2">
        <f>Table1[[#This Row],[Salary_after]]-Table1[[#This Row],[Salary_before]]</f>
        <v>24832.23000000001</v>
      </c>
      <c r="L166" s="11">
        <v>0.18129999999999999</v>
      </c>
      <c r="M166" s="11">
        <v>1.5700000000000002E-2</v>
      </c>
      <c r="N166">
        <v>98.53</v>
      </c>
      <c r="O166">
        <v>5.0199999999999996</v>
      </c>
      <c r="P166">
        <v>2</v>
      </c>
      <c r="Q166" t="s">
        <v>37</v>
      </c>
      <c r="R166">
        <v>48.545000000000002</v>
      </c>
      <c r="S166">
        <v>18.13</v>
      </c>
      <c r="T166" s="4">
        <v>42.482999999999997</v>
      </c>
      <c r="U166" s="4">
        <v>3.97433399999999</v>
      </c>
      <c r="V166" t="str">
        <f>IF(Table1[[#This Row],[ai_disruption_intensity]]&gt;70,"High",
IF(Table1[[#This Row],[ai_disruption_intensity]]&gt;40,"Medium","Low"))</f>
        <v>Low</v>
      </c>
      <c r="W166" t="str">
        <f>IF(Table1[[#This Row],[skill_gap_index]]&gt;70,"Large Gap",
IF(Table1[[#This Row],[skill_gap_index]]&gt;40,"Medium Gap","Small Gap"))</f>
        <v>Small Gap</v>
      </c>
      <c r="X166" s="3" t="str">
        <f>IF(Table1[[#This Row],[automation_risk_percent]]&gt;0.7,"Highly Automatable",
IF(Table1[[#This Row],[automation_risk_percent]]&gt;0.4,"Moderate Risk","Safe Job"))</f>
        <v>Highly Automatable</v>
      </c>
    </row>
    <row r="167" spans="1:24" x14ac:dyDescent="0.3">
      <c r="A167">
        <v>621</v>
      </c>
      <c r="B167" t="s">
        <v>46</v>
      </c>
      <c r="C167" t="s">
        <v>38</v>
      </c>
      <c r="D167" t="s">
        <v>35</v>
      </c>
      <c r="E167" s="1">
        <v>2025</v>
      </c>
      <c r="F167" s="11">
        <v>6.7699999999999996E-2</v>
      </c>
      <c r="G167">
        <v>7.37</v>
      </c>
      <c r="H167">
        <v>28.18</v>
      </c>
      <c r="I167" s="2">
        <v>52116.17</v>
      </c>
      <c r="J167" s="2">
        <v>49621.06</v>
      </c>
      <c r="K167" s="2">
        <f>Table1[[#This Row],[Salary_after]]-Table1[[#This Row],[Salary_before]]</f>
        <v>-2495.1100000000006</v>
      </c>
      <c r="L167" s="11">
        <v>-4.7899999999999998E-2</v>
      </c>
      <c r="M167" s="11">
        <v>8.5900000000000004E-2</v>
      </c>
      <c r="N167">
        <v>52.09</v>
      </c>
      <c r="O167">
        <v>60.59</v>
      </c>
      <c r="P167">
        <v>2</v>
      </c>
      <c r="Q167" t="s">
        <v>21</v>
      </c>
      <c r="R167">
        <v>17.475000000000001</v>
      </c>
      <c r="S167">
        <v>4.79</v>
      </c>
      <c r="T167" s="4">
        <v>12.598999999999901</v>
      </c>
      <c r="U167" s="4">
        <v>4.1019430000000003</v>
      </c>
      <c r="V167" t="str">
        <f>IF(Table1[[#This Row],[ai_disruption_intensity]]&gt;70,"High",
IF(Table1[[#This Row],[ai_disruption_intensity]]&gt;40,"Medium","Low"))</f>
        <v>Low</v>
      </c>
      <c r="W167" t="str">
        <f>IF(Table1[[#This Row],[skill_gap_index]]&gt;70,"Large Gap",
IF(Table1[[#This Row],[skill_gap_index]]&gt;40,"Medium Gap","Small Gap"))</f>
        <v>Small Gap</v>
      </c>
      <c r="X167" s="3" t="str">
        <f>IF(Table1[[#This Row],[automation_risk_percent]]&gt;0.7,"Highly Automatable",
IF(Table1[[#This Row],[automation_risk_percent]]&gt;0.4,"Moderate Risk","Safe Job"))</f>
        <v>Safe Job</v>
      </c>
    </row>
    <row r="168" spans="1:24" x14ac:dyDescent="0.3">
      <c r="A168">
        <v>626</v>
      </c>
      <c r="B168" t="s">
        <v>29</v>
      </c>
      <c r="C168" t="s">
        <v>38</v>
      </c>
      <c r="D168" t="s">
        <v>31</v>
      </c>
      <c r="E168" s="1">
        <v>2025</v>
      </c>
      <c r="F168" s="11">
        <v>0.31090000000000001</v>
      </c>
      <c r="G168">
        <v>28.64</v>
      </c>
      <c r="H168">
        <v>96.66</v>
      </c>
      <c r="I168" s="2">
        <v>143364.89000000001</v>
      </c>
      <c r="J168" s="2">
        <v>154803.16</v>
      </c>
      <c r="K168" s="2">
        <f>Table1[[#This Row],[Salary_after]]-Table1[[#This Row],[Salary_before]]</f>
        <v>11438.26999999999</v>
      </c>
      <c r="L168" s="11">
        <v>7.980000000000001E-2</v>
      </c>
      <c r="M168" s="11">
        <v>-0.13589999999999999</v>
      </c>
      <c r="N168">
        <v>91.86</v>
      </c>
      <c r="O168">
        <v>0.62</v>
      </c>
      <c r="P168">
        <v>1</v>
      </c>
      <c r="Q168" t="s">
        <v>25</v>
      </c>
      <c r="R168">
        <v>63.875</v>
      </c>
      <c r="S168">
        <v>7.98</v>
      </c>
      <c r="T168" s="4">
        <v>43.827999999999903</v>
      </c>
      <c r="U168" s="4">
        <v>0.19275800000000001</v>
      </c>
      <c r="V168" t="str">
        <f>IF(Table1[[#This Row],[ai_disruption_intensity]]&gt;70,"High",
IF(Table1[[#This Row],[ai_disruption_intensity]]&gt;40,"Medium","Low"))</f>
        <v>Low</v>
      </c>
      <c r="W168" t="str">
        <f>IF(Table1[[#This Row],[skill_gap_index]]&gt;70,"Large Gap",
IF(Table1[[#This Row],[skill_gap_index]]&gt;40,"Medium Gap","Small Gap"))</f>
        <v>Large Gap</v>
      </c>
      <c r="X168" s="3" t="str">
        <f>IF(Table1[[#This Row],[automation_risk_percent]]&gt;0.7,"Highly Automatable",
IF(Table1[[#This Row],[automation_risk_percent]]&gt;0.4,"Moderate Risk","Safe Job"))</f>
        <v>Safe Job</v>
      </c>
    </row>
    <row r="169" spans="1:24" x14ac:dyDescent="0.3">
      <c r="A169">
        <v>633</v>
      </c>
      <c r="B169" t="s">
        <v>44</v>
      </c>
      <c r="C169" t="s">
        <v>34</v>
      </c>
      <c r="D169" t="s">
        <v>35</v>
      </c>
      <c r="E169" s="1">
        <v>2025</v>
      </c>
      <c r="F169" s="11">
        <v>0.49979999999999997</v>
      </c>
      <c r="G169">
        <v>57.25</v>
      </c>
      <c r="H169">
        <v>13.95</v>
      </c>
      <c r="I169" s="2">
        <v>98304.78</v>
      </c>
      <c r="J169" s="2">
        <v>100603.61</v>
      </c>
      <c r="K169" s="2">
        <f>Table1[[#This Row],[Salary_after]]-Table1[[#This Row],[Salary_before]]</f>
        <v>2298.8300000000017</v>
      </c>
      <c r="L169" s="11">
        <v>2.3399999999999997E-2</v>
      </c>
      <c r="M169" s="11">
        <v>0.1535</v>
      </c>
      <c r="N169">
        <v>74.62</v>
      </c>
      <c r="O169">
        <v>37.200000000000003</v>
      </c>
      <c r="P169">
        <v>1</v>
      </c>
      <c r="Q169" t="s">
        <v>25</v>
      </c>
      <c r="R169">
        <v>31.9649999999999</v>
      </c>
      <c r="S169">
        <v>2.34</v>
      </c>
      <c r="T169" s="4">
        <v>24.878999999999898</v>
      </c>
      <c r="U169" s="4">
        <v>18.592559999999999</v>
      </c>
      <c r="V169" t="str">
        <f>IF(Table1[[#This Row],[ai_disruption_intensity]]&gt;70,"High",
IF(Table1[[#This Row],[ai_disruption_intensity]]&gt;40,"Medium","Low"))</f>
        <v>Low</v>
      </c>
      <c r="W169" t="str">
        <f>IF(Table1[[#This Row],[skill_gap_index]]&gt;70,"Large Gap",
IF(Table1[[#This Row],[skill_gap_index]]&gt;40,"Medium Gap","Small Gap"))</f>
        <v>Small Gap</v>
      </c>
      <c r="X169" s="3" t="str">
        <f>IF(Table1[[#This Row],[automation_risk_percent]]&gt;0.7,"Highly Automatable",
IF(Table1[[#This Row],[automation_risk_percent]]&gt;0.4,"Moderate Risk","Safe Job"))</f>
        <v>Moderate Risk</v>
      </c>
    </row>
    <row r="170" spans="1:24" x14ac:dyDescent="0.3">
      <c r="A170">
        <v>634</v>
      </c>
      <c r="B170" t="s">
        <v>29</v>
      </c>
      <c r="C170" t="s">
        <v>19</v>
      </c>
      <c r="D170" t="s">
        <v>20</v>
      </c>
      <c r="E170" s="1">
        <v>2026</v>
      </c>
      <c r="F170" s="11">
        <v>0.31469999999999998</v>
      </c>
      <c r="G170">
        <v>30.94</v>
      </c>
      <c r="H170">
        <v>39.450000000000003</v>
      </c>
      <c r="I170" s="2">
        <v>134047.22</v>
      </c>
      <c r="J170" s="2">
        <v>144228.31</v>
      </c>
      <c r="K170" s="2">
        <f>Table1[[#This Row],[Salary_after]]-Table1[[#This Row],[Salary_before]]</f>
        <v>10181.089999999997</v>
      </c>
      <c r="L170" s="11">
        <v>7.5999999999999998E-2</v>
      </c>
      <c r="M170" s="11">
        <v>2.0799999999999999E-2</v>
      </c>
      <c r="N170">
        <v>97</v>
      </c>
      <c r="O170">
        <v>44.34</v>
      </c>
      <c r="P170">
        <v>3</v>
      </c>
      <c r="Q170" t="s">
        <v>25</v>
      </c>
      <c r="R170">
        <v>35.46</v>
      </c>
      <c r="S170">
        <v>7.6</v>
      </c>
      <c r="T170" s="4">
        <v>26.702999999999999</v>
      </c>
      <c r="U170" s="4">
        <v>13.953798000000001</v>
      </c>
      <c r="V170" t="str">
        <f>IF(Table1[[#This Row],[ai_disruption_intensity]]&gt;70,"High",
IF(Table1[[#This Row],[ai_disruption_intensity]]&gt;40,"Medium","Low"))</f>
        <v>Low</v>
      </c>
      <c r="W170" t="str">
        <f>IF(Table1[[#This Row],[skill_gap_index]]&gt;70,"Large Gap",
IF(Table1[[#This Row],[skill_gap_index]]&gt;40,"Medium Gap","Small Gap"))</f>
        <v>Small Gap</v>
      </c>
      <c r="X170" s="3" t="str">
        <f>IF(Table1[[#This Row],[automation_risk_percent]]&gt;0.7,"Highly Automatable",
IF(Table1[[#This Row],[automation_risk_percent]]&gt;0.4,"Moderate Risk","Safe Job"))</f>
        <v>Safe Job</v>
      </c>
    </row>
    <row r="171" spans="1:24" x14ac:dyDescent="0.3">
      <c r="A171">
        <v>638</v>
      </c>
      <c r="B171" t="s">
        <v>39</v>
      </c>
      <c r="C171" t="s">
        <v>27</v>
      </c>
      <c r="D171" t="s">
        <v>36</v>
      </c>
      <c r="E171" s="1">
        <v>2026</v>
      </c>
      <c r="F171" s="11">
        <v>0.51729999999999998</v>
      </c>
      <c r="G171">
        <v>56.69</v>
      </c>
      <c r="H171">
        <v>21.1</v>
      </c>
      <c r="I171" s="2">
        <v>130994.64</v>
      </c>
      <c r="J171" s="2">
        <v>111554.29</v>
      </c>
      <c r="K171" s="2">
        <f>Table1[[#This Row],[Salary_after]]-Table1[[#This Row],[Salary_before]]</f>
        <v>-19440.350000000006</v>
      </c>
      <c r="L171" s="11">
        <v>-0.1484</v>
      </c>
      <c r="M171" s="11">
        <v>2.92E-2</v>
      </c>
      <c r="N171">
        <v>22.04</v>
      </c>
      <c r="O171">
        <v>95.33</v>
      </c>
      <c r="P171">
        <v>5</v>
      </c>
      <c r="Q171" t="s">
        <v>25</v>
      </c>
      <c r="R171">
        <v>36.414999999999999</v>
      </c>
      <c r="S171">
        <v>14.84</v>
      </c>
      <c r="T171" s="4">
        <v>31.473999999999901</v>
      </c>
      <c r="U171" s="4">
        <v>49.314208999999899</v>
      </c>
      <c r="V171" t="str">
        <f>IF(Table1[[#This Row],[ai_disruption_intensity]]&gt;70,"High",
IF(Table1[[#This Row],[ai_disruption_intensity]]&gt;40,"Medium","Low"))</f>
        <v>Medium</v>
      </c>
      <c r="W171" t="str">
        <f>IF(Table1[[#This Row],[skill_gap_index]]&gt;70,"Large Gap",
IF(Table1[[#This Row],[skill_gap_index]]&gt;40,"Medium Gap","Small Gap"))</f>
        <v>Small Gap</v>
      </c>
      <c r="X171" s="3" t="str">
        <f>IF(Table1[[#This Row],[automation_risk_percent]]&gt;0.7,"Highly Automatable",
IF(Table1[[#This Row],[automation_risk_percent]]&gt;0.4,"Moderate Risk","Safe Job"))</f>
        <v>Moderate Risk</v>
      </c>
    </row>
    <row r="172" spans="1:24" x14ac:dyDescent="0.3">
      <c r="A172">
        <v>639</v>
      </c>
      <c r="B172" t="s">
        <v>43</v>
      </c>
      <c r="C172" t="s">
        <v>23</v>
      </c>
      <c r="D172" t="s">
        <v>28</v>
      </c>
      <c r="E172" s="1">
        <v>2025</v>
      </c>
      <c r="F172" s="11">
        <v>0.15090000000000001</v>
      </c>
      <c r="G172">
        <v>13.27</v>
      </c>
      <c r="H172">
        <v>34.78</v>
      </c>
      <c r="I172" s="2">
        <v>104428.18</v>
      </c>
      <c r="J172" s="2">
        <v>93410.08</v>
      </c>
      <c r="K172" s="2">
        <f>Table1[[#This Row],[Salary_after]]-Table1[[#This Row],[Salary_before]]</f>
        <v>-11018.099999999991</v>
      </c>
      <c r="L172" s="11">
        <v>-0.10550000000000001</v>
      </c>
      <c r="M172" s="11">
        <v>6.2600000000000003E-2</v>
      </c>
      <c r="N172">
        <v>36.08</v>
      </c>
      <c r="O172">
        <v>23.88</v>
      </c>
      <c r="P172">
        <v>2</v>
      </c>
      <c r="Q172" t="s">
        <v>21</v>
      </c>
      <c r="R172">
        <v>24.934999999999999</v>
      </c>
      <c r="S172">
        <v>10.55</v>
      </c>
      <c r="T172" s="4">
        <v>19.634999999999899</v>
      </c>
      <c r="U172" s="4">
        <v>3.6034920000000001</v>
      </c>
      <c r="V172" t="str">
        <f>IF(Table1[[#This Row],[ai_disruption_intensity]]&gt;70,"High",
IF(Table1[[#This Row],[ai_disruption_intensity]]&gt;40,"Medium","Low"))</f>
        <v>Low</v>
      </c>
      <c r="W172" t="str">
        <f>IF(Table1[[#This Row],[skill_gap_index]]&gt;70,"Large Gap",
IF(Table1[[#This Row],[skill_gap_index]]&gt;40,"Medium Gap","Small Gap"))</f>
        <v>Small Gap</v>
      </c>
      <c r="X172" s="3" t="str">
        <f>IF(Table1[[#This Row],[automation_risk_percent]]&gt;0.7,"Highly Automatable",
IF(Table1[[#This Row],[automation_risk_percent]]&gt;0.4,"Moderate Risk","Safe Job"))</f>
        <v>Safe Job</v>
      </c>
    </row>
    <row r="173" spans="1:24" x14ac:dyDescent="0.3">
      <c r="A173">
        <v>642</v>
      </c>
      <c r="B173" t="s">
        <v>43</v>
      </c>
      <c r="C173" t="s">
        <v>19</v>
      </c>
      <c r="D173" t="s">
        <v>28</v>
      </c>
      <c r="E173" s="1">
        <v>2026</v>
      </c>
      <c r="F173" s="11">
        <v>0.69140000000000001</v>
      </c>
      <c r="G173">
        <v>65.260000000000005</v>
      </c>
      <c r="H173">
        <v>68.72</v>
      </c>
      <c r="I173" s="2">
        <v>67540.100000000006</v>
      </c>
      <c r="J173" s="2">
        <v>68583.56</v>
      </c>
      <c r="K173" s="2">
        <f>Table1[[#This Row],[Salary_after]]-Table1[[#This Row],[Salary_before]]</f>
        <v>1043.4599999999919</v>
      </c>
      <c r="L173" s="11">
        <v>1.54E-2</v>
      </c>
      <c r="M173" s="11">
        <v>1.6299999999999999E-2</v>
      </c>
      <c r="N173">
        <v>10.88</v>
      </c>
      <c r="O173">
        <v>40.92</v>
      </c>
      <c r="P173">
        <v>4</v>
      </c>
      <c r="Q173" t="s">
        <v>37</v>
      </c>
      <c r="R173">
        <v>68.930000000000007</v>
      </c>
      <c r="S173">
        <v>1.54</v>
      </c>
      <c r="T173" s="4">
        <v>48.734000000000002</v>
      </c>
      <c r="U173" s="4">
        <v>28.292088</v>
      </c>
      <c r="V173" t="str">
        <f>IF(Table1[[#This Row],[ai_disruption_intensity]]&gt;70,"High",
IF(Table1[[#This Row],[ai_disruption_intensity]]&gt;40,"Medium","Low"))</f>
        <v>Low</v>
      </c>
      <c r="W173" t="str">
        <f>IF(Table1[[#This Row],[skill_gap_index]]&gt;70,"Large Gap",
IF(Table1[[#This Row],[skill_gap_index]]&gt;40,"Medium Gap","Small Gap"))</f>
        <v>Medium Gap</v>
      </c>
      <c r="X173" s="3" t="str">
        <f>IF(Table1[[#This Row],[automation_risk_percent]]&gt;0.7,"Highly Automatable",
IF(Table1[[#This Row],[automation_risk_percent]]&gt;0.4,"Moderate Risk","Safe Job"))</f>
        <v>Moderate Risk</v>
      </c>
    </row>
    <row r="174" spans="1:24" x14ac:dyDescent="0.3">
      <c r="A174">
        <v>643</v>
      </c>
      <c r="B174" t="s">
        <v>43</v>
      </c>
      <c r="C174" t="s">
        <v>38</v>
      </c>
      <c r="D174" t="s">
        <v>31</v>
      </c>
      <c r="E174" s="1">
        <v>2025</v>
      </c>
      <c r="F174" s="11">
        <v>0.3306</v>
      </c>
      <c r="G174">
        <v>35.61</v>
      </c>
      <c r="H174">
        <v>76.62</v>
      </c>
      <c r="I174" s="2">
        <v>66491.360000000001</v>
      </c>
      <c r="J174" s="2">
        <v>62531.56</v>
      </c>
      <c r="K174" s="2">
        <f>Table1[[#This Row],[Salary_after]]-Table1[[#This Row],[Salary_before]]</f>
        <v>-3959.8000000000029</v>
      </c>
      <c r="L174" s="11">
        <v>-5.96E-2</v>
      </c>
      <c r="M174" s="11">
        <v>0.1401</v>
      </c>
      <c r="N174">
        <v>50.17</v>
      </c>
      <c r="O174">
        <v>72.7</v>
      </c>
      <c r="P174">
        <v>5</v>
      </c>
      <c r="Q174" t="s">
        <v>25</v>
      </c>
      <c r="R174">
        <v>54.84</v>
      </c>
      <c r="S174">
        <v>5.96</v>
      </c>
      <c r="T174" s="4">
        <v>37.997999999999998</v>
      </c>
      <c r="U174" s="4">
        <v>24.03462</v>
      </c>
      <c r="V174" t="str">
        <f>IF(Table1[[#This Row],[ai_disruption_intensity]]&gt;70,"High",
IF(Table1[[#This Row],[ai_disruption_intensity]]&gt;40,"Medium","Low"))</f>
        <v>Low</v>
      </c>
      <c r="W174" t="str">
        <f>IF(Table1[[#This Row],[skill_gap_index]]&gt;70,"Large Gap",
IF(Table1[[#This Row],[skill_gap_index]]&gt;40,"Medium Gap","Small Gap"))</f>
        <v>Large Gap</v>
      </c>
      <c r="X174" s="3" t="str">
        <f>IF(Table1[[#This Row],[automation_risk_percent]]&gt;0.7,"Highly Automatable",
IF(Table1[[#This Row],[automation_risk_percent]]&gt;0.4,"Moderate Risk","Safe Job"))</f>
        <v>Safe Job</v>
      </c>
    </row>
    <row r="175" spans="1:24" x14ac:dyDescent="0.3">
      <c r="A175">
        <v>646</v>
      </c>
      <c r="B175" t="s">
        <v>43</v>
      </c>
      <c r="C175" t="s">
        <v>30</v>
      </c>
      <c r="D175" t="s">
        <v>35</v>
      </c>
      <c r="E175" s="1">
        <v>2025</v>
      </c>
      <c r="F175" s="11">
        <v>0.46310000000000001</v>
      </c>
      <c r="G175">
        <v>38</v>
      </c>
      <c r="H175">
        <v>23.29</v>
      </c>
      <c r="I175" s="2">
        <v>89040.21</v>
      </c>
      <c r="J175" s="2">
        <v>80666.880000000005</v>
      </c>
      <c r="K175" s="2">
        <f>Table1[[#This Row],[Salary_after]]-Table1[[#This Row],[Salary_before]]</f>
        <v>-8373.3300000000017</v>
      </c>
      <c r="L175" s="11">
        <v>-9.4E-2</v>
      </c>
      <c r="M175" s="11">
        <v>-6.0999999999999995E-3</v>
      </c>
      <c r="N175">
        <v>55.37</v>
      </c>
      <c r="O175">
        <v>32.28</v>
      </c>
      <c r="P175">
        <v>4</v>
      </c>
      <c r="Q175" t="s">
        <v>25</v>
      </c>
      <c r="R175">
        <v>34.799999999999997</v>
      </c>
      <c r="S175">
        <v>9.4</v>
      </c>
      <c r="T175" s="4">
        <v>28.331</v>
      </c>
      <c r="U175" s="4">
        <v>14.948867999999999</v>
      </c>
      <c r="V175" t="str">
        <f>IF(Table1[[#This Row],[ai_disruption_intensity]]&gt;70,"High",
IF(Table1[[#This Row],[ai_disruption_intensity]]&gt;40,"Medium","Low"))</f>
        <v>Low</v>
      </c>
      <c r="W175" t="str">
        <f>IF(Table1[[#This Row],[skill_gap_index]]&gt;70,"Large Gap",
IF(Table1[[#This Row],[skill_gap_index]]&gt;40,"Medium Gap","Small Gap"))</f>
        <v>Small Gap</v>
      </c>
      <c r="X175" s="3" t="str">
        <f>IF(Table1[[#This Row],[automation_risk_percent]]&gt;0.7,"Highly Automatable",
IF(Table1[[#This Row],[automation_risk_percent]]&gt;0.4,"Moderate Risk","Safe Job"))</f>
        <v>Moderate Risk</v>
      </c>
    </row>
    <row r="176" spans="1:24" x14ac:dyDescent="0.3">
      <c r="A176">
        <v>649</v>
      </c>
      <c r="B176" t="s">
        <v>26</v>
      </c>
      <c r="C176" t="s">
        <v>33</v>
      </c>
      <c r="D176" t="s">
        <v>32</v>
      </c>
      <c r="E176" s="1">
        <v>2025</v>
      </c>
      <c r="F176" s="11">
        <v>0.37009999999999998</v>
      </c>
      <c r="G176">
        <v>30.12</v>
      </c>
      <c r="H176">
        <v>63.9</v>
      </c>
      <c r="I176" s="2">
        <v>39773.67</v>
      </c>
      <c r="J176" s="2">
        <v>32844.21</v>
      </c>
      <c r="K176" s="2">
        <f>Table1[[#This Row],[Salary_after]]-Table1[[#This Row],[Salary_before]]</f>
        <v>-6929.4599999999991</v>
      </c>
      <c r="L176" s="11">
        <v>-0.17420000000000002</v>
      </c>
      <c r="M176" s="11">
        <v>-4.5999999999999999E-3</v>
      </c>
      <c r="N176">
        <v>59.09</v>
      </c>
      <c r="O176">
        <v>13.34</v>
      </c>
      <c r="P176">
        <v>1</v>
      </c>
      <c r="Q176" t="s">
        <v>25</v>
      </c>
      <c r="R176">
        <v>50.454999999999998</v>
      </c>
      <c r="S176">
        <v>17.420000000000002</v>
      </c>
      <c r="T176" s="4">
        <v>39.199999999999903</v>
      </c>
      <c r="U176" s="4">
        <v>4.9371339999999897</v>
      </c>
      <c r="V176" t="str">
        <f>IF(Table1[[#This Row],[ai_disruption_intensity]]&gt;70,"High",
IF(Table1[[#This Row],[ai_disruption_intensity]]&gt;40,"Medium","Low"))</f>
        <v>Low</v>
      </c>
      <c r="W176" t="str">
        <f>IF(Table1[[#This Row],[skill_gap_index]]&gt;70,"Large Gap",
IF(Table1[[#This Row],[skill_gap_index]]&gt;40,"Medium Gap","Small Gap"))</f>
        <v>Medium Gap</v>
      </c>
      <c r="X176" s="3" t="str">
        <f>IF(Table1[[#This Row],[automation_risk_percent]]&gt;0.7,"Highly Automatable",
IF(Table1[[#This Row],[automation_risk_percent]]&gt;0.4,"Moderate Risk","Safe Job"))</f>
        <v>Safe Job</v>
      </c>
    </row>
    <row r="177" spans="1:24" x14ac:dyDescent="0.3">
      <c r="A177">
        <v>652</v>
      </c>
      <c r="B177" t="s">
        <v>26</v>
      </c>
      <c r="C177" t="s">
        <v>33</v>
      </c>
      <c r="D177" t="s">
        <v>47</v>
      </c>
      <c r="E177" s="1">
        <v>2026</v>
      </c>
      <c r="F177" s="11">
        <v>0.66010000000000002</v>
      </c>
      <c r="G177">
        <v>68.92</v>
      </c>
      <c r="H177">
        <v>83.5</v>
      </c>
      <c r="I177" s="2">
        <v>115242.18</v>
      </c>
      <c r="J177" s="2">
        <v>118979.95</v>
      </c>
      <c r="K177" s="2">
        <f>Table1[[#This Row],[Salary_after]]-Table1[[#This Row],[Salary_before]]</f>
        <v>3737.7700000000041</v>
      </c>
      <c r="L177" s="11">
        <v>3.2400000000000005E-2</v>
      </c>
      <c r="M177" s="11">
        <v>-3.3E-3</v>
      </c>
      <c r="N177">
        <v>34.76</v>
      </c>
      <c r="O177">
        <v>63.91</v>
      </c>
      <c r="P177">
        <v>4</v>
      </c>
      <c r="Q177" t="s">
        <v>37</v>
      </c>
      <c r="R177">
        <v>74.754999999999995</v>
      </c>
      <c r="S177">
        <v>3.24</v>
      </c>
      <c r="T177" s="4">
        <v>52.426000000000002</v>
      </c>
      <c r="U177" s="4">
        <v>42.186990999999999</v>
      </c>
      <c r="V177" t="str">
        <f>IF(Table1[[#This Row],[ai_disruption_intensity]]&gt;70,"High",
IF(Table1[[#This Row],[ai_disruption_intensity]]&gt;40,"Medium","Low"))</f>
        <v>Medium</v>
      </c>
      <c r="W177" t="str">
        <f>IF(Table1[[#This Row],[skill_gap_index]]&gt;70,"Large Gap",
IF(Table1[[#This Row],[skill_gap_index]]&gt;40,"Medium Gap","Small Gap"))</f>
        <v>Large Gap</v>
      </c>
      <c r="X177" s="3" t="str">
        <f>IF(Table1[[#This Row],[automation_risk_percent]]&gt;0.7,"Highly Automatable",
IF(Table1[[#This Row],[automation_risk_percent]]&gt;0.4,"Moderate Risk","Safe Job"))</f>
        <v>Moderate Risk</v>
      </c>
    </row>
    <row r="178" spans="1:24" x14ac:dyDescent="0.3">
      <c r="A178">
        <v>653</v>
      </c>
      <c r="B178" t="s">
        <v>22</v>
      </c>
      <c r="C178" t="s">
        <v>30</v>
      </c>
      <c r="D178" t="s">
        <v>35</v>
      </c>
      <c r="E178" s="1">
        <v>2025</v>
      </c>
      <c r="F178" s="11">
        <v>0.3387</v>
      </c>
      <c r="G178">
        <v>40.61</v>
      </c>
      <c r="H178">
        <v>26.36</v>
      </c>
      <c r="I178" s="2">
        <v>63495.66</v>
      </c>
      <c r="J178" s="2">
        <v>70353.539999999994</v>
      </c>
      <c r="K178" s="2">
        <f>Table1[[#This Row],[Salary_after]]-Table1[[#This Row],[Salary_before]]</f>
        <v>6857.8799999999901</v>
      </c>
      <c r="L178" s="11">
        <v>0.10800000000000001</v>
      </c>
      <c r="M178" s="11">
        <v>0.14429999999999998</v>
      </c>
      <c r="N178">
        <v>85.27</v>
      </c>
      <c r="O178">
        <v>97.44</v>
      </c>
      <c r="P178">
        <v>5</v>
      </c>
      <c r="Q178" t="s">
        <v>25</v>
      </c>
      <c r="R178">
        <v>30.114999999999998</v>
      </c>
      <c r="S178">
        <v>10.8</v>
      </c>
      <c r="T178" s="4">
        <v>24.695999999999898</v>
      </c>
      <c r="U178" s="4">
        <v>33.002927999999997</v>
      </c>
      <c r="V178" t="str">
        <f>IF(Table1[[#This Row],[ai_disruption_intensity]]&gt;70,"High",
IF(Table1[[#This Row],[ai_disruption_intensity]]&gt;40,"Medium","Low"))</f>
        <v>Low</v>
      </c>
      <c r="W178" t="str">
        <f>IF(Table1[[#This Row],[skill_gap_index]]&gt;70,"Large Gap",
IF(Table1[[#This Row],[skill_gap_index]]&gt;40,"Medium Gap","Small Gap"))</f>
        <v>Small Gap</v>
      </c>
      <c r="X178" s="3" t="str">
        <f>IF(Table1[[#This Row],[automation_risk_percent]]&gt;0.7,"Highly Automatable",
IF(Table1[[#This Row],[automation_risk_percent]]&gt;0.4,"Moderate Risk","Safe Job"))</f>
        <v>Safe Job</v>
      </c>
    </row>
    <row r="179" spans="1:24" x14ac:dyDescent="0.3">
      <c r="A179">
        <v>660</v>
      </c>
      <c r="B179" t="s">
        <v>43</v>
      </c>
      <c r="C179" t="s">
        <v>23</v>
      </c>
      <c r="D179" t="s">
        <v>35</v>
      </c>
      <c r="E179" s="1">
        <v>2026</v>
      </c>
      <c r="F179" s="11">
        <v>0.17129999999999998</v>
      </c>
      <c r="G179">
        <v>19.95</v>
      </c>
      <c r="H179">
        <v>82.05</v>
      </c>
      <c r="I179" s="2">
        <v>121204.19</v>
      </c>
      <c r="J179" s="2">
        <v>97729.93</v>
      </c>
      <c r="K179" s="2">
        <f>Table1[[#This Row],[Salary_after]]-Table1[[#This Row],[Salary_before]]</f>
        <v>-23474.260000000009</v>
      </c>
      <c r="L179" s="11">
        <v>-0.19370000000000001</v>
      </c>
      <c r="M179" s="11">
        <v>-2.6099999999999998E-2</v>
      </c>
      <c r="N179">
        <v>59.18</v>
      </c>
      <c r="O179">
        <v>9.14</v>
      </c>
      <c r="P179">
        <v>1</v>
      </c>
      <c r="Q179" t="s">
        <v>21</v>
      </c>
      <c r="R179">
        <v>49.589999999999897</v>
      </c>
      <c r="S179">
        <v>19.37</v>
      </c>
      <c r="T179" s="4">
        <v>37.277999999999999</v>
      </c>
      <c r="U179" s="4">
        <v>1.56568199999999</v>
      </c>
      <c r="V179" t="str">
        <f>IF(Table1[[#This Row],[ai_disruption_intensity]]&gt;70,"High",
IF(Table1[[#This Row],[ai_disruption_intensity]]&gt;40,"Medium","Low"))</f>
        <v>Low</v>
      </c>
      <c r="W179" t="str">
        <f>IF(Table1[[#This Row],[skill_gap_index]]&gt;70,"Large Gap",
IF(Table1[[#This Row],[skill_gap_index]]&gt;40,"Medium Gap","Small Gap"))</f>
        <v>Large Gap</v>
      </c>
      <c r="X179" s="3" t="str">
        <f>IF(Table1[[#This Row],[automation_risk_percent]]&gt;0.7,"Highly Automatable",
IF(Table1[[#This Row],[automation_risk_percent]]&gt;0.4,"Moderate Risk","Safe Job"))</f>
        <v>Safe Job</v>
      </c>
    </row>
    <row r="180" spans="1:24" x14ac:dyDescent="0.3">
      <c r="A180">
        <v>663</v>
      </c>
      <c r="B180" t="s">
        <v>26</v>
      </c>
      <c r="C180" t="s">
        <v>40</v>
      </c>
      <c r="D180" t="s">
        <v>35</v>
      </c>
      <c r="E180" s="1">
        <v>2026</v>
      </c>
      <c r="F180" s="11">
        <v>0.43799999999999994</v>
      </c>
      <c r="G180">
        <v>45.21</v>
      </c>
      <c r="H180">
        <v>74.17</v>
      </c>
      <c r="I180" s="2">
        <v>111027.7</v>
      </c>
      <c r="J180" s="2">
        <v>104587.91</v>
      </c>
      <c r="K180" s="2">
        <f>Table1[[#This Row],[Salary_after]]-Table1[[#This Row],[Salary_before]]</f>
        <v>-6439.7899999999936</v>
      </c>
      <c r="L180" s="11">
        <v>-5.7999999999999996E-2</v>
      </c>
      <c r="M180" s="11">
        <v>-6.5599999999999992E-2</v>
      </c>
      <c r="N180">
        <v>21.35</v>
      </c>
      <c r="O180">
        <v>12.99</v>
      </c>
      <c r="P180">
        <v>3</v>
      </c>
      <c r="Q180" t="s">
        <v>25</v>
      </c>
      <c r="R180">
        <v>58.984999999999999</v>
      </c>
      <c r="S180">
        <v>5.8</v>
      </c>
      <c r="T180" s="4">
        <v>41.511000000000003</v>
      </c>
      <c r="U180" s="4">
        <v>5.6896199999999997</v>
      </c>
      <c r="V180" t="str">
        <f>IF(Table1[[#This Row],[ai_disruption_intensity]]&gt;70,"High",
IF(Table1[[#This Row],[ai_disruption_intensity]]&gt;40,"Medium","Low"))</f>
        <v>Low</v>
      </c>
      <c r="W180" t="str">
        <f>IF(Table1[[#This Row],[skill_gap_index]]&gt;70,"Large Gap",
IF(Table1[[#This Row],[skill_gap_index]]&gt;40,"Medium Gap","Small Gap"))</f>
        <v>Large Gap</v>
      </c>
      <c r="X180" s="3" t="str">
        <f>IF(Table1[[#This Row],[automation_risk_percent]]&gt;0.7,"Highly Automatable",
IF(Table1[[#This Row],[automation_risk_percent]]&gt;0.4,"Moderate Risk","Safe Job"))</f>
        <v>Moderate Risk</v>
      </c>
    </row>
    <row r="181" spans="1:24" x14ac:dyDescent="0.3">
      <c r="A181">
        <v>667</v>
      </c>
      <c r="B181" t="s">
        <v>41</v>
      </c>
      <c r="C181" t="s">
        <v>34</v>
      </c>
      <c r="D181" t="s">
        <v>28</v>
      </c>
      <c r="E181" s="1">
        <v>2026</v>
      </c>
      <c r="F181" s="11">
        <v>0.89040000000000008</v>
      </c>
      <c r="G181">
        <v>78.77</v>
      </c>
      <c r="H181">
        <v>14.42</v>
      </c>
      <c r="I181" s="2">
        <v>121077.22</v>
      </c>
      <c r="J181" s="2">
        <v>131745.9</v>
      </c>
      <c r="K181" s="2">
        <f>Table1[[#This Row],[Salary_after]]-Table1[[#This Row],[Salary_before]]</f>
        <v>10668.679999999993</v>
      </c>
      <c r="L181" s="11">
        <v>8.8100000000000012E-2</v>
      </c>
      <c r="M181" s="11">
        <v>5.0099999999999999E-2</v>
      </c>
      <c r="N181">
        <v>23.2</v>
      </c>
      <c r="O181">
        <v>64.59</v>
      </c>
      <c r="P181">
        <v>2</v>
      </c>
      <c r="Q181" t="s">
        <v>37</v>
      </c>
      <c r="R181">
        <v>51.73</v>
      </c>
      <c r="S181">
        <v>8.81</v>
      </c>
      <c r="T181" s="4">
        <v>42.585000000000001</v>
      </c>
      <c r="U181" s="4">
        <v>57.510936000000001</v>
      </c>
      <c r="V181" t="str">
        <f>IF(Table1[[#This Row],[ai_disruption_intensity]]&gt;70,"High",
IF(Table1[[#This Row],[ai_disruption_intensity]]&gt;40,"Medium","Low"))</f>
        <v>Medium</v>
      </c>
      <c r="W181" t="str">
        <f>IF(Table1[[#This Row],[skill_gap_index]]&gt;70,"Large Gap",
IF(Table1[[#This Row],[skill_gap_index]]&gt;40,"Medium Gap","Small Gap"))</f>
        <v>Small Gap</v>
      </c>
      <c r="X181" s="3" t="str">
        <f>IF(Table1[[#This Row],[automation_risk_percent]]&gt;0.7,"Highly Automatable",
IF(Table1[[#This Row],[automation_risk_percent]]&gt;0.4,"Moderate Risk","Safe Job"))</f>
        <v>Highly Automatable</v>
      </c>
    </row>
    <row r="182" spans="1:24" x14ac:dyDescent="0.3">
      <c r="A182">
        <v>673</v>
      </c>
      <c r="B182" t="s">
        <v>43</v>
      </c>
      <c r="C182" t="s">
        <v>23</v>
      </c>
      <c r="D182" t="s">
        <v>42</v>
      </c>
      <c r="E182" s="1">
        <v>2025</v>
      </c>
      <c r="F182" s="11">
        <v>0.57399999999999995</v>
      </c>
      <c r="G182">
        <v>61.59</v>
      </c>
      <c r="H182">
        <v>62.87</v>
      </c>
      <c r="I182" s="2">
        <v>61932.160000000003</v>
      </c>
      <c r="J182" s="2">
        <v>61603.26</v>
      </c>
      <c r="K182" s="2">
        <f>Table1[[#This Row],[Salary_after]]-Table1[[#This Row],[Salary_before]]</f>
        <v>-328.90000000000146</v>
      </c>
      <c r="L182" s="11">
        <v>-5.3E-3</v>
      </c>
      <c r="M182" s="11">
        <v>-5.1000000000000004E-3</v>
      </c>
      <c r="N182">
        <v>90.19</v>
      </c>
      <c r="O182">
        <v>56.95</v>
      </c>
      <c r="P182">
        <v>1</v>
      </c>
      <c r="Q182" t="s">
        <v>25</v>
      </c>
      <c r="R182">
        <v>60.134999999999998</v>
      </c>
      <c r="S182">
        <v>0.53</v>
      </c>
      <c r="T182" s="4">
        <v>41.98</v>
      </c>
      <c r="U182" s="4">
        <v>32.689300000000003</v>
      </c>
      <c r="V182" t="str">
        <f>IF(Table1[[#This Row],[ai_disruption_intensity]]&gt;70,"High",
IF(Table1[[#This Row],[ai_disruption_intensity]]&gt;40,"Medium","Low"))</f>
        <v>Low</v>
      </c>
      <c r="W182" t="str">
        <f>IF(Table1[[#This Row],[skill_gap_index]]&gt;70,"Large Gap",
IF(Table1[[#This Row],[skill_gap_index]]&gt;40,"Medium Gap","Small Gap"))</f>
        <v>Medium Gap</v>
      </c>
      <c r="X182" s="3" t="str">
        <f>IF(Table1[[#This Row],[automation_risk_percent]]&gt;0.7,"Highly Automatable",
IF(Table1[[#This Row],[automation_risk_percent]]&gt;0.4,"Moderate Risk","Safe Job"))</f>
        <v>Moderate Risk</v>
      </c>
    </row>
    <row r="183" spans="1:24" x14ac:dyDescent="0.3">
      <c r="A183">
        <v>675</v>
      </c>
      <c r="B183" t="s">
        <v>26</v>
      </c>
      <c r="C183" t="s">
        <v>33</v>
      </c>
      <c r="D183" t="s">
        <v>36</v>
      </c>
      <c r="E183" s="1">
        <v>2025</v>
      </c>
      <c r="F183" s="11">
        <v>0.6371</v>
      </c>
      <c r="G183">
        <v>60.73</v>
      </c>
      <c r="H183">
        <v>63.06</v>
      </c>
      <c r="I183" s="2">
        <v>81617.13</v>
      </c>
      <c r="J183" s="2">
        <v>66753.95</v>
      </c>
      <c r="K183" s="2">
        <f>Table1[[#This Row],[Salary_after]]-Table1[[#This Row],[Salary_before]]</f>
        <v>-14863.180000000008</v>
      </c>
      <c r="L183" s="11">
        <v>-0.18210000000000001</v>
      </c>
      <c r="M183" s="11">
        <v>-9.7999999999999997E-3</v>
      </c>
      <c r="N183">
        <v>78.59</v>
      </c>
      <c r="O183">
        <v>93.62</v>
      </c>
      <c r="P183">
        <v>2</v>
      </c>
      <c r="Q183" t="s">
        <v>37</v>
      </c>
      <c r="R183">
        <v>63.384999999999998</v>
      </c>
      <c r="S183">
        <v>18.21</v>
      </c>
      <c r="T183" s="4">
        <v>49.865000000000002</v>
      </c>
      <c r="U183" s="4">
        <v>59.645302000000001</v>
      </c>
      <c r="V183" t="str">
        <f>IF(Table1[[#This Row],[ai_disruption_intensity]]&gt;70,"High",
IF(Table1[[#This Row],[ai_disruption_intensity]]&gt;40,"Medium","Low"))</f>
        <v>Medium</v>
      </c>
      <c r="W183" t="str">
        <f>IF(Table1[[#This Row],[skill_gap_index]]&gt;70,"Large Gap",
IF(Table1[[#This Row],[skill_gap_index]]&gt;40,"Medium Gap","Small Gap"))</f>
        <v>Medium Gap</v>
      </c>
      <c r="X183" s="3" t="str">
        <f>IF(Table1[[#This Row],[automation_risk_percent]]&gt;0.7,"Highly Automatable",
IF(Table1[[#This Row],[automation_risk_percent]]&gt;0.4,"Moderate Risk","Safe Job"))</f>
        <v>Moderate Risk</v>
      </c>
    </row>
    <row r="184" spans="1:24" x14ac:dyDescent="0.3">
      <c r="A184">
        <v>676</v>
      </c>
      <c r="B184" t="s">
        <v>29</v>
      </c>
      <c r="C184" t="s">
        <v>19</v>
      </c>
      <c r="D184" t="s">
        <v>35</v>
      </c>
      <c r="E184" s="1">
        <v>2026</v>
      </c>
      <c r="F184" s="11">
        <v>0.90849999999999997</v>
      </c>
      <c r="G184">
        <v>79.03</v>
      </c>
      <c r="H184">
        <v>87.47</v>
      </c>
      <c r="I184" s="2">
        <v>118491.77</v>
      </c>
      <c r="J184" s="2">
        <v>117301.22</v>
      </c>
      <c r="K184" s="2">
        <f>Table1[[#This Row],[Salary_after]]-Table1[[#This Row],[Salary_before]]</f>
        <v>-1190.5500000000029</v>
      </c>
      <c r="L184" s="11">
        <v>-0.01</v>
      </c>
      <c r="M184" s="11">
        <v>4.4299999999999999E-2</v>
      </c>
      <c r="N184">
        <v>34.119999999999997</v>
      </c>
      <c r="O184">
        <v>91.22</v>
      </c>
      <c r="P184">
        <v>3</v>
      </c>
      <c r="Q184" t="s">
        <v>37</v>
      </c>
      <c r="R184">
        <v>89.16</v>
      </c>
      <c r="S184">
        <v>1</v>
      </c>
      <c r="T184" s="4">
        <v>62.880999999999901</v>
      </c>
      <c r="U184" s="4">
        <v>82.873369999999994</v>
      </c>
      <c r="V184" t="str">
        <f>IF(Table1[[#This Row],[ai_disruption_intensity]]&gt;70,"High",
IF(Table1[[#This Row],[ai_disruption_intensity]]&gt;40,"Medium","Low"))</f>
        <v>High</v>
      </c>
      <c r="W184" t="str">
        <f>IF(Table1[[#This Row],[skill_gap_index]]&gt;70,"Large Gap",
IF(Table1[[#This Row],[skill_gap_index]]&gt;40,"Medium Gap","Small Gap"))</f>
        <v>Large Gap</v>
      </c>
      <c r="X184" s="3" t="str">
        <f>IF(Table1[[#This Row],[automation_risk_percent]]&gt;0.7,"Highly Automatable",
IF(Table1[[#This Row],[automation_risk_percent]]&gt;0.4,"Moderate Risk","Safe Job"))</f>
        <v>Highly Automatable</v>
      </c>
    </row>
    <row r="185" spans="1:24" x14ac:dyDescent="0.3">
      <c r="A185">
        <v>683</v>
      </c>
      <c r="B185" t="s">
        <v>18</v>
      </c>
      <c r="C185" t="s">
        <v>33</v>
      </c>
      <c r="D185" t="s">
        <v>24</v>
      </c>
      <c r="E185" s="1">
        <v>2026</v>
      </c>
      <c r="F185" s="11">
        <v>0.69010000000000005</v>
      </c>
      <c r="G185">
        <v>67.510000000000005</v>
      </c>
      <c r="H185">
        <v>70.86</v>
      </c>
      <c r="I185" s="2">
        <v>117824.73</v>
      </c>
      <c r="J185" s="2">
        <v>112408.84</v>
      </c>
      <c r="K185" s="2">
        <f>Table1[[#This Row],[Salary_after]]-Table1[[#This Row],[Salary_before]]</f>
        <v>-5415.8899999999994</v>
      </c>
      <c r="L185" s="11">
        <v>-4.5999999999999999E-2</v>
      </c>
      <c r="M185" s="11">
        <v>-5.7999999999999996E-2</v>
      </c>
      <c r="N185">
        <v>67.36</v>
      </c>
      <c r="O185">
        <v>7.07</v>
      </c>
      <c r="P185">
        <v>3</v>
      </c>
      <c r="Q185" t="s">
        <v>37</v>
      </c>
      <c r="R185">
        <v>69.935000000000002</v>
      </c>
      <c r="S185">
        <v>4.5999999999999996</v>
      </c>
      <c r="T185" s="4">
        <v>50.241999999999997</v>
      </c>
      <c r="U185" s="4">
        <v>4.8790069999999996</v>
      </c>
      <c r="V185" t="str">
        <f>IF(Table1[[#This Row],[ai_disruption_intensity]]&gt;70,"High",
IF(Table1[[#This Row],[ai_disruption_intensity]]&gt;40,"Medium","Low"))</f>
        <v>Low</v>
      </c>
      <c r="W185" t="str">
        <f>IF(Table1[[#This Row],[skill_gap_index]]&gt;70,"Large Gap",
IF(Table1[[#This Row],[skill_gap_index]]&gt;40,"Medium Gap","Small Gap"))</f>
        <v>Large Gap</v>
      </c>
      <c r="X185" s="3" t="str">
        <f>IF(Table1[[#This Row],[automation_risk_percent]]&gt;0.7,"Highly Automatable",
IF(Table1[[#This Row],[automation_risk_percent]]&gt;0.4,"Moderate Risk","Safe Job"))</f>
        <v>Moderate Risk</v>
      </c>
    </row>
    <row r="186" spans="1:24" x14ac:dyDescent="0.3">
      <c r="A186">
        <v>688</v>
      </c>
      <c r="B186" t="s">
        <v>26</v>
      </c>
      <c r="C186" t="s">
        <v>33</v>
      </c>
      <c r="D186" t="s">
        <v>20</v>
      </c>
      <c r="E186" s="1">
        <v>2026</v>
      </c>
      <c r="F186" s="11">
        <v>0.05</v>
      </c>
      <c r="G186">
        <v>4.8499999999999996</v>
      </c>
      <c r="H186">
        <v>71.81</v>
      </c>
      <c r="I186" s="2">
        <v>83123.240000000005</v>
      </c>
      <c r="J186" s="2">
        <v>75747.47</v>
      </c>
      <c r="K186" s="2">
        <f>Table1[[#This Row],[Salary_after]]-Table1[[#This Row],[Salary_before]]</f>
        <v>-7375.7700000000041</v>
      </c>
      <c r="L186" s="11">
        <v>-8.8699999999999987E-2</v>
      </c>
      <c r="M186" s="11">
        <v>0.12720000000000001</v>
      </c>
      <c r="N186">
        <v>83.18</v>
      </c>
      <c r="O186">
        <v>58.84</v>
      </c>
      <c r="P186">
        <v>2</v>
      </c>
      <c r="Q186" t="s">
        <v>21</v>
      </c>
      <c r="R186">
        <v>38.405000000000001</v>
      </c>
      <c r="S186">
        <v>8.8699999999999992</v>
      </c>
      <c r="T186" s="4">
        <v>26.204000000000001</v>
      </c>
      <c r="U186" s="4">
        <v>2.9420000000000002</v>
      </c>
      <c r="V186" t="str">
        <f>IF(Table1[[#This Row],[ai_disruption_intensity]]&gt;70,"High",
IF(Table1[[#This Row],[ai_disruption_intensity]]&gt;40,"Medium","Low"))</f>
        <v>Low</v>
      </c>
      <c r="W186" t="str">
        <f>IF(Table1[[#This Row],[skill_gap_index]]&gt;70,"Large Gap",
IF(Table1[[#This Row],[skill_gap_index]]&gt;40,"Medium Gap","Small Gap"))</f>
        <v>Large Gap</v>
      </c>
      <c r="X186" s="3" t="str">
        <f>IF(Table1[[#This Row],[automation_risk_percent]]&gt;0.7,"Highly Automatable",
IF(Table1[[#This Row],[automation_risk_percent]]&gt;0.4,"Moderate Risk","Safe Job"))</f>
        <v>Safe Job</v>
      </c>
    </row>
    <row r="187" spans="1:24" x14ac:dyDescent="0.3">
      <c r="A187">
        <v>699</v>
      </c>
      <c r="B187" t="s">
        <v>29</v>
      </c>
      <c r="C187" t="s">
        <v>33</v>
      </c>
      <c r="D187" t="s">
        <v>36</v>
      </c>
      <c r="E187" s="1">
        <v>2026</v>
      </c>
      <c r="F187" s="11">
        <v>0.46619999999999995</v>
      </c>
      <c r="G187">
        <v>44.18</v>
      </c>
      <c r="H187">
        <v>76.97</v>
      </c>
      <c r="I187" s="2">
        <v>127312.22</v>
      </c>
      <c r="J187" s="2">
        <v>134662.76999999999</v>
      </c>
      <c r="K187" s="2">
        <f>Table1[[#This Row],[Salary_after]]-Table1[[#This Row],[Salary_before]]</f>
        <v>7350.5499999999884</v>
      </c>
      <c r="L187" s="11">
        <v>5.7699999999999994E-2</v>
      </c>
      <c r="M187" s="11">
        <v>3.7100000000000001E-2</v>
      </c>
      <c r="N187">
        <v>46.58</v>
      </c>
      <c r="O187">
        <v>77.180000000000007</v>
      </c>
      <c r="P187">
        <v>3</v>
      </c>
      <c r="Q187" t="s">
        <v>25</v>
      </c>
      <c r="R187">
        <v>61.795000000000002</v>
      </c>
      <c r="S187">
        <v>5.77</v>
      </c>
      <c r="T187" s="4">
        <v>43.47</v>
      </c>
      <c r="U187" s="4">
        <v>35.981316</v>
      </c>
      <c r="V187" t="str">
        <f>IF(Table1[[#This Row],[ai_disruption_intensity]]&gt;70,"High",
IF(Table1[[#This Row],[ai_disruption_intensity]]&gt;40,"Medium","Low"))</f>
        <v>Low</v>
      </c>
      <c r="W187" t="str">
        <f>IF(Table1[[#This Row],[skill_gap_index]]&gt;70,"Large Gap",
IF(Table1[[#This Row],[skill_gap_index]]&gt;40,"Medium Gap","Small Gap"))</f>
        <v>Large Gap</v>
      </c>
      <c r="X187" s="3" t="str">
        <f>IF(Table1[[#This Row],[automation_risk_percent]]&gt;0.7,"Highly Automatable",
IF(Table1[[#This Row],[automation_risk_percent]]&gt;0.4,"Moderate Risk","Safe Job"))</f>
        <v>Moderate Risk</v>
      </c>
    </row>
    <row r="188" spans="1:24" x14ac:dyDescent="0.3">
      <c r="A188">
        <v>702</v>
      </c>
      <c r="B188" t="s">
        <v>39</v>
      </c>
      <c r="C188" t="s">
        <v>34</v>
      </c>
      <c r="D188" t="s">
        <v>20</v>
      </c>
      <c r="E188" s="1">
        <v>2026</v>
      </c>
      <c r="F188" s="11">
        <v>0.77229999999999999</v>
      </c>
      <c r="G188">
        <v>63.16</v>
      </c>
      <c r="H188">
        <v>14.31</v>
      </c>
      <c r="I188" s="2">
        <v>31681.74</v>
      </c>
      <c r="J188" s="2">
        <v>33971.78</v>
      </c>
      <c r="K188" s="2">
        <f>Table1[[#This Row],[Salary_after]]-Table1[[#This Row],[Salary_before]]</f>
        <v>2290.0399999999972</v>
      </c>
      <c r="L188" s="11">
        <v>7.2300000000000003E-2</v>
      </c>
      <c r="M188" s="11">
        <v>6.1200000000000004E-2</v>
      </c>
      <c r="N188">
        <v>69.94</v>
      </c>
      <c r="O188">
        <v>82.27</v>
      </c>
      <c r="P188">
        <v>3</v>
      </c>
      <c r="Q188" t="s">
        <v>37</v>
      </c>
      <c r="R188">
        <v>45.77</v>
      </c>
      <c r="S188">
        <v>7.23</v>
      </c>
      <c r="T188" s="4">
        <v>37.353999999999999</v>
      </c>
      <c r="U188" s="4">
        <v>63.537120999999999</v>
      </c>
      <c r="V188" t="str">
        <f>IF(Table1[[#This Row],[ai_disruption_intensity]]&gt;70,"High",
IF(Table1[[#This Row],[ai_disruption_intensity]]&gt;40,"Medium","Low"))</f>
        <v>Medium</v>
      </c>
      <c r="W188" t="str">
        <f>IF(Table1[[#This Row],[skill_gap_index]]&gt;70,"Large Gap",
IF(Table1[[#This Row],[skill_gap_index]]&gt;40,"Medium Gap","Small Gap"))</f>
        <v>Small Gap</v>
      </c>
      <c r="X188" s="3" t="str">
        <f>IF(Table1[[#This Row],[automation_risk_percent]]&gt;0.7,"Highly Automatable",
IF(Table1[[#This Row],[automation_risk_percent]]&gt;0.4,"Moderate Risk","Safe Job"))</f>
        <v>Highly Automatable</v>
      </c>
    </row>
    <row r="189" spans="1:24" x14ac:dyDescent="0.3">
      <c r="A189">
        <v>707</v>
      </c>
      <c r="B189" t="s">
        <v>39</v>
      </c>
      <c r="C189" t="s">
        <v>23</v>
      </c>
      <c r="D189" t="s">
        <v>20</v>
      </c>
      <c r="E189" s="1">
        <v>2025</v>
      </c>
      <c r="F189" s="11">
        <v>0.69930000000000003</v>
      </c>
      <c r="G189">
        <v>58.72</v>
      </c>
      <c r="H189">
        <v>9.07</v>
      </c>
      <c r="I189" s="2">
        <v>61523.46</v>
      </c>
      <c r="J189" s="2">
        <v>58233.45</v>
      </c>
      <c r="K189" s="2">
        <f>Table1[[#This Row],[Salary_after]]-Table1[[#This Row],[Salary_before]]</f>
        <v>-3290.010000000002</v>
      </c>
      <c r="L189" s="11">
        <v>-5.3499999999999999E-2</v>
      </c>
      <c r="M189" s="11">
        <v>7.9500000000000001E-2</v>
      </c>
      <c r="N189">
        <v>66.08</v>
      </c>
      <c r="O189">
        <v>35.61</v>
      </c>
      <c r="P189">
        <v>3</v>
      </c>
      <c r="Q189" t="s">
        <v>37</v>
      </c>
      <c r="R189">
        <v>39.5</v>
      </c>
      <c r="S189">
        <v>5.35</v>
      </c>
      <c r="T189" s="4">
        <v>32.298000000000002</v>
      </c>
      <c r="U189" s="4">
        <v>24.902073000000001</v>
      </c>
      <c r="V189" t="str">
        <f>IF(Table1[[#This Row],[ai_disruption_intensity]]&gt;70,"High",
IF(Table1[[#This Row],[ai_disruption_intensity]]&gt;40,"Medium","Low"))</f>
        <v>Low</v>
      </c>
      <c r="W189" t="str">
        <f>IF(Table1[[#This Row],[skill_gap_index]]&gt;70,"Large Gap",
IF(Table1[[#This Row],[skill_gap_index]]&gt;40,"Medium Gap","Small Gap"))</f>
        <v>Small Gap</v>
      </c>
      <c r="X189" s="3" t="str">
        <f>IF(Table1[[#This Row],[automation_risk_percent]]&gt;0.7,"Highly Automatable",
IF(Table1[[#This Row],[automation_risk_percent]]&gt;0.4,"Moderate Risk","Safe Job"))</f>
        <v>Moderate Risk</v>
      </c>
    </row>
    <row r="190" spans="1:24" x14ac:dyDescent="0.3">
      <c r="A190">
        <v>708</v>
      </c>
      <c r="B190" t="s">
        <v>18</v>
      </c>
      <c r="C190" t="s">
        <v>27</v>
      </c>
      <c r="D190" t="s">
        <v>24</v>
      </c>
      <c r="E190" s="1">
        <v>2026</v>
      </c>
      <c r="F190" s="11">
        <v>0.6522</v>
      </c>
      <c r="G190">
        <v>58.28</v>
      </c>
      <c r="H190">
        <v>63.92</v>
      </c>
      <c r="I190" s="2">
        <v>58281.9</v>
      </c>
      <c r="J190" s="2">
        <v>62198.13</v>
      </c>
      <c r="K190" s="2">
        <f>Table1[[#This Row],[Salary_after]]-Table1[[#This Row],[Salary_before]]</f>
        <v>3916.2299999999959</v>
      </c>
      <c r="L190" s="11">
        <v>6.7199999999999996E-2</v>
      </c>
      <c r="M190" s="11">
        <v>8.8399999999999992E-2</v>
      </c>
      <c r="N190">
        <v>21.41</v>
      </c>
      <c r="O190">
        <v>86.66</v>
      </c>
      <c r="P190">
        <v>4</v>
      </c>
      <c r="Q190" t="s">
        <v>37</v>
      </c>
      <c r="R190">
        <v>64.569999999999993</v>
      </c>
      <c r="S190">
        <v>6.72</v>
      </c>
      <c r="T190" s="4">
        <v>47.279999999999902</v>
      </c>
      <c r="U190" s="4">
        <v>56.519651999999901</v>
      </c>
      <c r="V190" t="str">
        <f>IF(Table1[[#This Row],[ai_disruption_intensity]]&gt;70,"High",
IF(Table1[[#This Row],[ai_disruption_intensity]]&gt;40,"Medium","Low"))</f>
        <v>Medium</v>
      </c>
      <c r="W190" t="str">
        <f>IF(Table1[[#This Row],[skill_gap_index]]&gt;70,"Large Gap",
IF(Table1[[#This Row],[skill_gap_index]]&gt;40,"Medium Gap","Small Gap"))</f>
        <v>Medium Gap</v>
      </c>
      <c r="X190" s="3" t="str">
        <f>IF(Table1[[#This Row],[automation_risk_percent]]&gt;0.7,"Highly Automatable",
IF(Table1[[#This Row],[automation_risk_percent]]&gt;0.4,"Moderate Risk","Safe Job"))</f>
        <v>Moderate Risk</v>
      </c>
    </row>
    <row r="191" spans="1:24" x14ac:dyDescent="0.3">
      <c r="A191">
        <v>712</v>
      </c>
      <c r="B191" t="s">
        <v>29</v>
      </c>
      <c r="C191" t="s">
        <v>27</v>
      </c>
      <c r="D191" t="s">
        <v>47</v>
      </c>
      <c r="E191" s="1">
        <v>2025</v>
      </c>
      <c r="F191" s="11">
        <v>0.4168</v>
      </c>
      <c r="G191">
        <v>46.58</v>
      </c>
      <c r="H191">
        <v>48.65</v>
      </c>
      <c r="I191" s="2">
        <v>70085.47</v>
      </c>
      <c r="J191" s="2">
        <v>68223.960000000006</v>
      </c>
      <c r="K191" s="2">
        <f>Table1[[#This Row],[Salary_after]]-Table1[[#This Row],[Salary_before]]</f>
        <v>-1861.5099999999948</v>
      </c>
      <c r="L191" s="11">
        <v>-2.6600000000000002E-2</v>
      </c>
      <c r="M191" s="11">
        <v>0.01</v>
      </c>
      <c r="N191">
        <v>95.44</v>
      </c>
      <c r="O191">
        <v>30.51</v>
      </c>
      <c r="P191">
        <v>2</v>
      </c>
      <c r="Q191" t="s">
        <v>25</v>
      </c>
      <c r="R191">
        <v>45.164999999999999</v>
      </c>
      <c r="S191">
        <v>2.66</v>
      </c>
      <c r="T191" s="4">
        <v>32.064999999999998</v>
      </c>
      <c r="U191" s="4">
        <v>12.716568000000001</v>
      </c>
      <c r="V191" t="str">
        <f>IF(Table1[[#This Row],[ai_disruption_intensity]]&gt;70,"High",
IF(Table1[[#This Row],[ai_disruption_intensity]]&gt;40,"Medium","Low"))</f>
        <v>Low</v>
      </c>
      <c r="W191" t="str">
        <f>IF(Table1[[#This Row],[skill_gap_index]]&gt;70,"Large Gap",
IF(Table1[[#This Row],[skill_gap_index]]&gt;40,"Medium Gap","Small Gap"))</f>
        <v>Medium Gap</v>
      </c>
      <c r="X191" s="3" t="str">
        <f>IF(Table1[[#This Row],[automation_risk_percent]]&gt;0.7,"Highly Automatable",
IF(Table1[[#This Row],[automation_risk_percent]]&gt;0.4,"Moderate Risk","Safe Job"))</f>
        <v>Moderate Risk</v>
      </c>
    </row>
    <row r="192" spans="1:24" x14ac:dyDescent="0.3">
      <c r="A192">
        <v>714</v>
      </c>
      <c r="B192" t="s">
        <v>44</v>
      </c>
      <c r="C192" t="s">
        <v>30</v>
      </c>
      <c r="D192" t="s">
        <v>28</v>
      </c>
      <c r="E192" s="1">
        <v>2026</v>
      </c>
      <c r="F192" s="11">
        <v>0.41310000000000002</v>
      </c>
      <c r="G192">
        <v>49</v>
      </c>
      <c r="H192">
        <v>37.729999999999997</v>
      </c>
      <c r="I192" s="2">
        <v>60987.22</v>
      </c>
      <c r="J192" s="2">
        <v>59384.800000000003</v>
      </c>
      <c r="K192" s="2">
        <f>Table1[[#This Row],[Salary_after]]-Table1[[#This Row],[Salary_before]]</f>
        <v>-1602.4199999999983</v>
      </c>
      <c r="L192" s="11">
        <v>-2.63E-2</v>
      </c>
      <c r="M192" s="11">
        <v>-0.1096</v>
      </c>
      <c r="N192">
        <v>78.36</v>
      </c>
      <c r="O192">
        <v>20.6</v>
      </c>
      <c r="P192">
        <v>3</v>
      </c>
      <c r="Q192" t="s">
        <v>25</v>
      </c>
      <c r="R192">
        <v>39.519999999999897</v>
      </c>
      <c r="S192">
        <v>2.63</v>
      </c>
      <c r="T192" s="4">
        <v>28.632000000000001</v>
      </c>
      <c r="U192" s="4">
        <v>8.5098599999999998</v>
      </c>
      <c r="V192" t="str">
        <f>IF(Table1[[#This Row],[ai_disruption_intensity]]&gt;70,"High",
IF(Table1[[#This Row],[ai_disruption_intensity]]&gt;40,"Medium","Low"))</f>
        <v>Low</v>
      </c>
      <c r="W192" t="str">
        <f>IF(Table1[[#This Row],[skill_gap_index]]&gt;70,"Large Gap",
IF(Table1[[#This Row],[skill_gap_index]]&gt;40,"Medium Gap","Small Gap"))</f>
        <v>Small Gap</v>
      </c>
      <c r="X192" s="3" t="str">
        <f>IF(Table1[[#This Row],[automation_risk_percent]]&gt;0.7,"Highly Automatable",
IF(Table1[[#This Row],[automation_risk_percent]]&gt;0.4,"Moderate Risk","Safe Job"))</f>
        <v>Moderate Risk</v>
      </c>
    </row>
    <row r="193" spans="1:24" x14ac:dyDescent="0.3">
      <c r="A193">
        <v>718</v>
      </c>
      <c r="B193" t="s">
        <v>18</v>
      </c>
      <c r="C193" t="s">
        <v>23</v>
      </c>
      <c r="D193" t="s">
        <v>24</v>
      </c>
      <c r="E193" s="1">
        <v>2025</v>
      </c>
      <c r="F193" s="11">
        <v>0.2888</v>
      </c>
      <c r="G193">
        <v>31.22</v>
      </c>
      <c r="H193">
        <v>65.89</v>
      </c>
      <c r="I193" s="2">
        <v>148695.04000000001</v>
      </c>
      <c r="J193" s="2">
        <v>161613.25</v>
      </c>
      <c r="K193" s="2">
        <f>Table1[[#This Row],[Salary_after]]-Table1[[#This Row],[Salary_before]]</f>
        <v>12918.209999999992</v>
      </c>
      <c r="L193" s="11">
        <v>8.6899999999999991E-2</v>
      </c>
      <c r="M193" s="11">
        <v>-6.8600000000000008E-2</v>
      </c>
      <c r="N193">
        <v>14.68</v>
      </c>
      <c r="O193">
        <v>11.36</v>
      </c>
      <c r="P193">
        <v>5</v>
      </c>
      <c r="Q193" t="s">
        <v>21</v>
      </c>
      <c r="R193">
        <v>47.384999999999998</v>
      </c>
      <c r="S193">
        <v>8.69</v>
      </c>
      <c r="T193" s="4">
        <v>33.926000000000002</v>
      </c>
      <c r="U193" s="4">
        <v>3.2807680000000001</v>
      </c>
      <c r="V193" t="str">
        <f>IF(Table1[[#This Row],[ai_disruption_intensity]]&gt;70,"High",
IF(Table1[[#This Row],[ai_disruption_intensity]]&gt;40,"Medium","Low"))</f>
        <v>Low</v>
      </c>
      <c r="W193" t="str">
        <f>IF(Table1[[#This Row],[skill_gap_index]]&gt;70,"Large Gap",
IF(Table1[[#This Row],[skill_gap_index]]&gt;40,"Medium Gap","Small Gap"))</f>
        <v>Medium Gap</v>
      </c>
      <c r="X193" s="3" t="str">
        <f>IF(Table1[[#This Row],[automation_risk_percent]]&gt;0.7,"Highly Automatable",
IF(Table1[[#This Row],[automation_risk_percent]]&gt;0.4,"Moderate Risk","Safe Job"))</f>
        <v>Safe Job</v>
      </c>
    </row>
    <row r="194" spans="1:24" x14ac:dyDescent="0.3">
      <c r="A194">
        <v>719</v>
      </c>
      <c r="B194" t="s">
        <v>44</v>
      </c>
      <c r="C194" t="s">
        <v>38</v>
      </c>
      <c r="D194" t="s">
        <v>35</v>
      </c>
      <c r="E194" s="1">
        <v>2025</v>
      </c>
      <c r="F194" s="11">
        <v>0.1027</v>
      </c>
      <c r="G194">
        <v>12.33</v>
      </c>
      <c r="H194">
        <v>80.23</v>
      </c>
      <c r="I194" s="2">
        <v>124406.76</v>
      </c>
      <c r="J194" s="2">
        <v>100628.69</v>
      </c>
      <c r="K194" s="2">
        <f>Table1[[#This Row],[Salary_after]]-Table1[[#This Row],[Salary_before]]</f>
        <v>-23778.069999999992</v>
      </c>
      <c r="L194" s="11">
        <v>-0.19109999999999999</v>
      </c>
      <c r="M194" s="11">
        <v>5.9299999999999999E-2</v>
      </c>
      <c r="N194">
        <v>23.61</v>
      </c>
      <c r="O194">
        <v>28.47</v>
      </c>
      <c r="P194">
        <v>3</v>
      </c>
      <c r="Q194" t="s">
        <v>21</v>
      </c>
      <c r="R194">
        <v>45.25</v>
      </c>
      <c r="S194">
        <v>19.11</v>
      </c>
      <c r="T194" s="4">
        <v>33.909999999999997</v>
      </c>
      <c r="U194" s="4">
        <v>2.9238689999999998</v>
      </c>
      <c r="V194" t="str">
        <f>IF(Table1[[#This Row],[ai_disruption_intensity]]&gt;70,"High",
IF(Table1[[#This Row],[ai_disruption_intensity]]&gt;40,"Medium","Low"))</f>
        <v>Low</v>
      </c>
      <c r="W194" t="str">
        <f>IF(Table1[[#This Row],[skill_gap_index]]&gt;70,"Large Gap",
IF(Table1[[#This Row],[skill_gap_index]]&gt;40,"Medium Gap","Small Gap"))</f>
        <v>Large Gap</v>
      </c>
      <c r="X194" s="3" t="str">
        <f>IF(Table1[[#This Row],[automation_risk_percent]]&gt;0.7,"Highly Automatable",
IF(Table1[[#This Row],[automation_risk_percent]]&gt;0.4,"Moderate Risk","Safe Job"))</f>
        <v>Safe Job</v>
      </c>
    </row>
    <row r="195" spans="1:24" x14ac:dyDescent="0.3">
      <c r="A195">
        <v>720</v>
      </c>
      <c r="B195" t="s">
        <v>44</v>
      </c>
      <c r="C195" t="s">
        <v>27</v>
      </c>
      <c r="D195" t="s">
        <v>20</v>
      </c>
      <c r="E195" s="1">
        <v>2025</v>
      </c>
      <c r="F195" s="11">
        <v>0.36320000000000002</v>
      </c>
      <c r="G195">
        <v>40.04</v>
      </c>
      <c r="H195">
        <v>53.97</v>
      </c>
      <c r="I195" s="2">
        <v>39298.04</v>
      </c>
      <c r="J195" s="2">
        <v>41992.27</v>
      </c>
      <c r="K195" s="2">
        <f>Table1[[#This Row],[Salary_after]]-Table1[[#This Row],[Salary_before]]</f>
        <v>2694.2299999999959</v>
      </c>
      <c r="L195" s="11">
        <v>6.8600000000000008E-2</v>
      </c>
      <c r="M195" s="11">
        <v>3.5799999999999998E-2</v>
      </c>
      <c r="N195">
        <v>67.37</v>
      </c>
      <c r="O195">
        <v>80.180000000000007</v>
      </c>
      <c r="P195">
        <v>5</v>
      </c>
      <c r="Q195" t="s">
        <v>25</v>
      </c>
      <c r="R195">
        <v>45.144999999999897</v>
      </c>
      <c r="S195">
        <v>6.86</v>
      </c>
      <c r="T195" s="4">
        <v>32.777000000000001</v>
      </c>
      <c r="U195" s="4">
        <v>29.121376000000001</v>
      </c>
      <c r="V195" t="str">
        <f>IF(Table1[[#This Row],[ai_disruption_intensity]]&gt;70,"High",
IF(Table1[[#This Row],[ai_disruption_intensity]]&gt;40,"Medium","Low"))</f>
        <v>Low</v>
      </c>
      <c r="W195" t="str">
        <f>IF(Table1[[#This Row],[skill_gap_index]]&gt;70,"Large Gap",
IF(Table1[[#This Row],[skill_gap_index]]&gt;40,"Medium Gap","Small Gap"))</f>
        <v>Medium Gap</v>
      </c>
      <c r="X195" s="3" t="str">
        <f>IF(Table1[[#This Row],[automation_risk_percent]]&gt;0.7,"Highly Automatable",
IF(Table1[[#This Row],[automation_risk_percent]]&gt;0.4,"Moderate Risk","Safe Job"))</f>
        <v>Safe Job</v>
      </c>
    </row>
    <row r="196" spans="1:24" x14ac:dyDescent="0.3">
      <c r="A196">
        <v>725</v>
      </c>
      <c r="B196" t="s">
        <v>22</v>
      </c>
      <c r="C196" t="s">
        <v>34</v>
      </c>
      <c r="D196" t="s">
        <v>24</v>
      </c>
      <c r="E196" s="1">
        <v>2025</v>
      </c>
      <c r="F196" s="11">
        <v>0.2384</v>
      </c>
      <c r="G196">
        <v>22.11</v>
      </c>
      <c r="H196">
        <v>59.35</v>
      </c>
      <c r="I196" s="2">
        <v>55214.13</v>
      </c>
      <c r="J196" s="2">
        <v>51451.95</v>
      </c>
      <c r="K196" s="2">
        <f>Table1[[#This Row],[Salary_after]]-Table1[[#This Row],[Salary_before]]</f>
        <v>-3762.1800000000003</v>
      </c>
      <c r="L196" s="11">
        <v>-6.8099999999999994E-2</v>
      </c>
      <c r="M196" s="11">
        <v>0.14679999999999999</v>
      </c>
      <c r="N196">
        <v>22.21</v>
      </c>
      <c r="O196">
        <v>14.56</v>
      </c>
      <c r="P196">
        <v>1</v>
      </c>
      <c r="Q196" t="s">
        <v>21</v>
      </c>
      <c r="R196">
        <v>41.594999999999999</v>
      </c>
      <c r="S196">
        <v>6.81</v>
      </c>
      <c r="T196" s="4">
        <v>29.384</v>
      </c>
      <c r="U196" s="4">
        <v>3.471104</v>
      </c>
      <c r="V196" t="str">
        <f>IF(Table1[[#This Row],[ai_disruption_intensity]]&gt;70,"High",
IF(Table1[[#This Row],[ai_disruption_intensity]]&gt;40,"Medium","Low"))</f>
        <v>Low</v>
      </c>
      <c r="W196" t="str">
        <f>IF(Table1[[#This Row],[skill_gap_index]]&gt;70,"Large Gap",
IF(Table1[[#This Row],[skill_gap_index]]&gt;40,"Medium Gap","Small Gap"))</f>
        <v>Medium Gap</v>
      </c>
      <c r="X196" s="3" t="str">
        <f>IF(Table1[[#This Row],[automation_risk_percent]]&gt;0.7,"Highly Automatable",
IF(Table1[[#This Row],[automation_risk_percent]]&gt;0.4,"Moderate Risk","Safe Job"))</f>
        <v>Safe Job</v>
      </c>
    </row>
    <row r="197" spans="1:24" x14ac:dyDescent="0.3">
      <c r="A197">
        <v>726</v>
      </c>
      <c r="B197" t="s">
        <v>39</v>
      </c>
      <c r="C197" t="s">
        <v>19</v>
      </c>
      <c r="D197" t="s">
        <v>31</v>
      </c>
      <c r="E197" s="1">
        <v>2025</v>
      </c>
      <c r="F197" s="11">
        <v>0.58820000000000006</v>
      </c>
      <c r="G197">
        <v>62.18</v>
      </c>
      <c r="H197">
        <v>78.27</v>
      </c>
      <c r="I197" s="2">
        <v>142497.74</v>
      </c>
      <c r="J197" s="2">
        <v>130351.42</v>
      </c>
      <c r="K197" s="2">
        <f>Table1[[#This Row],[Salary_after]]-Table1[[#This Row],[Salary_before]]</f>
        <v>-12146.319999999992</v>
      </c>
      <c r="L197" s="11">
        <v>-8.5199999999999998E-2</v>
      </c>
      <c r="M197" s="11">
        <v>9.7500000000000003E-2</v>
      </c>
      <c r="N197">
        <v>31.91</v>
      </c>
      <c r="O197">
        <v>84.22</v>
      </c>
      <c r="P197">
        <v>1</v>
      </c>
      <c r="Q197" t="s">
        <v>25</v>
      </c>
      <c r="R197">
        <v>68.545000000000002</v>
      </c>
      <c r="S197">
        <v>8.52</v>
      </c>
      <c r="T197" s="4">
        <v>49.564999999999998</v>
      </c>
      <c r="U197" s="4">
        <v>49.538203999999901</v>
      </c>
      <c r="V197" t="str">
        <f>IF(Table1[[#This Row],[ai_disruption_intensity]]&gt;70,"High",
IF(Table1[[#This Row],[ai_disruption_intensity]]&gt;40,"Medium","Low"))</f>
        <v>Medium</v>
      </c>
      <c r="W197" t="str">
        <f>IF(Table1[[#This Row],[skill_gap_index]]&gt;70,"Large Gap",
IF(Table1[[#This Row],[skill_gap_index]]&gt;40,"Medium Gap","Small Gap"))</f>
        <v>Large Gap</v>
      </c>
      <c r="X197" s="3" t="str">
        <f>IF(Table1[[#This Row],[automation_risk_percent]]&gt;0.7,"Highly Automatable",
IF(Table1[[#This Row],[automation_risk_percent]]&gt;0.4,"Moderate Risk","Safe Job"))</f>
        <v>Moderate Risk</v>
      </c>
    </row>
    <row r="198" spans="1:24" x14ac:dyDescent="0.3">
      <c r="A198">
        <v>727</v>
      </c>
      <c r="B198" t="s">
        <v>46</v>
      </c>
      <c r="C198" t="s">
        <v>38</v>
      </c>
      <c r="D198" t="s">
        <v>42</v>
      </c>
      <c r="E198" s="1">
        <v>2025</v>
      </c>
      <c r="F198" s="11">
        <v>0.14649999999999999</v>
      </c>
      <c r="G198">
        <v>12.15</v>
      </c>
      <c r="H198">
        <v>70.33</v>
      </c>
      <c r="I198" s="2">
        <v>78303.16</v>
      </c>
      <c r="J198" s="2">
        <v>80084.53</v>
      </c>
      <c r="K198" s="2">
        <f>Table1[[#This Row],[Salary_after]]-Table1[[#This Row],[Salary_before]]</f>
        <v>1781.3699999999953</v>
      </c>
      <c r="L198" s="11">
        <v>2.2700000000000001E-2</v>
      </c>
      <c r="M198" s="11">
        <v>0.11359999999999999</v>
      </c>
      <c r="N198">
        <v>18.14</v>
      </c>
      <c r="O198">
        <v>94.79</v>
      </c>
      <c r="P198">
        <v>4</v>
      </c>
      <c r="Q198" t="s">
        <v>21</v>
      </c>
      <c r="R198">
        <v>42.49</v>
      </c>
      <c r="S198">
        <v>2.27</v>
      </c>
      <c r="T198" s="4">
        <v>27.64</v>
      </c>
      <c r="U198" s="4">
        <v>13.886735</v>
      </c>
      <c r="V198" t="str">
        <f>IF(Table1[[#This Row],[ai_disruption_intensity]]&gt;70,"High",
IF(Table1[[#This Row],[ai_disruption_intensity]]&gt;40,"Medium","Low"))</f>
        <v>Low</v>
      </c>
      <c r="W198" t="str">
        <f>IF(Table1[[#This Row],[skill_gap_index]]&gt;70,"Large Gap",
IF(Table1[[#This Row],[skill_gap_index]]&gt;40,"Medium Gap","Small Gap"))</f>
        <v>Large Gap</v>
      </c>
      <c r="X198" s="3" t="str">
        <f>IF(Table1[[#This Row],[automation_risk_percent]]&gt;0.7,"Highly Automatable",
IF(Table1[[#This Row],[automation_risk_percent]]&gt;0.4,"Moderate Risk","Safe Job"))</f>
        <v>Safe Job</v>
      </c>
    </row>
    <row r="199" spans="1:24" x14ac:dyDescent="0.3">
      <c r="A199">
        <v>729</v>
      </c>
      <c r="B199" t="s">
        <v>45</v>
      </c>
      <c r="C199" t="s">
        <v>38</v>
      </c>
      <c r="D199" t="s">
        <v>31</v>
      </c>
      <c r="E199" s="1">
        <v>2026</v>
      </c>
      <c r="F199" s="11">
        <v>0.6409999999999999</v>
      </c>
      <c r="G199">
        <v>71.87</v>
      </c>
      <c r="H199">
        <v>15.34</v>
      </c>
      <c r="I199" s="2">
        <v>73986.14</v>
      </c>
      <c r="J199" s="2">
        <v>66384.78</v>
      </c>
      <c r="K199" s="2">
        <f>Table1[[#This Row],[Salary_after]]-Table1[[#This Row],[Salary_before]]</f>
        <v>-7601.3600000000006</v>
      </c>
      <c r="L199" s="11">
        <v>-0.1027</v>
      </c>
      <c r="M199" s="11">
        <v>1.2699999999999999E-2</v>
      </c>
      <c r="N199">
        <v>81.86</v>
      </c>
      <c r="O199">
        <v>70.72</v>
      </c>
      <c r="P199">
        <v>4</v>
      </c>
      <c r="Q199" t="s">
        <v>37</v>
      </c>
      <c r="R199">
        <v>39.72</v>
      </c>
      <c r="S199">
        <v>10.27</v>
      </c>
      <c r="T199" s="4">
        <v>33.323</v>
      </c>
      <c r="U199" s="4">
        <v>45.331519999999898</v>
      </c>
      <c r="V199" t="str">
        <f>IF(Table1[[#This Row],[ai_disruption_intensity]]&gt;70,"High",
IF(Table1[[#This Row],[ai_disruption_intensity]]&gt;40,"Medium","Low"))</f>
        <v>Medium</v>
      </c>
      <c r="W199" t="str">
        <f>IF(Table1[[#This Row],[skill_gap_index]]&gt;70,"Large Gap",
IF(Table1[[#This Row],[skill_gap_index]]&gt;40,"Medium Gap","Small Gap"))</f>
        <v>Small Gap</v>
      </c>
      <c r="X199" s="3" t="str">
        <f>IF(Table1[[#This Row],[automation_risk_percent]]&gt;0.7,"Highly Automatable",
IF(Table1[[#This Row],[automation_risk_percent]]&gt;0.4,"Moderate Risk","Safe Job"))</f>
        <v>Moderate Risk</v>
      </c>
    </row>
    <row r="200" spans="1:24" x14ac:dyDescent="0.3">
      <c r="A200">
        <v>740</v>
      </c>
      <c r="B200" t="s">
        <v>43</v>
      </c>
      <c r="C200" t="s">
        <v>30</v>
      </c>
      <c r="D200" t="s">
        <v>35</v>
      </c>
      <c r="E200" s="1">
        <v>2026</v>
      </c>
      <c r="F200" s="11">
        <v>0.46820000000000001</v>
      </c>
      <c r="G200">
        <v>52.6</v>
      </c>
      <c r="H200">
        <v>36.18</v>
      </c>
      <c r="I200" s="2">
        <v>92910.57</v>
      </c>
      <c r="J200" s="2">
        <v>81780.19</v>
      </c>
      <c r="K200" s="2">
        <f>Table1[[#This Row],[Salary_after]]-Table1[[#This Row],[Salary_before]]</f>
        <v>-11130.380000000005</v>
      </c>
      <c r="L200" s="11">
        <v>-0.1198</v>
      </c>
      <c r="M200" s="11">
        <v>0.13869999999999999</v>
      </c>
      <c r="N200">
        <v>34.979999999999997</v>
      </c>
      <c r="O200">
        <v>93.34</v>
      </c>
      <c r="P200">
        <v>5</v>
      </c>
      <c r="Q200" t="s">
        <v>25</v>
      </c>
      <c r="R200">
        <v>41.5</v>
      </c>
      <c r="S200">
        <v>11.98</v>
      </c>
      <c r="T200" s="4">
        <v>33.176000000000002</v>
      </c>
      <c r="U200" s="4">
        <v>43.701788000000001</v>
      </c>
      <c r="V200" t="str">
        <f>IF(Table1[[#This Row],[ai_disruption_intensity]]&gt;70,"High",
IF(Table1[[#This Row],[ai_disruption_intensity]]&gt;40,"Medium","Low"))</f>
        <v>Medium</v>
      </c>
      <c r="W200" t="str">
        <f>IF(Table1[[#This Row],[skill_gap_index]]&gt;70,"Large Gap",
IF(Table1[[#This Row],[skill_gap_index]]&gt;40,"Medium Gap","Small Gap"))</f>
        <v>Small Gap</v>
      </c>
      <c r="X200" s="3" t="str">
        <f>IF(Table1[[#This Row],[automation_risk_percent]]&gt;0.7,"Highly Automatable",
IF(Table1[[#This Row],[automation_risk_percent]]&gt;0.4,"Moderate Risk","Safe Job"))</f>
        <v>Moderate Risk</v>
      </c>
    </row>
    <row r="201" spans="1:24" x14ac:dyDescent="0.3">
      <c r="A201">
        <v>747</v>
      </c>
      <c r="B201" t="s">
        <v>18</v>
      </c>
      <c r="C201" t="s">
        <v>33</v>
      </c>
      <c r="D201" t="s">
        <v>32</v>
      </c>
      <c r="E201" s="1">
        <v>2026</v>
      </c>
      <c r="F201" s="11">
        <v>0.41880000000000001</v>
      </c>
      <c r="G201">
        <v>43.26</v>
      </c>
      <c r="H201">
        <v>35.68</v>
      </c>
      <c r="I201" s="2">
        <v>49712.45</v>
      </c>
      <c r="J201" s="2">
        <v>56115.79</v>
      </c>
      <c r="K201" s="2">
        <f>Table1[[#This Row],[Salary_after]]-Table1[[#This Row],[Salary_before]]</f>
        <v>6403.3400000000038</v>
      </c>
      <c r="L201" s="11">
        <v>0.1288</v>
      </c>
      <c r="M201" s="11">
        <v>5.1500000000000004E-2</v>
      </c>
      <c r="N201">
        <v>69.760000000000005</v>
      </c>
      <c r="O201">
        <v>33.840000000000003</v>
      </c>
      <c r="P201">
        <v>1</v>
      </c>
      <c r="Q201" t="s">
        <v>25</v>
      </c>
      <c r="R201">
        <v>38.78</v>
      </c>
      <c r="S201">
        <v>12.88</v>
      </c>
      <c r="T201" s="4">
        <v>31.32</v>
      </c>
      <c r="U201" s="4">
        <v>14.172192000000001</v>
      </c>
      <c r="V201" t="str">
        <f>IF(Table1[[#This Row],[ai_disruption_intensity]]&gt;70,"High",
IF(Table1[[#This Row],[ai_disruption_intensity]]&gt;40,"Medium","Low"))</f>
        <v>Low</v>
      </c>
      <c r="W201" t="str">
        <f>IF(Table1[[#This Row],[skill_gap_index]]&gt;70,"Large Gap",
IF(Table1[[#This Row],[skill_gap_index]]&gt;40,"Medium Gap","Small Gap"))</f>
        <v>Small Gap</v>
      </c>
      <c r="X201" s="3" t="str">
        <f>IF(Table1[[#This Row],[automation_risk_percent]]&gt;0.7,"Highly Automatable",
IF(Table1[[#This Row],[automation_risk_percent]]&gt;0.4,"Moderate Risk","Safe Job"))</f>
        <v>Moderate Risk</v>
      </c>
    </row>
    <row r="202" spans="1:24" x14ac:dyDescent="0.3">
      <c r="A202">
        <v>749</v>
      </c>
      <c r="B202" t="s">
        <v>29</v>
      </c>
      <c r="C202" t="s">
        <v>33</v>
      </c>
      <c r="D202" t="s">
        <v>36</v>
      </c>
      <c r="E202" s="1">
        <v>2026</v>
      </c>
      <c r="F202" s="11">
        <v>0.67040000000000011</v>
      </c>
      <c r="G202">
        <v>67.84</v>
      </c>
      <c r="H202">
        <v>2.78</v>
      </c>
      <c r="I202" s="2">
        <v>59598.77</v>
      </c>
      <c r="J202" s="2">
        <v>72621.67</v>
      </c>
      <c r="K202" s="2">
        <f>Table1[[#This Row],[Salary_after]]-Table1[[#This Row],[Salary_before]]</f>
        <v>13022.900000000001</v>
      </c>
      <c r="L202" s="11">
        <v>0.21850000000000003</v>
      </c>
      <c r="M202" s="11">
        <v>-1.8700000000000001E-2</v>
      </c>
      <c r="N202">
        <v>60.15</v>
      </c>
      <c r="O202">
        <v>74.260000000000005</v>
      </c>
      <c r="P202">
        <v>5</v>
      </c>
      <c r="Q202" t="s">
        <v>37</v>
      </c>
      <c r="R202">
        <v>34.909999999999997</v>
      </c>
      <c r="S202">
        <v>21.85</v>
      </c>
      <c r="T202" s="4">
        <v>34.204999999999998</v>
      </c>
      <c r="U202" s="4">
        <v>49.783904</v>
      </c>
      <c r="V202" t="str">
        <f>IF(Table1[[#This Row],[ai_disruption_intensity]]&gt;70,"High",
IF(Table1[[#This Row],[ai_disruption_intensity]]&gt;40,"Medium","Low"))</f>
        <v>Medium</v>
      </c>
      <c r="W202" t="str">
        <f>IF(Table1[[#This Row],[skill_gap_index]]&gt;70,"Large Gap",
IF(Table1[[#This Row],[skill_gap_index]]&gt;40,"Medium Gap","Small Gap"))</f>
        <v>Small Gap</v>
      </c>
      <c r="X202" s="3" t="str">
        <f>IF(Table1[[#This Row],[automation_risk_percent]]&gt;0.7,"Highly Automatable",
IF(Table1[[#This Row],[automation_risk_percent]]&gt;0.4,"Moderate Risk","Safe Job"))</f>
        <v>Moderate Risk</v>
      </c>
    </row>
    <row r="203" spans="1:24" x14ac:dyDescent="0.3">
      <c r="A203">
        <v>752</v>
      </c>
      <c r="B203" t="s">
        <v>45</v>
      </c>
      <c r="C203" t="s">
        <v>27</v>
      </c>
      <c r="D203" t="s">
        <v>31</v>
      </c>
      <c r="E203" s="1">
        <v>2026</v>
      </c>
      <c r="F203" s="11">
        <v>0.14180000000000001</v>
      </c>
      <c r="G203">
        <v>16.39</v>
      </c>
      <c r="H203">
        <v>32.909999999999997</v>
      </c>
      <c r="I203" s="2">
        <v>67750.52</v>
      </c>
      <c r="J203" s="2">
        <v>72556.42</v>
      </c>
      <c r="K203" s="2">
        <f>Table1[[#This Row],[Salary_after]]-Table1[[#This Row],[Salary_before]]</f>
        <v>4805.8999999999942</v>
      </c>
      <c r="L203" s="11">
        <v>7.0900000000000005E-2</v>
      </c>
      <c r="M203" s="11">
        <v>5.1900000000000002E-2</v>
      </c>
      <c r="N203">
        <v>14.3</v>
      </c>
      <c r="O203">
        <v>35.22</v>
      </c>
      <c r="P203">
        <v>4</v>
      </c>
      <c r="Q203" t="s">
        <v>21</v>
      </c>
      <c r="R203">
        <v>23.544999999999899</v>
      </c>
      <c r="S203">
        <v>7.09</v>
      </c>
      <c r="T203" s="4">
        <v>17.672000000000001</v>
      </c>
      <c r="U203" s="4">
        <v>4.9941959999999996</v>
      </c>
      <c r="V203" t="str">
        <f>IF(Table1[[#This Row],[ai_disruption_intensity]]&gt;70,"High",
IF(Table1[[#This Row],[ai_disruption_intensity]]&gt;40,"Medium","Low"))</f>
        <v>Low</v>
      </c>
      <c r="W203" t="str">
        <f>IF(Table1[[#This Row],[skill_gap_index]]&gt;70,"Large Gap",
IF(Table1[[#This Row],[skill_gap_index]]&gt;40,"Medium Gap","Small Gap"))</f>
        <v>Small Gap</v>
      </c>
      <c r="X203" s="3" t="str">
        <f>IF(Table1[[#This Row],[automation_risk_percent]]&gt;0.7,"Highly Automatable",
IF(Table1[[#This Row],[automation_risk_percent]]&gt;0.4,"Moderate Risk","Safe Job"))</f>
        <v>Safe Job</v>
      </c>
    </row>
    <row r="204" spans="1:24" x14ac:dyDescent="0.3">
      <c r="A204">
        <v>753</v>
      </c>
      <c r="B204" t="s">
        <v>44</v>
      </c>
      <c r="C204" t="s">
        <v>27</v>
      </c>
      <c r="D204" t="s">
        <v>24</v>
      </c>
      <c r="E204" s="1">
        <v>2026</v>
      </c>
      <c r="F204" s="11">
        <v>0.69959999999999989</v>
      </c>
      <c r="G204">
        <v>67.05</v>
      </c>
      <c r="H204">
        <v>19.920000000000002</v>
      </c>
      <c r="I204" s="2">
        <v>80975.3</v>
      </c>
      <c r="J204" s="2">
        <v>86997.04</v>
      </c>
      <c r="K204" s="2">
        <f>Table1[[#This Row],[Salary_after]]-Table1[[#This Row],[Salary_before]]</f>
        <v>6021.7399999999907</v>
      </c>
      <c r="L204" s="11">
        <v>7.4400000000000008E-2</v>
      </c>
      <c r="M204" s="11">
        <v>2.9500000000000002E-2</v>
      </c>
      <c r="N204">
        <v>78.569999999999993</v>
      </c>
      <c r="O204">
        <v>50.51</v>
      </c>
      <c r="P204">
        <v>2</v>
      </c>
      <c r="Q204" t="s">
        <v>37</v>
      </c>
      <c r="R204">
        <v>44.94</v>
      </c>
      <c r="S204">
        <v>7.44</v>
      </c>
      <c r="T204" s="4">
        <v>36.192</v>
      </c>
      <c r="U204" s="4">
        <v>35.3367959999999</v>
      </c>
      <c r="V204" t="str">
        <f>IF(Table1[[#This Row],[ai_disruption_intensity]]&gt;70,"High",
IF(Table1[[#This Row],[ai_disruption_intensity]]&gt;40,"Medium","Low"))</f>
        <v>Low</v>
      </c>
      <c r="W204" t="str">
        <f>IF(Table1[[#This Row],[skill_gap_index]]&gt;70,"Large Gap",
IF(Table1[[#This Row],[skill_gap_index]]&gt;40,"Medium Gap","Small Gap"))</f>
        <v>Small Gap</v>
      </c>
      <c r="X204" s="3" t="str">
        <f>IF(Table1[[#This Row],[automation_risk_percent]]&gt;0.7,"Highly Automatable",
IF(Table1[[#This Row],[automation_risk_percent]]&gt;0.4,"Moderate Risk","Safe Job"))</f>
        <v>Moderate Risk</v>
      </c>
    </row>
    <row r="205" spans="1:24" x14ac:dyDescent="0.3">
      <c r="A205">
        <v>763</v>
      </c>
      <c r="B205" t="s">
        <v>39</v>
      </c>
      <c r="C205" t="s">
        <v>34</v>
      </c>
      <c r="D205" t="s">
        <v>20</v>
      </c>
      <c r="E205" s="1">
        <v>2025</v>
      </c>
      <c r="F205" s="11">
        <v>0.24079999999999999</v>
      </c>
      <c r="G205">
        <v>20.04</v>
      </c>
      <c r="H205">
        <v>47.45</v>
      </c>
      <c r="I205" s="2">
        <v>31196.31</v>
      </c>
      <c r="J205" s="2">
        <v>31663</v>
      </c>
      <c r="K205" s="2">
        <f>Table1[[#This Row],[Salary_after]]-Table1[[#This Row],[Salary_before]]</f>
        <v>466.68999999999869</v>
      </c>
      <c r="L205" s="11">
        <v>1.4999999999999999E-2</v>
      </c>
      <c r="M205" s="11">
        <v>5.9800000000000006E-2</v>
      </c>
      <c r="N205">
        <v>86.91</v>
      </c>
      <c r="O205">
        <v>68.319999999999993</v>
      </c>
      <c r="P205">
        <v>4</v>
      </c>
      <c r="Q205" t="s">
        <v>21</v>
      </c>
      <c r="R205">
        <v>35.765000000000001</v>
      </c>
      <c r="S205">
        <v>1.5</v>
      </c>
      <c r="T205" s="4">
        <v>24.317</v>
      </c>
      <c r="U205" s="4">
        <v>16.451455999999901</v>
      </c>
      <c r="V205" t="str">
        <f>IF(Table1[[#This Row],[ai_disruption_intensity]]&gt;70,"High",
IF(Table1[[#This Row],[ai_disruption_intensity]]&gt;40,"Medium","Low"))</f>
        <v>Low</v>
      </c>
      <c r="W205" t="str">
        <f>IF(Table1[[#This Row],[skill_gap_index]]&gt;70,"Large Gap",
IF(Table1[[#This Row],[skill_gap_index]]&gt;40,"Medium Gap","Small Gap"))</f>
        <v>Medium Gap</v>
      </c>
      <c r="X205" s="3" t="str">
        <f>IF(Table1[[#This Row],[automation_risk_percent]]&gt;0.7,"Highly Automatable",
IF(Table1[[#This Row],[automation_risk_percent]]&gt;0.4,"Moderate Risk","Safe Job"))</f>
        <v>Safe Job</v>
      </c>
    </row>
    <row r="206" spans="1:24" x14ac:dyDescent="0.3">
      <c r="A206">
        <v>765</v>
      </c>
      <c r="B206" t="s">
        <v>22</v>
      </c>
      <c r="C206" t="s">
        <v>19</v>
      </c>
      <c r="D206" t="s">
        <v>42</v>
      </c>
      <c r="E206" s="1">
        <v>2026</v>
      </c>
      <c r="F206" s="11">
        <v>0.78650000000000009</v>
      </c>
      <c r="G206">
        <v>67.819999999999993</v>
      </c>
      <c r="H206">
        <v>22.57</v>
      </c>
      <c r="I206" s="2">
        <v>55415.78</v>
      </c>
      <c r="J206" s="2">
        <v>52234.35</v>
      </c>
      <c r="K206" s="2">
        <f>Table1[[#This Row],[Salary_after]]-Table1[[#This Row],[Salary_before]]</f>
        <v>-3181.4300000000003</v>
      </c>
      <c r="L206" s="11">
        <v>-5.74E-2</v>
      </c>
      <c r="M206" s="11">
        <v>0.1036</v>
      </c>
      <c r="N206">
        <v>16</v>
      </c>
      <c r="O206">
        <v>99.86</v>
      </c>
      <c r="P206">
        <v>1</v>
      </c>
      <c r="Q206" t="s">
        <v>37</v>
      </c>
      <c r="R206">
        <v>50.61</v>
      </c>
      <c r="S206">
        <v>5.74</v>
      </c>
      <c r="T206" s="4">
        <v>39.953000000000003</v>
      </c>
      <c r="U206" s="4">
        <v>78.53989</v>
      </c>
      <c r="V206" t="str">
        <f>IF(Table1[[#This Row],[ai_disruption_intensity]]&gt;70,"High",
IF(Table1[[#This Row],[ai_disruption_intensity]]&gt;40,"Medium","Low"))</f>
        <v>High</v>
      </c>
      <c r="W206" t="str">
        <f>IF(Table1[[#This Row],[skill_gap_index]]&gt;70,"Large Gap",
IF(Table1[[#This Row],[skill_gap_index]]&gt;40,"Medium Gap","Small Gap"))</f>
        <v>Small Gap</v>
      </c>
      <c r="X206" s="3" t="str">
        <f>IF(Table1[[#This Row],[automation_risk_percent]]&gt;0.7,"Highly Automatable",
IF(Table1[[#This Row],[automation_risk_percent]]&gt;0.4,"Moderate Risk","Safe Job"))</f>
        <v>Highly Automatable</v>
      </c>
    </row>
    <row r="207" spans="1:24" x14ac:dyDescent="0.3">
      <c r="A207">
        <v>766</v>
      </c>
      <c r="B207" t="s">
        <v>29</v>
      </c>
      <c r="C207" t="s">
        <v>27</v>
      </c>
      <c r="D207" t="s">
        <v>35</v>
      </c>
      <c r="E207" s="1">
        <v>2025</v>
      </c>
      <c r="F207" s="11">
        <v>0.26739999999999997</v>
      </c>
      <c r="G207">
        <v>30.32</v>
      </c>
      <c r="H207">
        <v>36.54</v>
      </c>
      <c r="I207" s="2">
        <v>130993.86</v>
      </c>
      <c r="J207" s="2">
        <v>142887.6</v>
      </c>
      <c r="K207" s="2">
        <f>Table1[[#This Row],[Salary_after]]-Table1[[#This Row],[Salary_before]]</f>
        <v>11893.740000000005</v>
      </c>
      <c r="L207" s="11">
        <v>9.0800000000000006E-2</v>
      </c>
      <c r="M207" s="11">
        <v>6.2300000000000001E-2</v>
      </c>
      <c r="N207">
        <v>93.36</v>
      </c>
      <c r="O207">
        <v>0.91</v>
      </c>
      <c r="P207">
        <v>4</v>
      </c>
      <c r="Q207" t="s">
        <v>21</v>
      </c>
      <c r="R207">
        <v>31.64</v>
      </c>
      <c r="S207">
        <v>9.08</v>
      </c>
      <c r="T207" s="4">
        <v>24.382000000000001</v>
      </c>
      <c r="U207" s="4">
        <v>0.24333399999999999</v>
      </c>
      <c r="V207" t="str">
        <f>IF(Table1[[#This Row],[ai_disruption_intensity]]&gt;70,"High",
IF(Table1[[#This Row],[ai_disruption_intensity]]&gt;40,"Medium","Low"))</f>
        <v>Low</v>
      </c>
      <c r="W207" t="str">
        <f>IF(Table1[[#This Row],[skill_gap_index]]&gt;70,"Large Gap",
IF(Table1[[#This Row],[skill_gap_index]]&gt;40,"Medium Gap","Small Gap"))</f>
        <v>Small Gap</v>
      </c>
      <c r="X207" s="3" t="str">
        <f>IF(Table1[[#This Row],[automation_risk_percent]]&gt;0.7,"Highly Automatable",
IF(Table1[[#This Row],[automation_risk_percent]]&gt;0.4,"Moderate Risk","Safe Job"))</f>
        <v>Safe Job</v>
      </c>
    </row>
    <row r="208" spans="1:24" x14ac:dyDescent="0.3">
      <c r="A208">
        <v>768</v>
      </c>
      <c r="B208" t="s">
        <v>29</v>
      </c>
      <c r="C208" t="s">
        <v>40</v>
      </c>
      <c r="D208" t="s">
        <v>24</v>
      </c>
      <c r="E208" s="1">
        <v>2026</v>
      </c>
      <c r="F208" s="11">
        <v>0.92709999999999992</v>
      </c>
      <c r="G208">
        <v>84.13</v>
      </c>
      <c r="H208">
        <v>49.48</v>
      </c>
      <c r="I208" s="2">
        <v>40333.93</v>
      </c>
      <c r="J208" s="2">
        <v>40887.93</v>
      </c>
      <c r="K208" s="2">
        <f>Table1[[#This Row],[Salary_after]]-Table1[[#This Row],[Salary_before]]</f>
        <v>554</v>
      </c>
      <c r="L208" s="11">
        <v>1.37E-2</v>
      </c>
      <c r="M208" s="11">
        <v>0.34179999999999999</v>
      </c>
      <c r="N208">
        <v>23</v>
      </c>
      <c r="O208">
        <v>44.21</v>
      </c>
      <c r="P208">
        <v>4</v>
      </c>
      <c r="Q208" t="s">
        <v>37</v>
      </c>
      <c r="R208">
        <v>71.094999999999999</v>
      </c>
      <c r="S208">
        <v>1.37</v>
      </c>
      <c r="T208" s="4">
        <v>52.338999999999999</v>
      </c>
      <c r="U208" s="4">
        <v>40.987090999999999</v>
      </c>
      <c r="V208" t="str">
        <f>IF(Table1[[#This Row],[ai_disruption_intensity]]&gt;70,"High",
IF(Table1[[#This Row],[ai_disruption_intensity]]&gt;40,"Medium","Low"))</f>
        <v>Medium</v>
      </c>
      <c r="W208" t="str">
        <f>IF(Table1[[#This Row],[skill_gap_index]]&gt;70,"Large Gap",
IF(Table1[[#This Row],[skill_gap_index]]&gt;40,"Medium Gap","Small Gap"))</f>
        <v>Medium Gap</v>
      </c>
      <c r="X208" s="3" t="str">
        <f>IF(Table1[[#This Row],[automation_risk_percent]]&gt;0.7,"Highly Automatable",
IF(Table1[[#This Row],[automation_risk_percent]]&gt;0.4,"Moderate Risk","Safe Job"))</f>
        <v>Highly Automatable</v>
      </c>
    </row>
    <row r="209" spans="1:24" x14ac:dyDescent="0.3">
      <c r="A209">
        <v>774</v>
      </c>
      <c r="B209" t="s">
        <v>45</v>
      </c>
      <c r="C209" t="s">
        <v>38</v>
      </c>
      <c r="D209" t="s">
        <v>31</v>
      </c>
      <c r="E209" s="1">
        <v>2025</v>
      </c>
      <c r="F209" s="11">
        <v>0.4178</v>
      </c>
      <c r="G209">
        <v>38.46</v>
      </c>
      <c r="H209">
        <v>38.4</v>
      </c>
      <c r="I209" s="2">
        <v>132527.94</v>
      </c>
      <c r="J209" s="2">
        <v>121310.32</v>
      </c>
      <c r="K209" s="2">
        <f>Table1[[#This Row],[Salary_after]]-Table1[[#This Row],[Salary_before]]</f>
        <v>-11217.619999999995</v>
      </c>
      <c r="L209" s="11">
        <v>-8.4600000000000009E-2</v>
      </c>
      <c r="M209" s="11">
        <v>0.1426</v>
      </c>
      <c r="N209">
        <v>20.58</v>
      </c>
      <c r="O209">
        <v>25.2</v>
      </c>
      <c r="P209">
        <v>1</v>
      </c>
      <c r="Q209" t="s">
        <v>25</v>
      </c>
      <c r="R209">
        <v>40.090000000000003</v>
      </c>
      <c r="S209">
        <v>8.4600000000000009</v>
      </c>
      <c r="T209" s="4">
        <v>30.77</v>
      </c>
      <c r="U209" s="4">
        <v>10.528560000000001</v>
      </c>
      <c r="V209" t="str">
        <f>IF(Table1[[#This Row],[ai_disruption_intensity]]&gt;70,"High",
IF(Table1[[#This Row],[ai_disruption_intensity]]&gt;40,"Medium","Low"))</f>
        <v>Low</v>
      </c>
      <c r="W209" t="str">
        <f>IF(Table1[[#This Row],[skill_gap_index]]&gt;70,"Large Gap",
IF(Table1[[#This Row],[skill_gap_index]]&gt;40,"Medium Gap","Small Gap"))</f>
        <v>Small Gap</v>
      </c>
      <c r="X209" s="3" t="str">
        <f>IF(Table1[[#This Row],[automation_risk_percent]]&gt;0.7,"Highly Automatable",
IF(Table1[[#This Row],[automation_risk_percent]]&gt;0.4,"Moderate Risk","Safe Job"))</f>
        <v>Moderate Risk</v>
      </c>
    </row>
    <row r="210" spans="1:24" x14ac:dyDescent="0.3">
      <c r="A210">
        <v>778</v>
      </c>
      <c r="B210" t="s">
        <v>43</v>
      </c>
      <c r="C210" t="s">
        <v>33</v>
      </c>
      <c r="D210" t="s">
        <v>32</v>
      </c>
      <c r="E210" s="1">
        <v>2026</v>
      </c>
      <c r="F210" s="11">
        <v>0.43959999999999999</v>
      </c>
      <c r="G210">
        <v>44.67</v>
      </c>
      <c r="H210">
        <v>81.84</v>
      </c>
      <c r="I210" s="2">
        <v>50601.38</v>
      </c>
      <c r="J210" s="2">
        <v>53638.54</v>
      </c>
      <c r="K210" s="2">
        <f>Table1[[#This Row],[Salary_after]]-Table1[[#This Row],[Salary_before]]</f>
        <v>3037.1600000000035</v>
      </c>
      <c r="L210" s="11">
        <v>0.06</v>
      </c>
      <c r="M210" s="11">
        <v>0.14580000000000001</v>
      </c>
      <c r="N210">
        <v>60.03</v>
      </c>
      <c r="O210">
        <v>69.95</v>
      </c>
      <c r="P210">
        <v>5</v>
      </c>
      <c r="Q210" t="s">
        <v>25</v>
      </c>
      <c r="R210">
        <v>62.9</v>
      </c>
      <c r="S210">
        <v>6</v>
      </c>
      <c r="T210" s="4">
        <v>43.9359999999999</v>
      </c>
      <c r="U210" s="4">
        <v>30.750019999999999</v>
      </c>
      <c r="V210" t="str">
        <f>IF(Table1[[#This Row],[ai_disruption_intensity]]&gt;70,"High",
IF(Table1[[#This Row],[ai_disruption_intensity]]&gt;40,"Medium","Low"))</f>
        <v>Low</v>
      </c>
      <c r="W210" t="str">
        <f>IF(Table1[[#This Row],[skill_gap_index]]&gt;70,"Large Gap",
IF(Table1[[#This Row],[skill_gap_index]]&gt;40,"Medium Gap","Small Gap"))</f>
        <v>Large Gap</v>
      </c>
      <c r="X210" s="3" t="str">
        <f>IF(Table1[[#This Row],[automation_risk_percent]]&gt;0.7,"Highly Automatable",
IF(Table1[[#This Row],[automation_risk_percent]]&gt;0.4,"Moderate Risk","Safe Job"))</f>
        <v>Moderate Risk</v>
      </c>
    </row>
    <row r="211" spans="1:24" x14ac:dyDescent="0.3">
      <c r="A211">
        <v>779</v>
      </c>
      <c r="B211" t="s">
        <v>29</v>
      </c>
      <c r="C211" t="s">
        <v>34</v>
      </c>
      <c r="D211" t="s">
        <v>24</v>
      </c>
      <c r="E211" s="1">
        <v>2025</v>
      </c>
      <c r="F211" s="11">
        <v>0.53839999999999999</v>
      </c>
      <c r="G211">
        <v>46.05</v>
      </c>
      <c r="H211">
        <v>66.58</v>
      </c>
      <c r="I211" s="2">
        <v>92960.68</v>
      </c>
      <c r="J211" s="2">
        <v>79966.58</v>
      </c>
      <c r="K211" s="2">
        <f>Table1[[#This Row],[Salary_after]]-Table1[[#This Row],[Salary_before]]</f>
        <v>-12994.099999999991</v>
      </c>
      <c r="L211" s="11">
        <v>-0.13980000000000001</v>
      </c>
      <c r="M211" s="11">
        <v>0.17030000000000001</v>
      </c>
      <c r="N211">
        <v>91.62</v>
      </c>
      <c r="O211">
        <v>58.74</v>
      </c>
      <c r="P211">
        <v>2</v>
      </c>
      <c r="Q211" t="s">
        <v>25</v>
      </c>
      <c r="R211">
        <v>60.21</v>
      </c>
      <c r="S211">
        <v>13.98</v>
      </c>
      <c r="T211" s="4">
        <v>45.704000000000001</v>
      </c>
      <c r="U211" s="4">
        <v>31.625616000000001</v>
      </c>
      <c r="V211" t="str">
        <f>IF(Table1[[#This Row],[ai_disruption_intensity]]&gt;70,"High",
IF(Table1[[#This Row],[ai_disruption_intensity]]&gt;40,"Medium","Low"))</f>
        <v>Low</v>
      </c>
      <c r="W211" t="str">
        <f>IF(Table1[[#This Row],[skill_gap_index]]&gt;70,"Large Gap",
IF(Table1[[#This Row],[skill_gap_index]]&gt;40,"Medium Gap","Small Gap"))</f>
        <v>Medium Gap</v>
      </c>
      <c r="X211" s="3" t="str">
        <f>IF(Table1[[#This Row],[automation_risk_percent]]&gt;0.7,"Highly Automatable",
IF(Table1[[#This Row],[automation_risk_percent]]&gt;0.4,"Moderate Risk","Safe Job"))</f>
        <v>Moderate Risk</v>
      </c>
    </row>
    <row r="212" spans="1:24" x14ac:dyDescent="0.3">
      <c r="A212">
        <v>782</v>
      </c>
      <c r="B212" t="s">
        <v>29</v>
      </c>
      <c r="C212" t="s">
        <v>19</v>
      </c>
      <c r="D212" t="s">
        <v>35</v>
      </c>
      <c r="E212" s="1">
        <v>2025</v>
      </c>
      <c r="F212" s="11">
        <v>0.42579999999999996</v>
      </c>
      <c r="G212">
        <v>39.53</v>
      </c>
      <c r="H212">
        <v>13.5</v>
      </c>
      <c r="I212" s="2">
        <v>65541.210000000006</v>
      </c>
      <c r="J212" s="2">
        <v>54877.62</v>
      </c>
      <c r="K212" s="2">
        <f>Table1[[#This Row],[Salary_after]]-Table1[[#This Row],[Salary_before]]</f>
        <v>-10663.590000000004</v>
      </c>
      <c r="L212" s="11">
        <v>-0.16269999999999998</v>
      </c>
      <c r="M212" s="11">
        <v>0.25230000000000002</v>
      </c>
      <c r="N212">
        <v>41.2</v>
      </c>
      <c r="O212">
        <v>74.650000000000006</v>
      </c>
      <c r="P212">
        <v>3</v>
      </c>
      <c r="Q212" t="s">
        <v>25</v>
      </c>
      <c r="R212">
        <v>28.04</v>
      </c>
      <c r="S212">
        <v>16.27</v>
      </c>
      <c r="T212" s="4">
        <v>25.963000000000001</v>
      </c>
      <c r="U212" s="4">
        <v>31.785969999999999</v>
      </c>
      <c r="V212" t="str">
        <f>IF(Table1[[#This Row],[ai_disruption_intensity]]&gt;70,"High",
IF(Table1[[#This Row],[ai_disruption_intensity]]&gt;40,"Medium","Low"))</f>
        <v>Low</v>
      </c>
      <c r="W212" t="str">
        <f>IF(Table1[[#This Row],[skill_gap_index]]&gt;70,"Large Gap",
IF(Table1[[#This Row],[skill_gap_index]]&gt;40,"Medium Gap","Small Gap"))</f>
        <v>Small Gap</v>
      </c>
      <c r="X212" s="3" t="str">
        <f>IF(Table1[[#This Row],[automation_risk_percent]]&gt;0.7,"Highly Automatable",
IF(Table1[[#This Row],[automation_risk_percent]]&gt;0.4,"Moderate Risk","Safe Job"))</f>
        <v>Moderate Risk</v>
      </c>
    </row>
    <row r="213" spans="1:24" x14ac:dyDescent="0.3">
      <c r="A213">
        <v>784</v>
      </c>
      <c r="B213" t="s">
        <v>29</v>
      </c>
      <c r="C213" t="s">
        <v>40</v>
      </c>
      <c r="D213" t="s">
        <v>35</v>
      </c>
      <c r="E213" s="1">
        <v>2025</v>
      </c>
      <c r="F213" s="11">
        <v>0.3422</v>
      </c>
      <c r="G213">
        <v>39.130000000000003</v>
      </c>
      <c r="H213">
        <v>63.38</v>
      </c>
      <c r="I213" s="2">
        <v>60384.14</v>
      </c>
      <c r="J213" s="2">
        <v>68178.27</v>
      </c>
      <c r="K213" s="2">
        <f>Table1[[#This Row],[Salary_after]]-Table1[[#This Row],[Salary_before]]</f>
        <v>7794.1300000000047</v>
      </c>
      <c r="L213" s="11">
        <v>0.12909999999999999</v>
      </c>
      <c r="M213" s="11">
        <v>0.30879999999999996</v>
      </c>
      <c r="N213">
        <v>68.989999999999995</v>
      </c>
      <c r="O213">
        <v>23.32</v>
      </c>
      <c r="P213">
        <v>5</v>
      </c>
      <c r="Q213" t="s">
        <v>25</v>
      </c>
      <c r="R213">
        <v>48.8</v>
      </c>
      <c r="S213">
        <v>12.91</v>
      </c>
      <c r="T213" s="4">
        <v>36.574999999999903</v>
      </c>
      <c r="U213" s="4">
        <v>7.9801039999999999</v>
      </c>
      <c r="V213" t="str">
        <f>IF(Table1[[#This Row],[ai_disruption_intensity]]&gt;70,"High",
IF(Table1[[#This Row],[ai_disruption_intensity]]&gt;40,"Medium","Low"))</f>
        <v>Low</v>
      </c>
      <c r="W213" t="str">
        <f>IF(Table1[[#This Row],[skill_gap_index]]&gt;70,"Large Gap",
IF(Table1[[#This Row],[skill_gap_index]]&gt;40,"Medium Gap","Small Gap"))</f>
        <v>Medium Gap</v>
      </c>
      <c r="X213" s="3" t="str">
        <f>IF(Table1[[#This Row],[automation_risk_percent]]&gt;0.7,"Highly Automatable",
IF(Table1[[#This Row],[automation_risk_percent]]&gt;0.4,"Moderate Risk","Safe Job"))</f>
        <v>Safe Job</v>
      </c>
    </row>
    <row r="214" spans="1:24" x14ac:dyDescent="0.3">
      <c r="A214">
        <v>786</v>
      </c>
      <c r="B214" t="s">
        <v>39</v>
      </c>
      <c r="C214" t="s">
        <v>19</v>
      </c>
      <c r="D214" t="s">
        <v>35</v>
      </c>
      <c r="E214" s="1">
        <v>2025</v>
      </c>
      <c r="F214" s="11">
        <v>0.65310000000000001</v>
      </c>
      <c r="G214">
        <v>57.94</v>
      </c>
      <c r="H214">
        <v>67.7</v>
      </c>
      <c r="I214" s="2">
        <v>126385.45</v>
      </c>
      <c r="J214" s="2">
        <v>146844.57999999999</v>
      </c>
      <c r="K214" s="2">
        <f>Table1[[#This Row],[Salary_after]]-Table1[[#This Row],[Salary_before]]</f>
        <v>20459.12999999999</v>
      </c>
      <c r="L214" s="11">
        <v>0.16190000000000002</v>
      </c>
      <c r="M214" s="11">
        <v>9.1600000000000001E-2</v>
      </c>
      <c r="N214">
        <v>69.569999999999993</v>
      </c>
      <c r="O214">
        <v>35.549999999999997</v>
      </c>
      <c r="P214">
        <v>1</v>
      </c>
      <c r="Q214" t="s">
        <v>37</v>
      </c>
      <c r="R214">
        <v>66.504999999999995</v>
      </c>
      <c r="S214">
        <v>16.190000000000001</v>
      </c>
      <c r="T214" s="4">
        <v>51.290999999999997</v>
      </c>
      <c r="U214" s="4">
        <v>23.217704999999999</v>
      </c>
      <c r="V214" t="str">
        <f>IF(Table1[[#This Row],[ai_disruption_intensity]]&gt;70,"High",
IF(Table1[[#This Row],[ai_disruption_intensity]]&gt;40,"Medium","Low"))</f>
        <v>Low</v>
      </c>
      <c r="W214" t="str">
        <f>IF(Table1[[#This Row],[skill_gap_index]]&gt;70,"Large Gap",
IF(Table1[[#This Row],[skill_gap_index]]&gt;40,"Medium Gap","Small Gap"))</f>
        <v>Medium Gap</v>
      </c>
      <c r="X214" s="3" t="str">
        <f>IF(Table1[[#This Row],[automation_risk_percent]]&gt;0.7,"Highly Automatable",
IF(Table1[[#This Row],[automation_risk_percent]]&gt;0.4,"Moderate Risk","Safe Job"))</f>
        <v>Moderate Risk</v>
      </c>
    </row>
    <row r="215" spans="1:24" x14ac:dyDescent="0.3">
      <c r="A215">
        <v>789</v>
      </c>
      <c r="B215" t="s">
        <v>45</v>
      </c>
      <c r="C215" t="s">
        <v>34</v>
      </c>
      <c r="D215" t="s">
        <v>20</v>
      </c>
      <c r="E215" s="1">
        <v>2026</v>
      </c>
      <c r="F215" s="11">
        <v>0.69989999999999997</v>
      </c>
      <c r="G215">
        <v>67.62</v>
      </c>
      <c r="H215">
        <v>8.93</v>
      </c>
      <c r="I215" s="2">
        <v>82533.78</v>
      </c>
      <c r="J215" s="2">
        <v>76269.710000000006</v>
      </c>
      <c r="K215" s="2">
        <f>Table1[[#This Row],[Salary_after]]-Table1[[#This Row],[Salary_before]]</f>
        <v>-6264.0699999999924</v>
      </c>
      <c r="L215" s="11">
        <v>-7.5899999999999995E-2</v>
      </c>
      <c r="M215" s="11">
        <v>-4.7899999999999998E-2</v>
      </c>
      <c r="N215">
        <v>79.5</v>
      </c>
      <c r="O215">
        <v>7.55</v>
      </c>
      <c r="P215">
        <v>5</v>
      </c>
      <c r="Q215" t="s">
        <v>37</v>
      </c>
      <c r="R215">
        <v>39.459999999999901</v>
      </c>
      <c r="S215">
        <v>7.59</v>
      </c>
      <c r="T215" s="4">
        <v>32.951999999999998</v>
      </c>
      <c r="U215" s="4">
        <v>5.2842449999999896</v>
      </c>
      <c r="V215" t="str">
        <f>IF(Table1[[#This Row],[ai_disruption_intensity]]&gt;70,"High",
IF(Table1[[#This Row],[ai_disruption_intensity]]&gt;40,"Medium","Low"))</f>
        <v>Low</v>
      </c>
      <c r="W215" t="str">
        <f>IF(Table1[[#This Row],[skill_gap_index]]&gt;70,"Large Gap",
IF(Table1[[#This Row],[skill_gap_index]]&gt;40,"Medium Gap","Small Gap"))</f>
        <v>Small Gap</v>
      </c>
      <c r="X215" s="3" t="str">
        <f>IF(Table1[[#This Row],[automation_risk_percent]]&gt;0.7,"Highly Automatable",
IF(Table1[[#This Row],[automation_risk_percent]]&gt;0.4,"Moderate Risk","Safe Job"))</f>
        <v>Moderate Risk</v>
      </c>
    </row>
    <row r="216" spans="1:24" x14ac:dyDescent="0.3">
      <c r="A216">
        <v>790</v>
      </c>
      <c r="B216" t="s">
        <v>43</v>
      </c>
      <c r="C216" t="s">
        <v>23</v>
      </c>
      <c r="D216" t="s">
        <v>32</v>
      </c>
      <c r="E216" s="1">
        <v>2025</v>
      </c>
      <c r="F216" s="11">
        <v>0.67930000000000001</v>
      </c>
      <c r="G216">
        <v>65.97</v>
      </c>
      <c r="H216">
        <v>59.61</v>
      </c>
      <c r="I216" s="2">
        <v>40758.269999999997</v>
      </c>
      <c r="J216" s="2">
        <v>38081.72</v>
      </c>
      <c r="K216" s="2">
        <f>Table1[[#This Row],[Salary_after]]-Table1[[#This Row],[Salary_before]]</f>
        <v>-2676.5499999999956</v>
      </c>
      <c r="L216" s="11">
        <v>-6.5700000000000008E-2</v>
      </c>
      <c r="M216" s="11">
        <v>2.4E-2</v>
      </c>
      <c r="N216">
        <v>96.54</v>
      </c>
      <c r="O216">
        <v>80.73</v>
      </c>
      <c r="P216">
        <v>1</v>
      </c>
      <c r="Q216" t="s">
        <v>37</v>
      </c>
      <c r="R216">
        <v>63.77</v>
      </c>
      <c r="S216">
        <v>6.57</v>
      </c>
      <c r="T216" s="4">
        <v>47.026000000000003</v>
      </c>
      <c r="U216" s="4">
        <v>54.839888999999999</v>
      </c>
      <c r="V216" t="str">
        <f>IF(Table1[[#This Row],[ai_disruption_intensity]]&gt;70,"High",
IF(Table1[[#This Row],[ai_disruption_intensity]]&gt;40,"Medium","Low"))</f>
        <v>Medium</v>
      </c>
      <c r="W216" t="str">
        <f>IF(Table1[[#This Row],[skill_gap_index]]&gt;70,"Large Gap",
IF(Table1[[#This Row],[skill_gap_index]]&gt;40,"Medium Gap","Small Gap"))</f>
        <v>Medium Gap</v>
      </c>
      <c r="X216" s="3" t="str">
        <f>IF(Table1[[#This Row],[automation_risk_percent]]&gt;0.7,"Highly Automatable",
IF(Table1[[#This Row],[automation_risk_percent]]&gt;0.4,"Moderate Risk","Safe Job"))</f>
        <v>Moderate Risk</v>
      </c>
    </row>
    <row r="217" spans="1:24" x14ac:dyDescent="0.3">
      <c r="A217">
        <v>795</v>
      </c>
      <c r="B217" t="s">
        <v>44</v>
      </c>
      <c r="C217" t="s">
        <v>19</v>
      </c>
      <c r="D217" t="s">
        <v>28</v>
      </c>
      <c r="E217" s="1">
        <v>2026</v>
      </c>
      <c r="F217" s="11">
        <v>0.65500000000000003</v>
      </c>
      <c r="G217">
        <v>76.13</v>
      </c>
      <c r="H217">
        <v>97.51</v>
      </c>
      <c r="I217" s="2">
        <v>57874.76</v>
      </c>
      <c r="J217" s="2">
        <v>55865.43</v>
      </c>
      <c r="K217" s="2">
        <f>Table1[[#This Row],[Salary_after]]-Table1[[#This Row],[Salary_before]]</f>
        <v>-2009.3300000000017</v>
      </c>
      <c r="L217" s="11">
        <v>-3.4700000000000002E-2</v>
      </c>
      <c r="M217" s="11">
        <v>0.12710000000000002</v>
      </c>
      <c r="N217">
        <v>20.16</v>
      </c>
      <c r="O217">
        <v>87</v>
      </c>
      <c r="P217">
        <v>2</v>
      </c>
      <c r="Q217" t="s">
        <v>37</v>
      </c>
      <c r="R217">
        <v>81.504999999999995</v>
      </c>
      <c r="S217">
        <v>3.47</v>
      </c>
      <c r="T217" s="4">
        <v>56.494</v>
      </c>
      <c r="U217" s="4">
        <v>56.984999999999999</v>
      </c>
      <c r="V217" t="str">
        <f>IF(Table1[[#This Row],[ai_disruption_intensity]]&gt;70,"High",
IF(Table1[[#This Row],[ai_disruption_intensity]]&gt;40,"Medium","Low"))</f>
        <v>Medium</v>
      </c>
      <c r="W217" t="str">
        <f>IF(Table1[[#This Row],[skill_gap_index]]&gt;70,"Large Gap",
IF(Table1[[#This Row],[skill_gap_index]]&gt;40,"Medium Gap","Small Gap"))</f>
        <v>Large Gap</v>
      </c>
      <c r="X217" s="3" t="str">
        <f>IF(Table1[[#This Row],[automation_risk_percent]]&gt;0.7,"Highly Automatable",
IF(Table1[[#This Row],[automation_risk_percent]]&gt;0.4,"Moderate Risk","Safe Job"))</f>
        <v>Moderate Risk</v>
      </c>
    </row>
    <row r="218" spans="1:24" x14ac:dyDescent="0.3">
      <c r="A218">
        <v>798</v>
      </c>
      <c r="B218" t="s">
        <v>18</v>
      </c>
      <c r="C218" t="s">
        <v>19</v>
      </c>
      <c r="D218" t="s">
        <v>42</v>
      </c>
      <c r="E218" s="1">
        <v>2026</v>
      </c>
      <c r="F218" s="11">
        <v>0.69540000000000002</v>
      </c>
      <c r="G218">
        <v>70.95</v>
      </c>
      <c r="H218">
        <v>82.59</v>
      </c>
      <c r="I218" s="2">
        <v>66420.47</v>
      </c>
      <c r="J218" s="2">
        <v>55580.55</v>
      </c>
      <c r="K218" s="2">
        <f>Table1[[#This Row],[Salary_after]]-Table1[[#This Row],[Salary_before]]</f>
        <v>-10839.919999999998</v>
      </c>
      <c r="L218" s="11">
        <v>-0.16320000000000001</v>
      </c>
      <c r="M218" s="11">
        <v>-4.0500000000000001E-2</v>
      </c>
      <c r="N218">
        <v>52.06</v>
      </c>
      <c r="O218">
        <v>28.56</v>
      </c>
      <c r="P218">
        <v>1</v>
      </c>
      <c r="Q218" t="s">
        <v>37</v>
      </c>
      <c r="R218">
        <v>76.064999999999998</v>
      </c>
      <c r="S218">
        <v>16.32</v>
      </c>
      <c r="T218" s="4">
        <v>57.488999999999997</v>
      </c>
      <c r="U218" s="4">
        <v>19.860624000000001</v>
      </c>
      <c r="V218" t="str">
        <f>IF(Table1[[#This Row],[ai_disruption_intensity]]&gt;70,"High",
IF(Table1[[#This Row],[ai_disruption_intensity]]&gt;40,"Medium","Low"))</f>
        <v>Low</v>
      </c>
      <c r="W218" t="str">
        <f>IF(Table1[[#This Row],[skill_gap_index]]&gt;70,"Large Gap",
IF(Table1[[#This Row],[skill_gap_index]]&gt;40,"Medium Gap","Small Gap"))</f>
        <v>Large Gap</v>
      </c>
      <c r="X218" s="3" t="str">
        <f>IF(Table1[[#This Row],[automation_risk_percent]]&gt;0.7,"Highly Automatable",
IF(Table1[[#This Row],[automation_risk_percent]]&gt;0.4,"Moderate Risk","Safe Job"))</f>
        <v>Moderate Risk</v>
      </c>
    </row>
    <row r="219" spans="1:24" x14ac:dyDescent="0.3">
      <c r="A219">
        <v>809</v>
      </c>
      <c r="B219" t="s">
        <v>29</v>
      </c>
      <c r="C219" t="s">
        <v>33</v>
      </c>
      <c r="D219" t="s">
        <v>20</v>
      </c>
      <c r="E219" s="1">
        <v>2025</v>
      </c>
      <c r="F219" s="11">
        <v>0.90099999999999991</v>
      </c>
      <c r="G219">
        <v>85.9</v>
      </c>
      <c r="H219">
        <v>49.17</v>
      </c>
      <c r="I219" s="2">
        <v>137548.35</v>
      </c>
      <c r="J219" s="2">
        <v>126940.62</v>
      </c>
      <c r="K219" s="2">
        <f>Table1[[#This Row],[Salary_after]]-Table1[[#This Row],[Salary_before]]</f>
        <v>-10607.73000000001</v>
      </c>
      <c r="L219" s="11">
        <v>-7.7100000000000002E-2</v>
      </c>
      <c r="M219" s="11">
        <v>-0.12740000000000001</v>
      </c>
      <c r="N219">
        <v>30.67</v>
      </c>
      <c r="O219">
        <v>19.96</v>
      </c>
      <c r="P219">
        <v>2</v>
      </c>
      <c r="Q219" t="s">
        <v>37</v>
      </c>
      <c r="R219">
        <v>69.634999999999906</v>
      </c>
      <c r="S219">
        <v>7.71</v>
      </c>
      <c r="T219" s="4">
        <v>53.103999999999999</v>
      </c>
      <c r="U219" s="4">
        <v>17.98396</v>
      </c>
      <c r="V219" t="str">
        <f>IF(Table1[[#This Row],[ai_disruption_intensity]]&gt;70,"High",
IF(Table1[[#This Row],[ai_disruption_intensity]]&gt;40,"Medium","Low"))</f>
        <v>Low</v>
      </c>
      <c r="W219" t="str">
        <f>IF(Table1[[#This Row],[skill_gap_index]]&gt;70,"Large Gap",
IF(Table1[[#This Row],[skill_gap_index]]&gt;40,"Medium Gap","Small Gap"))</f>
        <v>Medium Gap</v>
      </c>
      <c r="X219" s="3" t="str">
        <f>IF(Table1[[#This Row],[automation_risk_percent]]&gt;0.7,"Highly Automatable",
IF(Table1[[#This Row],[automation_risk_percent]]&gt;0.4,"Moderate Risk","Safe Job"))</f>
        <v>Highly Automatable</v>
      </c>
    </row>
    <row r="220" spans="1:24" x14ac:dyDescent="0.3">
      <c r="A220">
        <v>812</v>
      </c>
      <c r="B220" t="s">
        <v>22</v>
      </c>
      <c r="C220" t="s">
        <v>19</v>
      </c>
      <c r="D220" t="s">
        <v>42</v>
      </c>
      <c r="E220" s="1">
        <v>2025</v>
      </c>
      <c r="F220" s="11">
        <v>0.53069999999999995</v>
      </c>
      <c r="G220">
        <v>51.2</v>
      </c>
      <c r="H220">
        <v>93.44</v>
      </c>
      <c r="I220" s="2">
        <v>35815.71</v>
      </c>
      <c r="J220" s="2">
        <v>36961.69</v>
      </c>
      <c r="K220" s="2">
        <f>Table1[[#This Row],[Salary_after]]-Table1[[#This Row],[Salary_before]]</f>
        <v>1145.9800000000032</v>
      </c>
      <c r="L220" s="11">
        <v>3.2000000000000001E-2</v>
      </c>
      <c r="M220" s="11">
        <v>-9.0700000000000003E-2</v>
      </c>
      <c r="N220">
        <v>65.400000000000006</v>
      </c>
      <c r="O220">
        <v>3.96</v>
      </c>
      <c r="P220">
        <v>5</v>
      </c>
      <c r="Q220" t="s">
        <v>25</v>
      </c>
      <c r="R220">
        <v>73.254999999999995</v>
      </c>
      <c r="S220">
        <v>3.2</v>
      </c>
      <c r="T220" s="4">
        <v>50.22</v>
      </c>
      <c r="U220" s="4">
        <v>2.101572</v>
      </c>
      <c r="V220" t="str">
        <f>IF(Table1[[#This Row],[ai_disruption_intensity]]&gt;70,"High",
IF(Table1[[#This Row],[ai_disruption_intensity]]&gt;40,"Medium","Low"))</f>
        <v>Low</v>
      </c>
      <c r="W220" t="str">
        <f>IF(Table1[[#This Row],[skill_gap_index]]&gt;70,"Large Gap",
IF(Table1[[#This Row],[skill_gap_index]]&gt;40,"Medium Gap","Small Gap"))</f>
        <v>Large Gap</v>
      </c>
      <c r="X220" s="3" t="str">
        <f>IF(Table1[[#This Row],[automation_risk_percent]]&gt;0.7,"Highly Automatable",
IF(Table1[[#This Row],[automation_risk_percent]]&gt;0.4,"Moderate Risk","Safe Job"))</f>
        <v>Moderate Risk</v>
      </c>
    </row>
    <row r="221" spans="1:24" x14ac:dyDescent="0.3">
      <c r="A221">
        <v>813</v>
      </c>
      <c r="B221" t="s">
        <v>18</v>
      </c>
      <c r="C221" t="s">
        <v>23</v>
      </c>
      <c r="D221" t="s">
        <v>36</v>
      </c>
      <c r="E221" s="1">
        <v>2025</v>
      </c>
      <c r="F221" s="11">
        <v>0.3821</v>
      </c>
      <c r="G221">
        <v>40.49</v>
      </c>
      <c r="H221">
        <v>69.81</v>
      </c>
      <c r="I221" s="2">
        <v>106576.79</v>
      </c>
      <c r="J221" s="2">
        <v>99876.79</v>
      </c>
      <c r="K221" s="2">
        <f>Table1[[#This Row],[Salary_after]]-Table1[[#This Row],[Salary_before]]</f>
        <v>-6700</v>
      </c>
      <c r="L221" s="11">
        <v>-6.2899999999999998E-2</v>
      </c>
      <c r="M221" s="11">
        <v>2.2200000000000001E-2</v>
      </c>
      <c r="N221">
        <v>48.44</v>
      </c>
      <c r="O221">
        <v>12.88</v>
      </c>
      <c r="P221">
        <v>2</v>
      </c>
      <c r="Q221" t="s">
        <v>25</v>
      </c>
      <c r="R221">
        <v>54.01</v>
      </c>
      <c r="S221">
        <v>6.29</v>
      </c>
      <c r="T221" s="4">
        <v>38.113999999999997</v>
      </c>
      <c r="U221" s="4">
        <v>4.9214479999999998</v>
      </c>
      <c r="V221" t="str">
        <f>IF(Table1[[#This Row],[ai_disruption_intensity]]&gt;70,"High",
IF(Table1[[#This Row],[ai_disruption_intensity]]&gt;40,"Medium","Low"))</f>
        <v>Low</v>
      </c>
      <c r="W221" t="str">
        <f>IF(Table1[[#This Row],[skill_gap_index]]&gt;70,"Large Gap",
IF(Table1[[#This Row],[skill_gap_index]]&gt;40,"Medium Gap","Small Gap"))</f>
        <v>Medium Gap</v>
      </c>
      <c r="X221" s="3" t="str">
        <f>IF(Table1[[#This Row],[automation_risk_percent]]&gt;0.7,"Highly Automatable",
IF(Table1[[#This Row],[automation_risk_percent]]&gt;0.4,"Moderate Risk","Safe Job"))</f>
        <v>Safe Job</v>
      </c>
    </row>
    <row r="222" spans="1:24" x14ac:dyDescent="0.3">
      <c r="A222">
        <v>814</v>
      </c>
      <c r="B222" t="s">
        <v>39</v>
      </c>
      <c r="C222" t="s">
        <v>40</v>
      </c>
      <c r="D222" t="s">
        <v>47</v>
      </c>
      <c r="E222" s="1">
        <v>2026</v>
      </c>
      <c r="F222" s="11">
        <v>0.76329999999999998</v>
      </c>
      <c r="G222">
        <v>75.58</v>
      </c>
      <c r="H222">
        <v>31.73</v>
      </c>
      <c r="I222" s="2">
        <v>121956.49</v>
      </c>
      <c r="J222" s="2">
        <v>97963.68</v>
      </c>
      <c r="K222" s="2">
        <f>Table1[[#This Row],[Salary_after]]-Table1[[#This Row],[Salary_before]]</f>
        <v>-23992.810000000012</v>
      </c>
      <c r="L222" s="11">
        <v>-0.19670000000000001</v>
      </c>
      <c r="M222" s="11">
        <v>4.7899999999999998E-2</v>
      </c>
      <c r="N222">
        <v>83.08</v>
      </c>
      <c r="O222">
        <v>86.72</v>
      </c>
      <c r="P222">
        <v>2</v>
      </c>
      <c r="Q222" t="s">
        <v>37</v>
      </c>
      <c r="R222">
        <v>54.03</v>
      </c>
      <c r="S222">
        <v>19.670000000000002</v>
      </c>
      <c r="T222" s="4">
        <v>45.951999999999998</v>
      </c>
      <c r="U222" s="4">
        <v>66.193376000000001</v>
      </c>
      <c r="V222" t="str">
        <f>IF(Table1[[#This Row],[ai_disruption_intensity]]&gt;70,"High",
IF(Table1[[#This Row],[ai_disruption_intensity]]&gt;40,"Medium","Low"))</f>
        <v>Medium</v>
      </c>
      <c r="W222" t="str">
        <f>IF(Table1[[#This Row],[skill_gap_index]]&gt;70,"Large Gap",
IF(Table1[[#This Row],[skill_gap_index]]&gt;40,"Medium Gap","Small Gap"))</f>
        <v>Small Gap</v>
      </c>
      <c r="X222" s="3" t="str">
        <f>IF(Table1[[#This Row],[automation_risk_percent]]&gt;0.7,"Highly Automatable",
IF(Table1[[#This Row],[automation_risk_percent]]&gt;0.4,"Moderate Risk","Safe Job"))</f>
        <v>Highly Automatable</v>
      </c>
    </row>
    <row r="223" spans="1:24" x14ac:dyDescent="0.3">
      <c r="A223">
        <v>817</v>
      </c>
      <c r="B223" t="s">
        <v>44</v>
      </c>
      <c r="C223" t="s">
        <v>30</v>
      </c>
      <c r="D223" t="s">
        <v>47</v>
      </c>
      <c r="E223" s="1">
        <v>2025</v>
      </c>
      <c r="F223" s="11">
        <v>0.59179999999999999</v>
      </c>
      <c r="G223">
        <v>69.98</v>
      </c>
      <c r="H223">
        <v>53.13</v>
      </c>
      <c r="I223" s="2">
        <v>77966.350000000006</v>
      </c>
      <c r="J223" s="2">
        <v>79012.39</v>
      </c>
      <c r="K223" s="2">
        <f>Table1[[#This Row],[Salary_after]]-Table1[[#This Row],[Salary_before]]</f>
        <v>1046.0399999999936</v>
      </c>
      <c r="L223" s="11">
        <v>1.34E-2</v>
      </c>
      <c r="M223" s="11">
        <v>9.2799999999999994E-2</v>
      </c>
      <c r="N223">
        <v>36.83</v>
      </c>
      <c r="O223">
        <v>12.65</v>
      </c>
      <c r="P223">
        <v>1</v>
      </c>
      <c r="Q223" t="s">
        <v>25</v>
      </c>
      <c r="R223">
        <v>56.155000000000001</v>
      </c>
      <c r="S223">
        <v>1.34</v>
      </c>
      <c r="T223" s="4">
        <v>40.012999999999998</v>
      </c>
      <c r="U223" s="4">
        <v>7.4862700000000002</v>
      </c>
      <c r="V223" t="str">
        <f>IF(Table1[[#This Row],[ai_disruption_intensity]]&gt;70,"High",
IF(Table1[[#This Row],[ai_disruption_intensity]]&gt;40,"Medium","Low"))</f>
        <v>Low</v>
      </c>
      <c r="W223" t="str">
        <f>IF(Table1[[#This Row],[skill_gap_index]]&gt;70,"Large Gap",
IF(Table1[[#This Row],[skill_gap_index]]&gt;40,"Medium Gap","Small Gap"))</f>
        <v>Medium Gap</v>
      </c>
      <c r="X223" s="3" t="str">
        <f>IF(Table1[[#This Row],[automation_risk_percent]]&gt;0.7,"Highly Automatable",
IF(Table1[[#This Row],[automation_risk_percent]]&gt;0.4,"Moderate Risk","Safe Job"))</f>
        <v>Moderate Risk</v>
      </c>
    </row>
    <row r="224" spans="1:24" x14ac:dyDescent="0.3">
      <c r="A224">
        <v>819</v>
      </c>
      <c r="B224" t="s">
        <v>18</v>
      </c>
      <c r="C224" t="s">
        <v>33</v>
      </c>
      <c r="D224" t="s">
        <v>31</v>
      </c>
      <c r="E224" s="1">
        <v>2025</v>
      </c>
      <c r="F224" s="11">
        <v>0.48259999999999997</v>
      </c>
      <c r="G224">
        <v>47.03</v>
      </c>
      <c r="H224">
        <v>74.87</v>
      </c>
      <c r="I224" s="2">
        <v>129350.99</v>
      </c>
      <c r="J224" s="2">
        <v>131490.51</v>
      </c>
      <c r="K224" s="2">
        <f>Table1[[#This Row],[Salary_after]]-Table1[[#This Row],[Salary_before]]</f>
        <v>2139.5200000000041</v>
      </c>
      <c r="L224" s="11">
        <v>1.6500000000000001E-2</v>
      </c>
      <c r="M224" s="11">
        <v>-8.8200000000000001E-2</v>
      </c>
      <c r="N224">
        <v>94.13</v>
      </c>
      <c r="O224">
        <v>83.5</v>
      </c>
      <c r="P224">
        <v>1</v>
      </c>
      <c r="Q224" t="s">
        <v>25</v>
      </c>
      <c r="R224">
        <v>61.564999999999998</v>
      </c>
      <c r="S224">
        <v>1.65</v>
      </c>
      <c r="T224" s="4">
        <v>42.26</v>
      </c>
      <c r="U224" s="4">
        <v>40.2971</v>
      </c>
      <c r="V224" t="str">
        <f>IF(Table1[[#This Row],[ai_disruption_intensity]]&gt;70,"High",
IF(Table1[[#This Row],[ai_disruption_intensity]]&gt;40,"Medium","Low"))</f>
        <v>Medium</v>
      </c>
      <c r="W224" t="str">
        <f>IF(Table1[[#This Row],[skill_gap_index]]&gt;70,"Large Gap",
IF(Table1[[#This Row],[skill_gap_index]]&gt;40,"Medium Gap","Small Gap"))</f>
        <v>Large Gap</v>
      </c>
      <c r="X224" s="3" t="str">
        <f>IF(Table1[[#This Row],[automation_risk_percent]]&gt;0.7,"Highly Automatable",
IF(Table1[[#This Row],[automation_risk_percent]]&gt;0.4,"Moderate Risk","Safe Job"))</f>
        <v>Moderate Risk</v>
      </c>
    </row>
    <row r="225" spans="1:24" x14ac:dyDescent="0.3">
      <c r="A225">
        <v>821</v>
      </c>
      <c r="B225" t="s">
        <v>26</v>
      </c>
      <c r="C225" t="s">
        <v>19</v>
      </c>
      <c r="D225" t="s">
        <v>42</v>
      </c>
      <c r="E225" s="1">
        <v>2025</v>
      </c>
      <c r="F225" s="11">
        <v>0.46689999999999998</v>
      </c>
      <c r="G225">
        <v>54.38</v>
      </c>
      <c r="H225">
        <v>34.56</v>
      </c>
      <c r="I225" s="2">
        <v>104580.88</v>
      </c>
      <c r="J225" s="2">
        <v>109857.84</v>
      </c>
      <c r="K225" s="2">
        <f>Table1[[#This Row],[Salary_after]]-Table1[[#This Row],[Salary_before]]</f>
        <v>5276.9599999999919</v>
      </c>
      <c r="L225" s="11">
        <v>5.0499999999999996E-2</v>
      </c>
      <c r="M225" s="11">
        <v>0.11269999999999999</v>
      </c>
      <c r="N225">
        <v>41.56</v>
      </c>
      <c r="O225">
        <v>37.68</v>
      </c>
      <c r="P225">
        <v>2</v>
      </c>
      <c r="Q225" t="s">
        <v>25</v>
      </c>
      <c r="R225">
        <v>40.625</v>
      </c>
      <c r="S225">
        <v>5.05</v>
      </c>
      <c r="T225" s="4">
        <v>30.558999999999902</v>
      </c>
      <c r="U225" s="4">
        <v>17.592791999999999</v>
      </c>
      <c r="V225" t="str">
        <f>IF(Table1[[#This Row],[ai_disruption_intensity]]&gt;70,"High",
IF(Table1[[#This Row],[ai_disruption_intensity]]&gt;40,"Medium","Low"))</f>
        <v>Low</v>
      </c>
      <c r="W225" t="str">
        <f>IF(Table1[[#This Row],[skill_gap_index]]&gt;70,"Large Gap",
IF(Table1[[#This Row],[skill_gap_index]]&gt;40,"Medium Gap","Small Gap"))</f>
        <v>Small Gap</v>
      </c>
      <c r="X225" s="3" t="str">
        <f>IF(Table1[[#This Row],[automation_risk_percent]]&gt;0.7,"Highly Automatable",
IF(Table1[[#This Row],[automation_risk_percent]]&gt;0.4,"Moderate Risk","Safe Job"))</f>
        <v>Moderate Risk</v>
      </c>
    </row>
    <row r="226" spans="1:24" x14ac:dyDescent="0.3">
      <c r="A226">
        <v>825</v>
      </c>
      <c r="B226" t="s">
        <v>41</v>
      </c>
      <c r="C226" t="s">
        <v>34</v>
      </c>
      <c r="D226" t="s">
        <v>24</v>
      </c>
      <c r="E226" s="1">
        <v>2026</v>
      </c>
      <c r="F226" s="11">
        <v>0.66</v>
      </c>
      <c r="G226">
        <v>68.3</v>
      </c>
      <c r="H226">
        <v>44.57</v>
      </c>
      <c r="I226" s="2">
        <v>130334.23</v>
      </c>
      <c r="J226" s="2">
        <v>125573.89</v>
      </c>
      <c r="K226" s="2">
        <f>Table1[[#This Row],[Salary_after]]-Table1[[#This Row],[Salary_before]]</f>
        <v>-4760.3399999999965</v>
      </c>
      <c r="L226" s="11">
        <v>-3.6499999999999998E-2</v>
      </c>
      <c r="M226" s="11">
        <v>-0.11710000000000001</v>
      </c>
      <c r="N226">
        <v>58.39</v>
      </c>
      <c r="O226">
        <v>66.36</v>
      </c>
      <c r="P226">
        <v>3</v>
      </c>
      <c r="Q226" t="s">
        <v>37</v>
      </c>
      <c r="R226">
        <v>55.284999999999997</v>
      </c>
      <c r="S226">
        <v>3.65</v>
      </c>
      <c r="T226" s="4">
        <v>40.866</v>
      </c>
      <c r="U226" s="4">
        <v>43.797600000000003</v>
      </c>
      <c r="V226" t="str">
        <f>IF(Table1[[#This Row],[ai_disruption_intensity]]&gt;70,"High",
IF(Table1[[#This Row],[ai_disruption_intensity]]&gt;40,"Medium","Low"))</f>
        <v>Medium</v>
      </c>
      <c r="W226" t="str">
        <f>IF(Table1[[#This Row],[skill_gap_index]]&gt;70,"Large Gap",
IF(Table1[[#This Row],[skill_gap_index]]&gt;40,"Medium Gap","Small Gap"))</f>
        <v>Medium Gap</v>
      </c>
      <c r="X226" s="3" t="str">
        <f>IF(Table1[[#This Row],[automation_risk_percent]]&gt;0.7,"Highly Automatable",
IF(Table1[[#This Row],[automation_risk_percent]]&gt;0.4,"Moderate Risk","Safe Job"))</f>
        <v>Moderate Risk</v>
      </c>
    </row>
    <row r="227" spans="1:24" x14ac:dyDescent="0.3">
      <c r="A227">
        <v>826</v>
      </c>
      <c r="B227" t="s">
        <v>45</v>
      </c>
      <c r="C227" t="s">
        <v>34</v>
      </c>
      <c r="D227" t="s">
        <v>47</v>
      </c>
      <c r="E227" s="1">
        <v>2025</v>
      </c>
      <c r="F227" s="11">
        <v>0.64879999999999993</v>
      </c>
      <c r="G227">
        <v>62.15</v>
      </c>
      <c r="H227">
        <v>64.599999999999994</v>
      </c>
      <c r="I227" s="2">
        <v>48073.31</v>
      </c>
      <c r="J227" s="2">
        <v>47243.43</v>
      </c>
      <c r="K227" s="2">
        <f>Table1[[#This Row],[Salary_after]]-Table1[[#This Row],[Salary_before]]</f>
        <v>-829.87999999999738</v>
      </c>
      <c r="L227" s="11">
        <v>-1.7299999999999999E-2</v>
      </c>
      <c r="M227" s="11">
        <v>0.1139</v>
      </c>
      <c r="N227">
        <v>75.66</v>
      </c>
      <c r="O227">
        <v>2.0299999999999998</v>
      </c>
      <c r="P227">
        <v>4</v>
      </c>
      <c r="Q227" t="s">
        <v>37</v>
      </c>
      <c r="R227">
        <v>64.739999999999995</v>
      </c>
      <c r="S227">
        <v>1.73</v>
      </c>
      <c r="T227" s="4">
        <v>45.8509999999999</v>
      </c>
      <c r="U227" s="4">
        <v>1.31706399999999</v>
      </c>
      <c r="V227" t="str">
        <f>IF(Table1[[#This Row],[ai_disruption_intensity]]&gt;70,"High",
IF(Table1[[#This Row],[ai_disruption_intensity]]&gt;40,"Medium","Low"))</f>
        <v>Low</v>
      </c>
      <c r="W227" t="str">
        <f>IF(Table1[[#This Row],[skill_gap_index]]&gt;70,"Large Gap",
IF(Table1[[#This Row],[skill_gap_index]]&gt;40,"Medium Gap","Small Gap"))</f>
        <v>Medium Gap</v>
      </c>
      <c r="X227" s="3" t="str">
        <f>IF(Table1[[#This Row],[automation_risk_percent]]&gt;0.7,"Highly Automatable",
IF(Table1[[#This Row],[automation_risk_percent]]&gt;0.4,"Moderate Risk","Safe Job"))</f>
        <v>Moderate Risk</v>
      </c>
    </row>
    <row r="228" spans="1:24" x14ac:dyDescent="0.3">
      <c r="A228">
        <v>829</v>
      </c>
      <c r="B228" t="s">
        <v>46</v>
      </c>
      <c r="C228" t="s">
        <v>30</v>
      </c>
      <c r="D228" t="s">
        <v>31</v>
      </c>
      <c r="E228" s="1">
        <v>2026</v>
      </c>
      <c r="F228" s="11">
        <v>9.1700000000000004E-2</v>
      </c>
      <c r="G228">
        <v>9.5399999999999991</v>
      </c>
      <c r="H228">
        <v>3.43</v>
      </c>
      <c r="I228" s="2">
        <v>89707.93</v>
      </c>
      <c r="J228" s="2">
        <v>86621.4</v>
      </c>
      <c r="K228" s="2">
        <f>Table1[[#This Row],[Salary_after]]-Table1[[#This Row],[Salary_before]]</f>
        <v>-3086.5299999999988</v>
      </c>
      <c r="L228" s="11">
        <v>-3.44E-2</v>
      </c>
      <c r="M228" s="11">
        <v>1.2500000000000001E-2</v>
      </c>
      <c r="N228">
        <v>42.85</v>
      </c>
      <c r="O228">
        <v>43.24</v>
      </c>
      <c r="P228">
        <v>5</v>
      </c>
      <c r="Q228" t="s">
        <v>21</v>
      </c>
      <c r="R228">
        <v>6.3</v>
      </c>
      <c r="S228">
        <v>3.44</v>
      </c>
      <c r="T228" s="4">
        <v>5.7290000000000001</v>
      </c>
      <c r="U228" s="4">
        <v>3.9651079999999999</v>
      </c>
      <c r="V228" t="str">
        <f>IF(Table1[[#This Row],[ai_disruption_intensity]]&gt;70,"High",
IF(Table1[[#This Row],[ai_disruption_intensity]]&gt;40,"Medium","Low"))</f>
        <v>Low</v>
      </c>
      <c r="W228" t="str">
        <f>IF(Table1[[#This Row],[skill_gap_index]]&gt;70,"Large Gap",
IF(Table1[[#This Row],[skill_gap_index]]&gt;40,"Medium Gap","Small Gap"))</f>
        <v>Small Gap</v>
      </c>
      <c r="X228" s="3" t="str">
        <f>IF(Table1[[#This Row],[automation_risk_percent]]&gt;0.7,"Highly Automatable",
IF(Table1[[#This Row],[automation_risk_percent]]&gt;0.4,"Moderate Risk","Safe Job"))</f>
        <v>Safe Job</v>
      </c>
    </row>
    <row r="229" spans="1:24" x14ac:dyDescent="0.3">
      <c r="A229">
        <v>830</v>
      </c>
      <c r="B229" t="s">
        <v>41</v>
      </c>
      <c r="C229" t="s">
        <v>27</v>
      </c>
      <c r="D229" t="s">
        <v>31</v>
      </c>
      <c r="E229" s="1">
        <v>2026</v>
      </c>
      <c r="F229" s="11">
        <v>0.68620000000000003</v>
      </c>
      <c r="G229">
        <v>56.94</v>
      </c>
      <c r="H229">
        <v>50.37</v>
      </c>
      <c r="I229" s="2">
        <v>51915.02</v>
      </c>
      <c r="J229" s="2">
        <v>61780.26</v>
      </c>
      <c r="K229" s="2">
        <f>Table1[[#This Row],[Salary_after]]-Table1[[#This Row],[Salary_before]]</f>
        <v>9865.2400000000052</v>
      </c>
      <c r="L229" s="11">
        <v>0.19</v>
      </c>
      <c r="M229" s="11">
        <v>0.15229999999999999</v>
      </c>
      <c r="N229">
        <v>60.1</v>
      </c>
      <c r="O229">
        <v>73.83</v>
      </c>
      <c r="P229">
        <v>5</v>
      </c>
      <c r="Q229" t="s">
        <v>37</v>
      </c>
      <c r="R229">
        <v>59.494999999999997</v>
      </c>
      <c r="S229">
        <v>19</v>
      </c>
      <c r="T229" s="4">
        <v>48.259</v>
      </c>
      <c r="U229" s="4">
        <v>50.662146</v>
      </c>
      <c r="V229" t="str">
        <f>IF(Table1[[#This Row],[ai_disruption_intensity]]&gt;70,"High",
IF(Table1[[#This Row],[ai_disruption_intensity]]&gt;40,"Medium","Low"))</f>
        <v>Medium</v>
      </c>
      <c r="W229" t="str">
        <f>IF(Table1[[#This Row],[skill_gap_index]]&gt;70,"Large Gap",
IF(Table1[[#This Row],[skill_gap_index]]&gt;40,"Medium Gap","Small Gap"))</f>
        <v>Medium Gap</v>
      </c>
      <c r="X229" s="3" t="str">
        <f>IF(Table1[[#This Row],[automation_risk_percent]]&gt;0.7,"Highly Automatable",
IF(Table1[[#This Row],[automation_risk_percent]]&gt;0.4,"Moderate Risk","Safe Job"))</f>
        <v>Moderate Risk</v>
      </c>
    </row>
    <row r="230" spans="1:24" x14ac:dyDescent="0.3">
      <c r="A230">
        <v>831</v>
      </c>
      <c r="B230" t="s">
        <v>26</v>
      </c>
      <c r="C230" t="s">
        <v>30</v>
      </c>
      <c r="D230" t="s">
        <v>35</v>
      </c>
      <c r="E230" s="1">
        <v>2025</v>
      </c>
      <c r="F230" s="11">
        <v>0.2349</v>
      </c>
      <c r="G230">
        <v>25.98</v>
      </c>
      <c r="H230">
        <v>43.28</v>
      </c>
      <c r="I230" s="2">
        <v>88102.14</v>
      </c>
      <c r="J230" s="2">
        <v>98552.34</v>
      </c>
      <c r="K230" s="2">
        <f>Table1[[#This Row],[Salary_after]]-Table1[[#This Row],[Salary_before]]</f>
        <v>10450.199999999997</v>
      </c>
      <c r="L230" s="11">
        <v>0.1186</v>
      </c>
      <c r="M230" s="11">
        <v>0.20399999999999999</v>
      </c>
      <c r="N230">
        <v>37.89</v>
      </c>
      <c r="O230">
        <v>8.58</v>
      </c>
      <c r="P230">
        <v>2</v>
      </c>
      <c r="Q230" t="s">
        <v>21</v>
      </c>
      <c r="R230">
        <v>33.384999999999998</v>
      </c>
      <c r="S230">
        <v>11.86</v>
      </c>
      <c r="T230" s="4">
        <v>25.937999999999999</v>
      </c>
      <c r="U230" s="4">
        <v>2.01544199999999</v>
      </c>
      <c r="V230" t="str">
        <f>IF(Table1[[#This Row],[ai_disruption_intensity]]&gt;70,"High",
IF(Table1[[#This Row],[ai_disruption_intensity]]&gt;40,"Medium","Low"))</f>
        <v>Low</v>
      </c>
      <c r="W230" t="str">
        <f>IF(Table1[[#This Row],[skill_gap_index]]&gt;70,"Large Gap",
IF(Table1[[#This Row],[skill_gap_index]]&gt;40,"Medium Gap","Small Gap"))</f>
        <v>Medium Gap</v>
      </c>
      <c r="X230" s="3" t="str">
        <f>IF(Table1[[#This Row],[automation_risk_percent]]&gt;0.7,"Highly Automatable",
IF(Table1[[#This Row],[automation_risk_percent]]&gt;0.4,"Moderate Risk","Safe Job"))</f>
        <v>Safe Job</v>
      </c>
    </row>
    <row r="231" spans="1:24" x14ac:dyDescent="0.3">
      <c r="A231">
        <v>833</v>
      </c>
      <c r="B231" t="s">
        <v>26</v>
      </c>
      <c r="C231" t="s">
        <v>27</v>
      </c>
      <c r="D231" t="s">
        <v>20</v>
      </c>
      <c r="E231" s="1">
        <v>2026</v>
      </c>
      <c r="F231" s="11">
        <v>0.1656</v>
      </c>
      <c r="G231">
        <v>19.149999999999999</v>
      </c>
      <c r="H231">
        <v>0.92</v>
      </c>
      <c r="I231" s="2">
        <v>54167.89</v>
      </c>
      <c r="J231" s="2">
        <v>54782.13</v>
      </c>
      <c r="K231" s="2">
        <f>Table1[[#This Row],[Salary_after]]-Table1[[#This Row],[Salary_before]]</f>
        <v>614.23999999999796</v>
      </c>
      <c r="L231" s="11">
        <v>1.1299999999999999E-2</v>
      </c>
      <c r="M231" s="11">
        <v>9.5899999999999999E-2</v>
      </c>
      <c r="N231">
        <v>33.549999999999997</v>
      </c>
      <c r="O231">
        <v>6.7</v>
      </c>
      <c r="P231">
        <v>3</v>
      </c>
      <c r="Q231" t="s">
        <v>21</v>
      </c>
      <c r="R231">
        <v>8.74</v>
      </c>
      <c r="S231">
        <v>1.1299999999999999</v>
      </c>
      <c r="T231" s="4">
        <v>7.2389999999999901</v>
      </c>
      <c r="U231" s="4">
        <v>1.1095200000000001</v>
      </c>
      <c r="V231" t="str">
        <f>IF(Table1[[#This Row],[ai_disruption_intensity]]&gt;70,"High",
IF(Table1[[#This Row],[ai_disruption_intensity]]&gt;40,"Medium","Low"))</f>
        <v>Low</v>
      </c>
      <c r="W231" t="str">
        <f>IF(Table1[[#This Row],[skill_gap_index]]&gt;70,"Large Gap",
IF(Table1[[#This Row],[skill_gap_index]]&gt;40,"Medium Gap","Small Gap"))</f>
        <v>Small Gap</v>
      </c>
      <c r="X231" s="3" t="str">
        <f>IF(Table1[[#This Row],[automation_risk_percent]]&gt;0.7,"Highly Automatable",
IF(Table1[[#This Row],[automation_risk_percent]]&gt;0.4,"Moderate Risk","Safe Job"))</f>
        <v>Safe Job</v>
      </c>
    </row>
    <row r="232" spans="1:24" x14ac:dyDescent="0.3">
      <c r="A232">
        <v>834</v>
      </c>
      <c r="B232" t="s">
        <v>39</v>
      </c>
      <c r="C232" t="s">
        <v>23</v>
      </c>
      <c r="D232" t="s">
        <v>36</v>
      </c>
      <c r="E232" s="1">
        <v>2025</v>
      </c>
      <c r="F232" s="11">
        <v>0.1197</v>
      </c>
      <c r="G232">
        <v>10.75</v>
      </c>
      <c r="H232">
        <v>88.15</v>
      </c>
      <c r="I232" s="2">
        <v>79909.64</v>
      </c>
      <c r="J232" s="2">
        <v>83255.929999999993</v>
      </c>
      <c r="K232" s="2">
        <f>Table1[[#This Row],[Salary_after]]-Table1[[#This Row],[Salary_before]]</f>
        <v>3346.2899999999936</v>
      </c>
      <c r="L232" s="11">
        <v>4.1900000000000007E-2</v>
      </c>
      <c r="M232" s="11">
        <v>7.2099999999999997E-2</v>
      </c>
      <c r="N232">
        <v>46.72</v>
      </c>
      <c r="O232">
        <v>19.13</v>
      </c>
      <c r="P232">
        <v>1</v>
      </c>
      <c r="Q232" t="s">
        <v>21</v>
      </c>
      <c r="R232">
        <v>50.06</v>
      </c>
      <c r="S232">
        <v>4.1900000000000004</v>
      </c>
      <c r="T232" s="4">
        <v>32.49</v>
      </c>
      <c r="U232" s="4">
        <v>2.2898610000000001</v>
      </c>
      <c r="V232" t="str">
        <f>IF(Table1[[#This Row],[ai_disruption_intensity]]&gt;70,"High",
IF(Table1[[#This Row],[ai_disruption_intensity]]&gt;40,"Medium","Low"))</f>
        <v>Low</v>
      </c>
      <c r="W232" t="str">
        <f>IF(Table1[[#This Row],[skill_gap_index]]&gt;70,"Large Gap",
IF(Table1[[#This Row],[skill_gap_index]]&gt;40,"Medium Gap","Small Gap"))</f>
        <v>Large Gap</v>
      </c>
      <c r="X232" s="3" t="str">
        <f>IF(Table1[[#This Row],[automation_risk_percent]]&gt;0.7,"Highly Automatable",
IF(Table1[[#This Row],[automation_risk_percent]]&gt;0.4,"Moderate Risk","Safe Job"))</f>
        <v>Safe Job</v>
      </c>
    </row>
    <row r="233" spans="1:24" x14ac:dyDescent="0.3">
      <c r="A233">
        <v>835</v>
      </c>
      <c r="B233" t="s">
        <v>26</v>
      </c>
      <c r="C233" t="s">
        <v>33</v>
      </c>
      <c r="D233" t="s">
        <v>20</v>
      </c>
      <c r="E233" s="1">
        <v>2026</v>
      </c>
      <c r="F233" s="11">
        <v>0.36200000000000004</v>
      </c>
      <c r="G233">
        <v>42.11</v>
      </c>
      <c r="H233">
        <v>80.44</v>
      </c>
      <c r="I233" s="2">
        <v>37899.58</v>
      </c>
      <c r="J233" s="2">
        <v>40399.18</v>
      </c>
      <c r="K233" s="2">
        <f>Table1[[#This Row],[Salary_after]]-Table1[[#This Row],[Salary_before]]</f>
        <v>2499.5999999999985</v>
      </c>
      <c r="L233" s="11">
        <v>6.6000000000000003E-2</v>
      </c>
      <c r="M233" s="11">
        <v>0.22670000000000001</v>
      </c>
      <c r="N233">
        <v>91.67</v>
      </c>
      <c r="O233">
        <v>12.25</v>
      </c>
      <c r="P233">
        <v>2</v>
      </c>
      <c r="Q233" t="s">
        <v>25</v>
      </c>
      <c r="R233">
        <v>58.32</v>
      </c>
      <c r="S233">
        <v>6.6</v>
      </c>
      <c r="T233" s="4">
        <v>40.591999999999999</v>
      </c>
      <c r="U233" s="4">
        <v>4.4344999999999999</v>
      </c>
      <c r="V233" t="str">
        <f>IF(Table1[[#This Row],[ai_disruption_intensity]]&gt;70,"High",
IF(Table1[[#This Row],[ai_disruption_intensity]]&gt;40,"Medium","Low"))</f>
        <v>Low</v>
      </c>
      <c r="W233" t="str">
        <f>IF(Table1[[#This Row],[skill_gap_index]]&gt;70,"Large Gap",
IF(Table1[[#This Row],[skill_gap_index]]&gt;40,"Medium Gap","Small Gap"))</f>
        <v>Large Gap</v>
      </c>
      <c r="X233" s="3" t="str">
        <f>IF(Table1[[#This Row],[automation_risk_percent]]&gt;0.7,"Highly Automatable",
IF(Table1[[#This Row],[automation_risk_percent]]&gt;0.4,"Moderate Risk","Safe Job"))</f>
        <v>Safe Job</v>
      </c>
    </row>
    <row r="234" spans="1:24" x14ac:dyDescent="0.3">
      <c r="A234">
        <v>837</v>
      </c>
      <c r="B234" t="s">
        <v>22</v>
      </c>
      <c r="C234" t="s">
        <v>30</v>
      </c>
      <c r="D234" t="s">
        <v>47</v>
      </c>
      <c r="E234" s="1">
        <v>2026</v>
      </c>
      <c r="F234" s="11">
        <v>0.2979</v>
      </c>
      <c r="G234">
        <v>29.32</v>
      </c>
      <c r="H234">
        <v>67.13</v>
      </c>
      <c r="I234" s="2">
        <v>49462</v>
      </c>
      <c r="J234" s="2">
        <v>57949.23</v>
      </c>
      <c r="K234" s="2">
        <f>Table1[[#This Row],[Salary_after]]-Table1[[#This Row],[Salary_before]]</f>
        <v>8487.2300000000032</v>
      </c>
      <c r="L234" s="11">
        <v>0.1716</v>
      </c>
      <c r="M234" s="11">
        <v>4.0199999999999993E-2</v>
      </c>
      <c r="N234">
        <v>88.02</v>
      </c>
      <c r="O234">
        <v>62.63</v>
      </c>
      <c r="P234">
        <v>3</v>
      </c>
      <c r="Q234" t="s">
        <v>21</v>
      </c>
      <c r="R234">
        <v>48.459999999999901</v>
      </c>
      <c r="S234">
        <v>17.16</v>
      </c>
      <c r="T234" s="4">
        <v>37.203000000000003</v>
      </c>
      <c r="U234" s="4">
        <v>18.657477</v>
      </c>
      <c r="V234" t="str">
        <f>IF(Table1[[#This Row],[ai_disruption_intensity]]&gt;70,"High",
IF(Table1[[#This Row],[ai_disruption_intensity]]&gt;40,"Medium","Low"))</f>
        <v>Low</v>
      </c>
      <c r="W234" t="str">
        <f>IF(Table1[[#This Row],[skill_gap_index]]&gt;70,"Large Gap",
IF(Table1[[#This Row],[skill_gap_index]]&gt;40,"Medium Gap","Small Gap"))</f>
        <v>Medium Gap</v>
      </c>
      <c r="X234" s="3" t="str">
        <f>IF(Table1[[#This Row],[automation_risk_percent]]&gt;0.7,"Highly Automatable",
IF(Table1[[#This Row],[automation_risk_percent]]&gt;0.4,"Moderate Risk","Safe Job"))</f>
        <v>Safe Job</v>
      </c>
    </row>
    <row r="235" spans="1:24" x14ac:dyDescent="0.3">
      <c r="A235">
        <v>839</v>
      </c>
      <c r="B235" t="s">
        <v>22</v>
      </c>
      <c r="C235" t="s">
        <v>38</v>
      </c>
      <c r="D235" t="s">
        <v>42</v>
      </c>
      <c r="E235" s="1">
        <v>2026</v>
      </c>
      <c r="F235" s="11">
        <v>0.62770000000000004</v>
      </c>
      <c r="G235">
        <v>55.71</v>
      </c>
      <c r="H235">
        <v>44.3</v>
      </c>
      <c r="I235" s="2">
        <v>104137.58</v>
      </c>
      <c r="J235" s="2">
        <v>100599.42</v>
      </c>
      <c r="K235" s="2">
        <f>Table1[[#This Row],[Salary_after]]-Table1[[#This Row],[Salary_before]]</f>
        <v>-3538.1600000000035</v>
      </c>
      <c r="L235" s="11">
        <v>-3.4000000000000002E-2</v>
      </c>
      <c r="M235" s="11">
        <v>7.3200000000000001E-2</v>
      </c>
      <c r="N235">
        <v>96.61</v>
      </c>
      <c r="O235">
        <v>89.02</v>
      </c>
      <c r="P235">
        <v>4</v>
      </c>
      <c r="Q235" t="s">
        <v>37</v>
      </c>
      <c r="R235">
        <v>53.534999999999997</v>
      </c>
      <c r="S235">
        <v>3.4</v>
      </c>
      <c r="T235" s="4">
        <v>39.417999999999999</v>
      </c>
      <c r="U235" s="4">
        <v>55.877853999999999</v>
      </c>
      <c r="V235" t="str">
        <f>IF(Table1[[#This Row],[ai_disruption_intensity]]&gt;70,"High",
IF(Table1[[#This Row],[ai_disruption_intensity]]&gt;40,"Medium","Low"))</f>
        <v>Medium</v>
      </c>
      <c r="W235" t="str">
        <f>IF(Table1[[#This Row],[skill_gap_index]]&gt;70,"Large Gap",
IF(Table1[[#This Row],[skill_gap_index]]&gt;40,"Medium Gap","Small Gap"))</f>
        <v>Medium Gap</v>
      </c>
      <c r="X235" s="3" t="str">
        <f>IF(Table1[[#This Row],[automation_risk_percent]]&gt;0.7,"Highly Automatable",
IF(Table1[[#This Row],[automation_risk_percent]]&gt;0.4,"Moderate Risk","Safe Job"))</f>
        <v>Moderate Risk</v>
      </c>
    </row>
    <row r="236" spans="1:24" x14ac:dyDescent="0.3">
      <c r="A236">
        <v>840</v>
      </c>
      <c r="B236" t="s">
        <v>44</v>
      </c>
      <c r="C236" t="s">
        <v>30</v>
      </c>
      <c r="D236" t="s">
        <v>32</v>
      </c>
      <c r="E236" s="1">
        <v>2025</v>
      </c>
      <c r="F236" s="11">
        <v>0.28920000000000001</v>
      </c>
      <c r="G236">
        <v>32.659999999999997</v>
      </c>
      <c r="H236">
        <v>51.83</v>
      </c>
      <c r="I236" s="2">
        <v>85416.78</v>
      </c>
      <c r="J236" s="2">
        <v>91912.78</v>
      </c>
      <c r="K236" s="2">
        <f>Table1[[#This Row],[Salary_after]]-Table1[[#This Row],[Salary_before]]</f>
        <v>6496</v>
      </c>
      <c r="L236" s="11">
        <v>7.6100000000000001E-2</v>
      </c>
      <c r="M236" s="11">
        <v>-0.12429999999999999</v>
      </c>
      <c r="N236">
        <v>75.69</v>
      </c>
      <c r="O236">
        <v>41.09</v>
      </c>
      <c r="P236">
        <v>1</v>
      </c>
      <c r="Q236" t="s">
        <v>21</v>
      </c>
      <c r="R236">
        <v>40.375</v>
      </c>
      <c r="S236">
        <v>7.61</v>
      </c>
      <c r="T236" s="4">
        <v>29.4</v>
      </c>
      <c r="U236" s="4">
        <v>11.883228000000001</v>
      </c>
      <c r="V236" t="str">
        <f>IF(Table1[[#This Row],[ai_disruption_intensity]]&gt;70,"High",
IF(Table1[[#This Row],[ai_disruption_intensity]]&gt;40,"Medium","Low"))</f>
        <v>Low</v>
      </c>
      <c r="W236" t="str">
        <f>IF(Table1[[#This Row],[skill_gap_index]]&gt;70,"Large Gap",
IF(Table1[[#This Row],[skill_gap_index]]&gt;40,"Medium Gap","Small Gap"))</f>
        <v>Medium Gap</v>
      </c>
      <c r="X236" s="3" t="str">
        <f>IF(Table1[[#This Row],[automation_risk_percent]]&gt;0.7,"Highly Automatable",
IF(Table1[[#This Row],[automation_risk_percent]]&gt;0.4,"Moderate Risk","Safe Job"))</f>
        <v>Safe Job</v>
      </c>
    </row>
    <row r="237" spans="1:24" x14ac:dyDescent="0.3">
      <c r="A237">
        <v>845</v>
      </c>
      <c r="B237" t="s">
        <v>22</v>
      </c>
      <c r="C237" t="s">
        <v>23</v>
      </c>
      <c r="D237" t="s">
        <v>20</v>
      </c>
      <c r="E237" s="1">
        <v>2025</v>
      </c>
      <c r="F237" s="11">
        <v>0.66890000000000005</v>
      </c>
      <c r="G237">
        <v>68.010000000000005</v>
      </c>
      <c r="H237">
        <v>13.11</v>
      </c>
      <c r="I237" s="2">
        <v>121938.85</v>
      </c>
      <c r="J237" s="2">
        <v>110340.22</v>
      </c>
      <c r="K237" s="2">
        <f>Table1[[#This Row],[Salary_after]]-Table1[[#This Row],[Salary_before]]</f>
        <v>-11598.630000000005</v>
      </c>
      <c r="L237" s="11">
        <v>-9.5100000000000004E-2</v>
      </c>
      <c r="M237" s="11">
        <v>1.5800000000000002E-2</v>
      </c>
      <c r="N237">
        <v>56.66</v>
      </c>
      <c r="O237">
        <v>11.26</v>
      </c>
      <c r="P237">
        <v>5</v>
      </c>
      <c r="Q237" t="s">
        <v>37</v>
      </c>
      <c r="R237">
        <v>40</v>
      </c>
      <c r="S237">
        <v>9.51</v>
      </c>
      <c r="T237" s="4">
        <v>33.542000000000002</v>
      </c>
      <c r="U237" s="4">
        <v>7.5318139999999998</v>
      </c>
      <c r="V237" t="str">
        <f>IF(Table1[[#This Row],[ai_disruption_intensity]]&gt;70,"High",
IF(Table1[[#This Row],[ai_disruption_intensity]]&gt;40,"Medium","Low"))</f>
        <v>Low</v>
      </c>
      <c r="W237" t="str">
        <f>IF(Table1[[#This Row],[skill_gap_index]]&gt;70,"Large Gap",
IF(Table1[[#This Row],[skill_gap_index]]&gt;40,"Medium Gap","Small Gap"))</f>
        <v>Small Gap</v>
      </c>
      <c r="X237" s="3" t="str">
        <f>IF(Table1[[#This Row],[automation_risk_percent]]&gt;0.7,"Highly Automatable",
IF(Table1[[#This Row],[automation_risk_percent]]&gt;0.4,"Moderate Risk","Safe Job"))</f>
        <v>Moderate Risk</v>
      </c>
    </row>
    <row r="238" spans="1:24" x14ac:dyDescent="0.3">
      <c r="A238">
        <v>847</v>
      </c>
      <c r="B238" t="s">
        <v>18</v>
      </c>
      <c r="C238" t="s">
        <v>30</v>
      </c>
      <c r="D238" t="s">
        <v>36</v>
      </c>
      <c r="E238" s="1">
        <v>2025</v>
      </c>
      <c r="F238" s="11">
        <v>0.28699999999999998</v>
      </c>
      <c r="G238">
        <v>28.81</v>
      </c>
      <c r="H238">
        <v>14.75</v>
      </c>
      <c r="I238" s="2">
        <v>103398.68</v>
      </c>
      <c r="J238" s="2">
        <v>121090.49</v>
      </c>
      <c r="K238" s="2">
        <f>Table1[[#This Row],[Salary_after]]-Table1[[#This Row],[Salary_before]]</f>
        <v>17691.810000000012</v>
      </c>
      <c r="L238" s="11">
        <v>0.1711</v>
      </c>
      <c r="M238" s="11">
        <v>0.1024</v>
      </c>
      <c r="N238">
        <v>94.39</v>
      </c>
      <c r="O238">
        <v>91.23</v>
      </c>
      <c r="P238">
        <v>2</v>
      </c>
      <c r="Q238" t="s">
        <v>21</v>
      </c>
      <c r="R238">
        <v>21.725000000000001</v>
      </c>
      <c r="S238">
        <v>17.11</v>
      </c>
      <c r="T238" s="4">
        <v>21.038</v>
      </c>
      <c r="U238" s="4">
        <v>26.183009999999999</v>
      </c>
      <c r="V238" t="str">
        <f>IF(Table1[[#This Row],[ai_disruption_intensity]]&gt;70,"High",
IF(Table1[[#This Row],[ai_disruption_intensity]]&gt;40,"Medium","Low"))</f>
        <v>Low</v>
      </c>
      <c r="W238" t="str">
        <f>IF(Table1[[#This Row],[skill_gap_index]]&gt;70,"Large Gap",
IF(Table1[[#This Row],[skill_gap_index]]&gt;40,"Medium Gap","Small Gap"))</f>
        <v>Small Gap</v>
      </c>
      <c r="X238" s="3" t="str">
        <f>IF(Table1[[#This Row],[automation_risk_percent]]&gt;0.7,"Highly Automatable",
IF(Table1[[#This Row],[automation_risk_percent]]&gt;0.4,"Moderate Risk","Safe Job"))</f>
        <v>Safe Job</v>
      </c>
    </row>
    <row r="239" spans="1:24" x14ac:dyDescent="0.3">
      <c r="A239">
        <v>849</v>
      </c>
      <c r="B239" t="s">
        <v>18</v>
      </c>
      <c r="C239" t="s">
        <v>33</v>
      </c>
      <c r="D239" t="s">
        <v>20</v>
      </c>
      <c r="E239" s="1">
        <v>2025</v>
      </c>
      <c r="F239" s="11">
        <v>0.13220000000000001</v>
      </c>
      <c r="G239">
        <v>13.46</v>
      </c>
      <c r="H239">
        <v>33.86</v>
      </c>
      <c r="I239" s="2">
        <v>86812.19</v>
      </c>
      <c r="J239" s="2">
        <v>95265.32</v>
      </c>
      <c r="K239" s="2">
        <f>Table1[[#This Row],[Salary_after]]-Table1[[#This Row],[Salary_before]]</f>
        <v>8453.1300000000047</v>
      </c>
      <c r="L239" s="11">
        <v>9.74E-2</v>
      </c>
      <c r="M239" s="11">
        <v>7.9899999999999999E-2</v>
      </c>
      <c r="N239">
        <v>69.569999999999993</v>
      </c>
      <c r="O239">
        <v>43.4</v>
      </c>
      <c r="P239">
        <v>2</v>
      </c>
      <c r="Q239" t="s">
        <v>21</v>
      </c>
      <c r="R239">
        <v>23.54</v>
      </c>
      <c r="S239">
        <v>9.74</v>
      </c>
      <c r="T239" s="4">
        <v>18.367999999999999</v>
      </c>
      <c r="U239" s="4">
        <v>5.7374799999999997</v>
      </c>
      <c r="V239" t="str">
        <f>IF(Table1[[#This Row],[ai_disruption_intensity]]&gt;70,"High",
IF(Table1[[#This Row],[ai_disruption_intensity]]&gt;40,"Medium","Low"))</f>
        <v>Low</v>
      </c>
      <c r="W239" t="str">
        <f>IF(Table1[[#This Row],[skill_gap_index]]&gt;70,"Large Gap",
IF(Table1[[#This Row],[skill_gap_index]]&gt;40,"Medium Gap","Small Gap"))</f>
        <v>Small Gap</v>
      </c>
      <c r="X239" s="3" t="str">
        <f>IF(Table1[[#This Row],[automation_risk_percent]]&gt;0.7,"Highly Automatable",
IF(Table1[[#This Row],[automation_risk_percent]]&gt;0.4,"Moderate Risk","Safe Job"))</f>
        <v>Safe Job</v>
      </c>
    </row>
    <row r="240" spans="1:24" x14ac:dyDescent="0.3">
      <c r="A240">
        <v>850</v>
      </c>
      <c r="B240" t="s">
        <v>45</v>
      </c>
      <c r="C240" t="s">
        <v>40</v>
      </c>
      <c r="D240" t="s">
        <v>42</v>
      </c>
      <c r="E240" s="1">
        <v>2026</v>
      </c>
      <c r="F240" s="11">
        <v>0.67359999999999998</v>
      </c>
      <c r="G240">
        <v>78.290000000000006</v>
      </c>
      <c r="H240">
        <v>11.98</v>
      </c>
      <c r="I240" s="2">
        <v>93831.96</v>
      </c>
      <c r="J240" s="2">
        <v>101870.89</v>
      </c>
      <c r="K240" s="2">
        <f>Table1[[#This Row],[Salary_after]]-Table1[[#This Row],[Salary_before]]</f>
        <v>8038.929999999993</v>
      </c>
      <c r="L240" s="11">
        <v>8.5699999999999998E-2</v>
      </c>
      <c r="M240" s="11">
        <v>8.9800000000000005E-2</v>
      </c>
      <c r="N240">
        <v>24.66</v>
      </c>
      <c r="O240">
        <v>81.239999999999995</v>
      </c>
      <c r="P240">
        <v>2</v>
      </c>
      <c r="Q240" t="s">
        <v>37</v>
      </c>
      <c r="R240">
        <v>39.67</v>
      </c>
      <c r="S240">
        <v>8.57</v>
      </c>
      <c r="T240" s="4">
        <v>33.109000000000002</v>
      </c>
      <c r="U240" s="4">
        <v>54.723264</v>
      </c>
      <c r="V240" t="str">
        <f>IF(Table1[[#This Row],[ai_disruption_intensity]]&gt;70,"High",
IF(Table1[[#This Row],[ai_disruption_intensity]]&gt;40,"Medium","Low"))</f>
        <v>Medium</v>
      </c>
      <c r="W240" t="str">
        <f>IF(Table1[[#This Row],[skill_gap_index]]&gt;70,"Large Gap",
IF(Table1[[#This Row],[skill_gap_index]]&gt;40,"Medium Gap","Small Gap"))</f>
        <v>Small Gap</v>
      </c>
      <c r="X240" s="3" t="str">
        <f>IF(Table1[[#This Row],[automation_risk_percent]]&gt;0.7,"Highly Automatable",
IF(Table1[[#This Row],[automation_risk_percent]]&gt;0.4,"Moderate Risk","Safe Job"))</f>
        <v>Moderate Risk</v>
      </c>
    </row>
    <row r="241" spans="1:24" x14ac:dyDescent="0.3">
      <c r="A241">
        <v>854</v>
      </c>
      <c r="B241" t="s">
        <v>41</v>
      </c>
      <c r="C241" t="s">
        <v>40</v>
      </c>
      <c r="D241" t="s">
        <v>31</v>
      </c>
      <c r="E241" s="1">
        <v>2026</v>
      </c>
      <c r="F241" s="11">
        <v>0.78090000000000004</v>
      </c>
      <c r="G241">
        <v>81.400000000000006</v>
      </c>
      <c r="H241">
        <v>57.03</v>
      </c>
      <c r="I241" s="2">
        <v>36429.19</v>
      </c>
      <c r="J241" s="2">
        <v>37661.800000000003</v>
      </c>
      <c r="K241" s="2">
        <f>Table1[[#This Row],[Salary_after]]-Table1[[#This Row],[Salary_before]]</f>
        <v>1232.6100000000006</v>
      </c>
      <c r="L241" s="11">
        <v>3.3799999999999997E-2</v>
      </c>
      <c r="M241" s="11">
        <v>-4.9299999999999997E-2</v>
      </c>
      <c r="N241">
        <v>28.7</v>
      </c>
      <c r="O241">
        <v>50.41</v>
      </c>
      <c r="P241">
        <v>4</v>
      </c>
      <c r="Q241" t="s">
        <v>37</v>
      </c>
      <c r="R241">
        <v>67.56</v>
      </c>
      <c r="S241">
        <v>3.38</v>
      </c>
      <c r="T241" s="4">
        <v>49.359000000000002</v>
      </c>
      <c r="U241" s="4">
        <v>39.365169000000002</v>
      </c>
      <c r="V241" t="str">
        <f>IF(Table1[[#This Row],[ai_disruption_intensity]]&gt;70,"High",
IF(Table1[[#This Row],[ai_disruption_intensity]]&gt;40,"Medium","Low"))</f>
        <v>Low</v>
      </c>
      <c r="W241" t="str">
        <f>IF(Table1[[#This Row],[skill_gap_index]]&gt;70,"Large Gap",
IF(Table1[[#This Row],[skill_gap_index]]&gt;40,"Medium Gap","Small Gap"))</f>
        <v>Medium Gap</v>
      </c>
      <c r="X241" s="3" t="str">
        <f>IF(Table1[[#This Row],[automation_risk_percent]]&gt;0.7,"Highly Automatable",
IF(Table1[[#This Row],[automation_risk_percent]]&gt;0.4,"Moderate Risk","Safe Job"))</f>
        <v>Highly Automatable</v>
      </c>
    </row>
    <row r="242" spans="1:24" x14ac:dyDescent="0.3">
      <c r="A242">
        <v>857</v>
      </c>
      <c r="B242" t="s">
        <v>45</v>
      </c>
      <c r="C242" t="s">
        <v>33</v>
      </c>
      <c r="D242" t="s">
        <v>31</v>
      </c>
      <c r="E242" s="1">
        <v>2026</v>
      </c>
      <c r="F242" s="11">
        <v>0.2923</v>
      </c>
      <c r="G242">
        <v>33.76</v>
      </c>
      <c r="H242">
        <v>4.0599999999999996</v>
      </c>
      <c r="I242" s="2">
        <v>139647.29999999999</v>
      </c>
      <c r="J242" s="2">
        <v>132404.26</v>
      </c>
      <c r="K242" s="2">
        <f>Table1[[#This Row],[Salary_after]]-Table1[[#This Row],[Salary_before]]</f>
        <v>-7243.039999999979</v>
      </c>
      <c r="L242" s="11">
        <v>-5.1900000000000002E-2</v>
      </c>
      <c r="M242" s="11">
        <v>0.1353</v>
      </c>
      <c r="N242">
        <v>81.040000000000006</v>
      </c>
      <c r="O242">
        <v>3.12</v>
      </c>
      <c r="P242">
        <v>5</v>
      </c>
      <c r="Q242" t="s">
        <v>21</v>
      </c>
      <c r="R242">
        <v>16.645</v>
      </c>
      <c r="S242">
        <v>5.19</v>
      </c>
      <c r="T242" s="4">
        <v>14.467000000000001</v>
      </c>
      <c r="U242" s="4">
        <v>0.91197600000000001</v>
      </c>
      <c r="V242" t="str">
        <f>IF(Table1[[#This Row],[ai_disruption_intensity]]&gt;70,"High",
IF(Table1[[#This Row],[ai_disruption_intensity]]&gt;40,"Medium","Low"))</f>
        <v>Low</v>
      </c>
      <c r="W242" t="str">
        <f>IF(Table1[[#This Row],[skill_gap_index]]&gt;70,"Large Gap",
IF(Table1[[#This Row],[skill_gap_index]]&gt;40,"Medium Gap","Small Gap"))</f>
        <v>Small Gap</v>
      </c>
      <c r="X242" s="3" t="str">
        <f>IF(Table1[[#This Row],[automation_risk_percent]]&gt;0.7,"Highly Automatable",
IF(Table1[[#This Row],[automation_risk_percent]]&gt;0.4,"Moderate Risk","Safe Job"))</f>
        <v>Safe Job</v>
      </c>
    </row>
    <row r="243" spans="1:24" x14ac:dyDescent="0.3">
      <c r="A243">
        <v>859</v>
      </c>
      <c r="B243" t="s">
        <v>41</v>
      </c>
      <c r="C243" t="s">
        <v>23</v>
      </c>
      <c r="D243" t="s">
        <v>47</v>
      </c>
      <c r="E243" s="1">
        <v>2026</v>
      </c>
      <c r="F243" s="11">
        <v>0.42219999999999996</v>
      </c>
      <c r="G243">
        <v>42.76</v>
      </c>
      <c r="H243">
        <v>48.24</v>
      </c>
      <c r="I243" s="2">
        <v>114343.97</v>
      </c>
      <c r="J243" s="2">
        <v>122320.46</v>
      </c>
      <c r="K243" s="2">
        <f>Table1[[#This Row],[Salary_after]]-Table1[[#This Row],[Salary_before]]</f>
        <v>7976.4900000000052</v>
      </c>
      <c r="L243" s="11">
        <v>6.9800000000000001E-2</v>
      </c>
      <c r="M243" s="11">
        <v>-3.3599999999999998E-2</v>
      </c>
      <c r="N243">
        <v>27.02</v>
      </c>
      <c r="O243">
        <v>57.35</v>
      </c>
      <c r="P243">
        <v>1</v>
      </c>
      <c r="Q243" t="s">
        <v>25</v>
      </c>
      <c r="R243">
        <v>45.23</v>
      </c>
      <c r="S243">
        <v>6.98</v>
      </c>
      <c r="T243" s="4">
        <v>33.454000000000001</v>
      </c>
      <c r="U243" s="4">
        <v>24.213170000000002</v>
      </c>
      <c r="V243" t="str">
        <f>IF(Table1[[#This Row],[ai_disruption_intensity]]&gt;70,"High",
IF(Table1[[#This Row],[ai_disruption_intensity]]&gt;40,"Medium","Low"))</f>
        <v>Low</v>
      </c>
      <c r="W243" t="str">
        <f>IF(Table1[[#This Row],[skill_gap_index]]&gt;70,"Large Gap",
IF(Table1[[#This Row],[skill_gap_index]]&gt;40,"Medium Gap","Small Gap"))</f>
        <v>Medium Gap</v>
      </c>
      <c r="X243" s="3" t="str">
        <f>IF(Table1[[#This Row],[automation_risk_percent]]&gt;0.7,"Highly Automatable",
IF(Table1[[#This Row],[automation_risk_percent]]&gt;0.4,"Moderate Risk","Safe Job"))</f>
        <v>Moderate Risk</v>
      </c>
    </row>
    <row r="244" spans="1:24" x14ac:dyDescent="0.3">
      <c r="A244">
        <v>861</v>
      </c>
      <c r="B244" t="s">
        <v>18</v>
      </c>
      <c r="C244" t="s">
        <v>40</v>
      </c>
      <c r="D244" t="s">
        <v>47</v>
      </c>
      <c r="E244" s="1">
        <v>2025</v>
      </c>
      <c r="F244" s="11">
        <v>0.55799999999999994</v>
      </c>
      <c r="G244">
        <v>56.55</v>
      </c>
      <c r="H244">
        <v>94.4</v>
      </c>
      <c r="I244" s="2">
        <v>77553.27</v>
      </c>
      <c r="J244" s="2">
        <v>76723.67</v>
      </c>
      <c r="K244" s="2">
        <f>Table1[[#This Row],[Salary_after]]-Table1[[#This Row],[Salary_before]]</f>
        <v>-829.60000000000582</v>
      </c>
      <c r="L244" s="11">
        <v>-1.0700000000000001E-2</v>
      </c>
      <c r="M244" s="11">
        <v>0.24420000000000003</v>
      </c>
      <c r="N244">
        <v>56.13</v>
      </c>
      <c r="O244">
        <v>26.78</v>
      </c>
      <c r="P244">
        <v>4</v>
      </c>
      <c r="Q244" t="s">
        <v>25</v>
      </c>
      <c r="R244">
        <v>75.099999999999994</v>
      </c>
      <c r="S244">
        <v>1.07</v>
      </c>
      <c r="T244" s="4">
        <v>50.960999999999999</v>
      </c>
      <c r="U244" s="4">
        <v>14.943239999999999</v>
      </c>
      <c r="V244" t="str">
        <f>IF(Table1[[#This Row],[ai_disruption_intensity]]&gt;70,"High",
IF(Table1[[#This Row],[ai_disruption_intensity]]&gt;40,"Medium","Low"))</f>
        <v>Low</v>
      </c>
      <c r="W244" t="str">
        <f>IF(Table1[[#This Row],[skill_gap_index]]&gt;70,"Large Gap",
IF(Table1[[#This Row],[skill_gap_index]]&gt;40,"Medium Gap","Small Gap"))</f>
        <v>Large Gap</v>
      </c>
      <c r="X244" s="3" t="str">
        <f>IF(Table1[[#This Row],[automation_risk_percent]]&gt;0.7,"Highly Automatable",
IF(Table1[[#This Row],[automation_risk_percent]]&gt;0.4,"Moderate Risk","Safe Job"))</f>
        <v>Moderate Risk</v>
      </c>
    </row>
    <row r="245" spans="1:24" x14ac:dyDescent="0.3">
      <c r="A245">
        <v>867</v>
      </c>
      <c r="B245" t="s">
        <v>29</v>
      </c>
      <c r="C245" t="s">
        <v>23</v>
      </c>
      <c r="D245" t="s">
        <v>31</v>
      </c>
      <c r="E245" s="1">
        <v>2026</v>
      </c>
      <c r="F245" s="11">
        <v>0.45039999999999997</v>
      </c>
      <c r="G245">
        <v>43.67</v>
      </c>
      <c r="H245">
        <v>64.989999999999995</v>
      </c>
      <c r="I245" s="2">
        <v>32963.68</v>
      </c>
      <c r="J245" s="2">
        <v>33493.040000000001</v>
      </c>
      <c r="K245" s="2">
        <f>Table1[[#This Row],[Salary_after]]-Table1[[#This Row],[Salary_before]]</f>
        <v>529.36000000000058</v>
      </c>
      <c r="L245" s="11">
        <v>1.61E-2</v>
      </c>
      <c r="M245" s="11">
        <v>0.1862</v>
      </c>
      <c r="N245">
        <v>35.04</v>
      </c>
      <c r="O245">
        <v>6.16</v>
      </c>
      <c r="P245">
        <v>4</v>
      </c>
      <c r="Q245" t="s">
        <v>25</v>
      </c>
      <c r="R245">
        <v>55.015000000000001</v>
      </c>
      <c r="S245">
        <v>1.61</v>
      </c>
      <c r="T245" s="4">
        <v>37.995999999999903</v>
      </c>
      <c r="U245" s="4">
        <v>2.774464</v>
      </c>
      <c r="V245" t="str">
        <f>IF(Table1[[#This Row],[ai_disruption_intensity]]&gt;70,"High",
IF(Table1[[#This Row],[ai_disruption_intensity]]&gt;40,"Medium","Low"))</f>
        <v>Low</v>
      </c>
      <c r="W245" t="str">
        <f>IF(Table1[[#This Row],[skill_gap_index]]&gt;70,"Large Gap",
IF(Table1[[#This Row],[skill_gap_index]]&gt;40,"Medium Gap","Small Gap"))</f>
        <v>Medium Gap</v>
      </c>
      <c r="X245" s="3" t="str">
        <f>IF(Table1[[#This Row],[automation_risk_percent]]&gt;0.7,"Highly Automatable",
IF(Table1[[#This Row],[automation_risk_percent]]&gt;0.4,"Moderate Risk","Safe Job"))</f>
        <v>Moderate Risk</v>
      </c>
    </row>
    <row r="246" spans="1:24" x14ac:dyDescent="0.3">
      <c r="A246">
        <v>875</v>
      </c>
      <c r="B246" t="s">
        <v>18</v>
      </c>
      <c r="C246" t="s">
        <v>19</v>
      </c>
      <c r="D246" t="s">
        <v>28</v>
      </c>
      <c r="E246" s="1">
        <v>2026</v>
      </c>
      <c r="F246" s="11">
        <v>0.28749999999999998</v>
      </c>
      <c r="G246">
        <v>29.95</v>
      </c>
      <c r="H246">
        <v>87.13</v>
      </c>
      <c r="I246" s="2">
        <v>149868.56</v>
      </c>
      <c r="J246" s="2">
        <v>127706.34</v>
      </c>
      <c r="K246" s="2">
        <f>Table1[[#This Row],[Salary_after]]-Table1[[#This Row],[Salary_before]]</f>
        <v>-22162.22</v>
      </c>
      <c r="L246" s="11">
        <v>-0.1479</v>
      </c>
      <c r="M246" s="11">
        <v>0.21719999999999998</v>
      </c>
      <c r="N246">
        <v>30.27</v>
      </c>
      <c r="O246">
        <v>25.71</v>
      </c>
      <c r="P246">
        <v>3</v>
      </c>
      <c r="Q246" t="s">
        <v>21</v>
      </c>
      <c r="R246">
        <v>57.94</v>
      </c>
      <c r="S246">
        <v>14.79</v>
      </c>
      <c r="T246" s="4">
        <v>42.075999999999901</v>
      </c>
      <c r="U246" s="4">
        <v>7.3916250000000003</v>
      </c>
      <c r="V246" t="str">
        <f>IF(Table1[[#This Row],[ai_disruption_intensity]]&gt;70,"High",
IF(Table1[[#This Row],[ai_disruption_intensity]]&gt;40,"Medium","Low"))</f>
        <v>Low</v>
      </c>
      <c r="W246" t="str">
        <f>IF(Table1[[#This Row],[skill_gap_index]]&gt;70,"Large Gap",
IF(Table1[[#This Row],[skill_gap_index]]&gt;40,"Medium Gap","Small Gap"))</f>
        <v>Large Gap</v>
      </c>
      <c r="X246" s="3" t="str">
        <f>IF(Table1[[#This Row],[automation_risk_percent]]&gt;0.7,"Highly Automatable",
IF(Table1[[#This Row],[automation_risk_percent]]&gt;0.4,"Moderate Risk","Safe Job"))</f>
        <v>Safe Job</v>
      </c>
    </row>
    <row r="247" spans="1:24" x14ac:dyDescent="0.3">
      <c r="A247">
        <v>877</v>
      </c>
      <c r="B247" t="s">
        <v>22</v>
      </c>
      <c r="C247" t="s">
        <v>23</v>
      </c>
      <c r="D247" t="s">
        <v>32</v>
      </c>
      <c r="E247" s="1">
        <v>2025</v>
      </c>
      <c r="F247" s="11">
        <v>0.52990000000000004</v>
      </c>
      <c r="G247">
        <v>49.48</v>
      </c>
      <c r="H247">
        <v>81.790000000000006</v>
      </c>
      <c r="I247" s="2">
        <v>34603.660000000003</v>
      </c>
      <c r="J247" s="2">
        <v>34733.57</v>
      </c>
      <c r="K247" s="2">
        <f>Table1[[#This Row],[Salary_after]]-Table1[[#This Row],[Salary_before]]</f>
        <v>129.90999999999622</v>
      </c>
      <c r="L247" s="11">
        <v>3.8E-3</v>
      </c>
      <c r="M247" s="11">
        <v>0.15920000000000001</v>
      </c>
      <c r="N247">
        <v>45.84</v>
      </c>
      <c r="O247">
        <v>49.72</v>
      </c>
      <c r="P247">
        <v>2</v>
      </c>
      <c r="Q247" t="s">
        <v>25</v>
      </c>
      <c r="R247">
        <v>67.39</v>
      </c>
      <c r="S247">
        <v>0.38</v>
      </c>
      <c r="T247" s="4">
        <v>45.847000000000001</v>
      </c>
      <c r="U247" s="4">
        <v>26.346627999999999</v>
      </c>
      <c r="V247" t="str">
        <f>IF(Table1[[#This Row],[ai_disruption_intensity]]&gt;70,"High",
IF(Table1[[#This Row],[ai_disruption_intensity]]&gt;40,"Medium","Low"))</f>
        <v>Low</v>
      </c>
      <c r="W247" t="str">
        <f>IF(Table1[[#This Row],[skill_gap_index]]&gt;70,"Large Gap",
IF(Table1[[#This Row],[skill_gap_index]]&gt;40,"Medium Gap","Small Gap"))</f>
        <v>Large Gap</v>
      </c>
      <c r="X247" s="3" t="str">
        <f>IF(Table1[[#This Row],[automation_risk_percent]]&gt;0.7,"Highly Automatable",
IF(Table1[[#This Row],[automation_risk_percent]]&gt;0.4,"Moderate Risk","Safe Job"))</f>
        <v>Moderate Risk</v>
      </c>
    </row>
    <row r="248" spans="1:24" x14ac:dyDescent="0.3">
      <c r="A248">
        <v>878</v>
      </c>
      <c r="B248" t="s">
        <v>45</v>
      </c>
      <c r="C248" t="s">
        <v>23</v>
      </c>
      <c r="D248" t="s">
        <v>31</v>
      </c>
      <c r="E248" s="1">
        <v>2026</v>
      </c>
      <c r="F248" s="11">
        <v>0.56720000000000004</v>
      </c>
      <c r="G248">
        <v>45.66</v>
      </c>
      <c r="H248">
        <v>87.16</v>
      </c>
      <c r="I248" s="2">
        <v>83608.740000000005</v>
      </c>
      <c r="J248" s="2">
        <v>76136.240000000005</v>
      </c>
      <c r="K248" s="2">
        <f>Table1[[#This Row],[Salary_after]]-Table1[[#This Row],[Salary_before]]</f>
        <v>-7472.5</v>
      </c>
      <c r="L248" s="11">
        <v>-8.9399999999999993E-2</v>
      </c>
      <c r="M248" s="11">
        <v>1.1200000000000002E-2</v>
      </c>
      <c r="N248">
        <v>49.55</v>
      </c>
      <c r="O248">
        <v>49.63</v>
      </c>
      <c r="P248">
        <v>3</v>
      </c>
      <c r="Q248" t="s">
        <v>25</v>
      </c>
      <c r="R248">
        <v>71.94</v>
      </c>
      <c r="S248">
        <v>8.94</v>
      </c>
      <c r="T248" s="4">
        <v>51.518000000000001</v>
      </c>
      <c r="U248" s="4">
        <v>28.150136</v>
      </c>
      <c r="V248" t="str">
        <f>IF(Table1[[#This Row],[ai_disruption_intensity]]&gt;70,"High",
IF(Table1[[#This Row],[ai_disruption_intensity]]&gt;40,"Medium","Low"))</f>
        <v>Low</v>
      </c>
      <c r="W248" t="str">
        <f>IF(Table1[[#This Row],[skill_gap_index]]&gt;70,"Large Gap",
IF(Table1[[#This Row],[skill_gap_index]]&gt;40,"Medium Gap","Small Gap"))</f>
        <v>Large Gap</v>
      </c>
      <c r="X248" s="3" t="str">
        <f>IF(Table1[[#This Row],[automation_risk_percent]]&gt;0.7,"Highly Automatable",
IF(Table1[[#This Row],[automation_risk_percent]]&gt;0.4,"Moderate Risk","Safe Job"))</f>
        <v>Moderate Risk</v>
      </c>
    </row>
    <row r="249" spans="1:24" x14ac:dyDescent="0.3">
      <c r="A249">
        <v>879</v>
      </c>
      <c r="B249" t="s">
        <v>45</v>
      </c>
      <c r="C249" t="s">
        <v>40</v>
      </c>
      <c r="D249" t="s">
        <v>36</v>
      </c>
      <c r="E249" s="1">
        <v>2025</v>
      </c>
      <c r="F249" s="11">
        <v>0.3826</v>
      </c>
      <c r="G249">
        <v>40.99</v>
      </c>
      <c r="H249">
        <v>42.09</v>
      </c>
      <c r="I249" s="2">
        <v>145370.10999999999</v>
      </c>
      <c r="J249" s="2">
        <v>163652.13</v>
      </c>
      <c r="K249" s="2">
        <f>Table1[[#This Row],[Salary_after]]-Table1[[#This Row],[Salary_before]]</f>
        <v>18282.020000000019</v>
      </c>
      <c r="L249" s="11">
        <v>0.1258</v>
      </c>
      <c r="M249" s="11">
        <v>9.06E-2</v>
      </c>
      <c r="N249">
        <v>19.84</v>
      </c>
      <c r="O249">
        <v>39.729999999999997</v>
      </c>
      <c r="P249">
        <v>5</v>
      </c>
      <c r="Q249" t="s">
        <v>25</v>
      </c>
      <c r="R249">
        <v>40.174999999999997</v>
      </c>
      <c r="S249">
        <v>12.58</v>
      </c>
      <c r="T249" s="4">
        <v>31.704999999999998</v>
      </c>
      <c r="U249" s="4">
        <v>15.2006979999999</v>
      </c>
      <c r="V249" t="str">
        <f>IF(Table1[[#This Row],[ai_disruption_intensity]]&gt;70,"High",
IF(Table1[[#This Row],[ai_disruption_intensity]]&gt;40,"Medium","Low"))</f>
        <v>Low</v>
      </c>
      <c r="W249" t="str">
        <f>IF(Table1[[#This Row],[skill_gap_index]]&gt;70,"Large Gap",
IF(Table1[[#This Row],[skill_gap_index]]&gt;40,"Medium Gap","Small Gap"))</f>
        <v>Medium Gap</v>
      </c>
      <c r="X249" s="3" t="str">
        <f>IF(Table1[[#This Row],[automation_risk_percent]]&gt;0.7,"Highly Automatable",
IF(Table1[[#This Row],[automation_risk_percent]]&gt;0.4,"Moderate Risk","Safe Job"))</f>
        <v>Safe Job</v>
      </c>
    </row>
    <row r="250" spans="1:24" x14ac:dyDescent="0.3">
      <c r="A250">
        <v>888</v>
      </c>
      <c r="B250" t="s">
        <v>22</v>
      </c>
      <c r="C250" t="s">
        <v>34</v>
      </c>
      <c r="D250" t="s">
        <v>42</v>
      </c>
      <c r="E250" s="1">
        <v>2026</v>
      </c>
      <c r="F250" s="11">
        <v>0.1794</v>
      </c>
      <c r="G250">
        <v>19.52</v>
      </c>
      <c r="H250">
        <v>50.03</v>
      </c>
      <c r="I250" s="2">
        <v>137291.94</v>
      </c>
      <c r="J250" s="2">
        <v>146708.22</v>
      </c>
      <c r="K250" s="2">
        <f>Table1[[#This Row],[Salary_after]]-Table1[[#This Row],[Salary_before]]</f>
        <v>9416.2799999999988</v>
      </c>
      <c r="L250" s="11">
        <v>6.8600000000000008E-2</v>
      </c>
      <c r="M250" s="11">
        <v>-0.16539999999999999</v>
      </c>
      <c r="N250">
        <v>23.33</v>
      </c>
      <c r="O250">
        <v>74.63</v>
      </c>
      <c r="P250">
        <v>2</v>
      </c>
      <c r="Q250" t="s">
        <v>21</v>
      </c>
      <c r="R250">
        <v>33.984999999999999</v>
      </c>
      <c r="S250">
        <v>6.86</v>
      </c>
      <c r="T250" s="4">
        <v>24.242999999999999</v>
      </c>
      <c r="U250" s="4">
        <v>13.388622</v>
      </c>
      <c r="V250" t="str">
        <f>IF(Table1[[#This Row],[ai_disruption_intensity]]&gt;70,"High",
IF(Table1[[#This Row],[ai_disruption_intensity]]&gt;40,"Medium","Low"))</f>
        <v>Low</v>
      </c>
      <c r="W250" t="str">
        <f>IF(Table1[[#This Row],[skill_gap_index]]&gt;70,"Large Gap",
IF(Table1[[#This Row],[skill_gap_index]]&gt;40,"Medium Gap","Small Gap"))</f>
        <v>Medium Gap</v>
      </c>
      <c r="X250" s="3" t="str">
        <f>IF(Table1[[#This Row],[automation_risk_percent]]&gt;0.7,"Highly Automatable",
IF(Table1[[#This Row],[automation_risk_percent]]&gt;0.4,"Moderate Risk","Safe Job"))</f>
        <v>Safe Job</v>
      </c>
    </row>
    <row r="251" spans="1:24" x14ac:dyDescent="0.3">
      <c r="A251">
        <v>895</v>
      </c>
      <c r="B251" t="s">
        <v>18</v>
      </c>
      <c r="C251" t="s">
        <v>19</v>
      </c>
      <c r="D251" t="s">
        <v>42</v>
      </c>
      <c r="E251" s="1">
        <v>2026</v>
      </c>
      <c r="F251" s="11">
        <v>0.73080000000000001</v>
      </c>
      <c r="G251">
        <v>80.41</v>
      </c>
      <c r="H251">
        <v>48.86</v>
      </c>
      <c r="I251" s="2">
        <v>102386.66</v>
      </c>
      <c r="J251" s="2">
        <v>99133.21</v>
      </c>
      <c r="K251" s="2">
        <f>Table1[[#This Row],[Salary_after]]-Table1[[#This Row],[Salary_before]]</f>
        <v>-3253.4499999999971</v>
      </c>
      <c r="L251" s="11">
        <v>-3.1800000000000002E-2</v>
      </c>
      <c r="M251" s="11">
        <v>6.1699999999999998E-2</v>
      </c>
      <c r="N251">
        <v>39.4</v>
      </c>
      <c r="O251">
        <v>62.33</v>
      </c>
      <c r="P251">
        <v>5</v>
      </c>
      <c r="Q251" t="s">
        <v>37</v>
      </c>
      <c r="R251">
        <v>60.97</v>
      </c>
      <c r="S251">
        <v>3.18</v>
      </c>
      <c r="T251" s="4">
        <v>44.844000000000001</v>
      </c>
      <c r="U251" s="4">
        <v>45.550764000000001</v>
      </c>
      <c r="V251" t="str">
        <f>IF(Table1[[#This Row],[ai_disruption_intensity]]&gt;70,"High",
IF(Table1[[#This Row],[ai_disruption_intensity]]&gt;40,"Medium","Low"))</f>
        <v>Medium</v>
      </c>
      <c r="W251" t="str">
        <f>IF(Table1[[#This Row],[skill_gap_index]]&gt;70,"Large Gap",
IF(Table1[[#This Row],[skill_gap_index]]&gt;40,"Medium Gap","Small Gap"))</f>
        <v>Medium Gap</v>
      </c>
      <c r="X251" s="3" t="str">
        <f>IF(Table1[[#This Row],[automation_risk_percent]]&gt;0.7,"Highly Automatable",
IF(Table1[[#This Row],[automation_risk_percent]]&gt;0.4,"Moderate Risk","Safe Job"))</f>
        <v>Highly Automatable</v>
      </c>
    </row>
    <row r="252" spans="1:24" x14ac:dyDescent="0.3">
      <c r="A252">
        <v>896</v>
      </c>
      <c r="B252" t="s">
        <v>45</v>
      </c>
      <c r="C252" t="s">
        <v>23</v>
      </c>
      <c r="D252" t="s">
        <v>31</v>
      </c>
      <c r="E252" s="1">
        <v>2026</v>
      </c>
      <c r="F252" s="11">
        <v>0.1394</v>
      </c>
      <c r="G252">
        <v>11.29</v>
      </c>
      <c r="H252">
        <v>45</v>
      </c>
      <c r="I252" s="2">
        <v>69922.820000000007</v>
      </c>
      <c r="J252" s="2">
        <v>58497.97</v>
      </c>
      <c r="K252" s="2">
        <f>Table1[[#This Row],[Salary_after]]-Table1[[#This Row],[Salary_before]]</f>
        <v>-11424.850000000006</v>
      </c>
      <c r="L252" s="11">
        <v>-0.16339999999999999</v>
      </c>
      <c r="M252" s="11">
        <v>7.4999999999999997E-3</v>
      </c>
      <c r="N252">
        <v>24.82</v>
      </c>
      <c r="O252">
        <v>68.91</v>
      </c>
      <c r="P252">
        <v>3</v>
      </c>
      <c r="Q252" t="s">
        <v>21</v>
      </c>
      <c r="R252">
        <v>29.47</v>
      </c>
      <c r="S252">
        <v>16.34</v>
      </c>
      <c r="T252" s="4">
        <v>23.978000000000002</v>
      </c>
      <c r="U252" s="4">
        <v>9.6060539999999897</v>
      </c>
      <c r="V252" t="str">
        <f>IF(Table1[[#This Row],[ai_disruption_intensity]]&gt;70,"High",
IF(Table1[[#This Row],[ai_disruption_intensity]]&gt;40,"Medium","Low"))</f>
        <v>Low</v>
      </c>
      <c r="W252" t="str">
        <f>IF(Table1[[#This Row],[skill_gap_index]]&gt;70,"Large Gap",
IF(Table1[[#This Row],[skill_gap_index]]&gt;40,"Medium Gap","Small Gap"))</f>
        <v>Medium Gap</v>
      </c>
      <c r="X252" s="3" t="str">
        <f>IF(Table1[[#This Row],[automation_risk_percent]]&gt;0.7,"Highly Automatable",
IF(Table1[[#This Row],[automation_risk_percent]]&gt;0.4,"Moderate Risk","Safe Job"))</f>
        <v>Safe Job</v>
      </c>
    </row>
    <row r="253" spans="1:24" x14ac:dyDescent="0.3">
      <c r="A253">
        <v>901</v>
      </c>
      <c r="B253" t="s">
        <v>18</v>
      </c>
      <c r="C253" t="s">
        <v>40</v>
      </c>
      <c r="D253" t="s">
        <v>28</v>
      </c>
      <c r="E253" s="1">
        <v>2026</v>
      </c>
      <c r="F253" s="11">
        <v>0.1656</v>
      </c>
      <c r="G253">
        <v>18.329999999999998</v>
      </c>
      <c r="H253">
        <v>74.72</v>
      </c>
      <c r="I253" s="2">
        <v>67404.399999999994</v>
      </c>
      <c r="J253" s="2">
        <v>73249.62</v>
      </c>
      <c r="K253" s="2">
        <f>Table1[[#This Row],[Salary_after]]-Table1[[#This Row],[Salary_before]]</f>
        <v>5845.2200000000012</v>
      </c>
      <c r="L253" s="11">
        <v>8.6699999999999999E-2</v>
      </c>
      <c r="M253" s="11">
        <v>2.9999999999999997E-4</v>
      </c>
      <c r="N253">
        <v>16.510000000000002</v>
      </c>
      <c r="O253">
        <v>88.11</v>
      </c>
      <c r="P253">
        <v>1</v>
      </c>
      <c r="Q253" t="s">
        <v>21</v>
      </c>
      <c r="R253">
        <v>45.64</v>
      </c>
      <c r="S253">
        <v>8.67</v>
      </c>
      <c r="T253" s="4">
        <v>31.640999999999998</v>
      </c>
      <c r="U253" s="4">
        <v>14.591016</v>
      </c>
      <c r="V253" t="str">
        <f>IF(Table1[[#This Row],[ai_disruption_intensity]]&gt;70,"High",
IF(Table1[[#This Row],[ai_disruption_intensity]]&gt;40,"Medium","Low"))</f>
        <v>Low</v>
      </c>
      <c r="W253" t="str">
        <f>IF(Table1[[#This Row],[skill_gap_index]]&gt;70,"Large Gap",
IF(Table1[[#This Row],[skill_gap_index]]&gt;40,"Medium Gap","Small Gap"))</f>
        <v>Large Gap</v>
      </c>
      <c r="X253" s="3" t="str">
        <f>IF(Table1[[#This Row],[automation_risk_percent]]&gt;0.7,"Highly Automatable",
IF(Table1[[#This Row],[automation_risk_percent]]&gt;0.4,"Moderate Risk","Safe Job"))</f>
        <v>Safe Job</v>
      </c>
    </row>
    <row r="254" spans="1:24" x14ac:dyDescent="0.3">
      <c r="A254">
        <v>903</v>
      </c>
      <c r="B254" t="s">
        <v>18</v>
      </c>
      <c r="C254" t="s">
        <v>34</v>
      </c>
      <c r="D254" t="s">
        <v>20</v>
      </c>
      <c r="E254" s="1">
        <v>2025</v>
      </c>
      <c r="F254" s="11">
        <v>0.79769999999999996</v>
      </c>
      <c r="G254">
        <v>87.77</v>
      </c>
      <c r="H254">
        <v>64.47</v>
      </c>
      <c r="I254" s="2">
        <v>72634.759999999995</v>
      </c>
      <c r="J254" s="2">
        <v>83883.259999999995</v>
      </c>
      <c r="K254" s="2">
        <f>Table1[[#This Row],[Salary_after]]-Table1[[#This Row],[Salary_before]]</f>
        <v>11248.5</v>
      </c>
      <c r="L254" s="11">
        <v>0.15490000000000001</v>
      </c>
      <c r="M254" s="11">
        <v>8.199999999999999E-2</v>
      </c>
      <c r="N254">
        <v>58.36</v>
      </c>
      <c r="O254">
        <v>84.08</v>
      </c>
      <c r="P254">
        <v>3</v>
      </c>
      <c r="Q254" t="s">
        <v>37</v>
      </c>
      <c r="R254">
        <v>72.12</v>
      </c>
      <c r="S254">
        <v>15.49</v>
      </c>
      <c r="T254" s="4">
        <v>55.895999999999901</v>
      </c>
      <c r="U254" s="4">
        <v>67.070615999999902</v>
      </c>
      <c r="V254" t="str">
        <f>IF(Table1[[#This Row],[ai_disruption_intensity]]&gt;70,"High",
IF(Table1[[#This Row],[ai_disruption_intensity]]&gt;40,"Medium","Low"))</f>
        <v>Medium</v>
      </c>
      <c r="W254" t="str">
        <f>IF(Table1[[#This Row],[skill_gap_index]]&gt;70,"Large Gap",
IF(Table1[[#This Row],[skill_gap_index]]&gt;40,"Medium Gap","Small Gap"))</f>
        <v>Medium Gap</v>
      </c>
      <c r="X254" s="3" t="str">
        <f>IF(Table1[[#This Row],[automation_risk_percent]]&gt;0.7,"Highly Automatable",
IF(Table1[[#This Row],[automation_risk_percent]]&gt;0.4,"Moderate Risk","Safe Job"))</f>
        <v>Highly Automatable</v>
      </c>
    </row>
    <row r="255" spans="1:24" x14ac:dyDescent="0.3">
      <c r="A255">
        <v>905</v>
      </c>
      <c r="B255" t="s">
        <v>22</v>
      </c>
      <c r="C255" t="s">
        <v>33</v>
      </c>
      <c r="D255" t="s">
        <v>28</v>
      </c>
      <c r="E255" s="1">
        <v>2026</v>
      </c>
      <c r="F255" s="11">
        <v>0.10369999999999999</v>
      </c>
      <c r="G255">
        <v>11.4</v>
      </c>
      <c r="H255">
        <v>90.31</v>
      </c>
      <c r="I255" s="2">
        <v>46766.47</v>
      </c>
      <c r="J255" s="2">
        <v>46005.56</v>
      </c>
      <c r="K255" s="2">
        <f>Table1[[#This Row],[Salary_after]]-Table1[[#This Row],[Salary_before]]</f>
        <v>-760.91000000000349</v>
      </c>
      <c r="L255" s="11">
        <v>-1.6299999999999999E-2</v>
      </c>
      <c r="M255" s="11">
        <v>-3.7100000000000001E-2</v>
      </c>
      <c r="N255">
        <v>94.03</v>
      </c>
      <c r="O255">
        <v>54.24</v>
      </c>
      <c r="P255">
        <v>3</v>
      </c>
      <c r="Q255" t="s">
        <v>21</v>
      </c>
      <c r="R255">
        <v>50.34</v>
      </c>
      <c r="S255">
        <v>1.63</v>
      </c>
      <c r="T255" s="4">
        <v>31.73</v>
      </c>
      <c r="U255" s="4">
        <v>5.6246879999999999</v>
      </c>
      <c r="V255" t="str">
        <f>IF(Table1[[#This Row],[ai_disruption_intensity]]&gt;70,"High",
IF(Table1[[#This Row],[ai_disruption_intensity]]&gt;40,"Medium","Low"))</f>
        <v>Low</v>
      </c>
      <c r="W255" t="str">
        <f>IF(Table1[[#This Row],[skill_gap_index]]&gt;70,"Large Gap",
IF(Table1[[#This Row],[skill_gap_index]]&gt;40,"Medium Gap","Small Gap"))</f>
        <v>Large Gap</v>
      </c>
      <c r="X255" s="3" t="str">
        <f>IF(Table1[[#This Row],[automation_risk_percent]]&gt;0.7,"Highly Automatable",
IF(Table1[[#This Row],[automation_risk_percent]]&gt;0.4,"Moderate Risk","Safe Job"))</f>
        <v>Safe Job</v>
      </c>
    </row>
    <row r="256" spans="1:24" x14ac:dyDescent="0.3">
      <c r="A256">
        <v>915</v>
      </c>
      <c r="B256" t="s">
        <v>18</v>
      </c>
      <c r="C256" t="s">
        <v>30</v>
      </c>
      <c r="D256" t="s">
        <v>20</v>
      </c>
      <c r="E256" s="1">
        <v>2025</v>
      </c>
      <c r="F256" s="11">
        <v>0.25619999999999998</v>
      </c>
      <c r="G256">
        <v>21.07</v>
      </c>
      <c r="H256">
        <v>10.34</v>
      </c>
      <c r="I256" s="2">
        <v>81780.97</v>
      </c>
      <c r="J256" s="2">
        <v>82536.44</v>
      </c>
      <c r="K256" s="2">
        <f>Table1[[#This Row],[Salary_after]]-Table1[[#This Row],[Salary_before]]</f>
        <v>755.47000000000116</v>
      </c>
      <c r="L256" s="11">
        <v>9.1999999999999998E-3</v>
      </c>
      <c r="M256" s="11">
        <v>-0.1065</v>
      </c>
      <c r="N256">
        <v>32.81</v>
      </c>
      <c r="O256">
        <v>94.05</v>
      </c>
      <c r="P256">
        <v>1</v>
      </c>
      <c r="Q256" t="s">
        <v>21</v>
      </c>
      <c r="R256">
        <v>17.98</v>
      </c>
      <c r="S256">
        <v>0.92</v>
      </c>
      <c r="T256" s="4">
        <v>13.625999999999999</v>
      </c>
      <c r="U256" s="4">
        <v>24.095610000000001</v>
      </c>
      <c r="V256" t="str">
        <f>IF(Table1[[#This Row],[ai_disruption_intensity]]&gt;70,"High",
IF(Table1[[#This Row],[ai_disruption_intensity]]&gt;40,"Medium","Low"))</f>
        <v>Low</v>
      </c>
      <c r="W256" t="str">
        <f>IF(Table1[[#This Row],[skill_gap_index]]&gt;70,"Large Gap",
IF(Table1[[#This Row],[skill_gap_index]]&gt;40,"Medium Gap","Small Gap"))</f>
        <v>Small Gap</v>
      </c>
      <c r="X256" s="3" t="str">
        <f>IF(Table1[[#This Row],[automation_risk_percent]]&gt;0.7,"Highly Automatable",
IF(Table1[[#This Row],[automation_risk_percent]]&gt;0.4,"Moderate Risk","Safe Job"))</f>
        <v>Safe Job</v>
      </c>
    </row>
    <row r="257" spans="1:24" x14ac:dyDescent="0.3">
      <c r="A257">
        <v>916</v>
      </c>
      <c r="B257" t="s">
        <v>39</v>
      </c>
      <c r="C257" t="s">
        <v>30</v>
      </c>
      <c r="D257" t="s">
        <v>35</v>
      </c>
      <c r="E257" s="1">
        <v>2026</v>
      </c>
      <c r="F257" s="11">
        <v>0.73419999999999996</v>
      </c>
      <c r="G257">
        <v>75.38</v>
      </c>
      <c r="H257">
        <v>35.44</v>
      </c>
      <c r="I257" s="2">
        <v>75737.63</v>
      </c>
      <c r="J257" s="2">
        <v>87699.91</v>
      </c>
      <c r="K257" s="2">
        <f>Table1[[#This Row],[Salary_after]]-Table1[[#This Row],[Salary_before]]</f>
        <v>11962.279999999999</v>
      </c>
      <c r="L257" s="11">
        <v>0.15789999999999998</v>
      </c>
      <c r="M257" s="11">
        <v>-1.1200000000000002E-2</v>
      </c>
      <c r="N257">
        <v>50.65</v>
      </c>
      <c r="O257">
        <v>85.67</v>
      </c>
      <c r="P257">
        <v>3</v>
      </c>
      <c r="Q257" t="s">
        <v>37</v>
      </c>
      <c r="R257">
        <v>54.43</v>
      </c>
      <c r="S257">
        <v>15.79</v>
      </c>
      <c r="T257" s="4">
        <v>44.737000000000002</v>
      </c>
      <c r="U257" s="4">
        <v>62.898913999999998</v>
      </c>
      <c r="V257" t="str">
        <f>IF(Table1[[#This Row],[ai_disruption_intensity]]&gt;70,"High",
IF(Table1[[#This Row],[ai_disruption_intensity]]&gt;40,"Medium","Low"))</f>
        <v>Medium</v>
      </c>
      <c r="W257" t="str">
        <f>IF(Table1[[#This Row],[skill_gap_index]]&gt;70,"Large Gap",
IF(Table1[[#This Row],[skill_gap_index]]&gt;40,"Medium Gap","Small Gap"))</f>
        <v>Small Gap</v>
      </c>
      <c r="X257" s="3" t="str">
        <f>IF(Table1[[#This Row],[automation_risk_percent]]&gt;0.7,"Highly Automatable",
IF(Table1[[#This Row],[automation_risk_percent]]&gt;0.4,"Moderate Risk","Safe Job"))</f>
        <v>Highly Automatable</v>
      </c>
    </row>
    <row r="258" spans="1:24" x14ac:dyDescent="0.3">
      <c r="A258">
        <v>917</v>
      </c>
      <c r="B258" t="s">
        <v>18</v>
      </c>
      <c r="C258" t="s">
        <v>30</v>
      </c>
      <c r="D258" t="s">
        <v>35</v>
      </c>
      <c r="E258" s="1">
        <v>2026</v>
      </c>
      <c r="F258" s="11">
        <v>0.76090000000000002</v>
      </c>
      <c r="G258">
        <v>71.09</v>
      </c>
      <c r="H258">
        <v>56.07</v>
      </c>
      <c r="I258" s="2">
        <v>41406.78</v>
      </c>
      <c r="J258" s="2">
        <v>39827.160000000003</v>
      </c>
      <c r="K258" s="2">
        <f>Table1[[#This Row],[Salary_after]]-Table1[[#This Row],[Salary_before]]</f>
        <v>-1579.6199999999953</v>
      </c>
      <c r="L258" s="11">
        <v>-3.8100000000000002E-2</v>
      </c>
      <c r="M258" s="11">
        <v>-8.199999999999999E-2</v>
      </c>
      <c r="N258">
        <v>28.56</v>
      </c>
      <c r="O258">
        <v>87.66</v>
      </c>
      <c r="P258">
        <v>4</v>
      </c>
      <c r="Q258" t="s">
        <v>37</v>
      </c>
      <c r="R258">
        <v>66.08</v>
      </c>
      <c r="S258">
        <v>3.81</v>
      </c>
      <c r="T258" s="4">
        <v>48.4</v>
      </c>
      <c r="U258" s="4">
        <v>66.700493999999907</v>
      </c>
      <c r="V258" t="str">
        <f>IF(Table1[[#This Row],[ai_disruption_intensity]]&gt;70,"High",
IF(Table1[[#This Row],[ai_disruption_intensity]]&gt;40,"Medium","Low"))</f>
        <v>Medium</v>
      </c>
      <c r="W258" t="str">
        <f>IF(Table1[[#This Row],[skill_gap_index]]&gt;70,"Large Gap",
IF(Table1[[#This Row],[skill_gap_index]]&gt;40,"Medium Gap","Small Gap"))</f>
        <v>Medium Gap</v>
      </c>
      <c r="X258" s="3" t="str">
        <f>IF(Table1[[#This Row],[automation_risk_percent]]&gt;0.7,"Highly Automatable",
IF(Table1[[#This Row],[automation_risk_percent]]&gt;0.4,"Moderate Risk","Safe Job"))</f>
        <v>Highly Automatable</v>
      </c>
    </row>
    <row r="259" spans="1:24" x14ac:dyDescent="0.3">
      <c r="A259">
        <v>919</v>
      </c>
      <c r="B259" t="s">
        <v>45</v>
      </c>
      <c r="C259" t="s">
        <v>34</v>
      </c>
      <c r="D259" t="s">
        <v>32</v>
      </c>
      <c r="E259" s="1">
        <v>2025</v>
      </c>
      <c r="F259" s="11">
        <v>0.14710000000000001</v>
      </c>
      <c r="G259">
        <v>14.5</v>
      </c>
      <c r="H259">
        <v>82.07</v>
      </c>
      <c r="I259" s="2">
        <v>103744.92</v>
      </c>
      <c r="J259" s="2">
        <v>103505.78</v>
      </c>
      <c r="K259" s="2">
        <f>Table1[[#This Row],[Salary_after]]-Table1[[#This Row],[Salary_before]]</f>
        <v>-239.13999999999942</v>
      </c>
      <c r="L259" s="11">
        <v>-2.3E-3</v>
      </c>
      <c r="M259" s="11">
        <v>0.1779</v>
      </c>
      <c r="N259">
        <v>20.66</v>
      </c>
      <c r="O259">
        <v>1.36</v>
      </c>
      <c r="P259">
        <v>4</v>
      </c>
      <c r="Q259" t="s">
        <v>21</v>
      </c>
      <c r="R259">
        <v>48.39</v>
      </c>
      <c r="S259">
        <v>0.23</v>
      </c>
      <c r="T259" s="4">
        <v>30.573999999999899</v>
      </c>
      <c r="U259" s="4">
        <v>0.20005600000000001</v>
      </c>
      <c r="V259" t="str">
        <f>IF(Table1[[#This Row],[ai_disruption_intensity]]&gt;70,"High",
IF(Table1[[#This Row],[ai_disruption_intensity]]&gt;40,"Medium","Low"))</f>
        <v>Low</v>
      </c>
      <c r="W259" t="str">
        <f>IF(Table1[[#This Row],[skill_gap_index]]&gt;70,"Large Gap",
IF(Table1[[#This Row],[skill_gap_index]]&gt;40,"Medium Gap","Small Gap"))</f>
        <v>Large Gap</v>
      </c>
      <c r="X259" s="3" t="str">
        <f>IF(Table1[[#This Row],[automation_risk_percent]]&gt;0.7,"Highly Automatable",
IF(Table1[[#This Row],[automation_risk_percent]]&gt;0.4,"Moderate Risk","Safe Job"))</f>
        <v>Safe Job</v>
      </c>
    </row>
    <row r="260" spans="1:24" x14ac:dyDescent="0.3">
      <c r="A260">
        <v>933</v>
      </c>
      <c r="B260" t="s">
        <v>39</v>
      </c>
      <c r="C260" t="s">
        <v>34</v>
      </c>
      <c r="D260" t="s">
        <v>24</v>
      </c>
      <c r="E260" s="1">
        <v>2025</v>
      </c>
      <c r="F260" s="11">
        <v>0.51880000000000004</v>
      </c>
      <c r="G260">
        <v>42.15</v>
      </c>
      <c r="H260">
        <v>27.49</v>
      </c>
      <c r="I260" s="2">
        <v>33935.980000000003</v>
      </c>
      <c r="J260" s="2">
        <v>37024.89</v>
      </c>
      <c r="K260" s="2">
        <f>Table1[[#This Row],[Salary_after]]-Table1[[#This Row],[Salary_before]]</f>
        <v>3088.9099999999962</v>
      </c>
      <c r="L260" s="11">
        <v>9.0999999999999998E-2</v>
      </c>
      <c r="M260" s="11">
        <v>3.1600000000000003E-2</v>
      </c>
      <c r="N260">
        <v>98.44</v>
      </c>
      <c r="O260">
        <v>63.7</v>
      </c>
      <c r="P260">
        <v>4</v>
      </c>
      <c r="Q260" t="s">
        <v>25</v>
      </c>
      <c r="R260">
        <v>39.685000000000002</v>
      </c>
      <c r="S260">
        <v>9.1</v>
      </c>
      <c r="T260" s="4">
        <v>31.728999999999999</v>
      </c>
      <c r="U260" s="4">
        <v>33.047559999999997</v>
      </c>
      <c r="V260" t="str">
        <f>IF(Table1[[#This Row],[ai_disruption_intensity]]&gt;70,"High",
IF(Table1[[#This Row],[ai_disruption_intensity]]&gt;40,"Medium","Low"))</f>
        <v>Low</v>
      </c>
      <c r="W260" t="str">
        <f>IF(Table1[[#This Row],[skill_gap_index]]&gt;70,"Large Gap",
IF(Table1[[#This Row],[skill_gap_index]]&gt;40,"Medium Gap","Small Gap"))</f>
        <v>Small Gap</v>
      </c>
      <c r="X260" s="3" t="str">
        <f>IF(Table1[[#This Row],[automation_risk_percent]]&gt;0.7,"Highly Automatable",
IF(Table1[[#This Row],[automation_risk_percent]]&gt;0.4,"Moderate Risk","Safe Job"))</f>
        <v>Moderate Risk</v>
      </c>
    </row>
    <row r="261" spans="1:24" x14ac:dyDescent="0.3">
      <c r="A261">
        <v>934</v>
      </c>
      <c r="B261" t="s">
        <v>22</v>
      </c>
      <c r="C261" t="s">
        <v>23</v>
      </c>
      <c r="D261" t="s">
        <v>32</v>
      </c>
      <c r="E261" s="1">
        <v>2025</v>
      </c>
      <c r="F261" s="11">
        <v>0.21309999999999998</v>
      </c>
      <c r="G261">
        <v>24.77</v>
      </c>
      <c r="H261">
        <v>51.62</v>
      </c>
      <c r="I261" s="2">
        <v>48449.919999999998</v>
      </c>
      <c r="J261" s="2">
        <v>48999.61</v>
      </c>
      <c r="K261" s="2">
        <f>Table1[[#This Row],[Salary_after]]-Table1[[#This Row],[Salary_before]]</f>
        <v>549.69000000000233</v>
      </c>
      <c r="L261" s="11">
        <v>1.1299999999999999E-2</v>
      </c>
      <c r="M261" s="11">
        <v>6.8600000000000008E-2</v>
      </c>
      <c r="N261">
        <v>75.849999999999994</v>
      </c>
      <c r="O261">
        <v>70.92</v>
      </c>
      <c r="P261">
        <v>3</v>
      </c>
      <c r="Q261" t="s">
        <v>21</v>
      </c>
      <c r="R261">
        <v>36.464999999999897</v>
      </c>
      <c r="S261">
        <v>1.1299999999999999</v>
      </c>
      <c r="T261" s="4">
        <v>24.348999999999901</v>
      </c>
      <c r="U261" s="4">
        <v>15.113052</v>
      </c>
      <c r="V261" t="str">
        <f>IF(Table1[[#This Row],[ai_disruption_intensity]]&gt;70,"High",
IF(Table1[[#This Row],[ai_disruption_intensity]]&gt;40,"Medium","Low"))</f>
        <v>Low</v>
      </c>
      <c r="W261" t="str">
        <f>IF(Table1[[#This Row],[skill_gap_index]]&gt;70,"Large Gap",
IF(Table1[[#This Row],[skill_gap_index]]&gt;40,"Medium Gap","Small Gap"))</f>
        <v>Medium Gap</v>
      </c>
      <c r="X261" s="3" t="str">
        <f>IF(Table1[[#This Row],[automation_risk_percent]]&gt;0.7,"Highly Automatable",
IF(Table1[[#This Row],[automation_risk_percent]]&gt;0.4,"Moderate Risk","Safe Job"))</f>
        <v>Safe Job</v>
      </c>
    </row>
    <row r="262" spans="1:24" x14ac:dyDescent="0.3">
      <c r="A262">
        <v>936</v>
      </c>
      <c r="B262" t="s">
        <v>41</v>
      </c>
      <c r="C262" t="s">
        <v>30</v>
      </c>
      <c r="D262" t="s">
        <v>32</v>
      </c>
      <c r="E262" s="1">
        <v>2025</v>
      </c>
      <c r="F262" s="11">
        <v>0.80449999999999999</v>
      </c>
      <c r="G262">
        <v>91.35</v>
      </c>
      <c r="H262">
        <v>65.48</v>
      </c>
      <c r="I262" s="2">
        <v>57411.1</v>
      </c>
      <c r="J262" s="2">
        <v>52076.83</v>
      </c>
      <c r="K262" s="2">
        <f>Table1[[#This Row],[Salary_after]]-Table1[[#This Row],[Salary_before]]</f>
        <v>-5334.2699999999968</v>
      </c>
      <c r="L262" s="11">
        <v>-9.2899999999999996E-2</v>
      </c>
      <c r="M262" s="11">
        <v>-6.3399999999999998E-2</v>
      </c>
      <c r="N262">
        <v>20.51</v>
      </c>
      <c r="O262">
        <v>27.32</v>
      </c>
      <c r="P262">
        <v>5</v>
      </c>
      <c r="Q262" t="s">
        <v>37</v>
      </c>
      <c r="R262">
        <v>72.965000000000003</v>
      </c>
      <c r="S262">
        <v>9.2899999999999991</v>
      </c>
      <c r="T262" s="4">
        <v>54.610999999999997</v>
      </c>
      <c r="U262" s="4">
        <v>21.978940000000001</v>
      </c>
      <c r="V262" t="str">
        <f>IF(Table1[[#This Row],[ai_disruption_intensity]]&gt;70,"High",
IF(Table1[[#This Row],[ai_disruption_intensity]]&gt;40,"Medium","Low"))</f>
        <v>Low</v>
      </c>
      <c r="W262" t="str">
        <f>IF(Table1[[#This Row],[skill_gap_index]]&gt;70,"Large Gap",
IF(Table1[[#This Row],[skill_gap_index]]&gt;40,"Medium Gap","Small Gap"))</f>
        <v>Medium Gap</v>
      </c>
      <c r="X262" s="3" t="str">
        <f>IF(Table1[[#This Row],[automation_risk_percent]]&gt;0.7,"Highly Automatable",
IF(Table1[[#This Row],[automation_risk_percent]]&gt;0.4,"Moderate Risk","Safe Job"))</f>
        <v>Highly Automatable</v>
      </c>
    </row>
    <row r="263" spans="1:24" x14ac:dyDescent="0.3">
      <c r="A263">
        <v>943</v>
      </c>
      <c r="B263" t="s">
        <v>46</v>
      </c>
      <c r="C263" t="s">
        <v>34</v>
      </c>
      <c r="D263" t="s">
        <v>32</v>
      </c>
      <c r="E263" s="1">
        <v>2026</v>
      </c>
      <c r="F263" s="11">
        <v>0.60909999999999997</v>
      </c>
      <c r="G263">
        <v>52.11</v>
      </c>
      <c r="H263">
        <v>12.73</v>
      </c>
      <c r="I263" s="2">
        <v>51080.68</v>
      </c>
      <c r="J263" s="2">
        <v>51242.91</v>
      </c>
      <c r="K263" s="2">
        <f>Table1[[#This Row],[Salary_after]]-Table1[[#This Row],[Salary_before]]</f>
        <v>162.2300000000032</v>
      </c>
      <c r="L263" s="11">
        <v>3.2000000000000002E-3</v>
      </c>
      <c r="M263" s="11">
        <v>5.7599999999999998E-2</v>
      </c>
      <c r="N263">
        <v>82.12</v>
      </c>
      <c r="O263">
        <v>39.76</v>
      </c>
      <c r="P263">
        <v>5</v>
      </c>
      <c r="Q263" t="s">
        <v>37</v>
      </c>
      <c r="R263">
        <v>36.82</v>
      </c>
      <c r="S263">
        <v>0.32</v>
      </c>
      <c r="T263" s="4">
        <v>28.279</v>
      </c>
      <c r="U263" s="4">
        <v>24.217815999999999</v>
      </c>
      <c r="V263" t="str">
        <f>IF(Table1[[#This Row],[ai_disruption_intensity]]&gt;70,"High",
IF(Table1[[#This Row],[ai_disruption_intensity]]&gt;40,"Medium","Low"))</f>
        <v>Low</v>
      </c>
      <c r="W263" t="str">
        <f>IF(Table1[[#This Row],[skill_gap_index]]&gt;70,"Large Gap",
IF(Table1[[#This Row],[skill_gap_index]]&gt;40,"Medium Gap","Small Gap"))</f>
        <v>Small Gap</v>
      </c>
      <c r="X263" s="3" t="str">
        <f>IF(Table1[[#This Row],[automation_risk_percent]]&gt;0.7,"Highly Automatable",
IF(Table1[[#This Row],[automation_risk_percent]]&gt;0.4,"Moderate Risk","Safe Job"))</f>
        <v>Moderate Risk</v>
      </c>
    </row>
    <row r="264" spans="1:24" x14ac:dyDescent="0.3">
      <c r="A264">
        <v>947</v>
      </c>
      <c r="B264" t="s">
        <v>39</v>
      </c>
      <c r="C264" t="s">
        <v>34</v>
      </c>
      <c r="D264" t="s">
        <v>20</v>
      </c>
      <c r="E264" s="1">
        <v>2025</v>
      </c>
      <c r="F264" s="11">
        <v>0.3196</v>
      </c>
      <c r="G264">
        <v>27.39</v>
      </c>
      <c r="H264">
        <v>21.38</v>
      </c>
      <c r="I264" s="2">
        <v>42661.64</v>
      </c>
      <c r="J264" s="2">
        <v>47435.03</v>
      </c>
      <c r="K264" s="2">
        <f>Table1[[#This Row],[Salary_after]]-Table1[[#This Row],[Salary_before]]</f>
        <v>4773.3899999999994</v>
      </c>
      <c r="L264" s="11">
        <v>0.1119</v>
      </c>
      <c r="M264" s="11">
        <v>0.17739999999999997</v>
      </c>
      <c r="N264">
        <v>95.55</v>
      </c>
      <c r="O264">
        <v>72.97</v>
      </c>
      <c r="P264">
        <v>2</v>
      </c>
      <c r="Q264" t="s">
        <v>25</v>
      </c>
      <c r="R264">
        <v>26.67</v>
      </c>
      <c r="S264">
        <v>11.19</v>
      </c>
      <c r="T264" s="4">
        <v>22.555</v>
      </c>
      <c r="U264" s="4">
        <v>23.321211999999999</v>
      </c>
      <c r="V264" t="str">
        <f>IF(Table1[[#This Row],[ai_disruption_intensity]]&gt;70,"High",
IF(Table1[[#This Row],[ai_disruption_intensity]]&gt;40,"Medium","Low"))</f>
        <v>Low</v>
      </c>
      <c r="W264" t="str">
        <f>IF(Table1[[#This Row],[skill_gap_index]]&gt;70,"Large Gap",
IF(Table1[[#This Row],[skill_gap_index]]&gt;40,"Medium Gap","Small Gap"))</f>
        <v>Small Gap</v>
      </c>
      <c r="X264" s="3" t="str">
        <f>IF(Table1[[#This Row],[automation_risk_percent]]&gt;0.7,"Highly Automatable",
IF(Table1[[#This Row],[automation_risk_percent]]&gt;0.4,"Moderate Risk","Safe Job"))</f>
        <v>Safe Job</v>
      </c>
    </row>
    <row r="265" spans="1:24" x14ac:dyDescent="0.3">
      <c r="A265">
        <v>962</v>
      </c>
      <c r="B265" t="s">
        <v>44</v>
      </c>
      <c r="C265" t="s">
        <v>38</v>
      </c>
      <c r="D265" t="s">
        <v>20</v>
      </c>
      <c r="E265" s="1">
        <v>2025</v>
      </c>
      <c r="F265" s="11">
        <v>0.11109999999999999</v>
      </c>
      <c r="G265">
        <v>11.37</v>
      </c>
      <c r="H265">
        <v>37.950000000000003</v>
      </c>
      <c r="I265" s="2">
        <v>90786</v>
      </c>
      <c r="J265" s="2">
        <v>74175.05</v>
      </c>
      <c r="K265" s="2">
        <f>Table1[[#This Row],[Salary_after]]-Table1[[#This Row],[Salary_before]]</f>
        <v>-16610.949999999997</v>
      </c>
      <c r="L265" s="11">
        <v>-0.183</v>
      </c>
      <c r="M265" s="11">
        <v>0.1116</v>
      </c>
      <c r="N265">
        <v>36.56</v>
      </c>
      <c r="O265">
        <v>73.34</v>
      </c>
      <c r="P265">
        <v>3</v>
      </c>
      <c r="Q265" t="s">
        <v>21</v>
      </c>
      <c r="R265">
        <v>24.53</v>
      </c>
      <c r="S265">
        <v>18.3</v>
      </c>
      <c r="T265" s="4">
        <v>21.318999999999999</v>
      </c>
      <c r="U265" s="4">
        <v>8.1480739999999994</v>
      </c>
      <c r="V265" t="str">
        <f>IF(Table1[[#This Row],[ai_disruption_intensity]]&gt;70,"High",
IF(Table1[[#This Row],[ai_disruption_intensity]]&gt;40,"Medium","Low"))</f>
        <v>Low</v>
      </c>
      <c r="W265" t="str">
        <f>IF(Table1[[#This Row],[skill_gap_index]]&gt;70,"Large Gap",
IF(Table1[[#This Row],[skill_gap_index]]&gt;40,"Medium Gap","Small Gap"))</f>
        <v>Small Gap</v>
      </c>
      <c r="X265" s="3" t="str">
        <f>IF(Table1[[#This Row],[automation_risk_percent]]&gt;0.7,"Highly Automatable",
IF(Table1[[#This Row],[automation_risk_percent]]&gt;0.4,"Moderate Risk","Safe Job"))</f>
        <v>Safe Job</v>
      </c>
    </row>
    <row r="266" spans="1:24" x14ac:dyDescent="0.3">
      <c r="A266">
        <v>964</v>
      </c>
      <c r="B266" t="s">
        <v>41</v>
      </c>
      <c r="C266" t="s">
        <v>27</v>
      </c>
      <c r="D266" t="s">
        <v>24</v>
      </c>
      <c r="E266" s="1">
        <v>2026</v>
      </c>
      <c r="F266" s="11">
        <v>0.66249999999999998</v>
      </c>
      <c r="G266">
        <v>66.92</v>
      </c>
      <c r="H266">
        <v>20.3</v>
      </c>
      <c r="I266" s="2">
        <v>84224.29</v>
      </c>
      <c r="J266" s="2">
        <v>87612.36</v>
      </c>
      <c r="K266" s="2">
        <f>Table1[[#This Row],[Salary_after]]-Table1[[#This Row],[Salary_before]]</f>
        <v>3388.070000000007</v>
      </c>
      <c r="L266" s="11">
        <v>4.0199999999999993E-2</v>
      </c>
      <c r="M266" s="11">
        <v>0.18210000000000001</v>
      </c>
      <c r="N266">
        <v>18.72</v>
      </c>
      <c r="O266">
        <v>54.8</v>
      </c>
      <c r="P266">
        <v>4</v>
      </c>
      <c r="Q266" t="s">
        <v>37</v>
      </c>
      <c r="R266">
        <v>43.274999999999999</v>
      </c>
      <c r="S266">
        <v>4.0199999999999996</v>
      </c>
      <c r="T266" s="4">
        <v>33.795999999999999</v>
      </c>
      <c r="U266" s="4">
        <v>36.305</v>
      </c>
      <c r="V266" t="str">
        <f>IF(Table1[[#This Row],[ai_disruption_intensity]]&gt;70,"High",
IF(Table1[[#This Row],[ai_disruption_intensity]]&gt;40,"Medium","Low"))</f>
        <v>Low</v>
      </c>
      <c r="W266" t="str">
        <f>IF(Table1[[#This Row],[skill_gap_index]]&gt;70,"Large Gap",
IF(Table1[[#This Row],[skill_gap_index]]&gt;40,"Medium Gap","Small Gap"))</f>
        <v>Small Gap</v>
      </c>
      <c r="X266" s="3" t="str">
        <f>IF(Table1[[#This Row],[automation_risk_percent]]&gt;0.7,"Highly Automatable",
IF(Table1[[#This Row],[automation_risk_percent]]&gt;0.4,"Moderate Risk","Safe Job"))</f>
        <v>Moderate Risk</v>
      </c>
    </row>
    <row r="267" spans="1:24" x14ac:dyDescent="0.3">
      <c r="A267">
        <v>970</v>
      </c>
      <c r="B267" t="s">
        <v>44</v>
      </c>
      <c r="C267" t="s">
        <v>40</v>
      </c>
      <c r="D267" t="s">
        <v>20</v>
      </c>
      <c r="E267" s="1">
        <v>2026</v>
      </c>
      <c r="F267" s="11">
        <v>0.40889999999999999</v>
      </c>
      <c r="G267">
        <v>33.01</v>
      </c>
      <c r="H267">
        <v>7.45</v>
      </c>
      <c r="I267" s="2">
        <v>91247.13</v>
      </c>
      <c r="J267" s="2">
        <v>96529.68</v>
      </c>
      <c r="K267" s="2">
        <f>Table1[[#This Row],[Salary_after]]-Table1[[#This Row],[Salary_before]]</f>
        <v>5282.5499999999884</v>
      </c>
      <c r="L267" s="11">
        <v>5.79E-2</v>
      </c>
      <c r="M267" s="11">
        <v>9.6000000000000002E-2</v>
      </c>
      <c r="N267">
        <v>65.59</v>
      </c>
      <c r="O267">
        <v>64.44</v>
      </c>
      <c r="P267">
        <v>5</v>
      </c>
      <c r="Q267" t="s">
        <v>25</v>
      </c>
      <c r="R267">
        <v>24.17</v>
      </c>
      <c r="S267">
        <v>5.79</v>
      </c>
      <c r="T267" s="4">
        <v>20.327999999999999</v>
      </c>
      <c r="U267" s="4">
        <v>26.349515999999898</v>
      </c>
      <c r="V267" t="str">
        <f>IF(Table1[[#This Row],[ai_disruption_intensity]]&gt;70,"High",
IF(Table1[[#This Row],[ai_disruption_intensity]]&gt;40,"Medium","Low"))</f>
        <v>Low</v>
      </c>
      <c r="W267" t="str">
        <f>IF(Table1[[#This Row],[skill_gap_index]]&gt;70,"Large Gap",
IF(Table1[[#This Row],[skill_gap_index]]&gt;40,"Medium Gap","Small Gap"))</f>
        <v>Small Gap</v>
      </c>
      <c r="X267" s="3" t="str">
        <f>IF(Table1[[#This Row],[automation_risk_percent]]&gt;0.7,"Highly Automatable",
IF(Table1[[#This Row],[automation_risk_percent]]&gt;0.4,"Moderate Risk","Safe Job"))</f>
        <v>Moderate Risk</v>
      </c>
    </row>
    <row r="268" spans="1:24" x14ac:dyDescent="0.3">
      <c r="A268">
        <v>981</v>
      </c>
      <c r="B268" t="s">
        <v>43</v>
      </c>
      <c r="C268" t="s">
        <v>23</v>
      </c>
      <c r="D268" t="s">
        <v>35</v>
      </c>
      <c r="E268" s="1">
        <v>2025</v>
      </c>
      <c r="F268" s="11">
        <v>0.28059999999999996</v>
      </c>
      <c r="G268">
        <v>27.96</v>
      </c>
      <c r="H268">
        <v>97.55</v>
      </c>
      <c r="I268" s="2">
        <v>69989.009999999995</v>
      </c>
      <c r="J268" s="2">
        <v>64321.82</v>
      </c>
      <c r="K268" s="2">
        <f>Table1[[#This Row],[Salary_after]]-Table1[[#This Row],[Salary_before]]</f>
        <v>-5667.1899999999951</v>
      </c>
      <c r="L268" s="11">
        <v>-8.1000000000000003E-2</v>
      </c>
      <c r="M268" s="11">
        <v>6.88E-2</v>
      </c>
      <c r="N268">
        <v>64.540000000000006</v>
      </c>
      <c r="O268">
        <v>8.9600000000000009</v>
      </c>
      <c r="P268">
        <v>4</v>
      </c>
      <c r="Q268" t="s">
        <v>21</v>
      </c>
      <c r="R268">
        <v>62.805</v>
      </c>
      <c r="S268">
        <v>8.1</v>
      </c>
      <c r="T268" s="4">
        <v>42.918999999999997</v>
      </c>
      <c r="U268" s="4">
        <v>2.514176</v>
      </c>
      <c r="V268" t="str">
        <f>IF(Table1[[#This Row],[ai_disruption_intensity]]&gt;70,"High",
IF(Table1[[#This Row],[ai_disruption_intensity]]&gt;40,"Medium","Low"))</f>
        <v>Low</v>
      </c>
      <c r="W268" t="str">
        <f>IF(Table1[[#This Row],[skill_gap_index]]&gt;70,"Large Gap",
IF(Table1[[#This Row],[skill_gap_index]]&gt;40,"Medium Gap","Small Gap"))</f>
        <v>Large Gap</v>
      </c>
      <c r="X268" s="3" t="str">
        <f>IF(Table1[[#This Row],[automation_risk_percent]]&gt;0.7,"Highly Automatable",
IF(Table1[[#This Row],[automation_risk_percent]]&gt;0.4,"Moderate Risk","Safe Job"))</f>
        <v>Safe Job</v>
      </c>
    </row>
    <row r="269" spans="1:24" x14ac:dyDescent="0.3">
      <c r="A269">
        <v>982</v>
      </c>
      <c r="B269" t="s">
        <v>29</v>
      </c>
      <c r="C269" t="s">
        <v>38</v>
      </c>
      <c r="D269" t="s">
        <v>28</v>
      </c>
      <c r="E269" s="1">
        <v>2026</v>
      </c>
      <c r="F269" s="11">
        <v>0.9215000000000001</v>
      </c>
      <c r="G269">
        <v>100.1</v>
      </c>
      <c r="H269">
        <v>78.819999999999993</v>
      </c>
      <c r="I269" s="2">
        <v>114492.52</v>
      </c>
      <c r="J269" s="2">
        <v>100453.69</v>
      </c>
      <c r="K269" s="2">
        <f>Table1[[#This Row],[Salary_after]]-Table1[[#This Row],[Salary_before]]</f>
        <v>-14038.830000000002</v>
      </c>
      <c r="L269" s="11">
        <v>-0.1226</v>
      </c>
      <c r="M269" s="11">
        <v>0.2697</v>
      </c>
      <c r="N269">
        <v>87.25</v>
      </c>
      <c r="O269">
        <v>95.68</v>
      </c>
      <c r="P269">
        <v>5</v>
      </c>
      <c r="Q269" t="s">
        <v>37</v>
      </c>
      <c r="R269">
        <v>85.484999999999999</v>
      </c>
      <c r="S269">
        <v>12.26</v>
      </c>
      <c r="T269" s="4">
        <v>64.183999999999997</v>
      </c>
      <c r="U269" s="4">
        <v>88.169120000000007</v>
      </c>
      <c r="V269" t="str">
        <f>IF(Table1[[#This Row],[ai_disruption_intensity]]&gt;70,"High",
IF(Table1[[#This Row],[ai_disruption_intensity]]&gt;40,"Medium","Low"))</f>
        <v>High</v>
      </c>
      <c r="W269" t="str">
        <f>IF(Table1[[#This Row],[skill_gap_index]]&gt;70,"Large Gap",
IF(Table1[[#This Row],[skill_gap_index]]&gt;40,"Medium Gap","Small Gap"))</f>
        <v>Large Gap</v>
      </c>
      <c r="X269" s="3" t="str">
        <f>IF(Table1[[#This Row],[automation_risk_percent]]&gt;0.7,"Highly Automatable",
IF(Table1[[#This Row],[automation_risk_percent]]&gt;0.4,"Moderate Risk","Safe Job"))</f>
        <v>Highly Automatable</v>
      </c>
    </row>
    <row r="270" spans="1:24" x14ac:dyDescent="0.3">
      <c r="A270">
        <v>985</v>
      </c>
      <c r="B270" t="s">
        <v>43</v>
      </c>
      <c r="C270" t="s">
        <v>27</v>
      </c>
      <c r="D270" t="s">
        <v>31</v>
      </c>
      <c r="E270" s="1">
        <v>2025</v>
      </c>
      <c r="F270" s="11">
        <v>0.64280000000000004</v>
      </c>
      <c r="G270">
        <v>66.099999999999994</v>
      </c>
      <c r="H270">
        <v>76.069999999999993</v>
      </c>
      <c r="I270" s="2">
        <v>47983.54</v>
      </c>
      <c r="J270" s="2">
        <v>40459.019999999997</v>
      </c>
      <c r="K270" s="2">
        <f>Table1[[#This Row],[Salary_after]]-Table1[[#This Row],[Salary_before]]</f>
        <v>-7524.5200000000041</v>
      </c>
      <c r="L270" s="11">
        <v>-0.15679999999999999</v>
      </c>
      <c r="M270" s="11">
        <v>9.5700000000000007E-2</v>
      </c>
      <c r="N270">
        <v>30.53</v>
      </c>
      <c r="O270">
        <v>1.1499999999999999</v>
      </c>
      <c r="P270">
        <v>2</v>
      </c>
      <c r="Q270" t="s">
        <v>37</v>
      </c>
      <c r="R270">
        <v>70.174999999999997</v>
      </c>
      <c r="S270">
        <v>15.68</v>
      </c>
      <c r="T270" s="4">
        <v>53.237000000000002</v>
      </c>
      <c r="U270" s="4">
        <v>0.73921999999999999</v>
      </c>
      <c r="V270" t="str">
        <f>IF(Table1[[#This Row],[ai_disruption_intensity]]&gt;70,"High",
IF(Table1[[#This Row],[ai_disruption_intensity]]&gt;40,"Medium","Low"))</f>
        <v>Low</v>
      </c>
      <c r="W270" t="str">
        <f>IF(Table1[[#This Row],[skill_gap_index]]&gt;70,"Large Gap",
IF(Table1[[#This Row],[skill_gap_index]]&gt;40,"Medium Gap","Small Gap"))</f>
        <v>Large Gap</v>
      </c>
      <c r="X270" s="3" t="str">
        <f>IF(Table1[[#This Row],[automation_risk_percent]]&gt;0.7,"Highly Automatable",
IF(Table1[[#This Row],[automation_risk_percent]]&gt;0.4,"Moderate Risk","Safe Job"))</f>
        <v>Moderate Risk</v>
      </c>
    </row>
    <row r="271" spans="1:24" x14ac:dyDescent="0.3">
      <c r="A271">
        <v>988</v>
      </c>
      <c r="B271" t="s">
        <v>44</v>
      </c>
      <c r="C271" t="s">
        <v>38</v>
      </c>
      <c r="D271" t="s">
        <v>20</v>
      </c>
      <c r="E271" s="1">
        <v>2026</v>
      </c>
      <c r="F271" s="11">
        <v>0.28899999999999998</v>
      </c>
      <c r="G271">
        <v>25.51</v>
      </c>
      <c r="H271">
        <v>65.400000000000006</v>
      </c>
      <c r="I271" s="2">
        <v>79946.039999999994</v>
      </c>
      <c r="J271" s="2">
        <v>84366.3</v>
      </c>
      <c r="K271" s="2">
        <f>Table1[[#This Row],[Salary_after]]-Table1[[#This Row],[Salary_before]]</f>
        <v>4420.2600000000093</v>
      </c>
      <c r="L271" s="11">
        <v>5.5300000000000002E-2</v>
      </c>
      <c r="M271" s="11">
        <v>-4.3700000000000003E-2</v>
      </c>
      <c r="N271">
        <v>60.86</v>
      </c>
      <c r="O271">
        <v>85.87</v>
      </c>
      <c r="P271">
        <v>1</v>
      </c>
      <c r="Q271" t="s">
        <v>21</v>
      </c>
      <c r="R271">
        <v>47.15</v>
      </c>
      <c r="S271">
        <v>5.53</v>
      </c>
      <c r="T271" s="4">
        <v>32.838999999999999</v>
      </c>
      <c r="U271" s="4">
        <v>24.81643</v>
      </c>
      <c r="V271" t="str">
        <f>IF(Table1[[#This Row],[ai_disruption_intensity]]&gt;70,"High",
IF(Table1[[#This Row],[ai_disruption_intensity]]&gt;40,"Medium","Low"))</f>
        <v>Low</v>
      </c>
      <c r="W271" t="str">
        <f>IF(Table1[[#This Row],[skill_gap_index]]&gt;70,"Large Gap",
IF(Table1[[#This Row],[skill_gap_index]]&gt;40,"Medium Gap","Small Gap"))</f>
        <v>Medium Gap</v>
      </c>
      <c r="X271" s="3" t="str">
        <f>IF(Table1[[#This Row],[automation_risk_percent]]&gt;0.7,"Highly Automatable",
IF(Table1[[#This Row],[automation_risk_percent]]&gt;0.4,"Moderate Risk","Safe Job"))</f>
        <v>Safe Job</v>
      </c>
    </row>
    <row r="272" spans="1:24" x14ac:dyDescent="0.3">
      <c r="A272">
        <v>992</v>
      </c>
      <c r="B272" t="s">
        <v>22</v>
      </c>
      <c r="C272" t="s">
        <v>33</v>
      </c>
      <c r="D272" t="s">
        <v>32</v>
      </c>
      <c r="E272" s="1">
        <v>2025</v>
      </c>
      <c r="F272" s="11">
        <v>0.71129999999999993</v>
      </c>
      <c r="G272">
        <v>76.959999999999994</v>
      </c>
      <c r="H272">
        <v>8.52</v>
      </c>
      <c r="I272" s="2">
        <v>108011.09</v>
      </c>
      <c r="J272" s="2">
        <v>111996.88</v>
      </c>
      <c r="K272" s="2">
        <f>Table1[[#This Row],[Salary_after]]-Table1[[#This Row],[Salary_before]]</f>
        <v>3985.7900000000081</v>
      </c>
      <c r="L272" s="11">
        <v>3.6900000000000002E-2</v>
      </c>
      <c r="M272" s="11">
        <v>6.2400000000000004E-2</v>
      </c>
      <c r="N272">
        <v>10.27</v>
      </c>
      <c r="O272">
        <v>24.79</v>
      </c>
      <c r="P272">
        <v>4</v>
      </c>
      <c r="Q272" t="s">
        <v>37</v>
      </c>
      <c r="R272">
        <v>39.824999999999903</v>
      </c>
      <c r="S272">
        <v>3.69</v>
      </c>
      <c r="T272" s="4">
        <v>32.115000000000002</v>
      </c>
      <c r="U272" s="4">
        <v>17.633126999999899</v>
      </c>
      <c r="V272" t="str">
        <f>IF(Table1[[#This Row],[ai_disruption_intensity]]&gt;70,"High",
IF(Table1[[#This Row],[ai_disruption_intensity]]&gt;40,"Medium","Low"))</f>
        <v>Low</v>
      </c>
      <c r="W272" t="str">
        <f>IF(Table1[[#This Row],[skill_gap_index]]&gt;70,"Large Gap",
IF(Table1[[#This Row],[skill_gap_index]]&gt;40,"Medium Gap","Small Gap"))</f>
        <v>Small Gap</v>
      </c>
      <c r="X272" s="3" t="str">
        <f>IF(Table1[[#This Row],[automation_risk_percent]]&gt;0.7,"Highly Automatable",
IF(Table1[[#This Row],[automation_risk_percent]]&gt;0.4,"Moderate Risk","Safe Job"))</f>
        <v>Highly Automatable</v>
      </c>
    </row>
    <row r="273" spans="1:24" x14ac:dyDescent="0.3">
      <c r="A273">
        <v>993</v>
      </c>
      <c r="B273" t="s">
        <v>41</v>
      </c>
      <c r="C273" t="s">
        <v>33</v>
      </c>
      <c r="D273" t="s">
        <v>24</v>
      </c>
      <c r="E273" s="1">
        <v>2026</v>
      </c>
      <c r="F273" s="11">
        <v>0.89950000000000008</v>
      </c>
      <c r="G273">
        <v>105.49</v>
      </c>
      <c r="H273">
        <v>72.06</v>
      </c>
      <c r="I273" s="2">
        <v>121891.6</v>
      </c>
      <c r="J273" s="2">
        <v>122263.08</v>
      </c>
      <c r="K273" s="2">
        <f>Table1[[#This Row],[Salary_after]]-Table1[[#This Row],[Salary_before]]</f>
        <v>371.47999999999593</v>
      </c>
      <c r="L273" s="11">
        <v>3.0000000000000001E-3</v>
      </c>
      <c r="M273" s="11">
        <v>-3.9699999999999999E-2</v>
      </c>
      <c r="N273">
        <v>30.84</v>
      </c>
      <c r="O273">
        <v>18.12</v>
      </c>
      <c r="P273">
        <v>5</v>
      </c>
      <c r="Q273" t="s">
        <v>37</v>
      </c>
      <c r="R273">
        <v>81.004999999999995</v>
      </c>
      <c r="S273">
        <v>0.3</v>
      </c>
      <c r="T273" s="4">
        <v>57.688000000000002</v>
      </c>
      <c r="U273" s="4">
        <v>16.298940000000002</v>
      </c>
      <c r="V273" t="str">
        <f>IF(Table1[[#This Row],[ai_disruption_intensity]]&gt;70,"High",
IF(Table1[[#This Row],[ai_disruption_intensity]]&gt;40,"Medium","Low"))</f>
        <v>Low</v>
      </c>
      <c r="W273" t="str">
        <f>IF(Table1[[#This Row],[skill_gap_index]]&gt;70,"Large Gap",
IF(Table1[[#This Row],[skill_gap_index]]&gt;40,"Medium Gap","Small Gap"))</f>
        <v>Large Gap</v>
      </c>
      <c r="X273" s="3" t="str">
        <f>IF(Table1[[#This Row],[automation_risk_percent]]&gt;0.7,"Highly Automatable",
IF(Table1[[#This Row],[automation_risk_percent]]&gt;0.4,"Moderate Risk","Safe Job"))</f>
        <v>Highly Automatable</v>
      </c>
    </row>
    <row r="274" spans="1:24" x14ac:dyDescent="0.3">
      <c r="A274">
        <v>994</v>
      </c>
      <c r="B274" t="s">
        <v>22</v>
      </c>
      <c r="C274" t="s">
        <v>34</v>
      </c>
      <c r="D274" t="s">
        <v>20</v>
      </c>
      <c r="E274" s="1">
        <v>2026</v>
      </c>
      <c r="F274" s="11">
        <v>0.66720000000000002</v>
      </c>
      <c r="G274">
        <v>56.98</v>
      </c>
      <c r="H274">
        <v>46.87</v>
      </c>
      <c r="I274" s="2">
        <v>142629.39000000001</v>
      </c>
      <c r="J274" s="2">
        <v>142859.38</v>
      </c>
      <c r="K274" s="2">
        <f>Table1[[#This Row],[Salary_after]]-Table1[[#This Row],[Salary_before]]</f>
        <v>229.98999999999069</v>
      </c>
      <c r="L274" s="11">
        <v>1.6000000000000001E-3</v>
      </c>
      <c r="M274" s="11">
        <v>6.4299999999999996E-2</v>
      </c>
      <c r="N274">
        <v>25.31</v>
      </c>
      <c r="O274">
        <v>31.61</v>
      </c>
      <c r="P274">
        <v>5</v>
      </c>
      <c r="Q274" t="s">
        <v>37</v>
      </c>
      <c r="R274">
        <v>56.795000000000002</v>
      </c>
      <c r="S274">
        <v>0.16</v>
      </c>
      <c r="T274" s="4">
        <v>40.796999999999997</v>
      </c>
      <c r="U274" s="4">
        <v>21.090191999999998</v>
      </c>
      <c r="V274" t="str">
        <f>IF(Table1[[#This Row],[ai_disruption_intensity]]&gt;70,"High",
IF(Table1[[#This Row],[ai_disruption_intensity]]&gt;40,"Medium","Low"))</f>
        <v>Low</v>
      </c>
      <c r="W274" t="str">
        <f>IF(Table1[[#This Row],[skill_gap_index]]&gt;70,"Large Gap",
IF(Table1[[#This Row],[skill_gap_index]]&gt;40,"Medium Gap","Small Gap"))</f>
        <v>Medium Gap</v>
      </c>
      <c r="X274" s="3" t="str">
        <f>IF(Table1[[#This Row],[automation_risk_percent]]&gt;0.7,"Highly Automatable",
IF(Table1[[#This Row],[automation_risk_percent]]&gt;0.4,"Moderate Risk","Safe Job"))</f>
        <v>Moderate Risk</v>
      </c>
    </row>
    <row r="275" spans="1:24" x14ac:dyDescent="0.3">
      <c r="A275">
        <v>995</v>
      </c>
      <c r="B275" t="s">
        <v>45</v>
      </c>
      <c r="C275" t="s">
        <v>34</v>
      </c>
      <c r="D275" t="s">
        <v>32</v>
      </c>
      <c r="E275" s="1">
        <v>2025</v>
      </c>
      <c r="F275" s="11">
        <v>0.39710000000000001</v>
      </c>
      <c r="G275">
        <v>36.69</v>
      </c>
      <c r="H275">
        <v>28.06</v>
      </c>
      <c r="I275" s="2">
        <v>146667.57</v>
      </c>
      <c r="J275" s="2">
        <v>153607.07</v>
      </c>
      <c r="K275" s="2">
        <f>Table1[[#This Row],[Salary_after]]-Table1[[#This Row],[Salary_before]]</f>
        <v>6939.5</v>
      </c>
      <c r="L275" s="11">
        <v>4.7300000000000002E-2</v>
      </c>
      <c r="M275" s="11">
        <v>-2.0299999999999999E-2</v>
      </c>
      <c r="N275">
        <v>10.039999999999999</v>
      </c>
      <c r="O275">
        <v>59.62</v>
      </c>
      <c r="P275">
        <v>1</v>
      </c>
      <c r="Q275" t="s">
        <v>25</v>
      </c>
      <c r="R275">
        <v>33.884999999999998</v>
      </c>
      <c r="S275">
        <v>4.7300000000000004</v>
      </c>
      <c r="T275" s="4">
        <v>25.721</v>
      </c>
      <c r="U275" s="4">
        <v>23.675101999999999</v>
      </c>
      <c r="V275" t="str">
        <f>IF(Table1[[#This Row],[ai_disruption_intensity]]&gt;70,"High",
IF(Table1[[#This Row],[ai_disruption_intensity]]&gt;40,"Medium","Low"))</f>
        <v>Low</v>
      </c>
      <c r="W275" t="str">
        <f>IF(Table1[[#This Row],[skill_gap_index]]&gt;70,"Large Gap",
IF(Table1[[#This Row],[skill_gap_index]]&gt;40,"Medium Gap","Small Gap"))</f>
        <v>Small Gap</v>
      </c>
      <c r="X275" s="3" t="str">
        <f>IF(Table1[[#This Row],[automation_risk_percent]]&gt;0.7,"Highly Automatable",
IF(Table1[[#This Row],[automation_risk_percent]]&gt;0.4,"Moderate Risk","Safe Job"))</f>
        <v>Safe Job</v>
      </c>
    </row>
    <row r="276" spans="1:24" x14ac:dyDescent="0.3">
      <c r="A276">
        <v>997</v>
      </c>
      <c r="B276" t="s">
        <v>22</v>
      </c>
      <c r="C276" t="s">
        <v>38</v>
      </c>
      <c r="D276" t="s">
        <v>47</v>
      </c>
      <c r="E276" s="1">
        <v>2025</v>
      </c>
      <c r="F276" s="11">
        <v>0.76910000000000001</v>
      </c>
      <c r="G276">
        <v>89.94</v>
      </c>
      <c r="H276">
        <v>45.73</v>
      </c>
      <c r="I276" s="2">
        <v>131543.26</v>
      </c>
      <c r="J276" s="2">
        <v>102343.58</v>
      </c>
      <c r="K276" s="2">
        <f>Table1[[#This Row],[Salary_after]]-Table1[[#This Row],[Salary_before]]</f>
        <v>-29199.680000000008</v>
      </c>
      <c r="L276" s="11">
        <v>-0.222</v>
      </c>
      <c r="M276" s="11">
        <v>-0.09</v>
      </c>
      <c r="N276">
        <v>24.11</v>
      </c>
      <c r="O276">
        <v>42.64</v>
      </c>
      <c r="P276">
        <v>4</v>
      </c>
      <c r="Q276" t="s">
        <v>37</v>
      </c>
      <c r="R276">
        <v>61.319999999999901</v>
      </c>
      <c r="S276">
        <v>22.2</v>
      </c>
      <c r="T276" s="4">
        <v>51.142999999999901</v>
      </c>
      <c r="U276" s="4">
        <v>32.794423999999999</v>
      </c>
      <c r="V276" t="str">
        <f>IF(Table1[[#This Row],[ai_disruption_intensity]]&gt;70,"High",
IF(Table1[[#This Row],[ai_disruption_intensity]]&gt;40,"Medium","Low"))</f>
        <v>Low</v>
      </c>
      <c r="W276" t="str">
        <f>IF(Table1[[#This Row],[skill_gap_index]]&gt;70,"Large Gap",
IF(Table1[[#This Row],[skill_gap_index]]&gt;40,"Medium Gap","Small Gap"))</f>
        <v>Medium Gap</v>
      </c>
      <c r="X276" s="3" t="str">
        <f>IF(Table1[[#This Row],[automation_risk_percent]]&gt;0.7,"Highly Automatable",
IF(Table1[[#This Row],[automation_risk_percent]]&gt;0.4,"Moderate Risk","Safe Job"))</f>
        <v>Highly Automatable</v>
      </c>
    </row>
    <row r="277" spans="1:24" x14ac:dyDescent="0.3">
      <c r="A277">
        <v>1003</v>
      </c>
      <c r="B277" t="s">
        <v>22</v>
      </c>
      <c r="C277" t="s">
        <v>23</v>
      </c>
      <c r="D277" t="s">
        <v>31</v>
      </c>
      <c r="E277" s="1">
        <v>2026</v>
      </c>
      <c r="F277" s="11">
        <v>0.74329999999999996</v>
      </c>
      <c r="G277">
        <v>86.22</v>
      </c>
      <c r="H277">
        <v>44.82</v>
      </c>
      <c r="I277" s="2">
        <v>62929.52</v>
      </c>
      <c r="J277" s="2">
        <v>53062.239999999998</v>
      </c>
      <c r="K277" s="2">
        <f>Table1[[#This Row],[Salary_after]]-Table1[[#This Row],[Salary_before]]</f>
        <v>-9867.2799999999988</v>
      </c>
      <c r="L277" s="11">
        <v>-0.15679999999999999</v>
      </c>
      <c r="M277" s="11">
        <v>-9.9199999999999997E-2</v>
      </c>
      <c r="N277">
        <v>35.82</v>
      </c>
      <c r="O277">
        <v>26.86</v>
      </c>
      <c r="P277">
        <v>5</v>
      </c>
      <c r="Q277" t="s">
        <v>37</v>
      </c>
      <c r="R277">
        <v>59.575000000000003</v>
      </c>
      <c r="S277">
        <v>15.68</v>
      </c>
      <c r="T277" s="4">
        <v>47.881999999999998</v>
      </c>
      <c r="U277" s="4">
        <v>19.965038</v>
      </c>
      <c r="V277" t="str">
        <f>IF(Table1[[#This Row],[ai_disruption_intensity]]&gt;70,"High",
IF(Table1[[#This Row],[ai_disruption_intensity]]&gt;40,"Medium","Low"))</f>
        <v>Low</v>
      </c>
      <c r="W277" t="str">
        <f>IF(Table1[[#This Row],[skill_gap_index]]&gt;70,"Large Gap",
IF(Table1[[#This Row],[skill_gap_index]]&gt;40,"Medium Gap","Small Gap"))</f>
        <v>Medium Gap</v>
      </c>
      <c r="X277" s="3" t="str">
        <f>IF(Table1[[#This Row],[automation_risk_percent]]&gt;0.7,"Highly Automatable",
IF(Table1[[#This Row],[automation_risk_percent]]&gt;0.4,"Moderate Risk","Safe Job"))</f>
        <v>Highly Automatable</v>
      </c>
    </row>
    <row r="278" spans="1:24" x14ac:dyDescent="0.3">
      <c r="A278">
        <v>1005</v>
      </c>
      <c r="B278" t="s">
        <v>41</v>
      </c>
      <c r="C278" t="s">
        <v>34</v>
      </c>
      <c r="D278" t="s">
        <v>47</v>
      </c>
      <c r="E278" s="1">
        <v>2026</v>
      </c>
      <c r="F278" s="11">
        <v>0.86950000000000005</v>
      </c>
      <c r="G278">
        <v>77.27</v>
      </c>
      <c r="H278">
        <v>46.35</v>
      </c>
      <c r="I278" s="2">
        <v>86438.89</v>
      </c>
      <c r="J278" s="2">
        <v>89430.69</v>
      </c>
      <c r="K278" s="2">
        <f>Table1[[#This Row],[Salary_after]]-Table1[[#This Row],[Salary_before]]</f>
        <v>2991.8000000000029</v>
      </c>
      <c r="L278" s="11">
        <v>3.4599999999999999E-2</v>
      </c>
      <c r="M278" s="11">
        <v>9.9199999999999997E-2</v>
      </c>
      <c r="N278">
        <v>56.18</v>
      </c>
      <c r="O278">
        <v>67.069999999999993</v>
      </c>
      <c r="P278">
        <v>4</v>
      </c>
      <c r="Q278" t="s">
        <v>37</v>
      </c>
      <c r="R278">
        <v>66.650000000000006</v>
      </c>
      <c r="S278">
        <v>3.46</v>
      </c>
      <c r="T278" s="4">
        <v>49.722999999999999</v>
      </c>
      <c r="U278" s="4">
        <v>58.317365000000002</v>
      </c>
      <c r="V278" t="str">
        <f>IF(Table1[[#This Row],[ai_disruption_intensity]]&gt;70,"High",
IF(Table1[[#This Row],[ai_disruption_intensity]]&gt;40,"Medium","Low"))</f>
        <v>Medium</v>
      </c>
      <c r="W278" t="str">
        <f>IF(Table1[[#This Row],[skill_gap_index]]&gt;70,"Large Gap",
IF(Table1[[#This Row],[skill_gap_index]]&gt;40,"Medium Gap","Small Gap"))</f>
        <v>Medium Gap</v>
      </c>
      <c r="X278" s="3" t="str">
        <f>IF(Table1[[#This Row],[automation_risk_percent]]&gt;0.7,"Highly Automatable",
IF(Table1[[#This Row],[automation_risk_percent]]&gt;0.4,"Moderate Risk","Safe Job"))</f>
        <v>Highly Automatable</v>
      </c>
    </row>
    <row r="279" spans="1:24" x14ac:dyDescent="0.3">
      <c r="A279">
        <v>1007</v>
      </c>
      <c r="B279" t="s">
        <v>26</v>
      </c>
      <c r="C279" t="s">
        <v>38</v>
      </c>
      <c r="D279" t="s">
        <v>24</v>
      </c>
      <c r="E279" s="1">
        <v>2025</v>
      </c>
      <c r="F279" s="11">
        <v>0.3644</v>
      </c>
      <c r="G279">
        <v>38.700000000000003</v>
      </c>
      <c r="H279">
        <v>41.84</v>
      </c>
      <c r="I279" s="2">
        <v>115698.38</v>
      </c>
      <c r="J279" s="2">
        <v>115327.59</v>
      </c>
      <c r="K279" s="2">
        <f>Table1[[#This Row],[Salary_after]]-Table1[[#This Row],[Salary_before]]</f>
        <v>-370.79000000000815</v>
      </c>
      <c r="L279" s="11">
        <v>-3.2000000000000002E-3</v>
      </c>
      <c r="M279" s="11">
        <v>5.3399999999999996E-2</v>
      </c>
      <c r="N279">
        <v>50.64</v>
      </c>
      <c r="O279">
        <v>40.799999999999997</v>
      </c>
      <c r="P279">
        <v>2</v>
      </c>
      <c r="Q279" t="s">
        <v>25</v>
      </c>
      <c r="R279">
        <v>39.14</v>
      </c>
      <c r="S279">
        <v>0.32</v>
      </c>
      <c r="T279" s="4">
        <v>27.224</v>
      </c>
      <c r="U279" s="4">
        <v>14.867519999999899</v>
      </c>
      <c r="V279" t="str">
        <f>IF(Table1[[#This Row],[ai_disruption_intensity]]&gt;70,"High",
IF(Table1[[#This Row],[ai_disruption_intensity]]&gt;40,"Medium","Low"))</f>
        <v>Low</v>
      </c>
      <c r="W279" t="str">
        <f>IF(Table1[[#This Row],[skill_gap_index]]&gt;70,"Large Gap",
IF(Table1[[#This Row],[skill_gap_index]]&gt;40,"Medium Gap","Small Gap"))</f>
        <v>Medium Gap</v>
      </c>
      <c r="X279" s="3" t="str">
        <f>IF(Table1[[#This Row],[automation_risk_percent]]&gt;0.7,"Highly Automatable",
IF(Table1[[#This Row],[automation_risk_percent]]&gt;0.4,"Moderate Risk","Safe Job"))</f>
        <v>Safe Job</v>
      </c>
    </row>
    <row r="280" spans="1:24" x14ac:dyDescent="0.3">
      <c r="A280">
        <v>1019</v>
      </c>
      <c r="B280" t="s">
        <v>44</v>
      </c>
      <c r="C280" t="s">
        <v>33</v>
      </c>
      <c r="D280" t="s">
        <v>28</v>
      </c>
      <c r="E280" s="1">
        <v>2026</v>
      </c>
      <c r="F280" s="11">
        <v>0.3261</v>
      </c>
      <c r="G280">
        <v>29.18</v>
      </c>
      <c r="H280">
        <v>26.26</v>
      </c>
      <c r="I280" s="2">
        <v>90530.52</v>
      </c>
      <c r="J280" s="2">
        <v>90732.76</v>
      </c>
      <c r="K280" s="2">
        <f>Table1[[#This Row],[Salary_after]]-Table1[[#This Row],[Salary_before]]</f>
        <v>202.23999999999069</v>
      </c>
      <c r="L280" s="11">
        <v>2.2000000000000001E-3</v>
      </c>
      <c r="M280" s="11">
        <v>0.21940000000000001</v>
      </c>
      <c r="N280">
        <v>16.100000000000001</v>
      </c>
      <c r="O280">
        <v>72.36</v>
      </c>
      <c r="P280">
        <v>4</v>
      </c>
      <c r="Q280" t="s">
        <v>25</v>
      </c>
      <c r="R280">
        <v>29.434999999999999</v>
      </c>
      <c r="S280">
        <v>0.22</v>
      </c>
      <c r="T280" s="4">
        <v>20.988</v>
      </c>
      <c r="U280" s="4">
        <v>23.596595999999899</v>
      </c>
      <c r="V280" t="str">
        <f>IF(Table1[[#This Row],[ai_disruption_intensity]]&gt;70,"High",
IF(Table1[[#This Row],[ai_disruption_intensity]]&gt;40,"Medium","Low"))</f>
        <v>Low</v>
      </c>
      <c r="W280" t="str">
        <f>IF(Table1[[#This Row],[skill_gap_index]]&gt;70,"Large Gap",
IF(Table1[[#This Row],[skill_gap_index]]&gt;40,"Medium Gap","Small Gap"))</f>
        <v>Small Gap</v>
      </c>
      <c r="X280" s="3" t="str">
        <f>IF(Table1[[#This Row],[automation_risk_percent]]&gt;0.7,"Highly Automatable",
IF(Table1[[#This Row],[automation_risk_percent]]&gt;0.4,"Moderate Risk","Safe Job"))</f>
        <v>Safe Job</v>
      </c>
    </row>
    <row r="281" spans="1:24" x14ac:dyDescent="0.3">
      <c r="A281">
        <v>1021</v>
      </c>
      <c r="B281" t="s">
        <v>44</v>
      </c>
      <c r="C281" t="s">
        <v>40</v>
      </c>
      <c r="D281" t="s">
        <v>31</v>
      </c>
      <c r="E281" s="1">
        <v>2025</v>
      </c>
      <c r="F281" s="11">
        <v>0.31929999999999997</v>
      </c>
      <c r="G281">
        <v>35.17</v>
      </c>
      <c r="H281">
        <v>22.01</v>
      </c>
      <c r="I281" s="2">
        <v>76623.740000000005</v>
      </c>
      <c r="J281" s="2">
        <v>79758.149999999994</v>
      </c>
      <c r="K281" s="2">
        <f>Table1[[#This Row],[Salary_after]]-Table1[[#This Row],[Salary_before]]</f>
        <v>3134.4099999999889</v>
      </c>
      <c r="L281" s="11">
        <v>4.0899999999999999E-2</v>
      </c>
      <c r="M281" s="11">
        <v>0.1167</v>
      </c>
      <c r="N281">
        <v>46.34</v>
      </c>
      <c r="O281">
        <v>21.47</v>
      </c>
      <c r="P281">
        <v>5</v>
      </c>
      <c r="Q281" t="s">
        <v>25</v>
      </c>
      <c r="R281">
        <v>26.97</v>
      </c>
      <c r="S281">
        <v>4.09</v>
      </c>
      <c r="T281" s="4">
        <v>20.602</v>
      </c>
      <c r="U281" s="4">
        <v>6.8553709999999999</v>
      </c>
      <c r="V281" t="str">
        <f>IF(Table1[[#This Row],[ai_disruption_intensity]]&gt;70,"High",
IF(Table1[[#This Row],[ai_disruption_intensity]]&gt;40,"Medium","Low"))</f>
        <v>Low</v>
      </c>
      <c r="W281" t="str">
        <f>IF(Table1[[#This Row],[skill_gap_index]]&gt;70,"Large Gap",
IF(Table1[[#This Row],[skill_gap_index]]&gt;40,"Medium Gap","Small Gap"))</f>
        <v>Small Gap</v>
      </c>
      <c r="X281" s="3" t="str">
        <f>IF(Table1[[#This Row],[automation_risk_percent]]&gt;0.7,"Highly Automatable",
IF(Table1[[#This Row],[automation_risk_percent]]&gt;0.4,"Moderate Risk","Safe Job"))</f>
        <v>Safe Job</v>
      </c>
    </row>
    <row r="282" spans="1:24" x14ac:dyDescent="0.3">
      <c r="A282">
        <v>1028</v>
      </c>
      <c r="B282" t="s">
        <v>18</v>
      </c>
      <c r="C282" t="s">
        <v>27</v>
      </c>
      <c r="D282" t="s">
        <v>24</v>
      </c>
      <c r="E282" s="1">
        <v>2026</v>
      </c>
      <c r="F282" s="11">
        <v>0.31620000000000004</v>
      </c>
      <c r="G282">
        <v>33.630000000000003</v>
      </c>
      <c r="H282">
        <v>56.64</v>
      </c>
      <c r="I282" s="2">
        <v>86610.76</v>
      </c>
      <c r="J282" s="2">
        <v>101775.66</v>
      </c>
      <c r="K282" s="2">
        <f>Table1[[#This Row],[Salary_after]]-Table1[[#This Row],[Salary_before]]</f>
        <v>15164.900000000009</v>
      </c>
      <c r="L282" s="11">
        <v>0.17510000000000001</v>
      </c>
      <c r="M282" s="11">
        <v>4.6799999999999994E-2</v>
      </c>
      <c r="N282">
        <v>17.899999999999999</v>
      </c>
      <c r="O282">
        <v>66.819999999999993</v>
      </c>
      <c r="P282">
        <v>1</v>
      </c>
      <c r="Q282" t="s">
        <v>25</v>
      </c>
      <c r="R282">
        <v>44.13</v>
      </c>
      <c r="S282">
        <v>17.510000000000002</v>
      </c>
      <c r="T282" s="4">
        <v>34.893000000000001</v>
      </c>
      <c r="U282" s="4">
        <v>21.128484</v>
      </c>
      <c r="V282" t="str">
        <f>IF(Table1[[#This Row],[ai_disruption_intensity]]&gt;70,"High",
IF(Table1[[#This Row],[ai_disruption_intensity]]&gt;40,"Medium","Low"))</f>
        <v>Low</v>
      </c>
      <c r="W282" t="str">
        <f>IF(Table1[[#This Row],[skill_gap_index]]&gt;70,"Large Gap",
IF(Table1[[#This Row],[skill_gap_index]]&gt;40,"Medium Gap","Small Gap"))</f>
        <v>Medium Gap</v>
      </c>
      <c r="X282" s="3" t="str">
        <f>IF(Table1[[#This Row],[automation_risk_percent]]&gt;0.7,"Highly Automatable",
IF(Table1[[#This Row],[automation_risk_percent]]&gt;0.4,"Moderate Risk","Safe Job"))</f>
        <v>Safe Job</v>
      </c>
    </row>
    <row r="283" spans="1:24" x14ac:dyDescent="0.3">
      <c r="A283">
        <v>1040</v>
      </c>
      <c r="B283" t="s">
        <v>18</v>
      </c>
      <c r="C283" t="s">
        <v>19</v>
      </c>
      <c r="D283" t="s">
        <v>42</v>
      </c>
      <c r="E283" s="1">
        <v>2025</v>
      </c>
      <c r="F283" s="11">
        <v>0.31769999999999998</v>
      </c>
      <c r="G283">
        <v>26.68</v>
      </c>
      <c r="H283">
        <v>27.25</v>
      </c>
      <c r="I283" s="2">
        <v>129814.24</v>
      </c>
      <c r="J283" s="2">
        <v>129747.94</v>
      </c>
      <c r="K283" s="2">
        <f>Table1[[#This Row],[Salary_after]]-Table1[[#This Row],[Salary_before]]</f>
        <v>-66.30000000000291</v>
      </c>
      <c r="L283" s="11">
        <v>-5.0000000000000001E-4</v>
      </c>
      <c r="M283" s="11">
        <v>8.9900000000000008E-2</v>
      </c>
      <c r="N283">
        <v>10.87</v>
      </c>
      <c r="O283">
        <v>14</v>
      </c>
      <c r="P283">
        <v>2</v>
      </c>
      <c r="Q283" t="s">
        <v>25</v>
      </c>
      <c r="R283">
        <v>29.509999999999899</v>
      </c>
      <c r="S283">
        <v>0.05</v>
      </c>
      <c r="T283" s="4">
        <v>20.898</v>
      </c>
      <c r="U283" s="4">
        <v>4.4478</v>
      </c>
      <c r="V283" t="str">
        <f>IF(Table1[[#This Row],[ai_disruption_intensity]]&gt;70,"High",
IF(Table1[[#This Row],[ai_disruption_intensity]]&gt;40,"Medium","Low"))</f>
        <v>Low</v>
      </c>
      <c r="W283" t="str">
        <f>IF(Table1[[#This Row],[skill_gap_index]]&gt;70,"Large Gap",
IF(Table1[[#This Row],[skill_gap_index]]&gt;40,"Medium Gap","Small Gap"))</f>
        <v>Small Gap</v>
      </c>
      <c r="X283" s="3" t="str">
        <f>IF(Table1[[#This Row],[automation_risk_percent]]&gt;0.7,"Highly Automatable",
IF(Table1[[#This Row],[automation_risk_percent]]&gt;0.4,"Moderate Risk","Safe Job"))</f>
        <v>Safe Job</v>
      </c>
    </row>
    <row r="284" spans="1:24" x14ac:dyDescent="0.3">
      <c r="A284">
        <v>1041</v>
      </c>
      <c r="B284" t="s">
        <v>44</v>
      </c>
      <c r="C284" t="s">
        <v>23</v>
      </c>
      <c r="D284" t="s">
        <v>36</v>
      </c>
      <c r="E284" s="1">
        <v>2025</v>
      </c>
      <c r="F284" s="11">
        <v>0.32549999999999996</v>
      </c>
      <c r="G284">
        <v>33.57</v>
      </c>
      <c r="H284">
        <v>7.51</v>
      </c>
      <c r="I284" s="2">
        <v>143202.88</v>
      </c>
      <c r="J284" s="2">
        <v>153438.24</v>
      </c>
      <c r="K284" s="2">
        <f>Table1[[#This Row],[Salary_after]]-Table1[[#This Row],[Salary_before]]</f>
        <v>10235.359999999986</v>
      </c>
      <c r="L284" s="11">
        <v>7.1500000000000008E-2</v>
      </c>
      <c r="M284" s="11">
        <v>2.6600000000000002E-2</v>
      </c>
      <c r="N284">
        <v>80.25</v>
      </c>
      <c r="O284">
        <v>75.540000000000006</v>
      </c>
      <c r="P284">
        <v>5</v>
      </c>
      <c r="Q284" t="s">
        <v>25</v>
      </c>
      <c r="R284">
        <v>20.029999999999902</v>
      </c>
      <c r="S284">
        <v>7.15</v>
      </c>
      <c r="T284" s="4">
        <v>17.417999999999999</v>
      </c>
      <c r="U284" s="4">
        <v>24.588269999999898</v>
      </c>
      <c r="V284" t="str">
        <f>IF(Table1[[#This Row],[ai_disruption_intensity]]&gt;70,"High",
IF(Table1[[#This Row],[ai_disruption_intensity]]&gt;40,"Medium","Low"))</f>
        <v>Low</v>
      </c>
      <c r="W284" t="str">
        <f>IF(Table1[[#This Row],[skill_gap_index]]&gt;70,"Large Gap",
IF(Table1[[#This Row],[skill_gap_index]]&gt;40,"Medium Gap","Small Gap"))</f>
        <v>Small Gap</v>
      </c>
      <c r="X284" s="3" t="str">
        <f>IF(Table1[[#This Row],[automation_risk_percent]]&gt;0.7,"Highly Automatable",
IF(Table1[[#This Row],[automation_risk_percent]]&gt;0.4,"Moderate Risk","Safe Job"))</f>
        <v>Safe Job</v>
      </c>
    </row>
    <row r="285" spans="1:24" x14ac:dyDescent="0.3">
      <c r="A285">
        <v>1046</v>
      </c>
      <c r="B285" t="s">
        <v>46</v>
      </c>
      <c r="C285" t="s">
        <v>27</v>
      </c>
      <c r="D285" t="s">
        <v>24</v>
      </c>
      <c r="E285" s="1">
        <v>2025</v>
      </c>
      <c r="F285" s="11">
        <v>6.1600000000000002E-2</v>
      </c>
      <c r="G285">
        <v>7.13</v>
      </c>
      <c r="H285">
        <v>38.93</v>
      </c>
      <c r="I285" s="2">
        <v>67604.33</v>
      </c>
      <c r="J285" s="2">
        <v>52151.49</v>
      </c>
      <c r="K285" s="2">
        <f>Table1[[#This Row],[Salary_after]]-Table1[[#This Row],[Salary_before]]</f>
        <v>-15452.840000000004</v>
      </c>
      <c r="L285" s="11">
        <v>-0.2286</v>
      </c>
      <c r="M285" s="11">
        <v>-2.8300000000000002E-2</v>
      </c>
      <c r="N285">
        <v>87.72</v>
      </c>
      <c r="O285">
        <v>92.93</v>
      </c>
      <c r="P285">
        <v>3</v>
      </c>
      <c r="Q285" t="s">
        <v>21</v>
      </c>
      <c r="R285">
        <v>22.545000000000002</v>
      </c>
      <c r="S285">
        <v>22.86</v>
      </c>
      <c r="T285" s="4">
        <v>21.001000000000001</v>
      </c>
      <c r="U285" s="4">
        <v>5.724488</v>
      </c>
      <c r="V285" t="str">
        <f>IF(Table1[[#This Row],[ai_disruption_intensity]]&gt;70,"High",
IF(Table1[[#This Row],[ai_disruption_intensity]]&gt;40,"Medium","Low"))</f>
        <v>Low</v>
      </c>
      <c r="W285" t="str">
        <f>IF(Table1[[#This Row],[skill_gap_index]]&gt;70,"Large Gap",
IF(Table1[[#This Row],[skill_gap_index]]&gt;40,"Medium Gap","Small Gap"))</f>
        <v>Small Gap</v>
      </c>
      <c r="X285" s="3" t="str">
        <f>IF(Table1[[#This Row],[automation_risk_percent]]&gt;0.7,"Highly Automatable",
IF(Table1[[#This Row],[automation_risk_percent]]&gt;0.4,"Moderate Risk","Safe Job"))</f>
        <v>Safe Job</v>
      </c>
    </row>
    <row r="286" spans="1:24" x14ac:dyDescent="0.3">
      <c r="A286">
        <v>1049</v>
      </c>
      <c r="B286" t="s">
        <v>46</v>
      </c>
      <c r="C286" t="s">
        <v>38</v>
      </c>
      <c r="D286" t="s">
        <v>28</v>
      </c>
      <c r="E286" s="1">
        <v>2026</v>
      </c>
      <c r="F286" s="11">
        <v>0.1852</v>
      </c>
      <c r="G286">
        <v>18.670000000000002</v>
      </c>
      <c r="H286">
        <v>45.05</v>
      </c>
      <c r="I286" s="2">
        <v>31397.39</v>
      </c>
      <c r="J286" s="2">
        <v>37529.629999999997</v>
      </c>
      <c r="K286" s="2">
        <f>Table1[[#This Row],[Salary_after]]-Table1[[#This Row],[Salary_before]]</f>
        <v>6132.239999999998</v>
      </c>
      <c r="L286" s="11">
        <v>0.1953</v>
      </c>
      <c r="M286" s="11">
        <v>0.11869999999999999</v>
      </c>
      <c r="N286">
        <v>63.27</v>
      </c>
      <c r="O286">
        <v>73.63</v>
      </c>
      <c r="P286">
        <v>1</v>
      </c>
      <c r="Q286" t="s">
        <v>21</v>
      </c>
      <c r="R286">
        <v>31.784999999999901</v>
      </c>
      <c r="S286">
        <v>19.53</v>
      </c>
      <c r="T286" s="4">
        <v>26.781999999999901</v>
      </c>
      <c r="U286" s="4">
        <v>13.636275999999899</v>
      </c>
      <c r="V286" t="str">
        <f>IF(Table1[[#This Row],[ai_disruption_intensity]]&gt;70,"High",
IF(Table1[[#This Row],[ai_disruption_intensity]]&gt;40,"Medium","Low"))</f>
        <v>Low</v>
      </c>
      <c r="W286" t="str">
        <f>IF(Table1[[#This Row],[skill_gap_index]]&gt;70,"Large Gap",
IF(Table1[[#This Row],[skill_gap_index]]&gt;40,"Medium Gap","Small Gap"))</f>
        <v>Medium Gap</v>
      </c>
      <c r="X286" s="3" t="str">
        <f>IF(Table1[[#This Row],[automation_risk_percent]]&gt;0.7,"Highly Automatable",
IF(Table1[[#This Row],[automation_risk_percent]]&gt;0.4,"Moderate Risk","Safe Job"))</f>
        <v>Safe Job</v>
      </c>
    </row>
    <row r="287" spans="1:24" x14ac:dyDescent="0.3">
      <c r="A287">
        <v>1051</v>
      </c>
      <c r="B287" t="s">
        <v>22</v>
      </c>
      <c r="C287" t="s">
        <v>34</v>
      </c>
      <c r="D287" t="s">
        <v>24</v>
      </c>
      <c r="E287" s="1">
        <v>2025</v>
      </c>
      <c r="F287" s="11">
        <v>0.3301</v>
      </c>
      <c r="G287">
        <v>35.92</v>
      </c>
      <c r="H287">
        <v>64.38</v>
      </c>
      <c r="I287" s="2">
        <v>69938.2</v>
      </c>
      <c r="J287" s="2">
        <v>75056.97</v>
      </c>
      <c r="K287" s="2">
        <f>Table1[[#This Row],[Salary_after]]-Table1[[#This Row],[Salary_before]]</f>
        <v>5118.7700000000041</v>
      </c>
      <c r="L287" s="11">
        <v>7.3200000000000001E-2</v>
      </c>
      <c r="M287" s="11">
        <v>0.17550000000000002</v>
      </c>
      <c r="N287">
        <v>67.37</v>
      </c>
      <c r="O287">
        <v>55.34</v>
      </c>
      <c r="P287">
        <v>3</v>
      </c>
      <c r="Q287" t="s">
        <v>25</v>
      </c>
      <c r="R287">
        <v>48.694999999999901</v>
      </c>
      <c r="S287">
        <v>7.32</v>
      </c>
      <c r="T287" s="4">
        <v>34.713999999999999</v>
      </c>
      <c r="U287" s="4">
        <v>18.267734000000001</v>
      </c>
      <c r="V287" t="str">
        <f>IF(Table1[[#This Row],[ai_disruption_intensity]]&gt;70,"High",
IF(Table1[[#This Row],[ai_disruption_intensity]]&gt;40,"Medium","Low"))</f>
        <v>Low</v>
      </c>
      <c r="W287" t="str">
        <f>IF(Table1[[#This Row],[skill_gap_index]]&gt;70,"Large Gap",
IF(Table1[[#This Row],[skill_gap_index]]&gt;40,"Medium Gap","Small Gap"))</f>
        <v>Medium Gap</v>
      </c>
      <c r="X287" s="3" t="str">
        <f>IF(Table1[[#This Row],[automation_risk_percent]]&gt;0.7,"Highly Automatable",
IF(Table1[[#This Row],[automation_risk_percent]]&gt;0.4,"Moderate Risk","Safe Job"))</f>
        <v>Safe Job</v>
      </c>
    </row>
    <row r="288" spans="1:24" x14ac:dyDescent="0.3">
      <c r="A288">
        <v>1053</v>
      </c>
      <c r="B288" t="s">
        <v>46</v>
      </c>
      <c r="C288" t="s">
        <v>33</v>
      </c>
      <c r="D288" t="s">
        <v>47</v>
      </c>
      <c r="E288" s="1">
        <v>2026</v>
      </c>
      <c r="F288" s="11">
        <v>0.23829999999999998</v>
      </c>
      <c r="G288">
        <v>23.6</v>
      </c>
      <c r="H288">
        <v>29.61</v>
      </c>
      <c r="I288" s="2">
        <v>91791.54</v>
      </c>
      <c r="J288" s="2">
        <v>92278.58</v>
      </c>
      <c r="K288" s="2">
        <f>Table1[[#This Row],[Salary_after]]-Table1[[#This Row],[Salary_before]]</f>
        <v>487.04000000000815</v>
      </c>
      <c r="L288" s="11">
        <v>5.3E-3</v>
      </c>
      <c r="M288" s="11">
        <v>0.13650000000000001</v>
      </c>
      <c r="N288">
        <v>75.239999999999995</v>
      </c>
      <c r="O288">
        <v>43.6</v>
      </c>
      <c r="P288">
        <v>3</v>
      </c>
      <c r="Q288" t="s">
        <v>21</v>
      </c>
      <c r="R288">
        <v>26.72</v>
      </c>
      <c r="S288">
        <v>0.53</v>
      </c>
      <c r="T288" s="4">
        <v>18.573999999999899</v>
      </c>
      <c r="U288" s="4">
        <v>10.38988</v>
      </c>
      <c r="V288" t="str">
        <f>IF(Table1[[#This Row],[ai_disruption_intensity]]&gt;70,"High",
IF(Table1[[#This Row],[ai_disruption_intensity]]&gt;40,"Medium","Low"))</f>
        <v>Low</v>
      </c>
      <c r="W288" t="str">
        <f>IF(Table1[[#This Row],[skill_gap_index]]&gt;70,"Large Gap",
IF(Table1[[#This Row],[skill_gap_index]]&gt;40,"Medium Gap","Small Gap"))</f>
        <v>Small Gap</v>
      </c>
      <c r="X288" s="3" t="str">
        <f>IF(Table1[[#This Row],[automation_risk_percent]]&gt;0.7,"Highly Automatable",
IF(Table1[[#This Row],[automation_risk_percent]]&gt;0.4,"Moderate Risk","Safe Job"))</f>
        <v>Safe Job</v>
      </c>
    </row>
    <row r="289" spans="1:24" x14ac:dyDescent="0.3">
      <c r="A289">
        <v>1061</v>
      </c>
      <c r="B289" t="s">
        <v>45</v>
      </c>
      <c r="C289" t="s">
        <v>33</v>
      </c>
      <c r="D289" t="s">
        <v>42</v>
      </c>
      <c r="E289" s="1">
        <v>2026</v>
      </c>
      <c r="F289" s="11">
        <v>0.27739999999999998</v>
      </c>
      <c r="G289">
        <v>27.79</v>
      </c>
      <c r="H289">
        <v>3.05</v>
      </c>
      <c r="I289" s="2">
        <v>45817.24</v>
      </c>
      <c r="J289" s="2">
        <v>47236.33</v>
      </c>
      <c r="K289" s="2">
        <f>Table1[[#This Row],[Salary_after]]-Table1[[#This Row],[Salary_before]]</f>
        <v>1419.0900000000038</v>
      </c>
      <c r="L289" s="11">
        <v>3.1E-2</v>
      </c>
      <c r="M289" s="11">
        <v>9.7599999999999992E-2</v>
      </c>
      <c r="N289">
        <v>48.06</v>
      </c>
      <c r="O289">
        <v>51.72</v>
      </c>
      <c r="P289">
        <v>4</v>
      </c>
      <c r="Q289" t="s">
        <v>21</v>
      </c>
      <c r="R289">
        <v>15.395</v>
      </c>
      <c r="S289">
        <v>3.1</v>
      </c>
      <c r="T289" s="4">
        <v>12.940999999999899</v>
      </c>
      <c r="U289" s="4">
        <v>14.3471279999999</v>
      </c>
      <c r="V289" t="str">
        <f>IF(Table1[[#This Row],[ai_disruption_intensity]]&gt;70,"High",
IF(Table1[[#This Row],[ai_disruption_intensity]]&gt;40,"Medium","Low"))</f>
        <v>Low</v>
      </c>
      <c r="W289" t="str">
        <f>IF(Table1[[#This Row],[skill_gap_index]]&gt;70,"Large Gap",
IF(Table1[[#This Row],[skill_gap_index]]&gt;40,"Medium Gap","Small Gap"))</f>
        <v>Small Gap</v>
      </c>
      <c r="X289" s="3" t="str">
        <f>IF(Table1[[#This Row],[automation_risk_percent]]&gt;0.7,"Highly Automatable",
IF(Table1[[#This Row],[automation_risk_percent]]&gt;0.4,"Moderate Risk","Safe Job"))</f>
        <v>Safe Job</v>
      </c>
    </row>
    <row r="290" spans="1:24" x14ac:dyDescent="0.3">
      <c r="A290">
        <v>1062</v>
      </c>
      <c r="B290" t="s">
        <v>22</v>
      </c>
      <c r="C290" t="s">
        <v>33</v>
      </c>
      <c r="D290" t="s">
        <v>36</v>
      </c>
      <c r="E290" s="1">
        <v>2026</v>
      </c>
      <c r="F290" s="11">
        <v>0.35899999999999999</v>
      </c>
      <c r="G290">
        <v>39.36</v>
      </c>
      <c r="H290">
        <v>78.42</v>
      </c>
      <c r="I290" s="2">
        <v>121594.22</v>
      </c>
      <c r="J290" s="2">
        <v>110934.09</v>
      </c>
      <c r="K290" s="2">
        <f>Table1[[#This Row],[Salary_after]]-Table1[[#This Row],[Salary_before]]</f>
        <v>-10660.130000000005</v>
      </c>
      <c r="L290" s="11">
        <v>-8.77E-2</v>
      </c>
      <c r="M290" s="11">
        <v>0.11599999999999999</v>
      </c>
      <c r="N290">
        <v>40.42</v>
      </c>
      <c r="O290">
        <v>46.98</v>
      </c>
      <c r="P290">
        <v>3</v>
      </c>
      <c r="Q290" t="s">
        <v>25</v>
      </c>
      <c r="R290">
        <v>57.16</v>
      </c>
      <c r="S290">
        <v>8.77</v>
      </c>
      <c r="T290" s="4">
        <v>40.516999999999904</v>
      </c>
      <c r="U290" s="4">
        <v>16.865819999999999</v>
      </c>
      <c r="V290" t="str">
        <f>IF(Table1[[#This Row],[ai_disruption_intensity]]&gt;70,"High",
IF(Table1[[#This Row],[ai_disruption_intensity]]&gt;40,"Medium","Low"))</f>
        <v>Low</v>
      </c>
      <c r="W290" t="str">
        <f>IF(Table1[[#This Row],[skill_gap_index]]&gt;70,"Large Gap",
IF(Table1[[#This Row],[skill_gap_index]]&gt;40,"Medium Gap","Small Gap"))</f>
        <v>Large Gap</v>
      </c>
      <c r="X290" s="3" t="str">
        <f>IF(Table1[[#This Row],[automation_risk_percent]]&gt;0.7,"Highly Automatable",
IF(Table1[[#This Row],[automation_risk_percent]]&gt;0.4,"Moderate Risk","Safe Job"))</f>
        <v>Safe Job</v>
      </c>
    </row>
    <row r="291" spans="1:24" x14ac:dyDescent="0.3">
      <c r="A291">
        <v>1065</v>
      </c>
      <c r="B291" t="s">
        <v>29</v>
      </c>
      <c r="C291" t="s">
        <v>27</v>
      </c>
      <c r="D291" t="s">
        <v>36</v>
      </c>
      <c r="E291" s="1">
        <v>2026</v>
      </c>
      <c r="F291" s="11">
        <v>0.90560000000000007</v>
      </c>
      <c r="G291">
        <v>86.15</v>
      </c>
      <c r="H291">
        <v>57.64</v>
      </c>
      <c r="I291" s="2">
        <v>125040.38</v>
      </c>
      <c r="J291" s="2">
        <v>139883.64000000001</v>
      </c>
      <c r="K291" s="2">
        <f>Table1[[#This Row],[Salary_after]]-Table1[[#This Row],[Salary_before]]</f>
        <v>14843.260000000009</v>
      </c>
      <c r="L291" s="11">
        <v>0.11869999999999999</v>
      </c>
      <c r="M291" s="11">
        <v>-4.6500000000000007E-2</v>
      </c>
      <c r="N291">
        <v>22.19</v>
      </c>
      <c r="O291">
        <v>29.13</v>
      </c>
      <c r="P291">
        <v>4</v>
      </c>
      <c r="Q291" t="s">
        <v>37</v>
      </c>
      <c r="R291">
        <v>74.099999999999994</v>
      </c>
      <c r="S291">
        <v>11.87</v>
      </c>
      <c r="T291" s="4">
        <v>57.076999999999998</v>
      </c>
      <c r="U291" s="4">
        <v>26.380127999999999</v>
      </c>
      <c r="V291" t="str">
        <f>IF(Table1[[#This Row],[ai_disruption_intensity]]&gt;70,"High",
IF(Table1[[#This Row],[ai_disruption_intensity]]&gt;40,"Medium","Low"))</f>
        <v>Low</v>
      </c>
      <c r="W291" t="str">
        <f>IF(Table1[[#This Row],[skill_gap_index]]&gt;70,"Large Gap",
IF(Table1[[#This Row],[skill_gap_index]]&gt;40,"Medium Gap","Small Gap"))</f>
        <v>Medium Gap</v>
      </c>
      <c r="X291" s="3" t="str">
        <f>IF(Table1[[#This Row],[automation_risk_percent]]&gt;0.7,"Highly Automatable",
IF(Table1[[#This Row],[automation_risk_percent]]&gt;0.4,"Moderate Risk","Safe Job"))</f>
        <v>Highly Automatable</v>
      </c>
    </row>
    <row r="292" spans="1:24" x14ac:dyDescent="0.3">
      <c r="A292">
        <v>1067</v>
      </c>
      <c r="B292" t="s">
        <v>45</v>
      </c>
      <c r="C292" t="s">
        <v>19</v>
      </c>
      <c r="D292" t="s">
        <v>35</v>
      </c>
      <c r="E292" s="1">
        <v>2025</v>
      </c>
      <c r="F292" s="11">
        <v>0.3281</v>
      </c>
      <c r="G292">
        <v>32.49</v>
      </c>
      <c r="H292">
        <v>60.28</v>
      </c>
      <c r="I292" s="2">
        <v>148318.99</v>
      </c>
      <c r="J292" s="2">
        <v>147104.34</v>
      </c>
      <c r="K292" s="2">
        <f>Table1[[#This Row],[Salary_after]]-Table1[[#This Row],[Salary_before]]</f>
        <v>-1214.6499999999942</v>
      </c>
      <c r="L292" s="11">
        <v>-8.199999999999999E-3</v>
      </c>
      <c r="M292" s="11">
        <v>0.14910000000000001</v>
      </c>
      <c r="N292">
        <v>69.17</v>
      </c>
      <c r="O292">
        <v>89.51</v>
      </c>
      <c r="P292">
        <v>5</v>
      </c>
      <c r="Q292" t="s">
        <v>25</v>
      </c>
      <c r="R292">
        <v>46.545000000000002</v>
      </c>
      <c r="S292">
        <v>0.82</v>
      </c>
      <c r="T292" s="4">
        <v>31.454000000000001</v>
      </c>
      <c r="U292" s="4">
        <v>29.368231000000002</v>
      </c>
      <c r="V292" t="str">
        <f>IF(Table1[[#This Row],[ai_disruption_intensity]]&gt;70,"High",
IF(Table1[[#This Row],[ai_disruption_intensity]]&gt;40,"Medium","Low"))</f>
        <v>Low</v>
      </c>
      <c r="W292" t="str">
        <f>IF(Table1[[#This Row],[skill_gap_index]]&gt;70,"Large Gap",
IF(Table1[[#This Row],[skill_gap_index]]&gt;40,"Medium Gap","Small Gap"))</f>
        <v>Medium Gap</v>
      </c>
      <c r="X292" s="3" t="str">
        <f>IF(Table1[[#This Row],[automation_risk_percent]]&gt;0.7,"Highly Automatable",
IF(Table1[[#This Row],[automation_risk_percent]]&gt;0.4,"Moderate Risk","Safe Job"))</f>
        <v>Safe Job</v>
      </c>
    </row>
    <row r="293" spans="1:24" x14ac:dyDescent="0.3">
      <c r="A293">
        <v>1068</v>
      </c>
      <c r="B293" t="s">
        <v>22</v>
      </c>
      <c r="C293" t="s">
        <v>38</v>
      </c>
      <c r="D293" t="s">
        <v>24</v>
      </c>
      <c r="E293" s="1">
        <v>2026</v>
      </c>
      <c r="F293" s="11">
        <v>0.37509999999999999</v>
      </c>
      <c r="G293">
        <v>44.43</v>
      </c>
      <c r="H293">
        <v>41.58</v>
      </c>
      <c r="I293" s="2">
        <v>102129.92</v>
      </c>
      <c r="J293" s="2">
        <v>103556.18</v>
      </c>
      <c r="K293" s="2">
        <f>Table1[[#This Row],[Salary_after]]-Table1[[#This Row],[Salary_before]]</f>
        <v>1426.2599999999948</v>
      </c>
      <c r="L293" s="11">
        <v>1.3999999999999999E-2</v>
      </c>
      <c r="M293" s="11">
        <v>5.6500000000000002E-2</v>
      </c>
      <c r="N293">
        <v>32.020000000000003</v>
      </c>
      <c r="O293">
        <v>74.61</v>
      </c>
      <c r="P293">
        <v>1</v>
      </c>
      <c r="Q293" t="s">
        <v>25</v>
      </c>
      <c r="R293">
        <v>39.545000000000002</v>
      </c>
      <c r="S293">
        <v>1.4</v>
      </c>
      <c r="T293" s="4">
        <v>27.898</v>
      </c>
      <c r="U293" s="4">
        <v>27.986210999999901</v>
      </c>
      <c r="V293" t="str">
        <f>IF(Table1[[#This Row],[ai_disruption_intensity]]&gt;70,"High",
IF(Table1[[#This Row],[ai_disruption_intensity]]&gt;40,"Medium","Low"))</f>
        <v>Low</v>
      </c>
      <c r="W293" t="str">
        <f>IF(Table1[[#This Row],[skill_gap_index]]&gt;70,"Large Gap",
IF(Table1[[#This Row],[skill_gap_index]]&gt;40,"Medium Gap","Small Gap"))</f>
        <v>Medium Gap</v>
      </c>
      <c r="X293" s="3" t="str">
        <f>IF(Table1[[#This Row],[automation_risk_percent]]&gt;0.7,"Highly Automatable",
IF(Table1[[#This Row],[automation_risk_percent]]&gt;0.4,"Moderate Risk","Safe Job"))</f>
        <v>Safe Job</v>
      </c>
    </row>
    <row r="294" spans="1:24" x14ac:dyDescent="0.3">
      <c r="A294">
        <v>1070</v>
      </c>
      <c r="B294" t="s">
        <v>18</v>
      </c>
      <c r="C294" t="s">
        <v>40</v>
      </c>
      <c r="D294" t="s">
        <v>35</v>
      </c>
      <c r="E294" s="1">
        <v>2025</v>
      </c>
      <c r="F294" s="11">
        <v>0.38340000000000002</v>
      </c>
      <c r="G294">
        <v>33.72</v>
      </c>
      <c r="H294">
        <v>96.16</v>
      </c>
      <c r="I294" s="2">
        <v>91376.1</v>
      </c>
      <c r="J294" s="2">
        <v>85972.17</v>
      </c>
      <c r="K294" s="2">
        <f>Table1[[#This Row],[Salary_after]]-Table1[[#This Row],[Salary_before]]</f>
        <v>-5403.9300000000076</v>
      </c>
      <c r="L294" s="11">
        <v>-5.91E-2</v>
      </c>
      <c r="M294" s="11">
        <v>0.20550000000000002</v>
      </c>
      <c r="N294">
        <v>41.96</v>
      </c>
      <c r="O294">
        <v>40.72</v>
      </c>
      <c r="P294">
        <v>5</v>
      </c>
      <c r="Q294" t="s">
        <v>25</v>
      </c>
      <c r="R294">
        <v>67.25</v>
      </c>
      <c r="S294">
        <v>5.91</v>
      </c>
      <c r="T294" s="4">
        <v>45.957000000000001</v>
      </c>
      <c r="U294" s="4">
        <v>15.612048</v>
      </c>
      <c r="V294" t="str">
        <f>IF(Table1[[#This Row],[ai_disruption_intensity]]&gt;70,"High",
IF(Table1[[#This Row],[ai_disruption_intensity]]&gt;40,"Medium","Low"))</f>
        <v>Low</v>
      </c>
      <c r="W294" t="str">
        <f>IF(Table1[[#This Row],[skill_gap_index]]&gt;70,"Large Gap",
IF(Table1[[#This Row],[skill_gap_index]]&gt;40,"Medium Gap","Small Gap"))</f>
        <v>Large Gap</v>
      </c>
      <c r="X294" s="3" t="str">
        <f>IF(Table1[[#This Row],[automation_risk_percent]]&gt;0.7,"Highly Automatable",
IF(Table1[[#This Row],[automation_risk_percent]]&gt;0.4,"Moderate Risk","Safe Job"))</f>
        <v>Safe Job</v>
      </c>
    </row>
    <row r="295" spans="1:24" x14ac:dyDescent="0.3">
      <c r="A295">
        <v>1073</v>
      </c>
      <c r="B295" t="s">
        <v>22</v>
      </c>
      <c r="C295" t="s">
        <v>27</v>
      </c>
      <c r="D295" t="s">
        <v>42</v>
      </c>
      <c r="E295" s="1">
        <v>2025</v>
      </c>
      <c r="F295" s="11">
        <v>0.77200000000000002</v>
      </c>
      <c r="G295">
        <v>87.1</v>
      </c>
      <c r="H295">
        <v>85.39</v>
      </c>
      <c r="I295" s="2">
        <v>50663.31</v>
      </c>
      <c r="J295" s="2">
        <v>45935.89</v>
      </c>
      <c r="K295" s="2">
        <f>Table1[[#This Row],[Salary_after]]-Table1[[#This Row],[Salary_before]]</f>
        <v>-4727.4199999999983</v>
      </c>
      <c r="L295" s="11">
        <v>-9.3299999999999994E-2</v>
      </c>
      <c r="M295" s="11">
        <v>-4.9699999999999994E-2</v>
      </c>
      <c r="N295">
        <v>34.380000000000003</v>
      </c>
      <c r="O295">
        <v>85.54</v>
      </c>
      <c r="P295">
        <v>1</v>
      </c>
      <c r="Q295" t="s">
        <v>37</v>
      </c>
      <c r="R295">
        <v>81.295000000000002</v>
      </c>
      <c r="S295">
        <v>9.33</v>
      </c>
      <c r="T295" s="4">
        <v>59.295999999999999</v>
      </c>
      <c r="U295" s="4">
        <v>66.036879999999996</v>
      </c>
      <c r="V295" t="str">
        <f>IF(Table1[[#This Row],[ai_disruption_intensity]]&gt;70,"High",
IF(Table1[[#This Row],[ai_disruption_intensity]]&gt;40,"Medium","Low"))</f>
        <v>Medium</v>
      </c>
      <c r="W295" t="str">
        <f>IF(Table1[[#This Row],[skill_gap_index]]&gt;70,"Large Gap",
IF(Table1[[#This Row],[skill_gap_index]]&gt;40,"Medium Gap","Small Gap"))</f>
        <v>Large Gap</v>
      </c>
      <c r="X295" s="3" t="str">
        <f>IF(Table1[[#This Row],[automation_risk_percent]]&gt;0.7,"Highly Automatable",
IF(Table1[[#This Row],[automation_risk_percent]]&gt;0.4,"Moderate Risk","Safe Job"))</f>
        <v>Highly Automatable</v>
      </c>
    </row>
    <row r="296" spans="1:24" x14ac:dyDescent="0.3">
      <c r="A296">
        <v>1077</v>
      </c>
      <c r="B296" t="s">
        <v>44</v>
      </c>
      <c r="C296" t="s">
        <v>33</v>
      </c>
      <c r="D296" t="s">
        <v>35</v>
      </c>
      <c r="E296" s="1">
        <v>2026</v>
      </c>
      <c r="F296" s="11">
        <v>0.51950000000000007</v>
      </c>
      <c r="G296">
        <v>51.46</v>
      </c>
      <c r="H296">
        <v>93.28</v>
      </c>
      <c r="I296" s="2">
        <v>39130.17</v>
      </c>
      <c r="J296" s="2">
        <v>46892.160000000003</v>
      </c>
      <c r="K296" s="2">
        <f>Table1[[#This Row],[Salary_after]]-Table1[[#This Row],[Salary_before]]</f>
        <v>7761.9900000000052</v>
      </c>
      <c r="L296" s="11">
        <v>0.19839999999999999</v>
      </c>
      <c r="M296" s="11">
        <v>5.1200000000000002E-2</v>
      </c>
      <c r="N296">
        <v>81.27</v>
      </c>
      <c r="O296">
        <v>58.3</v>
      </c>
      <c r="P296">
        <v>4</v>
      </c>
      <c r="Q296" t="s">
        <v>25</v>
      </c>
      <c r="R296">
        <v>72.614999999999995</v>
      </c>
      <c r="S296">
        <v>19.84</v>
      </c>
      <c r="T296" s="4">
        <v>54.715999999999902</v>
      </c>
      <c r="U296" s="4">
        <v>30.286850000000001</v>
      </c>
      <c r="V296" t="str">
        <f>IF(Table1[[#This Row],[ai_disruption_intensity]]&gt;70,"High",
IF(Table1[[#This Row],[ai_disruption_intensity]]&gt;40,"Medium","Low"))</f>
        <v>Low</v>
      </c>
      <c r="W296" t="str">
        <f>IF(Table1[[#This Row],[skill_gap_index]]&gt;70,"Large Gap",
IF(Table1[[#This Row],[skill_gap_index]]&gt;40,"Medium Gap","Small Gap"))</f>
        <v>Large Gap</v>
      </c>
      <c r="X296" s="3" t="str">
        <f>IF(Table1[[#This Row],[automation_risk_percent]]&gt;0.7,"Highly Automatable",
IF(Table1[[#This Row],[automation_risk_percent]]&gt;0.4,"Moderate Risk","Safe Job"))</f>
        <v>Moderate Risk</v>
      </c>
    </row>
    <row r="297" spans="1:24" x14ac:dyDescent="0.3">
      <c r="A297">
        <v>1079</v>
      </c>
      <c r="B297" t="s">
        <v>43</v>
      </c>
      <c r="C297" t="s">
        <v>33</v>
      </c>
      <c r="D297" t="s">
        <v>31</v>
      </c>
      <c r="E297" s="1">
        <v>2026</v>
      </c>
      <c r="F297" s="11">
        <v>0.16510000000000002</v>
      </c>
      <c r="G297">
        <v>17.100000000000001</v>
      </c>
      <c r="H297">
        <v>53.21</v>
      </c>
      <c r="I297" s="2">
        <v>61965.32</v>
      </c>
      <c r="J297" s="2">
        <v>67572.94</v>
      </c>
      <c r="K297" s="2">
        <f>Table1[[#This Row],[Salary_after]]-Table1[[#This Row],[Salary_before]]</f>
        <v>5607.6200000000026</v>
      </c>
      <c r="L297" s="11">
        <v>9.0500000000000011E-2</v>
      </c>
      <c r="M297" s="11">
        <v>2.7400000000000001E-2</v>
      </c>
      <c r="N297">
        <v>44.56</v>
      </c>
      <c r="O297">
        <v>73.680000000000007</v>
      </c>
      <c r="P297">
        <v>2</v>
      </c>
      <c r="Q297" t="s">
        <v>21</v>
      </c>
      <c r="R297">
        <v>34.86</v>
      </c>
      <c r="S297">
        <v>9.0500000000000007</v>
      </c>
      <c r="T297" s="4">
        <v>25.282</v>
      </c>
      <c r="U297" s="4">
        <v>12.164567999999999</v>
      </c>
      <c r="V297" t="str">
        <f>IF(Table1[[#This Row],[ai_disruption_intensity]]&gt;70,"High",
IF(Table1[[#This Row],[ai_disruption_intensity]]&gt;40,"Medium","Low"))</f>
        <v>Low</v>
      </c>
      <c r="W297" t="str">
        <f>IF(Table1[[#This Row],[skill_gap_index]]&gt;70,"Large Gap",
IF(Table1[[#This Row],[skill_gap_index]]&gt;40,"Medium Gap","Small Gap"))</f>
        <v>Medium Gap</v>
      </c>
      <c r="X297" s="3" t="str">
        <f>IF(Table1[[#This Row],[automation_risk_percent]]&gt;0.7,"Highly Automatable",
IF(Table1[[#This Row],[automation_risk_percent]]&gt;0.4,"Moderate Risk","Safe Job"))</f>
        <v>Safe Job</v>
      </c>
    </row>
    <row r="298" spans="1:24" x14ac:dyDescent="0.3">
      <c r="A298">
        <v>1080</v>
      </c>
      <c r="B298" t="s">
        <v>43</v>
      </c>
      <c r="C298" t="s">
        <v>40</v>
      </c>
      <c r="D298" t="s">
        <v>24</v>
      </c>
      <c r="E298" s="1">
        <v>2025</v>
      </c>
      <c r="F298" s="11">
        <v>0.43320000000000003</v>
      </c>
      <c r="G298">
        <v>36.78</v>
      </c>
      <c r="H298">
        <v>92.79</v>
      </c>
      <c r="I298" s="2">
        <v>84491.59</v>
      </c>
      <c r="J298" s="2">
        <v>77943.81</v>
      </c>
      <c r="K298" s="2">
        <f>Table1[[#This Row],[Salary_after]]-Table1[[#This Row],[Salary_before]]</f>
        <v>-6547.7799999999988</v>
      </c>
      <c r="L298" s="11">
        <v>-7.7499999999999999E-2</v>
      </c>
      <c r="M298" s="11">
        <v>0.18679999999999999</v>
      </c>
      <c r="N298">
        <v>11.7</v>
      </c>
      <c r="O298">
        <v>10.050000000000001</v>
      </c>
      <c r="P298">
        <v>1</v>
      </c>
      <c r="Q298" t="s">
        <v>25</v>
      </c>
      <c r="R298">
        <v>68.055000000000007</v>
      </c>
      <c r="S298">
        <v>7.75</v>
      </c>
      <c r="T298" s="4">
        <v>47.49</v>
      </c>
      <c r="U298" s="4">
        <v>4.3536599999999996</v>
      </c>
      <c r="V298" t="str">
        <f>IF(Table1[[#This Row],[ai_disruption_intensity]]&gt;70,"High",
IF(Table1[[#This Row],[ai_disruption_intensity]]&gt;40,"Medium","Low"))</f>
        <v>Low</v>
      </c>
      <c r="W298" t="str">
        <f>IF(Table1[[#This Row],[skill_gap_index]]&gt;70,"Large Gap",
IF(Table1[[#This Row],[skill_gap_index]]&gt;40,"Medium Gap","Small Gap"))</f>
        <v>Large Gap</v>
      </c>
      <c r="X298" s="3" t="str">
        <f>IF(Table1[[#This Row],[automation_risk_percent]]&gt;0.7,"Highly Automatable",
IF(Table1[[#This Row],[automation_risk_percent]]&gt;0.4,"Moderate Risk","Safe Job"))</f>
        <v>Moderate Risk</v>
      </c>
    </row>
    <row r="299" spans="1:24" x14ac:dyDescent="0.3">
      <c r="A299">
        <v>1084</v>
      </c>
      <c r="B299" t="s">
        <v>29</v>
      </c>
      <c r="C299" t="s">
        <v>23</v>
      </c>
      <c r="D299" t="s">
        <v>20</v>
      </c>
      <c r="E299" s="1">
        <v>2026</v>
      </c>
      <c r="F299" s="11">
        <v>0.73120000000000007</v>
      </c>
      <c r="G299">
        <v>77.02</v>
      </c>
      <c r="H299">
        <v>81.069999999999993</v>
      </c>
      <c r="I299" s="2">
        <v>35370.17</v>
      </c>
      <c r="J299" s="2">
        <v>31655.64</v>
      </c>
      <c r="K299" s="2">
        <f>Table1[[#This Row],[Salary_after]]-Table1[[#This Row],[Salary_before]]</f>
        <v>-3714.5299999999988</v>
      </c>
      <c r="L299" s="11">
        <v>-0.105</v>
      </c>
      <c r="M299" s="11">
        <v>-4.7199999999999999E-2</v>
      </c>
      <c r="N299">
        <v>23.14</v>
      </c>
      <c r="O299">
        <v>28.92</v>
      </c>
      <c r="P299">
        <v>2</v>
      </c>
      <c r="Q299" t="s">
        <v>37</v>
      </c>
      <c r="R299">
        <v>77.094999999999999</v>
      </c>
      <c r="S299">
        <v>10.5</v>
      </c>
      <c r="T299" s="4">
        <v>56.719000000000001</v>
      </c>
      <c r="U299" s="4">
        <v>21.146304000000001</v>
      </c>
      <c r="V299" t="str">
        <f>IF(Table1[[#This Row],[ai_disruption_intensity]]&gt;70,"High",
IF(Table1[[#This Row],[ai_disruption_intensity]]&gt;40,"Medium","Low"))</f>
        <v>Low</v>
      </c>
      <c r="W299" t="str">
        <f>IF(Table1[[#This Row],[skill_gap_index]]&gt;70,"Large Gap",
IF(Table1[[#This Row],[skill_gap_index]]&gt;40,"Medium Gap","Small Gap"))</f>
        <v>Large Gap</v>
      </c>
      <c r="X299" s="3" t="str">
        <f>IF(Table1[[#This Row],[automation_risk_percent]]&gt;0.7,"Highly Automatable",
IF(Table1[[#This Row],[automation_risk_percent]]&gt;0.4,"Moderate Risk","Safe Job"))</f>
        <v>Highly Automatable</v>
      </c>
    </row>
    <row r="300" spans="1:24" x14ac:dyDescent="0.3">
      <c r="A300">
        <v>1087</v>
      </c>
      <c r="B300" t="s">
        <v>46</v>
      </c>
      <c r="C300" t="s">
        <v>33</v>
      </c>
      <c r="D300" t="s">
        <v>42</v>
      </c>
      <c r="E300" s="1">
        <v>2025</v>
      </c>
      <c r="F300" s="11">
        <v>0.42770000000000002</v>
      </c>
      <c r="G300">
        <v>48.25</v>
      </c>
      <c r="H300">
        <v>40.409999999999997</v>
      </c>
      <c r="I300" s="2">
        <v>56580.13</v>
      </c>
      <c r="J300" s="2">
        <v>73231.929999999993</v>
      </c>
      <c r="K300" s="2">
        <f>Table1[[#This Row],[Salary_after]]-Table1[[#This Row],[Salary_before]]</f>
        <v>16651.799999999996</v>
      </c>
      <c r="L300" s="11">
        <v>0.29430000000000001</v>
      </c>
      <c r="M300" s="11">
        <v>0.12240000000000001</v>
      </c>
      <c r="N300">
        <v>58.45</v>
      </c>
      <c r="O300">
        <v>56.51</v>
      </c>
      <c r="P300">
        <v>5</v>
      </c>
      <c r="Q300" t="s">
        <v>25</v>
      </c>
      <c r="R300">
        <v>41.59</v>
      </c>
      <c r="S300">
        <v>29.43</v>
      </c>
      <c r="T300" s="4">
        <v>38.06</v>
      </c>
      <c r="U300" s="4">
        <v>24.169326999999999</v>
      </c>
      <c r="V300" t="str">
        <f>IF(Table1[[#This Row],[ai_disruption_intensity]]&gt;70,"High",
IF(Table1[[#This Row],[ai_disruption_intensity]]&gt;40,"Medium","Low"))</f>
        <v>Low</v>
      </c>
      <c r="W300" t="str">
        <f>IF(Table1[[#This Row],[skill_gap_index]]&gt;70,"Large Gap",
IF(Table1[[#This Row],[skill_gap_index]]&gt;40,"Medium Gap","Small Gap"))</f>
        <v>Medium Gap</v>
      </c>
      <c r="X300" s="3" t="str">
        <f>IF(Table1[[#This Row],[automation_risk_percent]]&gt;0.7,"Highly Automatable",
IF(Table1[[#This Row],[automation_risk_percent]]&gt;0.4,"Moderate Risk","Safe Job"))</f>
        <v>Moderate Risk</v>
      </c>
    </row>
    <row r="301" spans="1:24" x14ac:dyDescent="0.3">
      <c r="A301">
        <v>1089</v>
      </c>
      <c r="B301" t="s">
        <v>41</v>
      </c>
      <c r="C301" t="s">
        <v>30</v>
      </c>
      <c r="D301" t="s">
        <v>47</v>
      </c>
      <c r="E301" s="1">
        <v>2026</v>
      </c>
      <c r="F301" s="11">
        <v>0.77359999999999995</v>
      </c>
      <c r="G301">
        <v>66.19</v>
      </c>
      <c r="H301">
        <v>25.24</v>
      </c>
      <c r="I301" s="2">
        <v>117813.13</v>
      </c>
      <c r="J301" s="2">
        <v>112496.19</v>
      </c>
      <c r="K301" s="2">
        <f>Table1[[#This Row],[Salary_after]]-Table1[[#This Row],[Salary_before]]</f>
        <v>-5316.9400000000023</v>
      </c>
      <c r="L301" s="11">
        <v>-4.5100000000000001E-2</v>
      </c>
      <c r="M301" s="11">
        <v>-5.1799999999999999E-2</v>
      </c>
      <c r="N301">
        <v>33.840000000000003</v>
      </c>
      <c r="O301">
        <v>34.99</v>
      </c>
      <c r="P301">
        <v>1</v>
      </c>
      <c r="Q301" t="s">
        <v>37</v>
      </c>
      <c r="R301">
        <v>51.3</v>
      </c>
      <c r="S301">
        <v>4.51</v>
      </c>
      <c r="T301" s="4">
        <v>39.869</v>
      </c>
      <c r="U301" s="4">
        <v>27.068263999999999</v>
      </c>
      <c r="V301" t="str">
        <f>IF(Table1[[#This Row],[ai_disruption_intensity]]&gt;70,"High",
IF(Table1[[#This Row],[ai_disruption_intensity]]&gt;40,"Medium","Low"))</f>
        <v>Low</v>
      </c>
      <c r="W301" t="str">
        <f>IF(Table1[[#This Row],[skill_gap_index]]&gt;70,"Large Gap",
IF(Table1[[#This Row],[skill_gap_index]]&gt;40,"Medium Gap","Small Gap"))</f>
        <v>Small Gap</v>
      </c>
      <c r="X301" s="3" t="str">
        <f>IF(Table1[[#This Row],[automation_risk_percent]]&gt;0.7,"Highly Automatable",
IF(Table1[[#This Row],[automation_risk_percent]]&gt;0.4,"Moderate Risk","Safe Job"))</f>
        <v>Highly Automatable</v>
      </c>
    </row>
    <row r="302" spans="1:24" x14ac:dyDescent="0.3">
      <c r="A302">
        <v>1090</v>
      </c>
      <c r="B302" t="s">
        <v>46</v>
      </c>
      <c r="C302" t="s">
        <v>23</v>
      </c>
      <c r="D302" t="s">
        <v>32</v>
      </c>
      <c r="E302" s="1">
        <v>2025</v>
      </c>
      <c r="F302" s="11">
        <v>0.49579999999999996</v>
      </c>
      <c r="G302">
        <v>46.96</v>
      </c>
      <c r="H302">
        <v>55.53</v>
      </c>
      <c r="I302" s="2">
        <v>41991.83</v>
      </c>
      <c r="J302" s="2">
        <v>39880.19</v>
      </c>
      <c r="K302" s="2">
        <f>Table1[[#This Row],[Salary_after]]-Table1[[#This Row],[Salary_before]]</f>
        <v>-2111.6399999999994</v>
      </c>
      <c r="L302" s="11">
        <v>-5.0300000000000004E-2</v>
      </c>
      <c r="M302" s="11">
        <v>0.16789999999999999</v>
      </c>
      <c r="N302">
        <v>68.37</v>
      </c>
      <c r="O302">
        <v>72.540000000000006</v>
      </c>
      <c r="P302">
        <v>5</v>
      </c>
      <c r="Q302" t="s">
        <v>25</v>
      </c>
      <c r="R302">
        <v>52.555</v>
      </c>
      <c r="S302">
        <v>5.03</v>
      </c>
      <c r="T302" s="4">
        <v>38</v>
      </c>
      <c r="U302" s="4">
        <v>35.965331999999997</v>
      </c>
      <c r="V302" t="str">
        <f>IF(Table1[[#This Row],[ai_disruption_intensity]]&gt;70,"High",
IF(Table1[[#This Row],[ai_disruption_intensity]]&gt;40,"Medium","Low"))</f>
        <v>Low</v>
      </c>
      <c r="W302" t="str">
        <f>IF(Table1[[#This Row],[skill_gap_index]]&gt;70,"Large Gap",
IF(Table1[[#This Row],[skill_gap_index]]&gt;40,"Medium Gap","Small Gap"))</f>
        <v>Medium Gap</v>
      </c>
      <c r="X302" s="3" t="str">
        <f>IF(Table1[[#This Row],[automation_risk_percent]]&gt;0.7,"Highly Automatable",
IF(Table1[[#This Row],[automation_risk_percent]]&gt;0.4,"Moderate Risk","Safe Job"))</f>
        <v>Moderate Risk</v>
      </c>
    </row>
    <row r="303" spans="1:24" x14ac:dyDescent="0.3">
      <c r="A303">
        <v>1092</v>
      </c>
      <c r="B303" t="s">
        <v>45</v>
      </c>
      <c r="C303" t="s">
        <v>23</v>
      </c>
      <c r="D303" t="s">
        <v>42</v>
      </c>
      <c r="E303" s="1">
        <v>2025</v>
      </c>
      <c r="F303" s="11">
        <v>0.58700000000000008</v>
      </c>
      <c r="G303">
        <v>64.94</v>
      </c>
      <c r="H303">
        <v>44.12</v>
      </c>
      <c r="I303" s="2">
        <v>115977.15</v>
      </c>
      <c r="J303" s="2">
        <v>101064.07</v>
      </c>
      <c r="K303" s="2">
        <f>Table1[[#This Row],[Salary_after]]-Table1[[#This Row],[Salary_before]]</f>
        <v>-14913.079999999987</v>
      </c>
      <c r="L303" s="11">
        <v>-0.12859999999999999</v>
      </c>
      <c r="M303" s="11">
        <v>-5.0000000000000001E-4</v>
      </c>
      <c r="N303">
        <v>66.94</v>
      </c>
      <c r="O303">
        <v>97.6</v>
      </c>
      <c r="P303">
        <v>2</v>
      </c>
      <c r="Q303" t="s">
        <v>25</v>
      </c>
      <c r="R303">
        <v>51.41</v>
      </c>
      <c r="S303">
        <v>12.86</v>
      </c>
      <c r="T303" s="4">
        <v>40.573999999999998</v>
      </c>
      <c r="U303" s="4">
        <v>57.291199999999897</v>
      </c>
      <c r="V303" t="str">
        <f>IF(Table1[[#This Row],[ai_disruption_intensity]]&gt;70,"High",
IF(Table1[[#This Row],[ai_disruption_intensity]]&gt;40,"Medium","Low"))</f>
        <v>Medium</v>
      </c>
      <c r="W303" t="str">
        <f>IF(Table1[[#This Row],[skill_gap_index]]&gt;70,"Large Gap",
IF(Table1[[#This Row],[skill_gap_index]]&gt;40,"Medium Gap","Small Gap"))</f>
        <v>Medium Gap</v>
      </c>
      <c r="X303" s="3" t="str">
        <f>IF(Table1[[#This Row],[automation_risk_percent]]&gt;0.7,"Highly Automatable",
IF(Table1[[#This Row],[automation_risk_percent]]&gt;0.4,"Moderate Risk","Safe Job"))</f>
        <v>Moderate Risk</v>
      </c>
    </row>
    <row r="304" spans="1:24" x14ac:dyDescent="0.3">
      <c r="A304">
        <v>1093</v>
      </c>
      <c r="B304" t="s">
        <v>46</v>
      </c>
      <c r="C304" t="s">
        <v>38</v>
      </c>
      <c r="D304" t="s">
        <v>47</v>
      </c>
      <c r="E304" s="1">
        <v>2025</v>
      </c>
      <c r="F304" s="11">
        <v>0.21739999999999998</v>
      </c>
      <c r="G304">
        <v>21.4</v>
      </c>
      <c r="H304">
        <v>67.400000000000006</v>
      </c>
      <c r="I304" s="2">
        <v>94980.75</v>
      </c>
      <c r="J304" s="2">
        <v>99390.25</v>
      </c>
      <c r="K304" s="2">
        <f>Table1[[#This Row],[Salary_after]]-Table1[[#This Row],[Salary_before]]</f>
        <v>4409.5</v>
      </c>
      <c r="L304" s="11">
        <v>4.6399999999999997E-2</v>
      </c>
      <c r="M304" s="11">
        <v>0.1109</v>
      </c>
      <c r="N304">
        <v>15.25</v>
      </c>
      <c r="O304">
        <v>99.84</v>
      </c>
      <c r="P304">
        <v>2</v>
      </c>
      <c r="Q304" t="s">
        <v>21</v>
      </c>
      <c r="R304">
        <v>44.57</v>
      </c>
      <c r="S304">
        <v>4.6399999999999997</v>
      </c>
      <c r="T304" s="4">
        <v>30.308</v>
      </c>
      <c r="U304" s="4">
        <v>21.705216</v>
      </c>
      <c r="V304" t="str">
        <f>IF(Table1[[#This Row],[ai_disruption_intensity]]&gt;70,"High",
IF(Table1[[#This Row],[ai_disruption_intensity]]&gt;40,"Medium","Low"))</f>
        <v>Low</v>
      </c>
      <c r="W304" t="str">
        <f>IF(Table1[[#This Row],[skill_gap_index]]&gt;70,"Large Gap",
IF(Table1[[#This Row],[skill_gap_index]]&gt;40,"Medium Gap","Small Gap"))</f>
        <v>Medium Gap</v>
      </c>
      <c r="X304" s="3" t="str">
        <f>IF(Table1[[#This Row],[automation_risk_percent]]&gt;0.7,"Highly Automatable",
IF(Table1[[#This Row],[automation_risk_percent]]&gt;0.4,"Moderate Risk","Safe Job"))</f>
        <v>Safe Job</v>
      </c>
    </row>
    <row r="305" spans="1:24" x14ac:dyDescent="0.3">
      <c r="A305">
        <v>1094</v>
      </c>
      <c r="B305" t="s">
        <v>22</v>
      </c>
      <c r="C305" t="s">
        <v>33</v>
      </c>
      <c r="D305" t="s">
        <v>42</v>
      </c>
      <c r="E305" s="1">
        <v>2025</v>
      </c>
      <c r="F305" s="11">
        <v>0.62670000000000003</v>
      </c>
      <c r="G305">
        <v>71.790000000000006</v>
      </c>
      <c r="H305">
        <v>65.12</v>
      </c>
      <c r="I305" s="2">
        <v>132754.22</v>
      </c>
      <c r="J305" s="2">
        <v>128603.29</v>
      </c>
      <c r="K305" s="2">
        <f>Table1[[#This Row],[Salary_after]]-Table1[[#This Row],[Salary_before]]</f>
        <v>-4150.9300000000076</v>
      </c>
      <c r="L305" s="11">
        <v>-3.1300000000000001E-2</v>
      </c>
      <c r="M305" s="11">
        <v>-2.9600000000000001E-2</v>
      </c>
      <c r="N305">
        <v>88.88</v>
      </c>
      <c r="O305">
        <v>20.170000000000002</v>
      </c>
      <c r="P305">
        <v>4</v>
      </c>
      <c r="Q305" t="s">
        <v>37</v>
      </c>
      <c r="R305">
        <v>63.895000000000003</v>
      </c>
      <c r="S305">
        <v>3.13</v>
      </c>
      <c r="T305" s="4">
        <v>45.542999999999999</v>
      </c>
      <c r="U305" s="4">
        <v>12.640539</v>
      </c>
      <c r="V305" t="str">
        <f>IF(Table1[[#This Row],[ai_disruption_intensity]]&gt;70,"High",
IF(Table1[[#This Row],[ai_disruption_intensity]]&gt;40,"Medium","Low"))</f>
        <v>Low</v>
      </c>
      <c r="W305" t="str">
        <f>IF(Table1[[#This Row],[skill_gap_index]]&gt;70,"Large Gap",
IF(Table1[[#This Row],[skill_gap_index]]&gt;40,"Medium Gap","Small Gap"))</f>
        <v>Medium Gap</v>
      </c>
      <c r="X305" s="3" t="str">
        <f>IF(Table1[[#This Row],[automation_risk_percent]]&gt;0.7,"Highly Automatable",
IF(Table1[[#This Row],[automation_risk_percent]]&gt;0.4,"Moderate Risk","Safe Job"))</f>
        <v>Moderate Risk</v>
      </c>
    </row>
    <row r="306" spans="1:24" x14ac:dyDescent="0.3">
      <c r="A306">
        <v>1095</v>
      </c>
      <c r="B306" t="s">
        <v>45</v>
      </c>
      <c r="C306" t="s">
        <v>19</v>
      </c>
      <c r="D306" t="s">
        <v>28</v>
      </c>
      <c r="E306" s="1">
        <v>2025</v>
      </c>
      <c r="F306" s="11">
        <v>0.15479999999999999</v>
      </c>
      <c r="G306">
        <v>17.260000000000002</v>
      </c>
      <c r="H306">
        <v>83.55</v>
      </c>
      <c r="I306" s="2">
        <v>49518.27</v>
      </c>
      <c r="J306" s="2">
        <v>51692.86</v>
      </c>
      <c r="K306" s="2">
        <f>Table1[[#This Row],[Salary_after]]-Table1[[#This Row],[Salary_before]]</f>
        <v>2174.5900000000038</v>
      </c>
      <c r="L306" s="11">
        <v>4.3899999999999995E-2</v>
      </c>
      <c r="M306" s="11">
        <v>0.1333</v>
      </c>
      <c r="N306">
        <v>56.81</v>
      </c>
      <c r="O306">
        <v>83.03</v>
      </c>
      <c r="P306">
        <v>4</v>
      </c>
      <c r="Q306" t="s">
        <v>21</v>
      </c>
      <c r="R306">
        <v>49.515000000000001</v>
      </c>
      <c r="S306">
        <v>4.3899999999999997</v>
      </c>
      <c r="T306" s="4">
        <v>32.573999999999998</v>
      </c>
      <c r="U306" s="4">
        <v>12.853044000000001</v>
      </c>
      <c r="V306" t="str">
        <f>IF(Table1[[#This Row],[ai_disruption_intensity]]&gt;70,"High",
IF(Table1[[#This Row],[ai_disruption_intensity]]&gt;40,"Medium","Low"))</f>
        <v>Low</v>
      </c>
      <c r="W306" t="str">
        <f>IF(Table1[[#This Row],[skill_gap_index]]&gt;70,"Large Gap",
IF(Table1[[#This Row],[skill_gap_index]]&gt;40,"Medium Gap","Small Gap"))</f>
        <v>Large Gap</v>
      </c>
      <c r="X306" s="3" t="str">
        <f>IF(Table1[[#This Row],[automation_risk_percent]]&gt;0.7,"Highly Automatable",
IF(Table1[[#This Row],[automation_risk_percent]]&gt;0.4,"Moderate Risk","Safe Job"))</f>
        <v>Safe Job</v>
      </c>
    </row>
    <row r="307" spans="1:24" x14ac:dyDescent="0.3">
      <c r="A307">
        <v>1101</v>
      </c>
      <c r="B307" t="s">
        <v>18</v>
      </c>
      <c r="C307" t="s">
        <v>34</v>
      </c>
      <c r="D307" t="s">
        <v>47</v>
      </c>
      <c r="E307" s="1">
        <v>2025</v>
      </c>
      <c r="F307" s="11">
        <v>0.217</v>
      </c>
      <c r="G307">
        <v>20.89</v>
      </c>
      <c r="H307">
        <v>23.23</v>
      </c>
      <c r="I307" s="2">
        <v>94176.12</v>
      </c>
      <c r="J307" s="2">
        <v>94550.13</v>
      </c>
      <c r="K307" s="2">
        <f>Table1[[#This Row],[Salary_after]]-Table1[[#This Row],[Salary_before]]</f>
        <v>374.01000000000931</v>
      </c>
      <c r="L307" s="11">
        <v>4.0000000000000001E-3</v>
      </c>
      <c r="M307" s="11">
        <v>-9.2300000000000007E-2</v>
      </c>
      <c r="N307">
        <v>24.16</v>
      </c>
      <c r="O307">
        <v>67.099999999999994</v>
      </c>
      <c r="P307">
        <v>1</v>
      </c>
      <c r="Q307" t="s">
        <v>21</v>
      </c>
      <c r="R307">
        <v>22.465</v>
      </c>
      <c r="S307">
        <v>0.4</v>
      </c>
      <c r="T307" s="4">
        <v>15.769</v>
      </c>
      <c r="U307" s="4">
        <v>14.560699999999899</v>
      </c>
      <c r="V307" t="str">
        <f>IF(Table1[[#This Row],[ai_disruption_intensity]]&gt;70,"High",
IF(Table1[[#This Row],[ai_disruption_intensity]]&gt;40,"Medium","Low"))</f>
        <v>Low</v>
      </c>
      <c r="W307" t="str">
        <f>IF(Table1[[#This Row],[skill_gap_index]]&gt;70,"Large Gap",
IF(Table1[[#This Row],[skill_gap_index]]&gt;40,"Medium Gap","Small Gap"))</f>
        <v>Small Gap</v>
      </c>
      <c r="X307" s="3" t="str">
        <f>IF(Table1[[#This Row],[automation_risk_percent]]&gt;0.7,"Highly Automatable",
IF(Table1[[#This Row],[automation_risk_percent]]&gt;0.4,"Moderate Risk","Safe Job"))</f>
        <v>Safe Job</v>
      </c>
    </row>
    <row r="308" spans="1:24" x14ac:dyDescent="0.3">
      <c r="A308">
        <v>1105</v>
      </c>
      <c r="B308" t="s">
        <v>46</v>
      </c>
      <c r="C308" t="s">
        <v>27</v>
      </c>
      <c r="D308" t="s">
        <v>32</v>
      </c>
      <c r="E308" s="1">
        <v>2026</v>
      </c>
      <c r="F308" s="11">
        <v>0.05</v>
      </c>
      <c r="G308">
        <v>5.43</v>
      </c>
      <c r="H308">
        <v>17.12</v>
      </c>
      <c r="I308" s="2">
        <v>42537.89</v>
      </c>
      <c r="J308" s="2">
        <v>39914.26</v>
      </c>
      <c r="K308" s="2">
        <f>Table1[[#This Row],[Salary_after]]-Table1[[#This Row],[Salary_before]]</f>
        <v>-2623.6299999999974</v>
      </c>
      <c r="L308" s="11">
        <v>-6.1699999999999998E-2</v>
      </c>
      <c r="M308" s="11">
        <v>-8.48E-2</v>
      </c>
      <c r="N308">
        <v>52.83</v>
      </c>
      <c r="O308">
        <v>4.46</v>
      </c>
      <c r="P308">
        <v>1</v>
      </c>
      <c r="Q308" t="s">
        <v>21</v>
      </c>
      <c r="R308">
        <v>11.06</v>
      </c>
      <c r="S308">
        <v>6.17</v>
      </c>
      <c r="T308" s="4">
        <v>8.9870000000000001</v>
      </c>
      <c r="U308" s="4">
        <v>0.223</v>
      </c>
      <c r="V308" t="str">
        <f>IF(Table1[[#This Row],[ai_disruption_intensity]]&gt;70,"High",
IF(Table1[[#This Row],[ai_disruption_intensity]]&gt;40,"Medium","Low"))</f>
        <v>Low</v>
      </c>
      <c r="W308" t="str">
        <f>IF(Table1[[#This Row],[skill_gap_index]]&gt;70,"Large Gap",
IF(Table1[[#This Row],[skill_gap_index]]&gt;40,"Medium Gap","Small Gap"))</f>
        <v>Small Gap</v>
      </c>
      <c r="X308" s="3" t="str">
        <f>IF(Table1[[#This Row],[automation_risk_percent]]&gt;0.7,"Highly Automatable",
IF(Table1[[#This Row],[automation_risk_percent]]&gt;0.4,"Moderate Risk","Safe Job"))</f>
        <v>Safe Job</v>
      </c>
    </row>
    <row r="309" spans="1:24" x14ac:dyDescent="0.3">
      <c r="A309">
        <v>1111</v>
      </c>
      <c r="B309" t="s">
        <v>43</v>
      </c>
      <c r="C309" t="s">
        <v>23</v>
      </c>
      <c r="D309" t="s">
        <v>20</v>
      </c>
      <c r="E309" s="1">
        <v>2026</v>
      </c>
      <c r="F309" s="11">
        <v>0.34389999999999998</v>
      </c>
      <c r="G309">
        <v>29.98</v>
      </c>
      <c r="H309">
        <v>64.709999999999994</v>
      </c>
      <c r="I309" s="2">
        <v>85712.68</v>
      </c>
      <c r="J309" s="2">
        <v>61937.57</v>
      </c>
      <c r="K309" s="2">
        <f>Table1[[#This Row],[Salary_after]]-Table1[[#This Row],[Salary_before]]</f>
        <v>-23775.109999999993</v>
      </c>
      <c r="L309" s="11">
        <v>-0.27739999999999998</v>
      </c>
      <c r="M309" s="11">
        <v>3.2000000000000001E-2</v>
      </c>
      <c r="N309">
        <v>96.04</v>
      </c>
      <c r="O309">
        <v>21.47</v>
      </c>
      <c r="P309">
        <v>5</v>
      </c>
      <c r="Q309" t="s">
        <v>25</v>
      </c>
      <c r="R309">
        <v>49.55</v>
      </c>
      <c r="S309">
        <v>27.74</v>
      </c>
      <c r="T309" s="4">
        <v>41.491</v>
      </c>
      <c r="U309" s="4">
        <v>7.3835329999999999</v>
      </c>
      <c r="V309" t="str">
        <f>IF(Table1[[#This Row],[ai_disruption_intensity]]&gt;70,"High",
IF(Table1[[#This Row],[ai_disruption_intensity]]&gt;40,"Medium","Low"))</f>
        <v>Low</v>
      </c>
      <c r="W309" t="str">
        <f>IF(Table1[[#This Row],[skill_gap_index]]&gt;70,"Large Gap",
IF(Table1[[#This Row],[skill_gap_index]]&gt;40,"Medium Gap","Small Gap"))</f>
        <v>Medium Gap</v>
      </c>
      <c r="X309" s="3" t="str">
        <f>IF(Table1[[#This Row],[automation_risk_percent]]&gt;0.7,"Highly Automatable",
IF(Table1[[#This Row],[automation_risk_percent]]&gt;0.4,"Moderate Risk","Safe Job"))</f>
        <v>Safe Job</v>
      </c>
    </row>
    <row r="310" spans="1:24" x14ac:dyDescent="0.3">
      <c r="A310">
        <v>1112</v>
      </c>
      <c r="B310" t="s">
        <v>22</v>
      </c>
      <c r="C310" t="s">
        <v>33</v>
      </c>
      <c r="D310" t="s">
        <v>31</v>
      </c>
      <c r="E310" s="1">
        <v>2026</v>
      </c>
      <c r="F310" s="11">
        <v>0.4617</v>
      </c>
      <c r="G310">
        <v>50.52</v>
      </c>
      <c r="H310">
        <v>55.68</v>
      </c>
      <c r="I310" s="2">
        <v>141482.51</v>
      </c>
      <c r="J310" s="2">
        <v>132040.91</v>
      </c>
      <c r="K310" s="2">
        <f>Table1[[#This Row],[Salary_after]]-Table1[[#This Row],[Salary_before]]</f>
        <v>-9441.6000000000058</v>
      </c>
      <c r="L310" s="11">
        <v>-6.6699999999999995E-2</v>
      </c>
      <c r="M310" s="11">
        <v>-0.17420000000000002</v>
      </c>
      <c r="N310">
        <v>17.97</v>
      </c>
      <c r="O310">
        <v>60.9</v>
      </c>
      <c r="P310">
        <v>3</v>
      </c>
      <c r="Q310" t="s">
        <v>25</v>
      </c>
      <c r="R310">
        <v>50.924999999999997</v>
      </c>
      <c r="S310">
        <v>6.67</v>
      </c>
      <c r="T310" s="4">
        <v>37.172999999999902</v>
      </c>
      <c r="U310" s="4">
        <v>28.117529999999999</v>
      </c>
      <c r="V310" t="str">
        <f>IF(Table1[[#This Row],[ai_disruption_intensity]]&gt;70,"High",
IF(Table1[[#This Row],[ai_disruption_intensity]]&gt;40,"Medium","Low"))</f>
        <v>Low</v>
      </c>
      <c r="W310" t="str">
        <f>IF(Table1[[#This Row],[skill_gap_index]]&gt;70,"Large Gap",
IF(Table1[[#This Row],[skill_gap_index]]&gt;40,"Medium Gap","Small Gap"))</f>
        <v>Medium Gap</v>
      </c>
      <c r="X310" s="3" t="str">
        <f>IF(Table1[[#This Row],[automation_risk_percent]]&gt;0.7,"Highly Automatable",
IF(Table1[[#This Row],[automation_risk_percent]]&gt;0.4,"Moderate Risk","Safe Job"))</f>
        <v>Moderate Risk</v>
      </c>
    </row>
    <row r="311" spans="1:24" x14ac:dyDescent="0.3">
      <c r="A311">
        <v>1115</v>
      </c>
      <c r="B311" t="s">
        <v>29</v>
      </c>
      <c r="C311" t="s">
        <v>27</v>
      </c>
      <c r="D311" t="s">
        <v>28</v>
      </c>
      <c r="E311" s="1">
        <v>2025</v>
      </c>
      <c r="F311" s="11">
        <v>0.30230000000000001</v>
      </c>
      <c r="G311">
        <v>29.76</v>
      </c>
      <c r="H311">
        <v>89.08</v>
      </c>
      <c r="I311" s="2">
        <v>41335.49</v>
      </c>
      <c r="J311" s="2">
        <v>45534.92</v>
      </c>
      <c r="K311" s="2">
        <f>Table1[[#This Row],[Salary_after]]-Table1[[#This Row],[Salary_before]]</f>
        <v>4199.43</v>
      </c>
      <c r="L311" s="11">
        <v>0.1016</v>
      </c>
      <c r="M311" s="11">
        <v>9.7000000000000003E-3</v>
      </c>
      <c r="N311">
        <v>47.65</v>
      </c>
      <c r="O311">
        <v>44.09</v>
      </c>
      <c r="P311">
        <v>5</v>
      </c>
      <c r="Q311" t="s">
        <v>25</v>
      </c>
      <c r="R311">
        <v>59.655000000000001</v>
      </c>
      <c r="S311">
        <v>10.16</v>
      </c>
      <c r="T311" s="4">
        <v>41.863999999999997</v>
      </c>
      <c r="U311" s="4">
        <v>13.328407</v>
      </c>
      <c r="V311" t="str">
        <f>IF(Table1[[#This Row],[ai_disruption_intensity]]&gt;70,"High",
IF(Table1[[#This Row],[ai_disruption_intensity]]&gt;40,"Medium","Low"))</f>
        <v>Low</v>
      </c>
      <c r="W311" t="str">
        <f>IF(Table1[[#This Row],[skill_gap_index]]&gt;70,"Large Gap",
IF(Table1[[#This Row],[skill_gap_index]]&gt;40,"Medium Gap","Small Gap"))</f>
        <v>Large Gap</v>
      </c>
      <c r="X311" s="3" t="str">
        <f>IF(Table1[[#This Row],[automation_risk_percent]]&gt;0.7,"Highly Automatable",
IF(Table1[[#This Row],[automation_risk_percent]]&gt;0.4,"Moderate Risk","Safe Job"))</f>
        <v>Safe Job</v>
      </c>
    </row>
    <row r="312" spans="1:24" x14ac:dyDescent="0.3">
      <c r="A312">
        <v>1116</v>
      </c>
      <c r="B312" t="s">
        <v>43</v>
      </c>
      <c r="C312" t="s">
        <v>30</v>
      </c>
      <c r="D312" t="s">
        <v>47</v>
      </c>
      <c r="E312" s="1">
        <v>2025</v>
      </c>
      <c r="F312" s="11">
        <v>0.54400000000000004</v>
      </c>
      <c r="G312">
        <v>60.37</v>
      </c>
      <c r="H312">
        <v>3.38</v>
      </c>
      <c r="I312" s="2">
        <v>101178.72</v>
      </c>
      <c r="J312" s="2">
        <v>95826.38</v>
      </c>
      <c r="K312" s="2">
        <f>Table1[[#This Row],[Salary_after]]-Table1[[#This Row],[Salary_before]]</f>
        <v>-5352.3399999999965</v>
      </c>
      <c r="L312" s="11">
        <v>-5.2900000000000003E-2</v>
      </c>
      <c r="M312" s="11">
        <v>-5.7599999999999998E-2</v>
      </c>
      <c r="N312">
        <v>41.32</v>
      </c>
      <c r="O312">
        <v>46.91</v>
      </c>
      <c r="P312">
        <v>4</v>
      </c>
      <c r="Q312" t="s">
        <v>25</v>
      </c>
      <c r="R312">
        <v>28.89</v>
      </c>
      <c r="S312">
        <v>5.29</v>
      </c>
      <c r="T312" s="4">
        <v>24.361000000000001</v>
      </c>
      <c r="U312" s="4">
        <v>25.519039999999901</v>
      </c>
      <c r="V312" t="str">
        <f>IF(Table1[[#This Row],[ai_disruption_intensity]]&gt;70,"High",
IF(Table1[[#This Row],[ai_disruption_intensity]]&gt;40,"Medium","Low"))</f>
        <v>Low</v>
      </c>
      <c r="W312" t="str">
        <f>IF(Table1[[#This Row],[skill_gap_index]]&gt;70,"Large Gap",
IF(Table1[[#This Row],[skill_gap_index]]&gt;40,"Medium Gap","Small Gap"))</f>
        <v>Small Gap</v>
      </c>
      <c r="X312" s="3" t="str">
        <f>IF(Table1[[#This Row],[automation_risk_percent]]&gt;0.7,"Highly Automatable",
IF(Table1[[#This Row],[automation_risk_percent]]&gt;0.4,"Moderate Risk","Safe Job"))</f>
        <v>Moderate Risk</v>
      </c>
    </row>
    <row r="313" spans="1:24" x14ac:dyDescent="0.3">
      <c r="A313">
        <v>1117</v>
      </c>
      <c r="B313" t="s">
        <v>43</v>
      </c>
      <c r="C313" t="s">
        <v>30</v>
      </c>
      <c r="D313" t="s">
        <v>32</v>
      </c>
      <c r="E313" s="1">
        <v>2026</v>
      </c>
      <c r="F313" s="11">
        <v>0.33390000000000003</v>
      </c>
      <c r="G313">
        <v>28.15</v>
      </c>
      <c r="H313">
        <v>14.56</v>
      </c>
      <c r="I313" s="2">
        <v>34012.559999999998</v>
      </c>
      <c r="J313" s="2">
        <v>36086.92</v>
      </c>
      <c r="K313" s="2">
        <f>Table1[[#This Row],[Salary_after]]-Table1[[#This Row],[Salary_before]]</f>
        <v>2074.3600000000006</v>
      </c>
      <c r="L313" s="11">
        <v>6.0999999999999999E-2</v>
      </c>
      <c r="M313" s="11">
        <v>4.5999999999999999E-2</v>
      </c>
      <c r="N313">
        <v>20.41</v>
      </c>
      <c r="O313">
        <v>94.63</v>
      </c>
      <c r="P313">
        <v>2</v>
      </c>
      <c r="Q313" t="s">
        <v>25</v>
      </c>
      <c r="R313">
        <v>23.975000000000001</v>
      </c>
      <c r="S313">
        <v>6.1</v>
      </c>
      <c r="T313" s="4">
        <v>19.553999999999998</v>
      </c>
      <c r="U313" s="4">
        <v>31.5969569999999</v>
      </c>
      <c r="V313" t="str">
        <f>IF(Table1[[#This Row],[ai_disruption_intensity]]&gt;70,"High",
IF(Table1[[#This Row],[ai_disruption_intensity]]&gt;40,"Medium","Low"))</f>
        <v>Low</v>
      </c>
      <c r="W313" t="str">
        <f>IF(Table1[[#This Row],[skill_gap_index]]&gt;70,"Large Gap",
IF(Table1[[#This Row],[skill_gap_index]]&gt;40,"Medium Gap","Small Gap"))</f>
        <v>Small Gap</v>
      </c>
      <c r="X313" s="3" t="str">
        <f>IF(Table1[[#This Row],[automation_risk_percent]]&gt;0.7,"Highly Automatable",
IF(Table1[[#This Row],[automation_risk_percent]]&gt;0.4,"Moderate Risk","Safe Job"))</f>
        <v>Safe Job</v>
      </c>
    </row>
    <row r="314" spans="1:24" x14ac:dyDescent="0.3">
      <c r="A314">
        <v>1120</v>
      </c>
      <c r="B314" t="s">
        <v>39</v>
      </c>
      <c r="C314" t="s">
        <v>23</v>
      </c>
      <c r="D314" t="s">
        <v>36</v>
      </c>
      <c r="E314" s="1">
        <v>2026</v>
      </c>
      <c r="F314" s="11">
        <v>0.44729999999999998</v>
      </c>
      <c r="G314">
        <v>50.54</v>
      </c>
      <c r="H314">
        <v>40.22</v>
      </c>
      <c r="I314" s="2">
        <v>42287.34</v>
      </c>
      <c r="J314" s="2">
        <v>35806.019999999997</v>
      </c>
      <c r="K314" s="2">
        <f>Table1[[#This Row],[Salary_after]]-Table1[[#This Row],[Salary_before]]</f>
        <v>-6481.32</v>
      </c>
      <c r="L314" s="11">
        <v>-0.15329999999999999</v>
      </c>
      <c r="M314" s="11">
        <v>-6.2899999999999998E-2</v>
      </c>
      <c r="N314">
        <v>74.61</v>
      </c>
      <c r="O314">
        <v>74.28</v>
      </c>
      <c r="P314">
        <v>4</v>
      </c>
      <c r="Q314" t="s">
        <v>25</v>
      </c>
      <c r="R314">
        <v>42.474999999999902</v>
      </c>
      <c r="S314">
        <v>15.33</v>
      </c>
      <c r="T314" s="4">
        <v>34.557000000000002</v>
      </c>
      <c r="U314" s="4">
        <v>33.225443999999897</v>
      </c>
      <c r="V314" t="str">
        <f>IF(Table1[[#This Row],[ai_disruption_intensity]]&gt;70,"High",
IF(Table1[[#This Row],[ai_disruption_intensity]]&gt;40,"Medium","Low"))</f>
        <v>Low</v>
      </c>
      <c r="W314" t="str">
        <f>IF(Table1[[#This Row],[skill_gap_index]]&gt;70,"Large Gap",
IF(Table1[[#This Row],[skill_gap_index]]&gt;40,"Medium Gap","Small Gap"))</f>
        <v>Medium Gap</v>
      </c>
      <c r="X314" s="3" t="str">
        <f>IF(Table1[[#This Row],[automation_risk_percent]]&gt;0.7,"Highly Automatable",
IF(Table1[[#This Row],[automation_risk_percent]]&gt;0.4,"Moderate Risk","Safe Job"))</f>
        <v>Moderate Risk</v>
      </c>
    </row>
    <row r="315" spans="1:24" x14ac:dyDescent="0.3">
      <c r="A315">
        <v>1129</v>
      </c>
      <c r="B315" t="s">
        <v>26</v>
      </c>
      <c r="C315" t="s">
        <v>38</v>
      </c>
      <c r="D315" t="s">
        <v>24</v>
      </c>
      <c r="E315" s="1">
        <v>2025</v>
      </c>
      <c r="F315" s="11">
        <v>0.17449999999999999</v>
      </c>
      <c r="G315">
        <v>15.53</v>
      </c>
      <c r="H315">
        <v>51.94</v>
      </c>
      <c r="I315" s="2">
        <v>97522.65</v>
      </c>
      <c r="J315" s="2">
        <v>108267.09</v>
      </c>
      <c r="K315" s="2">
        <f>Table1[[#This Row],[Salary_after]]-Table1[[#This Row],[Salary_before]]</f>
        <v>10744.440000000002</v>
      </c>
      <c r="L315" s="11">
        <v>0.11019999999999999</v>
      </c>
      <c r="M315" s="11">
        <v>9.9199999999999997E-2</v>
      </c>
      <c r="N315">
        <v>60.42</v>
      </c>
      <c r="O315">
        <v>25.5</v>
      </c>
      <c r="P315">
        <v>1</v>
      </c>
      <c r="Q315" t="s">
        <v>21</v>
      </c>
      <c r="R315">
        <v>34.695</v>
      </c>
      <c r="S315">
        <v>11.02</v>
      </c>
      <c r="T315" s="4">
        <v>25.867999999999999</v>
      </c>
      <c r="U315" s="4">
        <v>4.4497499999999999</v>
      </c>
      <c r="V315" t="str">
        <f>IF(Table1[[#This Row],[ai_disruption_intensity]]&gt;70,"High",
IF(Table1[[#This Row],[ai_disruption_intensity]]&gt;40,"Medium","Low"))</f>
        <v>Low</v>
      </c>
      <c r="W315" t="str">
        <f>IF(Table1[[#This Row],[skill_gap_index]]&gt;70,"Large Gap",
IF(Table1[[#This Row],[skill_gap_index]]&gt;40,"Medium Gap","Small Gap"))</f>
        <v>Medium Gap</v>
      </c>
      <c r="X315" s="3" t="str">
        <f>IF(Table1[[#This Row],[automation_risk_percent]]&gt;0.7,"Highly Automatable",
IF(Table1[[#This Row],[automation_risk_percent]]&gt;0.4,"Moderate Risk","Safe Job"))</f>
        <v>Safe Job</v>
      </c>
    </row>
    <row r="316" spans="1:24" x14ac:dyDescent="0.3">
      <c r="A316">
        <v>1131</v>
      </c>
      <c r="B316" t="s">
        <v>26</v>
      </c>
      <c r="C316" t="s">
        <v>19</v>
      </c>
      <c r="D316" t="s">
        <v>20</v>
      </c>
      <c r="E316" s="1">
        <v>2025</v>
      </c>
      <c r="F316" s="11">
        <v>0.27160000000000001</v>
      </c>
      <c r="G316">
        <v>23.46</v>
      </c>
      <c r="H316">
        <v>39.81</v>
      </c>
      <c r="I316" s="2">
        <v>99596.14</v>
      </c>
      <c r="J316" s="2">
        <v>78995.92</v>
      </c>
      <c r="K316" s="2">
        <f>Table1[[#This Row],[Salary_after]]-Table1[[#This Row],[Salary_before]]</f>
        <v>-20600.22</v>
      </c>
      <c r="L316" s="11">
        <v>-0.20679999999999998</v>
      </c>
      <c r="M316" s="11">
        <v>5.8899999999999994E-2</v>
      </c>
      <c r="N316">
        <v>55.75</v>
      </c>
      <c r="O316">
        <v>2.4</v>
      </c>
      <c r="P316">
        <v>5</v>
      </c>
      <c r="Q316" t="s">
        <v>21</v>
      </c>
      <c r="R316">
        <v>33.484999999999999</v>
      </c>
      <c r="S316">
        <v>20.68</v>
      </c>
      <c r="T316" s="4">
        <v>29.010999999999999</v>
      </c>
      <c r="U316" s="4">
        <v>0.65183999999999997</v>
      </c>
      <c r="V316" t="str">
        <f>IF(Table1[[#This Row],[ai_disruption_intensity]]&gt;70,"High",
IF(Table1[[#This Row],[ai_disruption_intensity]]&gt;40,"Medium","Low"))</f>
        <v>Low</v>
      </c>
      <c r="W316" t="str">
        <f>IF(Table1[[#This Row],[skill_gap_index]]&gt;70,"Large Gap",
IF(Table1[[#This Row],[skill_gap_index]]&gt;40,"Medium Gap","Small Gap"))</f>
        <v>Small Gap</v>
      </c>
      <c r="X316" s="3" t="str">
        <f>IF(Table1[[#This Row],[automation_risk_percent]]&gt;0.7,"Highly Automatable",
IF(Table1[[#This Row],[automation_risk_percent]]&gt;0.4,"Moderate Risk","Safe Job"))</f>
        <v>Safe Job</v>
      </c>
    </row>
    <row r="317" spans="1:24" x14ac:dyDescent="0.3">
      <c r="A317">
        <v>1132</v>
      </c>
      <c r="B317" t="s">
        <v>43</v>
      </c>
      <c r="C317" t="s">
        <v>30</v>
      </c>
      <c r="D317" t="s">
        <v>20</v>
      </c>
      <c r="E317" s="1">
        <v>2026</v>
      </c>
      <c r="F317" s="11">
        <v>0.31909999999999999</v>
      </c>
      <c r="G317">
        <v>35.99</v>
      </c>
      <c r="H317">
        <v>55.39</v>
      </c>
      <c r="I317" s="2">
        <v>84069.9</v>
      </c>
      <c r="J317" s="2">
        <v>75686.210000000006</v>
      </c>
      <c r="K317" s="2">
        <f>Table1[[#This Row],[Salary_after]]-Table1[[#This Row],[Salary_before]]</f>
        <v>-8383.6899999999878</v>
      </c>
      <c r="L317" s="11">
        <v>-9.9700000000000011E-2</v>
      </c>
      <c r="M317" s="11">
        <v>-5.5899999999999998E-2</v>
      </c>
      <c r="N317">
        <v>44.48</v>
      </c>
      <c r="O317">
        <v>83.56</v>
      </c>
      <c r="P317">
        <v>3</v>
      </c>
      <c r="Q317" t="s">
        <v>25</v>
      </c>
      <c r="R317">
        <v>43.65</v>
      </c>
      <c r="S317">
        <v>9.9700000000000006</v>
      </c>
      <c r="T317" s="4">
        <v>32.372</v>
      </c>
      <c r="U317" s="4">
        <v>26.663996000000001</v>
      </c>
      <c r="V317" t="str">
        <f>IF(Table1[[#This Row],[ai_disruption_intensity]]&gt;70,"High",
IF(Table1[[#This Row],[ai_disruption_intensity]]&gt;40,"Medium","Low"))</f>
        <v>Low</v>
      </c>
      <c r="W317" t="str">
        <f>IF(Table1[[#This Row],[skill_gap_index]]&gt;70,"Large Gap",
IF(Table1[[#This Row],[skill_gap_index]]&gt;40,"Medium Gap","Small Gap"))</f>
        <v>Medium Gap</v>
      </c>
      <c r="X317" s="3" t="str">
        <f>IF(Table1[[#This Row],[automation_risk_percent]]&gt;0.7,"Highly Automatable",
IF(Table1[[#This Row],[automation_risk_percent]]&gt;0.4,"Moderate Risk","Safe Job"))</f>
        <v>Safe Job</v>
      </c>
    </row>
    <row r="318" spans="1:24" x14ac:dyDescent="0.3">
      <c r="A318">
        <v>1133</v>
      </c>
      <c r="B318" t="s">
        <v>39</v>
      </c>
      <c r="C318" t="s">
        <v>38</v>
      </c>
      <c r="D318" t="s">
        <v>36</v>
      </c>
      <c r="E318" s="1">
        <v>2026</v>
      </c>
      <c r="F318" s="11">
        <v>0.77700000000000002</v>
      </c>
      <c r="G318">
        <v>75.8</v>
      </c>
      <c r="H318">
        <v>39.340000000000003</v>
      </c>
      <c r="I318" s="2">
        <v>131586.09</v>
      </c>
      <c r="J318" s="2">
        <v>151586.54999999999</v>
      </c>
      <c r="K318" s="2">
        <f>Table1[[#This Row],[Salary_after]]-Table1[[#This Row],[Salary_before]]</f>
        <v>20000.459999999992</v>
      </c>
      <c r="L318" s="11">
        <v>0.152</v>
      </c>
      <c r="M318" s="11">
        <v>-0.1636</v>
      </c>
      <c r="N318">
        <v>30.78</v>
      </c>
      <c r="O318">
        <v>74.349999999999994</v>
      </c>
      <c r="P318">
        <v>1</v>
      </c>
      <c r="Q318" t="s">
        <v>37</v>
      </c>
      <c r="R318">
        <v>58.52</v>
      </c>
      <c r="S318">
        <v>15.2</v>
      </c>
      <c r="T318" s="4">
        <v>47.442</v>
      </c>
      <c r="U318" s="4">
        <v>57.769950000000001</v>
      </c>
      <c r="V318" t="str">
        <f>IF(Table1[[#This Row],[ai_disruption_intensity]]&gt;70,"High",
IF(Table1[[#This Row],[ai_disruption_intensity]]&gt;40,"Medium","Low"))</f>
        <v>Medium</v>
      </c>
      <c r="W318" t="str">
        <f>IF(Table1[[#This Row],[skill_gap_index]]&gt;70,"Large Gap",
IF(Table1[[#This Row],[skill_gap_index]]&gt;40,"Medium Gap","Small Gap"))</f>
        <v>Small Gap</v>
      </c>
      <c r="X318" s="3" t="str">
        <f>IF(Table1[[#This Row],[automation_risk_percent]]&gt;0.7,"Highly Automatable",
IF(Table1[[#This Row],[automation_risk_percent]]&gt;0.4,"Moderate Risk","Safe Job"))</f>
        <v>Highly Automatable</v>
      </c>
    </row>
    <row r="319" spans="1:24" x14ac:dyDescent="0.3">
      <c r="A319">
        <v>1136</v>
      </c>
      <c r="B319" t="s">
        <v>44</v>
      </c>
      <c r="C319" t="s">
        <v>23</v>
      </c>
      <c r="D319" t="s">
        <v>28</v>
      </c>
      <c r="E319" s="1">
        <v>2025</v>
      </c>
      <c r="F319" s="11">
        <v>0.4365</v>
      </c>
      <c r="G319">
        <v>43.63</v>
      </c>
      <c r="H319">
        <v>21.51</v>
      </c>
      <c r="I319" s="2">
        <v>62623.29</v>
      </c>
      <c r="J319" s="2">
        <v>65959.75</v>
      </c>
      <c r="K319" s="2">
        <f>Table1[[#This Row],[Salary_after]]-Table1[[#This Row],[Salary_before]]</f>
        <v>3336.4599999999991</v>
      </c>
      <c r="L319" s="11">
        <v>5.33E-2</v>
      </c>
      <c r="M319" s="11">
        <v>-3.0600000000000002E-2</v>
      </c>
      <c r="N319">
        <v>79.31</v>
      </c>
      <c r="O319">
        <v>46.23</v>
      </c>
      <c r="P319">
        <v>2</v>
      </c>
      <c r="Q319" t="s">
        <v>25</v>
      </c>
      <c r="R319">
        <v>32.58</v>
      </c>
      <c r="S319">
        <v>5.33</v>
      </c>
      <c r="T319" s="4">
        <v>25.512</v>
      </c>
      <c r="U319" s="4">
        <v>20.1793949999999</v>
      </c>
      <c r="V319" t="str">
        <f>IF(Table1[[#This Row],[ai_disruption_intensity]]&gt;70,"High",
IF(Table1[[#This Row],[ai_disruption_intensity]]&gt;40,"Medium","Low"))</f>
        <v>Low</v>
      </c>
      <c r="W319" t="str">
        <f>IF(Table1[[#This Row],[skill_gap_index]]&gt;70,"Large Gap",
IF(Table1[[#This Row],[skill_gap_index]]&gt;40,"Medium Gap","Small Gap"))</f>
        <v>Small Gap</v>
      </c>
      <c r="X319" s="3" t="str">
        <f>IF(Table1[[#This Row],[automation_risk_percent]]&gt;0.7,"Highly Automatable",
IF(Table1[[#This Row],[automation_risk_percent]]&gt;0.4,"Moderate Risk","Safe Job"))</f>
        <v>Moderate Risk</v>
      </c>
    </row>
    <row r="320" spans="1:24" x14ac:dyDescent="0.3">
      <c r="A320">
        <v>1145</v>
      </c>
      <c r="B320" t="s">
        <v>39</v>
      </c>
      <c r="C320" t="s">
        <v>30</v>
      </c>
      <c r="D320" t="s">
        <v>31</v>
      </c>
      <c r="E320" s="1">
        <v>2025</v>
      </c>
      <c r="F320" s="11">
        <v>0.16239999999999999</v>
      </c>
      <c r="G320">
        <v>14.37</v>
      </c>
      <c r="H320">
        <v>50.21</v>
      </c>
      <c r="I320" s="2">
        <v>32401.41</v>
      </c>
      <c r="J320" s="2">
        <v>32782.800000000003</v>
      </c>
      <c r="K320" s="2">
        <f>Table1[[#This Row],[Salary_after]]-Table1[[#This Row],[Salary_before]]</f>
        <v>381.39000000000306</v>
      </c>
      <c r="L320" s="11">
        <v>1.18E-2</v>
      </c>
      <c r="M320" s="11">
        <v>-0.11720000000000001</v>
      </c>
      <c r="N320">
        <v>11.35</v>
      </c>
      <c r="O320">
        <v>26.45</v>
      </c>
      <c r="P320">
        <v>4</v>
      </c>
      <c r="Q320" t="s">
        <v>21</v>
      </c>
      <c r="R320">
        <v>33.225000000000001</v>
      </c>
      <c r="S320">
        <v>1.18</v>
      </c>
      <c r="T320" s="4">
        <v>21.912999999999901</v>
      </c>
      <c r="U320" s="4">
        <v>4.2954799999999898</v>
      </c>
      <c r="V320" t="str">
        <f>IF(Table1[[#This Row],[ai_disruption_intensity]]&gt;70,"High",
IF(Table1[[#This Row],[ai_disruption_intensity]]&gt;40,"Medium","Low"))</f>
        <v>Low</v>
      </c>
      <c r="W320" t="str">
        <f>IF(Table1[[#This Row],[skill_gap_index]]&gt;70,"Large Gap",
IF(Table1[[#This Row],[skill_gap_index]]&gt;40,"Medium Gap","Small Gap"))</f>
        <v>Medium Gap</v>
      </c>
      <c r="X320" s="3" t="str">
        <f>IF(Table1[[#This Row],[automation_risk_percent]]&gt;0.7,"Highly Automatable",
IF(Table1[[#This Row],[automation_risk_percent]]&gt;0.4,"Moderate Risk","Safe Job"))</f>
        <v>Safe Job</v>
      </c>
    </row>
    <row r="321" spans="1:24" x14ac:dyDescent="0.3">
      <c r="A321">
        <v>1151</v>
      </c>
      <c r="B321" t="s">
        <v>22</v>
      </c>
      <c r="C321" t="s">
        <v>33</v>
      </c>
      <c r="D321" t="s">
        <v>47</v>
      </c>
      <c r="E321" s="1">
        <v>2025</v>
      </c>
      <c r="F321" s="11">
        <v>0.1832</v>
      </c>
      <c r="G321">
        <v>14.77</v>
      </c>
      <c r="H321">
        <v>89</v>
      </c>
      <c r="I321" s="2">
        <v>59394.42</v>
      </c>
      <c r="J321" s="2">
        <v>64239.55</v>
      </c>
      <c r="K321" s="2">
        <f>Table1[[#This Row],[Salary_after]]-Table1[[#This Row],[Salary_before]]</f>
        <v>4845.1300000000047</v>
      </c>
      <c r="L321" s="11">
        <v>8.1600000000000006E-2</v>
      </c>
      <c r="M321" s="11">
        <v>0.11019999999999999</v>
      </c>
      <c r="N321">
        <v>87.31</v>
      </c>
      <c r="O321">
        <v>99.16</v>
      </c>
      <c r="P321">
        <v>1</v>
      </c>
      <c r="Q321" t="s">
        <v>21</v>
      </c>
      <c r="R321">
        <v>53.66</v>
      </c>
      <c r="S321">
        <v>8.16</v>
      </c>
      <c r="T321" s="4">
        <v>36.475999999999999</v>
      </c>
      <c r="U321" s="4">
        <v>18.166111999999998</v>
      </c>
      <c r="V321" t="str">
        <f>IF(Table1[[#This Row],[ai_disruption_intensity]]&gt;70,"High",
IF(Table1[[#This Row],[ai_disruption_intensity]]&gt;40,"Medium","Low"))</f>
        <v>Low</v>
      </c>
      <c r="W321" t="str">
        <f>IF(Table1[[#This Row],[skill_gap_index]]&gt;70,"Large Gap",
IF(Table1[[#This Row],[skill_gap_index]]&gt;40,"Medium Gap","Small Gap"))</f>
        <v>Large Gap</v>
      </c>
      <c r="X321" s="3" t="str">
        <f>IF(Table1[[#This Row],[automation_risk_percent]]&gt;0.7,"Highly Automatable",
IF(Table1[[#This Row],[automation_risk_percent]]&gt;0.4,"Moderate Risk","Safe Job"))</f>
        <v>Safe Job</v>
      </c>
    </row>
    <row r="322" spans="1:24" x14ac:dyDescent="0.3">
      <c r="A322">
        <v>1154</v>
      </c>
      <c r="B322" t="s">
        <v>22</v>
      </c>
      <c r="C322" t="s">
        <v>40</v>
      </c>
      <c r="D322" t="s">
        <v>32</v>
      </c>
      <c r="E322" s="1">
        <v>2025</v>
      </c>
      <c r="F322" s="11">
        <v>0.33250000000000002</v>
      </c>
      <c r="G322">
        <v>28.66</v>
      </c>
      <c r="H322">
        <v>84.9</v>
      </c>
      <c r="I322" s="2">
        <v>92591.94</v>
      </c>
      <c r="J322" s="2">
        <v>80180.100000000006</v>
      </c>
      <c r="K322" s="2">
        <f>Table1[[#This Row],[Salary_after]]-Table1[[#This Row],[Salary_before]]</f>
        <v>-12411.839999999997</v>
      </c>
      <c r="L322" s="11">
        <v>-0.13400000000000001</v>
      </c>
      <c r="M322" s="11">
        <v>1.8000000000000002E-2</v>
      </c>
      <c r="N322">
        <v>91.97</v>
      </c>
      <c r="O322">
        <v>17.46</v>
      </c>
      <c r="P322">
        <v>1</v>
      </c>
      <c r="Q322" t="s">
        <v>25</v>
      </c>
      <c r="R322">
        <v>59.075000000000003</v>
      </c>
      <c r="S322">
        <v>13.4</v>
      </c>
      <c r="T322" s="4">
        <v>42.79</v>
      </c>
      <c r="U322" s="4">
        <v>5.8054500000000004</v>
      </c>
      <c r="V322" t="str">
        <f>IF(Table1[[#This Row],[ai_disruption_intensity]]&gt;70,"High",
IF(Table1[[#This Row],[ai_disruption_intensity]]&gt;40,"Medium","Low"))</f>
        <v>Low</v>
      </c>
      <c r="W322" t="str">
        <f>IF(Table1[[#This Row],[skill_gap_index]]&gt;70,"Large Gap",
IF(Table1[[#This Row],[skill_gap_index]]&gt;40,"Medium Gap","Small Gap"))</f>
        <v>Large Gap</v>
      </c>
      <c r="X322" s="3" t="str">
        <f>IF(Table1[[#This Row],[automation_risk_percent]]&gt;0.7,"Highly Automatable",
IF(Table1[[#This Row],[automation_risk_percent]]&gt;0.4,"Moderate Risk","Safe Job"))</f>
        <v>Safe Job</v>
      </c>
    </row>
    <row r="323" spans="1:24" x14ac:dyDescent="0.3">
      <c r="A323">
        <v>1157</v>
      </c>
      <c r="B323" t="s">
        <v>46</v>
      </c>
      <c r="C323" t="s">
        <v>30</v>
      </c>
      <c r="D323" t="s">
        <v>36</v>
      </c>
      <c r="E323" s="1">
        <v>2025</v>
      </c>
      <c r="F323" s="11">
        <v>0.62390000000000001</v>
      </c>
      <c r="G323">
        <v>69.97</v>
      </c>
      <c r="H323">
        <v>18.399999999999999</v>
      </c>
      <c r="I323" s="2">
        <v>65511.16</v>
      </c>
      <c r="J323" s="2">
        <v>62571.7</v>
      </c>
      <c r="K323" s="2">
        <f>Table1[[#This Row],[Salary_after]]-Table1[[#This Row],[Salary_before]]</f>
        <v>-2939.4600000000064</v>
      </c>
      <c r="L323" s="11">
        <v>-4.4900000000000002E-2</v>
      </c>
      <c r="M323" s="11">
        <v>7.3399999999999993E-2</v>
      </c>
      <c r="N323">
        <v>83.07</v>
      </c>
      <c r="O323">
        <v>71.89</v>
      </c>
      <c r="P323">
        <v>3</v>
      </c>
      <c r="Q323" t="s">
        <v>37</v>
      </c>
      <c r="R323">
        <v>40.394999999999897</v>
      </c>
      <c r="S323">
        <v>4.49</v>
      </c>
      <c r="T323" s="4">
        <v>31.823</v>
      </c>
      <c r="U323" s="4">
        <v>44.852170999999998</v>
      </c>
      <c r="V323" t="str">
        <f>IF(Table1[[#This Row],[ai_disruption_intensity]]&gt;70,"High",
IF(Table1[[#This Row],[ai_disruption_intensity]]&gt;40,"Medium","Low"))</f>
        <v>Medium</v>
      </c>
      <c r="W323" t="str">
        <f>IF(Table1[[#This Row],[skill_gap_index]]&gt;70,"Large Gap",
IF(Table1[[#This Row],[skill_gap_index]]&gt;40,"Medium Gap","Small Gap"))</f>
        <v>Small Gap</v>
      </c>
      <c r="X323" s="3" t="str">
        <f>IF(Table1[[#This Row],[automation_risk_percent]]&gt;0.7,"Highly Automatable",
IF(Table1[[#This Row],[automation_risk_percent]]&gt;0.4,"Moderate Risk","Safe Job"))</f>
        <v>Moderate Risk</v>
      </c>
    </row>
    <row r="324" spans="1:24" x14ac:dyDescent="0.3">
      <c r="A324">
        <v>1159</v>
      </c>
      <c r="B324" t="s">
        <v>29</v>
      </c>
      <c r="C324" t="s">
        <v>38</v>
      </c>
      <c r="D324" t="s">
        <v>28</v>
      </c>
      <c r="E324" s="1">
        <v>2025</v>
      </c>
      <c r="F324" s="11">
        <v>0.89209999999999989</v>
      </c>
      <c r="G324">
        <v>85.34</v>
      </c>
      <c r="H324">
        <v>84.5</v>
      </c>
      <c r="I324" s="2">
        <v>30028.9</v>
      </c>
      <c r="J324" s="2">
        <v>31956.6</v>
      </c>
      <c r="K324" s="2">
        <f>Table1[[#This Row],[Salary_after]]-Table1[[#This Row],[Salary_before]]</f>
        <v>1927.6999999999971</v>
      </c>
      <c r="L324" s="11">
        <v>6.4199999999999993E-2</v>
      </c>
      <c r="M324" s="11">
        <v>2.3E-2</v>
      </c>
      <c r="N324">
        <v>18.73</v>
      </c>
      <c r="O324">
        <v>60.64</v>
      </c>
      <c r="P324">
        <v>1</v>
      </c>
      <c r="Q324" t="s">
        <v>37</v>
      </c>
      <c r="R324">
        <v>86.854999999999905</v>
      </c>
      <c r="S324">
        <v>6.42</v>
      </c>
      <c r="T324" s="4">
        <v>62.959999999999901</v>
      </c>
      <c r="U324" s="4">
        <v>54.096943999999901</v>
      </c>
      <c r="V324" t="str">
        <f>IF(Table1[[#This Row],[ai_disruption_intensity]]&gt;70,"High",
IF(Table1[[#This Row],[ai_disruption_intensity]]&gt;40,"Medium","Low"))</f>
        <v>Medium</v>
      </c>
      <c r="W324" t="str">
        <f>IF(Table1[[#This Row],[skill_gap_index]]&gt;70,"Large Gap",
IF(Table1[[#This Row],[skill_gap_index]]&gt;40,"Medium Gap","Small Gap"))</f>
        <v>Large Gap</v>
      </c>
      <c r="X324" s="3" t="str">
        <f>IF(Table1[[#This Row],[automation_risk_percent]]&gt;0.7,"Highly Automatable",
IF(Table1[[#This Row],[automation_risk_percent]]&gt;0.4,"Moderate Risk","Safe Job"))</f>
        <v>Highly Automatable</v>
      </c>
    </row>
    <row r="325" spans="1:24" x14ac:dyDescent="0.3">
      <c r="A325">
        <v>1161</v>
      </c>
      <c r="B325" t="s">
        <v>29</v>
      </c>
      <c r="C325" t="s">
        <v>40</v>
      </c>
      <c r="D325" t="s">
        <v>28</v>
      </c>
      <c r="E325" s="1">
        <v>2025</v>
      </c>
      <c r="F325" s="11">
        <v>0.67349999999999999</v>
      </c>
      <c r="G325">
        <v>70.42</v>
      </c>
      <c r="H325">
        <v>53.19</v>
      </c>
      <c r="I325" s="2">
        <v>41022.04</v>
      </c>
      <c r="J325" s="2">
        <v>38352.910000000003</v>
      </c>
      <c r="K325" s="2">
        <f>Table1[[#This Row],[Salary_after]]-Table1[[#This Row],[Salary_before]]</f>
        <v>-2669.1299999999974</v>
      </c>
      <c r="L325" s="11">
        <v>-6.5099999999999991E-2</v>
      </c>
      <c r="M325" s="11">
        <v>1.7299999999999999E-2</v>
      </c>
      <c r="N325">
        <v>52.55</v>
      </c>
      <c r="O325">
        <v>67.709999999999994</v>
      </c>
      <c r="P325">
        <v>1</v>
      </c>
      <c r="Q325" t="s">
        <v>37</v>
      </c>
      <c r="R325">
        <v>60.269999999999897</v>
      </c>
      <c r="S325">
        <v>6.51</v>
      </c>
      <c r="T325" s="4">
        <v>44.85</v>
      </c>
      <c r="U325" s="4">
        <v>45.602684999999902</v>
      </c>
      <c r="V325" t="str">
        <f>IF(Table1[[#This Row],[ai_disruption_intensity]]&gt;70,"High",
IF(Table1[[#This Row],[ai_disruption_intensity]]&gt;40,"Medium","Low"))</f>
        <v>Medium</v>
      </c>
      <c r="W325" t="str">
        <f>IF(Table1[[#This Row],[skill_gap_index]]&gt;70,"Large Gap",
IF(Table1[[#This Row],[skill_gap_index]]&gt;40,"Medium Gap","Small Gap"))</f>
        <v>Medium Gap</v>
      </c>
      <c r="X325" s="3" t="str">
        <f>IF(Table1[[#This Row],[automation_risk_percent]]&gt;0.7,"Highly Automatable",
IF(Table1[[#This Row],[automation_risk_percent]]&gt;0.4,"Moderate Risk","Safe Job"))</f>
        <v>Moderate Risk</v>
      </c>
    </row>
    <row r="326" spans="1:24" x14ac:dyDescent="0.3">
      <c r="A326">
        <v>1167</v>
      </c>
      <c r="B326" t="s">
        <v>43</v>
      </c>
      <c r="C326" t="s">
        <v>27</v>
      </c>
      <c r="D326" t="s">
        <v>31</v>
      </c>
      <c r="E326" s="1">
        <v>2025</v>
      </c>
      <c r="F326" s="11">
        <v>0.34770000000000001</v>
      </c>
      <c r="G326">
        <v>36.21</v>
      </c>
      <c r="H326">
        <v>31.2</v>
      </c>
      <c r="I326" s="2">
        <v>139178.84</v>
      </c>
      <c r="J326" s="2">
        <v>141498.07999999999</v>
      </c>
      <c r="K326" s="2">
        <f>Table1[[#This Row],[Salary_after]]-Table1[[#This Row],[Salary_before]]</f>
        <v>2319.2399999999907</v>
      </c>
      <c r="L326" s="11">
        <v>1.67E-2</v>
      </c>
      <c r="M326" s="11">
        <v>0.156</v>
      </c>
      <c r="N326">
        <v>39.229999999999997</v>
      </c>
      <c r="O326">
        <v>29.34</v>
      </c>
      <c r="P326">
        <v>4</v>
      </c>
      <c r="Q326" t="s">
        <v>25</v>
      </c>
      <c r="R326">
        <v>32.984999999999999</v>
      </c>
      <c r="S326">
        <v>1.67</v>
      </c>
      <c r="T326" s="4">
        <v>23.768999999999998</v>
      </c>
      <c r="U326" s="4">
        <v>10.201518</v>
      </c>
      <c r="V326" t="str">
        <f>IF(Table1[[#This Row],[ai_disruption_intensity]]&gt;70,"High",
IF(Table1[[#This Row],[ai_disruption_intensity]]&gt;40,"Medium","Low"))</f>
        <v>Low</v>
      </c>
      <c r="W326" t="str">
        <f>IF(Table1[[#This Row],[skill_gap_index]]&gt;70,"Large Gap",
IF(Table1[[#This Row],[skill_gap_index]]&gt;40,"Medium Gap","Small Gap"))</f>
        <v>Small Gap</v>
      </c>
      <c r="X326" s="3" t="str">
        <f>IF(Table1[[#This Row],[automation_risk_percent]]&gt;0.7,"Highly Automatable",
IF(Table1[[#This Row],[automation_risk_percent]]&gt;0.4,"Moderate Risk","Safe Job"))</f>
        <v>Safe Job</v>
      </c>
    </row>
    <row r="327" spans="1:24" x14ac:dyDescent="0.3">
      <c r="A327">
        <v>1170</v>
      </c>
      <c r="B327" t="s">
        <v>41</v>
      </c>
      <c r="C327" t="s">
        <v>27</v>
      </c>
      <c r="D327" t="s">
        <v>24</v>
      </c>
      <c r="E327" s="1">
        <v>2025</v>
      </c>
      <c r="F327" s="11">
        <v>0.58360000000000001</v>
      </c>
      <c r="G327">
        <v>66.900000000000006</v>
      </c>
      <c r="H327">
        <v>3.21</v>
      </c>
      <c r="I327" s="2">
        <v>107264.15</v>
      </c>
      <c r="J327" s="2">
        <v>115554.04</v>
      </c>
      <c r="K327" s="2">
        <f>Table1[[#This Row],[Salary_after]]-Table1[[#This Row],[Salary_before]]</f>
        <v>8289.89</v>
      </c>
      <c r="L327" s="11">
        <v>7.7300000000000008E-2</v>
      </c>
      <c r="M327" s="11">
        <v>0.1283</v>
      </c>
      <c r="N327">
        <v>89.75</v>
      </c>
      <c r="O327">
        <v>72.900000000000006</v>
      </c>
      <c r="P327">
        <v>2</v>
      </c>
      <c r="Q327" t="s">
        <v>25</v>
      </c>
      <c r="R327">
        <v>30.785</v>
      </c>
      <c r="S327">
        <v>7.73</v>
      </c>
      <c r="T327" s="4">
        <v>26.626000000000001</v>
      </c>
      <c r="U327" s="4">
        <v>42.544440000000002</v>
      </c>
      <c r="V327" t="str">
        <f>IF(Table1[[#This Row],[ai_disruption_intensity]]&gt;70,"High",
IF(Table1[[#This Row],[ai_disruption_intensity]]&gt;40,"Medium","Low"))</f>
        <v>Medium</v>
      </c>
      <c r="W327" t="str">
        <f>IF(Table1[[#This Row],[skill_gap_index]]&gt;70,"Large Gap",
IF(Table1[[#This Row],[skill_gap_index]]&gt;40,"Medium Gap","Small Gap"))</f>
        <v>Small Gap</v>
      </c>
      <c r="X327" s="3" t="str">
        <f>IF(Table1[[#This Row],[automation_risk_percent]]&gt;0.7,"Highly Automatable",
IF(Table1[[#This Row],[automation_risk_percent]]&gt;0.4,"Moderate Risk","Safe Job"))</f>
        <v>Moderate Risk</v>
      </c>
    </row>
    <row r="328" spans="1:24" x14ac:dyDescent="0.3">
      <c r="A328">
        <v>1172</v>
      </c>
      <c r="B328" t="s">
        <v>44</v>
      </c>
      <c r="C328" t="s">
        <v>38</v>
      </c>
      <c r="D328" t="s">
        <v>32</v>
      </c>
      <c r="E328" s="1">
        <v>2025</v>
      </c>
      <c r="F328" s="11">
        <v>0.73650000000000004</v>
      </c>
      <c r="G328">
        <v>59.16</v>
      </c>
      <c r="H328">
        <v>73.61</v>
      </c>
      <c r="I328" s="2">
        <v>48257.75</v>
      </c>
      <c r="J328" s="2">
        <v>54582.44</v>
      </c>
      <c r="K328" s="2">
        <f>Table1[[#This Row],[Salary_after]]-Table1[[#This Row],[Salary_before]]</f>
        <v>6324.6900000000023</v>
      </c>
      <c r="L328" s="11">
        <v>0.13109999999999999</v>
      </c>
      <c r="M328" s="11">
        <v>0.1671</v>
      </c>
      <c r="N328">
        <v>10.48</v>
      </c>
      <c r="O328">
        <v>98.49</v>
      </c>
      <c r="P328">
        <v>5</v>
      </c>
      <c r="Q328" t="s">
        <v>37</v>
      </c>
      <c r="R328">
        <v>73.63</v>
      </c>
      <c r="S328">
        <v>13.11</v>
      </c>
      <c r="T328" s="4">
        <v>55.475999999999999</v>
      </c>
      <c r="U328" s="4">
        <v>72.537885000000003</v>
      </c>
      <c r="V328" t="str">
        <f>IF(Table1[[#This Row],[ai_disruption_intensity]]&gt;70,"High",
IF(Table1[[#This Row],[ai_disruption_intensity]]&gt;40,"Medium","Low"))</f>
        <v>High</v>
      </c>
      <c r="W328" t="str">
        <f>IF(Table1[[#This Row],[skill_gap_index]]&gt;70,"Large Gap",
IF(Table1[[#This Row],[skill_gap_index]]&gt;40,"Medium Gap","Small Gap"))</f>
        <v>Large Gap</v>
      </c>
      <c r="X328" s="3" t="str">
        <f>IF(Table1[[#This Row],[automation_risk_percent]]&gt;0.7,"Highly Automatable",
IF(Table1[[#This Row],[automation_risk_percent]]&gt;0.4,"Moderate Risk","Safe Job"))</f>
        <v>Highly Automatable</v>
      </c>
    </row>
    <row r="329" spans="1:24" x14ac:dyDescent="0.3">
      <c r="A329">
        <v>1174</v>
      </c>
      <c r="B329" t="s">
        <v>26</v>
      </c>
      <c r="C329" t="s">
        <v>27</v>
      </c>
      <c r="D329" t="s">
        <v>47</v>
      </c>
      <c r="E329" s="1">
        <v>2026</v>
      </c>
      <c r="F329" s="11">
        <v>0.64540000000000008</v>
      </c>
      <c r="G329">
        <v>55.26</v>
      </c>
      <c r="H329">
        <v>22.49</v>
      </c>
      <c r="I329" s="2">
        <v>96976.1</v>
      </c>
      <c r="J329" s="2">
        <v>102874.84</v>
      </c>
      <c r="K329" s="2">
        <f>Table1[[#This Row],[Salary_after]]-Table1[[#This Row],[Salary_before]]</f>
        <v>5898.7399999999907</v>
      </c>
      <c r="L329" s="11">
        <v>6.08E-2</v>
      </c>
      <c r="M329" s="11">
        <v>0.18460000000000001</v>
      </c>
      <c r="N329">
        <v>30.89</v>
      </c>
      <c r="O329">
        <v>0.09</v>
      </c>
      <c r="P329">
        <v>2</v>
      </c>
      <c r="Q329" t="s">
        <v>37</v>
      </c>
      <c r="R329">
        <v>43.515000000000001</v>
      </c>
      <c r="S329">
        <v>6.08</v>
      </c>
      <c r="T329" s="4">
        <v>34.387</v>
      </c>
      <c r="U329" s="4">
        <v>5.8085999999999999E-2</v>
      </c>
      <c r="V329" t="str">
        <f>IF(Table1[[#This Row],[ai_disruption_intensity]]&gt;70,"High",
IF(Table1[[#This Row],[ai_disruption_intensity]]&gt;40,"Medium","Low"))</f>
        <v>Low</v>
      </c>
      <c r="W329" t="str">
        <f>IF(Table1[[#This Row],[skill_gap_index]]&gt;70,"Large Gap",
IF(Table1[[#This Row],[skill_gap_index]]&gt;40,"Medium Gap","Small Gap"))</f>
        <v>Small Gap</v>
      </c>
      <c r="X329" s="3" t="str">
        <f>IF(Table1[[#This Row],[automation_risk_percent]]&gt;0.7,"Highly Automatable",
IF(Table1[[#This Row],[automation_risk_percent]]&gt;0.4,"Moderate Risk","Safe Job"))</f>
        <v>Moderate Risk</v>
      </c>
    </row>
    <row r="330" spans="1:24" x14ac:dyDescent="0.3">
      <c r="A330">
        <v>1176</v>
      </c>
      <c r="B330" t="s">
        <v>41</v>
      </c>
      <c r="C330" t="s">
        <v>19</v>
      </c>
      <c r="D330" t="s">
        <v>32</v>
      </c>
      <c r="E330" s="1">
        <v>2026</v>
      </c>
      <c r="F330" s="11">
        <v>0.56330000000000002</v>
      </c>
      <c r="G330">
        <v>62.53</v>
      </c>
      <c r="H330">
        <v>52.68</v>
      </c>
      <c r="I330" s="2">
        <v>68006.05</v>
      </c>
      <c r="J330" s="2">
        <v>58186.49</v>
      </c>
      <c r="K330" s="2">
        <f>Table1[[#This Row],[Salary_after]]-Table1[[#This Row],[Salary_before]]</f>
        <v>-9819.5600000000049</v>
      </c>
      <c r="L330" s="11">
        <v>-0.1444</v>
      </c>
      <c r="M330" s="11">
        <v>9.4499999999999987E-2</v>
      </c>
      <c r="N330">
        <v>23.33</v>
      </c>
      <c r="O330">
        <v>65.38</v>
      </c>
      <c r="P330">
        <v>2</v>
      </c>
      <c r="Q330" t="s">
        <v>25</v>
      </c>
      <c r="R330">
        <v>54.504999999999903</v>
      </c>
      <c r="S330">
        <v>14.44</v>
      </c>
      <c r="T330" s="4">
        <v>42.667999999999999</v>
      </c>
      <c r="U330" s="4">
        <v>36.828553999999997</v>
      </c>
      <c r="V330" t="str">
        <f>IF(Table1[[#This Row],[ai_disruption_intensity]]&gt;70,"High",
IF(Table1[[#This Row],[ai_disruption_intensity]]&gt;40,"Medium","Low"))</f>
        <v>Low</v>
      </c>
      <c r="W330" t="str">
        <f>IF(Table1[[#This Row],[skill_gap_index]]&gt;70,"Large Gap",
IF(Table1[[#This Row],[skill_gap_index]]&gt;40,"Medium Gap","Small Gap"))</f>
        <v>Medium Gap</v>
      </c>
      <c r="X330" s="3" t="str">
        <f>IF(Table1[[#This Row],[automation_risk_percent]]&gt;0.7,"Highly Automatable",
IF(Table1[[#This Row],[automation_risk_percent]]&gt;0.4,"Moderate Risk","Safe Job"))</f>
        <v>Moderate Risk</v>
      </c>
    </row>
    <row r="331" spans="1:24" x14ac:dyDescent="0.3">
      <c r="A331">
        <v>1182</v>
      </c>
      <c r="B331" t="s">
        <v>29</v>
      </c>
      <c r="C331" t="s">
        <v>33</v>
      </c>
      <c r="D331" t="s">
        <v>36</v>
      </c>
      <c r="E331" s="1">
        <v>2026</v>
      </c>
      <c r="F331" s="11">
        <v>0.47369999999999995</v>
      </c>
      <c r="G331">
        <v>41.07</v>
      </c>
      <c r="H331">
        <v>26.29</v>
      </c>
      <c r="I331" s="2">
        <v>34289.81</v>
      </c>
      <c r="J331" s="2">
        <v>34039.980000000003</v>
      </c>
      <c r="K331" s="2">
        <f>Table1[[#This Row],[Salary_after]]-Table1[[#This Row],[Salary_before]]</f>
        <v>-249.82999999999447</v>
      </c>
      <c r="L331" s="11">
        <v>-7.3000000000000001E-3</v>
      </c>
      <c r="M331" s="11">
        <v>0.2389</v>
      </c>
      <c r="N331">
        <v>18.48</v>
      </c>
      <c r="O331">
        <v>17.170000000000002</v>
      </c>
      <c r="P331">
        <v>1</v>
      </c>
      <c r="Q331" t="s">
        <v>25</v>
      </c>
      <c r="R331">
        <v>36.83</v>
      </c>
      <c r="S331">
        <v>0.73</v>
      </c>
      <c r="T331" s="4">
        <v>27.053999999999998</v>
      </c>
      <c r="U331" s="4">
        <v>8.1334289999999996</v>
      </c>
      <c r="V331" t="str">
        <f>IF(Table1[[#This Row],[ai_disruption_intensity]]&gt;70,"High",
IF(Table1[[#This Row],[ai_disruption_intensity]]&gt;40,"Medium","Low"))</f>
        <v>Low</v>
      </c>
      <c r="W331" t="str">
        <f>IF(Table1[[#This Row],[skill_gap_index]]&gt;70,"Large Gap",
IF(Table1[[#This Row],[skill_gap_index]]&gt;40,"Medium Gap","Small Gap"))</f>
        <v>Small Gap</v>
      </c>
      <c r="X331" s="3" t="str">
        <f>IF(Table1[[#This Row],[automation_risk_percent]]&gt;0.7,"Highly Automatable",
IF(Table1[[#This Row],[automation_risk_percent]]&gt;0.4,"Moderate Risk","Safe Job"))</f>
        <v>Moderate Risk</v>
      </c>
    </row>
    <row r="332" spans="1:24" x14ac:dyDescent="0.3">
      <c r="A332">
        <v>1183</v>
      </c>
      <c r="B332" t="s">
        <v>22</v>
      </c>
      <c r="C332" t="s">
        <v>38</v>
      </c>
      <c r="D332" t="s">
        <v>24</v>
      </c>
      <c r="E332" s="1">
        <v>2025</v>
      </c>
      <c r="F332" s="11">
        <v>0.17180000000000001</v>
      </c>
      <c r="G332">
        <v>17.95</v>
      </c>
      <c r="H332">
        <v>9.42</v>
      </c>
      <c r="I332" s="2">
        <v>120513.88</v>
      </c>
      <c r="J332" s="2">
        <v>124427.67</v>
      </c>
      <c r="K332" s="2">
        <f>Table1[[#This Row],[Salary_after]]-Table1[[#This Row],[Salary_before]]</f>
        <v>3913.7899999999936</v>
      </c>
      <c r="L332" s="11">
        <v>3.2500000000000001E-2</v>
      </c>
      <c r="M332" s="11">
        <v>0.1081</v>
      </c>
      <c r="N332">
        <v>16.57</v>
      </c>
      <c r="O332">
        <v>82.11</v>
      </c>
      <c r="P332">
        <v>2</v>
      </c>
      <c r="Q332" t="s">
        <v>21</v>
      </c>
      <c r="R332">
        <v>13.3</v>
      </c>
      <c r="S332">
        <v>3.25</v>
      </c>
      <c r="T332" s="4">
        <v>10.673</v>
      </c>
      <c r="U332" s="4">
        <v>14.106497999999901</v>
      </c>
      <c r="V332" t="str">
        <f>IF(Table1[[#This Row],[ai_disruption_intensity]]&gt;70,"High",
IF(Table1[[#This Row],[ai_disruption_intensity]]&gt;40,"Medium","Low"))</f>
        <v>Low</v>
      </c>
      <c r="W332" t="str">
        <f>IF(Table1[[#This Row],[skill_gap_index]]&gt;70,"Large Gap",
IF(Table1[[#This Row],[skill_gap_index]]&gt;40,"Medium Gap","Small Gap"))</f>
        <v>Small Gap</v>
      </c>
      <c r="X332" s="3" t="str">
        <f>IF(Table1[[#This Row],[automation_risk_percent]]&gt;0.7,"Highly Automatable",
IF(Table1[[#This Row],[automation_risk_percent]]&gt;0.4,"Moderate Risk","Safe Job"))</f>
        <v>Safe Job</v>
      </c>
    </row>
    <row r="333" spans="1:24" x14ac:dyDescent="0.3">
      <c r="A333">
        <v>1186</v>
      </c>
      <c r="B333" t="s">
        <v>43</v>
      </c>
      <c r="C333" t="s">
        <v>33</v>
      </c>
      <c r="D333" t="s">
        <v>36</v>
      </c>
      <c r="E333" s="1">
        <v>2025</v>
      </c>
      <c r="F333" s="11">
        <v>0.53739999999999999</v>
      </c>
      <c r="G333">
        <v>59.76</v>
      </c>
      <c r="H333">
        <v>78.39</v>
      </c>
      <c r="I333" s="2">
        <v>92313.61</v>
      </c>
      <c r="J333" s="2">
        <v>89425.7</v>
      </c>
      <c r="K333" s="2">
        <f>Table1[[#This Row],[Salary_after]]-Table1[[#This Row],[Salary_before]]</f>
        <v>-2887.9100000000035</v>
      </c>
      <c r="L333" s="11">
        <v>-3.1300000000000001E-2</v>
      </c>
      <c r="M333" s="11">
        <v>0.15310000000000001</v>
      </c>
      <c r="N333">
        <v>89.98</v>
      </c>
      <c r="O333">
        <v>24.02</v>
      </c>
      <c r="P333">
        <v>3</v>
      </c>
      <c r="Q333" t="s">
        <v>25</v>
      </c>
      <c r="R333">
        <v>66.064999999999998</v>
      </c>
      <c r="S333">
        <v>3.13</v>
      </c>
      <c r="T333" s="4">
        <v>45.951999999999998</v>
      </c>
      <c r="U333" s="4">
        <v>12.908348</v>
      </c>
      <c r="V333" t="str">
        <f>IF(Table1[[#This Row],[ai_disruption_intensity]]&gt;70,"High",
IF(Table1[[#This Row],[ai_disruption_intensity]]&gt;40,"Medium","Low"))</f>
        <v>Low</v>
      </c>
      <c r="W333" t="str">
        <f>IF(Table1[[#This Row],[skill_gap_index]]&gt;70,"Large Gap",
IF(Table1[[#This Row],[skill_gap_index]]&gt;40,"Medium Gap","Small Gap"))</f>
        <v>Large Gap</v>
      </c>
      <c r="X333" s="3" t="str">
        <f>IF(Table1[[#This Row],[automation_risk_percent]]&gt;0.7,"Highly Automatable",
IF(Table1[[#This Row],[automation_risk_percent]]&gt;0.4,"Moderate Risk","Safe Job"))</f>
        <v>Moderate Risk</v>
      </c>
    </row>
    <row r="334" spans="1:24" x14ac:dyDescent="0.3">
      <c r="A334">
        <v>1198</v>
      </c>
      <c r="B334" t="s">
        <v>39</v>
      </c>
      <c r="C334" t="s">
        <v>30</v>
      </c>
      <c r="D334" t="s">
        <v>28</v>
      </c>
      <c r="E334" s="1">
        <v>2025</v>
      </c>
      <c r="F334" s="11">
        <v>0.58930000000000005</v>
      </c>
      <c r="G334">
        <v>53.11</v>
      </c>
      <c r="H334">
        <v>4.05</v>
      </c>
      <c r="I334" s="2">
        <v>78346.75</v>
      </c>
      <c r="J334" s="2">
        <v>78674.990000000005</v>
      </c>
      <c r="K334" s="2">
        <f>Table1[[#This Row],[Salary_after]]-Table1[[#This Row],[Salary_before]]</f>
        <v>328.24000000000524</v>
      </c>
      <c r="L334" s="11">
        <v>4.1999999999999997E-3</v>
      </c>
      <c r="M334" s="11">
        <v>0.31370000000000003</v>
      </c>
      <c r="N334">
        <v>88.6</v>
      </c>
      <c r="O334">
        <v>8.4</v>
      </c>
      <c r="P334">
        <v>4</v>
      </c>
      <c r="Q334" t="s">
        <v>25</v>
      </c>
      <c r="R334">
        <v>31.49</v>
      </c>
      <c r="S334">
        <v>0.42</v>
      </c>
      <c r="T334" s="4">
        <v>24.913</v>
      </c>
      <c r="U334" s="4">
        <v>4.9501200000000001</v>
      </c>
      <c r="V334" t="str">
        <f>IF(Table1[[#This Row],[ai_disruption_intensity]]&gt;70,"High",
IF(Table1[[#This Row],[ai_disruption_intensity]]&gt;40,"Medium","Low"))</f>
        <v>Low</v>
      </c>
      <c r="W334" t="str">
        <f>IF(Table1[[#This Row],[skill_gap_index]]&gt;70,"Large Gap",
IF(Table1[[#This Row],[skill_gap_index]]&gt;40,"Medium Gap","Small Gap"))</f>
        <v>Small Gap</v>
      </c>
      <c r="X334" s="3" t="str">
        <f>IF(Table1[[#This Row],[automation_risk_percent]]&gt;0.7,"Highly Automatable",
IF(Table1[[#This Row],[automation_risk_percent]]&gt;0.4,"Moderate Risk","Safe Job"))</f>
        <v>Moderate Risk</v>
      </c>
    </row>
    <row r="335" spans="1:24" x14ac:dyDescent="0.3">
      <c r="A335">
        <v>1201</v>
      </c>
      <c r="B335" t="s">
        <v>44</v>
      </c>
      <c r="C335" t="s">
        <v>27</v>
      </c>
      <c r="D335" t="s">
        <v>32</v>
      </c>
      <c r="E335" s="1">
        <v>2026</v>
      </c>
      <c r="F335" s="11">
        <v>0.35229999999999995</v>
      </c>
      <c r="G335">
        <v>34.25</v>
      </c>
      <c r="H335">
        <v>40.950000000000003</v>
      </c>
      <c r="I335" s="2">
        <v>74967.72</v>
      </c>
      <c r="J335" s="2">
        <v>68304.14</v>
      </c>
      <c r="K335" s="2">
        <f>Table1[[#This Row],[Salary_after]]-Table1[[#This Row],[Salary_before]]</f>
        <v>-6663.5800000000017</v>
      </c>
      <c r="L335" s="11">
        <v>-8.8900000000000007E-2</v>
      </c>
      <c r="M335" s="11">
        <v>3.4000000000000002E-2</v>
      </c>
      <c r="N335">
        <v>65.72</v>
      </c>
      <c r="O335">
        <v>14.37</v>
      </c>
      <c r="P335">
        <v>1</v>
      </c>
      <c r="Q335" t="s">
        <v>25</v>
      </c>
      <c r="R335">
        <v>38.090000000000003</v>
      </c>
      <c r="S335">
        <v>8.89</v>
      </c>
      <c r="T335" s="4">
        <v>29.044</v>
      </c>
      <c r="U335" s="4">
        <v>5.0625509999999903</v>
      </c>
      <c r="V335" t="str">
        <f>IF(Table1[[#This Row],[ai_disruption_intensity]]&gt;70,"High",
IF(Table1[[#This Row],[ai_disruption_intensity]]&gt;40,"Medium","Low"))</f>
        <v>Low</v>
      </c>
      <c r="W335" t="str">
        <f>IF(Table1[[#This Row],[skill_gap_index]]&gt;70,"Large Gap",
IF(Table1[[#This Row],[skill_gap_index]]&gt;40,"Medium Gap","Small Gap"))</f>
        <v>Medium Gap</v>
      </c>
      <c r="X335" s="3" t="str">
        <f>IF(Table1[[#This Row],[automation_risk_percent]]&gt;0.7,"Highly Automatable",
IF(Table1[[#This Row],[automation_risk_percent]]&gt;0.4,"Moderate Risk","Safe Job"))</f>
        <v>Safe Job</v>
      </c>
    </row>
    <row r="336" spans="1:24" x14ac:dyDescent="0.3">
      <c r="A336">
        <v>1202</v>
      </c>
      <c r="B336" t="s">
        <v>43</v>
      </c>
      <c r="C336" t="s">
        <v>19</v>
      </c>
      <c r="D336" t="s">
        <v>35</v>
      </c>
      <c r="E336" s="1">
        <v>2025</v>
      </c>
      <c r="F336" s="11">
        <v>0.4657</v>
      </c>
      <c r="G336">
        <v>37.39</v>
      </c>
      <c r="H336">
        <v>31.66</v>
      </c>
      <c r="I336" s="2">
        <v>111262.89</v>
      </c>
      <c r="J336" s="2">
        <v>115921.51</v>
      </c>
      <c r="K336" s="2">
        <f>Table1[[#This Row],[Salary_after]]-Table1[[#This Row],[Salary_before]]</f>
        <v>4658.6199999999953</v>
      </c>
      <c r="L336" s="11">
        <v>4.1900000000000007E-2</v>
      </c>
      <c r="M336" s="11">
        <v>4.8600000000000004E-2</v>
      </c>
      <c r="N336">
        <v>88.67</v>
      </c>
      <c r="O336">
        <v>35.909999999999997</v>
      </c>
      <c r="P336">
        <v>4</v>
      </c>
      <c r="Q336" t="s">
        <v>25</v>
      </c>
      <c r="R336">
        <v>39.115000000000002</v>
      </c>
      <c r="S336">
        <v>4.1900000000000004</v>
      </c>
      <c r="T336" s="4">
        <v>29.382999999999999</v>
      </c>
      <c r="U336" s="4">
        <v>16.723286999999999</v>
      </c>
      <c r="V336" t="str">
        <f>IF(Table1[[#This Row],[ai_disruption_intensity]]&gt;70,"High",
IF(Table1[[#This Row],[ai_disruption_intensity]]&gt;40,"Medium","Low"))</f>
        <v>Low</v>
      </c>
      <c r="W336" t="str">
        <f>IF(Table1[[#This Row],[skill_gap_index]]&gt;70,"Large Gap",
IF(Table1[[#This Row],[skill_gap_index]]&gt;40,"Medium Gap","Small Gap"))</f>
        <v>Small Gap</v>
      </c>
      <c r="X336" s="3" t="str">
        <f>IF(Table1[[#This Row],[automation_risk_percent]]&gt;0.7,"Highly Automatable",
IF(Table1[[#This Row],[automation_risk_percent]]&gt;0.4,"Moderate Risk","Safe Job"))</f>
        <v>Moderate Risk</v>
      </c>
    </row>
    <row r="337" spans="1:24" x14ac:dyDescent="0.3">
      <c r="A337">
        <v>1212</v>
      </c>
      <c r="B337" t="s">
        <v>18</v>
      </c>
      <c r="C337" t="s">
        <v>27</v>
      </c>
      <c r="D337" t="s">
        <v>42</v>
      </c>
      <c r="E337" s="1">
        <v>2025</v>
      </c>
      <c r="F337" s="11">
        <v>0.66980000000000006</v>
      </c>
      <c r="G337">
        <v>74.400000000000006</v>
      </c>
      <c r="H337">
        <v>78.86</v>
      </c>
      <c r="I337" s="2">
        <v>114962.85</v>
      </c>
      <c r="J337" s="2">
        <v>121907.2</v>
      </c>
      <c r="K337" s="2">
        <f>Table1[[#This Row],[Salary_after]]-Table1[[#This Row],[Salary_before]]</f>
        <v>6944.3499999999913</v>
      </c>
      <c r="L337" s="11">
        <v>6.0400000000000002E-2</v>
      </c>
      <c r="M337" s="11">
        <v>9.0000000000000011E-3</v>
      </c>
      <c r="N337">
        <v>90.41</v>
      </c>
      <c r="O337">
        <v>19.420000000000002</v>
      </c>
      <c r="P337">
        <v>5</v>
      </c>
      <c r="Q337" t="s">
        <v>37</v>
      </c>
      <c r="R337">
        <v>72.92</v>
      </c>
      <c r="S337">
        <v>6.04</v>
      </c>
      <c r="T337" s="4">
        <v>52.262</v>
      </c>
      <c r="U337" s="4">
        <v>13.007516000000001</v>
      </c>
      <c r="V337" t="str">
        <f>IF(Table1[[#This Row],[ai_disruption_intensity]]&gt;70,"High",
IF(Table1[[#This Row],[ai_disruption_intensity]]&gt;40,"Medium","Low"))</f>
        <v>Low</v>
      </c>
      <c r="W337" t="str">
        <f>IF(Table1[[#This Row],[skill_gap_index]]&gt;70,"Large Gap",
IF(Table1[[#This Row],[skill_gap_index]]&gt;40,"Medium Gap","Small Gap"))</f>
        <v>Large Gap</v>
      </c>
      <c r="X337" s="3" t="str">
        <f>IF(Table1[[#This Row],[automation_risk_percent]]&gt;0.7,"Highly Automatable",
IF(Table1[[#This Row],[automation_risk_percent]]&gt;0.4,"Moderate Risk","Safe Job"))</f>
        <v>Moderate Risk</v>
      </c>
    </row>
    <row r="338" spans="1:24" x14ac:dyDescent="0.3">
      <c r="A338">
        <v>1213</v>
      </c>
      <c r="B338" t="s">
        <v>39</v>
      </c>
      <c r="C338" t="s">
        <v>33</v>
      </c>
      <c r="D338" t="s">
        <v>31</v>
      </c>
      <c r="E338" s="1">
        <v>2026</v>
      </c>
      <c r="F338" s="11">
        <v>0.1913</v>
      </c>
      <c r="G338">
        <v>22.77</v>
      </c>
      <c r="H338">
        <v>86.83</v>
      </c>
      <c r="I338" s="2">
        <v>137188.34</v>
      </c>
      <c r="J338" s="2">
        <v>138665.85</v>
      </c>
      <c r="K338" s="2">
        <f>Table1[[#This Row],[Salary_after]]-Table1[[#This Row],[Salary_before]]</f>
        <v>1477.5100000000093</v>
      </c>
      <c r="L338" s="11">
        <v>1.0800000000000001E-2</v>
      </c>
      <c r="M338" s="11">
        <v>0.14980000000000002</v>
      </c>
      <c r="N338">
        <v>68.180000000000007</v>
      </c>
      <c r="O338">
        <v>54.54</v>
      </c>
      <c r="P338">
        <v>3</v>
      </c>
      <c r="Q338" t="s">
        <v>21</v>
      </c>
      <c r="R338">
        <v>52.98</v>
      </c>
      <c r="S338">
        <v>1.08</v>
      </c>
      <c r="T338" s="4">
        <v>34.024999999999999</v>
      </c>
      <c r="U338" s="4">
        <v>10.433501999999899</v>
      </c>
      <c r="V338" t="str">
        <f>IF(Table1[[#This Row],[ai_disruption_intensity]]&gt;70,"High",
IF(Table1[[#This Row],[ai_disruption_intensity]]&gt;40,"Medium","Low"))</f>
        <v>Low</v>
      </c>
      <c r="W338" t="str">
        <f>IF(Table1[[#This Row],[skill_gap_index]]&gt;70,"Large Gap",
IF(Table1[[#This Row],[skill_gap_index]]&gt;40,"Medium Gap","Small Gap"))</f>
        <v>Large Gap</v>
      </c>
      <c r="X338" s="3" t="str">
        <f>IF(Table1[[#This Row],[automation_risk_percent]]&gt;0.7,"Highly Automatable",
IF(Table1[[#This Row],[automation_risk_percent]]&gt;0.4,"Moderate Risk","Safe Job"))</f>
        <v>Safe Job</v>
      </c>
    </row>
    <row r="339" spans="1:24" x14ac:dyDescent="0.3">
      <c r="A339">
        <v>1214</v>
      </c>
      <c r="B339" t="s">
        <v>39</v>
      </c>
      <c r="C339" t="s">
        <v>23</v>
      </c>
      <c r="D339" t="s">
        <v>36</v>
      </c>
      <c r="E339" s="1">
        <v>2026</v>
      </c>
      <c r="F339" s="11">
        <v>0.1358</v>
      </c>
      <c r="G339">
        <v>14.92</v>
      </c>
      <c r="H339">
        <v>50.53</v>
      </c>
      <c r="I339" s="2">
        <v>107725.09</v>
      </c>
      <c r="J339" s="2">
        <v>66394.679999999993</v>
      </c>
      <c r="K339" s="2">
        <f>Table1[[#This Row],[Salary_after]]-Table1[[#This Row],[Salary_before]]</f>
        <v>-41330.410000000003</v>
      </c>
      <c r="L339" s="11">
        <v>-0.38369999999999999</v>
      </c>
      <c r="M339" s="11">
        <v>0.17370000000000002</v>
      </c>
      <c r="N339">
        <v>25.46</v>
      </c>
      <c r="O339">
        <v>27.87</v>
      </c>
      <c r="P339">
        <v>1</v>
      </c>
      <c r="Q339" t="s">
        <v>21</v>
      </c>
      <c r="R339">
        <v>32.055</v>
      </c>
      <c r="S339">
        <v>38.369999999999997</v>
      </c>
      <c r="T339" s="4">
        <v>32.101999999999997</v>
      </c>
      <c r="U339" s="4">
        <v>3.7847460000000002</v>
      </c>
      <c r="V339" t="str">
        <f>IF(Table1[[#This Row],[ai_disruption_intensity]]&gt;70,"High",
IF(Table1[[#This Row],[ai_disruption_intensity]]&gt;40,"Medium","Low"))</f>
        <v>Low</v>
      </c>
      <c r="W339" t="str">
        <f>IF(Table1[[#This Row],[skill_gap_index]]&gt;70,"Large Gap",
IF(Table1[[#This Row],[skill_gap_index]]&gt;40,"Medium Gap","Small Gap"))</f>
        <v>Medium Gap</v>
      </c>
      <c r="X339" s="3" t="str">
        <f>IF(Table1[[#This Row],[automation_risk_percent]]&gt;0.7,"Highly Automatable",
IF(Table1[[#This Row],[automation_risk_percent]]&gt;0.4,"Moderate Risk","Safe Job"))</f>
        <v>Safe Job</v>
      </c>
    </row>
    <row r="340" spans="1:24" x14ac:dyDescent="0.3">
      <c r="A340">
        <v>1218</v>
      </c>
      <c r="B340" t="s">
        <v>26</v>
      </c>
      <c r="C340" t="s">
        <v>30</v>
      </c>
      <c r="D340" t="s">
        <v>42</v>
      </c>
      <c r="E340" s="1">
        <v>2025</v>
      </c>
      <c r="F340" s="11">
        <v>7.2499999999999995E-2</v>
      </c>
      <c r="G340">
        <v>8.23</v>
      </c>
      <c r="H340">
        <v>15.28</v>
      </c>
      <c r="I340" s="2">
        <v>39951.26</v>
      </c>
      <c r="J340" s="2">
        <v>38222.82</v>
      </c>
      <c r="K340" s="2">
        <f>Table1[[#This Row],[Salary_after]]-Table1[[#This Row],[Salary_before]]</f>
        <v>-1728.4400000000023</v>
      </c>
      <c r="L340" s="11">
        <v>-4.3299999999999998E-2</v>
      </c>
      <c r="M340" s="11">
        <v>0.26860000000000001</v>
      </c>
      <c r="N340">
        <v>91.71</v>
      </c>
      <c r="O340">
        <v>36.32</v>
      </c>
      <c r="P340">
        <v>5</v>
      </c>
      <c r="Q340" t="s">
        <v>21</v>
      </c>
      <c r="R340">
        <v>11.265000000000001</v>
      </c>
      <c r="S340">
        <v>4.33</v>
      </c>
      <c r="T340" s="4">
        <v>8.7829999999999995</v>
      </c>
      <c r="U340" s="4">
        <v>2.6332</v>
      </c>
      <c r="V340" t="str">
        <f>IF(Table1[[#This Row],[ai_disruption_intensity]]&gt;70,"High",
IF(Table1[[#This Row],[ai_disruption_intensity]]&gt;40,"Medium","Low"))</f>
        <v>Low</v>
      </c>
      <c r="W340" t="str">
        <f>IF(Table1[[#This Row],[skill_gap_index]]&gt;70,"Large Gap",
IF(Table1[[#This Row],[skill_gap_index]]&gt;40,"Medium Gap","Small Gap"))</f>
        <v>Small Gap</v>
      </c>
      <c r="X340" s="3" t="str">
        <f>IF(Table1[[#This Row],[automation_risk_percent]]&gt;0.7,"Highly Automatable",
IF(Table1[[#This Row],[automation_risk_percent]]&gt;0.4,"Moderate Risk","Safe Job"))</f>
        <v>Safe Job</v>
      </c>
    </row>
    <row r="341" spans="1:24" x14ac:dyDescent="0.3">
      <c r="A341">
        <v>1221</v>
      </c>
      <c r="B341" t="s">
        <v>41</v>
      </c>
      <c r="C341" t="s">
        <v>40</v>
      </c>
      <c r="D341" t="s">
        <v>42</v>
      </c>
      <c r="E341" s="1">
        <v>2026</v>
      </c>
      <c r="F341" s="11">
        <v>0.83450000000000002</v>
      </c>
      <c r="G341">
        <v>96.9</v>
      </c>
      <c r="H341">
        <v>81.44</v>
      </c>
      <c r="I341" s="2">
        <v>85099.1</v>
      </c>
      <c r="J341" s="2">
        <v>79098.67</v>
      </c>
      <c r="K341" s="2">
        <f>Table1[[#This Row],[Salary_after]]-Table1[[#This Row],[Salary_before]]</f>
        <v>-6000.4300000000076</v>
      </c>
      <c r="L341" s="11">
        <v>-7.0499999999999993E-2</v>
      </c>
      <c r="M341" s="11">
        <v>-8.5000000000000006E-2</v>
      </c>
      <c r="N341">
        <v>11.82</v>
      </c>
      <c r="O341">
        <v>52.4</v>
      </c>
      <c r="P341">
        <v>2</v>
      </c>
      <c r="Q341" t="s">
        <v>37</v>
      </c>
      <c r="R341">
        <v>82.444999999999993</v>
      </c>
      <c r="S341">
        <v>7.05</v>
      </c>
      <c r="T341" s="4">
        <v>59.927</v>
      </c>
      <c r="U341" s="4">
        <v>43.727799999999903</v>
      </c>
      <c r="V341" t="str">
        <f>IF(Table1[[#This Row],[ai_disruption_intensity]]&gt;70,"High",
IF(Table1[[#This Row],[ai_disruption_intensity]]&gt;40,"Medium","Low"))</f>
        <v>Medium</v>
      </c>
      <c r="W341" t="str">
        <f>IF(Table1[[#This Row],[skill_gap_index]]&gt;70,"Large Gap",
IF(Table1[[#This Row],[skill_gap_index]]&gt;40,"Medium Gap","Small Gap"))</f>
        <v>Large Gap</v>
      </c>
      <c r="X341" s="3" t="str">
        <f>IF(Table1[[#This Row],[automation_risk_percent]]&gt;0.7,"Highly Automatable",
IF(Table1[[#This Row],[automation_risk_percent]]&gt;0.4,"Moderate Risk","Safe Job"))</f>
        <v>Highly Automatable</v>
      </c>
    </row>
    <row r="342" spans="1:24" x14ac:dyDescent="0.3">
      <c r="A342">
        <v>1223</v>
      </c>
      <c r="B342" t="s">
        <v>26</v>
      </c>
      <c r="C342" t="s">
        <v>33</v>
      </c>
      <c r="D342" t="s">
        <v>42</v>
      </c>
      <c r="E342" s="1">
        <v>2025</v>
      </c>
      <c r="F342" s="11">
        <v>0.55889999999999995</v>
      </c>
      <c r="G342">
        <v>56.43</v>
      </c>
      <c r="H342">
        <v>57.21</v>
      </c>
      <c r="I342" s="2">
        <v>132361.63</v>
      </c>
      <c r="J342" s="2">
        <v>128084.13</v>
      </c>
      <c r="K342" s="2">
        <f>Table1[[#This Row],[Salary_after]]-Table1[[#This Row],[Salary_before]]</f>
        <v>-4277.5</v>
      </c>
      <c r="L342" s="11">
        <v>-3.2300000000000002E-2</v>
      </c>
      <c r="M342" s="11">
        <v>7.690000000000001E-2</v>
      </c>
      <c r="N342">
        <v>74.25</v>
      </c>
      <c r="O342">
        <v>43.54</v>
      </c>
      <c r="P342">
        <v>1</v>
      </c>
      <c r="Q342" t="s">
        <v>25</v>
      </c>
      <c r="R342">
        <v>56.55</v>
      </c>
      <c r="S342">
        <v>3.23</v>
      </c>
      <c r="T342" s="4">
        <v>40.488</v>
      </c>
      <c r="U342" s="4">
        <v>24.334506000000001</v>
      </c>
      <c r="V342" t="str">
        <f>IF(Table1[[#This Row],[ai_disruption_intensity]]&gt;70,"High",
IF(Table1[[#This Row],[ai_disruption_intensity]]&gt;40,"Medium","Low"))</f>
        <v>Low</v>
      </c>
      <c r="W342" t="str">
        <f>IF(Table1[[#This Row],[skill_gap_index]]&gt;70,"Large Gap",
IF(Table1[[#This Row],[skill_gap_index]]&gt;40,"Medium Gap","Small Gap"))</f>
        <v>Medium Gap</v>
      </c>
      <c r="X342" s="3" t="str">
        <f>IF(Table1[[#This Row],[automation_risk_percent]]&gt;0.7,"Highly Automatable",
IF(Table1[[#This Row],[automation_risk_percent]]&gt;0.4,"Moderate Risk","Safe Job"))</f>
        <v>Moderate Risk</v>
      </c>
    </row>
    <row r="343" spans="1:24" x14ac:dyDescent="0.3">
      <c r="A343">
        <v>1225</v>
      </c>
      <c r="B343" t="s">
        <v>39</v>
      </c>
      <c r="C343" t="s">
        <v>34</v>
      </c>
      <c r="D343" t="s">
        <v>20</v>
      </c>
      <c r="E343" s="1">
        <v>2025</v>
      </c>
      <c r="F343" s="11">
        <v>0.1346</v>
      </c>
      <c r="G343">
        <v>15.34</v>
      </c>
      <c r="H343">
        <v>1</v>
      </c>
      <c r="I343" s="2">
        <v>142453.5</v>
      </c>
      <c r="J343" s="2">
        <v>121418</v>
      </c>
      <c r="K343" s="2">
        <f>Table1[[#This Row],[Salary_after]]-Table1[[#This Row],[Salary_before]]</f>
        <v>-21035.5</v>
      </c>
      <c r="L343" s="11">
        <v>-0.1477</v>
      </c>
      <c r="M343" s="11">
        <v>0.15579999999999999</v>
      </c>
      <c r="N343">
        <v>32.18</v>
      </c>
      <c r="O343">
        <v>0.9</v>
      </c>
      <c r="P343">
        <v>2</v>
      </c>
      <c r="Q343" t="s">
        <v>21</v>
      </c>
      <c r="R343">
        <v>7.23</v>
      </c>
      <c r="S343">
        <v>14.77</v>
      </c>
      <c r="T343" s="4">
        <v>10.115</v>
      </c>
      <c r="U343" s="4">
        <v>0.12114</v>
      </c>
      <c r="V343" t="str">
        <f>IF(Table1[[#This Row],[ai_disruption_intensity]]&gt;70,"High",
IF(Table1[[#This Row],[ai_disruption_intensity]]&gt;40,"Medium","Low"))</f>
        <v>Low</v>
      </c>
      <c r="W343" t="str">
        <f>IF(Table1[[#This Row],[skill_gap_index]]&gt;70,"Large Gap",
IF(Table1[[#This Row],[skill_gap_index]]&gt;40,"Medium Gap","Small Gap"))</f>
        <v>Small Gap</v>
      </c>
      <c r="X343" s="3" t="str">
        <f>IF(Table1[[#This Row],[automation_risk_percent]]&gt;0.7,"Highly Automatable",
IF(Table1[[#This Row],[automation_risk_percent]]&gt;0.4,"Moderate Risk","Safe Job"))</f>
        <v>Safe Job</v>
      </c>
    </row>
    <row r="344" spans="1:24" x14ac:dyDescent="0.3">
      <c r="A344">
        <v>1228</v>
      </c>
      <c r="B344" t="s">
        <v>39</v>
      </c>
      <c r="C344" t="s">
        <v>38</v>
      </c>
      <c r="D344" t="s">
        <v>20</v>
      </c>
      <c r="E344" s="1">
        <v>2026</v>
      </c>
      <c r="F344" s="11">
        <v>0.59909999999999997</v>
      </c>
      <c r="G344">
        <v>54.48</v>
      </c>
      <c r="H344">
        <v>12.16</v>
      </c>
      <c r="I344" s="2">
        <v>96726.88</v>
      </c>
      <c r="J344" s="2">
        <v>90598.37</v>
      </c>
      <c r="K344" s="2">
        <f>Table1[[#This Row],[Salary_after]]-Table1[[#This Row],[Salary_before]]</f>
        <v>-6128.5100000000093</v>
      </c>
      <c r="L344" s="11">
        <v>-6.3399999999999998E-2</v>
      </c>
      <c r="M344" s="11">
        <v>-0.1406</v>
      </c>
      <c r="N344">
        <v>68.23</v>
      </c>
      <c r="O344">
        <v>49.41</v>
      </c>
      <c r="P344">
        <v>2</v>
      </c>
      <c r="Q344" t="s">
        <v>25</v>
      </c>
      <c r="R344">
        <v>36.034999999999997</v>
      </c>
      <c r="S344">
        <v>6.34</v>
      </c>
      <c r="T344" s="4">
        <v>29.513999999999999</v>
      </c>
      <c r="U344" s="4">
        <v>29.601530999999898</v>
      </c>
      <c r="V344" t="str">
        <f>IF(Table1[[#This Row],[ai_disruption_intensity]]&gt;70,"High",
IF(Table1[[#This Row],[ai_disruption_intensity]]&gt;40,"Medium","Low"))</f>
        <v>Low</v>
      </c>
      <c r="W344" t="str">
        <f>IF(Table1[[#This Row],[skill_gap_index]]&gt;70,"Large Gap",
IF(Table1[[#This Row],[skill_gap_index]]&gt;40,"Medium Gap","Small Gap"))</f>
        <v>Small Gap</v>
      </c>
      <c r="X344" s="3" t="str">
        <f>IF(Table1[[#This Row],[automation_risk_percent]]&gt;0.7,"Highly Automatable",
IF(Table1[[#This Row],[automation_risk_percent]]&gt;0.4,"Moderate Risk","Safe Job"))</f>
        <v>Moderate Risk</v>
      </c>
    </row>
    <row r="345" spans="1:24" x14ac:dyDescent="0.3">
      <c r="A345">
        <v>1229</v>
      </c>
      <c r="B345" t="s">
        <v>29</v>
      </c>
      <c r="C345" t="s">
        <v>23</v>
      </c>
      <c r="D345" t="s">
        <v>47</v>
      </c>
      <c r="E345" s="1">
        <v>2025</v>
      </c>
      <c r="F345" s="11">
        <v>0.68420000000000003</v>
      </c>
      <c r="G345">
        <v>69.63</v>
      </c>
      <c r="H345">
        <v>73.98</v>
      </c>
      <c r="I345" s="2">
        <v>114712.39</v>
      </c>
      <c r="J345" s="2">
        <v>137357.51999999999</v>
      </c>
      <c r="K345" s="2">
        <f>Table1[[#This Row],[Salary_after]]-Table1[[#This Row],[Salary_before]]</f>
        <v>22645.12999999999</v>
      </c>
      <c r="L345" s="11">
        <v>0.19739999999999999</v>
      </c>
      <c r="M345" s="11">
        <v>8.77E-2</v>
      </c>
      <c r="N345">
        <v>88.62</v>
      </c>
      <c r="O345">
        <v>43.23</v>
      </c>
      <c r="P345">
        <v>4</v>
      </c>
      <c r="Q345" t="s">
        <v>37</v>
      </c>
      <c r="R345">
        <v>71.2</v>
      </c>
      <c r="S345">
        <v>19.739999999999998</v>
      </c>
      <c r="T345" s="4">
        <v>55.483999999999902</v>
      </c>
      <c r="U345" s="4">
        <v>29.577965999999901</v>
      </c>
      <c r="V345" t="str">
        <f>IF(Table1[[#This Row],[ai_disruption_intensity]]&gt;70,"High",
IF(Table1[[#This Row],[ai_disruption_intensity]]&gt;40,"Medium","Low"))</f>
        <v>Low</v>
      </c>
      <c r="W345" t="str">
        <f>IF(Table1[[#This Row],[skill_gap_index]]&gt;70,"Large Gap",
IF(Table1[[#This Row],[skill_gap_index]]&gt;40,"Medium Gap","Small Gap"))</f>
        <v>Large Gap</v>
      </c>
      <c r="X345" s="3" t="str">
        <f>IF(Table1[[#This Row],[automation_risk_percent]]&gt;0.7,"Highly Automatable",
IF(Table1[[#This Row],[automation_risk_percent]]&gt;0.4,"Moderate Risk","Safe Job"))</f>
        <v>Moderate Risk</v>
      </c>
    </row>
    <row r="346" spans="1:24" x14ac:dyDescent="0.3">
      <c r="A346">
        <v>1231</v>
      </c>
      <c r="B346" t="s">
        <v>41</v>
      </c>
      <c r="C346" t="s">
        <v>23</v>
      </c>
      <c r="D346" t="s">
        <v>42</v>
      </c>
      <c r="E346" s="1">
        <v>2026</v>
      </c>
      <c r="F346" s="11">
        <v>0.66780000000000006</v>
      </c>
      <c r="G346">
        <v>64.849999999999994</v>
      </c>
      <c r="H346">
        <v>33.06</v>
      </c>
      <c r="I346" s="2">
        <v>40838.230000000003</v>
      </c>
      <c r="J346" s="2">
        <v>37151.949999999997</v>
      </c>
      <c r="K346" s="2">
        <f>Table1[[#This Row],[Salary_after]]-Table1[[#This Row],[Salary_before]]</f>
        <v>-3686.2800000000061</v>
      </c>
      <c r="L346" s="11">
        <v>-9.0299999999999991E-2</v>
      </c>
      <c r="M346" s="11">
        <v>0.31980000000000003</v>
      </c>
      <c r="N346">
        <v>19.41</v>
      </c>
      <c r="O346">
        <v>61.25</v>
      </c>
      <c r="P346">
        <v>4</v>
      </c>
      <c r="Q346" t="s">
        <v>37</v>
      </c>
      <c r="R346">
        <v>49.92</v>
      </c>
      <c r="S346">
        <v>9.0299999999999994</v>
      </c>
      <c r="T346" s="4">
        <v>39.338999999999999</v>
      </c>
      <c r="U346" s="4">
        <v>40.902749999999997</v>
      </c>
      <c r="V346" t="str">
        <f>IF(Table1[[#This Row],[ai_disruption_intensity]]&gt;70,"High",
IF(Table1[[#This Row],[ai_disruption_intensity]]&gt;40,"Medium","Low"))</f>
        <v>Medium</v>
      </c>
      <c r="W346" t="str">
        <f>IF(Table1[[#This Row],[skill_gap_index]]&gt;70,"Large Gap",
IF(Table1[[#This Row],[skill_gap_index]]&gt;40,"Medium Gap","Small Gap"))</f>
        <v>Small Gap</v>
      </c>
      <c r="X346" s="3" t="str">
        <f>IF(Table1[[#This Row],[automation_risk_percent]]&gt;0.7,"Highly Automatable",
IF(Table1[[#This Row],[automation_risk_percent]]&gt;0.4,"Moderate Risk","Safe Job"))</f>
        <v>Moderate Risk</v>
      </c>
    </row>
    <row r="347" spans="1:24" x14ac:dyDescent="0.3">
      <c r="A347">
        <v>1233</v>
      </c>
      <c r="B347" t="s">
        <v>46</v>
      </c>
      <c r="C347" t="s">
        <v>34</v>
      </c>
      <c r="D347" t="s">
        <v>47</v>
      </c>
      <c r="E347" s="1">
        <v>2026</v>
      </c>
      <c r="F347" s="11">
        <v>0.40299999999999997</v>
      </c>
      <c r="G347">
        <v>41.64</v>
      </c>
      <c r="H347">
        <v>75</v>
      </c>
      <c r="I347" s="2">
        <v>91186.79</v>
      </c>
      <c r="J347" s="2">
        <v>89727.13</v>
      </c>
      <c r="K347" s="2">
        <f>Table1[[#This Row],[Salary_after]]-Table1[[#This Row],[Salary_before]]</f>
        <v>-1459.6599999999889</v>
      </c>
      <c r="L347" s="11">
        <v>-1.6E-2</v>
      </c>
      <c r="M347" s="11">
        <v>2.5699999999999997E-2</v>
      </c>
      <c r="N347">
        <v>14.19</v>
      </c>
      <c r="O347">
        <v>70.510000000000005</v>
      </c>
      <c r="P347">
        <v>3</v>
      </c>
      <c r="Q347" t="s">
        <v>25</v>
      </c>
      <c r="R347">
        <v>57.65</v>
      </c>
      <c r="S347">
        <v>1.6</v>
      </c>
      <c r="T347" s="4">
        <v>39.1</v>
      </c>
      <c r="U347" s="4">
        <v>28.41553</v>
      </c>
      <c r="V347" t="str">
        <f>IF(Table1[[#This Row],[ai_disruption_intensity]]&gt;70,"High",
IF(Table1[[#This Row],[ai_disruption_intensity]]&gt;40,"Medium","Low"))</f>
        <v>Low</v>
      </c>
      <c r="W347" t="str">
        <f>IF(Table1[[#This Row],[skill_gap_index]]&gt;70,"Large Gap",
IF(Table1[[#This Row],[skill_gap_index]]&gt;40,"Medium Gap","Small Gap"))</f>
        <v>Large Gap</v>
      </c>
      <c r="X347" s="3" t="str">
        <f>IF(Table1[[#This Row],[automation_risk_percent]]&gt;0.7,"Highly Automatable",
IF(Table1[[#This Row],[automation_risk_percent]]&gt;0.4,"Moderate Risk","Safe Job"))</f>
        <v>Moderate Risk</v>
      </c>
    </row>
    <row r="348" spans="1:24" x14ac:dyDescent="0.3">
      <c r="A348">
        <v>1234</v>
      </c>
      <c r="B348" t="s">
        <v>26</v>
      </c>
      <c r="C348" t="s">
        <v>27</v>
      </c>
      <c r="D348" t="s">
        <v>35</v>
      </c>
      <c r="E348" s="1">
        <v>2026</v>
      </c>
      <c r="F348" s="11">
        <v>0.59520000000000006</v>
      </c>
      <c r="G348">
        <v>57.95</v>
      </c>
      <c r="H348">
        <v>92.85</v>
      </c>
      <c r="I348" s="2">
        <v>100835.89</v>
      </c>
      <c r="J348" s="2">
        <v>111235.91</v>
      </c>
      <c r="K348" s="2">
        <f>Table1[[#This Row],[Salary_after]]-Table1[[#This Row],[Salary_before]]</f>
        <v>10400.020000000004</v>
      </c>
      <c r="L348" s="11">
        <v>0.10310000000000001</v>
      </c>
      <c r="M348" s="11">
        <v>8.8800000000000004E-2</v>
      </c>
      <c r="N348">
        <v>36.71</v>
      </c>
      <c r="O348">
        <v>35.43</v>
      </c>
      <c r="P348">
        <v>1</v>
      </c>
      <c r="Q348" t="s">
        <v>25</v>
      </c>
      <c r="R348">
        <v>76.185000000000002</v>
      </c>
      <c r="S348">
        <v>10.31</v>
      </c>
      <c r="T348" s="4">
        <v>54.756</v>
      </c>
      <c r="U348" s="4">
        <v>21.087935999999999</v>
      </c>
      <c r="V348" t="str">
        <f>IF(Table1[[#This Row],[ai_disruption_intensity]]&gt;70,"High",
IF(Table1[[#This Row],[ai_disruption_intensity]]&gt;40,"Medium","Low"))</f>
        <v>Low</v>
      </c>
      <c r="W348" t="str">
        <f>IF(Table1[[#This Row],[skill_gap_index]]&gt;70,"Large Gap",
IF(Table1[[#This Row],[skill_gap_index]]&gt;40,"Medium Gap","Small Gap"))</f>
        <v>Large Gap</v>
      </c>
      <c r="X348" s="3" t="str">
        <f>IF(Table1[[#This Row],[automation_risk_percent]]&gt;0.7,"Highly Automatable",
IF(Table1[[#This Row],[automation_risk_percent]]&gt;0.4,"Moderate Risk","Safe Job"))</f>
        <v>Moderate Risk</v>
      </c>
    </row>
    <row r="349" spans="1:24" x14ac:dyDescent="0.3">
      <c r="A349">
        <v>1235</v>
      </c>
      <c r="B349" t="s">
        <v>39</v>
      </c>
      <c r="C349" t="s">
        <v>38</v>
      </c>
      <c r="D349" t="s">
        <v>28</v>
      </c>
      <c r="E349" s="1">
        <v>2026</v>
      </c>
      <c r="F349" s="11">
        <v>0.73419999999999996</v>
      </c>
      <c r="G349">
        <v>85.19</v>
      </c>
      <c r="H349">
        <v>97.65</v>
      </c>
      <c r="I349" s="2">
        <v>138220.6</v>
      </c>
      <c r="J349" s="2">
        <v>140277.04999999999</v>
      </c>
      <c r="K349" s="2">
        <f>Table1[[#This Row],[Salary_after]]-Table1[[#This Row],[Salary_before]]</f>
        <v>2056.4499999999825</v>
      </c>
      <c r="L349" s="11">
        <v>1.49E-2</v>
      </c>
      <c r="M349" s="11">
        <v>3.2899999999999999E-2</v>
      </c>
      <c r="N349">
        <v>46.89</v>
      </c>
      <c r="O349">
        <v>99.08</v>
      </c>
      <c r="P349">
        <v>2</v>
      </c>
      <c r="Q349" t="s">
        <v>37</v>
      </c>
      <c r="R349">
        <v>85.534999999999997</v>
      </c>
      <c r="S349">
        <v>1.49</v>
      </c>
      <c r="T349" s="4">
        <v>59.11</v>
      </c>
      <c r="U349" s="4">
        <v>72.744535999999997</v>
      </c>
      <c r="V349" t="str">
        <f>IF(Table1[[#This Row],[ai_disruption_intensity]]&gt;70,"High",
IF(Table1[[#This Row],[ai_disruption_intensity]]&gt;40,"Medium","Low"))</f>
        <v>High</v>
      </c>
      <c r="W349" t="str">
        <f>IF(Table1[[#This Row],[skill_gap_index]]&gt;70,"Large Gap",
IF(Table1[[#This Row],[skill_gap_index]]&gt;40,"Medium Gap","Small Gap"))</f>
        <v>Large Gap</v>
      </c>
      <c r="X349" s="3" t="str">
        <f>IF(Table1[[#This Row],[automation_risk_percent]]&gt;0.7,"Highly Automatable",
IF(Table1[[#This Row],[automation_risk_percent]]&gt;0.4,"Moderate Risk","Safe Job"))</f>
        <v>Highly Automatable</v>
      </c>
    </row>
    <row r="350" spans="1:24" x14ac:dyDescent="0.3">
      <c r="A350">
        <v>1240</v>
      </c>
      <c r="B350" t="s">
        <v>26</v>
      </c>
      <c r="C350" t="s">
        <v>23</v>
      </c>
      <c r="D350" t="s">
        <v>20</v>
      </c>
      <c r="E350" s="1">
        <v>2026</v>
      </c>
      <c r="F350" s="11">
        <v>0.65040000000000009</v>
      </c>
      <c r="G350">
        <v>74.77</v>
      </c>
      <c r="H350">
        <v>13.45</v>
      </c>
      <c r="I350" s="2">
        <v>50734.76</v>
      </c>
      <c r="J350" s="2">
        <v>43812.15</v>
      </c>
      <c r="K350" s="2">
        <f>Table1[[#This Row],[Salary_after]]-Table1[[#This Row],[Salary_before]]</f>
        <v>-6922.6100000000006</v>
      </c>
      <c r="L350" s="11">
        <v>-0.13639999999999999</v>
      </c>
      <c r="M350" s="11">
        <v>-4.2800000000000005E-2</v>
      </c>
      <c r="N350">
        <v>65.33</v>
      </c>
      <c r="O350">
        <v>90.28</v>
      </c>
      <c r="P350">
        <v>2</v>
      </c>
      <c r="Q350" t="s">
        <v>37</v>
      </c>
      <c r="R350">
        <v>39.244999999999997</v>
      </c>
      <c r="S350">
        <v>13.64</v>
      </c>
      <c r="T350" s="4">
        <v>34.143000000000001</v>
      </c>
      <c r="U350" s="4">
        <v>58.718111999999998</v>
      </c>
      <c r="V350" t="str">
        <f>IF(Table1[[#This Row],[ai_disruption_intensity]]&gt;70,"High",
IF(Table1[[#This Row],[ai_disruption_intensity]]&gt;40,"Medium","Low"))</f>
        <v>Medium</v>
      </c>
      <c r="W350" t="str">
        <f>IF(Table1[[#This Row],[skill_gap_index]]&gt;70,"Large Gap",
IF(Table1[[#This Row],[skill_gap_index]]&gt;40,"Medium Gap","Small Gap"))</f>
        <v>Small Gap</v>
      </c>
      <c r="X350" s="3" t="str">
        <f>IF(Table1[[#This Row],[automation_risk_percent]]&gt;0.7,"Highly Automatable",
IF(Table1[[#This Row],[automation_risk_percent]]&gt;0.4,"Moderate Risk","Safe Job"))</f>
        <v>Moderate Risk</v>
      </c>
    </row>
    <row r="351" spans="1:24" x14ac:dyDescent="0.3">
      <c r="A351">
        <v>1244</v>
      </c>
      <c r="B351" t="s">
        <v>45</v>
      </c>
      <c r="C351" t="s">
        <v>27</v>
      </c>
      <c r="D351" t="s">
        <v>24</v>
      </c>
      <c r="E351" s="1">
        <v>2025</v>
      </c>
      <c r="F351" s="11">
        <v>0.40250000000000002</v>
      </c>
      <c r="G351">
        <v>40.869999999999997</v>
      </c>
      <c r="H351">
        <v>44.61</v>
      </c>
      <c r="I351" s="2">
        <v>97778.2</v>
      </c>
      <c r="J351" s="2">
        <v>91646.6</v>
      </c>
      <c r="K351" s="2">
        <f>Table1[[#This Row],[Salary_after]]-Table1[[#This Row],[Salary_before]]</f>
        <v>-6131.5999999999913</v>
      </c>
      <c r="L351" s="11">
        <v>-6.2699999999999992E-2</v>
      </c>
      <c r="M351" s="11">
        <v>4.5899999999999996E-2</v>
      </c>
      <c r="N351">
        <v>89.38</v>
      </c>
      <c r="O351">
        <v>44.44</v>
      </c>
      <c r="P351">
        <v>1</v>
      </c>
      <c r="Q351" t="s">
        <v>25</v>
      </c>
      <c r="R351">
        <v>42.43</v>
      </c>
      <c r="S351">
        <v>6.27</v>
      </c>
      <c r="T351" s="4">
        <v>31.364000000000001</v>
      </c>
      <c r="U351" s="4">
        <v>17.887099999999901</v>
      </c>
      <c r="V351" t="str">
        <f>IF(Table1[[#This Row],[ai_disruption_intensity]]&gt;70,"High",
IF(Table1[[#This Row],[ai_disruption_intensity]]&gt;40,"Medium","Low"))</f>
        <v>Low</v>
      </c>
      <c r="W351" t="str">
        <f>IF(Table1[[#This Row],[skill_gap_index]]&gt;70,"Large Gap",
IF(Table1[[#This Row],[skill_gap_index]]&gt;40,"Medium Gap","Small Gap"))</f>
        <v>Medium Gap</v>
      </c>
      <c r="X351" s="3" t="str">
        <f>IF(Table1[[#This Row],[automation_risk_percent]]&gt;0.7,"Highly Automatable",
IF(Table1[[#This Row],[automation_risk_percent]]&gt;0.4,"Moderate Risk","Safe Job"))</f>
        <v>Moderate Risk</v>
      </c>
    </row>
    <row r="352" spans="1:24" x14ac:dyDescent="0.3">
      <c r="A352">
        <v>1247</v>
      </c>
      <c r="B352" t="s">
        <v>46</v>
      </c>
      <c r="C352" t="s">
        <v>30</v>
      </c>
      <c r="D352" t="s">
        <v>28</v>
      </c>
      <c r="E352" s="1">
        <v>2026</v>
      </c>
      <c r="F352" s="11">
        <v>0.33310000000000001</v>
      </c>
      <c r="G352">
        <v>39.369999999999997</v>
      </c>
      <c r="H352">
        <v>24.74</v>
      </c>
      <c r="I352" s="2">
        <v>117797.51</v>
      </c>
      <c r="J352" s="2">
        <v>96836.160000000003</v>
      </c>
      <c r="K352" s="2">
        <f>Table1[[#This Row],[Salary_after]]-Table1[[#This Row],[Salary_before]]</f>
        <v>-20961.349999999991</v>
      </c>
      <c r="L352" s="11">
        <v>-0.1779</v>
      </c>
      <c r="M352" s="11">
        <v>-3.3E-3</v>
      </c>
      <c r="N352">
        <v>51.03</v>
      </c>
      <c r="O352">
        <v>7.12</v>
      </c>
      <c r="P352">
        <v>3</v>
      </c>
      <c r="Q352" t="s">
        <v>25</v>
      </c>
      <c r="R352">
        <v>29.024999999999999</v>
      </c>
      <c r="S352">
        <v>17.79</v>
      </c>
      <c r="T352" s="4">
        <v>26.082999999999998</v>
      </c>
      <c r="U352" s="4">
        <v>2.3716719999999998</v>
      </c>
      <c r="V352" t="str">
        <f>IF(Table1[[#This Row],[ai_disruption_intensity]]&gt;70,"High",
IF(Table1[[#This Row],[ai_disruption_intensity]]&gt;40,"Medium","Low"))</f>
        <v>Low</v>
      </c>
      <c r="W352" t="str">
        <f>IF(Table1[[#This Row],[skill_gap_index]]&gt;70,"Large Gap",
IF(Table1[[#This Row],[skill_gap_index]]&gt;40,"Medium Gap","Small Gap"))</f>
        <v>Small Gap</v>
      </c>
      <c r="X352" s="3" t="str">
        <f>IF(Table1[[#This Row],[automation_risk_percent]]&gt;0.7,"Highly Automatable",
IF(Table1[[#This Row],[automation_risk_percent]]&gt;0.4,"Moderate Risk","Safe Job"))</f>
        <v>Safe Job</v>
      </c>
    </row>
    <row r="353" spans="1:24" x14ac:dyDescent="0.3">
      <c r="A353">
        <v>1256</v>
      </c>
      <c r="B353" t="s">
        <v>44</v>
      </c>
      <c r="C353" t="s">
        <v>33</v>
      </c>
      <c r="D353" t="s">
        <v>42</v>
      </c>
      <c r="E353" s="1">
        <v>2025</v>
      </c>
      <c r="F353" s="11">
        <v>0.13350000000000001</v>
      </c>
      <c r="G353">
        <v>12.86</v>
      </c>
      <c r="H353">
        <v>70.5</v>
      </c>
      <c r="I353" s="2">
        <v>57224.46</v>
      </c>
      <c r="J353" s="2">
        <v>60288.6</v>
      </c>
      <c r="K353" s="2">
        <f>Table1[[#This Row],[Salary_after]]-Table1[[#This Row],[Salary_before]]</f>
        <v>3064.1399999999994</v>
      </c>
      <c r="L353" s="11">
        <v>5.3499999999999999E-2</v>
      </c>
      <c r="M353" s="11">
        <v>0.1709</v>
      </c>
      <c r="N353">
        <v>62.88</v>
      </c>
      <c r="O353">
        <v>35.35</v>
      </c>
      <c r="P353">
        <v>1</v>
      </c>
      <c r="Q353" t="s">
        <v>21</v>
      </c>
      <c r="R353">
        <v>41.924999999999997</v>
      </c>
      <c r="S353">
        <v>5.35</v>
      </c>
      <c r="T353" s="4">
        <v>28.094999999999999</v>
      </c>
      <c r="U353" s="4">
        <v>4.7192249999999998</v>
      </c>
      <c r="V353" t="str">
        <f>IF(Table1[[#This Row],[ai_disruption_intensity]]&gt;70,"High",
IF(Table1[[#This Row],[ai_disruption_intensity]]&gt;40,"Medium","Low"))</f>
        <v>Low</v>
      </c>
      <c r="W353" t="str">
        <f>IF(Table1[[#This Row],[skill_gap_index]]&gt;70,"Large Gap",
IF(Table1[[#This Row],[skill_gap_index]]&gt;40,"Medium Gap","Small Gap"))</f>
        <v>Large Gap</v>
      </c>
      <c r="X353" s="3" t="str">
        <f>IF(Table1[[#This Row],[automation_risk_percent]]&gt;0.7,"Highly Automatable",
IF(Table1[[#This Row],[automation_risk_percent]]&gt;0.4,"Moderate Risk","Safe Job"))</f>
        <v>Safe Job</v>
      </c>
    </row>
    <row r="354" spans="1:24" x14ac:dyDescent="0.3">
      <c r="A354">
        <v>1259</v>
      </c>
      <c r="B354" t="s">
        <v>22</v>
      </c>
      <c r="C354" t="s">
        <v>23</v>
      </c>
      <c r="D354" t="s">
        <v>24</v>
      </c>
      <c r="E354" s="1">
        <v>2025</v>
      </c>
      <c r="F354" s="11">
        <v>0.60570000000000002</v>
      </c>
      <c r="G354">
        <v>50.52</v>
      </c>
      <c r="H354">
        <v>22</v>
      </c>
      <c r="I354" s="2">
        <v>31057.78</v>
      </c>
      <c r="J354" s="2">
        <v>28177.57</v>
      </c>
      <c r="K354" s="2">
        <f>Table1[[#This Row],[Salary_after]]-Table1[[#This Row],[Salary_before]]</f>
        <v>-2880.2099999999991</v>
      </c>
      <c r="L354" s="11">
        <v>-9.2699999999999991E-2</v>
      </c>
      <c r="M354" s="11">
        <v>0.17879999999999999</v>
      </c>
      <c r="N354">
        <v>80.8</v>
      </c>
      <c r="O354">
        <v>33.89</v>
      </c>
      <c r="P354">
        <v>5</v>
      </c>
      <c r="Q354" t="s">
        <v>37</v>
      </c>
      <c r="R354">
        <v>41.284999999999997</v>
      </c>
      <c r="S354">
        <v>9.27</v>
      </c>
      <c r="T354" s="4">
        <v>33.609000000000002</v>
      </c>
      <c r="U354" s="4">
        <v>20.527173000000001</v>
      </c>
      <c r="V354" t="str">
        <f>IF(Table1[[#This Row],[ai_disruption_intensity]]&gt;70,"High",
IF(Table1[[#This Row],[ai_disruption_intensity]]&gt;40,"Medium","Low"))</f>
        <v>Low</v>
      </c>
      <c r="W354" t="str">
        <f>IF(Table1[[#This Row],[skill_gap_index]]&gt;70,"Large Gap",
IF(Table1[[#This Row],[skill_gap_index]]&gt;40,"Medium Gap","Small Gap"))</f>
        <v>Small Gap</v>
      </c>
      <c r="X354" s="3" t="str">
        <f>IF(Table1[[#This Row],[automation_risk_percent]]&gt;0.7,"Highly Automatable",
IF(Table1[[#This Row],[automation_risk_percent]]&gt;0.4,"Moderate Risk","Safe Job"))</f>
        <v>Moderate Risk</v>
      </c>
    </row>
    <row r="355" spans="1:24" x14ac:dyDescent="0.3">
      <c r="A355">
        <v>1261</v>
      </c>
      <c r="B355" t="s">
        <v>26</v>
      </c>
      <c r="C355" t="s">
        <v>40</v>
      </c>
      <c r="D355" t="s">
        <v>35</v>
      </c>
      <c r="E355" s="1">
        <v>2025</v>
      </c>
      <c r="F355" s="11">
        <v>0.24590000000000001</v>
      </c>
      <c r="G355">
        <v>27.9</v>
      </c>
      <c r="H355">
        <v>6.68</v>
      </c>
      <c r="I355" s="2">
        <v>143081.22</v>
      </c>
      <c r="J355" s="2">
        <v>130462.02</v>
      </c>
      <c r="K355" s="2">
        <f>Table1[[#This Row],[Salary_after]]-Table1[[#This Row],[Salary_before]]</f>
        <v>-12619.199999999997</v>
      </c>
      <c r="L355" s="11">
        <v>-8.8200000000000001E-2</v>
      </c>
      <c r="M355" s="11">
        <v>-9.4299999999999995E-2</v>
      </c>
      <c r="N355">
        <v>79.88</v>
      </c>
      <c r="O355">
        <v>59.59</v>
      </c>
      <c r="P355">
        <v>4</v>
      </c>
      <c r="Q355" t="s">
        <v>21</v>
      </c>
      <c r="R355">
        <v>15.635</v>
      </c>
      <c r="S355">
        <v>8.82</v>
      </c>
      <c r="T355" s="4">
        <v>14.486000000000001</v>
      </c>
      <c r="U355" s="4">
        <v>14.653181</v>
      </c>
      <c r="V355" t="str">
        <f>IF(Table1[[#This Row],[ai_disruption_intensity]]&gt;70,"High",
IF(Table1[[#This Row],[ai_disruption_intensity]]&gt;40,"Medium","Low"))</f>
        <v>Low</v>
      </c>
      <c r="W355" t="str">
        <f>IF(Table1[[#This Row],[skill_gap_index]]&gt;70,"Large Gap",
IF(Table1[[#This Row],[skill_gap_index]]&gt;40,"Medium Gap","Small Gap"))</f>
        <v>Small Gap</v>
      </c>
      <c r="X355" s="3" t="str">
        <f>IF(Table1[[#This Row],[automation_risk_percent]]&gt;0.7,"Highly Automatable",
IF(Table1[[#This Row],[automation_risk_percent]]&gt;0.4,"Moderate Risk","Safe Job"))</f>
        <v>Safe Job</v>
      </c>
    </row>
    <row r="356" spans="1:24" x14ac:dyDescent="0.3">
      <c r="A356">
        <v>1267</v>
      </c>
      <c r="B356" t="s">
        <v>44</v>
      </c>
      <c r="C356" t="s">
        <v>30</v>
      </c>
      <c r="D356" t="s">
        <v>36</v>
      </c>
      <c r="E356" s="1">
        <v>2026</v>
      </c>
      <c r="F356" s="11">
        <v>0.2964</v>
      </c>
      <c r="G356">
        <v>30.31</v>
      </c>
      <c r="H356">
        <v>70.87</v>
      </c>
      <c r="I356" s="2">
        <v>46131.73</v>
      </c>
      <c r="J356" s="2">
        <v>48024.9</v>
      </c>
      <c r="K356" s="2">
        <f>Table1[[#This Row],[Salary_after]]-Table1[[#This Row],[Salary_before]]</f>
        <v>1893.1699999999983</v>
      </c>
      <c r="L356" s="11">
        <v>4.0999999999999995E-2</v>
      </c>
      <c r="M356" s="11">
        <v>0.17149999999999999</v>
      </c>
      <c r="N356">
        <v>95.46</v>
      </c>
      <c r="O356">
        <v>33.950000000000003</v>
      </c>
      <c r="P356">
        <v>1</v>
      </c>
      <c r="Q356" t="s">
        <v>21</v>
      </c>
      <c r="R356">
        <v>50.255000000000003</v>
      </c>
      <c r="S356">
        <v>4.0999999999999996</v>
      </c>
      <c r="T356" s="4">
        <v>34.347000000000001</v>
      </c>
      <c r="U356" s="4">
        <v>10.06278</v>
      </c>
      <c r="V356" t="str">
        <f>IF(Table1[[#This Row],[ai_disruption_intensity]]&gt;70,"High",
IF(Table1[[#This Row],[ai_disruption_intensity]]&gt;40,"Medium","Low"))</f>
        <v>Low</v>
      </c>
      <c r="W356" t="str">
        <f>IF(Table1[[#This Row],[skill_gap_index]]&gt;70,"Large Gap",
IF(Table1[[#This Row],[skill_gap_index]]&gt;40,"Medium Gap","Small Gap"))</f>
        <v>Large Gap</v>
      </c>
      <c r="X356" s="3" t="str">
        <f>IF(Table1[[#This Row],[automation_risk_percent]]&gt;0.7,"Highly Automatable",
IF(Table1[[#This Row],[automation_risk_percent]]&gt;0.4,"Moderate Risk","Safe Job"))</f>
        <v>Safe Job</v>
      </c>
    </row>
    <row r="357" spans="1:24" x14ac:dyDescent="0.3">
      <c r="A357">
        <v>1271</v>
      </c>
      <c r="B357" t="s">
        <v>39</v>
      </c>
      <c r="C357" t="s">
        <v>34</v>
      </c>
      <c r="D357" t="s">
        <v>36</v>
      </c>
      <c r="E357" s="1">
        <v>2026</v>
      </c>
      <c r="F357" s="11">
        <v>0.67349999999999999</v>
      </c>
      <c r="G357">
        <v>56.03</v>
      </c>
      <c r="H357">
        <v>85.55</v>
      </c>
      <c r="I357" s="2">
        <v>41027.53</v>
      </c>
      <c r="J357" s="2">
        <v>39237.65</v>
      </c>
      <c r="K357" s="2">
        <f>Table1[[#This Row],[Salary_after]]-Table1[[#This Row],[Salary_before]]</f>
        <v>-1789.8799999999974</v>
      </c>
      <c r="L357" s="11">
        <v>-4.36E-2</v>
      </c>
      <c r="M357" s="11">
        <v>0.15479999999999999</v>
      </c>
      <c r="N357">
        <v>65.099999999999994</v>
      </c>
      <c r="O357">
        <v>15.29</v>
      </c>
      <c r="P357">
        <v>4</v>
      </c>
      <c r="Q357" t="s">
        <v>37</v>
      </c>
      <c r="R357">
        <v>76.449999999999903</v>
      </c>
      <c r="S357">
        <v>4.3600000000000003</v>
      </c>
      <c r="T357" s="4">
        <v>53.912999999999997</v>
      </c>
      <c r="U357" s="4">
        <v>10.2978149999999</v>
      </c>
      <c r="V357" t="str">
        <f>IF(Table1[[#This Row],[ai_disruption_intensity]]&gt;70,"High",
IF(Table1[[#This Row],[ai_disruption_intensity]]&gt;40,"Medium","Low"))</f>
        <v>Low</v>
      </c>
      <c r="W357" t="str">
        <f>IF(Table1[[#This Row],[skill_gap_index]]&gt;70,"Large Gap",
IF(Table1[[#This Row],[skill_gap_index]]&gt;40,"Medium Gap","Small Gap"))</f>
        <v>Large Gap</v>
      </c>
      <c r="X357" s="3" t="str">
        <f>IF(Table1[[#This Row],[automation_risk_percent]]&gt;0.7,"Highly Automatable",
IF(Table1[[#This Row],[automation_risk_percent]]&gt;0.4,"Moderate Risk","Safe Job"))</f>
        <v>Moderate Risk</v>
      </c>
    </row>
    <row r="358" spans="1:24" x14ac:dyDescent="0.3">
      <c r="A358">
        <v>1272</v>
      </c>
      <c r="B358" t="s">
        <v>18</v>
      </c>
      <c r="C358" t="s">
        <v>23</v>
      </c>
      <c r="D358" t="s">
        <v>28</v>
      </c>
      <c r="E358" s="1">
        <v>2025</v>
      </c>
      <c r="F358" s="11">
        <v>0.14630000000000001</v>
      </c>
      <c r="G358">
        <v>12.97</v>
      </c>
      <c r="H358">
        <v>12.79</v>
      </c>
      <c r="I358" s="2">
        <v>67488.710000000006</v>
      </c>
      <c r="J358" s="2">
        <v>84941.119999999995</v>
      </c>
      <c r="K358" s="2">
        <f>Table1[[#This Row],[Salary_after]]-Table1[[#This Row],[Salary_before]]</f>
        <v>17452.409999999989</v>
      </c>
      <c r="L358" s="11">
        <v>0.2586</v>
      </c>
      <c r="M358" s="11">
        <v>9.1899999999999996E-2</v>
      </c>
      <c r="N358">
        <v>81.09</v>
      </c>
      <c r="O358">
        <v>65.62</v>
      </c>
      <c r="P358">
        <v>2</v>
      </c>
      <c r="Q358" t="s">
        <v>21</v>
      </c>
      <c r="R358">
        <v>13.71</v>
      </c>
      <c r="S358">
        <v>25.86</v>
      </c>
      <c r="T358" s="4">
        <v>17.446999999999999</v>
      </c>
      <c r="U358" s="4">
        <v>9.600206</v>
      </c>
      <c r="V358" t="str">
        <f>IF(Table1[[#This Row],[ai_disruption_intensity]]&gt;70,"High",
IF(Table1[[#This Row],[ai_disruption_intensity]]&gt;40,"Medium","Low"))</f>
        <v>Low</v>
      </c>
      <c r="W358" t="str">
        <f>IF(Table1[[#This Row],[skill_gap_index]]&gt;70,"Large Gap",
IF(Table1[[#This Row],[skill_gap_index]]&gt;40,"Medium Gap","Small Gap"))</f>
        <v>Small Gap</v>
      </c>
      <c r="X358" s="3" t="str">
        <f>IF(Table1[[#This Row],[automation_risk_percent]]&gt;0.7,"Highly Automatable",
IF(Table1[[#This Row],[automation_risk_percent]]&gt;0.4,"Moderate Risk","Safe Job"))</f>
        <v>Safe Job</v>
      </c>
    </row>
    <row r="359" spans="1:24" x14ac:dyDescent="0.3">
      <c r="A359">
        <v>1277</v>
      </c>
      <c r="B359" t="s">
        <v>46</v>
      </c>
      <c r="C359" t="s">
        <v>30</v>
      </c>
      <c r="D359" t="s">
        <v>24</v>
      </c>
      <c r="E359" s="1">
        <v>2026</v>
      </c>
      <c r="F359" s="11">
        <v>0.6331</v>
      </c>
      <c r="G359">
        <v>55.66</v>
      </c>
      <c r="H359">
        <v>2.58</v>
      </c>
      <c r="I359" s="2">
        <v>32433.599999999999</v>
      </c>
      <c r="J359" s="2">
        <v>37348.629999999997</v>
      </c>
      <c r="K359" s="2">
        <f>Table1[[#This Row],[Salary_after]]-Table1[[#This Row],[Salary_before]]</f>
        <v>4915.0299999999988</v>
      </c>
      <c r="L359" s="11">
        <v>0.1515</v>
      </c>
      <c r="M359" s="11">
        <v>0.1646</v>
      </c>
      <c r="N359">
        <v>37.99</v>
      </c>
      <c r="O359">
        <v>32</v>
      </c>
      <c r="P359">
        <v>2</v>
      </c>
      <c r="Q359" t="s">
        <v>37</v>
      </c>
      <c r="R359">
        <v>32.945</v>
      </c>
      <c r="S359">
        <v>15.15</v>
      </c>
      <c r="T359" s="4">
        <v>30.643000000000001</v>
      </c>
      <c r="U359" s="4">
        <v>20.2592</v>
      </c>
      <c r="V359" t="str">
        <f>IF(Table1[[#This Row],[ai_disruption_intensity]]&gt;70,"High",
IF(Table1[[#This Row],[ai_disruption_intensity]]&gt;40,"Medium","Low"))</f>
        <v>Low</v>
      </c>
      <c r="W359" t="str">
        <f>IF(Table1[[#This Row],[skill_gap_index]]&gt;70,"Large Gap",
IF(Table1[[#This Row],[skill_gap_index]]&gt;40,"Medium Gap","Small Gap"))</f>
        <v>Small Gap</v>
      </c>
      <c r="X359" s="3" t="str">
        <f>IF(Table1[[#This Row],[automation_risk_percent]]&gt;0.7,"Highly Automatable",
IF(Table1[[#This Row],[automation_risk_percent]]&gt;0.4,"Moderate Risk","Safe Job"))</f>
        <v>Moderate Risk</v>
      </c>
    </row>
    <row r="360" spans="1:24" x14ac:dyDescent="0.3">
      <c r="A360">
        <v>1278</v>
      </c>
      <c r="B360" t="s">
        <v>18</v>
      </c>
      <c r="C360" t="s">
        <v>33</v>
      </c>
      <c r="D360" t="s">
        <v>32</v>
      </c>
      <c r="E360" s="1">
        <v>2025</v>
      </c>
      <c r="F360" s="11">
        <v>0.33759999999999996</v>
      </c>
      <c r="G360">
        <v>36.200000000000003</v>
      </c>
      <c r="H360">
        <v>5.81</v>
      </c>
      <c r="I360" s="2">
        <v>141493.96</v>
      </c>
      <c r="J360" s="2">
        <v>148700.18</v>
      </c>
      <c r="K360" s="2">
        <f>Table1[[#This Row],[Salary_after]]-Table1[[#This Row],[Salary_before]]</f>
        <v>7206.2200000000012</v>
      </c>
      <c r="L360" s="11">
        <v>5.0900000000000001E-2</v>
      </c>
      <c r="M360" s="11">
        <v>-1.1599999999999999E-2</v>
      </c>
      <c r="N360">
        <v>30.11</v>
      </c>
      <c r="O360">
        <v>8.08</v>
      </c>
      <c r="P360">
        <v>2</v>
      </c>
      <c r="Q360" t="s">
        <v>25</v>
      </c>
      <c r="R360">
        <v>19.785</v>
      </c>
      <c r="S360">
        <v>5.09</v>
      </c>
      <c r="T360" s="4">
        <v>16.774000000000001</v>
      </c>
      <c r="U360" s="4">
        <v>2.727808</v>
      </c>
      <c r="V360" t="str">
        <f>IF(Table1[[#This Row],[ai_disruption_intensity]]&gt;70,"High",
IF(Table1[[#This Row],[ai_disruption_intensity]]&gt;40,"Medium","Low"))</f>
        <v>Low</v>
      </c>
      <c r="W360" t="str">
        <f>IF(Table1[[#This Row],[skill_gap_index]]&gt;70,"Large Gap",
IF(Table1[[#This Row],[skill_gap_index]]&gt;40,"Medium Gap","Small Gap"))</f>
        <v>Small Gap</v>
      </c>
      <c r="X360" s="3" t="str">
        <f>IF(Table1[[#This Row],[automation_risk_percent]]&gt;0.7,"Highly Automatable",
IF(Table1[[#This Row],[automation_risk_percent]]&gt;0.4,"Moderate Risk","Safe Job"))</f>
        <v>Safe Job</v>
      </c>
    </row>
    <row r="361" spans="1:24" x14ac:dyDescent="0.3">
      <c r="A361">
        <v>1280</v>
      </c>
      <c r="B361" t="s">
        <v>41</v>
      </c>
      <c r="C361" t="s">
        <v>34</v>
      </c>
      <c r="D361" t="s">
        <v>24</v>
      </c>
      <c r="E361" s="1">
        <v>2025</v>
      </c>
      <c r="F361" s="11">
        <v>0.58979999999999999</v>
      </c>
      <c r="G361">
        <v>55.53</v>
      </c>
      <c r="H361">
        <v>89.15</v>
      </c>
      <c r="I361" s="2">
        <v>49905.35</v>
      </c>
      <c r="J361" s="2">
        <v>51137.54</v>
      </c>
      <c r="K361" s="2">
        <f>Table1[[#This Row],[Salary_after]]-Table1[[#This Row],[Salary_before]]</f>
        <v>1232.1900000000023</v>
      </c>
      <c r="L361" s="11">
        <v>2.4700000000000003E-2</v>
      </c>
      <c r="M361" s="11">
        <v>-6.25E-2</v>
      </c>
      <c r="N361">
        <v>69.17</v>
      </c>
      <c r="O361">
        <v>19.46</v>
      </c>
      <c r="P361">
        <v>3</v>
      </c>
      <c r="Q361" t="s">
        <v>25</v>
      </c>
      <c r="R361">
        <v>74.064999999999998</v>
      </c>
      <c r="S361">
        <v>2.4700000000000002</v>
      </c>
      <c r="T361" s="4">
        <v>51.078000000000003</v>
      </c>
      <c r="U361" s="4">
        <v>11.477508</v>
      </c>
      <c r="V361" t="str">
        <f>IF(Table1[[#This Row],[ai_disruption_intensity]]&gt;70,"High",
IF(Table1[[#This Row],[ai_disruption_intensity]]&gt;40,"Medium","Low"))</f>
        <v>Low</v>
      </c>
      <c r="W361" t="str">
        <f>IF(Table1[[#This Row],[skill_gap_index]]&gt;70,"Large Gap",
IF(Table1[[#This Row],[skill_gap_index]]&gt;40,"Medium Gap","Small Gap"))</f>
        <v>Large Gap</v>
      </c>
      <c r="X361" s="3" t="str">
        <f>IF(Table1[[#This Row],[automation_risk_percent]]&gt;0.7,"Highly Automatable",
IF(Table1[[#This Row],[automation_risk_percent]]&gt;0.4,"Moderate Risk","Safe Job"))</f>
        <v>Moderate Risk</v>
      </c>
    </row>
    <row r="362" spans="1:24" x14ac:dyDescent="0.3">
      <c r="A362">
        <v>1281</v>
      </c>
      <c r="B362" t="s">
        <v>22</v>
      </c>
      <c r="C362" t="s">
        <v>19</v>
      </c>
      <c r="D362" t="s">
        <v>36</v>
      </c>
      <c r="E362" s="1">
        <v>2025</v>
      </c>
      <c r="F362" s="11">
        <v>0.3735</v>
      </c>
      <c r="G362">
        <v>44.02</v>
      </c>
      <c r="H362">
        <v>24.66</v>
      </c>
      <c r="I362" s="2">
        <v>110203.28</v>
      </c>
      <c r="J362" s="2">
        <v>106280.76</v>
      </c>
      <c r="K362" s="2">
        <f>Table1[[#This Row],[Salary_after]]-Table1[[#This Row],[Salary_before]]</f>
        <v>-3922.5200000000041</v>
      </c>
      <c r="L362" s="11">
        <v>-3.56E-2</v>
      </c>
      <c r="M362" s="11">
        <v>0.21479999999999999</v>
      </c>
      <c r="N362">
        <v>94.38</v>
      </c>
      <c r="O362">
        <v>73.67</v>
      </c>
      <c r="P362">
        <v>3</v>
      </c>
      <c r="Q362" t="s">
        <v>25</v>
      </c>
      <c r="R362">
        <v>31.004999999999999</v>
      </c>
      <c r="S362">
        <v>3.56</v>
      </c>
      <c r="T362" s="4">
        <v>23.405999999999999</v>
      </c>
      <c r="U362" s="4">
        <v>27.515744999999999</v>
      </c>
      <c r="V362" t="str">
        <f>IF(Table1[[#This Row],[ai_disruption_intensity]]&gt;70,"High",
IF(Table1[[#This Row],[ai_disruption_intensity]]&gt;40,"Medium","Low"))</f>
        <v>Low</v>
      </c>
      <c r="W362" t="str">
        <f>IF(Table1[[#This Row],[skill_gap_index]]&gt;70,"Large Gap",
IF(Table1[[#This Row],[skill_gap_index]]&gt;40,"Medium Gap","Small Gap"))</f>
        <v>Small Gap</v>
      </c>
      <c r="X362" s="3" t="str">
        <f>IF(Table1[[#This Row],[automation_risk_percent]]&gt;0.7,"Highly Automatable",
IF(Table1[[#This Row],[automation_risk_percent]]&gt;0.4,"Moderate Risk","Safe Job"))</f>
        <v>Safe Job</v>
      </c>
    </row>
    <row r="363" spans="1:24" x14ac:dyDescent="0.3">
      <c r="A363">
        <v>1284</v>
      </c>
      <c r="B363" t="s">
        <v>46</v>
      </c>
      <c r="C363" t="s">
        <v>23</v>
      </c>
      <c r="D363" t="s">
        <v>31</v>
      </c>
      <c r="E363" s="1">
        <v>2026</v>
      </c>
      <c r="F363" s="11">
        <v>0.60929999999999995</v>
      </c>
      <c r="G363">
        <v>57.5</v>
      </c>
      <c r="H363">
        <v>92.67</v>
      </c>
      <c r="I363" s="2">
        <v>113838.84</v>
      </c>
      <c r="J363" s="2">
        <v>118660</v>
      </c>
      <c r="K363" s="2">
        <f>Table1[[#This Row],[Salary_after]]-Table1[[#This Row],[Salary_before]]</f>
        <v>4821.1600000000035</v>
      </c>
      <c r="L363" s="11">
        <v>4.24E-2</v>
      </c>
      <c r="M363" s="11">
        <v>-0.1105</v>
      </c>
      <c r="N363">
        <v>57.97</v>
      </c>
      <c r="O363">
        <v>13.79</v>
      </c>
      <c r="P363">
        <v>3</v>
      </c>
      <c r="Q363" t="s">
        <v>37</v>
      </c>
      <c r="R363">
        <v>76.8</v>
      </c>
      <c r="S363">
        <v>4.24</v>
      </c>
      <c r="T363" s="4">
        <v>53.445</v>
      </c>
      <c r="U363" s="4">
        <v>8.4022469999999991</v>
      </c>
      <c r="V363" t="str">
        <f>IF(Table1[[#This Row],[ai_disruption_intensity]]&gt;70,"High",
IF(Table1[[#This Row],[ai_disruption_intensity]]&gt;40,"Medium","Low"))</f>
        <v>Low</v>
      </c>
      <c r="W363" t="str">
        <f>IF(Table1[[#This Row],[skill_gap_index]]&gt;70,"Large Gap",
IF(Table1[[#This Row],[skill_gap_index]]&gt;40,"Medium Gap","Small Gap"))</f>
        <v>Large Gap</v>
      </c>
      <c r="X363" s="3" t="str">
        <f>IF(Table1[[#This Row],[automation_risk_percent]]&gt;0.7,"Highly Automatable",
IF(Table1[[#This Row],[automation_risk_percent]]&gt;0.4,"Moderate Risk","Safe Job"))</f>
        <v>Moderate Risk</v>
      </c>
    </row>
    <row r="364" spans="1:24" x14ac:dyDescent="0.3">
      <c r="A364">
        <v>1285</v>
      </c>
      <c r="B364" t="s">
        <v>46</v>
      </c>
      <c r="C364" t="s">
        <v>34</v>
      </c>
      <c r="D364" t="s">
        <v>36</v>
      </c>
      <c r="E364" s="1">
        <v>2025</v>
      </c>
      <c r="F364" s="11">
        <v>0.41389999999999999</v>
      </c>
      <c r="G364">
        <v>38.32</v>
      </c>
      <c r="H364">
        <v>5.23</v>
      </c>
      <c r="I364" s="2">
        <v>143838.74</v>
      </c>
      <c r="J364" s="2">
        <v>156375.09</v>
      </c>
      <c r="K364" s="2">
        <f>Table1[[#This Row],[Salary_after]]-Table1[[#This Row],[Salary_before]]</f>
        <v>12536.350000000006</v>
      </c>
      <c r="L364" s="11">
        <v>8.72E-2</v>
      </c>
      <c r="M364" s="11">
        <v>8.2699999999999996E-2</v>
      </c>
      <c r="N364">
        <v>70.849999999999994</v>
      </c>
      <c r="O364">
        <v>35.700000000000003</v>
      </c>
      <c r="P364">
        <v>5</v>
      </c>
      <c r="Q364" t="s">
        <v>25</v>
      </c>
      <c r="R364">
        <v>23.31</v>
      </c>
      <c r="S364">
        <v>8.7200000000000006</v>
      </c>
      <c r="T364" s="4">
        <v>20.741</v>
      </c>
      <c r="U364" s="4">
        <v>14.77623</v>
      </c>
      <c r="V364" t="str">
        <f>IF(Table1[[#This Row],[ai_disruption_intensity]]&gt;70,"High",
IF(Table1[[#This Row],[ai_disruption_intensity]]&gt;40,"Medium","Low"))</f>
        <v>Low</v>
      </c>
      <c r="W364" t="str">
        <f>IF(Table1[[#This Row],[skill_gap_index]]&gt;70,"Large Gap",
IF(Table1[[#This Row],[skill_gap_index]]&gt;40,"Medium Gap","Small Gap"))</f>
        <v>Small Gap</v>
      </c>
      <c r="X364" s="3" t="str">
        <f>IF(Table1[[#This Row],[automation_risk_percent]]&gt;0.7,"Highly Automatable",
IF(Table1[[#This Row],[automation_risk_percent]]&gt;0.4,"Moderate Risk","Safe Job"))</f>
        <v>Moderate Risk</v>
      </c>
    </row>
    <row r="365" spans="1:24" x14ac:dyDescent="0.3">
      <c r="A365">
        <v>1288</v>
      </c>
      <c r="B365" t="s">
        <v>29</v>
      </c>
      <c r="C365" t="s">
        <v>38</v>
      </c>
      <c r="D365" t="s">
        <v>47</v>
      </c>
      <c r="E365" s="1">
        <v>2026</v>
      </c>
      <c r="F365" s="11">
        <v>0.83180000000000009</v>
      </c>
      <c r="G365">
        <v>67.06</v>
      </c>
      <c r="H365">
        <v>27.29</v>
      </c>
      <c r="I365" s="2">
        <v>30294.55</v>
      </c>
      <c r="J365" s="2">
        <v>35117.519999999997</v>
      </c>
      <c r="K365" s="2">
        <f>Table1[[#This Row],[Salary_after]]-Table1[[#This Row],[Salary_before]]</f>
        <v>4822.9699999999975</v>
      </c>
      <c r="L365" s="11">
        <v>0.15920000000000001</v>
      </c>
      <c r="M365" s="11">
        <v>-8.8000000000000005E-3</v>
      </c>
      <c r="N365">
        <v>81.89</v>
      </c>
      <c r="O365">
        <v>94.52</v>
      </c>
      <c r="P365">
        <v>4</v>
      </c>
      <c r="Q365" t="s">
        <v>37</v>
      </c>
      <c r="R365">
        <v>55.234999999999999</v>
      </c>
      <c r="S365">
        <v>15.92</v>
      </c>
      <c r="T365" s="4">
        <v>46.234999999999999</v>
      </c>
      <c r="U365" s="4">
        <v>78.621735999999999</v>
      </c>
      <c r="V365" t="str">
        <f>IF(Table1[[#This Row],[ai_disruption_intensity]]&gt;70,"High",
IF(Table1[[#This Row],[ai_disruption_intensity]]&gt;40,"Medium","Low"))</f>
        <v>High</v>
      </c>
      <c r="W365" t="str">
        <f>IF(Table1[[#This Row],[skill_gap_index]]&gt;70,"Large Gap",
IF(Table1[[#This Row],[skill_gap_index]]&gt;40,"Medium Gap","Small Gap"))</f>
        <v>Small Gap</v>
      </c>
      <c r="X365" s="3" t="str">
        <f>IF(Table1[[#This Row],[automation_risk_percent]]&gt;0.7,"Highly Automatable",
IF(Table1[[#This Row],[automation_risk_percent]]&gt;0.4,"Moderate Risk","Safe Job"))</f>
        <v>Highly Automatable</v>
      </c>
    </row>
    <row r="366" spans="1:24" x14ac:dyDescent="0.3">
      <c r="A366">
        <v>1290</v>
      </c>
      <c r="B366" t="s">
        <v>26</v>
      </c>
      <c r="C366" t="s">
        <v>33</v>
      </c>
      <c r="D366" t="s">
        <v>32</v>
      </c>
      <c r="E366" s="1">
        <v>2025</v>
      </c>
      <c r="F366" s="11">
        <v>0.25790000000000002</v>
      </c>
      <c r="G366">
        <v>27.98</v>
      </c>
      <c r="H366">
        <v>4.03</v>
      </c>
      <c r="I366" s="2">
        <v>76369.87</v>
      </c>
      <c r="J366" s="2">
        <v>67450.899999999994</v>
      </c>
      <c r="K366" s="2">
        <f>Table1[[#This Row],[Salary_after]]-Table1[[#This Row],[Salary_before]]</f>
        <v>-8918.9700000000012</v>
      </c>
      <c r="L366" s="11">
        <v>-0.1168</v>
      </c>
      <c r="M366" s="11">
        <v>1.72E-2</v>
      </c>
      <c r="N366">
        <v>12.08</v>
      </c>
      <c r="O366">
        <v>13.34</v>
      </c>
      <c r="P366">
        <v>4</v>
      </c>
      <c r="Q366" t="s">
        <v>21</v>
      </c>
      <c r="R366">
        <v>14.91</v>
      </c>
      <c r="S366">
        <v>11.68</v>
      </c>
      <c r="T366" s="4">
        <v>15.029</v>
      </c>
      <c r="U366" s="4">
        <v>3.44038599999999</v>
      </c>
      <c r="V366" t="str">
        <f>IF(Table1[[#This Row],[ai_disruption_intensity]]&gt;70,"High",
IF(Table1[[#This Row],[ai_disruption_intensity]]&gt;40,"Medium","Low"))</f>
        <v>Low</v>
      </c>
      <c r="W366" t="str">
        <f>IF(Table1[[#This Row],[skill_gap_index]]&gt;70,"Large Gap",
IF(Table1[[#This Row],[skill_gap_index]]&gt;40,"Medium Gap","Small Gap"))</f>
        <v>Small Gap</v>
      </c>
      <c r="X366" s="3" t="str">
        <f>IF(Table1[[#This Row],[automation_risk_percent]]&gt;0.7,"Highly Automatable",
IF(Table1[[#This Row],[automation_risk_percent]]&gt;0.4,"Moderate Risk","Safe Job"))</f>
        <v>Safe Job</v>
      </c>
    </row>
    <row r="367" spans="1:24" x14ac:dyDescent="0.3">
      <c r="A367">
        <v>1297</v>
      </c>
      <c r="B367" t="s">
        <v>39</v>
      </c>
      <c r="C367" t="s">
        <v>30</v>
      </c>
      <c r="D367" t="s">
        <v>42</v>
      </c>
      <c r="E367" s="1">
        <v>2025</v>
      </c>
      <c r="F367" s="11">
        <v>0.6139</v>
      </c>
      <c r="G367">
        <v>51.67</v>
      </c>
      <c r="H367">
        <v>78.930000000000007</v>
      </c>
      <c r="I367" s="2">
        <v>93879.67</v>
      </c>
      <c r="J367" s="2">
        <v>102999.26</v>
      </c>
      <c r="K367" s="2">
        <f>Table1[[#This Row],[Salary_after]]-Table1[[#This Row],[Salary_before]]</f>
        <v>9119.5899999999965</v>
      </c>
      <c r="L367" s="11">
        <v>9.7100000000000006E-2</v>
      </c>
      <c r="M367" s="11">
        <v>-7.9500000000000001E-2</v>
      </c>
      <c r="N367">
        <v>67.75</v>
      </c>
      <c r="O367">
        <v>20.95</v>
      </c>
      <c r="P367">
        <v>1</v>
      </c>
      <c r="Q367" t="s">
        <v>37</v>
      </c>
      <c r="R367">
        <v>70.16</v>
      </c>
      <c r="S367">
        <v>9.7100000000000009</v>
      </c>
      <c r="T367" s="4">
        <v>51.147999999999897</v>
      </c>
      <c r="U367" s="4">
        <v>12.861205</v>
      </c>
      <c r="V367" t="str">
        <f>IF(Table1[[#This Row],[ai_disruption_intensity]]&gt;70,"High",
IF(Table1[[#This Row],[ai_disruption_intensity]]&gt;40,"Medium","Low"))</f>
        <v>Low</v>
      </c>
      <c r="W367" t="str">
        <f>IF(Table1[[#This Row],[skill_gap_index]]&gt;70,"Large Gap",
IF(Table1[[#This Row],[skill_gap_index]]&gt;40,"Medium Gap","Small Gap"))</f>
        <v>Large Gap</v>
      </c>
      <c r="X367" s="3" t="str">
        <f>IF(Table1[[#This Row],[automation_risk_percent]]&gt;0.7,"Highly Automatable",
IF(Table1[[#This Row],[automation_risk_percent]]&gt;0.4,"Moderate Risk","Safe Job"))</f>
        <v>Moderate Risk</v>
      </c>
    </row>
    <row r="368" spans="1:24" x14ac:dyDescent="0.3">
      <c r="A368">
        <v>1303</v>
      </c>
      <c r="B368" t="s">
        <v>22</v>
      </c>
      <c r="C368" t="s">
        <v>27</v>
      </c>
      <c r="D368" t="s">
        <v>20</v>
      </c>
      <c r="E368" s="1">
        <v>2025</v>
      </c>
      <c r="F368" s="11">
        <v>0.6823999999999999</v>
      </c>
      <c r="G368">
        <v>63.05</v>
      </c>
      <c r="H368">
        <v>94.3</v>
      </c>
      <c r="I368" s="2">
        <v>51556.06</v>
      </c>
      <c r="J368" s="2">
        <v>58032.52</v>
      </c>
      <c r="K368" s="2">
        <f>Table1[[#This Row],[Salary_after]]-Table1[[#This Row],[Salary_before]]</f>
        <v>6476.4599999999991</v>
      </c>
      <c r="L368" s="11">
        <v>0.12560000000000002</v>
      </c>
      <c r="M368" s="11">
        <v>0.16879999999999998</v>
      </c>
      <c r="N368">
        <v>32.700000000000003</v>
      </c>
      <c r="O368">
        <v>32.479999999999997</v>
      </c>
      <c r="P368">
        <v>5</v>
      </c>
      <c r="Q368" t="s">
        <v>37</v>
      </c>
      <c r="R368">
        <v>81.27</v>
      </c>
      <c r="S368">
        <v>12.56</v>
      </c>
      <c r="T368" s="4">
        <v>59.353999999999999</v>
      </c>
      <c r="U368" s="4">
        <v>22.164351999999901</v>
      </c>
      <c r="V368" t="str">
        <f>IF(Table1[[#This Row],[ai_disruption_intensity]]&gt;70,"High",
IF(Table1[[#This Row],[ai_disruption_intensity]]&gt;40,"Medium","Low"))</f>
        <v>Low</v>
      </c>
      <c r="W368" t="str">
        <f>IF(Table1[[#This Row],[skill_gap_index]]&gt;70,"Large Gap",
IF(Table1[[#This Row],[skill_gap_index]]&gt;40,"Medium Gap","Small Gap"))</f>
        <v>Large Gap</v>
      </c>
      <c r="X368" s="3" t="str">
        <f>IF(Table1[[#This Row],[automation_risk_percent]]&gt;0.7,"Highly Automatable",
IF(Table1[[#This Row],[automation_risk_percent]]&gt;0.4,"Moderate Risk","Safe Job"))</f>
        <v>Moderate Risk</v>
      </c>
    </row>
    <row r="369" spans="1:24" x14ac:dyDescent="0.3">
      <c r="A369">
        <v>1304</v>
      </c>
      <c r="B369" t="s">
        <v>22</v>
      </c>
      <c r="C369" t="s">
        <v>19</v>
      </c>
      <c r="D369" t="s">
        <v>20</v>
      </c>
      <c r="E369" s="1">
        <v>2025</v>
      </c>
      <c r="F369" s="11">
        <v>0.68440000000000001</v>
      </c>
      <c r="G369">
        <v>75.599999999999994</v>
      </c>
      <c r="H369">
        <v>32.909999999999997</v>
      </c>
      <c r="I369" s="2">
        <v>94074.79</v>
      </c>
      <c r="J369" s="2">
        <v>85919.59</v>
      </c>
      <c r="K369" s="2">
        <f>Table1[[#This Row],[Salary_after]]-Table1[[#This Row],[Salary_before]]</f>
        <v>-8155.1999999999971</v>
      </c>
      <c r="L369" s="11">
        <v>-8.6699999999999999E-2</v>
      </c>
      <c r="M369" s="11">
        <v>4.7E-2</v>
      </c>
      <c r="N369">
        <v>85.9</v>
      </c>
      <c r="O369">
        <v>71.8</v>
      </c>
      <c r="P369">
        <v>4</v>
      </c>
      <c r="Q369" t="s">
        <v>37</v>
      </c>
      <c r="R369">
        <v>50.674999999999997</v>
      </c>
      <c r="S369">
        <v>8.67</v>
      </c>
      <c r="T369" s="4">
        <v>39.85</v>
      </c>
      <c r="U369" s="4">
        <v>49.139919999999897</v>
      </c>
      <c r="V369" t="str">
        <f>IF(Table1[[#This Row],[ai_disruption_intensity]]&gt;70,"High",
IF(Table1[[#This Row],[ai_disruption_intensity]]&gt;40,"Medium","Low"))</f>
        <v>Medium</v>
      </c>
      <c r="W369" t="str">
        <f>IF(Table1[[#This Row],[skill_gap_index]]&gt;70,"Large Gap",
IF(Table1[[#This Row],[skill_gap_index]]&gt;40,"Medium Gap","Small Gap"))</f>
        <v>Small Gap</v>
      </c>
      <c r="X369" s="3" t="str">
        <f>IF(Table1[[#This Row],[automation_risk_percent]]&gt;0.7,"Highly Automatable",
IF(Table1[[#This Row],[automation_risk_percent]]&gt;0.4,"Moderate Risk","Safe Job"))</f>
        <v>Moderate Risk</v>
      </c>
    </row>
    <row r="370" spans="1:24" x14ac:dyDescent="0.3">
      <c r="A370">
        <v>1305</v>
      </c>
      <c r="B370" t="s">
        <v>18</v>
      </c>
      <c r="C370" t="s">
        <v>27</v>
      </c>
      <c r="D370" t="s">
        <v>20</v>
      </c>
      <c r="E370" s="1">
        <v>2025</v>
      </c>
      <c r="F370" s="11">
        <v>0.76049999999999995</v>
      </c>
      <c r="G370">
        <v>81.94</v>
      </c>
      <c r="H370">
        <v>94.04</v>
      </c>
      <c r="I370" s="2">
        <v>96541.51</v>
      </c>
      <c r="J370" s="2">
        <v>99561.96</v>
      </c>
      <c r="K370" s="2">
        <f>Table1[[#This Row],[Salary_after]]-Table1[[#This Row],[Salary_before]]</f>
        <v>3020.4500000000116</v>
      </c>
      <c r="L370" s="11">
        <v>3.1300000000000001E-2</v>
      </c>
      <c r="M370" s="11">
        <v>5.6600000000000004E-2</v>
      </c>
      <c r="N370">
        <v>67.790000000000006</v>
      </c>
      <c r="O370">
        <v>3.08</v>
      </c>
      <c r="P370">
        <v>3</v>
      </c>
      <c r="Q370" t="s">
        <v>37</v>
      </c>
      <c r="R370">
        <v>85.045000000000002</v>
      </c>
      <c r="S370">
        <v>3.13</v>
      </c>
      <c r="T370" s="4">
        <v>59.570999999999998</v>
      </c>
      <c r="U370" s="4">
        <v>2.3423400000000001</v>
      </c>
      <c r="V370" t="str">
        <f>IF(Table1[[#This Row],[ai_disruption_intensity]]&gt;70,"High",
IF(Table1[[#This Row],[ai_disruption_intensity]]&gt;40,"Medium","Low"))</f>
        <v>Low</v>
      </c>
      <c r="W370" t="str">
        <f>IF(Table1[[#This Row],[skill_gap_index]]&gt;70,"Large Gap",
IF(Table1[[#This Row],[skill_gap_index]]&gt;40,"Medium Gap","Small Gap"))</f>
        <v>Large Gap</v>
      </c>
      <c r="X370" s="3" t="str">
        <f>IF(Table1[[#This Row],[automation_risk_percent]]&gt;0.7,"Highly Automatable",
IF(Table1[[#This Row],[automation_risk_percent]]&gt;0.4,"Moderate Risk","Safe Job"))</f>
        <v>Highly Automatable</v>
      </c>
    </row>
    <row r="371" spans="1:24" x14ac:dyDescent="0.3">
      <c r="A371">
        <v>1308</v>
      </c>
      <c r="B371" t="s">
        <v>18</v>
      </c>
      <c r="C371" t="s">
        <v>19</v>
      </c>
      <c r="D371" t="s">
        <v>35</v>
      </c>
      <c r="E371" s="1">
        <v>2026</v>
      </c>
      <c r="F371" s="11">
        <v>0.44159999999999999</v>
      </c>
      <c r="G371">
        <v>51.96</v>
      </c>
      <c r="H371">
        <v>22.71</v>
      </c>
      <c r="I371" s="2">
        <v>76755.12</v>
      </c>
      <c r="J371" s="2">
        <v>87655.77</v>
      </c>
      <c r="K371" s="2">
        <f>Table1[[#This Row],[Salary_after]]-Table1[[#This Row],[Salary_before]]</f>
        <v>10900.650000000009</v>
      </c>
      <c r="L371" s="11">
        <v>0.14199999999999999</v>
      </c>
      <c r="M371" s="11">
        <v>0.10920000000000001</v>
      </c>
      <c r="N371">
        <v>91.15</v>
      </c>
      <c r="O371">
        <v>91.55</v>
      </c>
      <c r="P371">
        <v>3</v>
      </c>
      <c r="Q371" t="s">
        <v>25</v>
      </c>
      <c r="R371">
        <v>33.435000000000002</v>
      </c>
      <c r="S371">
        <v>14.2</v>
      </c>
      <c r="T371" s="4">
        <v>28.736999999999899</v>
      </c>
      <c r="U371" s="4">
        <v>40.428479999999901</v>
      </c>
      <c r="V371" t="str">
        <f>IF(Table1[[#This Row],[ai_disruption_intensity]]&gt;70,"High",
IF(Table1[[#This Row],[ai_disruption_intensity]]&gt;40,"Medium","Low"))</f>
        <v>Medium</v>
      </c>
      <c r="W371" t="str">
        <f>IF(Table1[[#This Row],[skill_gap_index]]&gt;70,"Large Gap",
IF(Table1[[#This Row],[skill_gap_index]]&gt;40,"Medium Gap","Small Gap"))</f>
        <v>Small Gap</v>
      </c>
      <c r="X371" s="3" t="str">
        <f>IF(Table1[[#This Row],[automation_risk_percent]]&gt;0.7,"Highly Automatable",
IF(Table1[[#This Row],[automation_risk_percent]]&gt;0.4,"Moderate Risk","Safe Job"))</f>
        <v>Moderate Risk</v>
      </c>
    </row>
    <row r="372" spans="1:24" x14ac:dyDescent="0.3">
      <c r="A372">
        <v>1311</v>
      </c>
      <c r="B372" t="s">
        <v>41</v>
      </c>
      <c r="C372" t="s">
        <v>27</v>
      </c>
      <c r="D372" t="s">
        <v>28</v>
      </c>
      <c r="E372" s="1">
        <v>2026</v>
      </c>
      <c r="F372" s="11">
        <v>0.7854000000000001</v>
      </c>
      <c r="G372">
        <v>91.58</v>
      </c>
      <c r="H372">
        <v>41.35</v>
      </c>
      <c r="I372" s="2">
        <v>80830.3</v>
      </c>
      <c r="J372" s="2">
        <v>83222.34</v>
      </c>
      <c r="K372" s="2">
        <f>Table1[[#This Row],[Salary_after]]-Table1[[#This Row],[Salary_before]]</f>
        <v>2392.0399999999936</v>
      </c>
      <c r="L372" s="11">
        <v>2.9600000000000001E-2</v>
      </c>
      <c r="M372" s="11">
        <v>6.3500000000000001E-2</v>
      </c>
      <c r="N372">
        <v>34.04</v>
      </c>
      <c r="O372">
        <v>44.01</v>
      </c>
      <c r="P372">
        <v>1</v>
      </c>
      <c r="Q372" t="s">
        <v>37</v>
      </c>
      <c r="R372">
        <v>59.945</v>
      </c>
      <c r="S372">
        <v>2.96</v>
      </c>
      <c r="T372" s="4">
        <v>44.709000000000003</v>
      </c>
      <c r="U372" s="4">
        <v>34.565454000000003</v>
      </c>
      <c r="V372" t="str">
        <f>IF(Table1[[#This Row],[ai_disruption_intensity]]&gt;70,"High",
IF(Table1[[#This Row],[ai_disruption_intensity]]&gt;40,"Medium","Low"))</f>
        <v>Low</v>
      </c>
      <c r="W372" t="str">
        <f>IF(Table1[[#This Row],[skill_gap_index]]&gt;70,"Large Gap",
IF(Table1[[#This Row],[skill_gap_index]]&gt;40,"Medium Gap","Small Gap"))</f>
        <v>Medium Gap</v>
      </c>
      <c r="X372" s="3" t="str">
        <f>IF(Table1[[#This Row],[automation_risk_percent]]&gt;0.7,"Highly Automatable",
IF(Table1[[#This Row],[automation_risk_percent]]&gt;0.4,"Moderate Risk","Safe Job"))</f>
        <v>Highly Automatable</v>
      </c>
    </row>
    <row r="373" spans="1:24" x14ac:dyDescent="0.3">
      <c r="A373">
        <v>1316</v>
      </c>
      <c r="B373" t="s">
        <v>41</v>
      </c>
      <c r="C373" t="s">
        <v>19</v>
      </c>
      <c r="D373" t="s">
        <v>42</v>
      </c>
      <c r="E373" s="1">
        <v>2025</v>
      </c>
      <c r="F373" s="11">
        <v>0.67859999999999998</v>
      </c>
      <c r="G373">
        <v>66.19</v>
      </c>
      <c r="H373">
        <v>72.67</v>
      </c>
      <c r="I373" s="2">
        <v>137389.28</v>
      </c>
      <c r="J373" s="2">
        <v>122860.16</v>
      </c>
      <c r="K373" s="2">
        <f>Table1[[#This Row],[Salary_after]]-Table1[[#This Row],[Salary_before]]</f>
        <v>-14529.119999999995</v>
      </c>
      <c r="L373" s="11">
        <v>-0.10580000000000001</v>
      </c>
      <c r="M373" s="11">
        <v>0.11230000000000001</v>
      </c>
      <c r="N373">
        <v>93.94</v>
      </c>
      <c r="O373">
        <v>26.45</v>
      </c>
      <c r="P373">
        <v>5</v>
      </c>
      <c r="Q373" t="s">
        <v>37</v>
      </c>
      <c r="R373">
        <v>70.265000000000001</v>
      </c>
      <c r="S373">
        <v>10.58</v>
      </c>
      <c r="T373" s="4">
        <v>52.119</v>
      </c>
      <c r="U373" s="4">
        <v>17.948969999999999</v>
      </c>
      <c r="V373" t="str">
        <f>IF(Table1[[#This Row],[ai_disruption_intensity]]&gt;70,"High",
IF(Table1[[#This Row],[ai_disruption_intensity]]&gt;40,"Medium","Low"))</f>
        <v>Low</v>
      </c>
      <c r="W373" t="str">
        <f>IF(Table1[[#This Row],[skill_gap_index]]&gt;70,"Large Gap",
IF(Table1[[#This Row],[skill_gap_index]]&gt;40,"Medium Gap","Small Gap"))</f>
        <v>Large Gap</v>
      </c>
      <c r="X373" s="3" t="str">
        <f>IF(Table1[[#This Row],[automation_risk_percent]]&gt;0.7,"Highly Automatable",
IF(Table1[[#This Row],[automation_risk_percent]]&gt;0.4,"Moderate Risk","Safe Job"))</f>
        <v>Moderate Risk</v>
      </c>
    </row>
    <row r="374" spans="1:24" x14ac:dyDescent="0.3">
      <c r="A374">
        <v>1319</v>
      </c>
      <c r="B374" t="s">
        <v>43</v>
      </c>
      <c r="C374" t="s">
        <v>23</v>
      </c>
      <c r="D374" t="s">
        <v>28</v>
      </c>
      <c r="E374" s="1">
        <v>2025</v>
      </c>
      <c r="F374" s="11">
        <v>0.40820000000000001</v>
      </c>
      <c r="G374">
        <v>44.21</v>
      </c>
      <c r="H374">
        <v>58.77</v>
      </c>
      <c r="I374" s="2">
        <v>68152.72</v>
      </c>
      <c r="J374" s="2">
        <v>79624.97</v>
      </c>
      <c r="K374" s="2">
        <f>Table1[[#This Row],[Salary_after]]-Table1[[#This Row],[Salary_before]]</f>
        <v>11472.25</v>
      </c>
      <c r="L374" s="11">
        <v>0.16829999999999998</v>
      </c>
      <c r="M374" s="11">
        <v>8.929999999999999E-2</v>
      </c>
      <c r="N374">
        <v>13.81</v>
      </c>
      <c r="O374">
        <v>1.1200000000000001</v>
      </c>
      <c r="P374">
        <v>1</v>
      </c>
      <c r="Q374" t="s">
        <v>25</v>
      </c>
      <c r="R374">
        <v>49.795000000000002</v>
      </c>
      <c r="S374">
        <v>16.829999999999998</v>
      </c>
      <c r="T374" s="4">
        <v>39.008000000000003</v>
      </c>
      <c r="U374" s="4">
        <v>0.45718399999999998</v>
      </c>
      <c r="V374" t="str">
        <f>IF(Table1[[#This Row],[ai_disruption_intensity]]&gt;70,"High",
IF(Table1[[#This Row],[ai_disruption_intensity]]&gt;40,"Medium","Low"))</f>
        <v>Low</v>
      </c>
      <c r="W374" t="str">
        <f>IF(Table1[[#This Row],[skill_gap_index]]&gt;70,"Large Gap",
IF(Table1[[#This Row],[skill_gap_index]]&gt;40,"Medium Gap","Small Gap"))</f>
        <v>Medium Gap</v>
      </c>
      <c r="X374" s="3" t="str">
        <f>IF(Table1[[#This Row],[automation_risk_percent]]&gt;0.7,"Highly Automatable",
IF(Table1[[#This Row],[automation_risk_percent]]&gt;0.4,"Moderate Risk","Safe Job"))</f>
        <v>Moderate Risk</v>
      </c>
    </row>
    <row r="375" spans="1:24" x14ac:dyDescent="0.3">
      <c r="A375">
        <v>1321</v>
      </c>
      <c r="B375" t="s">
        <v>39</v>
      </c>
      <c r="C375" t="s">
        <v>19</v>
      </c>
      <c r="D375" t="s">
        <v>35</v>
      </c>
      <c r="E375" s="1">
        <v>2026</v>
      </c>
      <c r="F375" s="11">
        <v>0.1162</v>
      </c>
      <c r="G375">
        <v>9.5299999999999994</v>
      </c>
      <c r="H375">
        <v>95.43</v>
      </c>
      <c r="I375" s="2">
        <v>47074.35</v>
      </c>
      <c r="J375" s="2">
        <v>45349.82</v>
      </c>
      <c r="K375" s="2">
        <f>Table1[[#This Row],[Salary_after]]-Table1[[#This Row],[Salary_before]]</f>
        <v>-1724.5299999999988</v>
      </c>
      <c r="L375" s="11">
        <v>-3.6600000000000001E-2</v>
      </c>
      <c r="M375" s="11">
        <v>6.7699999999999996E-2</v>
      </c>
      <c r="N375">
        <v>19.73</v>
      </c>
      <c r="O375">
        <v>50.89</v>
      </c>
      <c r="P375">
        <v>1</v>
      </c>
      <c r="Q375" t="s">
        <v>21</v>
      </c>
      <c r="R375">
        <v>53.524999999999999</v>
      </c>
      <c r="S375">
        <v>3.66</v>
      </c>
      <c r="T375" s="4">
        <v>34.375</v>
      </c>
      <c r="U375" s="4">
        <v>5.9134179999999903</v>
      </c>
      <c r="V375" t="str">
        <f>IF(Table1[[#This Row],[ai_disruption_intensity]]&gt;70,"High",
IF(Table1[[#This Row],[ai_disruption_intensity]]&gt;40,"Medium","Low"))</f>
        <v>Low</v>
      </c>
      <c r="W375" t="str">
        <f>IF(Table1[[#This Row],[skill_gap_index]]&gt;70,"Large Gap",
IF(Table1[[#This Row],[skill_gap_index]]&gt;40,"Medium Gap","Small Gap"))</f>
        <v>Large Gap</v>
      </c>
      <c r="X375" s="3" t="str">
        <f>IF(Table1[[#This Row],[automation_risk_percent]]&gt;0.7,"Highly Automatable",
IF(Table1[[#This Row],[automation_risk_percent]]&gt;0.4,"Moderate Risk","Safe Job"))</f>
        <v>Safe Job</v>
      </c>
    </row>
    <row r="376" spans="1:24" x14ac:dyDescent="0.3">
      <c r="A376">
        <v>1322</v>
      </c>
      <c r="B376" t="s">
        <v>22</v>
      </c>
      <c r="C376" t="s">
        <v>38</v>
      </c>
      <c r="D376" t="s">
        <v>42</v>
      </c>
      <c r="E376" s="1">
        <v>2026</v>
      </c>
      <c r="F376" s="11">
        <v>0.4254</v>
      </c>
      <c r="G376">
        <v>50.23</v>
      </c>
      <c r="H376">
        <v>94.48</v>
      </c>
      <c r="I376" s="2">
        <v>123553.04</v>
      </c>
      <c r="J376" s="2">
        <v>111339.46</v>
      </c>
      <c r="K376" s="2">
        <f>Table1[[#This Row],[Salary_after]]-Table1[[#This Row],[Salary_before]]</f>
        <v>-12213.579999999987</v>
      </c>
      <c r="L376" s="11">
        <v>-9.8900000000000002E-2</v>
      </c>
      <c r="M376" s="11">
        <v>0.27410000000000001</v>
      </c>
      <c r="N376">
        <v>42.06</v>
      </c>
      <c r="O376">
        <v>94.71</v>
      </c>
      <c r="P376">
        <v>2</v>
      </c>
      <c r="Q376" t="s">
        <v>25</v>
      </c>
      <c r="R376">
        <v>68.510000000000005</v>
      </c>
      <c r="S376">
        <v>9.89</v>
      </c>
      <c r="T376" s="4">
        <v>48.326999999999998</v>
      </c>
      <c r="U376" s="4">
        <v>40.289634</v>
      </c>
      <c r="V376" t="str">
        <f>IF(Table1[[#This Row],[ai_disruption_intensity]]&gt;70,"High",
IF(Table1[[#This Row],[ai_disruption_intensity]]&gt;40,"Medium","Low"))</f>
        <v>Medium</v>
      </c>
      <c r="W376" t="str">
        <f>IF(Table1[[#This Row],[skill_gap_index]]&gt;70,"Large Gap",
IF(Table1[[#This Row],[skill_gap_index]]&gt;40,"Medium Gap","Small Gap"))</f>
        <v>Large Gap</v>
      </c>
      <c r="X376" s="3" t="str">
        <f>IF(Table1[[#This Row],[automation_risk_percent]]&gt;0.7,"Highly Automatable",
IF(Table1[[#This Row],[automation_risk_percent]]&gt;0.4,"Moderate Risk","Safe Job"))</f>
        <v>Moderate Risk</v>
      </c>
    </row>
    <row r="377" spans="1:24" x14ac:dyDescent="0.3">
      <c r="A377">
        <v>1324</v>
      </c>
      <c r="B377" t="s">
        <v>39</v>
      </c>
      <c r="C377" t="s">
        <v>33</v>
      </c>
      <c r="D377" t="s">
        <v>20</v>
      </c>
      <c r="E377" s="1">
        <v>2026</v>
      </c>
      <c r="F377" s="11">
        <v>0.68579999999999997</v>
      </c>
      <c r="G377">
        <v>55.63</v>
      </c>
      <c r="H377">
        <v>83.4</v>
      </c>
      <c r="I377" s="2">
        <v>46834.2</v>
      </c>
      <c r="J377" s="2">
        <v>48392.66</v>
      </c>
      <c r="K377" s="2">
        <f>Table1[[#This Row],[Salary_after]]-Table1[[#This Row],[Salary_before]]</f>
        <v>1558.4600000000064</v>
      </c>
      <c r="L377" s="11">
        <v>3.3300000000000003E-2</v>
      </c>
      <c r="M377" s="11">
        <v>0.106</v>
      </c>
      <c r="N377">
        <v>24.82</v>
      </c>
      <c r="O377">
        <v>56.58</v>
      </c>
      <c r="P377">
        <v>1</v>
      </c>
      <c r="Q377" t="s">
        <v>37</v>
      </c>
      <c r="R377">
        <v>75.989999999999995</v>
      </c>
      <c r="S377">
        <v>3.33</v>
      </c>
      <c r="T377" s="4">
        <v>53.451000000000001</v>
      </c>
      <c r="U377" s="4">
        <v>38.802563999999997</v>
      </c>
      <c r="V377" t="str">
        <f>IF(Table1[[#This Row],[ai_disruption_intensity]]&gt;70,"High",
IF(Table1[[#This Row],[ai_disruption_intensity]]&gt;40,"Medium","Low"))</f>
        <v>Low</v>
      </c>
      <c r="W377" t="str">
        <f>IF(Table1[[#This Row],[skill_gap_index]]&gt;70,"Large Gap",
IF(Table1[[#This Row],[skill_gap_index]]&gt;40,"Medium Gap","Small Gap"))</f>
        <v>Large Gap</v>
      </c>
      <c r="X377" s="3" t="str">
        <f>IF(Table1[[#This Row],[automation_risk_percent]]&gt;0.7,"Highly Automatable",
IF(Table1[[#This Row],[automation_risk_percent]]&gt;0.4,"Moderate Risk","Safe Job"))</f>
        <v>Moderate Risk</v>
      </c>
    </row>
    <row r="378" spans="1:24" x14ac:dyDescent="0.3">
      <c r="A378">
        <v>1326</v>
      </c>
      <c r="B378" t="s">
        <v>41</v>
      </c>
      <c r="C378" t="s">
        <v>23</v>
      </c>
      <c r="D378" t="s">
        <v>24</v>
      </c>
      <c r="E378" s="1">
        <v>2025</v>
      </c>
      <c r="F378" s="11">
        <v>0.50419999999999998</v>
      </c>
      <c r="G378">
        <v>59.53</v>
      </c>
      <c r="H378">
        <v>94.63</v>
      </c>
      <c r="I378" s="2">
        <v>47387.839999999997</v>
      </c>
      <c r="J378" s="2">
        <v>48604.68</v>
      </c>
      <c r="K378" s="2">
        <f>Table1[[#This Row],[Salary_after]]-Table1[[#This Row],[Salary_before]]</f>
        <v>1216.8400000000038</v>
      </c>
      <c r="L378" s="11">
        <v>2.5699999999999997E-2</v>
      </c>
      <c r="M378" s="11">
        <v>2.7200000000000002E-2</v>
      </c>
      <c r="N378">
        <v>45.35</v>
      </c>
      <c r="O378">
        <v>0.44</v>
      </c>
      <c r="P378">
        <v>3</v>
      </c>
      <c r="Q378" t="s">
        <v>25</v>
      </c>
      <c r="R378">
        <v>72.525000000000006</v>
      </c>
      <c r="S378">
        <v>2.57</v>
      </c>
      <c r="T378" s="4">
        <v>49.328000000000003</v>
      </c>
      <c r="U378" s="4">
        <v>0.22184799999999999</v>
      </c>
      <c r="V378" t="str">
        <f>IF(Table1[[#This Row],[ai_disruption_intensity]]&gt;70,"High",
IF(Table1[[#This Row],[ai_disruption_intensity]]&gt;40,"Medium","Low"))</f>
        <v>Low</v>
      </c>
      <c r="W378" t="str">
        <f>IF(Table1[[#This Row],[skill_gap_index]]&gt;70,"Large Gap",
IF(Table1[[#This Row],[skill_gap_index]]&gt;40,"Medium Gap","Small Gap"))</f>
        <v>Large Gap</v>
      </c>
      <c r="X378" s="3" t="str">
        <f>IF(Table1[[#This Row],[automation_risk_percent]]&gt;0.7,"Highly Automatable",
IF(Table1[[#This Row],[automation_risk_percent]]&gt;0.4,"Moderate Risk","Safe Job"))</f>
        <v>Moderate Risk</v>
      </c>
    </row>
    <row r="379" spans="1:24" x14ac:dyDescent="0.3">
      <c r="A379">
        <v>1332</v>
      </c>
      <c r="B379" t="s">
        <v>39</v>
      </c>
      <c r="C379" t="s">
        <v>19</v>
      </c>
      <c r="D379" t="s">
        <v>32</v>
      </c>
      <c r="E379" s="1">
        <v>2026</v>
      </c>
      <c r="F379" s="11">
        <v>0.63450000000000006</v>
      </c>
      <c r="G379">
        <v>68.23</v>
      </c>
      <c r="H379">
        <v>32.28</v>
      </c>
      <c r="I379" s="2">
        <v>95458.58</v>
      </c>
      <c r="J379" s="2">
        <v>93974.94</v>
      </c>
      <c r="K379" s="2">
        <f>Table1[[#This Row],[Salary_after]]-Table1[[#This Row],[Salary_before]]</f>
        <v>-1483.6399999999994</v>
      </c>
      <c r="L379" s="11">
        <v>-1.55E-2</v>
      </c>
      <c r="M379" s="11">
        <v>-6.5599999999999992E-2</v>
      </c>
      <c r="N379">
        <v>89.31</v>
      </c>
      <c r="O379">
        <v>42.12</v>
      </c>
      <c r="P379">
        <v>1</v>
      </c>
      <c r="Q379" t="s">
        <v>37</v>
      </c>
      <c r="R379">
        <v>47.865000000000002</v>
      </c>
      <c r="S379">
        <v>1.55</v>
      </c>
      <c r="T379" s="4">
        <v>35.529000000000003</v>
      </c>
      <c r="U379" s="4">
        <v>26.72514</v>
      </c>
      <c r="V379" t="str">
        <f>IF(Table1[[#This Row],[ai_disruption_intensity]]&gt;70,"High",
IF(Table1[[#This Row],[ai_disruption_intensity]]&gt;40,"Medium","Low"))</f>
        <v>Low</v>
      </c>
      <c r="W379" t="str">
        <f>IF(Table1[[#This Row],[skill_gap_index]]&gt;70,"Large Gap",
IF(Table1[[#This Row],[skill_gap_index]]&gt;40,"Medium Gap","Small Gap"))</f>
        <v>Small Gap</v>
      </c>
      <c r="X379" s="3" t="str">
        <f>IF(Table1[[#This Row],[automation_risk_percent]]&gt;0.7,"Highly Automatable",
IF(Table1[[#This Row],[automation_risk_percent]]&gt;0.4,"Moderate Risk","Safe Job"))</f>
        <v>Moderate Risk</v>
      </c>
    </row>
    <row r="380" spans="1:24" x14ac:dyDescent="0.3">
      <c r="A380">
        <v>1342</v>
      </c>
      <c r="B380" t="s">
        <v>41</v>
      </c>
      <c r="C380" t="s">
        <v>38</v>
      </c>
      <c r="D380" t="s">
        <v>36</v>
      </c>
      <c r="E380" s="1">
        <v>2026</v>
      </c>
      <c r="F380" s="11">
        <v>0.6724</v>
      </c>
      <c r="G380">
        <v>64.260000000000005</v>
      </c>
      <c r="H380">
        <v>55.76</v>
      </c>
      <c r="I380" s="2">
        <v>99211.3</v>
      </c>
      <c r="J380" s="2">
        <v>95879.93</v>
      </c>
      <c r="K380" s="2">
        <f>Table1[[#This Row],[Salary_after]]-Table1[[#This Row],[Salary_before]]</f>
        <v>-3331.3700000000099</v>
      </c>
      <c r="L380" s="11">
        <v>-3.3599999999999998E-2</v>
      </c>
      <c r="M380" s="11">
        <v>-6.5500000000000003E-2</v>
      </c>
      <c r="N380">
        <v>40.909999999999997</v>
      </c>
      <c r="O380">
        <v>40.090000000000003</v>
      </c>
      <c r="P380">
        <v>1</v>
      </c>
      <c r="Q380" t="s">
        <v>37</v>
      </c>
      <c r="R380">
        <v>61.5</v>
      </c>
      <c r="S380">
        <v>3.36</v>
      </c>
      <c r="T380" s="4">
        <v>44.631999999999998</v>
      </c>
      <c r="U380" s="4">
        <v>26.956516000000001</v>
      </c>
      <c r="V380" t="str">
        <f>IF(Table1[[#This Row],[ai_disruption_intensity]]&gt;70,"High",
IF(Table1[[#This Row],[ai_disruption_intensity]]&gt;40,"Medium","Low"))</f>
        <v>Low</v>
      </c>
      <c r="W380" t="str">
        <f>IF(Table1[[#This Row],[skill_gap_index]]&gt;70,"Large Gap",
IF(Table1[[#This Row],[skill_gap_index]]&gt;40,"Medium Gap","Small Gap"))</f>
        <v>Medium Gap</v>
      </c>
      <c r="X380" s="3" t="str">
        <f>IF(Table1[[#This Row],[automation_risk_percent]]&gt;0.7,"Highly Automatable",
IF(Table1[[#This Row],[automation_risk_percent]]&gt;0.4,"Moderate Risk","Safe Job"))</f>
        <v>Moderate Risk</v>
      </c>
    </row>
    <row r="381" spans="1:24" x14ac:dyDescent="0.3">
      <c r="A381">
        <v>1344</v>
      </c>
      <c r="B381" t="s">
        <v>26</v>
      </c>
      <c r="C381" t="s">
        <v>23</v>
      </c>
      <c r="D381" t="s">
        <v>47</v>
      </c>
      <c r="E381" s="1">
        <v>2025</v>
      </c>
      <c r="F381" s="11">
        <v>0.05</v>
      </c>
      <c r="G381">
        <v>4.8</v>
      </c>
      <c r="H381">
        <v>27.07</v>
      </c>
      <c r="I381" s="2">
        <v>149920.21</v>
      </c>
      <c r="J381" s="2">
        <v>160373.22</v>
      </c>
      <c r="K381" s="2">
        <f>Table1[[#This Row],[Salary_after]]-Table1[[#This Row],[Salary_before]]</f>
        <v>10453.010000000009</v>
      </c>
      <c r="L381" s="11">
        <v>6.9699999999999998E-2</v>
      </c>
      <c r="M381" s="11">
        <v>1.52E-2</v>
      </c>
      <c r="N381">
        <v>70.86</v>
      </c>
      <c r="O381">
        <v>34.090000000000003</v>
      </c>
      <c r="P381">
        <v>3</v>
      </c>
      <c r="Q381" t="s">
        <v>21</v>
      </c>
      <c r="R381">
        <v>16.035</v>
      </c>
      <c r="S381">
        <v>6.97</v>
      </c>
      <c r="T381" s="4">
        <v>12.212</v>
      </c>
      <c r="U381" s="4">
        <v>1.7044999999999999</v>
      </c>
      <c r="V381" t="str">
        <f>IF(Table1[[#This Row],[ai_disruption_intensity]]&gt;70,"High",
IF(Table1[[#This Row],[ai_disruption_intensity]]&gt;40,"Medium","Low"))</f>
        <v>Low</v>
      </c>
      <c r="W381" t="str">
        <f>IF(Table1[[#This Row],[skill_gap_index]]&gt;70,"Large Gap",
IF(Table1[[#This Row],[skill_gap_index]]&gt;40,"Medium Gap","Small Gap"))</f>
        <v>Small Gap</v>
      </c>
      <c r="X381" s="3" t="str">
        <f>IF(Table1[[#This Row],[automation_risk_percent]]&gt;0.7,"Highly Automatable",
IF(Table1[[#This Row],[automation_risk_percent]]&gt;0.4,"Moderate Risk","Safe Job"))</f>
        <v>Safe Job</v>
      </c>
    </row>
    <row r="382" spans="1:24" x14ac:dyDescent="0.3">
      <c r="A382">
        <v>1346</v>
      </c>
      <c r="B382" t="s">
        <v>39</v>
      </c>
      <c r="C382" t="s">
        <v>30</v>
      </c>
      <c r="D382" t="s">
        <v>42</v>
      </c>
      <c r="E382" s="1">
        <v>2026</v>
      </c>
      <c r="F382" s="11">
        <v>0.69840000000000002</v>
      </c>
      <c r="G382">
        <v>66.53</v>
      </c>
      <c r="H382">
        <v>74</v>
      </c>
      <c r="I382" s="2">
        <v>105324.05</v>
      </c>
      <c r="J382" s="2">
        <v>94890.4</v>
      </c>
      <c r="K382" s="2">
        <f>Table1[[#This Row],[Salary_after]]-Table1[[#This Row],[Salary_before]]</f>
        <v>-10433.650000000009</v>
      </c>
      <c r="L382" s="11">
        <v>-9.9100000000000008E-2</v>
      </c>
      <c r="M382" s="11">
        <v>1.5700000000000002E-2</v>
      </c>
      <c r="N382">
        <v>73.84</v>
      </c>
      <c r="O382">
        <v>85.46</v>
      </c>
      <c r="P382">
        <v>3</v>
      </c>
      <c r="Q382" t="s">
        <v>37</v>
      </c>
      <c r="R382">
        <v>71.92</v>
      </c>
      <c r="S382">
        <v>9.91</v>
      </c>
      <c r="T382" s="4">
        <v>53.109000000000002</v>
      </c>
      <c r="U382" s="4">
        <v>59.685263999999997</v>
      </c>
      <c r="V382" t="str">
        <f>IF(Table1[[#This Row],[ai_disruption_intensity]]&gt;70,"High",
IF(Table1[[#This Row],[ai_disruption_intensity]]&gt;40,"Medium","Low"))</f>
        <v>Medium</v>
      </c>
      <c r="W382" t="str">
        <f>IF(Table1[[#This Row],[skill_gap_index]]&gt;70,"Large Gap",
IF(Table1[[#This Row],[skill_gap_index]]&gt;40,"Medium Gap","Small Gap"))</f>
        <v>Large Gap</v>
      </c>
      <c r="X382" s="3" t="str">
        <f>IF(Table1[[#This Row],[automation_risk_percent]]&gt;0.7,"Highly Automatable",
IF(Table1[[#This Row],[automation_risk_percent]]&gt;0.4,"Moderate Risk","Safe Job"))</f>
        <v>Moderate Risk</v>
      </c>
    </row>
    <row r="383" spans="1:24" x14ac:dyDescent="0.3">
      <c r="A383">
        <v>1349</v>
      </c>
      <c r="B383" t="s">
        <v>41</v>
      </c>
      <c r="C383" t="s">
        <v>30</v>
      </c>
      <c r="D383" t="s">
        <v>42</v>
      </c>
      <c r="E383" s="1">
        <v>2025</v>
      </c>
      <c r="F383" s="11">
        <v>0.66590000000000005</v>
      </c>
      <c r="G383">
        <v>72.13</v>
      </c>
      <c r="H383">
        <v>83.28</v>
      </c>
      <c r="I383" s="2">
        <v>44581.34</v>
      </c>
      <c r="J383" s="2">
        <v>44210.55</v>
      </c>
      <c r="K383" s="2">
        <f>Table1[[#This Row],[Salary_after]]-Table1[[#This Row],[Salary_before]]</f>
        <v>-370.7899999999936</v>
      </c>
      <c r="L383" s="11">
        <v>-8.3000000000000001E-3</v>
      </c>
      <c r="M383" s="11">
        <v>0.18770000000000001</v>
      </c>
      <c r="N383">
        <v>50.56</v>
      </c>
      <c r="O383">
        <v>42.39</v>
      </c>
      <c r="P383">
        <v>2</v>
      </c>
      <c r="Q383" t="s">
        <v>37</v>
      </c>
      <c r="R383">
        <v>74.935000000000002</v>
      </c>
      <c r="S383">
        <v>0.83</v>
      </c>
      <c r="T383" s="4">
        <v>51.869</v>
      </c>
      <c r="U383" s="4">
        <v>28.227501</v>
      </c>
      <c r="V383" t="str">
        <f>IF(Table1[[#This Row],[ai_disruption_intensity]]&gt;70,"High",
IF(Table1[[#This Row],[ai_disruption_intensity]]&gt;40,"Medium","Low"))</f>
        <v>Low</v>
      </c>
      <c r="W383" t="str">
        <f>IF(Table1[[#This Row],[skill_gap_index]]&gt;70,"Large Gap",
IF(Table1[[#This Row],[skill_gap_index]]&gt;40,"Medium Gap","Small Gap"))</f>
        <v>Large Gap</v>
      </c>
      <c r="X383" s="3" t="str">
        <f>IF(Table1[[#This Row],[automation_risk_percent]]&gt;0.7,"Highly Automatable",
IF(Table1[[#This Row],[automation_risk_percent]]&gt;0.4,"Moderate Risk","Safe Job"))</f>
        <v>Moderate Risk</v>
      </c>
    </row>
    <row r="384" spans="1:24" x14ac:dyDescent="0.3">
      <c r="A384">
        <v>1352</v>
      </c>
      <c r="B384" t="s">
        <v>22</v>
      </c>
      <c r="C384" t="s">
        <v>40</v>
      </c>
      <c r="D384" t="s">
        <v>28</v>
      </c>
      <c r="E384" s="1">
        <v>2026</v>
      </c>
      <c r="F384" s="11">
        <v>0.66590000000000005</v>
      </c>
      <c r="G384">
        <v>60.28</v>
      </c>
      <c r="H384">
        <v>0.39</v>
      </c>
      <c r="I384" s="2">
        <v>89455.1</v>
      </c>
      <c r="J384" s="2">
        <v>91681.59</v>
      </c>
      <c r="K384" s="2">
        <f>Table1[[#This Row],[Salary_after]]-Table1[[#This Row],[Salary_before]]</f>
        <v>2226.4899999999907</v>
      </c>
      <c r="L384" s="11">
        <v>2.4900000000000002E-2</v>
      </c>
      <c r="M384" s="11">
        <v>1.09E-2</v>
      </c>
      <c r="N384">
        <v>34.85</v>
      </c>
      <c r="O384">
        <v>44.36</v>
      </c>
      <c r="P384">
        <v>4</v>
      </c>
      <c r="Q384" t="s">
        <v>37</v>
      </c>
      <c r="R384">
        <v>33.49</v>
      </c>
      <c r="S384">
        <v>2.4900000000000002</v>
      </c>
      <c r="T384" s="4">
        <v>27.5</v>
      </c>
      <c r="U384" s="4">
        <v>29.539324000000001</v>
      </c>
      <c r="V384" t="str">
        <f>IF(Table1[[#This Row],[ai_disruption_intensity]]&gt;70,"High",
IF(Table1[[#This Row],[ai_disruption_intensity]]&gt;40,"Medium","Low"))</f>
        <v>Low</v>
      </c>
      <c r="W384" t="str">
        <f>IF(Table1[[#This Row],[skill_gap_index]]&gt;70,"Large Gap",
IF(Table1[[#This Row],[skill_gap_index]]&gt;40,"Medium Gap","Small Gap"))</f>
        <v>Small Gap</v>
      </c>
      <c r="X384" s="3" t="str">
        <f>IF(Table1[[#This Row],[automation_risk_percent]]&gt;0.7,"Highly Automatable",
IF(Table1[[#This Row],[automation_risk_percent]]&gt;0.4,"Moderate Risk","Safe Job"))</f>
        <v>Moderate Risk</v>
      </c>
    </row>
    <row r="385" spans="1:24" x14ac:dyDescent="0.3">
      <c r="A385">
        <v>1360</v>
      </c>
      <c r="B385" t="s">
        <v>18</v>
      </c>
      <c r="C385" t="s">
        <v>34</v>
      </c>
      <c r="D385" t="s">
        <v>31</v>
      </c>
      <c r="E385" s="1">
        <v>2026</v>
      </c>
      <c r="F385" s="11">
        <v>0.75029999999999997</v>
      </c>
      <c r="G385">
        <v>87.35</v>
      </c>
      <c r="H385">
        <v>71.569999999999993</v>
      </c>
      <c r="I385" s="2">
        <v>136161.89000000001</v>
      </c>
      <c r="J385" s="2">
        <v>122430.87</v>
      </c>
      <c r="K385" s="2">
        <f>Table1[[#This Row],[Salary_after]]-Table1[[#This Row],[Salary_before]]</f>
        <v>-13731.020000000019</v>
      </c>
      <c r="L385" s="11">
        <v>-0.1008</v>
      </c>
      <c r="M385" s="11">
        <v>-0.10300000000000001</v>
      </c>
      <c r="N385">
        <v>65.23</v>
      </c>
      <c r="O385">
        <v>62.36</v>
      </c>
      <c r="P385">
        <v>2</v>
      </c>
      <c r="Q385" t="s">
        <v>37</v>
      </c>
      <c r="R385">
        <v>73.3</v>
      </c>
      <c r="S385">
        <v>10.08</v>
      </c>
      <c r="T385" s="4">
        <v>54.506999999999998</v>
      </c>
      <c r="U385" s="4">
        <v>46.788708</v>
      </c>
      <c r="V385" t="str">
        <f>IF(Table1[[#This Row],[ai_disruption_intensity]]&gt;70,"High",
IF(Table1[[#This Row],[ai_disruption_intensity]]&gt;40,"Medium","Low"))</f>
        <v>Medium</v>
      </c>
      <c r="W385" t="str">
        <f>IF(Table1[[#This Row],[skill_gap_index]]&gt;70,"Large Gap",
IF(Table1[[#This Row],[skill_gap_index]]&gt;40,"Medium Gap","Small Gap"))</f>
        <v>Large Gap</v>
      </c>
      <c r="X385" s="3" t="str">
        <f>IF(Table1[[#This Row],[automation_risk_percent]]&gt;0.7,"Highly Automatable",
IF(Table1[[#This Row],[automation_risk_percent]]&gt;0.4,"Moderate Risk","Safe Job"))</f>
        <v>Highly Automatable</v>
      </c>
    </row>
    <row r="386" spans="1:24" x14ac:dyDescent="0.3">
      <c r="A386">
        <v>1362</v>
      </c>
      <c r="B386" t="s">
        <v>18</v>
      </c>
      <c r="C386" t="s">
        <v>27</v>
      </c>
      <c r="D386" t="s">
        <v>47</v>
      </c>
      <c r="E386" s="1">
        <v>2026</v>
      </c>
      <c r="F386" s="11">
        <v>0.34670000000000001</v>
      </c>
      <c r="G386">
        <v>33.32</v>
      </c>
      <c r="H386">
        <v>1.65</v>
      </c>
      <c r="I386" s="2">
        <v>127775.03999999999</v>
      </c>
      <c r="J386" s="2">
        <v>141223.97</v>
      </c>
      <c r="K386" s="2">
        <f>Table1[[#This Row],[Salary_after]]-Table1[[#This Row],[Salary_before]]</f>
        <v>13448.930000000008</v>
      </c>
      <c r="L386" s="11">
        <v>0.10529999999999999</v>
      </c>
      <c r="M386" s="11">
        <v>-0.1343</v>
      </c>
      <c r="N386">
        <v>16.66</v>
      </c>
      <c r="O386">
        <v>17.5</v>
      </c>
      <c r="P386">
        <v>2</v>
      </c>
      <c r="Q386" t="s">
        <v>25</v>
      </c>
      <c r="R386">
        <v>18.16</v>
      </c>
      <c r="S386">
        <v>10.53</v>
      </c>
      <c r="T386" s="4">
        <v>17.521999999999998</v>
      </c>
      <c r="U386" s="4">
        <v>6.0672499999999996</v>
      </c>
      <c r="V386" t="str">
        <f>IF(Table1[[#This Row],[ai_disruption_intensity]]&gt;70,"High",
IF(Table1[[#This Row],[ai_disruption_intensity]]&gt;40,"Medium","Low"))</f>
        <v>Low</v>
      </c>
      <c r="W386" t="str">
        <f>IF(Table1[[#This Row],[skill_gap_index]]&gt;70,"Large Gap",
IF(Table1[[#This Row],[skill_gap_index]]&gt;40,"Medium Gap","Small Gap"))</f>
        <v>Small Gap</v>
      </c>
      <c r="X386" s="3" t="str">
        <f>IF(Table1[[#This Row],[automation_risk_percent]]&gt;0.7,"Highly Automatable",
IF(Table1[[#This Row],[automation_risk_percent]]&gt;0.4,"Moderate Risk","Safe Job"))</f>
        <v>Safe Job</v>
      </c>
    </row>
    <row r="387" spans="1:24" x14ac:dyDescent="0.3">
      <c r="A387">
        <v>1366</v>
      </c>
      <c r="B387" t="s">
        <v>46</v>
      </c>
      <c r="C387" t="s">
        <v>27</v>
      </c>
      <c r="D387" t="s">
        <v>31</v>
      </c>
      <c r="E387" s="1">
        <v>2026</v>
      </c>
      <c r="F387" s="11">
        <v>0.115</v>
      </c>
      <c r="G387">
        <v>10.29</v>
      </c>
      <c r="H387">
        <v>50.25</v>
      </c>
      <c r="I387" s="2">
        <v>62541.33</v>
      </c>
      <c r="J387" s="2">
        <v>62211.4</v>
      </c>
      <c r="K387" s="2">
        <f>Table1[[#This Row],[Salary_after]]-Table1[[#This Row],[Salary_before]]</f>
        <v>-329.93000000000029</v>
      </c>
      <c r="L387" s="11">
        <v>-5.3E-3</v>
      </c>
      <c r="M387" s="11">
        <v>0.1153</v>
      </c>
      <c r="N387">
        <v>15.29</v>
      </c>
      <c r="O387">
        <v>72.930000000000007</v>
      </c>
      <c r="P387">
        <v>5</v>
      </c>
      <c r="Q387" t="s">
        <v>21</v>
      </c>
      <c r="R387">
        <v>30.875</v>
      </c>
      <c r="S387">
        <v>0.53</v>
      </c>
      <c r="T387" s="4">
        <v>19.834</v>
      </c>
      <c r="U387" s="4">
        <v>8.3869500000000006</v>
      </c>
      <c r="V387" t="str">
        <f>IF(Table1[[#This Row],[ai_disruption_intensity]]&gt;70,"High",
IF(Table1[[#This Row],[ai_disruption_intensity]]&gt;40,"Medium","Low"))</f>
        <v>Low</v>
      </c>
      <c r="W387" t="str">
        <f>IF(Table1[[#This Row],[skill_gap_index]]&gt;70,"Large Gap",
IF(Table1[[#This Row],[skill_gap_index]]&gt;40,"Medium Gap","Small Gap"))</f>
        <v>Medium Gap</v>
      </c>
      <c r="X387" s="3" t="str">
        <f>IF(Table1[[#This Row],[automation_risk_percent]]&gt;0.7,"Highly Automatable",
IF(Table1[[#This Row],[automation_risk_percent]]&gt;0.4,"Moderate Risk","Safe Job"))</f>
        <v>Safe Job</v>
      </c>
    </row>
    <row r="388" spans="1:24" x14ac:dyDescent="0.3">
      <c r="A388">
        <v>1369</v>
      </c>
      <c r="B388" t="s">
        <v>22</v>
      </c>
      <c r="C388" t="s">
        <v>38</v>
      </c>
      <c r="D388" t="s">
        <v>42</v>
      </c>
      <c r="E388" s="1">
        <v>2025</v>
      </c>
      <c r="F388" s="11">
        <v>0.76459999999999995</v>
      </c>
      <c r="G388">
        <v>91.66</v>
      </c>
      <c r="H388">
        <v>37.520000000000003</v>
      </c>
      <c r="I388" s="2">
        <v>101881.52</v>
      </c>
      <c r="J388" s="2">
        <v>93664.57</v>
      </c>
      <c r="K388" s="2">
        <f>Table1[[#This Row],[Salary_after]]-Table1[[#This Row],[Salary_before]]</f>
        <v>-8216.9499999999971</v>
      </c>
      <c r="L388" s="11">
        <v>-8.0700000000000008E-2</v>
      </c>
      <c r="M388" s="11">
        <v>0.2177</v>
      </c>
      <c r="N388">
        <v>28.55</v>
      </c>
      <c r="O388">
        <v>40.28</v>
      </c>
      <c r="P388">
        <v>2</v>
      </c>
      <c r="Q388" t="s">
        <v>37</v>
      </c>
      <c r="R388">
        <v>56.989999999999903</v>
      </c>
      <c r="S388">
        <v>8.07</v>
      </c>
      <c r="T388" s="4">
        <v>44.261000000000003</v>
      </c>
      <c r="U388" s="4">
        <v>30.7980879999999</v>
      </c>
      <c r="V388" t="str">
        <f>IF(Table1[[#This Row],[ai_disruption_intensity]]&gt;70,"High",
IF(Table1[[#This Row],[ai_disruption_intensity]]&gt;40,"Medium","Low"))</f>
        <v>Low</v>
      </c>
      <c r="W388" t="str">
        <f>IF(Table1[[#This Row],[skill_gap_index]]&gt;70,"Large Gap",
IF(Table1[[#This Row],[skill_gap_index]]&gt;40,"Medium Gap","Small Gap"))</f>
        <v>Small Gap</v>
      </c>
      <c r="X388" s="3" t="str">
        <f>IF(Table1[[#This Row],[automation_risk_percent]]&gt;0.7,"Highly Automatable",
IF(Table1[[#This Row],[automation_risk_percent]]&gt;0.4,"Moderate Risk","Safe Job"))</f>
        <v>Highly Automatable</v>
      </c>
    </row>
    <row r="389" spans="1:24" x14ac:dyDescent="0.3">
      <c r="A389">
        <v>1378</v>
      </c>
      <c r="B389" t="s">
        <v>44</v>
      </c>
      <c r="C389" t="s">
        <v>33</v>
      </c>
      <c r="D389" t="s">
        <v>20</v>
      </c>
      <c r="E389" s="1">
        <v>2025</v>
      </c>
      <c r="F389" s="11">
        <v>0.56659999999999999</v>
      </c>
      <c r="G389">
        <v>65.06</v>
      </c>
      <c r="H389">
        <v>87.01</v>
      </c>
      <c r="I389" s="2">
        <v>99472.39</v>
      </c>
      <c r="J389" s="2">
        <v>118606.03</v>
      </c>
      <c r="K389" s="2">
        <f>Table1[[#This Row],[Salary_after]]-Table1[[#This Row],[Salary_before]]</f>
        <v>19133.64</v>
      </c>
      <c r="L389" s="11">
        <v>0.19239999999999999</v>
      </c>
      <c r="M389" s="11">
        <v>-4.53E-2</v>
      </c>
      <c r="N389">
        <v>83.64</v>
      </c>
      <c r="O389">
        <v>0.56999999999999995</v>
      </c>
      <c r="P389">
        <v>3</v>
      </c>
      <c r="Q389" t="s">
        <v>25</v>
      </c>
      <c r="R389">
        <v>71.834999999999994</v>
      </c>
      <c r="S389">
        <v>19.239999999999998</v>
      </c>
      <c r="T389" s="4">
        <v>54.539000000000001</v>
      </c>
      <c r="U389" s="4">
        <v>0.32296199999999903</v>
      </c>
      <c r="V389" t="str">
        <f>IF(Table1[[#This Row],[ai_disruption_intensity]]&gt;70,"High",
IF(Table1[[#This Row],[ai_disruption_intensity]]&gt;40,"Medium","Low"))</f>
        <v>Low</v>
      </c>
      <c r="W389" t="str">
        <f>IF(Table1[[#This Row],[skill_gap_index]]&gt;70,"Large Gap",
IF(Table1[[#This Row],[skill_gap_index]]&gt;40,"Medium Gap","Small Gap"))</f>
        <v>Large Gap</v>
      </c>
      <c r="X389" s="3" t="str">
        <f>IF(Table1[[#This Row],[automation_risk_percent]]&gt;0.7,"Highly Automatable",
IF(Table1[[#This Row],[automation_risk_percent]]&gt;0.4,"Moderate Risk","Safe Job"))</f>
        <v>Moderate Risk</v>
      </c>
    </row>
    <row r="390" spans="1:24" x14ac:dyDescent="0.3">
      <c r="A390">
        <v>1381</v>
      </c>
      <c r="B390" t="s">
        <v>45</v>
      </c>
      <c r="C390" t="s">
        <v>27</v>
      </c>
      <c r="D390" t="s">
        <v>32</v>
      </c>
      <c r="E390" s="1">
        <v>2026</v>
      </c>
      <c r="F390" s="11">
        <v>0.49880000000000002</v>
      </c>
      <c r="G390">
        <v>44.32</v>
      </c>
      <c r="H390">
        <v>75.66</v>
      </c>
      <c r="I390" s="2">
        <v>67146.38</v>
      </c>
      <c r="J390" s="2">
        <v>68658.98</v>
      </c>
      <c r="K390" s="2">
        <f>Table1[[#This Row],[Salary_after]]-Table1[[#This Row],[Salary_before]]</f>
        <v>1512.5999999999913</v>
      </c>
      <c r="L390" s="11">
        <v>2.2499999999999999E-2</v>
      </c>
      <c r="M390" s="11">
        <v>0.11070000000000001</v>
      </c>
      <c r="N390">
        <v>49.27</v>
      </c>
      <c r="O390">
        <v>78.989999999999995</v>
      </c>
      <c r="P390">
        <v>1</v>
      </c>
      <c r="Q390" t="s">
        <v>25</v>
      </c>
      <c r="R390">
        <v>62.769999999999897</v>
      </c>
      <c r="S390">
        <v>2.25</v>
      </c>
      <c r="T390" s="4">
        <v>43.324999999999903</v>
      </c>
      <c r="U390" s="4">
        <v>39.400212000000003</v>
      </c>
      <c r="V390" t="str">
        <f>IF(Table1[[#This Row],[ai_disruption_intensity]]&gt;70,"High",
IF(Table1[[#This Row],[ai_disruption_intensity]]&gt;40,"Medium","Low"))</f>
        <v>Low</v>
      </c>
      <c r="W390" t="str">
        <f>IF(Table1[[#This Row],[skill_gap_index]]&gt;70,"Large Gap",
IF(Table1[[#This Row],[skill_gap_index]]&gt;40,"Medium Gap","Small Gap"))</f>
        <v>Large Gap</v>
      </c>
      <c r="X390" s="3" t="str">
        <f>IF(Table1[[#This Row],[automation_risk_percent]]&gt;0.7,"Highly Automatable",
IF(Table1[[#This Row],[automation_risk_percent]]&gt;0.4,"Moderate Risk","Safe Job"))</f>
        <v>Moderate Risk</v>
      </c>
    </row>
    <row r="391" spans="1:24" x14ac:dyDescent="0.3">
      <c r="A391">
        <v>1388</v>
      </c>
      <c r="B391" t="s">
        <v>39</v>
      </c>
      <c r="C391" t="s">
        <v>27</v>
      </c>
      <c r="D391" t="s">
        <v>42</v>
      </c>
      <c r="E391" s="1">
        <v>2025</v>
      </c>
      <c r="F391" s="11">
        <v>0.44340000000000002</v>
      </c>
      <c r="G391">
        <v>39.32</v>
      </c>
      <c r="H391">
        <v>16.97</v>
      </c>
      <c r="I391" s="2">
        <v>30018.93</v>
      </c>
      <c r="J391" s="2">
        <v>28248.07</v>
      </c>
      <c r="K391" s="2">
        <f>Table1[[#This Row],[Salary_after]]-Table1[[#This Row],[Salary_before]]</f>
        <v>-1770.8600000000006</v>
      </c>
      <c r="L391" s="11">
        <v>-5.9000000000000004E-2</v>
      </c>
      <c r="M391" s="11">
        <v>8.3100000000000007E-2</v>
      </c>
      <c r="N391">
        <v>31.95</v>
      </c>
      <c r="O391">
        <v>29.79</v>
      </c>
      <c r="P391">
        <v>2</v>
      </c>
      <c r="Q391" t="s">
        <v>25</v>
      </c>
      <c r="R391">
        <v>30.655000000000001</v>
      </c>
      <c r="S391">
        <v>5.9</v>
      </c>
      <c r="T391" s="4">
        <v>24.596999999999898</v>
      </c>
      <c r="U391" s="4">
        <v>13.208886</v>
      </c>
      <c r="V391" t="str">
        <f>IF(Table1[[#This Row],[ai_disruption_intensity]]&gt;70,"High",
IF(Table1[[#This Row],[ai_disruption_intensity]]&gt;40,"Medium","Low"))</f>
        <v>Low</v>
      </c>
      <c r="W391" t="str">
        <f>IF(Table1[[#This Row],[skill_gap_index]]&gt;70,"Large Gap",
IF(Table1[[#This Row],[skill_gap_index]]&gt;40,"Medium Gap","Small Gap"))</f>
        <v>Small Gap</v>
      </c>
      <c r="X391" s="3" t="str">
        <f>IF(Table1[[#This Row],[automation_risk_percent]]&gt;0.7,"Highly Automatable",
IF(Table1[[#This Row],[automation_risk_percent]]&gt;0.4,"Moderate Risk","Safe Job"))</f>
        <v>Moderate Risk</v>
      </c>
    </row>
    <row r="392" spans="1:24" x14ac:dyDescent="0.3">
      <c r="A392">
        <v>1392</v>
      </c>
      <c r="B392" t="s">
        <v>29</v>
      </c>
      <c r="C392" t="s">
        <v>19</v>
      </c>
      <c r="D392" t="s">
        <v>32</v>
      </c>
      <c r="E392" s="1">
        <v>2026</v>
      </c>
      <c r="F392" s="11">
        <v>0.89049999999999996</v>
      </c>
      <c r="G392">
        <v>106.47</v>
      </c>
      <c r="H392">
        <v>87.41</v>
      </c>
      <c r="I392" s="2">
        <v>149734.13</v>
      </c>
      <c r="J392" s="2">
        <v>159270.81</v>
      </c>
      <c r="K392" s="2">
        <f>Table1[[#This Row],[Salary_after]]-Table1[[#This Row],[Salary_before]]</f>
        <v>9536.679999999993</v>
      </c>
      <c r="L392" s="11">
        <v>6.3700000000000007E-2</v>
      </c>
      <c r="M392" s="11">
        <v>2.5000000000000001E-3</v>
      </c>
      <c r="N392">
        <v>84.07</v>
      </c>
      <c r="O392">
        <v>23.09</v>
      </c>
      <c r="P392">
        <v>5</v>
      </c>
      <c r="Q392" t="s">
        <v>37</v>
      </c>
      <c r="R392">
        <v>88.229999999999905</v>
      </c>
      <c r="S392">
        <v>6.37</v>
      </c>
      <c r="T392" s="4">
        <v>63.753999999999998</v>
      </c>
      <c r="U392" s="4">
        <v>20.561644999999999</v>
      </c>
      <c r="V392" t="str">
        <f>IF(Table1[[#This Row],[ai_disruption_intensity]]&gt;70,"High",
IF(Table1[[#This Row],[ai_disruption_intensity]]&gt;40,"Medium","Low"))</f>
        <v>Low</v>
      </c>
      <c r="W392" t="str">
        <f>IF(Table1[[#This Row],[skill_gap_index]]&gt;70,"Large Gap",
IF(Table1[[#This Row],[skill_gap_index]]&gt;40,"Medium Gap","Small Gap"))</f>
        <v>Large Gap</v>
      </c>
      <c r="X392" s="3" t="str">
        <f>IF(Table1[[#This Row],[automation_risk_percent]]&gt;0.7,"Highly Automatable",
IF(Table1[[#This Row],[automation_risk_percent]]&gt;0.4,"Moderate Risk","Safe Job"))</f>
        <v>Highly Automatable</v>
      </c>
    </row>
    <row r="393" spans="1:24" x14ac:dyDescent="0.3">
      <c r="A393">
        <v>1394</v>
      </c>
      <c r="B393" t="s">
        <v>41</v>
      </c>
      <c r="C393" t="s">
        <v>34</v>
      </c>
      <c r="D393" t="s">
        <v>42</v>
      </c>
      <c r="E393" s="1">
        <v>2026</v>
      </c>
      <c r="F393" s="11">
        <v>0.30420000000000003</v>
      </c>
      <c r="G393">
        <v>26.32</v>
      </c>
      <c r="H393">
        <v>38.799999999999997</v>
      </c>
      <c r="I393" s="2">
        <v>52272.49</v>
      </c>
      <c r="J393" s="2">
        <v>50236.98</v>
      </c>
      <c r="K393" s="2">
        <f>Table1[[#This Row],[Salary_after]]-Table1[[#This Row],[Salary_before]]</f>
        <v>-2035.5099999999948</v>
      </c>
      <c r="L393" s="11">
        <v>-3.8900000000000004E-2</v>
      </c>
      <c r="M393" s="11">
        <v>0.18559999999999999</v>
      </c>
      <c r="N393">
        <v>18.41</v>
      </c>
      <c r="O393">
        <v>48.43</v>
      </c>
      <c r="P393">
        <v>4</v>
      </c>
      <c r="Q393" t="s">
        <v>25</v>
      </c>
      <c r="R393">
        <v>34.61</v>
      </c>
      <c r="S393">
        <v>3.89</v>
      </c>
      <c r="T393" s="4">
        <v>24.975000000000001</v>
      </c>
      <c r="U393" s="4">
        <v>14.732405999999999</v>
      </c>
      <c r="V393" t="str">
        <f>IF(Table1[[#This Row],[ai_disruption_intensity]]&gt;70,"High",
IF(Table1[[#This Row],[ai_disruption_intensity]]&gt;40,"Medium","Low"))</f>
        <v>Low</v>
      </c>
      <c r="W393" t="str">
        <f>IF(Table1[[#This Row],[skill_gap_index]]&gt;70,"Large Gap",
IF(Table1[[#This Row],[skill_gap_index]]&gt;40,"Medium Gap","Small Gap"))</f>
        <v>Small Gap</v>
      </c>
      <c r="X393" s="3" t="str">
        <f>IF(Table1[[#This Row],[automation_risk_percent]]&gt;0.7,"Highly Automatable",
IF(Table1[[#This Row],[automation_risk_percent]]&gt;0.4,"Moderate Risk","Safe Job"))</f>
        <v>Safe Job</v>
      </c>
    </row>
    <row r="394" spans="1:24" x14ac:dyDescent="0.3">
      <c r="A394">
        <v>1395</v>
      </c>
      <c r="B394" t="s">
        <v>22</v>
      </c>
      <c r="C394" t="s">
        <v>33</v>
      </c>
      <c r="D394" t="s">
        <v>36</v>
      </c>
      <c r="E394" s="1">
        <v>2025</v>
      </c>
      <c r="F394" s="11">
        <v>0.1636</v>
      </c>
      <c r="G394">
        <v>13.93</v>
      </c>
      <c r="H394">
        <v>23.96</v>
      </c>
      <c r="I394" s="2">
        <v>133143.32</v>
      </c>
      <c r="J394" s="2">
        <v>116841.43</v>
      </c>
      <c r="K394" s="2">
        <f>Table1[[#This Row],[Salary_after]]-Table1[[#This Row],[Salary_before]]</f>
        <v>-16301.890000000014</v>
      </c>
      <c r="L394" s="11">
        <v>-0.12240000000000001</v>
      </c>
      <c r="M394" s="11">
        <v>-3.9300000000000002E-2</v>
      </c>
      <c r="N394">
        <v>59.42</v>
      </c>
      <c r="O394">
        <v>72.19</v>
      </c>
      <c r="P394">
        <v>2</v>
      </c>
      <c r="Q394" t="s">
        <v>21</v>
      </c>
      <c r="R394">
        <v>20.16</v>
      </c>
      <c r="S394">
        <v>12.24</v>
      </c>
      <c r="T394" s="4">
        <v>17.404</v>
      </c>
      <c r="U394" s="4">
        <v>11.810283999999999</v>
      </c>
      <c r="V394" t="str">
        <f>IF(Table1[[#This Row],[ai_disruption_intensity]]&gt;70,"High",
IF(Table1[[#This Row],[ai_disruption_intensity]]&gt;40,"Medium","Low"))</f>
        <v>Low</v>
      </c>
      <c r="W394" t="str">
        <f>IF(Table1[[#This Row],[skill_gap_index]]&gt;70,"Large Gap",
IF(Table1[[#This Row],[skill_gap_index]]&gt;40,"Medium Gap","Small Gap"))</f>
        <v>Small Gap</v>
      </c>
      <c r="X394" s="3" t="str">
        <f>IF(Table1[[#This Row],[automation_risk_percent]]&gt;0.7,"Highly Automatable",
IF(Table1[[#This Row],[automation_risk_percent]]&gt;0.4,"Moderate Risk","Safe Job"))</f>
        <v>Safe Job</v>
      </c>
    </row>
    <row r="395" spans="1:24" x14ac:dyDescent="0.3">
      <c r="A395">
        <v>1399</v>
      </c>
      <c r="B395" t="s">
        <v>45</v>
      </c>
      <c r="C395" t="s">
        <v>38</v>
      </c>
      <c r="D395" t="s">
        <v>42</v>
      </c>
      <c r="E395" s="1">
        <v>2026</v>
      </c>
      <c r="F395" s="11">
        <v>0.2107</v>
      </c>
      <c r="G395">
        <v>24.11</v>
      </c>
      <c r="H395">
        <v>44.75</v>
      </c>
      <c r="I395" s="2">
        <v>140042.60999999999</v>
      </c>
      <c r="J395" s="2">
        <v>115420.19</v>
      </c>
      <c r="K395" s="2">
        <f>Table1[[#This Row],[Salary_after]]-Table1[[#This Row],[Salary_before]]</f>
        <v>-24622.419999999984</v>
      </c>
      <c r="L395" s="11">
        <v>-0.17579999999999998</v>
      </c>
      <c r="M395" s="11">
        <v>2.4900000000000002E-2</v>
      </c>
      <c r="N395">
        <v>22.76</v>
      </c>
      <c r="O395">
        <v>0.37</v>
      </c>
      <c r="P395">
        <v>1</v>
      </c>
      <c r="Q395" t="s">
        <v>21</v>
      </c>
      <c r="R395">
        <v>32.909999999999997</v>
      </c>
      <c r="S395">
        <v>17.579999999999998</v>
      </c>
      <c r="T395" s="4">
        <v>27.126999999999999</v>
      </c>
      <c r="U395" s="4">
        <v>7.7959000000000001E-2</v>
      </c>
      <c r="V395" t="str">
        <f>IF(Table1[[#This Row],[ai_disruption_intensity]]&gt;70,"High",
IF(Table1[[#This Row],[ai_disruption_intensity]]&gt;40,"Medium","Low"))</f>
        <v>Low</v>
      </c>
      <c r="W395" t="str">
        <f>IF(Table1[[#This Row],[skill_gap_index]]&gt;70,"Large Gap",
IF(Table1[[#This Row],[skill_gap_index]]&gt;40,"Medium Gap","Small Gap"))</f>
        <v>Medium Gap</v>
      </c>
      <c r="X395" s="3" t="str">
        <f>IF(Table1[[#This Row],[automation_risk_percent]]&gt;0.7,"Highly Automatable",
IF(Table1[[#This Row],[automation_risk_percent]]&gt;0.4,"Moderate Risk","Safe Job"))</f>
        <v>Safe Job</v>
      </c>
    </row>
    <row r="396" spans="1:24" x14ac:dyDescent="0.3">
      <c r="A396">
        <v>1403</v>
      </c>
      <c r="B396" t="s">
        <v>22</v>
      </c>
      <c r="C396" t="s">
        <v>27</v>
      </c>
      <c r="D396" t="s">
        <v>42</v>
      </c>
      <c r="E396" s="1">
        <v>2026</v>
      </c>
      <c r="F396" s="11">
        <v>0.4143</v>
      </c>
      <c r="G396">
        <v>49.37</v>
      </c>
      <c r="H396">
        <v>95.98</v>
      </c>
      <c r="I396" s="2">
        <v>69496.399999999994</v>
      </c>
      <c r="J396" s="2">
        <v>73227.02</v>
      </c>
      <c r="K396" s="2">
        <f>Table1[[#This Row],[Salary_after]]-Table1[[#This Row],[Salary_before]]</f>
        <v>3730.6200000000099</v>
      </c>
      <c r="L396" s="11">
        <v>5.3699999999999998E-2</v>
      </c>
      <c r="M396" s="11">
        <v>-7.4999999999999997E-2</v>
      </c>
      <c r="N396">
        <v>16.54</v>
      </c>
      <c r="O396">
        <v>83.67</v>
      </c>
      <c r="P396">
        <v>5</v>
      </c>
      <c r="Q396" t="s">
        <v>25</v>
      </c>
      <c r="R396">
        <v>68.704999999999998</v>
      </c>
      <c r="S396">
        <v>5.37</v>
      </c>
      <c r="T396" s="4">
        <v>46.976999999999997</v>
      </c>
      <c r="U396" s="4">
        <v>34.664481000000002</v>
      </c>
      <c r="V396" t="str">
        <f>IF(Table1[[#This Row],[ai_disruption_intensity]]&gt;70,"High",
IF(Table1[[#This Row],[ai_disruption_intensity]]&gt;40,"Medium","Low"))</f>
        <v>Low</v>
      </c>
      <c r="W396" t="str">
        <f>IF(Table1[[#This Row],[skill_gap_index]]&gt;70,"Large Gap",
IF(Table1[[#This Row],[skill_gap_index]]&gt;40,"Medium Gap","Small Gap"))</f>
        <v>Large Gap</v>
      </c>
      <c r="X396" s="3" t="str">
        <f>IF(Table1[[#This Row],[automation_risk_percent]]&gt;0.7,"Highly Automatable",
IF(Table1[[#This Row],[automation_risk_percent]]&gt;0.4,"Moderate Risk","Safe Job"))</f>
        <v>Moderate Risk</v>
      </c>
    </row>
    <row r="397" spans="1:24" x14ac:dyDescent="0.3">
      <c r="A397">
        <v>1405</v>
      </c>
      <c r="B397" t="s">
        <v>43</v>
      </c>
      <c r="C397" t="s">
        <v>27</v>
      </c>
      <c r="D397" t="s">
        <v>47</v>
      </c>
      <c r="E397" s="1">
        <v>2025</v>
      </c>
      <c r="F397" s="11">
        <v>0.41350000000000003</v>
      </c>
      <c r="G397">
        <v>38.200000000000003</v>
      </c>
      <c r="H397">
        <v>50.24</v>
      </c>
      <c r="I397" s="2">
        <v>70641.55</v>
      </c>
      <c r="J397" s="2">
        <v>72560.77</v>
      </c>
      <c r="K397" s="2">
        <f>Table1[[#This Row],[Salary_after]]-Table1[[#This Row],[Salary_before]]</f>
        <v>1919.2200000000012</v>
      </c>
      <c r="L397" s="11">
        <v>2.7200000000000002E-2</v>
      </c>
      <c r="M397" s="11">
        <v>0.20910000000000001</v>
      </c>
      <c r="N397">
        <v>88.92</v>
      </c>
      <c r="O397">
        <v>54.35</v>
      </c>
      <c r="P397">
        <v>4</v>
      </c>
      <c r="Q397" t="s">
        <v>25</v>
      </c>
      <c r="R397">
        <v>45.795000000000002</v>
      </c>
      <c r="S397">
        <v>2.72</v>
      </c>
      <c r="T397" s="4">
        <v>32.427999999999997</v>
      </c>
      <c r="U397" s="4">
        <v>22.473724999999899</v>
      </c>
      <c r="V397" t="str">
        <f>IF(Table1[[#This Row],[ai_disruption_intensity]]&gt;70,"High",
IF(Table1[[#This Row],[ai_disruption_intensity]]&gt;40,"Medium","Low"))</f>
        <v>Low</v>
      </c>
      <c r="W397" t="str">
        <f>IF(Table1[[#This Row],[skill_gap_index]]&gt;70,"Large Gap",
IF(Table1[[#This Row],[skill_gap_index]]&gt;40,"Medium Gap","Small Gap"))</f>
        <v>Medium Gap</v>
      </c>
      <c r="X397" s="3" t="str">
        <f>IF(Table1[[#This Row],[automation_risk_percent]]&gt;0.7,"Highly Automatable",
IF(Table1[[#This Row],[automation_risk_percent]]&gt;0.4,"Moderate Risk","Safe Job"))</f>
        <v>Moderate Risk</v>
      </c>
    </row>
    <row r="398" spans="1:24" x14ac:dyDescent="0.3">
      <c r="A398">
        <v>1406</v>
      </c>
      <c r="B398" t="s">
        <v>46</v>
      </c>
      <c r="C398" t="s">
        <v>30</v>
      </c>
      <c r="D398" t="s">
        <v>36</v>
      </c>
      <c r="E398" s="1">
        <v>2025</v>
      </c>
      <c r="F398" s="11">
        <v>0.1668</v>
      </c>
      <c r="G398">
        <v>19.02</v>
      </c>
      <c r="H398">
        <v>55.72</v>
      </c>
      <c r="I398" s="2">
        <v>54820.92</v>
      </c>
      <c r="J398" s="2">
        <v>46641.08</v>
      </c>
      <c r="K398" s="2">
        <f>Table1[[#This Row],[Salary_after]]-Table1[[#This Row],[Salary_before]]</f>
        <v>-8179.8399999999965</v>
      </c>
      <c r="L398" s="11">
        <v>-0.1492</v>
      </c>
      <c r="M398" s="11">
        <v>0.17949999999999999</v>
      </c>
      <c r="N398">
        <v>86</v>
      </c>
      <c r="O398">
        <v>45.33</v>
      </c>
      <c r="P398">
        <v>3</v>
      </c>
      <c r="Q398" t="s">
        <v>21</v>
      </c>
      <c r="R398">
        <v>36.200000000000003</v>
      </c>
      <c r="S398">
        <v>14.92</v>
      </c>
      <c r="T398" s="4">
        <v>27.863999999999901</v>
      </c>
      <c r="U398" s="4">
        <v>7.5610439999999901</v>
      </c>
      <c r="V398" t="str">
        <f>IF(Table1[[#This Row],[ai_disruption_intensity]]&gt;70,"High",
IF(Table1[[#This Row],[ai_disruption_intensity]]&gt;40,"Medium","Low"))</f>
        <v>Low</v>
      </c>
      <c r="W398" t="str">
        <f>IF(Table1[[#This Row],[skill_gap_index]]&gt;70,"Large Gap",
IF(Table1[[#This Row],[skill_gap_index]]&gt;40,"Medium Gap","Small Gap"))</f>
        <v>Medium Gap</v>
      </c>
      <c r="X398" s="3" t="str">
        <f>IF(Table1[[#This Row],[automation_risk_percent]]&gt;0.7,"Highly Automatable",
IF(Table1[[#This Row],[automation_risk_percent]]&gt;0.4,"Moderate Risk","Safe Job"))</f>
        <v>Safe Job</v>
      </c>
    </row>
    <row r="399" spans="1:24" x14ac:dyDescent="0.3">
      <c r="A399">
        <v>1411</v>
      </c>
      <c r="B399" t="s">
        <v>44</v>
      </c>
      <c r="C399" t="s">
        <v>30</v>
      </c>
      <c r="D399" t="s">
        <v>28</v>
      </c>
      <c r="E399" s="1">
        <v>2025</v>
      </c>
      <c r="F399" s="11">
        <v>0.1168</v>
      </c>
      <c r="G399">
        <v>12.91</v>
      </c>
      <c r="H399">
        <v>58.09</v>
      </c>
      <c r="I399" s="2">
        <v>105070.75</v>
      </c>
      <c r="J399" s="2">
        <v>102962.14</v>
      </c>
      <c r="K399" s="2">
        <f>Table1[[#This Row],[Salary_after]]-Table1[[#This Row],[Salary_before]]</f>
        <v>-2108.6100000000006</v>
      </c>
      <c r="L399" s="11">
        <v>-2.0099999999999996E-2</v>
      </c>
      <c r="M399" s="11">
        <v>9.4999999999999998E-3</v>
      </c>
      <c r="N399">
        <v>66.47</v>
      </c>
      <c r="O399">
        <v>56.62</v>
      </c>
      <c r="P399">
        <v>2</v>
      </c>
      <c r="Q399" t="s">
        <v>21</v>
      </c>
      <c r="R399">
        <v>34.884999999999998</v>
      </c>
      <c r="S399">
        <v>2.0099999999999998</v>
      </c>
      <c r="T399" s="4">
        <v>22.702000000000002</v>
      </c>
      <c r="U399" s="4">
        <v>6.6132159999999898</v>
      </c>
      <c r="V399" t="str">
        <f>IF(Table1[[#This Row],[ai_disruption_intensity]]&gt;70,"High",
IF(Table1[[#This Row],[ai_disruption_intensity]]&gt;40,"Medium","Low"))</f>
        <v>Low</v>
      </c>
      <c r="W399" t="str">
        <f>IF(Table1[[#This Row],[skill_gap_index]]&gt;70,"Large Gap",
IF(Table1[[#This Row],[skill_gap_index]]&gt;40,"Medium Gap","Small Gap"))</f>
        <v>Medium Gap</v>
      </c>
      <c r="X399" s="3" t="str">
        <f>IF(Table1[[#This Row],[automation_risk_percent]]&gt;0.7,"Highly Automatable",
IF(Table1[[#This Row],[automation_risk_percent]]&gt;0.4,"Moderate Risk","Safe Job"))</f>
        <v>Safe Job</v>
      </c>
    </row>
    <row r="400" spans="1:24" x14ac:dyDescent="0.3">
      <c r="A400">
        <v>1416</v>
      </c>
      <c r="B400" t="s">
        <v>45</v>
      </c>
      <c r="C400" t="s">
        <v>30</v>
      </c>
      <c r="D400" t="s">
        <v>42</v>
      </c>
      <c r="E400" s="1">
        <v>2025</v>
      </c>
      <c r="F400" s="11">
        <v>0.32929999999999998</v>
      </c>
      <c r="G400">
        <v>38.5</v>
      </c>
      <c r="H400">
        <v>26.94</v>
      </c>
      <c r="I400" s="2">
        <v>148688.94</v>
      </c>
      <c r="J400" s="2">
        <v>142288.95000000001</v>
      </c>
      <c r="K400" s="2">
        <f>Table1[[#This Row],[Salary_after]]-Table1[[#This Row],[Salary_before]]</f>
        <v>-6399.9899999999907</v>
      </c>
      <c r="L400" s="11">
        <v>-4.2999999999999997E-2</v>
      </c>
      <c r="M400" s="11">
        <v>0.25079999999999997</v>
      </c>
      <c r="N400">
        <v>65.209999999999994</v>
      </c>
      <c r="O400">
        <v>27.25</v>
      </c>
      <c r="P400">
        <v>5</v>
      </c>
      <c r="Q400" t="s">
        <v>25</v>
      </c>
      <c r="R400">
        <v>29.934999999999999</v>
      </c>
      <c r="S400">
        <v>4.3</v>
      </c>
      <c r="T400" s="4">
        <v>22.544</v>
      </c>
      <c r="U400" s="4">
        <v>8.97342499999999</v>
      </c>
      <c r="V400" t="str">
        <f>IF(Table1[[#This Row],[ai_disruption_intensity]]&gt;70,"High",
IF(Table1[[#This Row],[ai_disruption_intensity]]&gt;40,"Medium","Low"))</f>
        <v>Low</v>
      </c>
      <c r="W400" t="str">
        <f>IF(Table1[[#This Row],[skill_gap_index]]&gt;70,"Large Gap",
IF(Table1[[#This Row],[skill_gap_index]]&gt;40,"Medium Gap","Small Gap"))</f>
        <v>Small Gap</v>
      </c>
      <c r="X400" s="3" t="str">
        <f>IF(Table1[[#This Row],[automation_risk_percent]]&gt;0.7,"Highly Automatable",
IF(Table1[[#This Row],[automation_risk_percent]]&gt;0.4,"Moderate Risk","Safe Job"))</f>
        <v>Safe Job</v>
      </c>
    </row>
    <row r="401" spans="1:24" x14ac:dyDescent="0.3">
      <c r="A401">
        <v>1420</v>
      </c>
      <c r="B401" t="s">
        <v>44</v>
      </c>
      <c r="C401" t="s">
        <v>19</v>
      </c>
      <c r="D401" t="s">
        <v>31</v>
      </c>
      <c r="E401" s="1">
        <v>2025</v>
      </c>
      <c r="F401" s="11">
        <v>0.1096</v>
      </c>
      <c r="G401">
        <v>9.11</v>
      </c>
      <c r="H401">
        <v>39.17</v>
      </c>
      <c r="I401" s="2">
        <v>48476.92</v>
      </c>
      <c r="J401" s="2">
        <v>55585.78</v>
      </c>
      <c r="K401" s="2">
        <f>Table1[[#This Row],[Salary_after]]-Table1[[#This Row],[Salary_before]]</f>
        <v>7108.8600000000006</v>
      </c>
      <c r="L401" s="11">
        <v>0.14660000000000001</v>
      </c>
      <c r="M401" s="11">
        <v>-9.0899999999999995E-2</v>
      </c>
      <c r="N401">
        <v>59.25</v>
      </c>
      <c r="O401">
        <v>23.12</v>
      </c>
      <c r="P401">
        <v>2</v>
      </c>
      <c r="Q401" t="s">
        <v>21</v>
      </c>
      <c r="R401">
        <v>25.065000000000001</v>
      </c>
      <c r="S401">
        <v>14.66</v>
      </c>
      <c r="T401" s="4">
        <v>20.532999999999902</v>
      </c>
      <c r="U401" s="4">
        <v>2.5339520000000002</v>
      </c>
      <c r="V401" t="str">
        <f>IF(Table1[[#This Row],[ai_disruption_intensity]]&gt;70,"High",
IF(Table1[[#This Row],[ai_disruption_intensity]]&gt;40,"Medium","Low"))</f>
        <v>Low</v>
      </c>
      <c r="W401" t="str">
        <f>IF(Table1[[#This Row],[skill_gap_index]]&gt;70,"Large Gap",
IF(Table1[[#This Row],[skill_gap_index]]&gt;40,"Medium Gap","Small Gap"))</f>
        <v>Small Gap</v>
      </c>
      <c r="X401" s="3" t="str">
        <f>IF(Table1[[#This Row],[automation_risk_percent]]&gt;0.7,"Highly Automatable",
IF(Table1[[#This Row],[automation_risk_percent]]&gt;0.4,"Moderate Risk","Safe Job"))</f>
        <v>Safe Job</v>
      </c>
    </row>
    <row r="402" spans="1:24" x14ac:dyDescent="0.3">
      <c r="A402">
        <v>1423</v>
      </c>
      <c r="B402" t="s">
        <v>39</v>
      </c>
      <c r="C402" t="s">
        <v>38</v>
      </c>
      <c r="D402" t="s">
        <v>42</v>
      </c>
      <c r="E402" s="1">
        <v>2025</v>
      </c>
      <c r="F402" s="11">
        <v>0.29449999999999998</v>
      </c>
      <c r="G402">
        <v>34.049999999999997</v>
      </c>
      <c r="H402">
        <v>55</v>
      </c>
      <c r="I402" s="2">
        <v>79609.990000000005</v>
      </c>
      <c r="J402" s="2">
        <v>81124.36</v>
      </c>
      <c r="K402" s="2">
        <f>Table1[[#This Row],[Salary_after]]-Table1[[#This Row],[Salary_before]]</f>
        <v>1514.3699999999953</v>
      </c>
      <c r="L402" s="11">
        <v>1.9E-2</v>
      </c>
      <c r="M402" s="11">
        <v>1.2E-2</v>
      </c>
      <c r="N402">
        <v>73.260000000000005</v>
      </c>
      <c r="O402">
        <v>61.4</v>
      </c>
      <c r="P402">
        <v>1</v>
      </c>
      <c r="Q402" t="s">
        <v>21</v>
      </c>
      <c r="R402">
        <v>42.225000000000001</v>
      </c>
      <c r="S402">
        <v>1.9</v>
      </c>
      <c r="T402" s="4">
        <v>28.85</v>
      </c>
      <c r="U402" s="4">
        <v>18.0823</v>
      </c>
      <c r="V402" t="str">
        <f>IF(Table1[[#This Row],[ai_disruption_intensity]]&gt;70,"High",
IF(Table1[[#This Row],[ai_disruption_intensity]]&gt;40,"Medium","Low"))</f>
        <v>Low</v>
      </c>
      <c r="W402" t="str">
        <f>IF(Table1[[#This Row],[skill_gap_index]]&gt;70,"Large Gap",
IF(Table1[[#This Row],[skill_gap_index]]&gt;40,"Medium Gap","Small Gap"))</f>
        <v>Medium Gap</v>
      </c>
      <c r="X402" s="3" t="str">
        <f>IF(Table1[[#This Row],[automation_risk_percent]]&gt;0.7,"Highly Automatable",
IF(Table1[[#This Row],[automation_risk_percent]]&gt;0.4,"Moderate Risk","Safe Job"))</f>
        <v>Safe Job</v>
      </c>
    </row>
    <row r="403" spans="1:24" x14ac:dyDescent="0.3">
      <c r="A403">
        <v>1426</v>
      </c>
      <c r="B403" t="s">
        <v>39</v>
      </c>
      <c r="C403" t="s">
        <v>40</v>
      </c>
      <c r="D403" t="s">
        <v>28</v>
      </c>
      <c r="E403" s="1">
        <v>2026</v>
      </c>
      <c r="F403" s="11">
        <v>0.14779999999999999</v>
      </c>
      <c r="G403">
        <v>11.9</v>
      </c>
      <c r="H403">
        <v>89.82</v>
      </c>
      <c r="I403" s="2">
        <v>99760.71</v>
      </c>
      <c r="J403" s="2">
        <v>87519.93</v>
      </c>
      <c r="K403" s="2">
        <f>Table1[[#This Row],[Salary_after]]-Table1[[#This Row],[Salary_before]]</f>
        <v>-12240.780000000013</v>
      </c>
      <c r="L403" s="11">
        <v>-0.12269999999999999</v>
      </c>
      <c r="M403" s="11">
        <v>-1.8000000000000002E-2</v>
      </c>
      <c r="N403">
        <v>65.52</v>
      </c>
      <c r="O403">
        <v>50.9</v>
      </c>
      <c r="P403">
        <v>5</v>
      </c>
      <c r="Q403" t="s">
        <v>21</v>
      </c>
      <c r="R403">
        <v>52.3</v>
      </c>
      <c r="S403">
        <v>12.27</v>
      </c>
      <c r="T403" s="4">
        <v>36.538999999999902</v>
      </c>
      <c r="U403" s="4">
        <v>7.52301999999999</v>
      </c>
      <c r="V403" t="str">
        <f>IF(Table1[[#This Row],[ai_disruption_intensity]]&gt;70,"High",
IF(Table1[[#This Row],[ai_disruption_intensity]]&gt;40,"Medium","Low"))</f>
        <v>Low</v>
      </c>
      <c r="W403" t="str">
        <f>IF(Table1[[#This Row],[skill_gap_index]]&gt;70,"Large Gap",
IF(Table1[[#This Row],[skill_gap_index]]&gt;40,"Medium Gap","Small Gap"))</f>
        <v>Large Gap</v>
      </c>
      <c r="X403" s="3" t="str">
        <f>IF(Table1[[#This Row],[automation_risk_percent]]&gt;0.7,"Highly Automatable",
IF(Table1[[#This Row],[automation_risk_percent]]&gt;0.4,"Moderate Risk","Safe Job"))</f>
        <v>Safe Job</v>
      </c>
    </row>
    <row r="404" spans="1:24" x14ac:dyDescent="0.3">
      <c r="A404">
        <v>1434</v>
      </c>
      <c r="B404" t="s">
        <v>44</v>
      </c>
      <c r="C404" t="s">
        <v>34</v>
      </c>
      <c r="D404" t="s">
        <v>28</v>
      </c>
      <c r="E404" s="1">
        <v>2025</v>
      </c>
      <c r="F404" s="11">
        <v>0.57020000000000004</v>
      </c>
      <c r="G404">
        <v>54.49</v>
      </c>
      <c r="H404">
        <v>48.78</v>
      </c>
      <c r="I404" s="2">
        <v>148784.1</v>
      </c>
      <c r="J404" s="2">
        <v>142869.21</v>
      </c>
      <c r="K404" s="2">
        <f>Table1[[#This Row],[Salary_after]]-Table1[[#This Row],[Salary_before]]</f>
        <v>-5914.890000000014</v>
      </c>
      <c r="L404" s="11">
        <v>-3.9800000000000002E-2</v>
      </c>
      <c r="M404" s="11">
        <v>-8.8499999999999995E-2</v>
      </c>
      <c r="N404">
        <v>36.26</v>
      </c>
      <c r="O404">
        <v>76.510000000000005</v>
      </c>
      <c r="P404">
        <v>1</v>
      </c>
      <c r="Q404" t="s">
        <v>25</v>
      </c>
      <c r="R404">
        <v>52.9</v>
      </c>
      <c r="S404">
        <v>3.98</v>
      </c>
      <c r="T404" s="4">
        <v>38.636000000000003</v>
      </c>
      <c r="U404" s="4">
        <v>43.626002</v>
      </c>
      <c r="V404" t="str">
        <f>IF(Table1[[#This Row],[ai_disruption_intensity]]&gt;70,"High",
IF(Table1[[#This Row],[ai_disruption_intensity]]&gt;40,"Medium","Low"))</f>
        <v>Medium</v>
      </c>
      <c r="W404" t="str">
        <f>IF(Table1[[#This Row],[skill_gap_index]]&gt;70,"Large Gap",
IF(Table1[[#This Row],[skill_gap_index]]&gt;40,"Medium Gap","Small Gap"))</f>
        <v>Medium Gap</v>
      </c>
      <c r="X404" s="3" t="str">
        <f>IF(Table1[[#This Row],[automation_risk_percent]]&gt;0.7,"Highly Automatable",
IF(Table1[[#This Row],[automation_risk_percent]]&gt;0.4,"Moderate Risk","Safe Job"))</f>
        <v>Moderate Risk</v>
      </c>
    </row>
    <row r="405" spans="1:24" x14ac:dyDescent="0.3">
      <c r="A405">
        <v>1437</v>
      </c>
      <c r="B405" t="s">
        <v>46</v>
      </c>
      <c r="C405" t="s">
        <v>38</v>
      </c>
      <c r="D405" t="s">
        <v>42</v>
      </c>
      <c r="E405" s="1">
        <v>2026</v>
      </c>
      <c r="F405" s="11">
        <v>0.2412</v>
      </c>
      <c r="G405">
        <v>25.33</v>
      </c>
      <c r="H405">
        <v>91.04</v>
      </c>
      <c r="I405" s="2">
        <v>62878.87</v>
      </c>
      <c r="J405" s="2">
        <v>66570.22</v>
      </c>
      <c r="K405" s="2">
        <f>Table1[[#This Row],[Salary_after]]-Table1[[#This Row],[Salary_before]]</f>
        <v>3691.3499999999985</v>
      </c>
      <c r="L405" s="11">
        <v>5.8700000000000002E-2</v>
      </c>
      <c r="M405" s="11">
        <v>5.0700000000000002E-2</v>
      </c>
      <c r="N405">
        <v>25.52</v>
      </c>
      <c r="O405">
        <v>71.97</v>
      </c>
      <c r="P405">
        <v>2</v>
      </c>
      <c r="Q405" t="s">
        <v>21</v>
      </c>
      <c r="R405">
        <v>57.58</v>
      </c>
      <c r="S405">
        <v>5.87</v>
      </c>
      <c r="T405" s="4">
        <v>38.720999999999997</v>
      </c>
      <c r="U405" s="4">
        <v>17.359164</v>
      </c>
      <c r="V405" t="str">
        <f>IF(Table1[[#This Row],[ai_disruption_intensity]]&gt;70,"High",
IF(Table1[[#This Row],[ai_disruption_intensity]]&gt;40,"Medium","Low"))</f>
        <v>Low</v>
      </c>
      <c r="W405" t="str">
        <f>IF(Table1[[#This Row],[skill_gap_index]]&gt;70,"Large Gap",
IF(Table1[[#This Row],[skill_gap_index]]&gt;40,"Medium Gap","Small Gap"))</f>
        <v>Large Gap</v>
      </c>
      <c r="X405" s="3" t="str">
        <f>IF(Table1[[#This Row],[automation_risk_percent]]&gt;0.7,"Highly Automatable",
IF(Table1[[#This Row],[automation_risk_percent]]&gt;0.4,"Moderate Risk","Safe Job"))</f>
        <v>Safe Job</v>
      </c>
    </row>
    <row r="406" spans="1:24" x14ac:dyDescent="0.3">
      <c r="A406">
        <v>1441</v>
      </c>
      <c r="B406" t="s">
        <v>41</v>
      </c>
      <c r="C406" t="s">
        <v>33</v>
      </c>
      <c r="D406" t="s">
        <v>32</v>
      </c>
      <c r="E406" s="1">
        <v>2025</v>
      </c>
      <c r="F406" s="11">
        <v>0.48979999999999996</v>
      </c>
      <c r="G406">
        <v>41.25</v>
      </c>
      <c r="H406">
        <v>18.829999999999998</v>
      </c>
      <c r="I406" s="2">
        <v>90059.39</v>
      </c>
      <c r="J406" s="2">
        <v>85893.84</v>
      </c>
      <c r="K406" s="2">
        <f>Table1[[#This Row],[Salary_after]]-Table1[[#This Row],[Salary_before]]</f>
        <v>-4165.5500000000029</v>
      </c>
      <c r="L406" s="11">
        <v>-4.6300000000000001E-2</v>
      </c>
      <c r="M406" s="11">
        <v>8.8800000000000004E-2</v>
      </c>
      <c r="N406">
        <v>69.38</v>
      </c>
      <c r="O406">
        <v>32.36</v>
      </c>
      <c r="P406">
        <v>5</v>
      </c>
      <c r="Q406" t="s">
        <v>25</v>
      </c>
      <c r="R406">
        <v>33.905000000000001</v>
      </c>
      <c r="S406">
        <v>4.63</v>
      </c>
      <c r="T406" s="4">
        <v>26.63</v>
      </c>
      <c r="U406" s="4">
        <v>15.849927999999901</v>
      </c>
      <c r="V406" t="str">
        <f>IF(Table1[[#This Row],[ai_disruption_intensity]]&gt;70,"High",
IF(Table1[[#This Row],[ai_disruption_intensity]]&gt;40,"Medium","Low"))</f>
        <v>Low</v>
      </c>
      <c r="W406" t="str">
        <f>IF(Table1[[#This Row],[skill_gap_index]]&gt;70,"Large Gap",
IF(Table1[[#This Row],[skill_gap_index]]&gt;40,"Medium Gap","Small Gap"))</f>
        <v>Small Gap</v>
      </c>
      <c r="X406" s="3" t="str">
        <f>IF(Table1[[#This Row],[automation_risk_percent]]&gt;0.7,"Highly Automatable",
IF(Table1[[#This Row],[automation_risk_percent]]&gt;0.4,"Moderate Risk","Safe Job"))</f>
        <v>Moderate Risk</v>
      </c>
    </row>
    <row r="407" spans="1:24" x14ac:dyDescent="0.3">
      <c r="A407">
        <v>1450</v>
      </c>
      <c r="B407" t="s">
        <v>45</v>
      </c>
      <c r="C407" t="s">
        <v>30</v>
      </c>
      <c r="D407" t="s">
        <v>24</v>
      </c>
      <c r="E407" s="1">
        <v>2025</v>
      </c>
      <c r="F407" s="11">
        <v>0.1305</v>
      </c>
      <c r="G407">
        <v>11.57</v>
      </c>
      <c r="H407">
        <v>97.11</v>
      </c>
      <c r="I407" s="2">
        <v>147508.57999999999</v>
      </c>
      <c r="J407" s="2">
        <v>159643.85</v>
      </c>
      <c r="K407" s="2">
        <f>Table1[[#This Row],[Salary_after]]-Table1[[#This Row],[Salary_before]]</f>
        <v>12135.270000000019</v>
      </c>
      <c r="L407" s="11">
        <v>8.2299999999999998E-2</v>
      </c>
      <c r="M407" s="11">
        <v>8.3499999999999991E-2</v>
      </c>
      <c r="N407">
        <v>29.26</v>
      </c>
      <c r="O407">
        <v>97.2</v>
      </c>
      <c r="P407">
        <v>4</v>
      </c>
      <c r="Q407" t="s">
        <v>21</v>
      </c>
      <c r="R407">
        <v>55.08</v>
      </c>
      <c r="S407">
        <v>8.23</v>
      </c>
      <c r="T407" s="4">
        <v>36.822000000000003</v>
      </c>
      <c r="U407" s="4">
        <v>12.6846</v>
      </c>
      <c r="V407" t="str">
        <f>IF(Table1[[#This Row],[ai_disruption_intensity]]&gt;70,"High",
IF(Table1[[#This Row],[ai_disruption_intensity]]&gt;40,"Medium","Low"))</f>
        <v>Low</v>
      </c>
      <c r="W407" t="str">
        <f>IF(Table1[[#This Row],[skill_gap_index]]&gt;70,"Large Gap",
IF(Table1[[#This Row],[skill_gap_index]]&gt;40,"Medium Gap","Small Gap"))</f>
        <v>Large Gap</v>
      </c>
      <c r="X407" s="3" t="str">
        <f>IF(Table1[[#This Row],[automation_risk_percent]]&gt;0.7,"Highly Automatable",
IF(Table1[[#This Row],[automation_risk_percent]]&gt;0.4,"Moderate Risk","Safe Job"))</f>
        <v>Safe Job</v>
      </c>
    </row>
    <row r="408" spans="1:24" x14ac:dyDescent="0.3">
      <c r="A408">
        <v>1457</v>
      </c>
      <c r="B408" t="s">
        <v>22</v>
      </c>
      <c r="C408" t="s">
        <v>40</v>
      </c>
      <c r="D408" t="s">
        <v>20</v>
      </c>
      <c r="E408" s="1">
        <v>2026</v>
      </c>
      <c r="F408" s="11">
        <v>0.48590000000000005</v>
      </c>
      <c r="G408">
        <v>50.64</v>
      </c>
      <c r="H408">
        <v>70.55</v>
      </c>
      <c r="I408" s="2">
        <v>111625.60000000001</v>
      </c>
      <c r="J408" s="2">
        <v>100476.21</v>
      </c>
      <c r="K408" s="2">
        <f>Table1[[#This Row],[Salary_after]]-Table1[[#This Row],[Salary_before]]</f>
        <v>-11149.39</v>
      </c>
      <c r="L408" s="11">
        <v>-9.9900000000000003E-2</v>
      </c>
      <c r="M408" s="11">
        <v>-7.22E-2</v>
      </c>
      <c r="N408">
        <v>71.34</v>
      </c>
      <c r="O408">
        <v>34.94</v>
      </c>
      <c r="P408">
        <v>3</v>
      </c>
      <c r="Q408" t="s">
        <v>25</v>
      </c>
      <c r="R408">
        <v>59.57</v>
      </c>
      <c r="S408">
        <v>9.99</v>
      </c>
      <c r="T408" s="4">
        <v>43.597999999999999</v>
      </c>
      <c r="U408" s="4">
        <v>16.977346000000001</v>
      </c>
      <c r="V408" t="str">
        <f>IF(Table1[[#This Row],[ai_disruption_intensity]]&gt;70,"High",
IF(Table1[[#This Row],[ai_disruption_intensity]]&gt;40,"Medium","Low"))</f>
        <v>Low</v>
      </c>
      <c r="W408" t="str">
        <f>IF(Table1[[#This Row],[skill_gap_index]]&gt;70,"Large Gap",
IF(Table1[[#This Row],[skill_gap_index]]&gt;40,"Medium Gap","Small Gap"))</f>
        <v>Large Gap</v>
      </c>
      <c r="X408" s="3" t="str">
        <f>IF(Table1[[#This Row],[automation_risk_percent]]&gt;0.7,"Highly Automatable",
IF(Table1[[#This Row],[automation_risk_percent]]&gt;0.4,"Moderate Risk","Safe Job"))</f>
        <v>Moderate Risk</v>
      </c>
    </row>
    <row r="409" spans="1:24" x14ac:dyDescent="0.3">
      <c r="A409">
        <v>1460</v>
      </c>
      <c r="B409" t="s">
        <v>22</v>
      </c>
      <c r="C409" t="s">
        <v>40</v>
      </c>
      <c r="D409" t="s">
        <v>31</v>
      </c>
      <c r="E409" s="1">
        <v>2025</v>
      </c>
      <c r="F409" s="11">
        <v>0.33509999999999995</v>
      </c>
      <c r="G409">
        <v>28.61</v>
      </c>
      <c r="H409">
        <v>7.42</v>
      </c>
      <c r="I409" s="2">
        <v>149060.60999999999</v>
      </c>
      <c r="J409" s="2">
        <v>157344.53</v>
      </c>
      <c r="K409" s="2">
        <f>Table1[[#This Row],[Salary_after]]-Table1[[#This Row],[Salary_before]]</f>
        <v>8283.9200000000128</v>
      </c>
      <c r="L409" s="11">
        <v>5.5599999999999997E-2</v>
      </c>
      <c r="M409" s="11">
        <v>0.25540000000000002</v>
      </c>
      <c r="N409">
        <v>78.89</v>
      </c>
      <c r="O409">
        <v>84.01</v>
      </c>
      <c r="P409">
        <v>3</v>
      </c>
      <c r="Q409" t="s">
        <v>25</v>
      </c>
      <c r="R409">
        <v>20.465</v>
      </c>
      <c r="S409">
        <v>5.56</v>
      </c>
      <c r="T409" s="4">
        <v>17.297999999999998</v>
      </c>
      <c r="U409" s="4">
        <v>28.151751000000001</v>
      </c>
      <c r="V409" t="str">
        <f>IF(Table1[[#This Row],[ai_disruption_intensity]]&gt;70,"High",
IF(Table1[[#This Row],[ai_disruption_intensity]]&gt;40,"Medium","Low"))</f>
        <v>Low</v>
      </c>
      <c r="W409" t="str">
        <f>IF(Table1[[#This Row],[skill_gap_index]]&gt;70,"Large Gap",
IF(Table1[[#This Row],[skill_gap_index]]&gt;40,"Medium Gap","Small Gap"))</f>
        <v>Small Gap</v>
      </c>
      <c r="X409" s="3" t="str">
        <f>IF(Table1[[#This Row],[automation_risk_percent]]&gt;0.7,"Highly Automatable",
IF(Table1[[#This Row],[automation_risk_percent]]&gt;0.4,"Moderate Risk","Safe Job"))</f>
        <v>Safe Job</v>
      </c>
    </row>
    <row r="410" spans="1:24" x14ac:dyDescent="0.3">
      <c r="A410">
        <v>1461</v>
      </c>
      <c r="B410" t="s">
        <v>43</v>
      </c>
      <c r="C410" t="s">
        <v>27</v>
      </c>
      <c r="D410" t="s">
        <v>42</v>
      </c>
      <c r="E410" s="1">
        <v>2025</v>
      </c>
      <c r="F410" s="11">
        <v>0.66469999999999996</v>
      </c>
      <c r="G410">
        <v>53.62</v>
      </c>
      <c r="H410">
        <v>18.68</v>
      </c>
      <c r="I410" s="2">
        <v>108588.64</v>
      </c>
      <c r="J410" s="2">
        <v>109843.89</v>
      </c>
      <c r="K410" s="2">
        <f>Table1[[#This Row],[Salary_after]]-Table1[[#This Row],[Salary_before]]</f>
        <v>1255.25</v>
      </c>
      <c r="L410" s="11">
        <v>1.1599999999999999E-2</v>
      </c>
      <c r="M410" s="11">
        <v>4.7E-2</v>
      </c>
      <c r="N410">
        <v>69.89</v>
      </c>
      <c r="O410">
        <v>95.65</v>
      </c>
      <c r="P410">
        <v>2</v>
      </c>
      <c r="Q410" t="s">
        <v>37</v>
      </c>
      <c r="R410">
        <v>42.575000000000003</v>
      </c>
      <c r="S410">
        <v>1.1599999999999999</v>
      </c>
      <c r="T410" s="4">
        <v>32.54</v>
      </c>
      <c r="U410" s="4">
        <v>63.578555000000001</v>
      </c>
      <c r="V410" t="str">
        <f>IF(Table1[[#This Row],[ai_disruption_intensity]]&gt;70,"High",
IF(Table1[[#This Row],[ai_disruption_intensity]]&gt;40,"Medium","Low"))</f>
        <v>Medium</v>
      </c>
      <c r="W410" t="str">
        <f>IF(Table1[[#This Row],[skill_gap_index]]&gt;70,"Large Gap",
IF(Table1[[#This Row],[skill_gap_index]]&gt;40,"Medium Gap","Small Gap"))</f>
        <v>Small Gap</v>
      </c>
      <c r="X410" s="3" t="str">
        <f>IF(Table1[[#This Row],[automation_risk_percent]]&gt;0.7,"Highly Automatable",
IF(Table1[[#This Row],[automation_risk_percent]]&gt;0.4,"Moderate Risk","Safe Job"))</f>
        <v>Moderate Risk</v>
      </c>
    </row>
    <row r="411" spans="1:24" x14ac:dyDescent="0.3">
      <c r="A411">
        <v>1473</v>
      </c>
      <c r="B411" t="s">
        <v>45</v>
      </c>
      <c r="C411" t="s">
        <v>19</v>
      </c>
      <c r="D411" t="s">
        <v>47</v>
      </c>
      <c r="E411" s="1">
        <v>2026</v>
      </c>
      <c r="F411" s="11">
        <v>0.42950000000000005</v>
      </c>
      <c r="G411">
        <v>41.04</v>
      </c>
      <c r="H411">
        <v>82.07</v>
      </c>
      <c r="I411" s="2">
        <v>84139.68</v>
      </c>
      <c r="J411" s="2">
        <v>91441.37</v>
      </c>
      <c r="K411" s="2">
        <f>Table1[[#This Row],[Salary_after]]-Table1[[#This Row],[Salary_before]]</f>
        <v>7301.6900000000023</v>
      </c>
      <c r="L411" s="11">
        <v>8.6800000000000002E-2</v>
      </c>
      <c r="M411" s="11">
        <v>7.2700000000000001E-2</v>
      </c>
      <c r="N411">
        <v>87.96</v>
      </c>
      <c r="O411">
        <v>89.04</v>
      </c>
      <c r="P411">
        <v>4</v>
      </c>
      <c r="Q411" t="s">
        <v>25</v>
      </c>
      <c r="R411">
        <v>62.51</v>
      </c>
      <c r="S411">
        <v>8.68</v>
      </c>
      <c r="T411" s="4">
        <v>44.405000000000001</v>
      </c>
      <c r="U411" s="4">
        <v>38.24268</v>
      </c>
      <c r="V411" t="str">
        <f>IF(Table1[[#This Row],[ai_disruption_intensity]]&gt;70,"High",
IF(Table1[[#This Row],[ai_disruption_intensity]]&gt;40,"Medium","Low"))</f>
        <v>Low</v>
      </c>
      <c r="W411" t="str">
        <f>IF(Table1[[#This Row],[skill_gap_index]]&gt;70,"Large Gap",
IF(Table1[[#This Row],[skill_gap_index]]&gt;40,"Medium Gap","Small Gap"))</f>
        <v>Large Gap</v>
      </c>
      <c r="X411" s="3" t="str">
        <f>IF(Table1[[#This Row],[automation_risk_percent]]&gt;0.7,"Highly Automatable",
IF(Table1[[#This Row],[automation_risk_percent]]&gt;0.4,"Moderate Risk","Safe Job"))</f>
        <v>Moderate Risk</v>
      </c>
    </row>
    <row r="412" spans="1:24" x14ac:dyDescent="0.3">
      <c r="A412">
        <v>1475</v>
      </c>
      <c r="B412" t="s">
        <v>44</v>
      </c>
      <c r="C412" t="s">
        <v>34</v>
      </c>
      <c r="D412" t="s">
        <v>24</v>
      </c>
      <c r="E412" s="1">
        <v>2026</v>
      </c>
      <c r="F412" s="11">
        <v>0.20899999999999999</v>
      </c>
      <c r="G412">
        <v>21.99</v>
      </c>
      <c r="H412">
        <v>73.540000000000006</v>
      </c>
      <c r="I412" s="2">
        <v>133157.26999999999</v>
      </c>
      <c r="J412" s="2">
        <v>118900.57</v>
      </c>
      <c r="K412" s="2">
        <f>Table1[[#This Row],[Salary_after]]-Table1[[#This Row],[Salary_before]]</f>
        <v>-14256.699999999983</v>
      </c>
      <c r="L412" s="11">
        <v>-0.10710000000000001</v>
      </c>
      <c r="M412" s="11">
        <v>-2.8399999999999998E-2</v>
      </c>
      <c r="N412">
        <v>42.29</v>
      </c>
      <c r="O412">
        <v>91.47</v>
      </c>
      <c r="P412">
        <v>5</v>
      </c>
      <c r="Q412" t="s">
        <v>21</v>
      </c>
      <c r="R412">
        <v>47.22</v>
      </c>
      <c r="S412">
        <v>10.71</v>
      </c>
      <c r="T412" s="4">
        <v>33.634999999999998</v>
      </c>
      <c r="U412" s="4">
        <v>19.117229999999999</v>
      </c>
      <c r="V412" t="str">
        <f>IF(Table1[[#This Row],[ai_disruption_intensity]]&gt;70,"High",
IF(Table1[[#This Row],[ai_disruption_intensity]]&gt;40,"Medium","Low"))</f>
        <v>Low</v>
      </c>
      <c r="W412" t="str">
        <f>IF(Table1[[#This Row],[skill_gap_index]]&gt;70,"Large Gap",
IF(Table1[[#This Row],[skill_gap_index]]&gt;40,"Medium Gap","Small Gap"))</f>
        <v>Large Gap</v>
      </c>
      <c r="X412" s="3" t="str">
        <f>IF(Table1[[#This Row],[automation_risk_percent]]&gt;0.7,"Highly Automatable",
IF(Table1[[#This Row],[automation_risk_percent]]&gt;0.4,"Moderate Risk","Safe Job"))</f>
        <v>Safe Job</v>
      </c>
    </row>
    <row r="413" spans="1:24" x14ac:dyDescent="0.3">
      <c r="A413">
        <v>1478</v>
      </c>
      <c r="B413" t="s">
        <v>22</v>
      </c>
      <c r="C413" t="s">
        <v>23</v>
      </c>
      <c r="D413" t="s">
        <v>32</v>
      </c>
      <c r="E413" s="1">
        <v>2026</v>
      </c>
      <c r="F413" s="11">
        <v>0.34179999999999999</v>
      </c>
      <c r="G413">
        <v>32.96</v>
      </c>
      <c r="H413">
        <v>16.559999999999999</v>
      </c>
      <c r="I413" s="2">
        <v>54488.77</v>
      </c>
      <c r="J413" s="2">
        <v>57354.53</v>
      </c>
      <c r="K413" s="2">
        <f>Table1[[#This Row],[Salary_after]]-Table1[[#This Row],[Salary_before]]</f>
        <v>2865.760000000002</v>
      </c>
      <c r="L413" s="11">
        <v>5.2600000000000001E-2</v>
      </c>
      <c r="M413" s="11">
        <v>7.4400000000000008E-2</v>
      </c>
      <c r="N413">
        <v>45.51</v>
      </c>
      <c r="O413">
        <v>17.98</v>
      </c>
      <c r="P413">
        <v>4</v>
      </c>
      <c r="Q413" t="s">
        <v>25</v>
      </c>
      <c r="R413">
        <v>25.369999999999902</v>
      </c>
      <c r="S413">
        <v>5.26</v>
      </c>
      <c r="T413" s="4">
        <v>20.218</v>
      </c>
      <c r="U413" s="4">
        <v>6.1455640000000002</v>
      </c>
      <c r="V413" t="str">
        <f>IF(Table1[[#This Row],[ai_disruption_intensity]]&gt;70,"High",
IF(Table1[[#This Row],[ai_disruption_intensity]]&gt;40,"Medium","Low"))</f>
        <v>Low</v>
      </c>
      <c r="W413" t="str">
        <f>IF(Table1[[#This Row],[skill_gap_index]]&gt;70,"Large Gap",
IF(Table1[[#This Row],[skill_gap_index]]&gt;40,"Medium Gap","Small Gap"))</f>
        <v>Small Gap</v>
      </c>
      <c r="X413" s="3" t="str">
        <f>IF(Table1[[#This Row],[automation_risk_percent]]&gt;0.7,"Highly Automatable",
IF(Table1[[#This Row],[automation_risk_percent]]&gt;0.4,"Moderate Risk","Safe Job"))</f>
        <v>Safe Job</v>
      </c>
    </row>
    <row r="414" spans="1:24" x14ac:dyDescent="0.3">
      <c r="A414">
        <v>1479</v>
      </c>
      <c r="B414" t="s">
        <v>18</v>
      </c>
      <c r="C414" t="s">
        <v>23</v>
      </c>
      <c r="D414" t="s">
        <v>32</v>
      </c>
      <c r="E414" s="1">
        <v>2025</v>
      </c>
      <c r="F414" s="11">
        <v>0.29960000000000003</v>
      </c>
      <c r="G414">
        <v>29.42</v>
      </c>
      <c r="H414">
        <v>29.07</v>
      </c>
      <c r="I414" s="2">
        <v>58029.49</v>
      </c>
      <c r="J414" s="2">
        <v>66348.740000000005</v>
      </c>
      <c r="K414" s="2">
        <f>Table1[[#This Row],[Salary_after]]-Table1[[#This Row],[Salary_before]]</f>
        <v>8319.2500000000073</v>
      </c>
      <c r="L414" s="11">
        <v>0.1434</v>
      </c>
      <c r="M414" s="11">
        <v>6.9099999999999995E-2</v>
      </c>
      <c r="N414">
        <v>33.96</v>
      </c>
      <c r="O414">
        <v>60.33</v>
      </c>
      <c r="P414">
        <v>3</v>
      </c>
      <c r="Q414" t="s">
        <v>21</v>
      </c>
      <c r="R414">
        <v>29.515000000000001</v>
      </c>
      <c r="S414">
        <v>14.34</v>
      </c>
      <c r="T414" s="4">
        <v>25.007000000000001</v>
      </c>
      <c r="U414" s="4">
        <v>18.074867999999999</v>
      </c>
      <c r="V414" t="str">
        <f>IF(Table1[[#This Row],[ai_disruption_intensity]]&gt;70,"High",
IF(Table1[[#This Row],[ai_disruption_intensity]]&gt;40,"Medium","Low"))</f>
        <v>Low</v>
      </c>
      <c r="W414" t="str">
        <f>IF(Table1[[#This Row],[skill_gap_index]]&gt;70,"Large Gap",
IF(Table1[[#This Row],[skill_gap_index]]&gt;40,"Medium Gap","Small Gap"))</f>
        <v>Small Gap</v>
      </c>
      <c r="X414" s="3" t="str">
        <f>IF(Table1[[#This Row],[automation_risk_percent]]&gt;0.7,"Highly Automatable",
IF(Table1[[#This Row],[automation_risk_percent]]&gt;0.4,"Moderate Risk","Safe Job"))</f>
        <v>Safe Job</v>
      </c>
    </row>
    <row r="415" spans="1:24" x14ac:dyDescent="0.3">
      <c r="A415">
        <v>1485</v>
      </c>
      <c r="B415" t="s">
        <v>46</v>
      </c>
      <c r="C415" t="s">
        <v>30</v>
      </c>
      <c r="D415" t="s">
        <v>35</v>
      </c>
      <c r="E415" s="1">
        <v>2025</v>
      </c>
      <c r="F415" s="11">
        <v>9.8599999999999993E-2</v>
      </c>
      <c r="G415">
        <v>11.35</v>
      </c>
      <c r="H415">
        <v>18.100000000000001</v>
      </c>
      <c r="I415" s="2">
        <v>125671.08</v>
      </c>
      <c r="J415" s="2">
        <v>100828.15</v>
      </c>
      <c r="K415" s="2">
        <f>Table1[[#This Row],[Salary_after]]-Table1[[#This Row],[Salary_before]]</f>
        <v>-24842.930000000008</v>
      </c>
      <c r="L415" s="11">
        <v>-0.19769999999999999</v>
      </c>
      <c r="M415" s="11">
        <v>5.0000000000000001E-4</v>
      </c>
      <c r="N415">
        <v>24.24</v>
      </c>
      <c r="O415">
        <v>16.760000000000002</v>
      </c>
      <c r="P415">
        <v>1</v>
      </c>
      <c r="Q415" t="s">
        <v>21</v>
      </c>
      <c r="R415">
        <v>13.98</v>
      </c>
      <c r="S415">
        <v>19.77</v>
      </c>
      <c r="T415" s="4">
        <v>15.305</v>
      </c>
      <c r="U415" s="4">
        <v>1.652536</v>
      </c>
      <c r="V415" t="str">
        <f>IF(Table1[[#This Row],[ai_disruption_intensity]]&gt;70,"High",
IF(Table1[[#This Row],[ai_disruption_intensity]]&gt;40,"Medium","Low"))</f>
        <v>Low</v>
      </c>
      <c r="W415" t="str">
        <f>IF(Table1[[#This Row],[skill_gap_index]]&gt;70,"Large Gap",
IF(Table1[[#This Row],[skill_gap_index]]&gt;40,"Medium Gap","Small Gap"))</f>
        <v>Small Gap</v>
      </c>
      <c r="X415" s="3" t="str">
        <f>IF(Table1[[#This Row],[automation_risk_percent]]&gt;0.7,"Highly Automatable",
IF(Table1[[#This Row],[automation_risk_percent]]&gt;0.4,"Moderate Risk","Safe Job"))</f>
        <v>Safe Job</v>
      </c>
    </row>
    <row r="416" spans="1:24" x14ac:dyDescent="0.3">
      <c r="A416">
        <v>1492</v>
      </c>
      <c r="B416" t="s">
        <v>29</v>
      </c>
      <c r="C416" t="s">
        <v>40</v>
      </c>
      <c r="D416" t="s">
        <v>47</v>
      </c>
      <c r="E416" s="1">
        <v>2025</v>
      </c>
      <c r="F416" s="11">
        <v>0.35549999999999998</v>
      </c>
      <c r="G416">
        <v>37.270000000000003</v>
      </c>
      <c r="H416">
        <v>41.99</v>
      </c>
      <c r="I416" s="2">
        <v>103594</v>
      </c>
      <c r="J416" s="2">
        <v>106428.96</v>
      </c>
      <c r="K416" s="2">
        <f>Table1[[#This Row],[Salary_after]]-Table1[[#This Row],[Salary_before]]</f>
        <v>2834.9600000000064</v>
      </c>
      <c r="L416" s="11">
        <v>2.7400000000000001E-2</v>
      </c>
      <c r="M416" s="11">
        <v>0.20670000000000002</v>
      </c>
      <c r="N416">
        <v>66.489999999999995</v>
      </c>
      <c r="O416">
        <v>93.53</v>
      </c>
      <c r="P416">
        <v>5</v>
      </c>
      <c r="Q416" t="s">
        <v>25</v>
      </c>
      <c r="R416">
        <v>38.769999999999897</v>
      </c>
      <c r="S416">
        <v>2.74</v>
      </c>
      <c r="T416" s="4">
        <v>27.638999999999999</v>
      </c>
      <c r="U416" s="4">
        <v>33.249914999999902</v>
      </c>
      <c r="V416" t="str">
        <f>IF(Table1[[#This Row],[ai_disruption_intensity]]&gt;70,"High",
IF(Table1[[#This Row],[ai_disruption_intensity]]&gt;40,"Medium","Low"))</f>
        <v>Low</v>
      </c>
      <c r="W416" t="str">
        <f>IF(Table1[[#This Row],[skill_gap_index]]&gt;70,"Large Gap",
IF(Table1[[#This Row],[skill_gap_index]]&gt;40,"Medium Gap","Small Gap"))</f>
        <v>Medium Gap</v>
      </c>
      <c r="X416" s="3" t="str">
        <f>IF(Table1[[#This Row],[automation_risk_percent]]&gt;0.7,"Highly Automatable",
IF(Table1[[#This Row],[automation_risk_percent]]&gt;0.4,"Moderate Risk","Safe Job"))</f>
        <v>Safe Job</v>
      </c>
    </row>
    <row r="417" spans="1:24" x14ac:dyDescent="0.3">
      <c r="A417">
        <v>1496</v>
      </c>
      <c r="B417" t="s">
        <v>26</v>
      </c>
      <c r="C417" t="s">
        <v>27</v>
      </c>
      <c r="D417" t="s">
        <v>42</v>
      </c>
      <c r="E417" s="1">
        <v>2026</v>
      </c>
      <c r="F417" s="11">
        <v>0.55409999999999993</v>
      </c>
      <c r="G417">
        <v>65.5</v>
      </c>
      <c r="H417">
        <v>41.36</v>
      </c>
      <c r="I417" s="2">
        <v>144290.48000000001</v>
      </c>
      <c r="J417" s="2">
        <v>143181.39000000001</v>
      </c>
      <c r="K417" s="2">
        <f>Table1[[#This Row],[Salary_after]]-Table1[[#This Row],[Salary_before]]</f>
        <v>-1109.0899999999965</v>
      </c>
      <c r="L417" s="11">
        <v>-7.7000000000000002E-3</v>
      </c>
      <c r="M417" s="11">
        <v>0.18129999999999999</v>
      </c>
      <c r="N417">
        <v>70.66</v>
      </c>
      <c r="O417">
        <v>43.5</v>
      </c>
      <c r="P417">
        <v>3</v>
      </c>
      <c r="Q417" t="s">
        <v>25</v>
      </c>
      <c r="R417">
        <v>48.384999999999998</v>
      </c>
      <c r="S417">
        <v>0.77</v>
      </c>
      <c r="T417" s="4">
        <v>34.802999999999997</v>
      </c>
      <c r="U417" s="4">
        <v>24.103349999999999</v>
      </c>
      <c r="V417" t="str">
        <f>IF(Table1[[#This Row],[ai_disruption_intensity]]&gt;70,"High",
IF(Table1[[#This Row],[ai_disruption_intensity]]&gt;40,"Medium","Low"))</f>
        <v>Low</v>
      </c>
      <c r="W417" t="str">
        <f>IF(Table1[[#This Row],[skill_gap_index]]&gt;70,"Large Gap",
IF(Table1[[#This Row],[skill_gap_index]]&gt;40,"Medium Gap","Small Gap"))</f>
        <v>Medium Gap</v>
      </c>
      <c r="X417" s="3" t="str">
        <f>IF(Table1[[#This Row],[automation_risk_percent]]&gt;0.7,"Highly Automatable",
IF(Table1[[#This Row],[automation_risk_percent]]&gt;0.4,"Moderate Risk","Safe Job"))</f>
        <v>Moderate Risk</v>
      </c>
    </row>
    <row r="418" spans="1:24" x14ac:dyDescent="0.3">
      <c r="A418">
        <v>1500</v>
      </c>
      <c r="B418" t="s">
        <v>22</v>
      </c>
      <c r="C418" t="s">
        <v>38</v>
      </c>
      <c r="D418" t="s">
        <v>24</v>
      </c>
      <c r="E418" s="1">
        <v>2026</v>
      </c>
      <c r="F418" s="11">
        <v>0.75329999999999997</v>
      </c>
      <c r="G418">
        <v>66.16</v>
      </c>
      <c r="H418">
        <v>76.459999999999994</v>
      </c>
      <c r="I418" s="2">
        <v>32820.29</v>
      </c>
      <c r="J418" s="2">
        <v>30012.57</v>
      </c>
      <c r="K418" s="2">
        <f>Table1[[#This Row],[Salary_after]]-Table1[[#This Row],[Salary_before]]</f>
        <v>-2807.7200000000012</v>
      </c>
      <c r="L418" s="11">
        <v>-8.5500000000000007E-2</v>
      </c>
      <c r="M418" s="11">
        <v>2.2599999999999999E-2</v>
      </c>
      <c r="N418">
        <v>41.72</v>
      </c>
      <c r="O418">
        <v>17.350000000000001</v>
      </c>
      <c r="P418">
        <v>1</v>
      </c>
      <c r="Q418" t="s">
        <v>37</v>
      </c>
      <c r="R418">
        <v>75.894999999999996</v>
      </c>
      <c r="S418">
        <v>8.5500000000000007</v>
      </c>
      <c r="T418" s="4">
        <v>55.634999999999998</v>
      </c>
      <c r="U418" s="4">
        <v>13.069755000000001</v>
      </c>
      <c r="V418" t="str">
        <f>IF(Table1[[#This Row],[ai_disruption_intensity]]&gt;70,"High",
IF(Table1[[#This Row],[ai_disruption_intensity]]&gt;40,"Medium","Low"))</f>
        <v>Low</v>
      </c>
      <c r="W418" t="str">
        <f>IF(Table1[[#This Row],[skill_gap_index]]&gt;70,"Large Gap",
IF(Table1[[#This Row],[skill_gap_index]]&gt;40,"Medium Gap","Small Gap"))</f>
        <v>Large Gap</v>
      </c>
      <c r="X418" s="3" t="str">
        <f>IF(Table1[[#This Row],[automation_risk_percent]]&gt;0.7,"Highly Automatable",
IF(Table1[[#This Row],[automation_risk_percent]]&gt;0.4,"Moderate Risk","Safe Job"))</f>
        <v>Highly Automatable</v>
      </c>
    </row>
    <row r="419" spans="1:24" x14ac:dyDescent="0.3">
      <c r="A419">
        <v>1506</v>
      </c>
      <c r="B419" t="s">
        <v>43</v>
      </c>
      <c r="C419" t="s">
        <v>40</v>
      </c>
      <c r="D419" t="s">
        <v>35</v>
      </c>
      <c r="E419" s="1">
        <v>2026</v>
      </c>
      <c r="F419" s="11">
        <v>0.35979999999999995</v>
      </c>
      <c r="G419">
        <v>29.87</v>
      </c>
      <c r="H419">
        <v>95.83</v>
      </c>
      <c r="I419" s="2">
        <v>82201.429999999993</v>
      </c>
      <c r="J419" s="2">
        <v>94604.96</v>
      </c>
      <c r="K419" s="2">
        <f>Table1[[#This Row],[Salary_after]]-Table1[[#This Row],[Salary_before]]</f>
        <v>12403.530000000013</v>
      </c>
      <c r="L419" s="11">
        <v>0.15090000000000001</v>
      </c>
      <c r="M419" s="11">
        <v>0.1618</v>
      </c>
      <c r="N419">
        <v>59.19</v>
      </c>
      <c r="O419">
        <v>20.53</v>
      </c>
      <c r="P419">
        <v>5</v>
      </c>
      <c r="Q419" t="s">
        <v>25</v>
      </c>
      <c r="R419">
        <v>65.905000000000001</v>
      </c>
      <c r="S419">
        <v>15.09</v>
      </c>
      <c r="T419" s="4">
        <v>47.667999999999999</v>
      </c>
      <c r="U419" s="4">
        <v>7.3866940000000003</v>
      </c>
      <c r="V419" t="str">
        <f>IF(Table1[[#This Row],[ai_disruption_intensity]]&gt;70,"High",
IF(Table1[[#This Row],[ai_disruption_intensity]]&gt;40,"Medium","Low"))</f>
        <v>Low</v>
      </c>
      <c r="W419" t="str">
        <f>IF(Table1[[#This Row],[skill_gap_index]]&gt;70,"Large Gap",
IF(Table1[[#This Row],[skill_gap_index]]&gt;40,"Medium Gap","Small Gap"))</f>
        <v>Large Gap</v>
      </c>
      <c r="X419" s="3" t="str">
        <f>IF(Table1[[#This Row],[automation_risk_percent]]&gt;0.7,"Highly Automatable",
IF(Table1[[#This Row],[automation_risk_percent]]&gt;0.4,"Moderate Risk","Safe Job"))</f>
        <v>Safe Job</v>
      </c>
    </row>
    <row r="420" spans="1:24" x14ac:dyDescent="0.3">
      <c r="A420">
        <v>1510</v>
      </c>
      <c r="B420" t="s">
        <v>41</v>
      </c>
      <c r="C420" t="s">
        <v>40</v>
      </c>
      <c r="D420" t="s">
        <v>24</v>
      </c>
      <c r="E420" s="1">
        <v>2025</v>
      </c>
      <c r="F420" s="11">
        <v>0.80040000000000011</v>
      </c>
      <c r="G420">
        <v>92.53</v>
      </c>
      <c r="H420">
        <v>55.27</v>
      </c>
      <c r="I420" s="2">
        <v>146117.65</v>
      </c>
      <c r="J420" s="2">
        <v>146108.76</v>
      </c>
      <c r="K420" s="2">
        <f>Table1[[#This Row],[Salary_after]]-Table1[[#This Row],[Salary_before]]</f>
        <v>-8.889999999984866</v>
      </c>
      <c r="L420" s="11">
        <v>-1E-4</v>
      </c>
      <c r="M420" s="11">
        <v>0.16969999999999999</v>
      </c>
      <c r="N420">
        <v>44.88</v>
      </c>
      <c r="O420">
        <v>61.31</v>
      </c>
      <c r="P420">
        <v>2</v>
      </c>
      <c r="Q420" t="s">
        <v>37</v>
      </c>
      <c r="R420">
        <v>67.655000000000001</v>
      </c>
      <c r="S420">
        <v>0.01</v>
      </c>
      <c r="T420" s="4">
        <v>48.6</v>
      </c>
      <c r="U420" s="4">
        <v>49.072524000000001</v>
      </c>
      <c r="V420" t="str">
        <f>IF(Table1[[#This Row],[ai_disruption_intensity]]&gt;70,"High",
IF(Table1[[#This Row],[ai_disruption_intensity]]&gt;40,"Medium","Low"))</f>
        <v>Medium</v>
      </c>
      <c r="W420" t="str">
        <f>IF(Table1[[#This Row],[skill_gap_index]]&gt;70,"Large Gap",
IF(Table1[[#This Row],[skill_gap_index]]&gt;40,"Medium Gap","Small Gap"))</f>
        <v>Medium Gap</v>
      </c>
      <c r="X420" s="3" t="str">
        <f>IF(Table1[[#This Row],[automation_risk_percent]]&gt;0.7,"Highly Automatable",
IF(Table1[[#This Row],[automation_risk_percent]]&gt;0.4,"Moderate Risk","Safe Job"))</f>
        <v>Highly Automatable</v>
      </c>
    </row>
    <row r="421" spans="1:24" x14ac:dyDescent="0.3">
      <c r="A421">
        <v>1511</v>
      </c>
      <c r="B421" t="s">
        <v>46</v>
      </c>
      <c r="C421" t="s">
        <v>30</v>
      </c>
      <c r="D421" t="s">
        <v>20</v>
      </c>
      <c r="E421" s="1">
        <v>2026</v>
      </c>
      <c r="F421" s="11">
        <v>0.05</v>
      </c>
      <c r="G421">
        <v>5.01</v>
      </c>
      <c r="H421">
        <v>87.09</v>
      </c>
      <c r="I421" s="2">
        <v>55615.38</v>
      </c>
      <c r="J421" s="2">
        <v>59338.49</v>
      </c>
      <c r="K421" s="2">
        <f>Table1[[#This Row],[Salary_after]]-Table1[[#This Row],[Salary_before]]</f>
        <v>3723.1100000000006</v>
      </c>
      <c r="L421" s="11">
        <v>6.6900000000000001E-2</v>
      </c>
      <c r="M421" s="11">
        <v>3.8800000000000001E-2</v>
      </c>
      <c r="N421">
        <v>48.57</v>
      </c>
      <c r="O421">
        <v>35.840000000000003</v>
      </c>
      <c r="P421">
        <v>1</v>
      </c>
      <c r="Q421" t="s">
        <v>21</v>
      </c>
      <c r="R421">
        <v>46.045000000000002</v>
      </c>
      <c r="S421">
        <v>6.69</v>
      </c>
      <c r="T421" s="4">
        <v>30.134</v>
      </c>
      <c r="U421" s="4">
        <v>1.792</v>
      </c>
      <c r="V421" t="str">
        <f>IF(Table1[[#This Row],[ai_disruption_intensity]]&gt;70,"High",
IF(Table1[[#This Row],[ai_disruption_intensity]]&gt;40,"Medium","Low"))</f>
        <v>Low</v>
      </c>
      <c r="W421" t="str">
        <f>IF(Table1[[#This Row],[skill_gap_index]]&gt;70,"Large Gap",
IF(Table1[[#This Row],[skill_gap_index]]&gt;40,"Medium Gap","Small Gap"))</f>
        <v>Large Gap</v>
      </c>
      <c r="X421" s="3" t="str">
        <f>IF(Table1[[#This Row],[automation_risk_percent]]&gt;0.7,"Highly Automatable",
IF(Table1[[#This Row],[automation_risk_percent]]&gt;0.4,"Moderate Risk","Safe Job"))</f>
        <v>Safe Job</v>
      </c>
    </row>
    <row r="422" spans="1:24" x14ac:dyDescent="0.3">
      <c r="A422">
        <v>1514</v>
      </c>
      <c r="B422" t="s">
        <v>26</v>
      </c>
      <c r="C422" t="s">
        <v>30</v>
      </c>
      <c r="D422" t="s">
        <v>28</v>
      </c>
      <c r="E422" s="1">
        <v>2026</v>
      </c>
      <c r="F422" s="11">
        <v>0.05</v>
      </c>
      <c r="G422">
        <v>5.51</v>
      </c>
      <c r="H422">
        <v>26.53</v>
      </c>
      <c r="I422" s="2">
        <v>67202.62</v>
      </c>
      <c r="J422" s="2">
        <v>57187.77</v>
      </c>
      <c r="K422" s="2">
        <f>Table1[[#This Row],[Salary_after]]-Table1[[#This Row],[Salary_before]]</f>
        <v>-10014.849999999999</v>
      </c>
      <c r="L422" s="11">
        <v>-0.14899999999999999</v>
      </c>
      <c r="M422" s="11">
        <v>6.4600000000000005E-2</v>
      </c>
      <c r="N422">
        <v>89.6</v>
      </c>
      <c r="O422">
        <v>8.5399999999999991</v>
      </c>
      <c r="P422">
        <v>4</v>
      </c>
      <c r="Q422" t="s">
        <v>21</v>
      </c>
      <c r="R422">
        <v>15.765000000000001</v>
      </c>
      <c r="S422">
        <v>14.9</v>
      </c>
      <c r="T422" s="4">
        <v>14.428999999999901</v>
      </c>
      <c r="U422" s="4">
        <v>0.42699999999999899</v>
      </c>
      <c r="V422" t="str">
        <f>IF(Table1[[#This Row],[ai_disruption_intensity]]&gt;70,"High",
IF(Table1[[#This Row],[ai_disruption_intensity]]&gt;40,"Medium","Low"))</f>
        <v>Low</v>
      </c>
      <c r="W422" t="str">
        <f>IF(Table1[[#This Row],[skill_gap_index]]&gt;70,"Large Gap",
IF(Table1[[#This Row],[skill_gap_index]]&gt;40,"Medium Gap","Small Gap"))</f>
        <v>Small Gap</v>
      </c>
      <c r="X422" s="3" t="str">
        <f>IF(Table1[[#This Row],[automation_risk_percent]]&gt;0.7,"Highly Automatable",
IF(Table1[[#This Row],[automation_risk_percent]]&gt;0.4,"Moderate Risk","Safe Job"))</f>
        <v>Safe Job</v>
      </c>
    </row>
    <row r="423" spans="1:24" x14ac:dyDescent="0.3">
      <c r="A423">
        <v>1515</v>
      </c>
      <c r="B423" t="s">
        <v>41</v>
      </c>
      <c r="C423" t="s">
        <v>34</v>
      </c>
      <c r="D423" t="s">
        <v>35</v>
      </c>
      <c r="E423" s="1">
        <v>2025</v>
      </c>
      <c r="F423" s="11">
        <v>0.56110000000000004</v>
      </c>
      <c r="G423">
        <v>63.95</v>
      </c>
      <c r="H423">
        <v>61.58</v>
      </c>
      <c r="I423" s="2">
        <v>65079.54</v>
      </c>
      <c r="J423" s="2">
        <v>76050.009999999995</v>
      </c>
      <c r="K423" s="2">
        <f>Table1[[#This Row],[Salary_after]]-Table1[[#This Row],[Salary_before]]</f>
        <v>10970.469999999994</v>
      </c>
      <c r="L423" s="11">
        <v>0.1686</v>
      </c>
      <c r="M423" s="11">
        <v>-1.46E-2</v>
      </c>
      <c r="N423">
        <v>97.59</v>
      </c>
      <c r="O423">
        <v>89.31</v>
      </c>
      <c r="P423">
        <v>4</v>
      </c>
      <c r="Q423" t="s">
        <v>25</v>
      </c>
      <c r="R423">
        <v>58.844999999999999</v>
      </c>
      <c r="S423">
        <v>16.86</v>
      </c>
      <c r="T423" s="4">
        <v>45.975999999999999</v>
      </c>
      <c r="U423" s="4">
        <v>50.111840999999998</v>
      </c>
      <c r="V423" t="str">
        <f>IF(Table1[[#This Row],[ai_disruption_intensity]]&gt;70,"High",
IF(Table1[[#This Row],[ai_disruption_intensity]]&gt;40,"Medium","Low"))</f>
        <v>Medium</v>
      </c>
      <c r="W423" t="str">
        <f>IF(Table1[[#This Row],[skill_gap_index]]&gt;70,"Large Gap",
IF(Table1[[#This Row],[skill_gap_index]]&gt;40,"Medium Gap","Small Gap"))</f>
        <v>Medium Gap</v>
      </c>
      <c r="X423" s="3" t="str">
        <f>IF(Table1[[#This Row],[automation_risk_percent]]&gt;0.7,"Highly Automatable",
IF(Table1[[#This Row],[automation_risk_percent]]&gt;0.4,"Moderate Risk","Safe Job"))</f>
        <v>Moderate Risk</v>
      </c>
    </row>
    <row r="424" spans="1:24" x14ac:dyDescent="0.3">
      <c r="A424">
        <v>1518</v>
      </c>
      <c r="B424" t="s">
        <v>43</v>
      </c>
      <c r="C424" t="s">
        <v>40</v>
      </c>
      <c r="D424" t="s">
        <v>47</v>
      </c>
      <c r="E424" s="1">
        <v>2026</v>
      </c>
      <c r="F424" s="11">
        <v>0.78760000000000008</v>
      </c>
      <c r="G424">
        <v>85.33</v>
      </c>
      <c r="H424">
        <v>6.24</v>
      </c>
      <c r="I424" s="2">
        <v>34219.29</v>
      </c>
      <c r="J424" s="2">
        <v>36026.19</v>
      </c>
      <c r="K424" s="2">
        <f>Table1[[#This Row],[Salary_after]]-Table1[[#This Row],[Salary_before]]</f>
        <v>1806.9000000000015</v>
      </c>
      <c r="L424" s="11">
        <v>5.28E-2</v>
      </c>
      <c r="M424" s="11">
        <v>-2.6800000000000001E-2</v>
      </c>
      <c r="N424">
        <v>26.54</v>
      </c>
      <c r="O424">
        <v>51.15</v>
      </c>
      <c r="P424">
        <v>4</v>
      </c>
      <c r="Q424" t="s">
        <v>37</v>
      </c>
      <c r="R424">
        <v>42.5</v>
      </c>
      <c r="S424">
        <v>5.28</v>
      </c>
      <c r="T424" s="4">
        <v>34.96</v>
      </c>
      <c r="U424" s="4">
        <v>40.285739999999997</v>
      </c>
      <c r="V424" t="str">
        <f>IF(Table1[[#This Row],[ai_disruption_intensity]]&gt;70,"High",
IF(Table1[[#This Row],[ai_disruption_intensity]]&gt;40,"Medium","Low"))</f>
        <v>Medium</v>
      </c>
      <c r="W424" t="str">
        <f>IF(Table1[[#This Row],[skill_gap_index]]&gt;70,"Large Gap",
IF(Table1[[#This Row],[skill_gap_index]]&gt;40,"Medium Gap","Small Gap"))</f>
        <v>Small Gap</v>
      </c>
      <c r="X424" s="3" t="str">
        <f>IF(Table1[[#This Row],[automation_risk_percent]]&gt;0.7,"Highly Automatable",
IF(Table1[[#This Row],[automation_risk_percent]]&gt;0.4,"Moderate Risk","Safe Job"))</f>
        <v>Highly Automatable</v>
      </c>
    </row>
    <row r="425" spans="1:24" x14ac:dyDescent="0.3">
      <c r="A425">
        <v>1522</v>
      </c>
      <c r="B425" t="s">
        <v>18</v>
      </c>
      <c r="C425" t="s">
        <v>40</v>
      </c>
      <c r="D425" t="s">
        <v>28</v>
      </c>
      <c r="E425" s="1">
        <v>2025</v>
      </c>
      <c r="F425" s="11">
        <v>0.61759999999999993</v>
      </c>
      <c r="G425">
        <v>53.88</v>
      </c>
      <c r="H425">
        <v>95.9</v>
      </c>
      <c r="I425" s="2">
        <v>106648.71</v>
      </c>
      <c r="J425" s="2">
        <v>108113.44</v>
      </c>
      <c r="K425" s="2">
        <f>Table1[[#This Row],[Salary_after]]-Table1[[#This Row],[Salary_before]]</f>
        <v>1464.7299999999959</v>
      </c>
      <c r="L425" s="11">
        <v>1.37E-2</v>
      </c>
      <c r="M425" s="11">
        <v>0.16899999999999998</v>
      </c>
      <c r="N425">
        <v>47.28</v>
      </c>
      <c r="O425">
        <v>97.72</v>
      </c>
      <c r="P425">
        <v>5</v>
      </c>
      <c r="Q425" t="s">
        <v>37</v>
      </c>
      <c r="R425">
        <v>78.83</v>
      </c>
      <c r="S425">
        <v>1.37</v>
      </c>
      <c r="T425" s="4">
        <v>53.884999999999998</v>
      </c>
      <c r="U425" s="4">
        <v>60.351871999999901</v>
      </c>
      <c r="V425" t="str">
        <f>IF(Table1[[#This Row],[ai_disruption_intensity]]&gt;70,"High",
IF(Table1[[#This Row],[ai_disruption_intensity]]&gt;40,"Medium","Low"))</f>
        <v>Medium</v>
      </c>
      <c r="W425" t="str">
        <f>IF(Table1[[#This Row],[skill_gap_index]]&gt;70,"Large Gap",
IF(Table1[[#This Row],[skill_gap_index]]&gt;40,"Medium Gap","Small Gap"))</f>
        <v>Large Gap</v>
      </c>
      <c r="X425" s="3" t="str">
        <f>IF(Table1[[#This Row],[automation_risk_percent]]&gt;0.7,"Highly Automatable",
IF(Table1[[#This Row],[automation_risk_percent]]&gt;0.4,"Moderate Risk","Safe Job"))</f>
        <v>Moderate Risk</v>
      </c>
    </row>
    <row r="426" spans="1:24" x14ac:dyDescent="0.3">
      <c r="A426">
        <v>1525</v>
      </c>
      <c r="B426" t="s">
        <v>18</v>
      </c>
      <c r="C426" t="s">
        <v>38</v>
      </c>
      <c r="D426" t="s">
        <v>47</v>
      </c>
      <c r="E426" s="1">
        <v>2026</v>
      </c>
      <c r="F426" s="11">
        <v>0.47609999999999997</v>
      </c>
      <c r="G426">
        <v>46.55</v>
      </c>
      <c r="H426">
        <v>63.44</v>
      </c>
      <c r="I426" s="2">
        <v>129321.53</v>
      </c>
      <c r="J426" s="2">
        <v>153989.49</v>
      </c>
      <c r="K426" s="2">
        <f>Table1[[#This Row],[Salary_after]]-Table1[[#This Row],[Salary_before]]</f>
        <v>24667.959999999992</v>
      </c>
      <c r="L426" s="11">
        <v>0.19070000000000001</v>
      </c>
      <c r="M426" s="11">
        <v>-4.7699999999999992E-2</v>
      </c>
      <c r="N426">
        <v>95.82</v>
      </c>
      <c r="O426">
        <v>83.96</v>
      </c>
      <c r="P426">
        <v>3</v>
      </c>
      <c r="Q426" t="s">
        <v>25</v>
      </c>
      <c r="R426">
        <v>55.524999999999999</v>
      </c>
      <c r="S426">
        <v>19.07</v>
      </c>
      <c r="T426" s="4">
        <v>43.796999999999997</v>
      </c>
      <c r="U426" s="4">
        <v>39.973355999999903</v>
      </c>
      <c r="V426" t="str">
        <f>IF(Table1[[#This Row],[ai_disruption_intensity]]&gt;70,"High",
IF(Table1[[#This Row],[ai_disruption_intensity]]&gt;40,"Medium","Low"))</f>
        <v>Low</v>
      </c>
      <c r="W426" t="str">
        <f>IF(Table1[[#This Row],[skill_gap_index]]&gt;70,"Large Gap",
IF(Table1[[#This Row],[skill_gap_index]]&gt;40,"Medium Gap","Small Gap"))</f>
        <v>Medium Gap</v>
      </c>
      <c r="X426" s="3" t="str">
        <f>IF(Table1[[#This Row],[automation_risk_percent]]&gt;0.7,"Highly Automatable",
IF(Table1[[#This Row],[automation_risk_percent]]&gt;0.4,"Moderate Risk","Safe Job"))</f>
        <v>Moderate Risk</v>
      </c>
    </row>
    <row r="427" spans="1:24" x14ac:dyDescent="0.3">
      <c r="A427">
        <v>1527</v>
      </c>
      <c r="B427" t="s">
        <v>44</v>
      </c>
      <c r="C427" t="s">
        <v>23</v>
      </c>
      <c r="D427" t="s">
        <v>47</v>
      </c>
      <c r="E427" s="1">
        <v>2026</v>
      </c>
      <c r="F427" s="11">
        <v>0.79920000000000002</v>
      </c>
      <c r="G427">
        <v>82.45</v>
      </c>
      <c r="H427">
        <v>4.2300000000000004</v>
      </c>
      <c r="I427" s="2">
        <v>100410.58</v>
      </c>
      <c r="J427" s="2">
        <v>94719.17</v>
      </c>
      <c r="K427" s="2">
        <f>Table1[[#This Row],[Salary_after]]-Table1[[#This Row],[Salary_before]]</f>
        <v>-5691.4100000000035</v>
      </c>
      <c r="L427" s="11">
        <v>-5.67E-2</v>
      </c>
      <c r="M427" s="11">
        <v>0.13109999999999999</v>
      </c>
      <c r="N427">
        <v>81.69</v>
      </c>
      <c r="O427">
        <v>28.82</v>
      </c>
      <c r="P427">
        <v>5</v>
      </c>
      <c r="Q427" t="s">
        <v>37</v>
      </c>
      <c r="R427">
        <v>42.075000000000003</v>
      </c>
      <c r="S427">
        <v>5.67</v>
      </c>
      <c r="T427" s="4">
        <v>34.938000000000002</v>
      </c>
      <c r="U427" s="4">
        <v>23.032944000000001</v>
      </c>
      <c r="V427" t="str">
        <f>IF(Table1[[#This Row],[ai_disruption_intensity]]&gt;70,"High",
IF(Table1[[#This Row],[ai_disruption_intensity]]&gt;40,"Medium","Low"))</f>
        <v>Low</v>
      </c>
      <c r="W427" t="str">
        <f>IF(Table1[[#This Row],[skill_gap_index]]&gt;70,"Large Gap",
IF(Table1[[#This Row],[skill_gap_index]]&gt;40,"Medium Gap","Small Gap"))</f>
        <v>Small Gap</v>
      </c>
      <c r="X427" s="3" t="str">
        <f>IF(Table1[[#This Row],[automation_risk_percent]]&gt;0.7,"Highly Automatable",
IF(Table1[[#This Row],[automation_risk_percent]]&gt;0.4,"Moderate Risk","Safe Job"))</f>
        <v>Highly Automatable</v>
      </c>
    </row>
    <row r="428" spans="1:24" x14ac:dyDescent="0.3">
      <c r="A428">
        <v>1530</v>
      </c>
      <c r="B428" t="s">
        <v>29</v>
      </c>
      <c r="C428" t="s">
        <v>34</v>
      </c>
      <c r="D428" t="s">
        <v>24</v>
      </c>
      <c r="E428" s="1">
        <v>2025</v>
      </c>
      <c r="F428" s="11">
        <v>0.83760000000000001</v>
      </c>
      <c r="G428">
        <v>98.65</v>
      </c>
      <c r="H428">
        <v>27.29</v>
      </c>
      <c r="I428" s="2">
        <v>50359.33</v>
      </c>
      <c r="J428" s="2">
        <v>59904.98</v>
      </c>
      <c r="K428" s="2">
        <f>Table1[[#This Row],[Salary_after]]-Table1[[#This Row],[Salary_before]]</f>
        <v>9545.6500000000015</v>
      </c>
      <c r="L428" s="11">
        <v>0.18960000000000002</v>
      </c>
      <c r="M428" s="11">
        <v>3.5000000000000003E-2</v>
      </c>
      <c r="N428">
        <v>30.45</v>
      </c>
      <c r="O428">
        <v>0.41</v>
      </c>
      <c r="P428">
        <v>3</v>
      </c>
      <c r="Q428" t="s">
        <v>37</v>
      </c>
      <c r="R428">
        <v>55.524999999999999</v>
      </c>
      <c r="S428">
        <v>18.96</v>
      </c>
      <c r="T428" s="4">
        <v>47.378999999999998</v>
      </c>
      <c r="U428" s="4">
        <v>0.343416</v>
      </c>
      <c r="V428" t="str">
        <f>IF(Table1[[#This Row],[ai_disruption_intensity]]&gt;70,"High",
IF(Table1[[#This Row],[ai_disruption_intensity]]&gt;40,"Medium","Low"))</f>
        <v>Low</v>
      </c>
      <c r="W428" t="str">
        <f>IF(Table1[[#This Row],[skill_gap_index]]&gt;70,"Large Gap",
IF(Table1[[#This Row],[skill_gap_index]]&gt;40,"Medium Gap","Small Gap"))</f>
        <v>Small Gap</v>
      </c>
      <c r="X428" s="3" t="str">
        <f>IF(Table1[[#This Row],[automation_risk_percent]]&gt;0.7,"Highly Automatable",
IF(Table1[[#This Row],[automation_risk_percent]]&gt;0.4,"Moderate Risk","Safe Job"))</f>
        <v>Highly Automatable</v>
      </c>
    </row>
    <row r="429" spans="1:24" x14ac:dyDescent="0.3">
      <c r="A429">
        <v>1531</v>
      </c>
      <c r="B429" t="s">
        <v>18</v>
      </c>
      <c r="C429" t="s">
        <v>30</v>
      </c>
      <c r="D429" t="s">
        <v>31</v>
      </c>
      <c r="E429" s="1">
        <v>2026</v>
      </c>
      <c r="F429" s="11">
        <v>0.34009999999999996</v>
      </c>
      <c r="G429">
        <v>40.380000000000003</v>
      </c>
      <c r="H429">
        <v>69.5</v>
      </c>
      <c r="I429" s="2">
        <v>78159.05</v>
      </c>
      <c r="J429" s="2">
        <v>74034.59</v>
      </c>
      <c r="K429" s="2">
        <f>Table1[[#This Row],[Salary_after]]-Table1[[#This Row],[Salary_before]]</f>
        <v>-4124.4600000000064</v>
      </c>
      <c r="L429" s="11">
        <v>-5.28E-2</v>
      </c>
      <c r="M429" s="11">
        <v>-6.2699999999999992E-2</v>
      </c>
      <c r="N429">
        <v>25.29</v>
      </c>
      <c r="O429">
        <v>10.63</v>
      </c>
      <c r="P429">
        <v>3</v>
      </c>
      <c r="Q429" t="s">
        <v>25</v>
      </c>
      <c r="R429">
        <v>51.754999999999903</v>
      </c>
      <c r="S429">
        <v>5.28</v>
      </c>
      <c r="T429" s="4">
        <v>36.037999999999997</v>
      </c>
      <c r="U429" s="4">
        <v>3.6152630000000001</v>
      </c>
      <c r="V429" t="str">
        <f>IF(Table1[[#This Row],[ai_disruption_intensity]]&gt;70,"High",
IF(Table1[[#This Row],[ai_disruption_intensity]]&gt;40,"Medium","Low"))</f>
        <v>Low</v>
      </c>
      <c r="W429" t="str">
        <f>IF(Table1[[#This Row],[skill_gap_index]]&gt;70,"Large Gap",
IF(Table1[[#This Row],[skill_gap_index]]&gt;40,"Medium Gap","Small Gap"))</f>
        <v>Medium Gap</v>
      </c>
      <c r="X429" s="3" t="str">
        <f>IF(Table1[[#This Row],[automation_risk_percent]]&gt;0.7,"Highly Automatable",
IF(Table1[[#This Row],[automation_risk_percent]]&gt;0.4,"Moderate Risk","Safe Job"))</f>
        <v>Safe Job</v>
      </c>
    </row>
    <row r="430" spans="1:24" x14ac:dyDescent="0.3">
      <c r="A430">
        <v>1533</v>
      </c>
      <c r="B430" t="s">
        <v>39</v>
      </c>
      <c r="C430" t="s">
        <v>33</v>
      </c>
      <c r="D430" t="s">
        <v>42</v>
      </c>
      <c r="E430" s="1">
        <v>2025</v>
      </c>
      <c r="F430" s="11">
        <v>0.24059999999999998</v>
      </c>
      <c r="G430">
        <v>26.7</v>
      </c>
      <c r="H430">
        <v>71.260000000000005</v>
      </c>
      <c r="I430" s="2">
        <v>106194.18</v>
      </c>
      <c r="J430" s="2">
        <v>114489.81</v>
      </c>
      <c r="K430" s="2">
        <f>Table1[[#This Row],[Salary_after]]-Table1[[#This Row],[Salary_before]]</f>
        <v>8295.6300000000047</v>
      </c>
      <c r="L430" s="11">
        <v>7.8100000000000003E-2</v>
      </c>
      <c r="M430" s="11">
        <v>2.8500000000000001E-2</v>
      </c>
      <c r="N430">
        <v>97.26</v>
      </c>
      <c r="O430">
        <v>17.36</v>
      </c>
      <c r="P430">
        <v>4</v>
      </c>
      <c r="Q430" t="s">
        <v>21</v>
      </c>
      <c r="R430">
        <v>47.66</v>
      </c>
      <c r="S430">
        <v>7.81</v>
      </c>
      <c r="T430" s="4">
        <v>33.344999999999999</v>
      </c>
      <c r="U430" s="4">
        <v>4.1768159999999996</v>
      </c>
      <c r="V430" t="str">
        <f>IF(Table1[[#This Row],[ai_disruption_intensity]]&gt;70,"High",
IF(Table1[[#This Row],[ai_disruption_intensity]]&gt;40,"Medium","Low"))</f>
        <v>Low</v>
      </c>
      <c r="W430" t="str">
        <f>IF(Table1[[#This Row],[skill_gap_index]]&gt;70,"Large Gap",
IF(Table1[[#This Row],[skill_gap_index]]&gt;40,"Medium Gap","Small Gap"))</f>
        <v>Large Gap</v>
      </c>
      <c r="X430" s="3" t="str">
        <f>IF(Table1[[#This Row],[automation_risk_percent]]&gt;0.7,"Highly Automatable",
IF(Table1[[#This Row],[automation_risk_percent]]&gt;0.4,"Moderate Risk","Safe Job"))</f>
        <v>Safe Job</v>
      </c>
    </row>
    <row r="431" spans="1:24" x14ac:dyDescent="0.3">
      <c r="A431">
        <v>1536</v>
      </c>
      <c r="B431" t="s">
        <v>43</v>
      </c>
      <c r="C431" t="s">
        <v>23</v>
      </c>
      <c r="D431" t="s">
        <v>31</v>
      </c>
      <c r="E431" s="1">
        <v>2026</v>
      </c>
      <c r="F431" s="11">
        <v>0.22010000000000002</v>
      </c>
      <c r="G431">
        <v>22.58</v>
      </c>
      <c r="H431">
        <v>70.33</v>
      </c>
      <c r="I431" s="2">
        <v>54297.43</v>
      </c>
      <c r="J431" s="2">
        <v>48782.64</v>
      </c>
      <c r="K431" s="2">
        <f>Table1[[#This Row],[Salary_after]]-Table1[[#This Row],[Salary_before]]</f>
        <v>-5514.7900000000009</v>
      </c>
      <c r="L431" s="11">
        <v>-0.1016</v>
      </c>
      <c r="M431" s="11">
        <v>0.1038</v>
      </c>
      <c r="N431">
        <v>65.209999999999994</v>
      </c>
      <c r="O431">
        <v>41.2</v>
      </c>
      <c r="P431">
        <v>4</v>
      </c>
      <c r="Q431" t="s">
        <v>21</v>
      </c>
      <c r="R431">
        <v>46.17</v>
      </c>
      <c r="S431">
        <v>10.16</v>
      </c>
      <c r="T431" s="4">
        <v>32.951000000000001</v>
      </c>
      <c r="U431" s="4">
        <v>9.0681200000000004</v>
      </c>
      <c r="V431" t="str">
        <f>IF(Table1[[#This Row],[ai_disruption_intensity]]&gt;70,"High",
IF(Table1[[#This Row],[ai_disruption_intensity]]&gt;40,"Medium","Low"))</f>
        <v>Low</v>
      </c>
      <c r="W431" t="str">
        <f>IF(Table1[[#This Row],[skill_gap_index]]&gt;70,"Large Gap",
IF(Table1[[#This Row],[skill_gap_index]]&gt;40,"Medium Gap","Small Gap"))</f>
        <v>Large Gap</v>
      </c>
      <c r="X431" s="3" t="str">
        <f>IF(Table1[[#This Row],[automation_risk_percent]]&gt;0.7,"Highly Automatable",
IF(Table1[[#This Row],[automation_risk_percent]]&gt;0.4,"Moderate Risk","Safe Job"))</f>
        <v>Safe Job</v>
      </c>
    </row>
    <row r="432" spans="1:24" x14ac:dyDescent="0.3">
      <c r="A432">
        <v>1539</v>
      </c>
      <c r="B432" t="s">
        <v>29</v>
      </c>
      <c r="C432" t="s">
        <v>40</v>
      </c>
      <c r="D432" t="s">
        <v>31</v>
      </c>
      <c r="E432" s="1">
        <v>2026</v>
      </c>
      <c r="F432" s="11">
        <v>0.62639999999999996</v>
      </c>
      <c r="G432">
        <v>64.97</v>
      </c>
      <c r="H432">
        <v>54.35</v>
      </c>
      <c r="I432" s="2">
        <v>41886.769999999997</v>
      </c>
      <c r="J432" s="2">
        <v>40482.97</v>
      </c>
      <c r="K432" s="2">
        <f>Table1[[#This Row],[Salary_after]]-Table1[[#This Row],[Salary_before]]</f>
        <v>-1403.7999999999956</v>
      </c>
      <c r="L432" s="11">
        <v>-3.3500000000000002E-2</v>
      </c>
      <c r="M432" s="11">
        <v>3.6499999999999998E-2</v>
      </c>
      <c r="N432">
        <v>45.61</v>
      </c>
      <c r="O432">
        <v>18.86</v>
      </c>
      <c r="P432">
        <v>5</v>
      </c>
      <c r="Q432" t="s">
        <v>37</v>
      </c>
      <c r="R432">
        <v>58.494999999999997</v>
      </c>
      <c r="S432">
        <v>3.35</v>
      </c>
      <c r="T432" s="4">
        <v>42.366</v>
      </c>
      <c r="U432" s="4">
        <v>11.813904000000001</v>
      </c>
      <c r="V432" t="str">
        <f>IF(Table1[[#This Row],[ai_disruption_intensity]]&gt;70,"High",
IF(Table1[[#This Row],[ai_disruption_intensity]]&gt;40,"Medium","Low"))</f>
        <v>Low</v>
      </c>
      <c r="W432" t="str">
        <f>IF(Table1[[#This Row],[skill_gap_index]]&gt;70,"Large Gap",
IF(Table1[[#This Row],[skill_gap_index]]&gt;40,"Medium Gap","Small Gap"))</f>
        <v>Medium Gap</v>
      </c>
      <c r="X432" s="3" t="str">
        <f>IF(Table1[[#This Row],[automation_risk_percent]]&gt;0.7,"Highly Automatable",
IF(Table1[[#This Row],[automation_risk_percent]]&gt;0.4,"Moderate Risk","Safe Job"))</f>
        <v>Moderate Risk</v>
      </c>
    </row>
    <row r="433" spans="1:24" x14ac:dyDescent="0.3">
      <c r="A433">
        <v>1544</v>
      </c>
      <c r="B433" t="s">
        <v>26</v>
      </c>
      <c r="C433" t="s">
        <v>19</v>
      </c>
      <c r="D433" t="s">
        <v>28</v>
      </c>
      <c r="E433" s="1">
        <v>2026</v>
      </c>
      <c r="F433" s="11">
        <v>0.38890000000000002</v>
      </c>
      <c r="G433">
        <v>43.94</v>
      </c>
      <c r="H433">
        <v>50.46</v>
      </c>
      <c r="I433" s="2">
        <v>139976.20000000001</v>
      </c>
      <c r="J433" s="2">
        <v>154761.73000000001</v>
      </c>
      <c r="K433" s="2">
        <f>Table1[[#This Row],[Salary_after]]-Table1[[#This Row],[Salary_before]]</f>
        <v>14785.529999999999</v>
      </c>
      <c r="L433" s="11">
        <v>0.1056</v>
      </c>
      <c r="M433" s="11">
        <v>8.9800000000000005E-2</v>
      </c>
      <c r="N433">
        <v>23.35</v>
      </c>
      <c r="O433">
        <v>85.53</v>
      </c>
      <c r="P433">
        <v>3</v>
      </c>
      <c r="Q433" t="s">
        <v>25</v>
      </c>
      <c r="R433">
        <v>44.674999999999997</v>
      </c>
      <c r="S433">
        <v>10.56</v>
      </c>
      <c r="T433" s="4">
        <v>33.862000000000002</v>
      </c>
      <c r="U433" s="4">
        <v>33.262616999999999</v>
      </c>
      <c r="V433" t="str">
        <f>IF(Table1[[#This Row],[ai_disruption_intensity]]&gt;70,"High",
IF(Table1[[#This Row],[ai_disruption_intensity]]&gt;40,"Medium","Low"))</f>
        <v>Low</v>
      </c>
      <c r="W433" t="str">
        <f>IF(Table1[[#This Row],[skill_gap_index]]&gt;70,"Large Gap",
IF(Table1[[#This Row],[skill_gap_index]]&gt;40,"Medium Gap","Small Gap"))</f>
        <v>Medium Gap</v>
      </c>
      <c r="X433" s="3" t="str">
        <f>IF(Table1[[#This Row],[automation_risk_percent]]&gt;0.7,"Highly Automatable",
IF(Table1[[#This Row],[automation_risk_percent]]&gt;0.4,"Moderate Risk","Safe Job"))</f>
        <v>Safe Job</v>
      </c>
    </row>
    <row r="434" spans="1:24" x14ac:dyDescent="0.3">
      <c r="A434">
        <v>1551</v>
      </c>
      <c r="B434" t="s">
        <v>29</v>
      </c>
      <c r="C434" t="s">
        <v>38</v>
      </c>
      <c r="D434" t="s">
        <v>35</v>
      </c>
      <c r="E434" s="1">
        <v>2026</v>
      </c>
      <c r="F434" s="11">
        <v>0.77269999999999994</v>
      </c>
      <c r="G434">
        <v>71.88</v>
      </c>
      <c r="H434">
        <v>66.819999999999993</v>
      </c>
      <c r="I434" s="2">
        <v>116026.1</v>
      </c>
      <c r="J434" s="2">
        <v>122105.86</v>
      </c>
      <c r="K434" s="2">
        <f>Table1[[#This Row],[Salary_after]]-Table1[[#This Row],[Salary_before]]</f>
        <v>6079.7599999999948</v>
      </c>
      <c r="L434" s="11">
        <v>5.2400000000000002E-2</v>
      </c>
      <c r="M434" s="11">
        <v>5.9299999999999999E-2</v>
      </c>
      <c r="N434">
        <v>11.93</v>
      </c>
      <c r="O434">
        <v>73.87</v>
      </c>
      <c r="P434">
        <v>3</v>
      </c>
      <c r="Q434" t="s">
        <v>37</v>
      </c>
      <c r="R434">
        <v>72.044999999999902</v>
      </c>
      <c r="S434">
        <v>5.24</v>
      </c>
      <c r="T434" s="4">
        <v>52.525999999999897</v>
      </c>
      <c r="U434" s="4">
        <v>57.079349000000001</v>
      </c>
      <c r="V434" t="str">
        <f>IF(Table1[[#This Row],[ai_disruption_intensity]]&gt;70,"High",
IF(Table1[[#This Row],[ai_disruption_intensity]]&gt;40,"Medium","Low"))</f>
        <v>Medium</v>
      </c>
      <c r="W434" t="str">
        <f>IF(Table1[[#This Row],[skill_gap_index]]&gt;70,"Large Gap",
IF(Table1[[#This Row],[skill_gap_index]]&gt;40,"Medium Gap","Small Gap"))</f>
        <v>Medium Gap</v>
      </c>
      <c r="X434" s="3" t="str">
        <f>IF(Table1[[#This Row],[automation_risk_percent]]&gt;0.7,"Highly Automatable",
IF(Table1[[#This Row],[automation_risk_percent]]&gt;0.4,"Moderate Risk","Safe Job"))</f>
        <v>Highly Automatable</v>
      </c>
    </row>
    <row r="435" spans="1:24" x14ac:dyDescent="0.3">
      <c r="A435">
        <v>1556</v>
      </c>
      <c r="B435" t="s">
        <v>44</v>
      </c>
      <c r="C435" t="s">
        <v>33</v>
      </c>
      <c r="D435" t="s">
        <v>35</v>
      </c>
      <c r="E435" s="1">
        <v>2026</v>
      </c>
      <c r="F435" s="11">
        <v>0.47549999999999998</v>
      </c>
      <c r="G435">
        <v>53.93</v>
      </c>
      <c r="H435">
        <v>61.58</v>
      </c>
      <c r="I435" s="2">
        <v>106054.61</v>
      </c>
      <c r="J435" s="2">
        <v>114302.85</v>
      </c>
      <c r="K435" s="2">
        <f>Table1[[#This Row],[Salary_after]]-Table1[[#This Row],[Salary_before]]</f>
        <v>8248.2400000000052</v>
      </c>
      <c r="L435" s="11">
        <v>7.7800000000000008E-2</v>
      </c>
      <c r="M435" s="11">
        <v>5.7500000000000002E-2</v>
      </c>
      <c r="N435">
        <v>93.87</v>
      </c>
      <c r="O435">
        <v>51.27</v>
      </c>
      <c r="P435">
        <v>3</v>
      </c>
      <c r="Q435" t="s">
        <v>25</v>
      </c>
      <c r="R435">
        <v>54.564999999999998</v>
      </c>
      <c r="S435">
        <v>7.78</v>
      </c>
      <c r="T435" s="4">
        <v>39.828000000000003</v>
      </c>
      <c r="U435" s="4">
        <v>24.378885</v>
      </c>
      <c r="V435" t="str">
        <f>IF(Table1[[#This Row],[ai_disruption_intensity]]&gt;70,"High",
IF(Table1[[#This Row],[ai_disruption_intensity]]&gt;40,"Medium","Low"))</f>
        <v>Low</v>
      </c>
      <c r="W435" t="str">
        <f>IF(Table1[[#This Row],[skill_gap_index]]&gt;70,"Large Gap",
IF(Table1[[#This Row],[skill_gap_index]]&gt;40,"Medium Gap","Small Gap"))</f>
        <v>Medium Gap</v>
      </c>
      <c r="X435" s="3" t="str">
        <f>IF(Table1[[#This Row],[automation_risk_percent]]&gt;0.7,"Highly Automatable",
IF(Table1[[#This Row],[automation_risk_percent]]&gt;0.4,"Moderate Risk","Safe Job"))</f>
        <v>Moderate Risk</v>
      </c>
    </row>
    <row r="436" spans="1:24" x14ac:dyDescent="0.3">
      <c r="A436">
        <v>1557</v>
      </c>
      <c r="B436" t="s">
        <v>45</v>
      </c>
      <c r="C436" t="s">
        <v>27</v>
      </c>
      <c r="D436" t="s">
        <v>20</v>
      </c>
      <c r="E436" s="1">
        <v>2025</v>
      </c>
      <c r="F436" s="11">
        <v>0.314</v>
      </c>
      <c r="G436">
        <v>30.9</v>
      </c>
      <c r="H436">
        <v>18.66</v>
      </c>
      <c r="I436" s="2">
        <v>106361.32</v>
      </c>
      <c r="J436" s="2">
        <v>96127.86</v>
      </c>
      <c r="K436" s="2">
        <f>Table1[[#This Row],[Salary_after]]-Table1[[#This Row],[Salary_before]]</f>
        <v>-10233.460000000006</v>
      </c>
      <c r="L436" s="11">
        <v>-9.6199999999999994E-2</v>
      </c>
      <c r="M436" s="11">
        <v>0.05</v>
      </c>
      <c r="N436">
        <v>27.79</v>
      </c>
      <c r="O436">
        <v>47.96</v>
      </c>
      <c r="P436">
        <v>4</v>
      </c>
      <c r="Q436" t="s">
        <v>25</v>
      </c>
      <c r="R436">
        <v>25.03</v>
      </c>
      <c r="S436">
        <v>9.6199999999999992</v>
      </c>
      <c r="T436" s="4">
        <v>21.044</v>
      </c>
      <c r="U436" s="4">
        <v>15.05944</v>
      </c>
      <c r="V436" t="str">
        <f>IF(Table1[[#This Row],[ai_disruption_intensity]]&gt;70,"High",
IF(Table1[[#This Row],[ai_disruption_intensity]]&gt;40,"Medium","Low"))</f>
        <v>Low</v>
      </c>
      <c r="W436" t="str">
        <f>IF(Table1[[#This Row],[skill_gap_index]]&gt;70,"Large Gap",
IF(Table1[[#This Row],[skill_gap_index]]&gt;40,"Medium Gap","Small Gap"))</f>
        <v>Small Gap</v>
      </c>
      <c r="X436" s="3" t="str">
        <f>IF(Table1[[#This Row],[automation_risk_percent]]&gt;0.7,"Highly Automatable",
IF(Table1[[#This Row],[automation_risk_percent]]&gt;0.4,"Moderate Risk","Safe Job"))</f>
        <v>Safe Job</v>
      </c>
    </row>
    <row r="437" spans="1:24" x14ac:dyDescent="0.3">
      <c r="A437">
        <v>1561</v>
      </c>
      <c r="B437" t="s">
        <v>45</v>
      </c>
      <c r="C437" t="s">
        <v>30</v>
      </c>
      <c r="D437" t="s">
        <v>28</v>
      </c>
      <c r="E437" s="1">
        <v>2025</v>
      </c>
      <c r="F437" s="11">
        <v>0.31590000000000001</v>
      </c>
      <c r="G437">
        <v>33.86</v>
      </c>
      <c r="H437">
        <v>56.54</v>
      </c>
      <c r="I437" s="2">
        <v>82354.720000000001</v>
      </c>
      <c r="J437" s="2">
        <v>70875.98</v>
      </c>
      <c r="K437" s="2">
        <f>Table1[[#This Row],[Salary_after]]-Table1[[#This Row],[Salary_before]]</f>
        <v>-11478.740000000005</v>
      </c>
      <c r="L437" s="11">
        <v>-0.1394</v>
      </c>
      <c r="M437" s="11">
        <v>6.8400000000000002E-2</v>
      </c>
      <c r="N437">
        <v>48.76</v>
      </c>
      <c r="O437">
        <v>50.17</v>
      </c>
      <c r="P437">
        <v>5</v>
      </c>
      <c r="Q437" t="s">
        <v>25</v>
      </c>
      <c r="R437">
        <v>44.064999999999998</v>
      </c>
      <c r="S437">
        <v>13.94</v>
      </c>
      <c r="T437" s="4">
        <v>33.78</v>
      </c>
      <c r="U437" s="4">
        <v>15.848703</v>
      </c>
      <c r="V437" t="str">
        <f>IF(Table1[[#This Row],[ai_disruption_intensity]]&gt;70,"High",
IF(Table1[[#This Row],[ai_disruption_intensity]]&gt;40,"Medium","Low"))</f>
        <v>Low</v>
      </c>
      <c r="W437" t="str">
        <f>IF(Table1[[#This Row],[skill_gap_index]]&gt;70,"Large Gap",
IF(Table1[[#This Row],[skill_gap_index]]&gt;40,"Medium Gap","Small Gap"))</f>
        <v>Medium Gap</v>
      </c>
      <c r="X437" s="3" t="str">
        <f>IF(Table1[[#This Row],[automation_risk_percent]]&gt;0.7,"Highly Automatable",
IF(Table1[[#This Row],[automation_risk_percent]]&gt;0.4,"Moderate Risk","Safe Job"))</f>
        <v>Safe Job</v>
      </c>
    </row>
    <row r="438" spans="1:24" x14ac:dyDescent="0.3">
      <c r="A438">
        <v>1568</v>
      </c>
      <c r="B438" t="s">
        <v>41</v>
      </c>
      <c r="C438" t="s">
        <v>34</v>
      </c>
      <c r="D438" t="s">
        <v>35</v>
      </c>
      <c r="E438" s="1">
        <v>2026</v>
      </c>
      <c r="F438" s="11">
        <v>0.70430000000000004</v>
      </c>
      <c r="G438">
        <v>81.22</v>
      </c>
      <c r="H438">
        <v>18.41</v>
      </c>
      <c r="I438" s="2">
        <v>130843.38</v>
      </c>
      <c r="J438" s="2">
        <v>127188.27</v>
      </c>
      <c r="K438" s="2">
        <f>Table1[[#This Row],[Salary_after]]-Table1[[#This Row],[Salary_before]]</f>
        <v>-3655.1100000000006</v>
      </c>
      <c r="L438" s="11">
        <v>-2.7900000000000001E-2</v>
      </c>
      <c r="M438" s="11">
        <v>1.29E-2</v>
      </c>
      <c r="N438">
        <v>13.35</v>
      </c>
      <c r="O438">
        <v>14.08</v>
      </c>
      <c r="P438">
        <v>2</v>
      </c>
      <c r="Q438" t="s">
        <v>37</v>
      </c>
      <c r="R438">
        <v>44.42</v>
      </c>
      <c r="S438">
        <v>2.79</v>
      </c>
      <c r="T438" s="4">
        <v>34.531999999999996</v>
      </c>
      <c r="U438" s="4">
        <v>9.916544</v>
      </c>
      <c r="V438" t="str">
        <f>IF(Table1[[#This Row],[ai_disruption_intensity]]&gt;70,"High",
IF(Table1[[#This Row],[ai_disruption_intensity]]&gt;40,"Medium","Low"))</f>
        <v>Low</v>
      </c>
      <c r="W438" t="str">
        <f>IF(Table1[[#This Row],[skill_gap_index]]&gt;70,"Large Gap",
IF(Table1[[#This Row],[skill_gap_index]]&gt;40,"Medium Gap","Small Gap"))</f>
        <v>Small Gap</v>
      </c>
      <c r="X438" s="3" t="str">
        <f>IF(Table1[[#This Row],[automation_risk_percent]]&gt;0.7,"Highly Automatable",
IF(Table1[[#This Row],[automation_risk_percent]]&gt;0.4,"Moderate Risk","Safe Job"))</f>
        <v>Highly Automatable</v>
      </c>
    </row>
    <row r="439" spans="1:24" x14ac:dyDescent="0.3">
      <c r="A439">
        <v>1569</v>
      </c>
      <c r="B439" t="s">
        <v>39</v>
      </c>
      <c r="C439" t="s">
        <v>40</v>
      </c>
      <c r="D439" t="s">
        <v>47</v>
      </c>
      <c r="E439" s="1">
        <v>2026</v>
      </c>
      <c r="F439" s="11">
        <v>0.74209999999999998</v>
      </c>
      <c r="G439">
        <v>73.010000000000005</v>
      </c>
      <c r="H439">
        <v>7.77</v>
      </c>
      <c r="I439" s="2">
        <v>145167.22</v>
      </c>
      <c r="J439" s="2">
        <v>150045.93</v>
      </c>
      <c r="K439" s="2">
        <f>Table1[[#This Row],[Salary_after]]-Table1[[#This Row],[Salary_before]]</f>
        <v>4878.7099999999919</v>
      </c>
      <c r="L439" s="11">
        <v>3.3599999999999998E-2</v>
      </c>
      <c r="M439" s="11">
        <v>0.1</v>
      </c>
      <c r="N439">
        <v>94.01</v>
      </c>
      <c r="O439">
        <v>22.01</v>
      </c>
      <c r="P439">
        <v>3</v>
      </c>
      <c r="Q439" t="s">
        <v>37</v>
      </c>
      <c r="R439">
        <v>40.989999999999903</v>
      </c>
      <c r="S439">
        <v>3.36</v>
      </c>
      <c r="T439" s="4">
        <v>33.023000000000003</v>
      </c>
      <c r="U439" s="4">
        <v>16.333621000000001</v>
      </c>
      <c r="V439" t="str">
        <f>IF(Table1[[#This Row],[ai_disruption_intensity]]&gt;70,"High",
IF(Table1[[#This Row],[ai_disruption_intensity]]&gt;40,"Medium","Low"))</f>
        <v>Low</v>
      </c>
      <c r="W439" t="str">
        <f>IF(Table1[[#This Row],[skill_gap_index]]&gt;70,"Large Gap",
IF(Table1[[#This Row],[skill_gap_index]]&gt;40,"Medium Gap","Small Gap"))</f>
        <v>Small Gap</v>
      </c>
      <c r="X439" s="3" t="str">
        <f>IF(Table1[[#This Row],[automation_risk_percent]]&gt;0.7,"Highly Automatable",
IF(Table1[[#This Row],[automation_risk_percent]]&gt;0.4,"Moderate Risk","Safe Job"))</f>
        <v>Highly Automatable</v>
      </c>
    </row>
    <row r="440" spans="1:24" x14ac:dyDescent="0.3">
      <c r="A440">
        <v>1570</v>
      </c>
      <c r="B440" t="s">
        <v>46</v>
      </c>
      <c r="C440" t="s">
        <v>33</v>
      </c>
      <c r="D440" t="s">
        <v>20</v>
      </c>
      <c r="E440" s="1">
        <v>2025</v>
      </c>
      <c r="F440" s="11">
        <v>0.58550000000000002</v>
      </c>
      <c r="G440">
        <v>63</v>
      </c>
      <c r="H440">
        <v>86.98</v>
      </c>
      <c r="I440" s="2">
        <v>125629.39</v>
      </c>
      <c r="J440" s="2">
        <v>140564.29</v>
      </c>
      <c r="K440" s="2">
        <f>Table1[[#This Row],[Salary_after]]-Table1[[#This Row],[Salary_before]]</f>
        <v>14934.900000000009</v>
      </c>
      <c r="L440" s="11">
        <v>0.11890000000000001</v>
      </c>
      <c r="M440" s="11">
        <v>-1.6500000000000001E-2</v>
      </c>
      <c r="N440">
        <v>33.619999999999997</v>
      </c>
      <c r="O440">
        <v>32.86</v>
      </c>
      <c r="P440">
        <v>2</v>
      </c>
      <c r="Q440" t="s">
        <v>25</v>
      </c>
      <c r="R440">
        <v>72.765000000000001</v>
      </c>
      <c r="S440">
        <v>11.89</v>
      </c>
      <c r="T440" s="4">
        <v>53.081000000000003</v>
      </c>
      <c r="U440" s="4">
        <v>19.239529999999998</v>
      </c>
      <c r="V440" t="str">
        <f>IF(Table1[[#This Row],[ai_disruption_intensity]]&gt;70,"High",
IF(Table1[[#This Row],[ai_disruption_intensity]]&gt;40,"Medium","Low"))</f>
        <v>Low</v>
      </c>
      <c r="W440" t="str">
        <f>IF(Table1[[#This Row],[skill_gap_index]]&gt;70,"Large Gap",
IF(Table1[[#This Row],[skill_gap_index]]&gt;40,"Medium Gap","Small Gap"))</f>
        <v>Large Gap</v>
      </c>
      <c r="X440" s="3" t="str">
        <f>IF(Table1[[#This Row],[automation_risk_percent]]&gt;0.7,"Highly Automatable",
IF(Table1[[#This Row],[automation_risk_percent]]&gt;0.4,"Moderate Risk","Safe Job"))</f>
        <v>Moderate Risk</v>
      </c>
    </row>
    <row r="441" spans="1:24" x14ac:dyDescent="0.3">
      <c r="A441">
        <v>1571</v>
      </c>
      <c r="B441" t="s">
        <v>22</v>
      </c>
      <c r="C441" t="s">
        <v>38</v>
      </c>
      <c r="D441" t="s">
        <v>35</v>
      </c>
      <c r="E441" s="1">
        <v>2025</v>
      </c>
      <c r="F441" s="11">
        <v>0.17550000000000002</v>
      </c>
      <c r="G441">
        <v>20.61</v>
      </c>
      <c r="H441">
        <v>29.1</v>
      </c>
      <c r="I441" s="2">
        <v>92474.7</v>
      </c>
      <c r="J441" s="2">
        <v>96748.45</v>
      </c>
      <c r="K441" s="2">
        <f>Table1[[#This Row],[Salary_after]]-Table1[[#This Row],[Salary_before]]</f>
        <v>4273.75</v>
      </c>
      <c r="L441" s="11">
        <v>4.6199999999999998E-2</v>
      </c>
      <c r="M441" s="11">
        <v>3.9100000000000003E-2</v>
      </c>
      <c r="N441">
        <v>40.15</v>
      </c>
      <c r="O441">
        <v>77.849999999999994</v>
      </c>
      <c r="P441">
        <v>3</v>
      </c>
      <c r="Q441" t="s">
        <v>21</v>
      </c>
      <c r="R441">
        <v>23.324999999999999</v>
      </c>
      <c r="S441">
        <v>4.62</v>
      </c>
      <c r="T441" s="4">
        <v>17.135999999999999</v>
      </c>
      <c r="U441" s="4">
        <v>13.662675</v>
      </c>
      <c r="V441" t="str">
        <f>IF(Table1[[#This Row],[ai_disruption_intensity]]&gt;70,"High",
IF(Table1[[#This Row],[ai_disruption_intensity]]&gt;40,"Medium","Low"))</f>
        <v>Low</v>
      </c>
      <c r="W441" t="str">
        <f>IF(Table1[[#This Row],[skill_gap_index]]&gt;70,"Large Gap",
IF(Table1[[#This Row],[skill_gap_index]]&gt;40,"Medium Gap","Small Gap"))</f>
        <v>Small Gap</v>
      </c>
      <c r="X441" s="3" t="str">
        <f>IF(Table1[[#This Row],[automation_risk_percent]]&gt;0.7,"Highly Automatable",
IF(Table1[[#This Row],[automation_risk_percent]]&gt;0.4,"Moderate Risk","Safe Job"))</f>
        <v>Safe Job</v>
      </c>
    </row>
    <row r="442" spans="1:24" x14ac:dyDescent="0.3">
      <c r="A442">
        <v>1575</v>
      </c>
      <c r="B442" t="s">
        <v>43</v>
      </c>
      <c r="C442" t="s">
        <v>33</v>
      </c>
      <c r="D442" t="s">
        <v>35</v>
      </c>
      <c r="E442" s="1">
        <v>2026</v>
      </c>
      <c r="F442" s="11">
        <v>0.47090000000000004</v>
      </c>
      <c r="G442">
        <v>53.56</v>
      </c>
      <c r="H442">
        <v>23.49</v>
      </c>
      <c r="I442" s="2">
        <v>83096.509999999995</v>
      </c>
      <c r="J442" s="2">
        <v>85676.99</v>
      </c>
      <c r="K442" s="2">
        <f>Table1[[#This Row],[Salary_after]]-Table1[[#This Row],[Salary_before]]</f>
        <v>2580.4800000000105</v>
      </c>
      <c r="L442" s="11">
        <v>3.1099999999999999E-2</v>
      </c>
      <c r="M442" s="11">
        <v>-6.1500000000000006E-2</v>
      </c>
      <c r="N442">
        <v>32.549999999999997</v>
      </c>
      <c r="O442">
        <v>33.380000000000003</v>
      </c>
      <c r="P442">
        <v>1</v>
      </c>
      <c r="Q442" t="s">
        <v>25</v>
      </c>
      <c r="R442">
        <v>35.29</v>
      </c>
      <c r="S442">
        <v>3.11</v>
      </c>
      <c r="T442" s="4">
        <v>26.815999999999999</v>
      </c>
      <c r="U442" s="4">
        <v>15.718641999999999</v>
      </c>
      <c r="V442" t="str">
        <f>IF(Table1[[#This Row],[ai_disruption_intensity]]&gt;70,"High",
IF(Table1[[#This Row],[ai_disruption_intensity]]&gt;40,"Medium","Low"))</f>
        <v>Low</v>
      </c>
      <c r="W442" t="str">
        <f>IF(Table1[[#This Row],[skill_gap_index]]&gt;70,"Large Gap",
IF(Table1[[#This Row],[skill_gap_index]]&gt;40,"Medium Gap","Small Gap"))</f>
        <v>Small Gap</v>
      </c>
      <c r="X442" s="3" t="str">
        <f>IF(Table1[[#This Row],[automation_risk_percent]]&gt;0.7,"Highly Automatable",
IF(Table1[[#This Row],[automation_risk_percent]]&gt;0.4,"Moderate Risk","Safe Job"))</f>
        <v>Moderate Risk</v>
      </c>
    </row>
    <row r="443" spans="1:24" x14ac:dyDescent="0.3">
      <c r="A443">
        <v>1576</v>
      </c>
      <c r="B443" t="s">
        <v>41</v>
      </c>
      <c r="C443" t="s">
        <v>40</v>
      </c>
      <c r="D443" t="s">
        <v>36</v>
      </c>
      <c r="E443" s="1">
        <v>2026</v>
      </c>
      <c r="F443" s="11">
        <v>0.57989999999999997</v>
      </c>
      <c r="G443">
        <v>47.01</v>
      </c>
      <c r="H443">
        <v>9.19</v>
      </c>
      <c r="I443" s="2">
        <v>112311.51</v>
      </c>
      <c r="J443" s="2">
        <v>124320.79</v>
      </c>
      <c r="K443" s="2">
        <f>Table1[[#This Row],[Salary_after]]-Table1[[#This Row],[Salary_before]]</f>
        <v>12009.279999999999</v>
      </c>
      <c r="L443" s="11">
        <v>0.1069</v>
      </c>
      <c r="M443" s="11">
        <v>2.92E-2</v>
      </c>
      <c r="N443">
        <v>72.52</v>
      </c>
      <c r="O443">
        <v>0.81</v>
      </c>
      <c r="P443">
        <v>3</v>
      </c>
      <c r="Q443" t="s">
        <v>25</v>
      </c>
      <c r="R443">
        <v>33.590000000000003</v>
      </c>
      <c r="S443">
        <v>10.69</v>
      </c>
      <c r="T443" s="4">
        <v>29.16</v>
      </c>
      <c r="U443" s="4">
        <v>0.469719</v>
      </c>
      <c r="V443" t="str">
        <f>IF(Table1[[#This Row],[ai_disruption_intensity]]&gt;70,"High",
IF(Table1[[#This Row],[ai_disruption_intensity]]&gt;40,"Medium","Low"))</f>
        <v>Low</v>
      </c>
      <c r="W443" t="str">
        <f>IF(Table1[[#This Row],[skill_gap_index]]&gt;70,"Large Gap",
IF(Table1[[#This Row],[skill_gap_index]]&gt;40,"Medium Gap","Small Gap"))</f>
        <v>Small Gap</v>
      </c>
      <c r="X443" s="3" t="str">
        <f>IF(Table1[[#This Row],[automation_risk_percent]]&gt;0.7,"Highly Automatable",
IF(Table1[[#This Row],[automation_risk_percent]]&gt;0.4,"Moderate Risk","Safe Job"))</f>
        <v>Moderate Risk</v>
      </c>
    </row>
    <row r="444" spans="1:24" x14ac:dyDescent="0.3">
      <c r="A444">
        <v>1577</v>
      </c>
      <c r="B444" t="s">
        <v>43</v>
      </c>
      <c r="C444" t="s">
        <v>30</v>
      </c>
      <c r="D444" t="s">
        <v>32</v>
      </c>
      <c r="E444" s="1">
        <v>2025</v>
      </c>
      <c r="F444" s="11">
        <v>0.53170000000000006</v>
      </c>
      <c r="G444">
        <v>44.53</v>
      </c>
      <c r="H444">
        <v>78.09</v>
      </c>
      <c r="I444" s="2">
        <v>148980.92000000001</v>
      </c>
      <c r="J444" s="2">
        <v>178234.11</v>
      </c>
      <c r="K444" s="2">
        <f>Table1[[#This Row],[Salary_after]]-Table1[[#This Row],[Salary_before]]</f>
        <v>29253.189999999973</v>
      </c>
      <c r="L444" s="11">
        <v>0.19640000000000002</v>
      </c>
      <c r="M444" s="11">
        <v>8.3499999999999991E-2</v>
      </c>
      <c r="N444">
        <v>31.36</v>
      </c>
      <c r="O444">
        <v>43.76</v>
      </c>
      <c r="P444">
        <v>3</v>
      </c>
      <c r="Q444" t="s">
        <v>25</v>
      </c>
      <c r="R444">
        <v>65.63</v>
      </c>
      <c r="S444">
        <v>19.64</v>
      </c>
      <c r="T444" s="4">
        <v>50.587000000000003</v>
      </c>
      <c r="U444" s="4">
        <v>23.267192000000001</v>
      </c>
      <c r="V444" t="str">
        <f>IF(Table1[[#This Row],[ai_disruption_intensity]]&gt;70,"High",
IF(Table1[[#This Row],[ai_disruption_intensity]]&gt;40,"Medium","Low"))</f>
        <v>Low</v>
      </c>
      <c r="W444" t="str">
        <f>IF(Table1[[#This Row],[skill_gap_index]]&gt;70,"Large Gap",
IF(Table1[[#This Row],[skill_gap_index]]&gt;40,"Medium Gap","Small Gap"))</f>
        <v>Large Gap</v>
      </c>
      <c r="X444" s="3" t="str">
        <f>IF(Table1[[#This Row],[automation_risk_percent]]&gt;0.7,"Highly Automatable",
IF(Table1[[#This Row],[automation_risk_percent]]&gt;0.4,"Moderate Risk","Safe Job"))</f>
        <v>Moderate Risk</v>
      </c>
    </row>
    <row r="445" spans="1:24" x14ac:dyDescent="0.3">
      <c r="A445">
        <v>1579</v>
      </c>
      <c r="B445" t="s">
        <v>45</v>
      </c>
      <c r="C445" t="s">
        <v>23</v>
      </c>
      <c r="D445" t="s">
        <v>42</v>
      </c>
      <c r="E445" s="1">
        <v>2025</v>
      </c>
      <c r="F445" s="11">
        <v>0.35960000000000003</v>
      </c>
      <c r="G445">
        <v>38.96</v>
      </c>
      <c r="H445">
        <v>22.6</v>
      </c>
      <c r="I445" s="2">
        <v>108769.58</v>
      </c>
      <c r="J445" s="2">
        <v>124044.26</v>
      </c>
      <c r="K445" s="2">
        <f>Table1[[#This Row],[Salary_after]]-Table1[[#This Row],[Salary_before]]</f>
        <v>15274.679999999993</v>
      </c>
      <c r="L445" s="11">
        <v>0.1404</v>
      </c>
      <c r="M445" s="11">
        <v>7.4499999999999997E-2</v>
      </c>
      <c r="N445">
        <v>39.94</v>
      </c>
      <c r="O445">
        <v>59.27</v>
      </c>
      <c r="P445">
        <v>1</v>
      </c>
      <c r="Q445" t="s">
        <v>25</v>
      </c>
      <c r="R445">
        <v>29.28</v>
      </c>
      <c r="S445">
        <v>14.04</v>
      </c>
      <c r="T445" s="4">
        <v>25.376000000000001</v>
      </c>
      <c r="U445" s="4">
        <v>21.313492</v>
      </c>
      <c r="V445" t="str">
        <f>IF(Table1[[#This Row],[ai_disruption_intensity]]&gt;70,"High",
IF(Table1[[#This Row],[ai_disruption_intensity]]&gt;40,"Medium","Low"))</f>
        <v>Low</v>
      </c>
      <c r="W445" t="str">
        <f>IF(Table1[[#This Row],[skill_gap_index]]&gt;70,"Large Gap",
IF(Table1[[#This Row],[skill_gap_index]]&gt;40,"Medium Gap","Small Gap"))</f>
        <v>Small Gap</v>
      </c>
      <c r="X445" s="3" t="str">
        <f>IF(Table1[[#This Row],[automation_risk_percent]]&gt;0.7,"Highly Automatable",
IF(Table1[[#This Row],[automation_risk_percent]]&gt;0.4,"Moderate Risk","Safe Job"))</f>
        <v>Safe Job</v>
      </c>
    </row>
    <row r="446" spans="1:24" x14ac:dyDescent="0.3">
      <c r="A446">
        <v>1580</v>
      </c>
      <c r="B446" t="s">
        <v>46</v>
      </c>
      <c r="C446" t="s">
        <v>27</v>
      </c>
      <c r="D446" t="s">
        <v>42</v>
      </c>
      <c r="E446" s="1">
        <v>2026</v>
      </c>
      <c r="F446" s="11">
        <v>0.34649999999999997</v>
      </c>
      <c r="G446">
        <v>40.82</v>
      </c>
      <c r="H446">
        <v>74.760000000000005</v>
      </c>
      <c r="I446" s="2">
        <v>117665.12</v>
      </c>
      <c r="J446" s="2">
        <v>118439.17</v>
      </c>
      <c r="K446" s="2">
        <f>Table1[[#This Row],[Salary_after]]-Table1[[#This Row],[Salary_before]]</f>
        <v>774.05000000000291</v>
      </c>
      <c r="L446" s="11">
        <v>6.6E-3</v>
      </c>
      <c r="M446" s="11">
        <v>-1.01E-2</v>
      </c>
      <c r="N446">
        <v>52.03</v>
      </c>
      <c r="O446">
        <v>92.78</v>
      </c>
      <c r="P446">
        <v>2</v>
      </c>
      <c r="Q446" t="s">
        <v>25</v>
      </c>
      <c r="R446">
        <v>54.704999999999998</v>
      </c>
      <c r="S446">
        <v>0.66</v>
      </c>
      <c r="T446" s="4">
        <v>36.485999999999997</v>
      </c>
      <c r="U446" s="4">
        <v>32.148269999999997</v>
      </c>
      <c r="V446" t="str">
        <f>IF(Table1[[#This Row],[ai_disruption_intensity]]&gt;70,"High",
IF(Table1[[#This Row],[ai_disruption_intensity]]&gt;40,"Medium","Low"))</f>
        <v>Low</v>
      </c>
      <c r="W446" t="str">
        <f>IF(Table1[[#This Row],[skill_gap_index]]&gt;70,"Large Gap",
IF(Table1[[#This Row],[skill_gap_index]]&gt;40,"Medium Gap","Small Gap"))</f>
        <v>Large Gap</v>
      </c>
      <c r="X446" s="3" t="str">
        <f>IF(Table1[[#This Row],[automation_risk_percent]]&gt;0.7,"Highly Automatable",
IF(Table1[[#This Row],[automation_risk_percent]]&gt;0.4,"Moderate Risk","Safe Job"))</f>
        <v>Safe Job</v>
      </c>
    </row>
    <row r="447" spans="1:24" x14ac:dyDescent="0.3">
      <c r="A447">
        <v>1581</v>
      </c>
      <c r="B447" t="s">
        <v>46</v>
      </c>
      <c r="C447" t="s">
        <v>38</v>
      </c>
      <c r="D447" t="s">
        <v>24</v>
      </c>
      <c r="E447" s="1">
        <v>2025</v>
      </c>
      <c r="F447" s="11">
        <v>0.18010000000000001</v>
      </c>
      <c r="G447">
        <v>16.36</v>
      </c>
      <c r="H447">
        <v>41.13</v>
      </c>
      <c r="I447" s="2">
        <v>59204.37</v>
      </c>
      <c r="J447" s="2">
        <v>65732.78</v>
      </c>
      <c r="K447" s="2">
        <f>Table1[[#This Row],[Salary_after]]-Table1[[#This Row],[Salary_before]]</f>
        <v>6528.4099999999962</v>
      </c>
      <c r="L447" s="11">
        <v>0.1103</v>
      </c>
      <c r="M447" s="11">
        <v>6.7799999999999999E-2</v>
      </c>
      <c r="N447">
        <v>84.8</v>
      </c>
      <c r="O447">
        <v>28.2</v>
      </c>
      <c r="P447">
        <v>3</v>
      </c>
      <c r="Q447" t="s">
        <v>21</v>
      </c>
      <c r="R447">
        <v>29.57</v>
      </c>
      <c r="S447">
        <v>11.03</v>
      </c>
      <c r="T447" s="4">
        <v>22.852</v>
      </c>
      <c r="U447" s="4">
        <v>5.0788200000000003</v>
      </c>
      <c r="V447" t="str">
        <f>IF(Table1[[#This Row],[ai_disruption_intensity]]&gt;70,"High",
IF(Table1[[#This Row],[ai_disruption_intensity]]&gt;40,"Medium","Low"))</f>
        <v>Low</v>
      </c>
      <c r="W447" t="str">
        <f>IF(Table1[[#This Row],[skill_gap_index]]&gt;70,"Large Gap",
IF(Table1[[#This Row],[skill_gap_index]]&gt;40,"Medium Gap","Small Gap"))</f>
        <v>Medium Gap</v>
      </c>
      <c r="X447" s="3" t="str">
        <f>IF(Table1[[#This Row],[automation_risk_percent]]&gt;0.7,"Highly Automatable",
IF(Table1[[#This Row],[automation_risk_percent]]&gt;0.4,"Moderate Risk","Safe Job"))</f>
        <v>Safe Job</v>
      </c>
    </row>
    <row r="448" spans="1:24" x14ac:dyDescent="0.3">
      <c r="A448">
        <v>1583</v>
      </c>
      <c r="B448" t="s">
        <v>45</v>
      </c>
      <c r="C448" t="s">
        <v>27</v>
      </c>
      <c r="D448" t="s">
        <v>36</v>
      </c>
      <c r="E448" s="1">
        <v>2026</v>
      </c>
      <c r="F448" s="11">
        <v>0.3624</v>
      </c>
      <c r="G448">
        <v>40.590000000000003</v>
      </c>
      <c r="H448">
        <v>83.43</v>
      </c>
      <c r="I448" s="2">
        <v>66501.899999999994</v>
      </c>
      <c r="J448" s="2">
        <v>73607.95</v>
      </c>
      <c r="K448" s="2">
        <f>Table1[[#This Row],[Salary_after]]-Table1[[#This Row],[Salary_before]]</f>
        <v>7106.0500000000029</v>
      </c>
      <c r="L448" s="11">
        <v>0.1069</v>
      </c>
      <c r="M448" s="11">
        <v>4.1100000000000005E-2</v>
      </c>
      <c r="N448">
        <v>14.74</v>
      </c>
      <c r="O448">
        <v>88.91</v>
      </c>
      <c r="P448">
        <v>3</v>
      </c>
      <c r="Q448" t="s">
        <v>25</v>
      </c>
      <c r="R448">
        <v>59.835000000000001</v>
      </c>
      <c r="S448">
        <v>10.69</v>
      </c>
      <c r="T448" s="4">
        <v>42.731999999999999</v>
      </c>
      <c r="U448" s="4">
        <v>32.220984000000001</v>
      </c>
      <c r="V448" t="str">
        <f>IF(Table1[[#This Row],[ai_disruption_intensity]]&gt;70,"High",
IF(Table1[[#This Row],[ai_disruption_intensity]]&gt;40,"Medium","Low"))</f>
        <v>Low</v>
      </c>
      <c r="W448" t="str">
        <f>IF(Table1[[#This Row],[skill_gap_index]]&gt;70,"Large Gap",
IF(Table1[[#This Row],[skill_gap_index]]&gt;40,"Medium Gap","Small Gap"))</f>
        <v>Large Gap</v>
      </c>
      <c r="X448" s="3" t="str">
        <f>IF(Table1[[#This Row],[automation_risk_percent]]&gt;0.7,"Highly Automatable",
IF(Table1[[#This Row],[automation_risk_percent]]&gt;0.4,"Moderate Risk","Safe Job"))</f>
        <v>Safe Job</v>
      </c>
    </row>
    <row r="449" spans="1:24" x14ac:dyDescent="0.3">
      <c r="A449">
        <v>1591</v>
      </c>
      <c r="B449" t="s">
        <v>44</v>
      </c>
      <c r="C449" t="s">
        <v>30</v>
      </c>
      <c r="D449" t="s">
        <v>20</v>
      </c>
      <c r="E449" s="1">
        <v>2025</v>
      </c>
      <c r="F449" s="11">
        <v>0.11289999999999999</v>
      </c>
      <c r="G449">
        <v>9.6999999999999993</v>
      </c>
      <c r="H449">
        <v>37.82</v>
      </c>
      <c r="I449" s="2">
        <v>112047.67999999999</v>
      </c>
      <c r="J449" s="2">
        <v>107426.61</v>
      </c>
      <c r="K449" s="2">
        <f>Table1[[#This Row],[Salary_after]]-Table1[[#This Row],[Salary_before]]</f>
        <v>-4621.0699999999924</v>
      </c>
      <c r="L449" s="11">
        <v>-4.1200000000000001E-2</v>
      </c>
      <c r="M449" s="11">
        <v>-9.5500000000000002E-2</v>
      </c>
      <c r="N449">
        <v>60.16</v>
      </c>
      <c r="O449">
        <v>88.86</v>
      </c>
      <c r="P449">
        <v>5</v>
      </c>
      <c r="Q449" t="s">
        <v>21</v>
      </c>
      <c r="R449">
        <v>24.555</v>
      </c>
      <c r="S449">
        <v>4.12</v>
      </c>
      <c r="T449" s="4">
        <v>17.097999999999999</v>
      </c>
      <c r="U449" s="4">
        <v>10.032294</v>
      </c>
      <c r="V449" t="str">
        <f>IF(Table1[[#This Row],[ai_disruption_intensity]]&gt;70,"High",
IF(Table1[[#This Row],[ai_disruption_intensity]]&gt;40,"Medium","Low"))</f>
        <v>Low</v>
      </c>
      <c r="W449" t="str">
        <f>IF(Table1[[#This Row],[skill_gap_index]]&gt;70,"Large Gap",
IF(Table1[[#This Row],[skill_gap_index]]&gt;40,"Medium Gap","Small Gap"))</f>
        <v>Small Gap</v>
      </c>
      <c r="X449" s="3" t="str">
        <f>IF(Table1[[#This Row],[automation_risk_percent]]&gt;0.7,"Highly Automatable",
IF(Table1[[#This Row],[automation_risk_percent]]&gt;0.4,"Moderate Risk","Safe Job"))</f>
        <v>Safe Job</v>
      </c>
    </row>
    <row r="450" spans="1:24" x14ac:dyDescent="0.3">
      <c r="A450">
        <v>1594</v>
      </c>
      <c r="B450" t="s">
        <v>43</v>
      </c>
      <c r="C450" t="s">
        <v>27</v>
      </c>
      <c r="D450" t="s">
        <v>36</v>
      </c>
      <c r="E450" s="1">
        <v>2026</v>
      </c>
      <c r="F450" s="11">
        <v>0.72499999999999998</v>
      </c>
      <c r="G450">
        <v>86.95</v>
      </c>
      <c r="H450">
        <v>18.149999999999999</v>
      </c>
      <c r="I450" s="2">
        <v>44445.96</v>
      </c>
      <c r="J450" s="2">
        <v>46259.78</v>
      </c>
      <c r="K450" s="2">
        <f>Table1[[#This Row],[Salary_after]]-Table1[[#This Row],[Salary_before]]</f>
        <v>1813.8199999999997</v>
      </c>
      <c r="L450" s="11">
        <v>4.0800000000000003E-2</v>
      </c>
      <c r="M450" s="11">
        <v>-4.0300000000000002E-2</v>
      </c>
      <c r="N450">
        <v>69.53</v>
      </c>
      <c r="O450">
        <v>84.79</v>
      </c>
      <c r="P450">
        <v>2</v>
      </c>
      <c r="Q450" t="s">
        <v>37</v>
      </c>
      <c r="R450">
        <v>45.325000000000003</v>
      </c>
      <c r="S450">
        <v>4.08</v>
      </c>
      <c r="T450" s="4">
        <v>35.668999999999997</v>
      </c>
      <c r="U450" s="4">
        <v>61.472749999999998</v>
      </c>
      <c r="V450" t="str">
        <f>IF(Table1[[#This Row],[ai_disruption_intensity]]&gt;70,"High",
IF(Table1[[#This Row],[ai_disruption_intensity]]&gt;40,"Medium","Low"))</f>
        <v>Medium</v>
      </c>
      <c r="W450" t="str">
        <f>IF(Table1[[#This Row],[skill_gap_index]]&gt;70,"Large Gap",
IF(Table1[[#This Row],[skill_gap_index]]&gt;40,"Medium Gap","Small Gap"))</f>
        <v>Small Gap</v>
      </c>
      <c r="X450" s="3" t="str">
        <f>IF(Table1[[#This Row],[automation_risk_percent]]&gt;0.7,"Highly Automatable",
IF(Table1[[#This Row],[automation_risk_percent]]&gt;0.4,"Moderate Risk","Safe Job"))</f>
        <v>Highly Automatable</v>
      </c>
    </row>
    <row r="451" spans="1:24" x14ac:dyDescent="0.3">
      <c r="A451">
        <v>1595</v>
      </c>
      <c r="B451" t="s">
        <v>18</v>
      </c>
      <c r="C451" t="s">
        <v>34</v>
      </c>
      <c r="D451" t="s">
        <v>35</v>
      </c>
      <c r="E451" s="1">
        <v>2025</v>
      </c>
      <c r="F451" s="11">
        <v>0.62630000000000008</v>
      </c>
      <c r="G451">
        <v>61.37</v>
      </c>
      <c r="H451">
        <v>61.29</v>
      </c>
      <c r="I451" s="2">
        <v>112594.16</v>
      </c>
      <c r="J451" s="2">
        <v>78606.97</v>
      </c>
      <c r="K451" s="2">
        <f>Table1[[#This Row],[Salary_after]]-Table1[[#This Row],[Salary_before]]</f>
        <v>-33987.19</v>
      </c>
      <c r="L451" s="11">
        <v>-0.3019</v>
      </c>
      <c r="M451" s="11">
        <v>0.2079</v>
      </c>
      <c r="N451">
        <v>68.06</v>
      </c>
      <c r="O451">
        <v>55.75</v>
      </c>
      <c r="P451">
        <v>2</v>
      </c>
      <c r="Q451" t="s">
        <v>37</v>
      </c>
      <c r="R451">
        <v>61.96</v>
      </c>
      <c r="S451">
        <v>30.19</v>
      </c>
      <c r="T451" s="4">
        <v>52.496000000000002</v>
      </c>
      <c r="U451" s="4">
        <v>34.916224999999997</v>
      </c>
      <c r="V451" t="str">
        <f>IF(Table1[[#This Row],[ai_disruption_intensity]]&gt;70,"High",
IF(Table1[[#This Row],[ai_disruption_intensity]]&gt;40,"Medium","Low"))</f>
        <v>Low</v>
      </c>
      <c r="W451" t="str">
        <f>IF(Table1[[#This Row],[skill_gap_index]]&gt;70,"Large Gap",
IF(Table1[[#This Row],[skill_gap_index]]&gt;40,"Medium Gap","Small Gap"))</f>
        <v>Medium Gap</v>
      </c>
      <c r="X451" s="3" t="str">
        <f>IF(Table1[[#This Row],[automation_risk_percent]]&gt;0.7,"Highly Automatable",
IF(Table1[[#This Row],[automation_risk_percent]]&gt;0.4,"Moderate Risk","Safe Job"))</f>
        <v>Moderate Risk</v>
      </c>
    </row>
    <row r="452" spans="1:24" x14ac:dyDescent="0.3">
      <c r="A452">
        <v>1596</v>
      </c>
      <c r="B452" t="s">
        <v>43</v>
      </c>
      <c r="C452" t="s">
        <v>27</v>
      </c>
      <c r="D452" t="s">
        <v>36</v>
      </c>
      <c r="E452" s="1">
        <v>2026</v>
      </c>
      <c r="F452" s="11">
        <v>0.55079999999999996</v>
      </c>
      <c r="G452">
        <v>57.56</v>
      </c>
      <c r="H452">
        <v>71.92</v>
      </c>
      <c r="I452" s="2">
        <v>107136.42</v>
      </c>
      <c r="J452" s="2">
        <v>128500.75</v>
      </c>
      <c r="K452" s="2">
        <f>Table1[[#This Row],[Salary_after]]-Table1[[#This Row],[Salary_before]]</f>
        <v>21364.33</v>
      </c>
      <c r="L452" s="11">
        <v>0.19940000000000002</v>
      </c>
      <c r="M452" s="11">
        <v>7.17E-2</v>
      </c>
      <c r="N452">
        <v>50.45</v>
      </c>
      <c r="O452">
        <v>24.17</v>
      </c>
      <c r="P452">
        <v>2</v>
      </c>
      <c r="Q452" t="s">
        <v>25</v>
      </c>
      <c r="R452">
        <v>63.5</v>
      </c>
      <c r="S452">
        <v>19.940000000000001</v>
      </c>
      <c r="T452" s="4">
        <v>49.59</v>
      </c>
      <c r="U452" s="4">
        <v>13.3128359999999</v>
      </c>
      <c r="V452" t="str">
        <f>IF(Table1[[#This Row],[ai_disruption_intensity]]&gt;70,"High",
IF(Table1[[#This Row],[ai_disruption_intensity]]&gt;40,"Medium","Low"))</f>
        <v>Low</v>
      </c>
      <c r="W452" t="str">
        <f>IF(Table1[[#This Row],[skill_gap_index]]&gt;70,"Large Gap",
IF(Table1[[#This Row],[skill_gap_index]]&gt;40,"Medium Gap","Small Gap"))</f>
        <v>Large Gap</v>
      </c>
      <c r="X452" s="3" t="str">
        <f>IF(Table1[[#This Row],[automation_risk_percent]]&gt;0.7,"Highly Automatable",
IF(Table1[[#This Row],[automation_risk_percent]]&gt;0.4,"Moderate Risk","Safe Job"))</f>
        <v>Moderate Risk</v>
      </c>
    </row>
    <row r="453" spans="1:24" x14ac:dyDescent="0.3">
      <c r="A453">
        <v>1600</v>
      </c>
      <c r="B453" t="s">
        <v>43</v>
      </c>
      <c r="C453" t="s">
        <v>34</v>
      </c>
      <c r="D453" t="s">
        <v>36</v>
      </c>
      <c r="E453" s="1">
        <v>2025</v>
      </c>
      <c r="F453" s="11">
        <v>0.36130000000000001</v>
      </c>
      <c r="G453">
        <v>41.75</v>
      </c>
      <c r="H453">
        <v>45.31</v>
      </c>
      <c r="I453" s="2">
        <v>67828.639999999999</v>
      </c>
      <c r="J453" s="2">
        <v>68125.119999999995</v>
      </c>
      <c r="K453" s="2">
        <f>Table1[[#This Row],[Salary_after]]-Table1[[#This Row],[Salary_before]]</f>
        <v>296.47999999999593</v>
      </c>
      <c r="L453" s="11">
        <v>4.4000000000000003E-3</v>
      </c>
      <c r="M453" s="11">
        <v>0.17230000000000001</v>
      </c>
      <c r="N453">
        <v>81.05</v>
      </c>
      <c r="O453">
        <v>17.940000000000001</v>
      </c>
      <c r="P453">
        <v>4</v>
      </c>
      <c r="Q453" t="s">
        <v>25</v>
      </c>
      <c r="R453">
        <v>40.72</v>
      </c>
      <c r="S453">
        <v>0.44</v>
      </c>
      <c r="T453" s="4">
        <v>28.177</v>
      </c>
      <c r="U453" s="4">
        <v>6.4817220000000004</v>
      </c>
      <c r="V453" t="str">
        <f>IF(Table1[[#This Row],[ai_disruption_intensity]]&gt;70,"High",
IF(Table1[[#This Row],[ai_disruption_intensity]]&gt;40,"Medium","Low"))</f>
        <v>Low</v>
      </c>
      <c r="W453" t="str">
        <f>IF(Table1[[#This Row],[skill_gap_index]]&gt;70,"Large Gap",
IF(Table1[[#This Row],[skill_gap_index]]&gt;40,"Medium Gap","Small Gap"))</f>
        <v>Medium Gap</v>
      </c>
      <c r="X453" s="3" t="str">
        <f>IF(Table1[[#This Row],[automation_risk_percent]]&gt;0.7,"Highly Automatable",
IF(Table1[[#This Row],[automation_risk_percent]]&gt;0.4,"Moderate Risk","Safe Job"))</f>
        <v>Safe Job</v>
      </c>
    </row>
    <row r="454" spans="1:24" x14ac:dyDescent="0.3">
      <c r="A454">
        <v>1611</v>
      </c>
      <c r="B454" t="s">
        <v>44</v>
      </c>
      <c r="C454" t="s">
        <v>23</v>
      </c>
      <c r="D454" t="s">
        <v>42</v>
      </c>
      <c r="E454" s="1">
        <v>2026</v>
      </c>
      <c r="F454" s="11">
        <v>0.63109999999999999</v>
      </c>
      <c r="G454">
        <v>55.31</v>
      </c>
      <c r="H454">
        <v>56.82</v>
      </c>
      <c r="I454" s="2">
        <v>127705.31</v>
      </c>
      <c r="J454" s="2">
        <v>136500.54</v>
      </c>
      <c r="K454" s="2">
        <f>Table1[[#This Row],[Salary_after]]-Table1[[#This Row],[Salary_before]]</f>
        <v>8795.2300000000105</v>
      </c>
      <c r="L454" s="11">
        <v>6.8900000000000003E-2</v>
      </c>
      <c r="M454" s="11">
        <v>0.111</v>
      </c>
      <c r="N454">
        <v>89.14</v>
      </c>
      <c r="O454">
        <v>93.77</v>
      </c>
      <c r="P454">
        <v>2</v>
      </c>
      <c r="Q454" t="s">
        <v>37</v>
      </c>
      <c r="R454">
        <v>59.965000000000003</v>
      </c>
      <c r="S454">
        <v>6.89</v>
      </c>
      <c r="T454" s="4">
        <v>44.356999999999999</v>
      </c>
      <c r="U454" s="4">
        <v>59.178246999999999</v>
      </c>
      <c r="V454" t="str">
        <f>IF(Table1[[#This Row],[ai_disruption_intensity]]&gt;70,"High",
IF(Table1[[#This Row],[ai_disruption_intensity]]&gt;40,"Medium","Low"))</f>
        <v>Medium</v>
      </c>
      <c r="W454" t="str">
        <f>IF(Table1[[#This Row],[skill_gap_index]]&gt;70,"Large Gap",
IF(Table1[[#This Row],[skill_gap_index]]&gt;40,"Medium Gap","Small Gap"))</f>
        <v>Medium Gap</v>
      </c>
      <c r="X454" s="3" t="str">
        <f>IF(Table1[[#This Row],[automation_risk_percent]]&gt;0.7,"Highly Automatable",
IF(Table1[[#This Row],[automation_risk_percent]]&gt;0.4,"Moderate Risk","Safe Job"))</f>
        <v>Moderate Risk</v>
      </c>
    </row>
    <row r="455" spans="1:24" x14ac:dyDescent="0.3">
      <c r="A455">
        <v>1618</v>
      </c>
      <c r="B455" t="s">
        <v>44</v>
      </c>
      <c r="C455" t="s">
        <v>27</v>
      </c>
      <c r="D455" t="s">
        <v>28</v>
      </c>
      <c r="E455" s="1">
        <v>2026</v>
      </c>
      <c r="F455" s="11">
        <v>0.58130000000000004</v>
      </c>
      <c r="G455">
        <v>69.59</v>
      </c>
      <c r="H455">
        <v>39.56</v>
      </c>
      <c r="I455" s="2">
        <v>104947.04</v>
      </c>
      <c r="J455" s="2">
        <v>122707.36</v>
      </c>
      <c r="K455" s="2">
        <f>Table1[[#This Row],[Salary_after]]-Table1[[#This Row],[Salary_before]]</f>
        <v>17760.320000000007</v>
      </c>
      <c r="L455" s="11">
        <v>0.16920000000000002</v>
      </c>
      <c r="M455" s="11">
        <v>2.4E-2</v>
      </c>
      <c r="N455">
        <v>21.53</v>
      </c>
      <c r="O455">
        <v>51.21</v>
      </c>
      <c r="P455">
        <v>3</v>
      </c>
      <c r="Q455" t="s">
        <v>25</v>
      </c>
      <c r="R455">
        <v>48.844999999999999</v>
      </c>
      <c r="S455">
        <v>16.920000000000002</v>
      </c>
      <c r="T455" s="4">
        <v>40.195999999999998</v>
      </c>
      <c r="U455" s="4">
        <v>29.768373</v>
      </c>
      <c r="V455" t="str">
        <f>IF(Table1[[#This Row],[ai_disruption_intensity]]&gt;70,"High",
IF(Table1[[#This Row],[ai_disruption_intensity]]&gt;40,"Medium","Low"))</f>
        <v>Low</v>
      </c>
      <c r="W455" t="str">
        <f>IF(Table1[[#This Row],[skill_gap_index]]&gt;70,"Large Gap",
IF(Table1[[#This Row],[skill_gap_index]]&gt;40,"Medium Gap","Small Gap"))</f>
        <v>Small Gap</v>
      </c>
      <c r="X455" s="3" t="str">
        <f>IF(Table1[[#This Row],[automation_risk_percent]]&gt;0.7,"Highly Automatable",
IF(Table1[[#This Row],[automation_risk_percent]]&gt;0.4,"Moderate Risk","Safe Job"))</f>
        <v>Moderate Risk</v>
      </c>
    </row>
    <row r="456" spans="1:24" x14ac:dyDescent="0.3">
      <c r="A456">
        <v>1622</v>
      </c>
      <c r="B456" t="s">
        <v>43</v>
      </c>
      <c r="C456" t="s">
        <v>23</v>
      </c>
      <c r="D456" t="s">
        <v>31</v>
      </c>
      <c r="E456" s="1">
        <v>2026</v>
      </c>
      <c r="F456" s="11">
        <v>0.65910000000000002</v>
      </c>
      <c r="G456">
        <v>59.51</v>
      </c>
      <c r="H456">
        <v>61.8</v>
      </c>
      <c r="I456" s="2">
        <v>85207.95</v>
      </c>
      <c r="J456" s="2">
        <v>79303.399999999994</v>
      </c>
      <c r="K456" s="2">
        <f>Table1[[#This Row],[Salary_after]]-Table1[[#This Row],[Salary_before]]</f>
        <v>-5904.5500000000029</v>
      </c>
      <c r="L456" s="11">
        <v>-6.93E-2</v>
      </c>
      <c r="M456" s="11">
        <v>0.15259999999999999</v>
      </c>
      <c r="N456">
        <v>67.89</v>
      </c>
      <c r="O456">
        <v>88.22</v>
      </c>
      <c r="P456">
        <v>3</v>
      </c>
      <c r="Q456" t="s">
        <v>37</v>
      </c>
      <c r="R456">
        <v>63.854999999999997</v>
      </c>
      <c r="S456">
        <v>6.93</v>
      </c>
      <c r="T456" s="4">
        <v>46.982999999999997</v>
      </c>
      <c r="U456" s="4">
        <v>58.145801999999897</v>
      </c>
      <c r="V456" t="str">
        <f>IF(Table1[[#This Row],[ai_disruption_intensity]]&gt;70,"High",
IF(Table1[[#This Row],[ai_disruption_intensity]]&gt;40,"Medium","Low"))</f>
        <v>Medium</v>
      </c>
      <c r="W456" t="str">
        <f>IF(Table1[[#This Row],[skill_gap_index]]&gt;70,"Large Gap",
IF(Table1[[#This Row],[skill_gap_index]]&gt;40,"Medium Gap","Small Gap"))</f>
        <v>Medium Gap</v>
      </c>
      <c r="X456" s="3" t="str">
        <f>IF(Table1[[#This Row],[automation_risk_percent]]&gt;0.7,"Highly Automatable",
IF(Table1[[#This Row],[automation_risk_percent]]&gt;0.4,"Moderate Risk","Safe Job"))</f>
        <v>Moderate Risk</v>
      </c>
    </row>
    <row r="457" spans="1:24" x14ac:dyDescent="0.3">
      <c r="A457">
        <v>1625</v>
      </c>
      <c r="B457" t="s">
        <v>18</v>
      </c>
      <c r="C457" t="s">
        <v>40</v>
      </c>
      <c r="D457" t="s">
        <v>47</v>
      </c>
      <c r="E457" s="1">
        <v>2025</v>
      </c>
      <c r="F457" s="11">
        <v>0.30449999999999999</v>
      </c>
      <c r="G457">
        <v>35.700000000000003</v>
      </c>
      <c r="H457">
        <v>55.29</v>
      </c>
      <c r="I457" s="2">
        <v>113584.68</v>
      </c>
      <c r="J457" s="2">
        <v>102585.87</v>
      </c>
      <c r="K457" s="2">
        <f>Table1[[#This Row],[Salary_after]]-Table1[[#This Row],[Salary_before]]</f>
        <v>-10998.809999999998</v>
      </c>
      <c r="L457" s="11">
        <v>-9.6799999999999997E-2</v>
      </c>
      <c r="M457" s="11">
        <v>7.4800000000000005E-2</v>
      </c>
      <c r="N457">
        <v>96.68</v>
      </c>
      <c r="O457">
        <v>12.29</v>
      </c>
      <c r="P457">
        <v>5</v>
      </c>
      <c r="Q457" t="s">
        <v>25</v>
      </c>
      <c r="R457">
        <v>42.87</v>
      </c>
      <c r="S457">
        <v>9.68</v>
      </c>
      <c r="T457" s="4">
        <v>31.670999999999999</v>
      </c>
      <c r="U457" s="4">
        <v>3.7423049999999898</v>
      </c>
      <c r="V457" t="str">
        <f>IF(Table1[[#This Row],[ai_disruption_intensity]]&gt;70,"High",
IF(Table1[[#This Row],[ai_disruption_intensity]]&gt;40,"Medium","Low"))</f>
        <v>Low</v>
      </c>
      <c r="W457" t="str">
        <f>IF(Table1[[#This Row],[skill_gap_index]]&gt;70,"Large Gap",
IF(Table1[[#This Row],[skill_gap_index]]&gt;40,"Medium Gap","Small Gap"))</f>
        <v>Medium Gap</v>
      </c>
      <c r="X457" s="3" t="str">
        <f>IF(Table1[[#This Row],[automation_risk_percent]]&gt;0.7,"Highly Automatable",
IF(Table1[[#This Row],[automation_risk_percent]]&gt;0.4,"Moderate Risk","Safe Job"))</f>
        <v>Safe Job</v>
      </c>
    </row>
    <row r="458" spans="1:24" x14ac:dyDescent="0.3">
      <c r="A458">
        <v>1626</v>
      </c>
      <c r="B458" t="s">
        <v>44</v>
      </c>
      <c r="C458" t="s">
        <v>34</v>
      </c>
      <c r="D458" t="s">
        <v>20</v>
      </c>
      <c r="E458" s="1">
        <v>2026</v>
      </c>
      <c r="F458" s="11">
        <v>0.27839999999999998</v>
      </c>
      <c r="G458">
        <v>31.33</v>
      </c>
      <c r="H458">
        <v>61.86</v>
      </c>
      <c r="I458" s="2">
        <v>130577.9</v>
      </c>
      <c r="J458" s="2">
        <v>99990.31</v>
      </c>
      <c r="K458" s="2">
        <f>Table1[[#This Row],[Salary_after]]-Table1[[#This Row],[Salary_before]]</f>
        <v>-30587.589999999997</v>
      </c>
      <c r="L458" s="11">
        <v>-0.23420000000000002</v>
      </c>
      <c r="M458" s="11">
        <v>0.08</v>
      </c>
      <c r="N458">
        <v>92.97</v>
      </c>
      <c r="O458">
        <v>3.63</v>
      </c>
      <c r="P458">
        <v>3</v>
      </c>
      <c r="Q458" t="s">
        <v>21</v>
      </c>
      <c r="R458">
        <v>44.85</v>
      </c>
      <c r="S458">
        <v>23.42</v>
      </c>
      <c r="T458" s="4">
        <v>36.72</v>
      </c>
      <c r="U458" s="4">
        <v>1.0105919999999999</v>
      </c>
      <c r="V458" t="str">
        <f>IF(Table1[[#This Row],[ai_disruption_intensity]]&gt;70,"High",
IF(Table1[[#This Row],[ai_disruption_intensity]]&gt;40,"Medium","Low"))</f>
        <v>Low</v>
      </c>
      <c r="W458" t="str">
        <f>IF(Table1[[#This Row],[skill_gap_index]]&gt;70,"Large Gap",
IF(Table1[[#This Row],[skill_gap_index]]&gt;40,"Medium Gap","Small Gap"))</f>
        <v>Medium Gap</v>
      </c>
      <c r="X458" s="3" t="str">
        <f>IF(Table1[[#This Row],[automation_risk_percent]]&gt;0.7,"Highly Automatable",
IF(Table1[[#This Row],[automation_risk_percent]]&gt;0.4,"Moderate Risk","Safe Job"))</f>
        <v>Safe Job</v>
      </c>
    </row>
    <row r="459" spans="1:24" x14ac:dyDescent="0.3">
      <c r="A459">
        <v>1631</v>
      </c>
      <c r="B459" t="s">
        <v>26</v>
      </c>
      <c r="C459" t="s">
        <v>19</v>
      </c>
      <c r="D459" t="s">
        <v>42</v>
      </c>
      <c r="E459" s="1">
        <v>2026</v>
      </c>
      <c r="F459" s="11">
        <v>6.54E-2</v>
      </c>
      <c r="G459">
        <v>5.79</v>
      </c>
      <c r="H459">
        <v>23.87</v>
      </c>
      <c r="I459" s="2">
        <v>140115.98000000001</v>
      </c>
      <c r="J459" s="2">
        <v>138243.64000000001</v>
      </c>
      <c r="K459" s="2">
        <f>Table1[[#This Row],[Salary_after]]-Table1[[#This Row],[Salary_before]]</f>
        <v>-1872.3399999999965</v>
      </c>
      <c r="L459" s="11">
        <v>-1.34E-2</v>
      </c>
      <c r="M459" s="11">
        <v>-2.7699999999999999E-2</v>
      </c>
      <c r="N459">
        <v>57.92</v>
      </c>
      <c r="O459">
        <v>89.87</v>
      </c>
      <c r="P459">
        <v>4</v>
      </c>
      <c r="Q459" t="s">
        <v>21</v>
      </c>
      <c r="R459">
        <v>15.205</v>
      </c>
      <c r="S459">
        <v>1.34</v>
      </c>
      <c r="T459" s="4">
        <v>10.179</v>
      </c>
      <c r="U459" s="4">
        <v>5.8774980000000001</v>
      </c>
      <c r="V459" t="str">
        <f>IF(Table1[[#This Row],[ai_disruption_intensity]]&gt;70,"High",
IF(Table1[[#This Row],[ai_disruption_intensity]]&gt;40,"Medium","Low"))</f>
        <v>Low</v>
      </c>
      <c r="W459" t="str">
        <f>IF(Table1[[#This Row],[skill_gap_index]]&gt;70,"Large Gap",
IF(Table1[[#This Row],[skill_gap_index]]&gt;40,"Medium Gap","Small Gap"))</f>
        <v>Small Gap</v>
      </c>
      <c r="X459" s="3" t="str">
        <f>IF(Table1[[#This Row],[automation_risk_percent]]&gt;0.7,"Highly Automatable",
IF(Table1[[#This Row],[automation_risk_percent]]&gt;0.4,"Moderate Risk","Safe Job"))</f>
        <v>Safe Job</v>
      </c>
    </row>
    <row r="460" spans="1:24" x14ac:dyDescent="0.3">
      <c r="A460">
        <v>1632</v>
      </c>
      <c r="B460" t="s">
        <v>22</v>
      </c>
      <c r="C460" t="s">
        <v>27</v>
      </c>
      <c r="D460" t="s">
        <v>47</v>
      </c>
      <c r="E460" s="1">
        <v>2025</v>
      </c>
      <c r="F460" s="11">
        <v>0.7984</v>
      </c>
      <c r="G460">
        <v>87.93</v>
      </c>
      <c r="H460">
        <v>97.08</v>
      </c>
      <c r="I460" s="2">
        <v>124452.14</v>
      </c>
      <c r="J460" s="2">
        <v>122281.14</v>
      </c>
      <c r="K460" s="2">
        <f>Table1[[#This Row],[Salary_after]]-Table1[[#This Row],[Salary_before]]</f>
        <v>-2171</v>
      </c>
      <c r="L460" s="11">
        <v>-1.7399999999999999E-2</v>
      </c>
      <c r="M460" s="11">
        <v>-2.4700000000000003E-2</v>
      </c>
      <c r="N460">
        <v>68.19</v>
      </c>
      <c r="O460">
        <v>35.07</v>
      </c>
      <c r="P460">
        <v>1</v>
      </c>
      <c r="Q460" t="s">
        <v>37</v>
      </c>
      <c r="R460">
        <v>88.46</v>
      </c>
      <c r="S460">
        <v>1.74</v>
      </c>
      <c r="T460" s="4">
        <v>61.582000000000001</v>
      </c>
      <c r="U460" s="4">
        <v>27.999887999999999</v>
      </c>
      <c r="V460" t="str">
        <f>IF(Table1[[#This Row],[ai_disruption_intensity]]&gt;70,"High",
IF(Table1[[#This Row],[ai_disruption_intensity]]&gt;40,"Medium","Low"))</f>
        <v>Low</v>
      </c>
      <c r="W460" t="str">
        <f>IF(Table1[[#This Row],[skill_gap_index]]&gt;70,"Large Gap",
IF(Table1[[#This Row],[skill_gap_index]]&gt;40,"Medium Gap","Small Gap"))</f>
        <v>Large Gap</v>
      </c>
      <c r="X460" s="3" t="str">
        <f>IF(Table1[[#This Row],[automation_risk_percent]]&gt;0.7,"Highly Automatable",
IF(Table1[[#This Row],[automation_risk_percent]]&gt;0.4,"Moderate Risk","Safe Job"))</f>
        <v>Highly Automatable</v>
      </c>
    </row>
    <row r="461" spans="1:24" x14ac:dyDescent="0.3">
      <c r="A461">
        <v>1635</v>
      </c>
      <c r="B461" t="s">
        <v>39</v>
      </c>
      <c r="C461" t="s">
        <v>27</v>
      </c>
      <c r="D461" t="s">
        <v>36</v>
      </c>
      <c r="E461" s="1">
        <v>2025</v>
      </c>
      <c r="F461" s="11">
        <v>0.51979999999999993</v>
      </c>
      <c r="G461">
        <v>48.49</v>
      </c>
      <c r="H461">
        <v>0.92</v>
      </c>
      <c r="I461" s="2">
        <v>54026.51</v>
      </c>
      <c r="J461" s="2">
        <v>49282.33</v>
      </c>
      <c r="K461" s="2">
        <f>Table1[[#This Row],[Salary_after]]-Table1[[#This Row],[Salary_before]]</f>
        <v>-4744.18</v>
      </c>
      <c r="L461" s="11">
        <v>-8.7799999999999989E-2</v>
      </c>
      <c r="M461" s="11">
        <v>-4.8499999999999995E-2</v>
      </c>
      <c r="N461">
        <v>96.39</v>
      </c>
      <c r="O461">
        <v>37.909999999999997</v>
      </c>
      <c r="P461">
        <v>4</v>
      </c>
      <c r="Q461" t="s">
        <v>25</v>
      </c>
      <c r="R461">
        <v>26.45</v>
      </c>
      <c r="S461">
        <v>8.7799999999999994</v>
      </c>
      <c r="T461" s="4">
        <v>23.702000000000002</v>
      </c>
      <c r="U461" s="4">
        <v>19.705617999999902</v>
      </c>
      <c r="V461" t="str">
        <f>IF(Table1[[#This Row],[ai_disruption_intensity]]&gt;70,"High",
IF(Table1[[#This Row],[ai_disruption_intensity]]&gt;40,"Medium","Low"))</f>
        <v>Low</v>
      </c>
      <c r="W461" t="str">
        <f>IF(Table1[[#This Row],[skill_gap_index]]&gt;70,"Large Gap",
IF(Table1[[#This Row],[skill_gap_index]]&gt;40,"Medium Gap","Small Gap"))</f>
        <v>Small Gap</v>
      </c>
      <c r="X461" s="3" t="str">
        <f>IF(Table1[[#This Row],[automation_risk_percent]]&gt;0.7,"Highly Automatable",
IF(Table1[[#This Row],[automation_risk_percent]]&gt;0.4,"Moderate Risk","Safe Job"))</f>
        <v>Moderate Risk</v>
      </c>
    </row>
    <row r="462" spans="1:24" x14ac:dyDescent="0.3">
      <c r="A462">
        <v>1644</v>
      </c>
      <c r="B462" t="s">
        <v>26</v>
      </c>
      <c r="C462" t="s">
        <v>33</v>
      </c>
      <c r="D462" t="s">
        <v>31</v>
      </c>
      <c r="E462" s="1">
        <v>2025</v>
      </c>
      <c r="F462" s="11">
        <v>0.15640000000000001</v>
      </c>
      <c r="G462">
        <v>17.82</v>
      </c>
      <c r="H462">
        <v>49.19</v>
      </c>
      <c r="I462" s="2">
        <v>128704.32000000001</v>
      </c>
      <c r="J462" s="2">
        <v>131546.65</v>
      </c>
      <c r="K462" s="2">
        <f>Table1[[#This Row],[Salary_after]]-Table1[[#This Row],[Salary_before]]</f>
        <v>2842.3299999999872</v>
      </c>
      <c r="L462" s="11">
        <v>2.2099999999999998E-2</v>
      </c>
      <c r="M462" s="11">
        <v>4.5700000000000005E-2</v>
      </c>
      <c r="N462">
        <v>79.34</v>
      </c>
      <c r="O462">
        <v>96.6</v>
      </c>
      <c r="P462">
        <v>4</v>
      </c>
      <c r="Q462" t="s">
        <v>21</v>
      </c>
      <c r="R462">
        <v>32.414999999999999</v>
      </c>
      <c r="S462">
        <v>2.21</v>
      </c>
      <c r="T462" s="4">
        <v>21.675999999999998</v>
      </c>
      <c r="U462" s="4">
        <v>15.10824</v>
      </c>
      <c r="V462" t="str">
        <f>IF(Table1[[#This Row],[ai_disruption_intensity]]&gt;70,"High",
IF(Table1[[#This Row],[ai_disruption_intensity]]&gt;40,"Medium","Low"))</f>
        <v>Low</v>
      </c>
      <c r="W462" t="str">
        <f>IF(Table1[[#This Row],[skill_gap_index]]&gt;70,"Large Gap",
IF(Table1[[#This Row],[skill_gap_index]]&gt;40,"Medium Gap","Small Gap"))</f>
        <v>Medium Gap</v>
      </c>
      <c r="X462" s="3" t="str">
        <f>IF(Table1[[#This Row],[automation_risk_percent]]&gt;0.7,"Highly Automatable",
IF(Table1[[#This Row],[automation_risk_percent]]&gt;0.4,"Moderate Risk","Safe Job"))</f>
        <v>Safe Job</v>
      </c>
    </row>
    <row r="463" spans="1:24" x14ac:dyDescent="0.3">
      <c r="A463">
        <v>1647</v>
      </c>
      <c r="B463" t="s">
        <v>41</v>
      </c>
      <c r="C463" t="s">
        <v>19</v>
      </c>
      <c r="D463" t="s">
        <v>47</v>
      </c>
      <c r="E463" s="1">
        <v>2026</v>
      </c>
      <c r="F463" s="11">
        <v>0.47820000000000001</v>
      </c>
      <c r="G463">
        <v>49.02</v>
      </c>
      <c r="H463">
        <v>18.72</v>
      </c>
      <c r="I463" s="2">
        <v>126074.84</v>
      </c>
      <c r="J463" s="2">
        <v>123644.04</v>
      </c>
      <c r="K463" s="2">
        <f>Table1[[#This Row],[Salary_after]]-Table1[[#This Row],[Salary_before]]</f>
        <v>-2430.8000000000029</v>
      </c>
      <c r="L463" s="11">
        <v>-1.9299999999999998E-2</v>
      </c>
      <c r="M463" s="11">
        <v>-8.4000000000000005E-2</v>
      </c>
      <c r="N463">
        <v>77.3</v>
      </c>
      <c r="O463">
        <v>28.16</v>
      </c>
      <c r="P463">
        <v>2</v>
      </c>
      <c r="Q463" t="s">
        <v>25</v>
      </c>
      <c r="R463">
        <v>33.269999999999897</v>
      </c>
      <c r="S463">
        <v>1.93</v>
      </c>
      <c r="T463" s="4">
        <v>25.323</v>
      </c>
      <c r="U463" s="4">
        <v>13.466112000000001</v>
      </c>
      <c r="V463" t="str">
        <f>IF(Table1[[#This Row],[ai_disruption_intensity]]&gt;70,"High",
IF(Table1[[#This Row],[ai_disruption_intensity]]&gt;40,"Medium","Low"))</f>
        <v>Low</v>
      </c>
      <c r="W463" t="str">
        <f>IF(Table1[[#This Row],[skill_gap_index]]&gt;70,"Large Gap",
IF(Table1[[#This Row],[skill_gap_index]]&gt;40,"Medium Gap","Small Gap"))</f>
        <v>Small Gap</v>
      </c>
      <c r="X463" s="3" t="str">
        <f>IF(Table1[[#This Row],[automation_risk_percent]]&gt;0.7,"Highly Automatable",
IF(Table1[[#This Row],[automation_risk_percent]]&gt;0.4,"Moderate Risk","Safe Job"))</f>
        <v>Moderate Risk</v>
      </c>
    </row>
    <row r="464" spans="1:24" x14ac:dyDescent="0.3">
      <c r="A464">
        <v>1648</v>
      </c>
      <c r="B464" t="s">
        <v>29</v>
      </c>
      <c r="C464" t="s">
        <v>27</v>
      </c>
      <c r="D464" t="s">
        <v>31</v>
      </c>
      <c r="E464" s="1">
        <v>2025</v>
      </c>
      <c r="F464" s="11">
        <v>0.26390000000000002</v>
      </c>
      <c r="G464">
        <v>26.83</v>
      </c>
      <c r="H464">
        <v>95.66</v>
      </c>
      <c r="I464" s="2">
        <v>76953.22</v>
      </c>
      <c r="J464" s="2">
        <v>80342.97</v>
      </c>
      <c r="K464" s="2">
        <f>Table1[[#This Row],[Salary_after]]-Table1[[#This Row],[Salary_before]]</f>
        <v>3389.75</v>
      </c>
      <c r="L464" s="11">
        <v>4.4000000000000004E-2</v>
      </c>
      <c r="M464" s="11">
        <v>4.2500000000000003E-2</v>
      </c>
      <c r="N464">
        <v>72.510000000000005</v>
      </c>
      <c r="O464">
        <v>71.92</v>
      </c>
      <c r="P464">
        <v>5</v>
      </c>
      <c r="Q464" t="s">
        <v>21</v>
      </c>
      <c r="R464">
        <v>61.024999999999999</v>
      </c>
      <c r="S464">
        <v>4.4000000000000004</v>
      </c>
      <c r="T464" s="4">
        <v>40.573999999999998</v>
      </c>
      <c r="U464" s="4">
        <v>18.979687999999999</v>
      </c>
      <c r="V464" t="str">
        <f>IF(Table1[[#This Row],[ai_disruption_intensity]]&gt;70,"High",
IF(Table1[[#This Row],[ai_disruption_intensity]]&gt;40,"Medium","Low"))</f>
        <v>Low</v>
      </c>
      <c r="W464" t="str">
        <f>IF(Table1[[#This Row],[skill_gap_index]]&gt;70,"Large Gap",
IF(Table1[[#This Row],[skill_gap_index]]&gt;40,"Medium Gap","Small Gap"))</f>
        <v>Large Gap</v>
      </c>
      <c r="X464" s="3" t="str">
        <f>IF(Table1[[#This Row],[automation_risk_percent]]&gt;0.7,"Highly Automatable",
IF(Table1[[#This Row],[automation_risk_percent]]&gt;0.4,"Moderate Risk","Safe Job"))</f>
        <v>Safe Job</v>
      </c>
    </row>
    <row r="465" spans="1:24" x14ac:dyDescent="0.3">
      <c r="A465">
        <v>1651</v>
      </c>
      <c r="B465" t="s">
        <v>41</v>
      </c>
      <c r="C465" t="s">
        <v>40</v>
      </c>
      <c r="D465" t="s">
        <v>36</v>
      </c>
      <c r="E465" s="1">
        <v>2026</v>
      </c>
      <c r="F465" s="11">
        <v>0.44770000000000004</v>
      </c>
      <c r="G465">
        <v>41.61</v>
      </c>
      <c r="H465">
        <v>35.15</v>
      </c>
      <c r="I465" s="2">
        <v>37598.31</v>
      </c>
      <c r="J465" s="2">
        <v>33216.449999999997</v>
      </c>
      <c r="K465" s="2">
        <f>Table1[[#This Row],[Salary_after]]-Table1[[#This Row],[Salary_before]]</f>
        <v>-4381.8600000000006</v>
      </c>
      <c r="L465" s="11">
        <v>-0.11650000000000001</v>
      </c>
      <c r="M465" s="11">
        <v>0.1971</v>
      </c>
      <c r="N465">
        <v>68.14</v>
      </c>
      <c r="O465">
        <v>35.619999999999997</v>
      </c>
      <c r="P465">
        <v>5</v>
      </c>
      <c r="Q465" t="s">
        <v>25</v>
      </c>
      <c r="R465">
        <v>39.96</v>
      </c>
      <c r="S465">
        <v>11.65</v>
      </c>
      <c r="T465" s="4">
        <v>31.948</v>
      </c>
      <c r="U465" s="4">
        <v>15.947074000000001</v>
      </c>
      <c r="V465" t="str">
        <f>IF(Table1[[#This Row],[ai_disruption_intensity]]&gt;70,"High",
IF(Table1[[#This Row],[ai_disruption_intensity]]&gt;40,"Medium","Low"))</f>
        <v>Low</v>
      </c>
      <c r="W465" t="str">
        <f>IF(Table1[[#This Row],[skill_gap_index]]&gt;70,"Large Gap",
IF(Table1[[#This Row],[skill_gap_index]]&gt;40,"Medium Gap","Small Gap"))</f>
        <v>Small Gap</v>
      </c>
      <c r="X465" s="3" t="str">
        <f>IF(Table1[[#This Row],[automation_risk_percent]]&gt;0.7,"Highly Automatable",
IF(Table1[[#This Row],[automation_risk_percent]]&gt;0.4,"Moderate Risk","Safe Job"))</f>
        <v>Moderate Risk</v>
      </c>
    </row>
    <row r="466" spans="1:24" x14ac:dyDescent="0.3">
      <c r="A466">
        <v>1652</v>
      </c>
      <c r="B466" t="s">
        <v>41</v>
      </c>
      <c r="C466" t="s">
        <v>19</v>
      </c>
      <c r="D466" t="s">
        <v>47</v>
      </c>
      <c r="E466" s="1">
        <v>2025</v>
      </c>
      <c r="F466" s="11">
        <v>0.72160000000000002</v>
      </c>
      <c r="G466">
        <v>78.78</v>
      </c>
      <c r="H466">
        <v>69.06</v>
      </c>
      <c r="I466" s="2">
        <v>43675.44</v>
      </c>
      <c r="J466" s="2">
        <v>38096.46</v>
      </c>
      <c r="K466" s="2">
        <f>Table1[[#This Row],[Salary_after]]-Table1[[#This Row],[Salary_before]]</f>
        <v>-5578.9800000000032</v>
      </c>
      <c r="L466" s="11">
        <v>-0.12770000000000001</v>
      </c>
      <c r="M466" s="11">
        <v>0.1411</v>
      </c>
      <c r="N466">
        <v>12.59</v>
      </c>
      <c r="O466">
        <v>41.48</v>
      </c>
      <c r="P466">
        <v>4</v>
      </c>
      <c r="Q466" t="s">
        <v>37</v>
      </c>
      <c r="R466">
        <v>70.61</v>
      </c>
      <c r="S466">
        <v>12.77</v>
      </c>
      <c r="T466" s="4">
        <v>53.412999999999997</v>
      </c>
      <c r="U466" s="4">
        <v>29.931967999999902</v>
      </c>
      <c r="V466" t="str">
        <f>IF(Table1[[#This Row],[ai_disruption_intensity]]&gt;70,"High",
IF(Table1[[#This Row],[ai_disruption_intensity]]&gt;40,"Medium","Low"))</f>
        <v>Low</v>
      </c>
      <c r="W466" t="str">
        <f>IF(Table1[[#This Row],[skill_gap_index]]&gt;70,"Large Gap",
IF(Table1[[#This Row],[skill_gap_index]]&gt;40,"Medium Gap","Small Gap"))</f>
        <v>Medium Gap</v>
      </c>
      <c r="X466" s="3" t="str">
        <f>IF(Table1[[#This Row],[automation_risk_percent]]&gt;0.7,"Highly Automatable",
IF(Table1[[#This Row],[automation_risk_percent]]&gt;0.4,"Moderate Risk","Safe Job"))</f>
        <v>Highly Automatable</v>
      </c>
    </row>
    <row r="467" spans="1:24" x14ac:dyDescent="0.3">
      <c r="A467">
        <v>1654</v>
      </c>
      <c r="B467" t="s">
        <v>29</v>
      </c>
      <c r="C467" t="s">
        <v>30</v>
      </c>
      <c r="D467" t="s">
        <v>20</v>
      </c>
      <c r="E467" s="1">
        <v>2025</v>
      </c>
      <c r="F467" s="11">
        <v>0.49459999999999998</v>
      </c>
      <c r="G467">
        <v>53.52</v>
      </c>
      <c r="H467">
        <v>53.74</v>
      </c>
      <c r="I467" s="2">
        <v>86309.39</v>
      </c>
      <c r="J467" s="2">
        <v>105892.92</v>
      </c>
      <c r="K467" s="2">
        <f>Table1[[#This Row],[Salary_after]]-Table1[[#This Row],[Salary_before]]</f>
        <v>19583.53</v>
      </c>
      <c r="L467" s="11">
        <v>0.22690000000000002</v>
      </c>
      <c r="M467" s="11">
        <v>6.88E-2</v>
      </c>
      <c r="N467">
        <v>69.400000000000006</v>
      </c>
      <c r="O467">
        <v>28.9</v>
      </c>
      <c r="P467">
        <v>2</v>
      </c>
      <c r="Q467" t="s">
        <v>25</v>
      </c>
      <c r="R467">
        <v>51.6</v>
      </c>
      <c r="S467">
        <v>22.69</v>
      </c>
      <c r="T467" s="4">
        <v>42.713000000000001</v>
      </c>
      <c r="U467" s="4">
        <v>14.293939999999999</v>
      </c>
      <c r="V467" t="str">
        <f>IF(Table1[[#This Row],[ai_disruption_intensity]]&gt;70,"High",
IF(Table1[[#This Row],[ai_disruption_intensity]]&gt;40,"Medium","Low"))</f>
        <v>Low</v>
      </c>
      <c r="W467" t="str">
        <f>IF(Table1[[#This Row],[skill_gap_index]]&gt;70,"Large Gap",
IF(Table1[[#This Row],[skill_gap_index]]&gt;40,"Medium Gap","Small Gap"))</f>
        <v>Medium Gap</v>
      </c>
      <c r="X467" s="3" t="str">
        <f>IF(Table1[[#This Row],[automation_risk_percent]]&gt;0.7,"Highly Automatable",
IF(Table1[[#This Row],[automation_risk_percent]]&gt;0.4,"Moderate Risk","Safe Job"))</f>
        <v>Moderate Risk</v>
      </c>
    </row>
    <row r="468" spans="1:24" x14ac:dyDescent="0.3">
      <c r="A468">
        <v>1655</v>
      </c>
      <c r="B468" t="s">
        <v>46</v>
      </c>
      <c r="C468" t="s">
        <v>34</v>
      </c>
      <c r="D468" t="s">
        <v>42</v>
      </c>
      <c r="E468" s="1">
        <v>2025</v>
      </c>
      <c r="F468" s="11">
        <v>9.849999999999999E-2</v>
      </c>
      <c r="G468">
        <v>8.5</v>
      </c>
      <c r="H468">
        <v>63.94</v>
      </c>
      <c r="I468" s="2">
        <v>134744.79</v>
      </c>
      <c r="J468" s="2">
        <v>118766.56</v>
      </c>
      <c r="K468" s="2">
        <f>Table1[[#This Row],[Salary_after]]-Table1[[#This Row],[Salary_before]]</f>
        <v>-15978.23000000001</v>
      </c>
      <c r="L468" s="11">
        <v>-0.1186</v>
      </c>
      <c r="M468" s="11">
        <v>1.7500000000000002E-2</v>
      </c>
      <c r="N468">
        <v>78.09</v>
      </c>
      <c r="O468">
        <v>83.25</v>
      </c>
      <c r="P468">
        <v>2</v>
      </c>
      <c r="Q468" t="s">
        <v>21</v>
      </c>
      <c r="R468">
        <v>36.894999999999897</v>
      </c>
      <c r="S468">
        <v>11.86</v>
      </c>
      <c r="T468" s="4">
        <v>26.68</v>
      </c>
      <c r="U468" s="4">
        <v>8.2001249999999999</v>
      </c>
      <c r="V468" t="str">
        <f>IF(Table1[[#This Row],[ai_disruption_intensity]]&gt;70,"High",
IF(Table1[[#This Row],[ai_disruption_intensity]]&gt;40,"Medium","Low"))</f>
        <v>Low</v>
      </c>
      <c r="W468" t="str">
        <f>IF(Table1[[#This Row],[skill_gap_index]]&gt;70,"Large Gap",
IF(Table1[[#This Row],[skill_gap_index]]&gt;40,"Medium Gap","Small Gap"))</f>
        <v>Medium Gap</v>
      </c>
      <c r="X468" s="3" t="str">
        <f>IF(Table1[[#This Row],[automation_risk_percent]]&gt;0.7,"Highly Automatable",
IF(Table1[[#This Row],[automation_risk_percent]]&gt;0.4,"Moderate Risk","Safe Job"))</f>
        <v>Safe Job</v>
      </c>
    </row>
    <row r="469" spans="1:24" x14ac:dyDescent="0.3">
      <c r="A469">
        <v>1659</v>
      </c>
      <c r="B469" t="s">
        <v>41</v>
      </c>
      <c r="C469" t="s">
        <v>40</v>
      </c>
      <c r="D469" t="s">
        <v>20</v>
      </c>
      <c r="E469" s="1">
        <v>2026</v>
      </c>
      <c r="F469" s="11">
        <v>0.64329999999999998</v>
      </c>
      <c r="G469">
        <v>62.62</v>
      </c>
      <c r="H469">
        <v>45.89</v>
      </c>
      <c r="I469" s="2">
        <v>146348.65</v>
      </c>
      <c r="J469" s="2">
        <v>159620.04</v>
      </c>
      <c r="K469" s="2">
        <f>Table1[[#This Row],[Salary_after]]-Table1[[#This Row],[Salary_before]]</f>
        <v>13271.390000000014</v>
      </c>
      <c r="L469" s="11">
        <v>9.0700000000000003E-2</v>
      </c>
      <c r="M469" s="11">
        <v>-9.5199999999999993E-2</v>
      </c>
      <c r="N469">
        <v>47.81</v>
      </c>
      <c r="O469">
        <v>6.11</v>
      </c>
      <c r="P469">
        <v>4</v>
      </c>
      <c r="Q469" t="s">
        <v>37</v>
      </c>
      <c r="R469">
        <v>55.11</v>
      </c>
      <c r="S469">
        <v>9.07</v>
      </c>
      <c r="T469" s="4">
        <v>42.22</v>
      </c>
      <c r="U469" s="4">
        <v>3.9305629999999998</v>
      </c>
      <c r="V469" t="str">
        <f>IF(Table1[[#This Row],[ai_disruption_intensity]]&gt;70,"High",
IF(Table1[[#This Row],[ai_disruption_intensity]]&gt;40,"Medium","Low"))</f>
        <v>Low</v>
      </c>
      <c r="W469" t="str">
        <f>IF(Table1[[#This Row],[skill_gap_index]]&gt;70,"Large Gap",
IF(Table1[[#This Row],[skill_gap_index]]&gt;40,"Medium Gap","Small Gap"))</f>
        <v>Medium Gap</v>
      </c>
      <c r="X469" s="3" t="str">
        <f>IF(Table1[[#This Row],[automation_risk_percent]]&gt;0.7,"Highly Automatable",
IF(Table1[[#This Row],[automation_risk_percent]]&gt;0.4,"Moderate Risk","Safe Job"))</f>
        <v>Moderate Risk</v>
      </c>
    </row>
    <row r="470" spans="1:24" x14ac:dyDescent="0.3">
      <c r="A470">
        <v>1662</v>
      </c>
      <c r="B470" t="s">
        <v>43</v>
      </c>
      <c r="C470" t="s">
        <v>38</v>
      </c>
      <c r="D470" t="s">
        <v>42</v>
      </c>
      <c r="E470" s="1">
        <v>2025</v>
      </c>
      <c r="F470" s="11">
        <v>0.74819999999999998</v>
      </c>
      <c r="G470">
        <v>60.57</v>
      </c>
      <c r="H470">
        <v>5.16</v>
      </c>
      <c r="I470" s="2">
        <v>145049.20000000001</v>
      </c>
      <c r="J470" s="2">
        <v>154359.6</v>
      </c>
      <c r="K470" s="2">
        <f>Table1[[#This Row],[Salary_after]]-Table1[[#This Row],[Salary_before]]</f>
        <v>9310.3999999999942</v>
      </c>
      <c r="L470" s="11">
        <v>6.4199999999999993E-2</v>
      </c>
      <c r="M470" s="11">
        <v>1.1699999999999999E-2</v>
      </c>
      <c r="N470">
        <v>44.99</v>
      </c>
      <c r="O470">
        <v>11.91</v>
      </c>
      <c r="P470">
        <v>5</v>
      </c>
      <c r="Q470" t="s">
        <v>37</v>
      </c>
      <c r="R470">
        <v>39.989999999999903</v>
      </c>
      <c r="S470">
        <v>6.42</v>
      </c>
      <c r="T470" s="4">
        <v>33.402000000000001</v>
      </c>
      <c r="U470" s="4">
        <v>8.9110619999999994</v>
      </c>
      <c r="V470" t="str">
        <f>IF(Table1[[#This Row],[ai_disruption_intensity]]&gt;70,"High",
IF(Table1[[#This Row],[ai_disruption_intensity]]&gt;40,"Medium","Low"))</f>
        <v>Low</v>
      </c>
      <c r="W470" t="str">
        <f>IF(Table1[[#This Row],[skill_gap_index]]&gt;70,"Large Gap",
IF(Table1[[#This Row],[skill_gap_index]]&gt;40,"Medium Gap","Small Gap"))</f>
        <v>Small Gap</v>
      </c>
      <c r="X470" s="3" t="str">
        <f>IF(Table1[[#This Row],[automation_risk_percent]]&gt;0.7,"Highly Automatable",
IF(Table1[[#This Row],[automation_risk_percent]]&gt;0.4,"Moderate Risk","Safe Job"))</f>
        <v>Highly Automatable</v>
      </c>
    </row>
    <row r="471" spans="1:24" x14ac:dyDescent="0.3">
      <c r="A471">
        <v>1664</v>
      </c>
      <c r="B471" t="s">
        <v>41</v>
      </c>
      <c r="C471" t="s">
        <v>40</v>
      </c>
      <c r="D471" t="s">
        <v>24</v>
      </c>
      <c r="E471" s="1">
        <v>2025</v>
      </c>
      <c r="F471" s="11">
        <v>0.61240000000000006</v>
      </c>
      <c r="G471">
        <v>49.21</v>
      </c>
      <c r="H471">
        <v>0.17</v>
      </c>
      <c r="I471" s="2">
        <v>41719.96</v>
      </c>
      <c r="J471" s="2">
        <v>42983.96</v>
      </c>
      <c r="K471" s="2">
        <f>Table1[[#This Row],[Salary_after]]-Table1[[#This Row],[Salary_before]]</f>
        <v>1264</v>
      </c>
      <c r="L471" s="11">
        <v>3.0299999999999997E-2</v>
      </c>
      <c r="M471" s="11">
        <v>-8.8999999999999999E-3</v>
      </c>
      <c r="N471">
        <v>28.44</v>
      </c>
      <c r="O471">
        <v>89.47</v>
      </c>
      <c r="P471">
        <v>1</v>
      </c>
      <c r="Q471" t="s">
        <v>37</v>
      </c>
      <c r="R471">
        <v>30.704999999999998</v>
      </c>
      <c r="S471">
        <v>3.03</v>
      </c>
      <c r="T471" s="4">
        <v>25.456</v>
      </c>
      <c r="U471" s="4">
        <v>54.791428000000003</v>
      </c>
      <c r="V471" t="str">
        <f>IF(Table1[[#This Row],[ai_disruption_intensity]]&gt;70,"High",
IF(Table1[[#This Row],[ai_disruption_intensity]]&gt;40,"Medium","Low"))</f>
        <v>Medium</v>
      </c>
      <c r="W471" t="str">
        <f>IF(Table1[[#This Row],[skill_gap_index]]&gt;70,"Large Gap",
IF(Table1[[#This Row],[skill_gap_index]]&gt;40,"Medium Gap","Small Gap"))</f>
        <v>Small Gap</v>
      </c>
      <c r="X471" s="3" t="str">
        <f>IF(Table1[[#This Row],[automation_risk_percent]]&gt;0.7,"Highly Automatable",
IF(Table1[[#This Row],[automation_risk_percent]]&gt;0.4,"Moderate Risk","Safe Job"))</f>
        <v>Moderate Risk</v>
      </c>
    </row>
    <row r="472" spans="1:24" x14ac:dyDescent="0.3">
      <c r="A472">
        <v>1666</v>
      </c>
      <c r="B472" t="s">
        <v>45</v>
      </c>
      <c r="C472" t="s">
        <v>30</v>
      </c>
      <c r="D472" t="s">
        <v>35</v>
      </c>
      <c r="E472" s="1">
        <v>2025</v>
      </c>
      <c r="F472" s="11">
        <v>0.69590000000000007</v>
      </c>
      <c r="G472">
        <v>67.739999999999995</v>
      </c>
      <c r="H472">
        <v>75.87</v>
      </c>
      <c r="I472" s="2">
        <v>41709.5</v>
      </c>
      <c r="J472" s="2">
        <v>47120.46</v>
      </c>
      <c r="K472" s="2">
        <f>Table1[[#This Row],[Salary_after]]-Table1[[#This Row],[Salary_before]]</f>
        <v>5410.9599999999991</v>
      </c>
      <c r="L472" s="11">
        <v>0.12970000000000001</v>
      </c>
      <c r="M472" s="11">
        <v>4.2099999999999999E-2</v>
      </c>
      <c r="N472">
        <v>83.54</v>
      </c>
      <c r="O472">
        <v>91.6</v>
      </c>
      <c r="P472">
        <v>4</v>
      </c>
      <c r="Q472" t="s">
        <v>37</v>
      </c>
      <c r="R472">
        <v>72.73</v>
      </c>
      <c r="S472">
        <v>12.97</v>
      </c>
      <c r="T472" s="4">
        <v>54.488</v>
      </c>
      <c r="U472" s="4">
        <v>63.744439999999997</v>
      </c>
      <c r="V472" t="str">
        <f>IF(Table1[[#This Row],[ai_disruption_intensity]]&gt;70,"High",
IF(Table1[[#This Row],[ai_disruption_intensity]]&gt;40,"Medium","Low"))</f>
        <v>Medium</v>
      </c>
      <c r="W472" t="str">
        <f>IF(Table1[[#This Row],[skill_gap_index]]&gt;70,"Large Gap",
IF(Table1[[#This Row],[skill_gap_index]]&gt;40,"Medium Gap","Small Gap"))</f>
        <v>Large Gap</v>
      </c>
      <c r="X472" s="3" t="str">
        <f>IF(Table1[[#This Row],[automation_risk_percent]]&gt;0.7,"Highly Automatable",
IF(Table1[[#This Row],[automation_risk_percent]]&gt;0.4,"Moderate Risk","Safe Job"))</f>
        <v>Moderate Risk</v>
      </c>
    </row>
    <row r="473" spans="1:24" x14ac:dyDescent="0.3">
      <c r="A473">
        <v>1674</v>
      </c>
      <c r="B473" t="s">
        <v>18</v>
      </c>
      <c r="C473" t="s">
        <v>40</v>
      </c>
      <c r="D473" t="s">
        <v>31</v>
      </c>
      <c r="E473" s="1">
        <v>2026</v>
      </c>
      <c r="F473" s="11">
        <v>0.18859999999999999</v>
      </c>
      <c r="G473">
        <v>15.45</v>
      </c>
      <c r="H473">
        <v>87.79</v>
      </c>
      <c r="I473" s="2">
        <v>39579.730000000003</v>
      </c>
      <c r="J473" s="2">
        <v>44239.09</v>
      </c>
      <c r="K473" s="2">
        <f>Table1[[#This Row],[Salary_after]]-Table1[[#This Row],[Salary_before]]</f>
        <v>4659.3599999999933</v>
      </c>
      <c r="L473" s="11">
        <v>0.1177</v>
      </c>
      <c r="M473" s="11">
        <v>0.2334</v>
      </c>
      <c r="N473">
        <v>98.82</v>
      </c>
      <c r="O473">
        <v>88.69</v>
      </c>
      <c r="P473">
        <v>4</v>
      </c>
      <c r="Q473" t="s">
        <v>21</v>
      </c>
      <c r="R473">
        <v>53.325000000000003</v>
      </c>
      <c r="S473">
        <v>11.77</v>
      </c>
      <c r="T473" s="4">
        <v>37.411999999999999</v>
      </c>
      <c r="U473" s="4">
        <v>16.726934</v>
      </c>
      <c r="V473" t="str">
        <f>IF(Table1[[#This Row],[ai_disruption_intensity]]&gt;70,"High",
IF(Table1[[#This Row],[ai_disruption_intensity]]&gt;40,"Medium","Low"))</f>
        <v>Low</v>
      </c>
      <c r="W473" t="str">
        <f>IF(Table1[[#This Row],[skill_gap_index]]&gt;70,"Large Gap",
IF(Table1[[#This Row],[skill_gap_index]]&gt;40,"Medium Gap","Small Gap"))</f>
        <v>Large Gap</v>
      </c>
      <c r="X473" s="3" t="str">
        <f>IF(Table1[[#This Row],[automation_risk_percent]]&gt;0.7,"Highly Automatable",
IF(Table1[[#This Row],[automation_risk_percent]]&gt;0.4,"Moderate Risk","Safe Job"))</f>
        <v>Safe Job</v>
      </c>
    </row>
    <row r="474" spans="1:24" x14ac:dyDescent="0.3">
      <c r="A474">
        <v>1682</v>
      </c>
      <c r="B474" t="s">
        <v>26</v>
      </c>
      <c r="C474" t="s">
        <v>30</v>
      </c>
      <c r="D474" t="s">
        <v>31</v>
      </c>
      <c r="E474" s="1">
        <v>2026</v>
      </c>
      <c r="F474" s="11">
        <v>6.1200000000000004E-2</v>
      </c>
      <c r="G474">
        <v>6.44</v>
      </c>
      <c r="H474">
        <v>50.41</v>
      </c>
      <c r="I474" s="2">
        <v>93202.72</v>
      </c>
      <c r="J474" s="2">
        <v>92472.66</v>
      </c>
      <c r="K474" s="2">
        <f>Table1[[#This Row],[Salary_after]]-Table1[[#This Row],[Salary_before]]</f>
        <v>-730.05999999999767</v>
      </c>
      <c r="L474" s="11">
        <v>-7.8000000000000005E-3</v>
      </c>
      <c r="M474" s="11">
        <v>-1.5E-3</v>
      </c>
      <c r="N474">
        <v>15.68</v>
      </c>
      <c r="O474">
        <v>78.91</v>
      </c>
      <c r="P474">
        <v>5</v>
      </c>
      <c r="Q474" t="s">
        <v>21</v>
      </c>
      <c r="R474">
        <v>28.264999999999901</v>
      </c>
      <c r="S474">
        <v>0.78</v>
      </c>
      <c r="T474" s="4">
        <v>17.805</v>
      </c>
      <c r="U474" s="4">
        <v>4.8292919999999997</v>
      </c>
      <c r="V474" t="str">
        <f>IF(Table1[[#This Row],[ai_disruption_intensity]]&gt;70,"High",
IF(Table1[[#This Row],[ai_disruption_intensity]]&gt;40,"Medium","Low"))</f>
        <v>Low</v>
      </c>
      <c r="W474" t="str">
        <f>IF(Table1[[#This Row],[skill_gap_index]]&gt;70,"Large Gap",
IF(Table1[[#This Row],[skill_gap_index]]&gt;40,"Medium Gap","Small Gap"))</f>
        <v>Medium Gap</v>
      </c>
      <c r="X474" s="3" t="str">
        <f>IF(Table1[[#This Row],[automation_risk_percent]]&gt;0.7,"Highly Automatable",
IF(Table1[[#This Row],[automation_risk_percent]]&gt;0.4,"Moderate Risk","Safe Job"))</f>
        <v>Safe Job</v>
      </c>
    </row>
    <row r="475" spans="1:24" x14ac:dyDescent="0.3">
      <c r="A475">
        <v>1683</v>
      </c>
      <c r="B475" t="s">
        <v>46</v>
      </c>
      <c r="C475" t="s">
        <v>30</v>
      </c>
      <c r="D475" t="s">
        <v>32</v>
      </c>
      <c r="E475" s="1">
        <v>2025</v>
      </c>
      <c r="F475" s="11">
        <v>0.37070000000000003</v>
      </c>
      <c r="G475">
        <v>30.09</v>
      </c>
      <c r="H475">
        <v>4.05</v>
      </c>
      <c r="I475" s="2">
        <v>103520.22</v>
      </c>
      <c r="J475" s="2">
        <v>100692.55</v>
      </c>
      <c r="K475" s="2">
        <f>Table1[[#This Row],[Salary_after]]-Table1[[#This Row],[Salary_before]]</f>
        <v>-2827.6699999999983</v>
      </c>
      <c r="L475" s="11">
        <v>-2.7300000000000001E-2</v>
      </c>
      <c r="M475" s="11">
        <v>0.18440000000000001</v>
      </c>
      <c r="N475">
        <v>59.91</v>
      </c>
      <c r="O475">
        <v>79.98</v>
      </c>
      <c r="P475">
        <v>1</v>
      </c>
      <c r="Q475" t="s">
        <v>25</v>
      </c>
      <c r="R475">
        <v>20.56</v>
      </c>
      <c r="S475">
        <v>2.73</v>
      </c>
      <c r="T475" s="4">
        <v>16.861999999999998</v>
      </c>
      <c r="U475" s="4">
        <v>29.648586000000002</v>
      </c>
      <c r="V475" t="str">
        <f>IF(Table1[[#This Row],[ai_disruption_intensity]]&gt;70,"High",
IF(Table1[[#This Row],[ai_disruption_intensity]]&gt;40,"Medium","Low"))</f>
        <v>Low</v>
      </c>
      <c r="W475" t="str">
        <f>IF(Table1[[#This Row],[skill_gap_index]]&gt;70,"Large Gap",
IF(Table1[[#This Row],[skill_gap_index]]&gt;40,"Medium Gap","Small Gap"))</f>
        <v>Small Gap</v>
      </c>
      <c r="X475" s="3" t="str">
        <f>IF(Table1[[#This Row],[automation_risk_percent]]&gt;0.7,"Highly Automatable",
IF(Table1[[#This Row],[automation_risk_percent]]&gt;0.4,"Moderate Risk","Safe Job"))</f>
        <v>Safe Job</v>
      </c>
    </row>
    <row r="476" spans="1:24" x14ac:dyDescent="0.3">
      <c r="A476">
        <v>1684</v>
      </c>
      <c r="B476" t="s">
        <v>29</v>
      </c>
      <c r="C476" t="s">
        <v>23</v>
      </c>
      <c r="D476" t="s">
        <v>32</v>
      </c>
      <c r="E476" s="1">
        <v>2025</v>
      </c>
      <c r="F476" s="11">
        <v>0.6774</v>
      </c>
      <c r="G476">
        <v>60.28</v>
      </c>
      <c r="H476">
        <v>61.31</v>
      </c>
      <c r="I476" s="2">
        <v>105393.54</v>
      </c>
      <c r="J476" s="2">
        <v>113133.91</v>
      </c>
      <c r="K476" s="2">
        <f>Table1[[#This Row],[Salary_after]]-Table1[[#This Row],[Salary_before]]</f>
        <v>7740.3700000000099</v>
      </c>
      <c r="L476" s="11">
        <v>7.3399999999999993E-2</v>
      </c>
      <c r="M476" s="11">
        <v>0.19219999999999998</v>
      </c>
      <c r="N476">
        <v>97.23</v>
      </c>
      <c r="O476">
        <v>19.73</v>
      </c>
      <c r="P476">
        <v>3</v>
      </c>
      <c r="Q476" t="s">
        <v>37</v>
      </c>
      <c r="R476">
        <v>64.525000000000006</v>
      </c>
      <c r="S476">
        <v>7.34</v>
      </c>
      <c r="T476" s="4">
        <v>47.691000000000003</v>
      </c>
      <c r="U476" s="4">
        <v>13.365102</v>
      </c>
      <c r="V476" t="str">
        <f>IF(Table1[[#This Row],[ai_disruption_intensity]]&gt;70,"High",
IF(Table1[[#This Row],[ai_disruption_intensity]]&gt;40,"Medium","Low"))</f>
        <v>Low</v>
      </c>
      <c r="W476" t="str">
        <f>IF(Table1[[#This Row],[skill_gap_index]]&gt;70,"Large Gap",
IF(Table1[[#This Row],[skill_gap_index]]&gt;40,"Medium Gap","Small Gap"))</f>
        <v>Medium Gap</v>
      </c>
      <c r="X476" s="3" t="str">
        <f>IF(Table1[[#This Row],[automation_risk_percent]]&gt;0.7,"Highly Automatable",
IF(Table1[[#This Row],[automation_risk_percent]]&gt;0.4,"Moderate Risk","Safe Job"))</f>
        <v>Moderate Risk</v>
      </c>
    </row>
    <row r="477" spans="1:24" x14ac:dyDescent="0.3">
      <c r="A477">
        <v>1686</v>
      </c>
      <c r="B477" t="s">
        <v>39</v>
      </c>
      <c r="C477" t="s">
        <v>27</v>
      </c>
      <c r="D477" t="s">
        <v>31</v>
      </c>
      <c r="E477" s="1">
        <v>2026</v>
      </c>
      <c r="F477" s="11">
        <v>0.48259999999999997</v>
      </c>
      <c r="G477">
        <v>40.31</v>
      </c>
      <c r="H477">
        <v>99.59</v>
      </c>
      <c r="I477" s="2">
        <v>137675.59</v>
      </c>
      <c r="J477" s="2">
        <v>134555.01</v>
      </c>
      <c r="K477" s="2">
        <f>Table1[[#This Row],[Salary_after]]-Table1[[#This Row],[Salary_before]]</f>
        <v>-3120.5799999999872</v>
      </c>
      <c r="L477" s="11">
        <v>-2.2700000000000001E-2</v>
      </c>
      <c r="M477" s="11">
        <v>0.1149</v>
      </c>
      <c r="N477">
        <v>74.760000000000005</v>
      </c>
      <c r="O477">
        <v>44.21</v>
      </c>
      <c r="P477">
        <v>2</v>
      </c>
      <c r="Q477" t="s">
        <v>25</v>
      </c>
      <c r="R477">
        <v>73.924999999999997</v>
      </c>
      <c r="S477">
        <v>2.27</v>
      </c>
      <c r="T477" s="4">
        <v>49.861999999999902</v>
      </c>
      <c r="U477" s="4">
        <v>21.335746</v>
      </c>
      <c r="V477" t="str">
        <f>IF(Table1[[#This Row],[ai_disruption_intensity]]&gt;70,"High",
IF(Table1[[#This Row],[ai_disruption_intensity]]&gt;40,"Medium","Low"))</f>
        <v>Low</v>
      </c>
      <c r="W477" t="str">
        <f>IF(Table1[[#This Row],[skill_gap_index]]&gt;70,"Large Gap",
IF(Table1[[#This Row],[skill_gap_index]]&gt;40,"Medium Gap","Small Gap"))</f>
        <v>Large Gap</v>
      </c>
      <c r="X477" s="3" t="str">
        <f>IF(Table1[[#This Row],[automation_risk_percent]]&gt;0.7,"Highly Automatable",
IF(Table1[[#This Row],[automation_risk_percent]]&gt;0.4,"Moderate Risk","Safe Job"))</f>
        <v>Moderate Risk</v>
      </c>
    </row>
    <row r="478" spans="1:24" x14ac:dyDescent="0.3">
      <c r="A478">
        <v>1691</v>
      </c>
      <c r="B478" t="s">
        <v>43</v>
      </c>
      <c r="C478" t="s">
        <v>38</v>
      </c>
      <c r="D478" t="s">
        <v>42</v>
      </c>
      <c r="E478" s="1">
        <v>2026</v>
      </c>
      <c r="F478" s="11">
        <v>0.28350000000000003</v>
      </c>
      <c r="G478">
        <v>25.1</v>
      </c>
      <c r="H478">
        <v>8.0500000000000007</v>
      </c>
      <c r="I478" s="2">
        <v>97415.74</v>
      </c>
      <c r="J478" s="2">
        <v>97044.25</v>
      </c>
      <c r="K478" s="2">
        <f>Table1[[#This Row],[Salary_after]]-Table1[[#This Row],[Salary_before]]</f>
        <v>-371.49000000000524</v>
      </c>
      <c r="L478" s="11">
        <v>-3.8E-3</v>
      </c>
      <c r="M478" s="11">
        <v>2.8900000000000002E-2</v>
      </c>
      <c r="N478">
        <v>16.600000000000001</v>
      </c>
      <c r="O478">
        <v>40.520000000000003</v>
      </c>
      <c r="P478">
        <v>5</v>
      </c>
      <c r="Q478" t="s">
        <v>21</v>
      </c>
      <c r="R478">
        <v>18.2</v>
      </c>
      <c r="S478">
        <v>0.38</v>
      </c>
      <c r="T478" s="4">
        <v>13.869</v>
      </c>
      <c r="U478" s="4">
        <v>11.48742</v>
      </c>
      <c r="V478" t="str">
        <f>IF(Table1[[#This Row],[ai_disruption_intensity]]&gt;70,"High",
IF(Table1[[#This Row],[ai_disruption_intensity]]&gt;40,"Medium","Low"))</f>
        <v>Low</v>
      </c>
      <c r="W478" t="str">
        <f>IF(Table1[[#This Row],[skill_gap_index]]&gt;70,"Large Gap",
IF(Table1[[#This Row],[skill_gap_index]]&gt;40,"Medium Gap","Small Gap"))</f>
        <v>Small Gap</v>
      </c>
      <c r="X478" s="3" t="str">
        <f>IF(Table1[[#This Row],[automation_risk_percent]]&gt;0.7,"Highly Automatable",
IF(Table1[[#This Row],[automation_risk_percent]]&gt;0.4,"Moderate Risk","Safe Job"))</f>
        <v>Safe Job</v>
      </c>
    </row>
    <row r="479" spans="1:24" x14ac:dyDescent="0.3">
      <c r="A479">
        <v>1695</v>
      </c>
      <c r="B479" t="s">
        <v>46</v>
      </c>
      <c r="C479" t="s">
        <v>27</v>
      </c>
      <c r="D479" t="s">
        <v>20</v>
      </c>
      <c r="E479" s="1">
        <v>2025</v>
      </c>
      <c r="F479" s="11">
        <v>0.65390000000000004</v>
      </c>
      <c r="G479">
        <v>72.12</v>
      </c>
      <c r="H479">
        <v>10.34</v>
      </c>
      <c r="I479" s="2">
        <v>57738.16</v>
      </c>
      <c r="J479" s="2">
        <v>51078.17</v>
      </c>
      <c r="K479" s="2">
        <f>Table1[[#This Row],[Salary_after]]-Table1[[#This Row],[Salary_before]]</f>
        <v>-6659.9900000000052</v>
      </c>
      <c r="L479" s="11">
        <v>-0.1153</v>
      </c>
      <c r="M479" s="11">
        <v>1.3000000000000001E-2</v>
      </c>
      <c r="N479">
        <v>54.54</v>
      </c>
      <c r="O479">
        <v>47.14</v>
      </c>
      <c r="P479">
        <v>5</v>
      </c>
      <c r="Q479" t="s">
        <v>37</v>
      </c>
      <c r="R479">
        <v>37.865000000000002</v>
      </c>
      <c r="S479">
        <v>11.53</v>
      </c>
      <c r="T479" s="4">
        <v>32.716999999999999</v>
      </c>
      <c r="U479" s="4">
        <v>30.824846000000001</v>
      </c>
      <c r="V479" t="str">
        <f>IF(Table1[[#This Row],[ai_disruption_intensity]]&gt;70,"High",
IF(Table1[[#This Row],[ai_disruption_intensity]]&gt;40,"Medium","Low"))</f>
        <v>Low</v>
      </c>
      <c r="W479" t="str">
        <f>IF(Table1[[#This Row],[skill_gap_index]]&gt;70,"Large Gap",
IF(Table1[[#This Row],[skill_gap_index]]&gt;40,"Medium Gap","Small Gap"))</f>
        <v>Small Gap</v>
      </c>
      <c r="X479" s="3" t="str">
        <f>IF(Table1[[#This Row],[automation_risk_percent]]&gt;0.7,"Highly Automatable",
IF(Table1[[#This Row],[automation_risk_percent]]&gt;0.4,"Moderate Risk","Safe Job"))</f>
        <v>Moderate Risk</v>
      </c>
    </row>
    <row r="480" spans="1:24" x14ac:dyDescent="0.3">
      <c r="A480">
        <v>1696</v>
      </c>
      <c r="B480" t="s">
        <v>22</v>
      </c>
      <c r="C480" t="s">
        <v>38</v>
      </c>
      <c r="D480" t="s">
        <v>36</v>
      </c>
      <c r="E480" s="1">
        <v>2025</v>
      </c>
      <c r="F480" s="11">
        <v>0.76939999999999997</v>
      </c>
      <c r="G480">
        <v>74.900000000000006</v>
      </c>
      <c r="H480">
        <v>78.56</v>
      </c>
      <c r="I480" s="2">
        <v>143029.26999999999</v>
      </c>
      <c r="J480" s="2">
        <v>139186.39000000001</v>
      </c>
      <c r="K480" s="2">
        <f>Table1[[#This Row],[Salary_after]]-Table1[[#This Row],[Salary_before]]</f>
        <v>-3842.8799999999756</v>
      </c>
      <c r="L480" s="11">
        <v>-2.69E-2</v>
      </c>
      <c r="M480" s="11">
        <v>8.48E-2</v>
      </c>
      <c r="N480">
        <v>54.64</v>
      </c>
      <c r="O480">
        <v>34.770000000000003</v>
      </c>
      <c r="P480">
        <v>5</v>
      </c>
      <c r="Q480" t="s">
        <v>37</v>
      </c>
      <c r="R480">
        <v>77.75</v>
      </c>
      <c r="S480">
        <v>2.69</v>
      </c>
      <c r="T480" s="4">
        <v>55.151000000000003</v>
      </c>
      <c r="U480" s="4">
        <v>26.752037999999999</v>
      </c>
      <c r="V480" t="str">
        <f>IF(Table1[[#This Row],[ai_disruption_intensity]]&gt;70,"High",
IF(Table1[[#This Row],[ai_disruption_intensity]]&gt;40,"Medium","Low"))</f>
        <v>Low</v>
      </c>
      <c r="W480" t="str">
        <f>IF(Table1[[#This Row],[skill_gap_index]]&gt;70,"Large Gap",
IF(Table1[[#This Row],[skill_gap_index]]&gt;40,"Medium Gap","Small Gap"))</f>
        <v>Large Gap</v>
      </c>
      <c r="X480" s="3" t="str">
        <f>IF(Table1[[#This Row],[automation_risk_percent]]&gt;0.7,"Highly Automatable",
IF(Table1[[#This Row],[automation_risk_percent]]&gt;0.4,"Moderate Risk","Safe Job"))</f>
        <v>Highly Automatable</v>
      </c>
    </row>
    <row r="481" spans="1:24" x14ac:dyDescent="0.3">
      <c r="A481">
        <v>1699</v>
      </c>
      <c r="B481" t="s">
        <v>45</v>
      </c>
      <c r="C481" t="s">
        <v>40</v>
      </c>
      <c r="D481" t="s">
        <v>47</v>
      </c>
      <c r="E481" s="1">
        <v>2026</v>
      </c>
      <c r="F481" s="11">
        <v>0.22850000000000001</v>
      </c>
      <c r="G481">
        <v>20.88</v>
      </c>
      <c r="H481">
        <v>41.66</v>
      </c>
      <c r="I481" s="2">
        <v>72436.539999999994</v>
      </c>
      <c r="J481" s="2">
        <v>90120.16</v>
      </c>
      <c r="K481" s="2">
        <f>Table1[[#This Row],[Salary_after]]-Table1[[#This Row],[Salary_before]]</f>
        <v>17683.62000000001</v>
      </c>
      <c r="L481" s="11">
        <v>0.24410000000000001</v>
      </c>
      <c r="M481" s="11">
        <v>0.111</v>
      </c>
      <c r="N481">
        <v>61</v>
      </c>
      <c r="O481">
        <v>65.42</v>
      </c>
      <c r="P481">
        <v>4</v>
      </c>
      <c r="Q481" t="s">
        <v>21</v>
      </c>
      <c r="R481">
        <v>32.254999999999903</v>
      </c>
      <c r="S481">
        <v>24.41</v>
      </c>
      <c r="T481" s="4">
        <v>28.960999999999999</v>
      </c>
      <c r="U481" s="4">
        <v>14.94847</v>
      </c>
      <c r="V481" t="str">
        <f>IF(Table1[[#This Row],[ai_disruption_intensity]]&gt;70,"High",
IF(Table1[[#This Row],[ai_disruption_intensity]]&gt;40,"Medium","Low"))</f>
        <v>Low</v>
      </c>
      <c r="W481" t="str">
        <f>IF(Table1[[#This Row],[skill_gap_index]]&gt;70,"Large Gap",
IF(Table1[[#This Row],[skill_gap_index]]&gt;40,"Medium Gap","Small Gap"))</f>
        <v>Medium Gap</v>
      </c>
      <c r="X481" s="3" t="str">
        <f>IF(Table1[[#This Row],[automation_risk_percent]]&gt;0.7,"Highly Automatable",
IF(Table1[[#This Row],[automation_risk_percent]]&gt;0.4,"Moderate Risk","Safe Job"))</f>
        <v>Safe Job</v>
      </c>
    </row>
    <row r="482" spans="1:24" x14ac:dyDescent="0.3">
      <c r="A482">
        <v>1704</v>
      </c>
      <c r="B482" t="s">
        <v>45</v>
      </c>
      <c r="C482" t="s">
        <v>19</v>
      </c>
      <c r="D482" t="s">
        <v>24</v>
      </c>
      <c r="E482" s="1">
        <v>2026</v>
      </c>
      <c r="F482" s="11">
        <v>0.64549999999999996</v>
      </c>
      <c r="G482">
        <v>60.81</v>
      </c>
      <c r="H482">
        <v>98.25</v>
      </c>
      <c r="I482" s="2">
        <v>51692.39</v>
      </c>
      <c r="J482" s="2">
        <v>47485.59</v>
      </c>
      <c r="K482" s="2">
        <f>Table1[[#This Row],[Salary_after]]-Table1[[#This Row],[Salary_before]]</f>
        <v>-4206.8000000000029</v>
      </c>
      <c r="L482" s="11">
        <v>-8.14E-2</v>
      </c>
      <c r="M482" s="11">
        <v>6.8000000000000005E-2</v>
      </c>
      <c r="N482">
        <v>76.05</v>
      </c>
      <c r="O482">
        <v>99.48</v>
      </c>
      <c r="P482">
        <v>3</v>
      </c>
      <c r="Q482" t="s">
        <v>37</v>
      </c>
      <c r="R482">
        <v>81.400000000000006</v>
      </c>
      <c r="S482">
        <v>8.14</v>
      </c>
      <c r="T482" s="4">
        <v>57.737000000000002</v>
      </c>
      <c r="U482" s="4">
        <v>64.214340000000007</v>
      </c>
      <c r="V482" t="str">
        <f>IF(Table1[[#This Row],[ai_disruption_intensity]]&gt;70,"High",
IF(Table1[[#This Row],[ai_disruption_intensity]]&gt;40,"Medium","Low"))</f>
        <v>Medium</v>
      </c>
      <c r="W482" t="str">
        <f>IF(Table1[[#This Row],[skill_gap_index]]&gt;70,"Large Gap",
IF(Table1[[#This Row],[skill_gap_index]]&gt;40,"Medium Gap","Small Gap"))</f>
        <v>Large Gap</v>
      </c>
      <c r="X482" s="3" t="str">
        <f>IF(Table1[[#This Row],[automation_risk_percent]]&gt;0.7,"Highly Automatable",
IF(Table1[[#This Row],[automation_risk_percent]]&gt;0.4,"Moderate Risk","Safe Job"))</f>
        <v>Moderate Risk</v>
      </c>
    </row>
    <row r="483" spans="1:24" x14ac:dyDescent="0.3">
      <c r="A483">
        <v>1705</v>
      </c>
      <c r="B483" t="s">
        <v>43</v>
      </c>
      <c r="C483" t="s">
        <v>30</v>
      </c>
      <c r="D483" t="s">
        <v>20</v>
      </c>
      <c r="E483" s="1">
        <v>2026</v>
      </c>
      <c r="F483" s="11">
        <v>0.6734</v>
      </c>
      <c r="G483">
        <v>68.84</v>
      </c>
      <c r="H483">
        <v>48.47</v>
      </c>
      <c r="I483" s="2">
        <v>130203.6</v>
      </c>
      <c r="J483" s="2">
        <v>124012.61</v>
      </c>
      <c r="K483" s="2">
        <f>Table1[[#This Row],[Salary_after]]-Table1[[#This Row],[Salary_before]]</f>
        <v>-6190.9900000000052</v>
      </c>
      <c r="L483" s="11">
        <v>-4.7500000000000001E-2</v>
      </c>
      <c r="M483" s="11">
        <v>-1.6399999999999998E-2</v>
      </c>
      <c r="N483">
        <v>18.010000000000002</v>
      </c>
      <c r="O483">
        <v>27.17</v>
      </c>
      <c r="P483">
        <v>3</v>
      </c>
      <c r="Q483" t="s">
        <v>37</v>
      </c>
      <c r="R483">
        <v>57.905000000000001</v>
      </c>
      <c r="S483">
        <v>4.75</v>
      </c>
      <c r="T483" s="4">
        <v>42.902000000000001</v>
      </c>
      <c r="U483" s="4">
        <v>18.296278000000001</v>
      </c>
      <c r="V483" t="str">
        <f>IF(Table1[[#This Row],[ai_disruption_intensity]]&gt;70,"High",
IF(Table1[[#This Row],[ai_disruption_intensity]]&gt;40,"Medium","Low"))</f>
        <v>Low</v>
      </c>
      <c r="W483" t="str">
        <f>IF(Table1[[#This Row],[skill_gap_index]]&gt;70,"Large Gap",
IF(Table1[[#This Row],[skill_gap_index]]&gt;40,"Medium Gap","Small Gap"))</f>
        <v>Medium Gap</v>
      </c>
      <c r="X483" s="3" t="str">
        <f>IF(Table1[[#This Row],[automation_risk_percent]]&gt;0.7,"Highly Automatable",
IF(Table1[[#This Row],[automation_risk_percent]]&gt;0.4,"Moderate Risk","Safe Job"))</f>
        <v>Moderate Risk</v>
      </c>
    </row>
    <row r="484" spans="1:24" x14ac:dyDescent="0.3">
      <c r="A484">
        <v>1717</v>
      </c>
      <c r="B484" t="s">
        <v>41</v>
      </c>
      <c r="C484" t="s">
        <v>40</v>
      </c>
      <c r="D484" t="s">
        <v>32</v>
      </c>
      <c r="E484" s="1">
        <v>2025</v>
      </c>
      <c r="F484" s="11">
        <v>0.81499999999999995</v>
      </c>
      <c r="G484">
        <v>86.64</v>
      </c>
      <c r="H484">
        <v>19.27</v>
      </c>
      <c r="I484" s="2">
        <v>66300.479999999996</v>
      </c>
      <c r="J484" s="2">
        <v>64261.22</v>
      </c>
      <c r="K484" s="2">
        <f>Table1[[#This Row],[Salary_after]]-Table1[[#This Row],[Salary_before]]</f>
        <v>-2039.2599999999948</v>
      </c>
      <c r="L484" s="11">
        <v>-3.0800000000000001E-2</v>
      </c>
      <c r="M484" s="11">
        <v>-4.6799999999999994E-2</v>
      </c>
      <c r="N484">
        <v>28.33</v>
      </c>
      <c r="O484">
        <v>64.400000000000006</v>
      </c>
      <c r="P484">
        <v>5</v>
      </c>
      <c r="Q484" t="s">
        <v>37</v>
      </c>
      <c r="R484">
        <v>50.384999999999998</v>
      </c>
      <c r="S484">
        <v>3.08</v>
      </c>
      <c r="T484" s="4">
        <v>39.305</v>
      </c>
      <c r="U484" s="4">
        <v>52.485999999999997</v>
      </c>
      <c r="V484" t="str">
        <f>IF(Table1[[#This Row],[ai_disruption_intensity]]&gt;70,"High",
IF(Table1[[#This Row],[ai_disruption_intensity]]&gt;40,"Medium","Low"))</f>
        <v>Medium</v>
      </c>
      <c r="W484" t="str">
        <f>IF(Table1[[#This Row],[skill_gap_index]]&gt;70,"Large Gap",
IF(Table1[[#This Row],[skill_gap_index]]&gt;40,"Medium Gap","Small Gap"))</f>
        <v>Small Gap</v>
      </c>
      <c r="X484" s="3" t="str">
        <f>IF(Table1[[#This Row],[automation_risk_percent]]&gt;0.7,"Highly Automatable",
IF(Table1[[#This Row],[automation_risk_percent]]&gt;0.4,"Moderate Risk","Safe Job"))</f>
        <v>Highly Automatable</v>
      </c>
    </row>
    <row r="485" spans="1:24" x14ac:dyDescent="0.3">
      <c r="A485">
        <v>1723</v>
      </c>
      <c r="B485" t="s">
        <v>22</v>
      </c>
      <c r="C485" t="s">
        <v>40</v>
      </c>
      <c r="D485" t="s">
        <v>20</v>
      </c>
      <c r="E485" s="1">
        <v>2026</v>
      </c>
      <c r="F485" s="11">
        <v>0.1794</v>
      </c>
      <c r="G485">
        <v>17.46</v>
      </c>
      <c r="H485">
        <v>45.73</v>
      </c>
      <c r="I485" s="2">
        <v>96113.3</v>
      </c>
      <c r="J485" s="2">
        <v>89013.04</v>
      </c>
      <c r="K485" s="2">
        <f>Table1[[#This Row],[Salary_after]]-Table1[[#This Row],[Salary_before]]</f>
        <v>-7100.2600000000093</v>
      </c>
      <c r="L485" s="11">
        <v>-7.3899999999999993E-2</v>
      </c>
      <c r="M485" s="11">
        <v>-1.2699999999999999E-2</v>
      </c>
      <c r="N485">
        <v>57.41</v>
      </c>
      <c r="O485">
        <v>53.72</v>
      </c>
      <c r="P485">
        <v>2</v>
      </c>
      <c r="Q485" t="s">
        <v>21</v>
      </c>
      <c r="R485">
        <v>31.835000000000001</v>
      </c>
      <c r="S485">
        <v>7.39</v>
      </c>
      <c r="T485" s="4">
        <v>23.111999999999998</v>
      </c>
      <c r="U485" s="4">
        <v>9.6373680000000004</v>
      </c>
      <c r="V485" t="str">
        <f>IF(Table1[[#This Row],[ai_disruption_intensity]]&gt;70,"High",
IF(Table1[[#This Row],[ai_disruption_intensity]]&gt;40,"Medium","Low"))</f>
        <v>Low</v>
      </c>
      <c r="W485" t="str">
        <f>IF(Table1[[#This Row],[skill_gap_index]]&gt;70,"Large Gap",
IF(Table1[[#This Row],[skill_gap_index]]&gt;40,"Medium Gap","Small Gap"))</f>
        <v>Medium Gap</v>
      </c>
      <c r="X485" s="3" t="str">
        <f>IF(Table1[[#This Row],[automation_risk_percent]]&gt;0.7,"Highly Automatable",
IF(Table1[[#This Row],[automation_risk_percent]]&gt;0.4,"Moderate Risk","Safe Job"))</f>
        <v>Safe Job</v>
      </c>
    </row>
    <row r="486" spans="1:24" x14ac:dyDescent="0.3">
      <c r="A486">
        <v>1726</v>
      </c>
      <c r="B486" t="s">
        <v>45</v>
      </c>
      <c r="C486" t="s">
        <v>23</v>
      </c>
      <c r="D486" t="s">
        <v>31</v>
      </c>
      <c r="E486" s="1">
        <v>2026</v>
      </c>
      <c r="F486" s="11">
        <v>0.28559999999999997</v>
      </c>
      <c r="G486">
        <v>23.04</v>
      </c>
      <c r="H486">
        <v>47.97</v>
      </c>
      <c r="I486" s="2">
        <v>133069.48000000001</v>
      </c>
      <c r="J486" s="2">
        <v>135836.26</v>
      </c>
      <c r="K486" s="2">
        <f>Table1[[#This Row],[Salary_after]]-Table1[[#This Row],[Salary_before]]</f>
        <v>2766.7799999999988</v>
      </c>
      <c r="L486" s="11">
        <v>2.0799999999999999E-2</v>
      </c>
      <c r="M486" s="11">
        <v>0.14859999999999998</v>
      </c>
      <c r="N486">
        <v>50.01</v>
      </c>
      <c r="O486">
        <v>77.48</v>
      </c>
      <c r="P486">
        <v>1</v>
      </c>
      <c r="Q486" t="s">
        <v>21</v>
      </c>
      <c r="R486">
        <v>38.265000000000001</v>
      </c>
      <c r="S486">
        <v>2.08</v>
      </c>
      <c r="T486" s="4">
        <v>26.438999999999901</v>
      </c>
      <c r="U486" s="4">
        <v>22.128288000000001</v>
      </c>
      <c r="V486" t="str">
        <f>IF(Table1[[#This Row],[ai_disruption_intensity]]&gt;70,"High",
IF(Table1[[#This Row],[ai_disruption_intensity]]&gt;40,"Medium","Low"))</f>
        <v>Low</v>
      </c>
      <c r="W486" t="str">
        <f>IF(Table1[[#This Row],[skill_gap_index]]&gt;70,"Large Gap",
IF(Table1[[#This Row],[skill_gap_index]]&gt;40,"Medium Gap","Small Gap"))</f>
        <v>Medium Gap</v>
      </c>
      <c r="X486" s="3" t="str">
        <f>IF(Table1[[#This Row],[automation_risk_percent]]&gt;0.7,"Highly Automatable",
IF(Table1[[#This Row],[automation_risk_percent]]&gt;0.4,"Moderate Risk","Safe Job"))</f>
        <v>Safe Job</v>
      </c>
    </row>
    <row r="487" spans="1:24" x14ac:dyDescent="0.3">
      <c r="A487">
        <v>1728</v>
      </c>
      <c r="B487" t="s">
        <v>39</v>
      </c>
      <c r="C487" t="s">
        <v>38</v>
      </c>
      <c r="D487" t="s">
        <v>42</v>
      </c>
      <c r="E487" s="1">
        <v>2026</v>
      </c>
      <c r="F487" s="11">
        <v>0.2475</v>
      </c>
      <c r="G487">
        <v>28.08</v>
      </c>
      <c r="H487">
        <v>28.99</v>
      </c>
      <c r="I487" s="2">
        <v>52402.07</v>
      </c>
      <c r="J487" s="2">
        <v>60513.95</v>
      </c>
      <c r="K487" s="2">
        <f>Table1[[#This Row],[Salary_after]]-Table1[[#This Row],[Salary_before]]</f>
        <v>8111.8799999999974</v>
      </c>
      <c r="L487" s="11">
        <v>0.15479999999999999</v>
      </c>
      <c r="M487" s="11">
        <v>-1.2800000000000001E-2</v>
      </c>
      <c r="N487">
        <v>96.89</v>
      </c>
      <c r="O487">
        <v>80.930000000000007</v>
      </c>
      <c r="P487">
        <v>5</v>
      </c>
      <c r="Q487" t="s">
        <v>21</v>
      </c>
      <c r="R487">
        <v>26.869999999999902</v>
      </c>
      <c r="S487">
        <v>15.48</v>
      </c>
      <c r="T487" s="4">
        <v>23.241</v>
      </c>
      <c r="U487" s="4">
        <v>20.030175</v>
      </c>
      <c r="V487" t="str">
        <f>IF(Table1[[#This Row],[ai_disruption_intensity]]&gt;70,"High",
IF(Table1[[#This Row],[ai_disruption_intensity]]&gt;40,"Medium","Low"))</f>
        <v>Low</v>
      </c>
      <c r="W487" t="str">
        <f>IF(Table1[[#This Row],[skill_gap_index]]&gt;70,"Large Gap",
IF(Table1[[#This Row],[skill_gap_index]]&gt;40,"Medium Gap","Small Gap"))</f>
        <v>Small Gap</v>
      </c>
      <c r="X487" s="3" t="str">
        <f>IF(Table1[[#This Row],[automation_risk_percent]]&gt;0.7,"Highly Automatable",
IF(Table1[[#This Row],[automation_risk_percent]]&gt;0.4,"Moderate Risk","Safe Job"))</f>
        <v>Safe Job</v>
      </c>
    </row>
    <row r="488" spans="1:24" x14ac:dyDescent="0.3">
      <c r="A488">
        <v>1729</v>
      </c>
      <c r="B488" t="s">
        <v>44</v>
      </c>
      <c r="C488" t="s">
        <v>27</v>
      </c>
      <c r="D488" t="s">
        <v>28</v>
      </c>
      <c r="E488" s="1">
        <v>2025</v>
      </c>
      <c r="F488" s="11">
        <v>0.75819999999999999</v>
      </c>
      <c r="G488">
        <v>64.92</v>
      </c>
      <c r="H488">
        <v>7.12</v>
      </c>
      <c r="I488" s="2">
        <v>96924.57</v>
      </c>
      <c r="J488" s="2">
        <v>105093.12</v>
      </c>
      <c r="K488" s="2">
        <f>Table1[[#This Row],[Salary_after]]-Table1[[#This Row],[Salary_before]]</f>
        <v>8168.5499999999884</v>
      </c>
      <c r="L488" s="11">
        <v>8.43E-2</v>
      </c>
      <c r="M488" s="11">
        <v>-3.9000000000000003E-3</v>
      </c>
      <c r="N488">
        <v>70.48</v>
      </c>
      <c r="O488">
        <v>97.07</v>
      </c>
      <c r="P488">
        <v>4</v>
      </c>
      <c r="Q488" t="s">
        <v>37</v>
      </c>
      <c r="R488">
        <v>41.47</v>
      </c>
      <c r="S488">
        <v>8.43</v>
      </c>
      <c r="T488" s="4">
        <v>34.992999999999903</v>
      </c>
      <c r="U488" s="4">
        <v>73.598473999999896</v>
      </c>
      <c r="V488" t="str">
        <f>IF(Table1[[#This Row],[ai_disruption_intensity]]&gt;70,"High",
IF(Table1[[#This Row],[ai_disruption_intensity]]&gt;40,"Medium","Low"))</f>
        <v>High</v>
      </c>
      <c r="W488" t="str">
        <f>IF(Table1[[#This Row],[skill_gap_index]]&gt;70,"Large Gap",
IF(Table1[[#This Row],[skill_gap_index]]&gt;40,"Medium Gap","Small Gap"))</f>
        <v>Small Gap</v>
      </c>
      <c r="X488" s="3" t="str">
        <f>IF(Table1[[#This Row],[automation_risk_percent]]&gt;0.7,"Highly Automatable",
IF(Table1[[#This Row],[automation_risk_percent]]&gt;0.4,"Moderate Risk","Safe Job"))</f>
        <v>Highly Automatable</v>
      </c>
    </row>
    <row r="489" spans="1:24" x14ac:dyDescent="0.3">
      <c r="A489">
        <v>1730</v>
      </c>
      <c r="B489" t="s">
        <v>41</v>
      </c>
      <c r="C489" t="s">
        <v>40</v>
      </c>
      <c r="D489" t="s">
        <v>32</v>
      </c>
      <c r="E489" s="1">
        <v>2026</v>
      </c>
      <c r="F489" s="11">
        <v>0.42840000000000006</v>
      </c>
      <c r="G489">
        <v>42.59</v>
      </c>
      <c r="H489">
        <v>50.12</v>
      </c>
      <c r="I489" s="2">
        <v>58701.22</v>
      </c>
      <c r="J489" s="2">
        <v>50922.38</v>
      </c>
      <c r="K489" s="2">
        <f>Table1[[#This Row],[Salary_after]]-Table1[[#This Row],[Salary_before]]</f>
        <v>-7778.8400000000038</v>
      </c>
      <c r="L489" s="11">
        <v>-0.13250000000000001</v>
      </c>
      <c r="M489" s="11">
        <v>0.26050000000000001</v>
      </c>
      <c r="N489">
        <v>50.2</v>
      </c>
      <c r="O489">
        <v>36.270000000000003</v>
      </c>
      <c r="P489">
        <v>3</v>
      </c>
      <c r="Q489" t="s">
        <v>25</v>
      </c>
      <c r="R489">
        <v>46.48</v>
      </c>
      <c r="S489">
        <v>13.25</v>
      </c>
      <c r="T489" s="4">
        <v>36.146999999999998</v>
      </c>
      <c r="U489" s="4">
        <v>15.538068000000001</v>
      </c>
      <c r="V489" t="str">
        <f>IF(Table1[[#This Row],[ai_disruption_intensity]]&gt;70,"High",
IF(Table1[[#This Row],[ai_disruption_intensity]]&gt;40,"Medium","Low"))</f>
        <v>Low</v>
      </c>
      <c r="W489" t="str">
        <f>IF(Table1[[#This Row],[skill_gap_index]]&gt;70,"Large Gap",
IF(Table1[[#This Row],[skill_gap_index]]&gt;40,"Medium Gap","Small Gap"))</f>
        <v>Medium Gap</v>
      </c>
      <c r="X489" s="3" t="str">
        <f>IF(Table1[[#This Row],[automation_risk_percent]]&gt;0.7,"Highly Automatable",
IF(Table1[[#This Row],[automation_risk_percent]]&gt;0.4,"Moderate Risk","Safe Job"))</f>
        <v>Moderate Risk</v>
      </c>
    </row>
    <row r="490" spans="1:24" x14ac:dyDescent="0.3">
      <c r="A490">
        <v>1732</v>
      </c>
      <c r="B490" t="s">
        <v>39</v>
      </c>
      <c r="C490" t="s">
        <v>33</v>
      </c>
      <c r="D490" t="s">
        <v>42</v>
      </c>
      <c r="E490" s="1">
        <v>2025</v>
      </c>
      <c r="F490" s="11">
        <v>0.45539999999999997</v>
      </c>
      <c r="G490">
        <v>49.04</v>
      </c>
      <c r="H490">
        <v>63.02</v>
      </c>
      <c r="I490" s="2">
        <v>126450.59</v>
      </c>
      <c r="J490" s="2">
        <v>140535.45000000001</v>
      </c>
      <c r="K490" s="2">
        <f>Table1[[#This Row],[Salary_after]]-Table1[[#This Row],[Salary_before]]</f>
        <v>14084.860000000015</v>
      </c>
      <c r="L490" s="11">
        <v>0.1114</v>
      </c>
      <c r="M490" s="11">
        <v>-0.23</v>
      </c>
      <c r="N490">
        <v>82.94</v>
      </c>
      <c r="O490">
        <v>42.77</v>
      </c>
      <c r="P490">
        <v>3</v>
      </c>
      <c r="Q490" t="s">
        <v>25</v>
      </c>
      <c r="R490">
        <v>54.28</v>
      </c>
      <c r="S490">
        <v>11.14</v>
      </c>
      <c r="T490" s="4">
        <v>40.463999999999999</v>
      </c>
      <c r="U490" s="4">
        <v>19.477457999999999</v>
      </c>
      <c r="V490" t="str">
        <f>IF(Table1[[#This Row],[ai_disruption_intensity]]&gt;70,"High",
IF(Table1[[#This Row],[ai_disruption_intensity]]&gt;40,"Medium","Low"))</f>
        <v>Low</v>
      </c>
      <c r="W490" t="str">
        <f>IF(Table1[[#This Row],[skill_gap_index]]&gt;70,"Large Gap",
IF(Table1[[#This Row],[skill_gap_index]]&gt;40,"Medium Gap","Small Gap"))</f>
        <v>Medium Gap</v>
      </c>
      <c r="X490" s="3" t="str">
        <f>IF(Table1[[#This Row],[automation_risk_percent]]&gt;0.7,"Highly Automatable",
IF(Table1[[#This Row],[automation_risk_percent]]&gt;0.4,"Moderate Risk","Safe Job"))</f>
        <v>Moderate Risk</v>
      </c>
    </row>
    <row r="491" spans="1:24" x14ac:dyDescent="0.3">
      <c r="A491">
        <v>1736</v>
      </c>
      <c r="B491" t="s">
        <v>45</v>
      </c>
      <c r="C491" t="s">
        <v>33</v>
      </c>
      <c r="D491" t="s">
        <v>31</v>
      </c>
      <c r="E491" s="1">
        <v>2025</v>
      </c>
      <c r="F491" s="11">
        <v>0.29920000000000002</v>
      </c>
      <c r="G491">
        <v>30.82</v>
      </c>
      <c r="H491">
        <v>12.32</v>
      </c>
      <c r="I491" s="2">
        <v>112825.29</v>
      </c>
      <c r="J491" s="2">
        <v>103275.78</v>
      </c>
      <c r="K491" s="2">
        <f>Table1[[#This Row],[Salary_after]]-Table1[[#This Row],[Salary_before]]</f>
        <v>-9549.5099999999948</v>
      </c>
      <c r="L491" s="11">
        <v>-8.4600000000000009E-2</v>
      </c>
      <c r="M491" s="11">
        <v>0.22440000000000002</v>
      </c>
      <c r="N491">
        <v>21.17</v>
      </c>
      <c r="O491">
        <v>41.99</v>
      </c>
      <c r="P491">
        <v>5</v>
      </c>
      <c r="Q491" t="s">
        <v>21</v>
      </c>
      <c r="R491">
        <v>21.12</v>
      </c>
      <c r="S491">
        <v>8.4600000000000009</v>
      </c>
      <c r="T491" s="4">
        <v>18.202000000000002</v>
      </c>
      <c r="U491" s="4">
        <v>12.563408000000001</v>
      </c>
      <c r="V491" t="str">
        <f>IF(Table1[[#This Row],[ai_disruption_intensity]]&gt;70,"High",
IF(Table1[[#This Row],[ai_disruption_intensity]]&gt;40,"Medium","Low"))</f>
        <v>Low</v>
      </c>
      <c r="W491" t="str">
        <f>IF(Table1[[#This Row],[skill_gap_index]]&gt;70,"Large Gap",
IF(Table1[[#This Row],[skill_gap_index]]&gt;40,"Medium Gap","Small Gap"))</f>
        <v>Small Gap</v>
      </c>
      <c r="X491" s="3" t="str">
        <f>IF(Table1[[#This Row],[automation_risk_percent]]&gt;0.7,"Highly Automatable",
IF(Table1[[#This Row],[automation_risk_percent]]&gt;0.4,"Moderate Risk","Safe Job"))</f>
        <v>Safe Job</v>
      </c>
    </row>
    <row r="492" spans="1:24" x14ac:dyDescent="0.3">
      <c r="A492">
        <v>1737</v>
      </c>
      <c r="B492" t="s">
        <v>44</v>
      </c>
      <c r="C492" t="s">
        <v>33</v>
      </c>
      <c r="D492" t="s">
        <v>35</v>
      </c>
      <c r="E492" s="1">
        <v>2026</v>
      </c>
      <c r="F492" s="11">
        <v>0.23600000000000002</v>
      </c>
      <c r="G492">
        <v>22.8</v>
      </c>
      <c r="H492">
        <v>38.43</v>
      </c>
      <c r="I492" s="2">
        <v>118607</v>
      </c>
      <c r="J492" s="2">
        <v>124884.86</v>
      </c>
      <c r="K492" s="2">
        <f>Table1[[#This Row],[Salary_after]]-Table1[[#This Row],[Salary_before]]</f>
        <v>6277.8600000000006</v>
      </c>
      <c r="L492" s="11">
        <v>5.2900000000000003E-2</v>
      </c>
      <c r="M492" s="11">
        <v>0.18559999999999999</v>
      </c>
      <c r="N492">
        <v>12.04</v>
      </c>
      <c r="O492">
        <v>93.1</v>
      </c>
      <c r="P492">
        <v>2</v>
      </c>
      <c r="Q492" t="s">
        <v>21</v>
      </c>
      <c r="R492">
        <v>31.015000000000001</v>
      </c>
      <c r="S492">
        <v>5.29</v>
      </c>
      <c r="T492" s="4">
        <v>22.556000000000001</v>
      </c>
      <c r="U492" s="4">
        <v>21.971599999999999</v>
      </c>
      <c r="V492" t="str">
        <f>IF(Table1[[#This Row],[ai_disruption_intensity]]&gt;70,"High",
IF(Table1[[#This Row],[ai_disruption_intensity]]&gt;40,"Medium","Low"))</f>
        <v>Low</v>
      </c>
      <c r="W492" t="str">
        <f>IF(Table1[[#This Row],[skill_gap_index]]&gt;70,"Large Gap",
IF(Table1[[#This Row],[skill_gap_index]]&gt;40,"Medium Gap","Small Gap"))</f>
        <v>Small Gap</v>
      </c>
      <c r="X492" s="3" t="str">
        <f>IF(Table1[[#This Row],[automation_risk_percent]]&gt;0.7,"Highly Automatable",
IF(Table1[[#This Row],[automation_risk_percent]]&gt;0.4,"Moderate Risk","Safe Job"))</f>
        <v>Safe Job</v>
      </c>
    </row>
    <row r="493" spans="1:24" x14ac:dyDescent="0.3">
      <c r="A493">
        <v>1738</v>
      </c>
      <c r="B493" t="s">
        <v>29</v>
      </c>
      <c r="C493" t="s">
        <v>40</v>
      </c>
      <c r="D493" t="s">
        <v>31</v>
      </c>
      <c r="E493" s="1">
        <v>2026</v>
      </c>
      <c r="F493" s="11">
        <v>0.73040000000000005</v>
      </c>
      <c r="G493">
        <v>59.43</v>
      </c>
      <c r="H493">
        <v>81.88</v>
      </c>
      <c r="I493" s="2">
        <v>54031.94</v>
      </c>
      <c r="J493" s="2">
        <v>48466.18</v>
      </c>
      <c r="K493" s="2">
        <f>Table1[[#This Row],[Salary_after]]-Table1[[#This Row],[Salary_before]]</f>
        <v>-5565.760000000002</v>
      </c>
      <c r="L493" s="11">
        <v>-0.10300000000000001</v>
      </c>
      <c r="M493" s="11">
        <v>0.29460000000000003</v>
      </c>
      <c r="N493">
        <v>47.79</v>
      </c>
      <c r="O493">
        <v>88.97</v>
      </c>
      <c r="P493">
        <v>5</v>
      </c>
      <c r="Q493" t="s">
        <v>37</v>
      </c>
      <c r="R493">
        <v>77.459999999999994</v>
      </c>
      <c r="S493">
        <v>10.3</v>
      </c>
      <c r="T493" s="4">
        <v>56.87</v>
      </c>
      <c r="U493" s="4">
        <v>64.983688000000001</v>
      </c>
      <c r="V493" t="str">
        <f>IF(Table1[[#This Row],[ai_disruption_intensity]]&gt;70,"High",
IF(Table1[[#This Row],[ai_disruption_intensity]]&gt;40,"Medium","Low"))</f>
        <v>Medium</v>
      </c>
      <c r="W493" t="str">
        <f>IF(Table1[[#This Row],[skill_gap_index]]&gt;70,"Large Gap",
IF(Table1[[#This Row],[skill_gap_index]]&gt;40,"Medium Gap","Small Gap"))</f>
        <v>Large Gap</v>
      </c>
      <c r="X493" s="3" t="str">
        <f>IF(Table1[[#This Row],[automation_risk_percent]]&gt;0.7,"Highly Automatable",
IF(Table1[[#This Row],[automation_risk_percent]]&gt;0.4,"Moderate Risk","Safe Job"))</f>
        <v>Highly Automatable</v>
      </c>
    </row>
    <row r="494" spans="1:24" x14ac:dyDescent="0.3">
      <c r="A494">
        <v>1748</v>
      </c>
      <c r="B494" t="s">
        <v>46</v>
      </c>
      <c r="C494" t="s">
        <v>34</v>
      </c>
      <c r="D494" t="s">
        <v>24</v>
      </c>
      <c r="E494" s="1">
        <v>2026</v>
      </c>
      <c r="F494" s="11">
        <v>0.42579999999999996</v>
      </c>
      <c r="G494">
        <v>40.68</v>
      </c>
      <c r="H494">
        <v>50.32</v>
      </c>
      <c r="I494" s="2">
        <v>122248.18</v>
      </c>
      <c r="J494" s="2">
        <v>138420.71</v>
      </c>
      <c r="K494" s="2">
        <f>Table1[[#This Row],[Salary_after]]-Table1[[#This Row],[Salary_before]]</f>
        <v>16172.529999999999</v>
      </c>
      <c r="L494" s="11">
        <v>0.1323</v>
      </c>
      <c r="M494" s="11">
        <v>-5.1999999999999998E-3</v>
      </c>
      <c r="N494">
        <v>48.85</v>
      </c>
      <c r="O494">
        <v>33.22</v>
      </c>
      <c r="P494">
        <v>5</v>
      </c>
      <c r="Q494" t="s">
        <v>25</v>
      </c>
      <c r="R494">
        <v>46.45</v>
      </c>
      <c r="S494">
        <v>13.23</v>
      </c>
      <c r="T494" s="4">
        <v>36.097000000000001</v>
      </c>
      <c r="U494" s="4">
        <v>14.145076</v>
      </c>
      <c r="V494" t="str">
        <f>IF(Table1[[#This Row],[ai_disruption_intensity]]&gt;70,"High",
IF(Table1[[#This Row],[ai_disruption_intensity]]&gt;40,"Medium","Low"))</f>
        <v>Low</v>
      </c>
      <c r="W494" t="str">
        <f>IF(Table1[[#This Row],[skill_gap_index]]&gt;70,"Large Gap",
IF(Table1[[#This Row],[skill_gap_index]]&gt;40,"Medium Gap","Small Gap"))</f>
        <v>Medium Gap</v>
      </c>
      <c r="X494" s="3" t="str">
        <f>IF(Table1[[#This Row],[automation_risk_percent]]&gt;0.7,"Highly Automatable",
IF(Table1[[#This Row],[automation_risk_percent]]&gt;0.4,"Moderate Risk","Safe Job"))</f>
        <v>Moderate Risk</v>
      </c>
    </row>
    <row r="495" spans="1:24" x14ac:dyDescent="0.3">
      <c r="A495">
        <v>1753</v>
      </c>
      <c r="B495" t="s">
        <v>18</v>
      </c>
      <c r="C495" t="s">
        <v>30</v>
      </c>
      <c r="D495" t="s">
        <v>24</v>
      </c>
      <c r="E495" s="1">
        <v>2026</v>
      </c>
      <c r="F495" s="11">
        <v>0.49390000000000001</v>
      </c>
      <c r="G495">
        <v>41.15</v>
      </c>
      <c r="H495">
        <v>18.559999999999999</v>
      </c>
      <c r="I495" s="2">
        <v>56319.38</v>
      </c>
      <c r="J495" s="2">
        <v>58759.05</v>
      </c>
      <c r="K495" s="2">
        <f>Table1[[#This Row],[Salary_after]]-Table1[[#This Row],[Salary_before]]</f>
        <v>2439.6700000000055</v>
      </c>
      <c r="L495" s="11">
        <v>4.3299999999999998E-2</v>
      </c>
      <c r="M495" s="11">
        <v>-0.1104</v>
      </c>
      <c r="N495">
        <v>55.36</v>
      </c>
      <c r="O495">
        <v>20.32</v>
      </c>
      <c r="P495">
        <v>5</v>
      </c>
      <c r="Q495" t="s">
        <v>25</v>
      </c>
      <c r="R495">
        <v>33.975000000000001</v>
      </c>
      <c r="S495">
        <v>4.33</v>
      </c>
      <c r="T495" s="4">
        <v>26.622999999999902</v>
      </c>
      <c r="U495" s="4">
        <v>10.036047999999999</v>
      </c>
      <c r="V495" t="str">
        <f>IF(Table1[[#This Row],[ai_disruption_intensity]]&gt;70,"High",
IF(Table1[[#This Row],[ai_disruption_intensity]]&gt;40,"Medium","Low"))</f>
        <v>Low</v>
      </c>
      <c r="W495" t="str">
        <f>IF(Table1[[#This Row],[skill_gap_index]]&gt;70,"Large Gap",
IF(Table1[[#This Row],[skill_gap_index]]&gt;40,"Medium Gap","Small Gap"))</f>
        <v>Small Gap</v>
      </c>
      <c r="X495" s="3" t="str">
        <f>IF(Table1[[#This Row],[automation_risk_percent]]&gt;0.7,"Highly Automatable",
IF(Table1[[#This Row],[automation_risk_percent]]&gt;0.4,"Moderate Risk","Safe Job"))</f>
        <v>Moderate Risk</v>
      </c>
    </row>
    <row r="496" spans="1:24" x14ac:dyDescent="0.3">
      <c r="A496">
        <v>1757</v>
      </c>
      <c r="B496" t="s">
        <v>41</v>
      </c>
      <c r="C496" t="s">
        <v>33</v>
      </c>
      <c r="D496" t="s">
        <v>20</v>
      </c>
      <c r="E496" s="1">
        <v>2026</v>
      </c>
      <c r="F496" s="11">
        <v>0.85819999999999996</v>
      </c>
      <c r="G496">
        <v>82.9</v>
      </c>
      <c r="H496">
        <v>53.47</v>
      </c>
      <c r="I496" s="2">
        <v>32423.39</v>
      </c>
      <c r="J496" s="2">
        <v>33789.58</v>
      </c>
      <c r="K496" s="2">
        <f>Table1[[#This Row],[Salary_after]]-Table1[[#This Row],[Salary_before]]</f>
        <v>1366.1900000000023</v>
      </c>
      <c r="L496" s="11">
        <v>4.2099999999999999E-2</v>
      </c>
      <c r="M496" s="11">
        <v>-5.1500000000000004E-2</v>
      </c>
      <c r="N496">
        <v>74.53</v>
      </c>
      <c r="O496">
        <v>58.26</v>
      </c>
      <c r="P496">
        <v>4</v>
      </c>
      <c r="Q496" t="s">
        <v>37</v>
      </c>
      <c r="R496">
        <v>69.644999999999996</v>
      </c>
      <c r="S496">
        <v>4.21</v>
      </c>
      <c r="T496" s="4">
        <v>51.631999999999998</v>
      </c>
      <c r="U496" s="4">
        <v>49.998731999999897</v>
      </c>
      <c r="V496" t="str">
        <f>IF(Table1[[#This Row],[ai_disruption_intensity]]&gt;70,"High",
IF(Table1[[#This Row],[ai_disruption_intensity]]&gt;40,"Medium","Low"))</f>
        <v>Medium</v>
      </c>
      <c r="W496" t="str">
        <f>IF(Table1[[#This Row],[skill_gap_index]]&gt;70,"Large Gap",
IF(Table1[[#This Row],[skill_gap_index]]&gt;40,"Medium Gap","Small Gap"))</f>
        <v>Medium Gap</v>
      </c>
      <c r="X496" s="3" t="str">
        <f>IF(Table1[[#This Row],[automation_risk_percent]]&gt;0.7,"Highly Automatable",
IF(Table1[[#This Row],[automation_risk_percent]]&gt;0.4,"Moderate Risk","Safe Job"))</f>
        <v>Highly Automatable</v>
      </c>
    </row>
    <row r="497" spans="1:24" x14ac:dyDescent="0.3">
      <c r="A497">
        <v>1759</v>
      </c>
      <c r="B497" t="s">
        <v>41</v>
      </c>
      <c r="C497" t="s">
        <v>19</v>
      </c>
      <c r="D497" t="s">
        <v>35</v>
      </c>
      <c r="E497" s="1">
        <v>2026</v>
      </c>
      <c r="F497" s="11">
        <v>0.58020000000000005</v>
      </c>
      <c r="G497">
        <v>63.68</v>
      </c>
      <c r="H497">
        <v>14</v>
      </c>
      <c r="I497" s="2">
        <v>110486.34</v>
      </c>
      <c r="J497" s="2">
        <v>106548.31</v>
      </c>
      <c r="K497" s="2">
        <f>Table1[[#This Row],[Salary_after]]-Table1[[#This Row],[Salary_before]]</f>
        <v>-3938.0299999999988</v>
      </c>
      <c r="L497" s="11">
        <v>-3.56E-2</v>
      </c>
      <c r="M497" s="11">
        <v>-0.10249999999999999</v>
      </c>
      <c r="N497">
        <v>11.52</v>
      </c>
      <c r="O497">
        <v>15.16</v>
      </c>
      <c r="P497">
        <v>4</v>
      </c>
      <c r="Q497" t="s">
        <v>25</v>
      </c>
      <c r="R497">
        <v>36.01</v>
      </c>
      <c r="S497">
        <v>3.56</v>
      </c>
      <c r="T497" s="4">
        <v>28.475999999999999</v>
      </c>
      <c r="U497" s="4">
        <v>8.7958320000000008</v>
      </c>
      <c r="V497" t="str">
        <f>IF(Table1[[#This Row],[ai_disruption_intensity]]&gt;70,"High",
IF(Table1[[#This Row],[ai_disruption_intensity]]&gt;40,"Medium","Low"))</f>
        <v>Low</v>
      </c>
      <c r="W497" t="str">
        <f>IF(Table1[[#This Row],[skill_gap_index]]&gt;70,"Large Gap",
IF(Table1[[#This Row],[skill_gap_index]]&gt;40,"Medium Gap","Small Gap"))</f>
        <v>Small Gap</v>
      </c>
      <c r="X497" s="3" t="str">
        <f>IF(Table1[[#This Row],[automation_risk_percent]]&gt;0.7,"Highly Automatable",
IF(Table1[[#This Row],[automation_risk_percent]]&gt;0.4,"Moderate Risk","Safe Job"))</f>
        <v>Moderate Risk</v>
      </c>
    </row>
    <row r="498" spans="1:24" x14ac:dyDescent="0.3">
      <c r="A498">
        <v>1763</v>
      </c>
      <c r="B498" t="s">
        <v>29</v>
      </c>
      <c r="C498" t="s">
        <v>23</v>
      </c>
      <c r="D498" t="s">
        <v>47</v>
      </c>
      <c r="E498" s="1">
        <v>2025</v>
      </c>
      <c r="F498" s="11">
        <v>0.81519999999999992</v>
      </c>
      <c r="G498">
        <v>69.63</v>
      </c>
      <c r="H498">
        <v>59.54</v>
      </c>
      <c r="I498" s="2">
        <v>71128.850000000006</v>
      </c>
      <c r="J498" s="2">
        <v>75628.34</v>
      </c>
      <c r="K498" s="2">
        <f>Table1[[#This Row],[Salary_after]]-Table1[[#This Row],[Salary_before]]</f>
        <v>4499.4899999999907</v>
      </c>
      <c r="L498" s="11">
        <v>6.3299999999999995E-2</v>
      </c>
      <c r="M498" s="11">
        <v>-7.4299999999999991E-2</v>
      </c>
      <c r="N498">
        <v>51.13</v>
      </c>
      <c r="O498">
        <v>40.01</v>
      </c>
      <c r="P498">
        <v>3</v>
      </c>
      <c r="Q498" t="s">
        <v>37</v>
      </c>
      <c r="R498">
        <v>70.53</v>
      </c>
      <c r="S498">
        <v>6.33</v>
      </c>
      <c r="T498" s="4">
        <v>52.369</v>
      </c>
      <c r="U498" s="4">
        <v>32.616152</v>
      </c>
      <c r="V498" t="str">
        <f>IF(Table1[[#This Row],[ai_disruption_intensity]]&gt;70,"High",
IF(Table1[[#This Row],[ai_disruption_intensity]]&gt;40,"Medium","Low"))</f>
        <v>Low</v>
      </c>
      <c r="W498" t="str">
        <f>IF(Table1[[#This Row],[skill_gap_index]]&gt;70,"Large Gap",
IF(Table1[[#This Row],[skill_gap_index]]&gt;40,"Medium Gap","Small Gap"))</f>
        <v>Medium Gap</v>
      </c>
      <c r="X498" s="3" t="str">
        <f>IF(Table1[[#This Row],[automation_risk_percent]]&gt;0.7,"Highly Automatable",
IF(Table1[[#This Row],[automation_risk_percent]]&gt;0.4,"Moderate Risk","Safe Job"))</f>
        <v>Highly Automatable</v>
      </c>
    </row>
    <row r="499" spans="1:24" x14ac:dyDescent="0.3">
      <c r="A499">
        <v>1764</v>
      </c>
      <c r="B499" t="s">
        <v>41</v>
      </c>
      <c r="C499" t="s">
        <v>19</v>
      </c>
      <c r="D499" t="s">
        <v>24</v>
      </c>
      <c r="E499" s="1">
        <v>2025</v>
      </c>
      <c r="F499" s="11">
        <v>0.66500000000000004</v>
      </c>
      <c r="G499">
        <v>66.27</v>
      </c>
      <c r="H499">
        <v>30.35</v>
      </c>
      <c r="I499" s="2">
        <v>97087.35</v>
      </c>
      <c r="J499" s="2">
        <v>90391.67</v>
      </c>
      <c r="K499" s="2">
        <f>Table1[[#This Row],[Salary_after]]-Table1[[#This Row],[Salary_before]]</f>
        <v>-6695.6800000000076</v>
      </c>
      <c r="L499" s="11">
        <v>-6.9000000000000006E-2</v>
      </c>
      <c r="M499" s="11">
        <v>4.4699999999999997E-2</v>
      </c>
      <c r="N499">
        <v>26.78</v>
      </c>
      <c r="O499">
        <v>56.05</v>
      </c>
      <c r="P499">
        <v>3</v>
      </c>
      <c r="Q499" t="s">
        <v>37</v>
      </c>
      <c r="R499">
        <v>48.424999999999997</v>
      </c>
      <c r="S499">
        <v>6.9</v>
      </c>
      <c r="T499" s="4">
        <v>37.774999999999999</v>
      </c>
      <c r="U499" s="4">
        <v>37.273249999999997</v>
      </c>
      <c r="V499" t="str">
        <f>IF(Table1[[#This Row],[ai_disruption_intensity]]&gt;70,"High",
IF(Table1[[#This Row],[ai_disruption_intensity]]&gt;40,"Medium","Low"))</f>
        <v>Low</v>
      </c>
      <c r="W499" t="str">
        <f>IF(Table1[[#This Row],[skill_gap_index]]&gt;70,"Large Gap",
IF(Table1[[#This Row],[skill_gap_index]]&gt;40,"Medium Gap","Small Gap"))</f>
        <v>Small Gap</v>
      </c>
      <c r="X499" s="3" t="str">
        <f>IF(Table1[[#This Row],[automation_risk_percent]]&gt;0.7,"Highly Automatable",
IF(Table1[[#This Row],[automation_risk_percent]]&gt;0.4,"Moderate Risk","Safe Job"))</f>
        <v>Moderate Risk</v>
      </c>
    </row>
    <row r="500" spans="1:24" x14ac:dyDescent="0.3">
      <c r="A500">
        <v>1769</v>
      </c>
      <c r="B500" t="s">
        <v>45</v>
      </c>
      <c r="C500" t="s">
        <v>33</v>
      </c>
      <c r="D500" t="s">
        <v>42</v>
      </c>
      <c r="E500" s="1">
        <v>2025</v>
      </c>
      <c r="F500" s="11">
        <v>0.28850000000000003</v>
      </c>
      <c r="G500">
        <v>32.54</v>
      </c>
      <c r="H500">
        <v>71.069999999999993</v>
      </c>
      <c r="I500" s="2">
        <v>147793.13</v>
      </c>
      <c r="J500" s="2">
        <v>138317.94</v>
      </c>
      <c r="K500" s="2">
        <f>Table1[[#This Row],[Salary_after]]-Table1[[#This Row],[Salary_before]]</f>
        <v>-9475.1900000000023</v>
      </c>
      <c r="L500" s="11">
        <v>-6.4100000000000004E-2</v>
      </c>
      <c r="M500" s="11">
        <v>0.21590000000000001</v>
      </c>
      <c r="N500">
        <v>72.900000000000006</v>
      </c>
      <c r="O500">
        <v>99.95</v>
      </c>
      <c r="P500">
        <v>1</v>
      </c>
      <c r="Q500" t="s">
        <v>21</v>
      </c>
      <c r="R500">
        <v>49.959999999999901</v>
      </c>
      <c r="S500">
        <v>6.41</v>
      </c>
      <c r="T500" s="4">
        <v>34.783999999999999</v>
      </c>
      <c r="U500" s="4">
        <v>28.835574999999999</v>
      </c>
      <c r="V500" t="str">
        <f>IF(Table1[[#This Row],[ai_disruption_intensity]]&gt;70,"High",
IF(Table1[[#This Row],[ai_disruption_intensity]]&gt;40,"Medium","Low"))</f>
        <v>Low</v>
      </c>
      <c r="W500" t="str">
        <f>IF(Table1[[#This Row],[skill_gap_index]]&gt;70,"Large Gap",
IF(Table1[[#This Row],[skill_gap_index]]&gt;40,"Medium Gap","Small Gap"))</f>
        <v>Large Gap</v>
      </c>
      <c r="X500" s="3" t="str">
        <f>IF(Table1[[#This Row],[automation_risk_percent]]&gt;0.7,"Highly Automatable",
IF(Table1[[#This Row],[automation_risk_percent]]&gt;0.4,"Moderate Risk","Safe Job"))</f>
        <v>Safe Job</v>
      </c>
    </row>
    <row r="501" spans="1:24" x14ac:dyDescent="0.3">
      <c r="A501">
        <v>1772</v>
      </c>
      <c r="B501" t="s">
        <v>41</v>
      </c>
      <c r="C501" t="s">
        <v>33</v>
      </c>
      <c r="D501" t="s">
        <v>24</v>
      </c>
      <c r="E501" s="1">
        <v>2025</v>
      </c>
      <c r="F501" s="11">
        <v>0.56459999999999999</v>
      </c>
      <c r="G501">
        <v>56.3</v>
      </c>
      <c r="H501">
        <v>29.86</v>
      </c>
      <c r="I501" s="2">
        <v>49075.81</v>
      </c>
      <c r="J501" s="2">
        <v>55872.18</v>
      </c>
      <c r="K501" s="2">
        <f>Table1[[#This Row],[Salary_after]]-Table1[[#This Row],[Salary_before]]</f>
        <v>6796.3700000000026</v>
      </c>
      <c r="L501" s="11">
        <v>0.13849999999999998</v>
      </c>
      <c r="M501" s="11">
        <v>8.9700000000000002E-2</v>
      </c>
      <c r="N501">
        <v>25.23</v>
      </c>
      <c r="O501">
        <v>10.86</v>
      </c>
      <c r="P501">
        <v>1</v>
      </c>
      <c r="Q501" t="s">
        <v>25</v>
      </c>
      <c r="R501">
        <v>43.16</v>
      </c>
      <c r="S501">
        <v>13.85</v>
      </c>
      <c r="T501" s="4">
        <v>35.697000000000003</v>
      </c>
      <c r="U501" s="4">
        <v>6.1315559999999998</v>
      </c>
      <c r="V501" t="str">
        <f>IF(Table1[[#This Row],[ai_disruption_intensity]]&gt;70,"High",
IF(Table1[[#This Row],[ai_disruption_intensity]]&gt;40,"Medium","Low"))</f>
        <v>Low</v>
      </c>
      <c r="W501" t="str">
        <f>IF(Table1[[#This Row],[skill_gap_index]]&gt;70,"Large Gap",
IF(Table1[[#This Row],[skill_gap_index]]&gt;40,"Medium Gap","Small Gap"))</f>
        <v>Small Gap</v>
      </c>
      <c r="X501" s="3" t="str">
        <f>IF(Table1[[#This Row],[automation_risk_percent]]&gt;0.7,"Highly Automatable",
IF(Table1[[#This Row],[automation_risk_percent]]&gt;0.4,"Moderate Risk","Safe Job"))</f>
        <v>Moderate Risk</v>
      </c>
    </row>
    <row r="502" spans="1:24" x14ac:dyDescent="0.3">
      <c r="A502">
        <v>1775</v>
      </c>
      <c r="B502" t="s">
        <v>46</v>
      </c>
      <c r="C502" t="s">
        <v>19</v>
      </c>
      <c r="D502" t="s">
        <v>42</v>
      </c>
      <c r="E502" s="1">
        <v>2025</v>
      </c>
      <c r="F502" s="11">
        <v>0.68540000000000001</v>
      </c>
      <c r="G502">
        <v>56.85</v>
      </c>
      <c r="H502">
        <v>28.39</v>
      </c>
      <c r="I502" s="2">
        <v>59159.71</v>
      </c>
      <c r="J502" s="2">
        <v>55235.42</v>
      </c>
      <c r="K502" s="2">
        <f>Table1[[#This Row],[Salary_after]]-Table1[[#This Row],[Salary_before]]</f>
        <v>-3924.2900000000009</v>
      </c>
      <c r="L502" s="11">
        <v>-6.6299999999999998E-2</v>
      </c>
      <c r="M502" s="11">
        <v>-8.7499999999999994E-2</v>
      </c>
      <c r="N502">
        <v>83.63</v>
      </c>
      <c r="O502">
        <v>91.29</v>
      </c>
      <c r="P502">
        <v>5</v>
      </c>
      <c r="Q502" t="s">
        <v>37</v>
      </c>
      <c r="R502">
        <v>48.465000000000003</v>
      </c>
      <c r="S502">
        <v>6.63</v>
      </c>
      <c r="T502" s="4">
        <v>37.921999999999997</v>
      </c>
      <c r="U502" s="4">
        <v>62.570166</v>
      </c>
      <c r="V502" t="str">
        <f>IF(Table1[[#This Row],[ai_disruption_intensity]]&gt;70,"High",
IF(Table1[[#This Row],[ai_disruption_intensity]]&gt;40,"Medium","Low"))</f>
        <v>Medium</v>
      </c>
      <c r="W502" t="str">
        <f>IF(Table1[[#This Row],[skill_gap_index]]&gt;70,"Large Gap",
IF(Table1[[#This Row],[skill_gap_index]]&gt;40,"Medium Gap","Small Gap"))</f>
        <v>Small Gap</v>
      </c>
      <c r="X502" s="3" t="str">
        <f>IF(Table1[[#This Row],[automation_risk_percent]]&gt;0.7,"Highly Automatable",
IF(Table1[[#This Row],[automation_risk_percent]]&gt;0.4,"Moderate Risk","Safe Job"))</f>
        <v>Moderate Risk</v>
      </c>
    </row>
    <row r="503" spans="1:24" x14ac:dyDescent="0.3">
      <c r="A503">
        <v>1776</v>
      </c>
      <c r="B503" t="s">
        <v>29</v>
      </c>
      <c r="C503" t="s">
        <v>33</v>
      </c>
      <c r="D503" t="s">
        <v>24</v>
      </c>
      <c r="E503" s="1">
        <v>2026</v>
      </c>
      <c r="F503" s="11">
        <v>0.39159999999999995</v>
      </c>
      <c r="G503">
        <v>39.83</v>
      </c>
      <c r="H503">
        <v>63.69</v>
      </c>
      <c r="I503" s="2">
        <v>92619.3</v>
      </c>
      <c r="J503" s="2">
        <v>80306.87</v>
      </c>
      <c r="K503" s="2">
        <f>Table1[[#This Row],[Salary_after]]-Table1[[#This Row],[Salary_before]]</f>
        <v>-12312.430000000008</v>
      </c>
      <c r="L503" s="11">
        <v>-0.13289999999999999</v>
      </c>
      <c r="M503" s="11">
        <v>2.1499999999999998E-2</v>
      </c>
      <c r="N503">
        <v>53.94</v>
      </c>
      <c r="O503">
        <v>40.119999999999997</v>
      </c>
      <c r="P503">
        <v>4</v>
      </c>
      <c r="Q503" t="s">
        <v>25</v>
      </c>
      <c r="R503">
        <v>51.424999999999997</v>
      </c>
      <c r="S503">
        <v>13.29</v>
      </c>
      <c r="T503" s="4">
        <v>38.758000000000003</v>
      </c>
      <c r="U503" s="4">
        <v>15.7109919999999</v>
      </c>
      <c r="V503" t="str">
        <f>IF(Table1[[#This Row],[ai_disruption_intensity]]&gt;70,"High",
IF(Table1[[#This Row],[ai_disruption_intensity]]&gt;40,"Medium","Low"))</f>
        <v>Low</v>
      </c>
      <c r="W503" t="str">
        <f>IF(Table1[[#This Row],[skill_gap_index]]&gt;70,"Large Gap",
IF(Table1[[#This Row],[skill_gap_index]]&gt;40,"Medium Gap","Small Gap"))</f>
        <v>Medium Gap</v>
      </c>
      <c r="X503" s="3" t="str">
        <f>IF(Table1[[#This Row],[automation_risk_percent]]&gt;0.7,"Highly Automatable",
IF(Table1[[#This Row],[automation_risk_percent]]&gt;0.4,"Moderate Risk","Safe Job"))</f>
        <v>Safe Job</v>
      </c>
    </row>
    <row r="504" spans="1:24" x14ac:dyDescent="0.3">
      <c r="A504">
        <v>1780</v>
      </c>
      <c r="B504" t="s">
        <v>29</v>
      </c>
      <c r="C504" t="s">
        <v>19</v>
      </c>
      <c r="D504" t="s">
        <v>24</v>
      </c>
      <c r="E504" s="1">
        <v>2026</v>
      </c>
      <c r="F504" s="11">
        <v>0.38079999999999997</v>
      </c>
      <c r="G504">
        <v>39.9</v>
      </c>
      <c r="H504">
        <v>91.74</v>
      </c>
      <c r="I504" s="2">
        <v>85647.81</v>
      </c>
      <c r="J504" s="2">
        <v>84785.37</v>
      </c>
      <c r="K504" s="2">
        <f>Table1[[#This Row],[Salary_after]]-Table1[[#This Row],[Salary_before]]</f>
        <v>-862.44000000000233</v>
      </c>
      <c r="L504" s="11">
        <v>-1.01E-2</v>
      </c>
      <c r="M504" s="11">
        <v>-4.4600000000000001E-2</v>
      </c>
      <c r="N504">
        <v>43.82</v>
      </c>
      <c r="O504">
        <v>57.77</v>
      </c>
      <c r="P504">
        <v>1</v>
      </c>
      <c r="Q504" t="s">
        <v>25</v>
      </c>
      <c r="R504">
        <v>64.91</v>
      </c>
      <c r="S504">
        <v>1.01</v>
      </c>
      <c r="T504" s="4">
        <v>43.056999999999903</v>
      </c>
      <c r="U504" s="4">
        <v>21.998816000000001</v>
      </c>
      <c r="V504" t="str">
        <f>IF(Table1[[#This Row],[ai_disruption_intensity]]&gt;70,"High",
IF(Table1[[#This Row],[ai_disruption_intensity]]&gt;40,"Medium","Low"))</f>
        <v>Low</v>
      </c>
      <c r="W504" t="str">
        <f>IF(Table1[[#This Row],[skill_gap_index]]&gt;70,"Large Gap",
IF(Table1[[#This Row],[skill_gap_index]]&gt;40,"Medium Gap","Small Gap"))</f>
        <v>Large Gap</v>
      </c>
      <c r="X504" s="3" t="str">
        <f>IF(Table1[[#This Row],[automation_risk_percent]]&gt;0.7,"Highly Automatable",
IF(Table1[[#This Row],[automation_risk_percent]]&gt;0.4,"Moderate Risk","Safe Job"))</f>
        <v>Safe Job</v>
      </c>
    </row>
    <row r="505" spans="1:24" x14ac:dyDescent="0.3">
      <c r="A505">
        <v>1789</v>
      </c>
      <c r="B505" t="s">
        <v>46</v>
      </c>
      <c r="C505" t="s">
        <v>40</v>
      </c>
      <c r="D505" t="s">
        <v>36</v>
      </c>
      <c r="E505" s="1">
        <v>2026</v>
      </c>
      <c r="F505" s="11">
        <v>0.1598</v>
      </c>
      <c r="G505">
        <v>15.23</v>
      </c>
      <c r="H505">
        <v>65.38</v>
      </c>
      <c r="I505" s="2">
        <v>39130.720000000001</v>
      </c>
      <c r="J505" s="2">
        <v>41765.9</v>
      </c>
      <c r="K505" s="2">
        <f>Table1[[#This Row],[Salary_after]]-Table1[[#This Row],[Salary_before]]</f>
        <v>2635.1800000000003</v>
      </c>
      <c r="L505" s="11">
        <v>6.7299999999999999E-2</v>
      </c>
      <c r="M505" s="11">
        <v>6.6199999999999995E-2</v>
      </c>
      <c r="N505">
        <v>86.53</v>
      </c>
      <c r="O505">
        <v>6.77</v>
      </c>
      <c r="P505">
        <v>1</v>
      </c>
      <c r="Q505" t="s">
        <v>21</v>
      </c>
      <c r="R505">
        <v>40.68</v>
      </c>
      <c r="S505">
        <v>6.73</v>
      </c>
      <c r="T505" s="4">
        <v>28.024999999999999</v>
      </c>
      <c r="U505" s="4">
        <v>1.0818459999999901</v>
      </c>
      <c r="V505" t="str">
        <f>IF(Table1[[#This Row],[ai_disruption_intensity]]&gt;70,"High",
IF(Table1[[#This Row],[ai_disruption_intensity]]&gt;40,"Medium","Low"))</f>
        <v>Low</v>
      </c>
      <c r="W505" t="str">
        <f>IF(Table1[[#This Row],[skill_gap_index]]&gt;70,"Large Gap",
IF(Table1[[#This Row],[skill_gap_index]]&gt;40,"Medium Gap","Small Gap"))</f>
        <v>Medium Gap</v>
      </c>
      <c r="X505" s="3" t="str">
        <f>IF(Table1[[#This Row],[automation_risk_percent]]&gt;0.7,"Highly Automatable",
IF(Table1[[#This Row],[automation_risk_percent]]&gt;0.4,"Moderate Risk","Safe Job"))</f>
        <v>Safe Job</v>
      </c>
    </row>
    <row r="506" spans="1:24" x14ac:dyDescent="0.3">
      <c r="A506">
        <v>1791</v>
      </c>
      <c r="B506" t="s">
        <v>41</v>
      </c>
      <c r="C506" t="s">
        <v>34</v>
      </c>
      <c r="D506" t="s">
        <v>47</v>
      </c>
      <c r="E506" s="1">
        <v>2026</v>
      </c>
      <c r="F506" s="11">
        <v>0.78010000000000002</v>
      </c>
      <c r="G506">
        <v>80.7</v>
      </c>
      <c r="H506">
        <v>78.27</v>
      </c>
      <c r="I506" s="2">
        <v>119538.06</v>
      </c>
      <c r="J506" s="2">
        <v>123052.68</v>
      </c>
      <c r="K506" s="2">
        <f>Table1[[#This Row],[Salary_after]]-Table1[[#This Row],[Salary_before]]</f>
        <v>3514.6199999999953</v>
      </c>
      <c r="L506" s="11">
        <v>2.9399999999999999E-2</v>
      </c>
      <c r="M506" s="11">
        <v>-0.1003</v>
      </c>
      <c r="N506">
        <v>67.989999999999995</v>
      </c>
      <c r="O506">
        <v>16.86</v>
      </c>
      <c r="P506">
        <v>1</v>
      </c>
      <c r="Q506" t="s">
        <v>37</v>
      </c>
      <c r="R506">
        <v>78.14</v>
      </c>
      <c r="S506">
        <v>2.94</v>
      </c>
      <c r="T506" s="4">
        <v>55.567</v>
      </c>
      <c r="U506" s="4">
        <v>13.152486</v>
      </c>
      <c r="V506" t="str">
        <f>IF(Table1[[#This Row],[ai_disruption_intensity]]&gt;70,"High",
IF(Table1[[#This Row],[ai_disruption_intensity]]&gt;40,"Medium","Low"))</f>
        <v>Low</v>
      </c>
      <c r="W506" t="str">
        <f>IF(Table1[[#This Row],[skill_gap_index]]&gt;70,"Large Gap",
IF(Table1[[#This Row],[skill_gap_index]]&gt;40,"Medium Gap","Small Gap"))</f>
        <v>Large Gap</v>
      </c>
      <c r="X506" s="3" t="str">
        <f>IF(Table1[[#This Row],[automation_risk_percent]]&gt;0.7,"Highly Automatable",
IF(Table1[[#This Row],[automation_risk_percent]]&gt;0.4,"Moderate Risk","Safe Job"))</f>
        <v>Highly Automatable</v>
      </c>
    </row>
    <row r="507" spans="1:24" x14ac:dyDescent="0.3">
      <c r="A507">
        <v>1792</v>
      </c>
      <c r="B507" t="s">
        <v>39</v>
      </c>
      <c r="C507" t="s">
        <v>34</v>
      </c>
      <c r="D507" t="s">
        <v>31</v>
      </c>
      <c r="E507" s="1">
        <v>2026</v>
      </c>
      <c r="F507" s="11">
        <v>0.78339999999999999</v>
      </c>
      <c r="G507">
        <v>77.97</v>
      </c>
      <c r="H507">
        <v>5.76</v>
      </c>
      <c r="I507" s="2">
        <v>142471.45000000001</v>
      </c>
      <c r="J507" s="2">
        <v>166355.69</v>
      </c>
      <c r="K507" s="2">
        <f>Table1[[#This Row],[Salary_after]]-Table1[[#This Row],[Salary_before]]</f>
        <v>23884.239999999991</v>
      </c>
      <c r="L507" s="11">
        <v>0.16760000000000003</v>
      </c>
      <c r="M507" s="11">
        <v>0.1226</v>
      </c>
      <c r="N507">
        <v>57.27</v>
      </c>
      <c r="O507">
        <v>83.47</v>
      </c>
      <c r="P507">
        <v>5</v>
      </c>
      <c r="Q507" t="s">
        <v>37</v>
      </c>
      <c r="R507">
        <v>42.05</v>
      </c>
      <c r="S507">
        <v>16.760000000000002</v>
      </c>
      <c r="T507" s="4">
        <v>38.091999999999999</v>
      </c>
      <c r="U507" s="4">
        <v>65.390398000000005</v>
      </c>
      <c r="V507" t="str">
        <f>IF(Table1[[#This Row],[ai_disruption_intensity]]&gt;70,"High",
IF(Table1[[#This Row],[ai_disruption_intensity]]&gt;40,"Medium","Low"))</f>
        <v>Medium</v>
      </c>
      <c r="W507" t="str">
        <f>IF(Table1[[#This Row],[skill_gap_index]]&gt;70,"Large Gap",
IF(Table1[[#This Row],[skill_gap_index]]&gt;40,"Medium Gap","Small Gap"))</f>
        <v>Small Gap</v>
      </c>
      <c r="X507" s="3" t="str">
        <f>IF(Table1[[#This Row],[automation_risk_percent]]&gt;0.7,"Highly Automatable",
IF(Table1[[#This Row],[automation_risk_percent]]&gt;0.4,"Moderate Risk","Safe Job"))</f>
        <v>Highly Automatable</v>
      </c>
    </row>
    <row r="508" spans="1:24" x14ac:dyDescent="0.3">
      <c r="A508">
        <v>1793</v>
      </c>
      <c r="B508" t="s">
        <v>18</v>
      </c>
      <c r="C508" t="s">
        <v>40</v>
      </c>
      <c r="D508" t="s">
        <v>31</v>
      </c>
      <c r="E508" s="1">
        <v>2025</v>
      </c>
      <c r="F508" s="11">
        <v>0.1232</v>
      </c>
      <c r="G508">
        <v>11.18</v>
      </c>
      <c r="H508">
        <v>46.96</v>
      </c>
      <c r="I508" s="2">
        <v>39192.43</v>
      </c>
      <c r="J508" s="2">
        <v>36038.42</v>
      </c>
      <c r="K508" s="2">
        <f>Table1[[#This Row],[Salary_after]]-Table1[[#This Row],[Salary_before]]</f>
        <v>-3154.010000000002</v>
      </c>
      <c r="L508" s="11">
        <v>-8.0500000000000002E-2</v>
      </c>
      <c r="M508" s="11">
        <v>0.20579999999999998</v>
      </c>
      <c r="N508">
        <v>34.54</v>
      </c>
      <c r="O508">
        <v>0.34</v>
      </c>
      <c r="P508">
        <v>4</v>
      </c>
      <c r="Q508" t="s">
        <v>21</v>
      </c>
      <c r="R508">
        <v>29.64</v>
      </c>
      <c r="S508">
        <v>8.0500000000000007</v>
      </c>
      <c r="T508" s="4">
        <v>21.430999999999901</v>
      </c>
      <c r="U508" s="4">
        <v>4.1888000000000002E-2</v>
      </c>
      <c r="V508" t="str">
        <f>IF(Table1[[#This Row],[ai_disruption_intensity]]&gt;70,"High",
IF(Table1[[#This Row],[ai_disruption_intensity]]&gt;40,"Medium","Low"))</f>
        <v>Low</v>
      </c>
      <c r="W508" t="str">
        <f>IF(Table1[[#This Row],[skill_gap_index]]&gt;70,"Large Gap",
IF(Table1[[#This Row],[skill_gap_index]]&gt;40,"Medium Gap","Small Gap"))</f>
        <v>Medium Gap</v>
      </c>
      <c r="X508" s="3" t="str">
        <f>IF(Table1[[#This Row],[automation_risk_percent]]&gt;0.7,"Highly Automatable",
IF(Table1[[#This Row],[automation_risk_percent]]&gt;0.4,"Moderate Risk","Safe Job"))</f>
        <v>Safe Job</v>
      </c>
    </row>
    <row r="509" spans="1:24" x14ac:dyDescent="0.3">
      <c r="A509">
        <v>1795</v>
      </c>
      <c r="B509" t="s">
        <v>43</v>
      </c>
      <c r="C509" t="s">
        <v>23</v>
      </c>
      <c r="D509" t="s">
        <v>31</v>
      </c>
      <c r="E509" s="1">
        <v>2026</v>
      </c>
      <c r="F509" s="11">
        <v>0.55090000000000006</v>
      </c>
      <c r="G509">
        <v>64.31</v>
      </c>
      <c r="H509">
        <v>38.130000000000003</v>
      </c>
      <c r="I509" s="2">
        <v>121822.82</v>
      </c>
      <c r="J509" s="2">
        <v>130461.46</v>
      </c>
      <c r="K509" s="2">
        <f>Table1[[#This Row],[Salary_after]]-Table1[[#This Row],[Salary_before]]</f>
        <v>8638.64</v>
      </c>
      <c r="L509" s="11">
        <v>7.0900000000000005E-2</v>
      </c>
      <c r="M509" s="11">
        <v>6.6199999999999995E-2</v>
      </c>
      <c r="N509">
        <v>45.85</v>
      </c>
      <c r="O509">
        <v>31.91</v>
      </c>
      <c r="P509">
        <v>2</v>
      </c>
      <c r="Q509" t="s">
        <v>25</v>
      </c>
      <c r="R509">
        <v>46.61</v>
      </c>
      <c r="S509">
        <v>7.09</v>
      </c>
      <c r="T509" s="4">
        <v>35.601999999999997</v>
      </c>
      <c r="U509" s="4">
        <v>17.579218999999998</v>
      </c>
      <c r="V509" t="str">
        <f>IF(Table1[[#This Row],[ai_disruption_intensity]]&gt;70,"High",
IF(Table1[[#This Row],[ai_disruption_intensity]]&gt;40,"Medium","Low"))</f>
        <v>Low</v>
      </c>
      <c r="W509" t="str">
        <f>IF(Table1[[#This Row],[skill_gap_index]]&gt;70,"Large Gap",
IF(Table1[[#This Row],[skill_gap_index]]&gt;40,"Medium Gap","Small Gap"))</f>
        <v>Small Gap</v>
      </c>
      <c r="X509" s="3" t="str">
        <f>IF(Table1[[#This Row],[automation_risk_percent]]&gt;0.7,"Highly Automatable",
IF(Table1[[#This Row],[automation_risk_percent]]&gt;0.4,"Moderate Risk","Safe Job"))</f>
        <v>Moderate Risk</v>
      </c>
    </row>
    <row r="510" spans="1:24" x14ac:dyDescent="0.3">
      <c r="A510">
        <v>1797</v>
      </c>
      <c r="B510" t="s">
        <v>43</v>
      </c>
      <c r="C510" t="s">
        <v>30</v>
      </c>
      <c r="D510" t="s">
        <v>31</v>
      </c>
      <c r="E510" s="1">
        <v>2025</v>
      </c>
      <c r="F510" s="11">
        <v>0.23079999999999998</v>
      </c>
      <c r="G510">
        <v>24.22</v>
      </c>
      <c r="H510">
        <v>67.94</v>
      </c>
      <c r="I510" s="2">
        <v>88503.31</v>
      </c>
      <c r="J510" s="2">
        <v>89487.67</v>
      </c>
      <c r="K510" s="2">
        <f>Table1[[#This Row],[Salary_after]]-Table1[[#This Row],[Salary_before]]</f>
        <v>984.36000000000058</v>
      </c>
      <c r="L510" s="11">
        <v>1.11E-2</v>
      </c>
      <c r="M510" s="11">
        <v>1.7299999999999999E-2</v>
      </c>
      <c r="N510">
        <v>85.78</v>
      </c>
      <c r="O510">
        <v>72.03</v>
      </c>
      <c r="P510">
        <v>1</v>
      </c>
      <c r="Q510" t="s">
        <v>21</v>
      </c>
      <c r="R510">
        <v>45.51</v>
      </c>
      <c r="S510">
        <v>1.1100000000000001</v>
      </c>
      <c r="T510" s="4">
        <v>29.9469999999999</v>
      </c>
      <c r="U510" s="4">
        <v>16.624523999999901</v>
      </c>
      <c r="V510" t="str">
        <f>IF(Table1[[#This Row],[ai_disruption_intensity]]&gt;70,"High",
IF(Table1[[#This Row],[ai_disruption_intensity]]&gt;40,"Medium","Low"))</f>
        <v>Low</v>
      </c>
      <c r="W510" t="str">
        <f>IF(Table1[[#This Row],[skill_gap_index]]&gt;70,"Large Gap",
IF(Table1[[#This Row],[skill_gap_index]]&gt;40,"Medium Gap","Small Gap"))</f>
        <v>Medium Gap</v>
      </c>
      <c r="X510" s="3" t="str">
        <f>IF(Table1[[#This Row],[automation_risk_percent]]&gt;0.7,"Highly Automatable",
IF(Table1[[#This Row],[automation_risk_percent]]&gt;0.4,"Moderate Risk","Safe Job"))</f>
        <v>Safe Job</v>
      </c>
    </row>
    <row r="511" spans="1:24" x14ac:dyDescent="0.3">
      <c r="A511">
        <v>1798</v>
      </c>
      <c r="B511" t="s">
        <v>45</v>
      </c>
      <c r="C511" t="s">
        <v>33</v>
      </c>
      <c r="D511" t="s">
        <v>35</v>
      </c>
      <c r="E511" s="1">
        <v>2026</v>
      </c>
      <c r="F511" s="11">
        <v>0.68099999999999994</v>
      </c>
      <c r="G511">
        <v>59.94</v>
      </c>
      <c r="H511">
        <v>88.89</v>
      </c>
      <c r="I511" s="2">
        <v>68663.210000000006</v>
      </c>
      <c r="J511" s="2">
        <v>69828.38</v>
      </c>
      <c r="K511" s="2">
        <f>Table1[[#This Row],[Salary_after]]-Table1[[#This Row],[Salary_before]]</f>
        <v>1165.1699999999983</v>
      </c>
      <c r="L511" s="11">
        <v>1.7000000000000001E-2</v>
      </c>
      <c r="M511" s="11">
        <v>9.820000000000001E-2</v>
      </c>
      <c r="N511">
        <v>30.83</v>
      </c>
      <c r="O511">
        <v>25.17</v>
      </c>
      <c r="P511">
        <v>4</v>
      </c>
      <c r="Q511" t="s">
        <v>37</v>
      </c>
      <c r="R511">
        <v>78.495000000000005</v>
      </c>
      <c r="S511">
        <v>1.7</v>
      </c>
      <c r="T511" s="4">
        <v>54.416999999999902</v>
      </c>
      <c r="U511" s="4">
        <v>17.14077</v>
      </c>
      <c r="V511" t="str">
        <f>IF(Table1[[#This Row],[ai_disruption_intensity]]&gt;70,"High",
IF(Table1[[#This Row],[ai_disruption_intensity]]&gt;40,"Medium","Low"))</f>
        <v>Low</v>
      </c>
      <c r="W511" t="str">
        <f>IF(Table1[[#This Row],[skill_gap_index]]&gt;70,"Large Gap",
IF(Table1[[#This Row],[skill_gap_index]]&gt;40,"Medium Gap","Small Gap"))</f>
        <v>Large Gap</v>
      </c>
      <c r="X511" s="3" t="str">
        <f>IF(Table1[[#This Row],[automation_risk_percent]]&gt;0.7,"Highly Automatable",
IF(Table1[[#This Row],[automation_risk_percent]]&gt;0.4,"Moderate Risk","Safe Job"))</f>
        <v>Moderate Risk</v>
      </c>
    </row>
    <row r="512" spans="1:24" x14ac:dyDescent="0.3">
      <c r="A512">
        <v>1801</v>
      </c>
      <c r="B512" t="s">
        <v>43</v>
      </c>
      <c r="C512" t="s">
        <v>30</v>
      </c>
      <c r="D512" t="s">
        <v>47</v>
      </c>
      <c r="E512" s="1">
        <v>2025</v>
      </c>
      <c r="F512" s="11">
        <v>0.75260000000000005</v>
      </c>
      <c r="G512">
        <v>67.75</v>
      </c>
      <c r="H512">
        <v>73.39</v>
      </c>
      <c r="I512" s="2">
        <v>64158.65</v>
      </c>
      <c r="J512" s="2">
        <v>56741.09</v>
      </c>
      <c r="K512" s="2">
        <f>Table1[[#This Row],[Salary_after]]-Table1[[#This Row],[Salary_before]]</f>
        <v>-7417.5600000000049</v>
      </c>
      <c r="L512" s="11">
        <v>-0.11560000000000001</v>
      </c>
      <c r="M512" s="11">
        <v>-6.0899999999999996E-2</v>
      </c>
      <c r="N512">
        <v>77.31</v>
      </c>
      <c r="O512">
        <v>55.68</v>
      </c>
      <c r="P512">
        <v>1</v>
      </c>
      <c r="Q512" t="s">
        <v>37</v>
      </c>
      <c r="R512">
        <v>74.325000000000003</v>
      </c>
      <c r="S512">
        <v>11.56</v>
      </c>
      <c r="T512" s="4">
        <v>55.588999999999999</v>
      </c>
      <c r="U512" s="4">
        <v>41.904767999999997</v>
      </c>
      <c r="V512" t="str">
        <f>IF(Table1[[#This Row],[ai_disruption_intensity]]&gt;70,"High",
IF(Table1[[#This Row],[ai_disruption_intensity]]&gt;40,"Medium","Low"))</f>
        <v>Medium</v>
      </c>
      <c r="W512" t="str">
        <f>IF(Table1[[#This Row],[skill_gap_index]]&gt;70,"Large Gap",
IF(Table1[[#This Row],[skill_gap_index]]&gt;40,"Medium Gap","Small Gap"))</f>
        <v>Large Gap</v>
      </c>
      <c r="X512" s="3" t="str">
        <f>IF(Table1[[#This Row],[automation_risk_percent]]&gt;0.7,"Highly Automatable",
IF(Table1[[#This Row],[automation_risk_percent]]&gt;0.4,"Moderate Risk","Safe Job"))</f>
        <v>Highly Automatable</v>
      </c>
    </row>
    <row r="513" spans="1:24" x14ac:dyDescent="0.3">
      <c r="A513">
        <v>1813</v>
      </c>
      <c r="B513" t="s">
        <v>41</v>
      </c>
      <c r="C513" t="s">
        <v>40</v>
      </c>
      <c r="D513" t="s">
        <v>47</v>
      </c>
      <c r="E513" s="1">
        <v>2026</v>
      </c>
      <c r="F513" s="11">
        <v>0.71400000000000008</v>
      </c>
      <c r="G513">
        <v>81.23</v>
      </c>
      <c r="H513">
        <v>76.59</v>
      </c>
      <c r="I513" s="2">
        <v>75496.72</v>
      </c>
      <c r="J513" s="2">
        <v>65242.32</v>
      </c>
      <c r="K513" s="2">
        <f>Table1[[#This Row],[Salary_after]]-Table1[[#This Row],[Salary_before]]</f>
        <v>-10254.400000000001</v>
      </c>
      <c r="L513" s="11">
        <v>-0.1358</v>
      </c>
      <c r="M513" s="11">
        <v>4.0800000000000003E-2</v>
      </c>
      <c r="N513">
        <v>36.28</v>
      </c>
      <c r="O513">
        <v>77.81</v>
      </c>
      <c r="P513">
        <v>5</v>
      </c>
      <c r="Q513" t="s">
        <v>37</v>
      </c>
      <c r="R513">
        <v>73.995000000000005</v>
      </c>
      <c r="S513">
        <v>13.58</v>
      </c>
      <c r="T513" s="4">
        <v>55.610999999999997</v>
      </c>
      <c r="U513" s="4">
        <v>55.556339999999999</v>
      </c>
      <c r="V513" t="str">
        <f>IF(Table1[[#This Row],[ai_disruption_intensity]]&gt;70,"High",
IF(Table1[[#This Row],[ai_disruption_intensity]]&gt;40,"Medium","Low"))</f>
        <v>Medium</v>
      </c>
      <c r="W513" t="str">
        <f>IF(Table1[[#This Row],[skill_gap_index]]&gt;70,"Large Gap",
IF(Table1[[#This Row],[skill_gap_index]]&gt;40,"Medium Gap","Small Gap"))</f>
        <v>Large Gap</v>
      </c>
      <c r="X513" s="3" t="str">
        <f>IF(Table1[[#This Row],[automation_risk_percent]]&gt;0.7,"Highly Automatable",
IF(Table1[[#This Row],[automation_risk_percent]]&gt;0.4,"Moderate Risk","Safe Job"))</f>
        <v>Highly Automatable</v>
      </c>
    </row>
    <row r="514" spans="1:24" x14ac:dyDescent="0.3">
      <c r="A514">
        <v>1815</v>
      </c>
      <c r="B514" t="s">
        <v>44</v>
      </c>
      <c r="C514" t="s">
        <v>30</v>
      </c>
      <c r="D514" t="s">
        <v>42</v>
      </c>
      <c r="E514" s="1">
        <v>2026</v>
      </c>
      <c r="F514" s="11">
        <v>0.1045</v>
      </c>
      <c r="G514">
        <v>12.5</v>
      </c>
      <c r="H514">
        <v>36.39</v>
      </c>
      <c r="I514" s="2">
        <v>131771.35999999999</v>
      </c>
      <c r="J514" s="2">
        <v>117452.61</v>
      </c>
      <c r="K514" s="2">
        <f>Table1[[#This Row],[Salary_after]]-Table1[[#This Row],[Salary_before]]</f>
        <v>-14318.749999999985</v>
      </c>
      <c r="L514" s="11">
        <v>-0.10869999999999999</v>
      </c>
      <c r="M514" s="11">
        <v>6.0299999999999999E-2</v>
      </c>
      <c r="N514">
        <v>81.78</v>
      </c>
      <c r="O514">
        <v>70.98</v>
      </c>
      <c r="P514">
        <v>1</v>
      </c>
      <c r="Q514" t="s">
        <v>21</v>
      </c>
      <c r="R514">
        <v>23.42</v>
      </c>
      <c r="S514">
        <v>10.87</v>
      </c>
      <c r="T514" s="4">
        <v>18.358000000000001</v>
      </c>
      <c r="U514" s="4">
        <v>7.4174100000000003</v>
      </c>
      <c r="V514" t="str">
        <f>IF(Table1[[#This Row],[ai_disruption_intensity]]&gt;70,"High",
IF(Table1[[#This Row],[ai_disruption_intensity]]&gt;40,"Medium","Low"))</f>
        <v>Low</v>
      </c>
      <c r="W514" t="str">
        <f>IF(Table1[[#This Row],[skill_gap_index]]&gt;70,"Large Gap",
IF(Table1[[#This Row],[skill_gap_index]]&gt;40,"Medium Gap","Small Gap"))</f>
        <v>Small Gap</v>
      </c>
      <c r="X514" s="3" t="str">
        <f>IF(Table1[[#This Row],[automation_risk_percent]]&gt;0.7,"Highly Automatable",
IF(Table1[[#This Row],[automation_risk_percent]]&gt;0.4,"Moderate Risk","Safe Job"))</f>
        <v>Safe Job</v>
      </c>
    </row>
    <row r="515" spans="1:24" x14ac:dyDescent="0.3">
      <c r="A515">
        <v>1816</v>
      </c>
      <c r="B515" t="s">
        <v>41</v>
      </c>
      <c r="C515" t="s">
        <v>34</v>
      </c>
      <c r="D515" t="s">
        <v>20</v>
      </c>
      <c r="E515" s="1">
        <v>2025</v>
      </c>
      <c r="F515" s="11">
        <v>0.61919999999999997</v>
      </c>
      <c r="G515">
        <v>62.28</v>
      </c>
      <c r="H515">
        <v>8.75</v>
      </c>
      <c r="I515" s="2">
        <v>108701.87</v>
      </c>
      <c r="J515" s="2">
        <v>113624.7</v>
      </c>
      <c r="K515" s="2">
        <f>Table1[[#This Row],[Salary_after]]-Table1[[#This Row],[Salary_before]]</f>
        <v>4922.8300000000017</v>
      </c>
      <c r="L515" s="11">
        <v>4.53E-2</v>
      </c>
      <c r="M515" s="11">
        <v>2.3399999999999997E-2</v>
      </c>
      <c r="N515">
        <v>35.590000000000003</v>
      </c>
      <c r="O515">
        <v>65.39</v>
      </c>
      <c r="P515">
        <v>2</v>
      </c>
      <c r="Q515" t="s">
        <v>37</v>
      </c>
      <c r="R515">
        <v>35.335000000000001</v>
      </c>
      <c r="S515">
        <v>4.53</v>
      </c>
      <c r="T515" s="4">
        <v>28.751999999999999</v>
      </c>
      <c r="U515" s="4">
        <v>40.489488000000001</v>
      </c>
      <c r="V515" t="str">
        <f>IF(Table1[[#This Row],[ai_disruption_intensity]]&gt;70,"High",
IF(Table1[[#This Row],[ai_disruption_intensity]]&gt;40,"Medium","Low"))</f>
        <v>Medium</v>
      </c>
      <c r="W515" t="str">
        <f>IF(Table1[[#This Row],[skill_gap_index]]&gt;70,"Large Gap",
IF(Table1[[#This Row],[skill_gap_index]]&gt;40,"Medium Gap","Small Gap"))</f>
        <v>Small Gap</v>
      </c>
      <c r="X515" s="3" t="str">
        <f>IF(Table1[[#This Row],[automation_risk_percent]]&gt;0.7,"Highly Automatable",
IF(Table1[[#This Row],[automation_risk_percent]]&gt;0.4,"Moderate Risk","Safe Job"))</f>
        <v>Moderate Risk</v>
      </c>
    </row>
    <row r="516" spans="1:24" x14ac:dyDescent="0.3">
      <c r="A516">
        <v>1824</v>
      </c>
      <c r="B516" t="s">
        <v>29</v>
      </c>
      <c r="C516" t="s">
        <v>33</v>
      </c>
      <c r="D516" t="s">
        <v>32</v>
      </c>
      <c r="E516" s="1">
        <v>2026</v>
      </c>
      <c r="F516" s="11">
        <v>0.77280000000000004</v>
      </c>
      <c r="G516">
        <v>68.06</v>
      </c>
      <c r="H516">
        <v>34.130000000000003</v>
      </c>
      <c r="I516" s="2">
        <v>145993.79999999999</v>
      </c>
      <c r="J516" s="2">
        <v>164902.16</v>
      </c>
      <c r="K516" s="2">
        <f>Table1[[#This Row],[Salary_after]]-Table1[[#This Row],[Salary_before]]</f>
        <v>18908.360000000015</v>
      </c>
      <c r="L516" s="11">
        <v>0.1295</v>
      </c>
      <c r="M516" s="11">
        <v>9.0500000000000011E-2</v>
      </c>
      <c r="N516">
        <v>33.81</v>
      </c>
      <c r="O516">
        <v>21.01</v>
      </c>
      <c r="P516">
        <v>3</v>
      </c>
      <c r="Q516" t="s">
        <v>37</v>
      </c>
      <c r="R516">
        <v>55.704999999999998</v>
      </c>
      <c r="S516">
        <v>12.95</v>
      </c>
      <c r="T516" s="4">
        <v>45.036000000000001</v>
      </c>
      <c r="U516" s="4">
        <v>16.236528</v>
      </c>
      <c r="V516" t="str">
        <f>IF(Table1[[#This Row],[ai_disruption_intensity]]&gt;70,"High",
IF(Table1[[#This Row],[ai_disruption_intensity]]&gt;40,"Medium","Low"))</f>
        <v>Low</v>
      </c>
      <c r="W516" t="str">
        <f>IF(Table1[[#This Row],[skill_gap_index]]&gt;70,"Large Gap",
IF(Table1[[#This Row],[skill_gap_index]]&gt;40,"Medium Gap","Small Gap"))</f>
        <v>Small Gap</v>
      </c>
      <c r="X516" s="3" t="str">
        <f>IF(Table1[[#This Row],[automation_risk_percent]]&gt;0.7,"Highly Automatable",
IF(Table1[[#This Row],[automation_risk_percent]]&gt;0.4,"Moderate Risk","Safe Job"))</f>
        <v>Highly Automatable</v>
      </c>
    </row>
    <row r="517" spans="1:24" x14ac:dyDescent="0.3">
      <c r="A517">
        <v>1832</v>
      </c>
      <c r="B517" t="s">
        <v>39</v>
      </c>
      <c r="C517" t="s">
        <v>34</v>
      </c>
      <c r="D517" t="s">
        <v>20</v>
      </c>
      <c r="E517" s="1">
        <v>2025</v>
      </c>
      <c r="F517" s="11">
        <v>0.48100000000000004</v>
      </c>
      <c r="G517">
        <v>39.1</v>
      </c>
      <c r="H517">
        <v>61.89</v>
      </c>
      <c r="I517" s="2">
        <v>36646.89</v>
      </c>
      <c r="J517" s="2">
        <v>42290.9</v>
      </c>
      <c r="K517" s="2">
        <f>Table1[[#This Row],[Salary_after]]-Table1[[#This Row],[Salary_before]]</f>
        <v>5644.010000000002</v>
      </c>
      <c r="L517" s="11">
        <v>0.154</v>
      </c>
      <c r="M517" s="11">
        <v>0.14679999999999999</v>
      </c>
      <c r="N517">
        <v>27.8</v>
      </c>
      <c r="O517">
        <v>81.93</v>
      </c>
      <c r="P517">
        <v>3</v>
      </c>
      <c r="Q517" t="s">
        <v>25</v>
      </c>
      <c r="R517">
        <v>54.994999999999997</v>
      </c>
      <c r="S517">
        <v>15.4</v>
      </c>
      <c r="T517" s="4">
        <v>42.427</v>
      </c>
      <c r="U517" s="4">
        <v>39.408329999999999</v>
      </c>
      <c r="V517" t="str">
        <f>IF(Table1[[#This Row],[ai_disruption_intensity]]&gt;70,"High",
IF(Table1[[#This Row],[ai_disruption_intensity]]&gt;40,"Medium","Low"))</f>
        <v>Low</v>
      </c>
      <c r="W517" t="str">
        <f>IF(Table1[[#This Row],[skill_gap_index]]&gt;70,"Large Gap",
IF(Table1[[#This Row],[skill_gap_index]]&gt;40,"Medium Gap","Small Gap"))</f>
        <v>Medium Gap</v>
      </c>
      <c r="X517" s="3" t="str">
        <f>IF(Table1[[#This Row],[automation_risk_percent]]&gt;0.7,"Highly Automatable",
IF(Table1[[#This Row],[automation_risk_percent]]&gt;0.4,"Moderate Risk","Safe Job"))</f>
        <v>Moderate Risk</v>
      </c>
    </row>
    <row r="518" spans="1:24" x14ac:dyDescent="0.3">
      <c r="A518">
        <v>1833</v>
      </c>
      <c r="B518" t="s">
        <v>44</v>
      </c>
      <c r="C518" t="s">
        <v>40</v>
      </c>
      <c r="D518" t="s">
        <v>24</v>
      </c>
      <c r="E518" s="1">
        <v>2025</v>
      </c>
      <c r="F518" s="11">
        <v>0.73780000000000001</v>
      </c>
      <c r="G518">
        <v>83.02</v>
      </c>
      <c r="H518">
        <v>30.51</v>
      </c>
      <c r="I518" s="2">
        <v>100397.16</v>
      </c>
      <c r="J518" s="2">
        <v>97863.6</v>
      </c>
      <c r="K518" s="2">
        <f>Table1[[#This Row],[Salary_after]]-Table1[[#This Row],[Salary_before]]</f>
        <v>-2533.5599999999977</v>
      </c>
      <c r="L518" s="11">
        <v>-2.52E-2</v>
      </c>
      <c r="M518" s="11">
        <v>0.1084</v>
      </c>
      <c r="N518">
        <v>83.8</v>
      </c>
      <c r="O518">
        <v>0.95</v>
      </c>
      <c r="P518">
        <v>1</v>
      </c>
      <c r="Q518" t="s">
        <v>37</v>
      </c>
      <c r="R518">
        <v>52.145000000000003</v>
      </c>
      <c r="S518">
        <v>2.52</v>
      </c>
      <c r="T518" s="4">
        <v>39.420999999999999</v>
      </c>
      <c r="U518" s="4">
        <v>0.70090999999999903</v>
      </c>
      <c r="V518" t="str">
        <f>IF(Table1[[#This Row],[ai_disruption_intensity]]&gt;70,"High",
IF(Table1[[#This Row],[ai_disruption_intensity]]&gt;40,"Medium","Low"))</f>
        <v>Low</v>
      </c>
      <c r="W518" t="str">
        <f>IF(Table1[[#This Row],[skill_gap_index]]&gt;70,"Large Gap",
IF(Table1[[#This Row],[skill_gap_index]]&gt;40,"Medium Gap","Small Gap"))</f>
        <v>Small Gap</v>
      </c>
      <c r="X518" s="3" t="str">
        <f>IF(Table1[[#This Row],[automation_risk_percent]]&gt;0.7,"Highly Automatable",
IF(Table1[[#This Row],[automation_risk_percent]]&gt;0.4,"Moderate Risk","Safe Job"))</f>
        <v>Highly Automatable</v>
      </c>
    </row>
    <row r="519" spans="1:24" x14ac:dyDescent="0.3">
      <c r="A519">
        <v>1840</v>
      </c>
      <c r="B519" t="s">
        <v>43</v>
      </c>
      <c r="C519" t="s">
        <v>38</v>
      </c>
      <c r="D519" t="s">
        <v>32</v>
      </c>
      <c r="E519" s="1">
        <v>2026</v>
      </c>
      <c r="F519" s="11">
        <v>0.33779999999999999</v>
      </c>
      <c r="G519">
        <v>32.799999999999997</v>
      </c>
      <c r="H519">
        <v>40.369999999999997</v>
      </c>
      <c r="I519" s="2">
        <v>115519.35</v>
      </c>
      <c r="J519" s="2">
        <v>118303.86</v>
      </c>
      <c r="K519" s="2">
        <f>Table1[[#This Row],[Salary_after]]-Table1[[#This Row],[Salary_before]]</f>
        <v>2784.5099999999948</v>
      </c>
      <c r="L519" s="11">
        <v>2.41E-2</v>
      </c>
      <c r="M519" s="11">
        <v>0.1104</v>
      </c>
      <c r="N519">
        <v>52.44</v>
      </c>
      <c r="O519">
        <v>77.92</v>
      </c>
      <c r="P519">
        <v>3</v>
      </c>
      <c r="Q519" t="s">
        <v>25</v>
      </c>
      <c r="R519">
        <v>37.075000000000003</v>
      </c>
      <c r="S519">
        <v>2.41</v>
      </c>
      <c r="T519" s="4">
        <v>26.345999999999901</v>
      </c>
      <c r="U519" s="4">
        <v>26.321376000000001</v>
      </c>
      <c r="V519" t="str">
        <f>IF(Table1[[#This Row],[ai_disruption_intensity]]&gt;70,"High",
IF(Table1[[#This Row],[ai_disruption_intensity]]&gt;40,"Medium","Low"))</f>
        <v>Low</v>
      </c>
      <c r="W519" t="str">
        <f>IF(Table1[[#This Row],[skill_gap_index]]&gt;70,"Large Gap",
IF(Table1[[#This Row],[skill_gap_index]]&gt;40,"Medium Gap","Small Gap"))</f>
        <v>Medium Gap</v>
      </c>
      <c r="X519" s="3" t="str">
        <f>IF(Table1[[#This Row],[automation_risk_percent]]&gt;0.7,"Highly Automatable",
IF(Table1[[#This Row],[automation_risk_percent]]&gt;0.4,"Moderate Risk","Safe Job"))</f>
        <v>Safe Job</v>
      </c>
    </row>
    <row r="520" spans="1:24" x14ac:dyDescent="0.3">
      <c r="A520">
        <v>1841</v>
      </c>
      <c r="B520" t="s">
        <v>22</v>
      </c>
      <c r="C520" t="s">
        <v>30</v>
      </c>
      <c r="D520" t="s">
        <v>32</v>
      </c>
      <c r="E520" s="1">
        <v>2026</v>
      </c>
      <c r="F520" s="11">
        <v>0.54869999999999997</v>
      </c>
      <c r="G520">
        <v>45.22</v>
      </c>
      <c r="H520">
        <v>9.57</v>
      </c>
      <c r="I520" s="2">
        <v>34550.03</v>
      </c>
      <c r="J520" s="2">
        <v>38986.53</v>
      </c>
      <c r="K520" s="2">
        <f>Table1[[#This Row],[Salary_after]]-Table1[[#This Row],[Salary_before]]</f>
        <v>4436.5</v>
      </c>
      <c r="L520" s="11">
        <v>0.12839999999999999</v>
      </c>
      <c r="M520" s="11">
        <v>3.3000000000000002E-2</v>
      </c>
      <c r="N520">
        <v>38.18</v>
      </c>
      <c r="O520">
        <v>38.42</v>
      </c>
      <c r="P520">
        <v>1</v>
      </c>
      <c r="Q520" t="s">
        <v>25</v>
      </c>
      <c r="R520">
        <v>32.22</v>
      </c>
      <c r="S520">
        <v>12.84</v>
      </c>
      <c r="T520" s="4">
        <v>28.670999999999999</v>
      </c>
      <c r="U520" s="4">
        <v>21.081053999999899</v>
      </c>
      <c r="V520" t="str">
        <f>IF(Table1[[#This Row],[ai_disruption_intensity]]&gt;70,"High",
IF(Table1[[#This Row],[ai_disruption_intensity]]&gt;40,"Medium","Low"))</f>
        <v>Low</v>
      </c>
      <c r="W520" t="str">
        <f>IF(Table1[[#This Row],[skill_gap_index]]&gt;70,"Large Gap",
IF(Table1[[#This Row],[skill_gap_index]]&gt;40,"Medium Gap","Small Gap"))</f>
        <v>Small Gap</v>
      </c>
      <c r="X520" s="3" t="str">
        <f>IF(Table1[[#This Row],[automation_risk_percent]]&gt;0.7,"Highly Automatable",
IF(Table1[[#This Row],[automation_risk_percent]]&gt;0.4,"Moderate Risk","Safe Job"))</f>
        <v>Moderate Risk</v>
      </c>
    </row>
    <row r="521" spans="1:24" x14ac:dyDescent="0.3">
      <c r="A521">
        <v>1850</v>
      </c>
      <c r="B521" t="s">
        <v>29</v>
      </c>
      <c r="C521" t="s">
        <v>23</v>
      </c>
      <c r="D521" t="s">
        <v>24</v>
      </c>
      <c r="E521" s="1">
        <v>2025</v>
      </c>
      <c r="F521" s="11">
        <v>0.29799999999999999</v>
      </c>
      <c r="G521">
        <v>34.18</v>
      </c>
      <c r="H521">
        <v>79.260000000000005</v>
      </c>
      <c r="I521" s="2">
        <v>98957.05</v>
      </c>
      <c r="J521" s="2">
        <v>96772.18</v>
      </c>
      <c r="K521" s="2">
        <f>Table1[[#This Row],[Salary_after]]-Table1[[#This Row],[Salary_before]]</f>
        <v>-2184.8700000000099</v>
      </c>
      <c r="L521" s="11">
        <v>-2.2099999999999998E-2</v>
      </c>
      <c r="M521" s="11">
        <v>9.3999999999999986E-3</v>
      </c>
      <c r="N521">
        <v>36.79</v>
      </c>
      <c r="O521">
        <v>56.07</v>
      </c>
      <c r="P521">
        <v>3</v>
      </c>
      <c r="Q521" t="s">
        <v>21</v>
      </c>
      <c r="R521">
        <v>54.53</v>
      </c>
      <c r="S521">
        <v>2.21</v>
      </c>
      <c r="T521" s="4">
        <v>36.360999999999997</v>
      </c>
      <c r="U521" s="4">
        <v>16.708860000000001</v>
      </c>
      <c r="V521" t="str">
        <f>IF(Table1[[#This Row],[ai_disruption_intensity]]&gt;70,"High",
IF(Table1[[#This Row],[ai_disruption_intensity]]&gt;40,"Medium","Low"))</f>
        <v>Low</v>
      </c>
      <c r="W521" t="str">
        <f>IF(Table1[[#This Row],[skill_gap_index]]&gt;70,"Large Gap",
IF(Table1[[#This Row],[skill_gap_index]]&gt;40,"Medium Gap","Small Gap"))</f>
        <v>Large Gap</v>
      </c>
      <c r="X521" s="3" t="str">
        <f>IF(Table1[[#This Row],[automation_risk_percent]]&gt;0.7,"Highly Automatable",
IF(Table1[[#This Row],[automation_risk_percent]]&gt;0.4,"Moderate Risk","Safe Job"))</f>
        <v>Safe Job</v>
      </c>
    </row>
    <row r="522" spans="1:24" x14ac:dyDescent="0.3">
      <c r="A522">
        <v>1852</v>
      </c>
      <c r="B522" t="s">
        <v>44</v>
      </c>
      <c r="C522" t="s">
        <v>19</v>
      </c>
      <c r="D522" t="s">
        <v>20</v>
      </c>
      <c r="E522" s="1">
        <v>2026</v>
      </c>
      <c r="F522" s="11">
        <v>0.73109999999999997</v>
      </c>
      <c r="G522">
        <v>72.98</v>
      </c>
      <c r="H522">
        <v>94.14</v>
      </c>
      <c r="I522" s="2">
        <v>137024.18</v>
      </c>
      <c r="J522" s="2">
        <v>146624.04</v>
      </c>
      <c r="K522" s="2">
        <f>Table1[[#This Row],[Salary_after]]-Table1[[#This Row],[Salary_before]]</f>
        <v>9599.8600000000151</v>
      </c>
      <c r="L522" s="11">
        <v>7.0099999999999996E-2</v>
      </c>
      <c r="M522" s="11">
        <v>6.2300000000000001E-2</v>
      </c>
      <c r="N522">
        <v>39.08</v>
      </c>
      <c r="O522">
        <v>36.56</v>
      </c>
      <c r="P522">
        <v>3</v>
      </c>
      <c r="Q522" t="s">
        <v>37</v>
      </c>
      <c r="R522">
        <v>83.625</v>
      </c>
      <c r="S522">
        <v>7.01</v>
      </c>
      <c r="T522" s="4">
        <v>59.588999999999999</v>
      </c>
      <c r="U522" s="4">
        <v>26.729016000000001</v>
      </c>
      <c r="V522" t="str">
        <f>IF(Table1[[#This Row],[ai_disruption_intensity]]&gt;70,"High",
IF(Table1[[#This Row],[ai_disruption_intensity]]&gt;40,"Medium","Low"))</f>
        <v>Low</v>
      </c>
      <c r="W522" t="str">
        <f>IF(Table1[[#This Row],[skill_gap_index]]&gt;70,"Large Gap",
IF(Table1[[#This Row],[skill_gap_index]]&gt;40,"Medium Gap","Small Gap"))</f>
        <v>Large Gap</v>
      </c>
      <c r="X522" s="3" t="str">
        <f>IF(Table1[[#This Row],[automation_risk_percent]]&gt;0.7,"Highly Automatable",
IF(Table1[[#This Row],[automation_risk_percent]]&gt;0.4,"Moderate Risk","Safe Job"))</f>
        <v>Highly Automatable</v>
      </c>
    </row>
    <row r="523" spans="1:24" x14ac:dyDescent="0.3">
      <c r="A523">
        <v>1854</v>
      </c>
      <c r="B523" t="s">
        <v>46</v>
      </c>
      <c r="C523" t="s">
        <v>40</v>
      </c>
      <c r="D523" t="s">
        <v>28</v>
      </c>
      <c r="E523" s="1">
        <v>2026</v>
      </c>
      <c r="F523" s="11">
        <v>0.1106</v>
      </c>
      <c r="G523">
        <v>12.84</v>
      </c>
      <c r="H523">
        <v>23.06</v>
      </c>
      <c r="I523" s="2">
        <v>64968.27</v>
      </c>
      <c r="J523" s="2">
        <v>64068.45</v>
      </c>
      <c r="K523" s="2">
        <f>Table1[[#This Row],[Salary_after]]-Table1[[#This Row],[Salary_before]]</f>
        <v>-899.81999999999971</v>
      </c>
      <c r="L523" s="11">
        <v>-1.3899999999999999E-2</v>
      </c>
      <c r="M523" s="11">
        <v>0.16699999999999998</v>
      </c>
      <c r="N523">
        <v>12.16</v>
      </c>
      <c r="O523">
        <v>49.46</v>
      </c>
      <c r="P523">
        <v>2</v>
      </c>
      <c r="Q523" t="s">
        <v>21</v>
      </c>
      <c r="R523">
        <v>17.059999999999999</v>
      </c>
      <c r="S523">
        <v>1.39</v>
      </c>
      <c r="T523" s="4">
        <v>11.758999999999901</v>
      </c>
      <c r="U523" s="4">
        <v>5.4702760000000001</v>
      </c>
      <c r="V523" t="str">
        <f>IF(Table1[[#This Row],[ai_disruption_intensity]]&gt;70,"High",
IF(Table1[[#This Row],[ai_disruption_intensity]]&gt;40,"Medium","Low"))</f>
        <v>Low</v>
      </c>
      <c r="W523" t="str">
        <f>IF(Table1[[#This Row],[skill_gap_index]]&gt;70,"Large Gap",
IF(Table1[[#This Row],[skill_gap_index]]&gt;40,"Medium Gap","Small Gap"))</f>
        <v>Small Gap</v>
      </c>
      <c r="X523" s="3" t="str">
        <f>IF(Table1[[#This Row],[automation_risk_percent]]&gt;0.7,"Highly Automatable",
IF(Table1[[#This Row],[automation_risk_percent]]&gt;0.4,"Moderate Risk","Safe Job"))</f>
        <v>Safe Job</v>
      </c>
    </row>
    <row r="524" spans="1:24" x14ac:dyDescent="0.3">
      <c r="A524">
        <v>1855</v>
      </c>
      <c r="B524" t="s">
        <v>43</v>
      </c>
      <c r="C524" t="s">
        <v>34</v>
      </c>
      <c r="D524" t="s">
        <v>24</v>
      </c>
      <c r="E524" s="1">
        <v>2025</v>
      </c>
      <c r="F524" s="11">
        <v>0.15920000000000001</v>
      </c>
      <c r="G524">
        <v>19.010000000000002</v>
      </c>
      <c r="H524">
        <v>58.81</v>
      </c>
      <c r="I524" s="2">
        <v>60783.91</v>
      </c>
      <c r="J524" s="2">
        <v>56040.31</v>
      </c>
      <c r="K524" s="2">
        <f>Table1[[#This Row],[Salary_after]]-Table1[[#This Row],[Salary_before]]</f>
        <v>-4743.6000000000058</v>
      </c>
      <c r="L524" s="11">
        <v>-7.8E-2</v>
      </c>
      <c r="M524" s="11">
        <v>6.1799999999999994E-2</v>
      </c>
      <c r="N524">
        <v>81.99</v>
      </c>
      <c r="O524">
        <v>92.53</v>
      </c>
      <c r="P524">
        <v>2</v>
      </c>
      <c r="Q524" t="s">
        <v>21</v>
      </c>
      <c r="R524">
        <v>37.365000000000002</v>
      </c>
      <c r="S524">
        <v>7.8</v>
      </c>
      <c r="T524" s="4">
        <v>26.350999999999999</v>
      </c>
      <c r="U524" s="4">
        <v>14.730776000000001</v>
      </c>
      <c r="V524" t="str">
        <f>IF(Table1[[#This Row],[ai_disruption_intensity]]&gt;70,"High",
IF(Table1[[#This Row],[ai_disruption_intensity]]&gt;40,"Medium","Low"))</f>
        <v>Low</v>
      </c>
      <c r="W524" t="str">
        <f>IF(Table1[[#This Row],[skill_gap_index]]&gt;70,"Large Gap",
IF(Table1[[#This Row],[skill_gap_index]]&gt;40,"Medium Gap","Small Gap"))</f>
        <v>Medium Gap</v>
      </c>
      <c r="X524" s="3" t="str">
        <f>IF(Table1[[#This Row],[automation_risk_percent]]&gt;0.7,"Highly Automatable",
IF(Table1[[#This Row],[automation_risk_percent]]&gt;0.4,"Moderate Risk","Safe Job"))</f>
        <v>Safe Job</v>
      </c>
    </row>
    <row r="525" spans="1:24" x14ac:dyDescent="0.3">
      <c r="A525">
        <v>1857</v>
      </c>
      <c r="B525" t="s">
        <v>41</v>
      </c>
      <c r="C525" t="s">
        <v>40</v>
      </c>
      <c r="D525" t="s">
        <v>47</v>
      </c>
      <c r="E525" s="1">
        <v>2026</v>
      </c>
      <c r="F525" s="11">
        <v>0.36749999999999999</v>
      </c>
      <c r="G525">
        <v>29.54</v>
      </c>
      <c r="H525">
        <v>7.33</v>
      </c>
      <c r="I525" s="2">
        <v>56804.57</v>
      </c>
      <c r="J525" s="2">
        <v>56822.74</v>
      </c>
      <c r="K525" s="2">
        <f>Table1[[#This Row],[Salary_after]]-Table1[[#This Row],[Salary_before]]</f>
        <v>18.169999999998254</v>
      </c>
      <c r="L525" s="11">
        <v>2.9999999999999997E-4</v>
      </c>
      <c r="M525" s="11">
        <v>-2.5000000000000001E-3</v>
      </c>
      <c r="N525">
        <v>38.270000000000003</v>
      </c>
      <c r="O525">
        <v>18.05</v>
      </c>
      <c r="P525">
        <v>1</v>
      </c>
      <c r="Q525" t="s">
        <v>25</v>
      </c>
      <c r="R525">
        <v>22.04</v>
      </c>
      <c r="S525">
        <v>0.03</v>
      </c>
      <c r="T525" s="4">
        <v>16.908000000000001</v>
      </c>
      <c r="U525" s="4">
        <v>6.633375</v>
      </c>
      <c r="V525" t="str">
        <f>IF(Table1[[#This Row],[ai_disruption_intensity]]&gt;70,"High",
IF(Table1[[#This Row],[ai_disruption_intensity]]&gt;40,"Medium","Low"))</f>
        <v>Low</v>
      </c>
      <c r="W525" t="str">
        <f>IF(Table1[[#This Row],[skill_gap_index]]&gt;70,"Large Gap",
IF(Table1[[#This Row],[skill_gap_index]]&gt;40,"Medium Gap","Small Gap"))</f>
        <v>Small Gap</v>
      </c>
      <c r="X525" s="3" t="str">
        <f>IF(Table1[[#This Row],[automation_risk_percent]]&gt;0.7,"Highly Automatable",
IF(Table1[[#This Row],[automation_risk_percent]]&gt;0.4,"Moderate Risk","Safe Job"))</f>
        <v>Safe Job</v>
      </c>
    </row>
    <row r="526" spans="1:24" x14ac:dyDescent="0.3">
      <c r="A526">
        <v>1858</v>
      </c>
      <c r="B526" t="s">
        <v>39</v>
      </c>
      <c r="C526" t="s">
        <v>34</v>
      </c>
      <c r="D526" t="s">
        <v>36</v>
      </c>
      <c r="E526" s="1">
        <v>2026</v>
      </c>
      <c r="F526" s="11">
        <v>0.62509999999999999</v>
      </c>
      <c r="G526">
        <v>55.12</v>
      </c>
      <c r="H526">
        <v>68.760000000000005</v>
      </c>
      <c r="I526" s="2">
        <v>71911.789999999994</v>
      </c>
      <c r="J526" s="2">
        <v>77319.89</v>
      </c>
      <c r="K526" s="2">
        <f>Table1[[#This Row],[Salary_after]]-Table1[[#This Row],[Salary_before]]</f>
        <v>5408.1000000000058</v>
      </c>
      <c r="L526" s="11">
        <v>7.5199999999999989E-2</v>
      </c>
      <c r="M526" s="11">
        <v>5.21E-2</v>
      </c>
      <c r="N526">
        <v>13.36</v>
      </c>
      <c r="O526">
        <v>50.03</v>
      </c>
      <c r="P526">
        <v>4</v>
      </c>
      <c r="Q526" t="s">
        <v>37</v>
      </c>
      <c r="R526">
        <v>65.635000000000005</v>
      </c>
      <c r="S526">
        <v>7.52</v>
      </c>
      <c r="T526" s="4">
        <v>47.887999999999998</v>
      </c>
      <c r="U526" s="4">
        <v>31.273752999999999</v>
      </c>
      <c r="V526" t="str">
        <f>IF(Table1[[#This Row],[ai_disruption_intensity]]&gt;70,"High",
IF(Table1[[#This Row],[ai_disruption_intensity]]&gt;40,"Medium","Low"))</f>
        <v>Low</v>
      </c>
      <c r="W526" t="str">
        <f>IF(Table1[[#This Row],[skill_gap_index]]&gt;70,"Large Gap",
IF(Table1[[#This Row],[skill_gap_index]]&gt;40,"Medium Gap","Small Gap"))</f>
        <v>Medium Gap</v>
      </c>
      <c r="X526" s="3" t="str">
        <f>IF(Table1[[#This Row],[automation_risk_percent]]&gt;0.7,"Highly Automatable",
IF(Table1[[#This Row],[automation_risk_percent]]&gt;0.4,"Moderate Risk","Safe Job"))</f>
        <v>Moderate Risk</v>
      </c>
    </row>
    <row r="527" spans="1:24" x14ac:dyDescent="0.3">
      <c r="A527">
        <v>1859</v>
      </c>
      <c r="B527" t="s">
        <v>29</v>
      </c>
      <c r="C527" t="s">
        <v>40</v>
      </c>
      <c r="D527" t="s">
        <v>42</v>
      </c>
      <c r="E527" s="1">
        <v>2026</v>
      </c>
      <c r="F527" s="11">
        <v>0.84810000000000008</v>
      </c>
      <c r="G527">
        <v>87.79</v>
      </c>
      <c r="H527">
        <v>27.69</v>
      </c>
      <c r="I527" s="2">
        <v>77721.740000000005</v>
      </c>
      <c r="J527" s="2">
        <v>83187.27</v>
      </c>
      <c r="K527" s="2">
        <f>Table1[[#This Row],[Salary_after]]-Table1[[#This Row],[Salary_before]]</f>
        <v>5465.5299999999988</v>
      </c>
      <c r="L527" s="11">
        <v>7.0300000000000001E-2</v>
      </c>
      <c r="M527" s="11">
        <v>8.2400000000000001E-2</v>
      </c>
      <c r="N527">
        <v>13.7</v>
      </c>
      <c r="O527">
        <v>7.15</v>
      </c>
      <c r="P527">
        <v>5</v>
      </c>
      <c r="Q527" t="s">
        <v>37</v>
      </c>
      <c r="R527">
        <v>56.25</v>
      </c>
      <c r="S527">
        <v>7.03</v>
      </c>
      <c r="T527" s="4">
        <v>44.34</v>
      </c>
      <c r="U527" s="4">
        <v>6.0639149999999997</v>
      </c>
      <c r="V527" t="str">
        <f>IF(Table1[[#This Row],[ai_disruption_intensity]]&gt;70,"High",
IF(Table1[[#This Row],[ai_disruption_intensity]]&gt;40,"Medium","Low"))</f>
        <v>Low</v>
      </c>
      <c r="W527" t="str">
        <f>IF(Table1[[#This Row],[skill_gap_index]]&gt;70,"Large Gap",
IF(Table1[[#This Row],[skill_gap_index]]&gt;40,"Medium Gap","Small Gap"))</f>
        <v>Small Gap</v>
      </c>
      <c r="X527" s="3" t="str">
        <f>IF(Table1[[#This Row],[automation_risk_percent]]&gt;0.7,"Highly Automatable",
IF(Table1[[#This Row],[automation_risk_percent]]&gt;0.4,"Moderate Risk","Safe Job"))</f>
        <v>Highly Automatable</v>
      </c>
    </row>
    <row r="528" spans="1:24" x14ac:dyDescent="0.3">
      <c r="A528">
        <v>1861</v>
      </c>
      <c r="B528" t="s">
        <v>22</v>
      </c>
      <c r="C528" t="s">
        <v>33</v>
      </c>
      <c r="D528" t="s">
        <v>42</v>
      </c>
      <c r="E528" s="1">
        <v>2026</v>
      </c>
      <c r="F528" s="11">
        <v>0.24309999999999998</v>
      </c>
      <c r="G528">
        <v>21.84</v>
      </c>
      <c r="H528">
        <v>93.3</v>
      </c>
      <c r="I528" s="2">
        <v>120685.7</v>
      </c>
      <c r="J528" s="2">
        <v>117924.6</v>
      </c>
      <c r="K528" s="2">
        <f>Table1[[#This Row],[Salary_after]]-Table1[[#This Row],[Salary_before]]</f>
        <v>-2761.0999999999913</v>
      </c>
      <c r="L528" s="11">
        <v>-2.29E-2</v>
      </c>
      <c r="M528" s="11">
        <v>6.6799999999999998E-2</v>
      </c>
      <c r="N528">
        <v>85.27</v>
      </c>
      <c r="O528">
        <v>40.82</v>
      </c>
      <c r="P528">
        <v>3</v>
      </c>
      <c r="Q528" t="s">
        <v>21</v>
      </c>
      <c r="R528">
        <v>58.805</v>
      </c>
      <c r="S528">
        <v>2.29</v>
      </c>
      <c r="T528" s="4">
        <v>38.400999999999897</v>
      </c>
      <c r="U528" s="4">
        <v>9.9233419999999999</v>
      </c>
      <c r="V528" t="str">
        <f>IF(Table1[[#This Row],[ai_disruption_intensity]]&gt;70,"High",
IF(Table1[[#This Row],[ai_disruption_intensity]]&gt;40,"Medium","Low"))</f>
        <v>Low</v>
      </c>
      <c r="W528" t="str">
        <f>IF(Table1[[#This Row],[skill_gap_index]]&gt;70,"Large Gap",
IF(Table1[[#This Row],[skill_gap_index]]&gt;40,"Medium Gap","Small Gap"))</f>
        <v>Large Gap</v>
      </c>
      <c r="X528" s="3" t="str">
        <f>IF(Table1[[#This Row],[automation_risk_percent]]&gt;0.7,"Highly Automatable",
IF(Table1[[#This Row],[automation_risk_percent]]&gt;0.4,"Moderate Risk","Safe Job"))</f>
        <v>Safe Job</v>
      </c>
    </row>
    <row r="529" spans="1:24" x14ac:dyDescent="0.3">
      <c r="A529">
        <v>1868</v>
      </c>
      <c r="B529" t="s">
        <v>26</v>
      </c>
      <c r="C529" t="s">
        <v>27</v>
      </c>
      <c r="D529" t="s">
        <v>20</v>
      </c>
      <c r="E529" s="1">
        <v>2026</v>
      </c>
      <c r="F529" s="11">
        <v>0.38140000000000002</v>
      </c>
      <c r="G529">
        <v>37.950000000000003</v>
      </c>
      <c r="H529">
        <v>38.119999999999997</v>
      </c>
      <c r="I529" s="2">
        <v>116265.36</v>
      </c>
      <c r="J529" s="2">
        <v>116498.05</v>
      </c>
      <c r="K529" s="2">
        <f>Table1[[#This Row],[Salary_after]]-Table1[[#This Row],[Salary_before]]</f>
        <v>232.69000000000233</v>
      </c>
      <c r="L529" s="11">
        <v>2E-3</v>
      </c>
      <c r="M529" s="11">
        <v>0.12539999999999998</v>
      </c>
      <c r="N529">
        <v>73.069999999999993</v>
      </c>
      <c r="O529">
        <v>85.56</v>
      </c>
      <c r="P529">
        <v>5</v>
      </c>
      <c r="Q529" t="s">
        <v>25</v>
      </c>
      <c r="R529">
        <v>38.129999999999903</v>
      </c>
      <c r="S529">
        <v>0.2</v>
      </c>
      <c r="T529" s="4">
        <v>26.751999999999999</v>
      </c>
      <c r="U529" s="4">
        <v>32.632584000000001</v>
      </c>
      <c r="V529" t="str">
        <f>IF(Table1[[#This Row],[ai_disruption_intensity]]&gt;70,"High",
IF(Table1[[#This Row],[ai_disruption_intensity]]&gt;40,"Medium","Low"))</f>
        <v>Low</v>
      </c>
      <c r="W529" t="str">
        <f>IF(Table1[[#This Row],[skill_gap_index]]&gt;70,"Large Gap",
IF(Table1[[#This Row],[skill_gap_index]]&gt;40,"Medium Gap","Small Gap"))</f>
        <v>Small Gap</v>
      </c>
      <c r="X529" s="3" t="str">
        <f>IF(Table1[[#This Row],[automation_risk_percent]]&gt;0.7,"Highly Automatable",
IF(Table1[[#This Row],[automation_risk_percent]]&gt;0.4,"Moderate Risk","Safe Job"))</f>
        <v>Safe Job</v>
      </c>
    </row>
    <row r="530" spans="1:24" x14ac:dyDescent="0.3">
      <c r="A530">
        <v>1880</v>
      </c>
      <c r="B530" t="s">
        <v>46</v>
      </c>
      <c r="C530" t="s">
        <v>30</v>
      </c>
      <c r="D530" t="s">
        <v>35</v>
      </c>
      <c r="E530" s="1">
        <v>2025</v>
      </c>
      <c r="F530" s="11">
        <v>0.61319999999999997</v>
      </c>
      <c r="G530">
        <v>53.37</v>
      </c>
      <c r="H530">
        <v>26.49</v>
      </c>
      <c r="I530" s="2">
        <v>39167.199999999997</v>
      </c>
      <c r="J530" s="2">
        <v>32958.230000000003</v>
      </c>
      <c r="K530" s="2">
        <f>Table1[[#This Row],[Salary_after]]-Table1[[#This Row],[Salary_before]]</f>
        <v>-6208.9699999999939</v>
      </c>
      <c r="L530" s="11">
        <v>-0.1585</v>
      </c>
      <c r="M530" s="11">
        <v>8.5600000000000009E-2</v>
      </c>
      <c r="N530">
        <v>31.91</v>
      </c>
      <c r="O530">
        <v>99.07</v>
      </c>
      <c r="P530">
        <v>4</v>
      </c>
      <c r="Q530" t="s">
        <v>37</v>
      </c>
      <c r="R530">
        <v>43.905000000000001</v>
      </c>
      <c r="S530">
        <v>15.85</v>
      </c>
      <c r="T530" s="4">
        <v>37.229999999999997</v>
      </c>
      <c r="U530" s="4">
        <v>60.749723999999901</v>
      </c>
      <c r="V530" t="str">
        <f>IF(Table1[[#This Row],[ai_disruption_intensity]]&gt;70,"High",
IF(Table1[[#This Row],[ai_disruption_intensity]]&gt;40,"Medium","Low"))</f>
        <v>Medium</v>
      </c>
      <c r="W530" t="str">
        <f>IF(Table1[[#This Row],[skill_gap_index]]&gt;70,"Large Gap",
IF(Table1[[#This Row],[skill_gap_index]]&gt;40,"Medium Gap","Small Gap"))</f>
        <v>Small Gap</v>
      </c>
      <c r="X530" s="3" t="str">
        <f>IF(Table1[[#This Row],[automation_risk_percent]]&gt;0.7,"Highly Automatable",
IF(Table1[[#This Row],[automation_risk_percent]]&gt;0.4,"Moderate Risk","Safe Job"))</f>
        <v>Moderate Risk</v>
      </c>
    </row>
    <row r="531" spans="1:24" x14ac:dyDescent="0.3">
      <c r="A531">
        <v>1883</v>
      </c>
      <c r="B531" t="s">
        <v>41</v>
      </c>
      <c r="C531" t="s">
        <v>38</v>
      </c>
      <c r="D531" t="s">
        <v>32</v>
      </c>
      <c r="E531" s="1">
        <v>2025</v>
      </c>
      <c r="F531" s="11">
        <v>0.70180000000000009</v>
      </c>
      <c r="G531">
        <v>57.4</v>
      </c>
      <c r="H531">
        <v>54.22</v>
      </c>
      <c r="I531" s="2">
        <v>32076.01</v>
      </c>
      <c r="J531" s="2">
        <v>29884</v>
      </c>
      <c r="K531" s="2">
        <f>Table1[[#This Row],[Salary_after]]-Table1[[#This Row],[Salary_before]]</f>
        <v>-2192.0099999999984</v>
      </c>
      <c r="L531" s="11">
        <v>-6.83E-2</v>
      </c>
      <c r="M531" s="11">
        <v>0.16089999999999999</v>
      </c>
      <c r="N531">
        <v>52.48</v>
      </c>
      <c r="O531">
        <v>79.87</v>
      </c>
      <c r="P531">
        <v>5</v>
      </c>
      <c r="Q531" t="s">
        <v>37</v>
      </c>
      <c r="R531">
        <v>62.2</v>
      </c>
      <c r="S531">
        <v>6.83</v>
      </c>
      <c r="T531" s="4">
        <v>46.387</v>
      </c>
      <c r="U531" s="4">
        <v>56.052765999999998</v>
      </c>
      <c r="V531" t="str">
        <f>IF(Table1[[#This Row],[ai_disruption_intensity]]&gt;70,"High",
IF(Table1[[#This Row],[ai_disruption_intensity]]&gt;40,"Medium","Low"))</f>
        <v>Medium</v>
      </c>
      <c r="W531" t="str">
        <f>IF(Table1[[#This Row],[skill_gap_index]]&gt;70,"Large Gap",
IF(Table1[[#This Row],[skill_gap_index]]&gt;40,"Medium Gap","Small Gap"))</f>
        <v>Medium Gap</v>
      </c>
      <c r="X531" s="3" t="str">
        <f>IF(Table1[[#This Row],[automation_risk_percent]]&gt;0.7,"Highly Automatable",
IF(Table1[[#This Row],[automation_risk_percent]]&gt;0.4,"Moderate Risk","Safe Job"))</f>
        <v>Highly Automatable</v>
      </c>
    </row>
    <row r="532" spans="1:24" x14ac:dyDescent="0.3">
      <c r="A532">
        <v>1885</v>
      </c>
      <c r="B532" t="s">
        <v>22</v>
      </c>
      <c r="C532" t="s">
        <v>19</v>
      </c>
      <c r="D532" t="s">
        <v>31</v>
      </c>
      <c r="E532" s="1">
        <v>2025</v>
      </c>
      <c r="F532" s="11">
        <v>0.68110000000000004</v>
      </c>
      <c r="G532">
        <v>73</v>
      </c>
      <c r="H532">
        <v>23.62</v>
      </c>
      <c r="I532" s="2">
        <v>75239.259999999995</v>
      </c>
      <c r="J532" s="2">
        <v>99948.72</v>
      </c>
      <c r="K532" s="2">
        <f>Table1[[#This Row],[Salary_after]]-Table1[[#This Row],[Salary_before]]</f>
        <v>24709.460000000006</v>
      </c>
      <c r="L532" s="11">
        <v>0.32840000000000003</v>
      </c>
      <c r="M532" s="11">
        <v>0.1283</v>
      </c>
      <c r="N532">
        <v>89.99</v>
      </c>
      <c r="O532">
        <v>38.06</v>
      </c>
      <c r="P532">
        <v>2</v>
      </c>
      <c r="Q532" t="s">
        <v>37</v>
      </c>
      <c r="R532">
        <v>45.865000000000002</v>
      </c>
      <c r="S532">
        <v>32.840000000000003</v>
      </c>
      <c r="T532" s="4">
        <v>44.182000000000002</v>
      </c>
      <c r="U532" s="4">
        <v>25.922666</v>
      </c>
      <c r="V532" t="str">
        <f>IF(Table1[[#This Row],[ai_disruption_intensity]]&gt;70,"High",
IF(Table1[[#This Row],[ai_disruption_intensity]]&gt;40,"Medium","Low"))</f>
        <v>Low</v>
      </c>
      <c r="W532" t="str">
        <f>IF(Table1[[#This Row],[skill_gap_index]]&gt;70,"Large Gap",
IF(Table1[[#This Row],[skill_gap_index]]&gt;40,"Medium Gap","Small Gap"))</f>
        <v>Small Gap</v>
      </c>
      <c r="X532" s="3" t="str">
        <f>IF(Table1[[#This Row],[automation_risk_percent]]&gt;0.7,"Highly Automatable",
IF(Table1[[#This Row],[automation_risk_percent]]&gt;0.4,"Moderate Risk","Safe Job"))</f>
        <v>Moderate Risk</v>
      </c>
    </row>
    <row r="533" spans="1:24" x14ac:dyDescent="0.3">
      <c r="A533">
        <v>1887</v>
      </c>
      <c r="B533" t="s">
        <v>26</v>
      </c>
      <c r="C533" t="s">
        <v>30</v>
      </c>
      <c r="D533" t="s">
        <v>28</v>
      </c>
      <c r="E533" s="1">
        <v>2026</v>
      </c>
      <c r="F533" s="11">
        <v>0.6613</v>
      </c>
      <c r="G533">
        <v>55.88</v>
      </c>
      <c r="H533">
        <v>45.19</v>
      </c>
      <c r="I533" s="2">
        <v>53089.32</v>
      </c>
      <c r="J533" s="2">
        <v>47984.94</v>
      </c>
      <c r="K533" s="2">
        <f>Table1[[#This Row],[Salary_after]]-Table1[[#This Row],[Salary_before]]</f>
        <v>-5104.3799999999974</v>
      </c>
      <c r="L533" s="11">
        <v>-9.6099999999999991E-2</v>
      </c>
      <c r="M533" s="11">
        <v>4.4800000000000006E-2</v>
      </c>
      <c r="N533">
        <v>80.680000000000007</v>
      </c>
      <c r="O533">
        <v>69.709999999999994</v>
      </c>
      <c r="P533">
        <v>3</v>
      </c>
      <c r="Q533" t="s">
        <v>37</v>
      </c>
      <c r="R533">
        <v>55.66</v>
      </c>
      <c r="S533">
        <v>9.61</v>
      </c>
      <c r="T533" s="4">
        <v>42.892000000000003</v>
      </c>
      <c r="U533" s="4">
        <v>46.099222999999903</v>
      </c>
      <c r="V533" t="str">
        <f>IF(Table1[[#This Row],[ai_disruption_intensity]]&gt;70,"High",
IF(Table1[[#This Row],[ai_disruption_intensity]]&gt;40,"Medium","Low"))</f>
        <v>Medium</v>
      </c>
      <c r="W533" t="str">
        <f>IF(Table1[[#This Row],[skill_gap_index]]&gt;70,"Large Gap",
IF(Table1[[#This Row],[skill_gap_index]]&gt;40,"Medium Gap","Small Gap"))</f>
        <v>Medium Gap</v>
      </c>
      <c r="X533" s="3" t="str">
        <f>IF(Table1[[#This Row],[automation_risk_percent]]&gt;0.7,"Highly Automatable",
IF(Table1[[#This Row],[automation_risk_percent]]&gt;0.4,"Moderate Risk","Safe Job"))</f>
        <v>Moderate Risk</v>
      </c>
    </row>
    <row r="534" spans="1:24" x14ac:dyDescent="0.3">
      <c r="A534">
        <v>1890</v>
      </c>
      <c r="B534" t="s">
        <v>41</v>
      </c>
      <c r="C534" t="s">
        <v>38</v>
      </c>
      <c r="D534" t="s">
        <v>47</v>
      </c>
      <c r="E534" s="1">
        <v>2025</v>
      </c>
      <c r="F534" s="11">
        <v>0.54490000000000005</v>
      </c>
      <c r="G534">
        <v>61.77</v>
      </c>
      <c r="H534">
        <v>47.62</v>
      </c>
      <c r="I534" s="2">
        <v>148532.79999999999</v>
      </c>
      <c r="J534" s="2">
        <v>177832.08</v>
      </c>
      <c r="K534" s="2">
        <f>Table1[[#This Row],[Salary_after]]-Table1[[#This Row],[Salary_before]]</f>
        <v>29299.279999999999</v>
      </c>
      <c r="L534" s="11">
        <v>0.1973</v>
      </c>
      <c r="M534" s="11">
        <v>-2.9600000000000001E-2</v>
      </c>
      <c r="N534">
        <v>14.53</v>
      </c>
      <c r="O534">
        <v>65.33</v>
      </c>
      <c r="P534">
        <v>4</v>
      </c>
      <c r="Q534" t="s">
        <v>25</v>
      </c>
      <c r="R534">
        <v>51.055</v>
      </c>
      <c r="S534">
        <v>19.73</v>
      </c>
      <c r="T534" s="4">
        <v>42.000999999999998</v>
      </c>
      <c r="U534" s="4">
        <v>35.598317000000002</v>
      </c>
      <c r="V534" t="str">
        <f>IF(Table1[[#This Row],[ai_disruption_intensity]]&gt;70,"High",
IF(Table1[[#This Row],[ai_disruption_intensity]]&gt;40,"Medium","Low"))</f>
        <v>Low</v>
      </c>
      <c r="W534" t="str">
        <f>IF(Table1[[#This Row],[skill_gap_index]]&gt;70,"Large Gap",
IF(Table1[[#This Row],[skill_gap_index]]&gt;40,"Medium Gap","Small Gap"))</f>
        <v>Medium Gap</v>
      </c>
      <c r="X534" s="3" t="str">
        <f>IF(Table1[[#This Row],[automation_risk_percent]]&gt;0.7,"Highly Automatable",
IF(Table1[[#This Row],[automation_risk_percent]]&gt;0.4,"Moderate Risk","Safe Job"))</f>
        <v>Moderate Risk</v>
      </c>
    </row>
    <row r="535" spans="1:24" x14ac:dyDescent="0.3">
      <c r="A535">
        <v>1892</v>
      </c>
      <c r="B535" t="s">
        <v>26</v>
      </c>
      <c r="C535" t="s">
        <v>27</v>
      </c>
      <c r="D535" t="s">
        <v>47</v>
      </c>
      <c r="E535" s="1">
        <v>2025</v>
      </c>
      <c r="F535" s="11">
        <v>0.59929999999999994</v>
      </c>
      <c r="G535">
        <v>69.75</v>
      </c>
      <c r="H535">
        <v>44.97</v>
      </c>
      <c r="I535" s="2">
        <v>63651.58</v>
      </c>
      <c r="J535" s="2">
        <v>66337.48</v>
      </c>
      <c r="K535" s="2">
        <f>Table1[[#This Row],[Salary_after]]-Table1[[#This Row],[Salary_before]]</f>
        <v>2685.8999999999942</v>
      </c>
      <c r="L535" s="11">
        <v>4.2199999999999994E-2</v>
      </c>
      <c r="M535" s="11">
        <v>-3.2500000000000001E-2</v>
      </c>
      <c r="N535">
        <v>38.1</v>
      </c>
      <c r="O535">
        <v>90.95</v>
      </c>
      <c r="P535">
        <v>4</v>
      </c>
      <c r="Q535" t="s">
        <v>25</v>
      </c>
      <c r="R535">
        <v>52.45</v>
      </c>
      <c r="S535">
        <v>4.22</v>
      </c>
      <c r="T535" s="4">
        <v>38.728999999999999</v>
      </c>
      <c r="U535" s="4">
        <v>54.506335</v>
      </c>
      <c r="V535" t="str">
        <f>IF(Table1[[#This Row],[ai_disruption_intensity]]&gt;70,"High",
IF(Table1[[#This Row],[ai_disruption_intensity]]&gt;40,"Medium","Low"))</f>
        <v>Medium</v>
      </c>
      <c r="W535" t="str">
        <f>IF(Table1[[#This Row],[skill_gap_index]]&gt;70,"Large Gap",
IF(Table1[[#This Row],[skill_gap_index]]&gt;40,"Medium Gap","Small Gap"))</f>
        <v>Medium Gap</v>
      </c>
      <c r="X535" s="3" t="str">
        <f>IF(Table1[[#This Row],[automation_risk_percent]]&gt;0.7,"Highly Automatable",
IF(Table1[[#This Row],[automation_risk_percent]]&gt;0.4,"Moderate Risk","Safe Job"))</f>
        <v>Moderate Risk</v>
      </c>
    </row>
    <row r="536" spans="1:24" x14ac:dyDescent="0.3">
      <c r="A536">
        <v>1897</v>
      </c>
      <c r="B536" t="s">
        <v>44</v>
      </c>
      <c r="C536" t="s">
        <v>30</v>
      </c>
      <c r="D536" t="s">
        <v>20</v>
      </c>
      <c r="E536" s="1">
        <v>2025</v>
      </c>
      <c r="F536" s="11">
        <v>0.70200000000000007</v>
      </c>
      <c r="G536">
        <v>66.260000000000005</v>
      </c>
      <c r="H536">
        <v>32.49</v>
      </c>
      <c r="I536" s="2">
        <v>92045.8</v>
      </c>
      <c r="J536" s="2">
        <v>83058.22</v>
      </c>
      <c r="K536" s="2">
        <f>Table1[[#This Row],[Salary_after]]-Table1[[#This Row],[Salary_before]]</f>
        <v>-8987.5800000000017</v>
      </c>
      <c r="L536" s="11">
        <v>-9.7599999999999992E-2</v>
      </c>
      <c r="M536" s="11">
        <v>0.14749999999999999</v>
      </c>
      <c r="N536">
        <v>74.3</v>
      </c>
      <c r="O536">
        <v>55.51</v>
      </c>
      <c r="P536">
        <v>3</v>
      </c>
      <c r="Q536" t="s">
        <v>37</v>
      </c>
      <c r="R536">
        <v>51.344999999999999</v>
      </c>
      <c r="S536">
        <v>9.76</v>
      </c>
      <c r="T536" s="4">
        <v>40.754999999999903</v>
      </c>
      <c r="U536" s="4">
        <v>38.968020000000003</v>
      </c>
      <c r="V536" t="str">
        <f>IF(Table1[[#This Row],[ai_disruption_intensity]]&gt;70,"High",
IF(Table1[[#This Row],[ai_disruption_intensity]]&gt;40,"Medium","Low"))</f>
        <v>Low</v>
      </c>
      <c r="W536" t="str">
        <f>IF(Table1[[#This Row],[skill_gap_index]]&gt;70,"Large Gap",
IF(Table1[[#This Row],[skill_gap_index]]&gt;40,"Medium Gap","Small Gap"))</f>
        <v>Small Gap</v>
      </c>
      <c r="X536" s="3" t="str">
        <f>IF(Table1[[#This Row],[automation_risk_percent]]&gt;0.7,"Highly Automatable",
IF(Table1[[#This Row],[automation_risk_percent]]&gt;0.4,"Moderate Risk","Safe Job"))</f>
        <v>Highly Automatable</v>
      </c>
    </row>
    <row r="537" spans="1:24" x14ac:dyDescent="0.3">
      <c r="A537">
        <v>1899</v>
      </c>
      <c r="B537" t="s">
        <v>46</v>
      </c>
      <c r="C537" t="s">
        <v>34</v>
      </c>
      <c r="D537" t="s">
        <v>42</v>
      </c>
      <c r="E537" s="1">
        <v>2025</v>
      </c>
      <c r="F537" s="11">
        <v>0.37979999999999997</v>
      </c>
      <c r="G537">
        <v>37.07</v>
      </c>
      <c r="H537">
        <v>39.01</v>
      </c>
      <c r="I537" s="2">
        <v>110708.06</v>
      </c>
      <c r="J537" s="2">
        <v>108185.2</v>
      </c>
      <c r="K537" s="2">
        <f>Table1[[#This Row],[Salary_after]]-Table1[[#This Row],[Salary_before]]</f>
        <v>-2522.8600000000006</v>
      </c>
      <c r="L537" s="11">
        <v>-2.2799999999999997E-2</v>
      </c>
      <c r="M537" s="11">
        <v>5.96E-2</v>
      </c>
      <c r="N537">
        <v>40.49</v>
      </c>
      <c r="O537">
        <v>41.18</v>
      </c>
      <c r="P537">
        <v>1</v>
      </c>
      <c r="Q537" t="s">
        <v>25</v>
      </c>
      <c r="R537">
        <v>38.494999999999997</v>
      </c>
      <c r="S537">
        <v>2.2799999999999998</v>
      </c>
      <c r="T537" s="4">
        <v>27.579000000000001</v>
      </c>
      <c r="U537" s="4">
        <v>15.640163999999899</v>
      </c>
      <c r="V537" t="str">
        <f>IF(Table1[[#This Row],[ai_disruption_intensity]]&gt;70,"High",
IF(Table1[[#This Row],[ai_disruption_intensity]]&gt;40,"Medium","Low"))</f>
        <v>Low</v>
      </c>
      <c r="W537" t="str">
        <f>IF(Table1[[#This Row],[skill_gap_index]]&gt;70,"Large Gap",
IF(Table1[[#This Row],[skill_gap_index]]&gt;40,"Medium Gap","Small Gap"))</f>
        <v>Small Gap</v>
      </c>
      <c r="X537" s="3" t="str">
        <f>IF(Table1[[#This Row],[automation_risk_percent]]&gt;0.7,"Highly Automatable",
IF(Table1[[#This Row],[automation_risk_percent]]&gt;0.4,"Moderate Risk","Safe Job"))</f>
        <v>Safe Job</v>
      </c>
    </row>
    <row r="538" spans="1:24" x14ac:dyDescent="0.3">
      <c r="A538">
        <v>1900</v>
      </c>
      <c r="B538" t="s">
        <v>45</v>
      </c>
      <c r="C538" t="s">
        <v>30</v>
      </c>
      <c r="D538" t="s">
        <v>36</v>
      </c>
      <c r="E538" s="1">
        <v>2025</v>
      </c>
      <c r="F538" s="11">
        <v>0.1678</v>
      </c>
      <c r="G538">
        <v>15.01</v>
      </c>
      <c r="H538">
        <v>5.16</v>
      </c>
      <c r="I538" s="2">
        <v>149549.04999999999</v>
      </c>
      <c r="J538" s="2">
        <v>143740.4</v>
      </c>
      <c r="K538" s="2">
        <f>Table1[[#This Row],[Salary_after]]-Table1[[#This Row],[Salary_before]]</f>
        <v>-5808.6499999999942</v>
      </c>
      <c r="L538" s="11">
        <v>-3.8800000000000001E-2</v>
      </c>
      <c r="M538" s="11">
        <v>7.2300000000000003E-2</v>
      </c>
      <c r="N538">
        <v>11.82</v>
      </c>
      <c r="O538">
        <v>71.930000000000007</v>
      </c>
      <c r="P538">
        <v>3</v>
      </c>
      <c r="Q538" t="s">
        <v>21</v>
      </c>
      <c r="R538">
        <v>10.97</v>
      </c>
      <c r="S538">
        <v>3.88</v>
      </c>
      <c r="T538" s="4">
        <v>9.4239999999999995</v>
      </c>
      <c r="U538" s="4">
        <v>12.069853999999999</v>
      </c>
      <c r="V538" t="str">
        <f>IF(Table1[[#This Row],[ai_disruption_intensity]]&gt;70,"High",
IF(Table1[[#This Row],[ai_disruption_intensity]]&gt;40,"Medium","Low"))</f>
        <v>Low</v>
      </c>
      <c r="W538" t="str">
        <f>IF(Table1[[#This Row],[skill_gap_index]]&gt;70,"Large Gap",
IF(Table1[[#This Row],[skill_gap_index]]&gt;40,"Medium Gap","Small Gap"))</f>
        <v>Small Gap</v>
      </c>
      <c r="X538" s="3" t="str">
        <f>IF(Table1[[#This Row],[automation_risk_percent]]&gt;0.7,"Highly Automatable",
IF(Table1[[#This Row],[automation_risk_percent]]&gt;0.4,"Moderate Risk","Safe Job"))</f>
        <v>Safe Job</v>
      </c>
    </row>
    <row r="539" spans="1:24" x14ac:dyDescent="0.3">
      <c r="A539">
        <v>1912</v>
      </c>
      <c r="B539" t="s">
        <v>29</v>
      </c>
      <c r="C539" t="s">
        <v>38</v>
      </c>
      <c r="D539" t="s">
        <v>35</v>
      </c>
      <c r="E539" s="1">
        <v>2026</v>
      </c>
      <c r="F539" s="11">
        <v>0.61070000000000002</v>
      </c>
      <c r="G539">
        <v>72.87</v>
      </c>
      <c r="H539">
        <v>5.8</v>
      </c>
      <c r="I539" s="2">
        <v>100023.55</v>
      </c>
      <c r="J539" s="2">
        <v>109845.97</v>
      </c>
      <c r="K539" s="2">
        <f>Table1[[#This Row],[Salary_after]]-Table1[[#This Row],[Salary_before]]</f>
        <v>9822.4199999999983</v>
      </c>
      <c r="L539" s="11">
        <v>9.820000000000001E-2</v>
      </c>
      <c r="M539" s="11">
        <v>6.8999999999999999E-3</v>
      </c>
      <c r="N539">
        <v>42.51</v>
      </c>
      <c r="O539">
        <v>26.05</v>
      </c>
      <c r="P539">
        <v>5</v>
      </c>
      <c r="Q539" t="s">
        <v>37</v>
      </c>
      <c r="R539">
        <v>33.435000000000002</v>
      </c>
      <c r="S539">
        <v>9.82</v>
      </c>
      <c r="T539" s="4">
        <v>29.114000000000001</v>
      </c>
      <c r="U539" s="4">
        <v>15.908735</v>
      </c>
      <c r="V539" t="str">
        <f>IF(Table1[[#This Row],[ai_disruption_intensity]]&gt;70,"High",
IF(Table1[[#This Row],[ai_disruption_intensity]]&gt;40,"Medium","Low"))</f>
        <v>Low</v>
      </c>
      <c r="W539" t="str">
        <f>IF(Table1[[#This Row],[skill_gap_index]]&gt;70,"Large Gap",
IF(Table1[[#This Row],[skill_gap_index]]&gt;40,"Medium Gap","Small Gap"))</f>
        <v>Small Gap</v>
      </c>
      <c r="X539" s="3" t="str">
        <f>IF(Table1[[#This Row],[automation_risk_percent]]&gt;0.7,"Highly Automatable",
IF(Table1[[#This Row],[automation_risk_percent]]&gt;0.4,"Moderate Risk","Safe Job"))</f>
        <v>Moderate Risk</v>
      </c>
    </row>
    <row r="540" spans="1:24" x14ac:dyDescent="0.3">
      <c r="A540">
        <v>1913</v>
      </c>
      <c r="B540" t="s">
        <v>41</v>
      </c>
      <c r="C540" t="s">
        <v>30</v>
      </c>
      <c r="D540" t="s">
        <v>28</v>
      </c>
      <c r="E540" s="1">
        <v>2026</v>
      </c>
      <c r="F540" s="11">
        <v>0.85030000000000006</v>
      </c>
      <c r="G540">
        <v>80.77</v>
      </c>
      <c r="H540">
        <v>1.68</v>
      </c>
      <c r="I540" s="2">
        <v>76834.69</v>
      </c>
      <c r="J540" s="2">
        <v>67240.63</v>
      </c>
      <c r="K540" s="2">
        <f>Table1[[#This Row],[Salary_after]]-Table1[[#This Row],[Salary_before]]</f>
        <v>-9594.0599999999977</v>
      </c>
      <c r="L540" s="11">
        <v>-0.1249</v>
      </c>
      <c r="M540" s="11">
        <v>0.1285</v>
      </c>
      <c r="N540">
        <v>48.88</v>
      </c>
      <c r="O540">
        <v>5.67</v>
      </c>
      <c r="P540">
        <v>5</v>
      </c>
      <c r="Q540" t="s">
        <v>37</v>
      </c>
      <c r="R540">
        <v>43.354999999999997</v>
      </c>
      <c r="S540">
        <v>12.49</v>
      </c>
      <c r="T540" s="4">
        <v>38.262999999999998</v>
      </c>
      <c r="U540" s="4">
        <v>4.8212009999999896</v>
      </c>
      <c r="V540" t="str">
        <f>IF(Table1[[#This Row],[ai_disruption_intensity]]&gt;70,"High",
IF(Table1[[#This Row],[ai_disruption_intensity]]&gt;40,"Medium","Low"))</f>
        <v>Low</v>
      </c>
      <c r="W540" t="str">
        <f>IF(Table1[[#This Row],[skill_gap_index]]&gt;70,"Large Gap",
IF(Table1[[#This Row],[skill_gap_index]]&gt;40,"Medium Gap","Small Gap"))</f>
        <v>Small Gap</v>
      </c>
      <c r="X540" s="3" t="str">
        <f>IF(Table1[[#This Row],[automation_risk_percent]]&gt;0.7,"Highly Automatable",
IF(Table1[[#This Row],[automation_risk_percent]]&gt;0.4,"Moderate Risk","Safe Job"))</f>
        <v>Highly Automatable</v>
      </c>
    </row>
    <row r="541" spans="1:24" x14ac:dyDescent="0.3">
      <c r="A541">
        <v>1919</v>
      </c>
      <c r="B541" t="s">
        <v>26</v>
      </c>
      <c r="C541" t="s">
        <v>19</v>
      </c>
      <c r="D541" t="s">
        <v>24</v>
      </c>
      <c r="E541" s="1">
        <v>2025</v>
      </c>
      <c r="F541" s="11">
        <v>0.49570000000000003</v>
      </c>
      <c r="G541">
        <v>55.1</v>
      </c>
      <c r="H541">
        <v>56.39</v>
      </c>
      <c r="I541" s="2">
        <v>78294.62</v>
      </c>
      <c r="J541" s="2">
        <v>79026.350000000006</v>
      </c>
      <c r="K541" s="2">
        <f>Table1[[#This Row],[Salary_after]]-Table1[[#This Row],[Salary_before]]</f>
        <v>731.73000000001048</v>
      </c>
      <c r="L541" s="11">
        <v>9.300000000000001E-3</v>
      </c>
      <c r="M541" s="11">
        <v>8.9200000000000002E-2</v>
      </c>
      <c r="N541">
        <v>75.569999999999993</v>
      </c>
      <c r="O541">
        <v>34.5</v>
      </c>
      <c r="P541">
        <v>4</v>
      </c>
      <c r="Q541" t="s">
        <v>25</v>
      </c>
      <c r="R541">
        <v>52.98</v>
      </c>
      <c r="S541">
        <v>0.93</v>
      </c>
      <c r="T541" s="4">
        <v>37.024000000000001</v>
      </c>
      <c r="U541" s="4">
        <v>17.101649999999999</v>
      </c>
      <c r="V541" t="str">
        <f>IF(Table1[[#This Row],[ai_disruption_intensity]]&gt;70,"High",
IF(Table1[[#This Row],[ai_disruption_intensity]]&gt;40,"Medium","Low"))</f>
        <v>Low</v>
      </c>
      <c r="W541" t="str">
        <f>IF(Table1[[#This Row],[skill_gap_index]]&gt;70,"Large Gap",
IF(Table1[[#This Row],[skill_gap_index]]&gt;40,"Medium Gap","Small Gap"))</f>
        <v>Medium Gap</v>
      </c>
      <c r="X541" s="3" t="str">
        <f>IF(Table1[[#This Row],[automation_risk_percent]]&gt;0.7,"Highly Automatable",
IF(Table1[[#This Row],[automation_risk_percent]]&gt;0.4,"Moderate Risk","Safe Job"))</f>
        <v>Moderate Risk</v>
      </c>
    </row>
    <row r="542" spans="1:24" x14ac:dyDescent="0.3">
      <c r="A542">
        <v>1922</v>
      </c>
      <c r="B542" t="s">
        <v>29</v>
      </c>
      <c r="C542" t="s">
        <v>33</v>
      </c>
      <c r="D542" t="s">
        <v>24</v>
      </c>
      <c r="E542" s="1">
        <v>2025</v>
      </c>
      <c r="F542" s="11">
        <v>0.7369</v>
      </c>
      <c r="G542">
        <v>79.709999999999994</v>
      </c>
      <c r="H542">
        <v>68.27</v>
      </c>
      <c r="I542" s="2">
        <v>77136.929999999993</v>
      </c>
      <c r="J542" s="2">
        <v>65899.17</v>
      </c>
      <c r="K542" s="2">
        <f>Table1[[#This Row],[Salary_after]]-Table1[[#This Row],[Salary_before]]</f>
        <v>-11237.759999999995</v>
      </c>
      <c r="L542" s="11">
        <v>-0.1457</v>
      </c>
      <c r="M542" s="11">
        <v>-1.2500000000000001E-2</v>
      </c>
      <c r="N542">
        <v>24.12</v>
      </c>
      <c r="O542">
        <v>69.260000000000005</v>
      </c>
      <c r="P542">
        <v>5</v>
      </c>
      <c r="Q542" t="s">
        <v>37</v>
      </c>
      <c r="R542">
        <v>70.979999999999905</v>
      </c>
      <c r="S542">
        <v>14.57</v>
      </c>
      <c r="T542" s="4">
        <v>54.327999999999903</v>
      </c>
      <c r="U542" s="4">
        <v>51.037694000000002</v>
      </c>
      <c r="V542" t="str">
        <f>IF(Table1[[#This Row],[ai_disruption_intensity]]&gt;70,"High",
IF(Table1[[#This Row],[ai_disruption_intensity]]&gt;40,"Medium","Low"))</f>
        <v>Medium</v>
      </c>
      <c r="W542" t="str">
        <f>IF(Table1[[#This Row],[skill_gap_index]]&gt;70,"Large Gap",
IF(Table1[[#This Row],[skill_gap_index]]&gt;40,"Medium Gap","Small Gap"))</f>
        <v>Medium Gap</v>
      </c>
      <c r="X542" s="3" t="str">
        <f>IF(Table1[[#This Row],[automation_risk_percent]]&gt;0.7,"Highly Automatable",
IF(Table1[[#This Row],[automation_risk_percent]]&gt;0.4,"Moderate Risk","Safe Job"))</f>
        <v>Highly Automatable</v>
      </c>
    </row>
    <row r="543" spans="1:24" x14ac:dyDescent="0.3">
      <c r="A543">
        <v>1924</v>
      </c>
      <c r="B543" t="s">
        <v>46</v>
      </c>
      <c r="C543" t="s">
        <v>38</v>
      </c>
      <c r="D543" t="s">
        <v>35</v>
      </c>
      <c r="E543" s="1">
        <v>2026</v>
      </c>
      <c r="F543" s="11">
        <v>0.05</v>
      </c>
      <c r="G543">
        <v>5.57</v>
      </c>
      <c r="H543">
        <v>7.48</v>
      </c>
      <c r="I543" s="2">
        <v>148622.96</v>
      </c>
      <c r="J543" s="2">
        <v>165662.16</v>
      </c>
      <c r="K543" s="2">
        <f>Table1[[#This Row],[Salary_after]]-Table1[[#This Row],[Salary_before]]</f>
        <v>17039.200000000012</v>
      </c>
      <c r="L543" s="11">
        <v>0.11460000000000001</v>
      </c>
      <c r="M543" s="11">
        <v>0.12909999999999999</v>
      </c>
      <c r="N543">
        <v>32.119999999999997</v>
      </c>
      <c r="O543">
        <v>67.39</v>
      </c>
      <c r="P543">
        <v>1</v>
      </c>
      <c r="Q543" t="s">
        <v>21</v>
      </c>
      <c r="R543">
        <v>6.24</v>
      </c>
      <c r="S543">
        <v>11.46</v>
      </c>
      <c r="T543" s="4">
        <v>7.6820000000000004</v>
      </c>
      <c r="U543" s="4">
        <v>3.3694999999999999</v>
      </c>
      <c r="V543" t="str">
        <f>IF(Table1[[#This Row],[ai_disruption_intensity]]&gt;70,"High",
IF(Table1[[#This Row],[ai_disruption_intensity]]&gt;40,"Medium","Low"))</f>
        <v>Low</v>
      </c>
      <c r="W543" t="str">
        <f>IF(Table1[[#This Row],[skill_gap_index]]&gt;70,"Large Gap",
IF(Table1[[#This Row],[skill_gap_index]]&gt;40,"Medium Gap","Small Gap"))</f>
        <v>Small Gap</v>
      </c>
      <c r="X543" s="3" t="str">
        <f>IF(Table1[[#This Row],[automation_risk_percent]]&gt;0.7,"Highly Automatable",
IF(Table1[[#This Row],[automation_risk_percent]]&gt;0.4,"Moderate Risk","Safe Job"))</f>
        <v>Safe Job</v>
      </c>
    </row>
    <row r="544" spans="1:24" x14ac:dyDescent="0.3">
      <c r="A544">
        <v>1926</v>
      </c>
      <c r="B544" t="s">
        <v>45</v>
      </c>
      <c r="C544" t="s">
        <v>33</v>
      </c>
      <c r="D544" t="s">
        <v>24</v>
      </c>
      <c r="E544" s="1">
        <v>2026</v>
      </c>
      <c r="F544" s="11">
        <v>0.3397</v>
      </c>
      <c r="G544">
        <v>34.89</v>
      </c>
      <c r="H544">
        <v>28.5</v>
      </c>
      <c r="I544" s="2">
        <v>75358.570000000007</v>
      </c>
      <c r="J544" s="2">
        <v>71872.27</v>
      </c>
      <c r="K544" s="2">
        <f>Table1[[#This Row],[Salary_after]]-Table1[[#This Row],[Salary_before]]</f>
        <v>-3486.3000000000029</v>
      </c>
      <c r="L544" s="11">
        <v>-4.6300000000000001E-2</v>
      </c>
      <c r="M544" s="11">
        <v>9.5500000000000002E-2</v>
      </c>
      <c r="N544">
        <v>17.399999999999999</v>
      </c>
      <c r="O544">
        <v>32.840000000000003</v>
      </c>
      <c r="P544">
        <v>2</v>
      </c>
      <c r="Q544" t="s">
        <v>25</v>
      </c>
      <c r="R544">
        <v>31.234999999999999</v>
      </c>
      <c r="S544">
        <v>4.63</v>
      </c>
      <c r="T544" s="4">
        <v>23.526999999999902</v>
      </c>
      <c r="U544" s="4">
        <v>11.155748000000001</v>
      </c>
      <c r="V544" t="str">
        <f>IF(Table1[[#This Row],[ai_disruption_intensity]]&gt;70,"High",
IF(Table1[[#This Row],[ai_disruption_intensity]]&gt;40,"Medium","Low"))</f>
        <v>Low</v>
      </c>
      <c r="W544" t="str">
        <f>IF(Table1[[#This Row],[skill_gap_index]]&gt;70,"Large Gap",
IF(Table1[[#This Row],[skill_gap_index]]&gt;40,"Medium Gap","Small Gap"))</f>
        <v>Small Gap</v>
      </c>
      <c r="X544" s="3" t="str">
        <f>IF(Table1[[#This Row],[automation_risk_percent]]&gt;0.7,"Highly Automatable",
IF(Table1[[#This Row],[automation_risk_percent]]&gt;0.4,"Moderate Risk","Safe Job"))</f>
        <v>Safe Job</v>
      </c>
    </row>
    <row r="545" spans="1:24" x14ac:dyDescent="0.3">
      <c r="A545">
        <v>1928</v>
      </c>
      <c r="B545" t="s">
        <v>41</v>
      </c>
      <c r="C545" t="s">
        <v>33</v>
      </c>
      <c r="D545" t="s">
        <v>31</v>
      </c>
      <c r="E545" s="1">
        <v>2026</v>
      </c>
      <c r="F545" s="11">
        <v>0.9264</v>
      </c>
      <c r="G545">
        <v>93.02</v>
      </c>
      <c r="H545">
        <v>98.69</v>
      </c>
      <c r="I545" s="2">
        <v>66269.929999999993</v>
      </c>
      <c r="J545" s="2">
        <v>55593.82</v>
      </c>
      <c r="K545" s="2">
        <f>Table1[[#This Row],[Salary_after]]-Table1[[#This Row],[Salary_before]]</f>
        <v>-10676.109999999993</v>
      </c>
      <c r="L545" s="11">
        <v>-0.16109999999999999</v>
      </c>
      <c r="M545" s="11">
        <v>-4.2000000000000003E-2</v>
      </c>
      <c r="N545">
        <v>18.73</v>
      </c>
      <c r="O545">
        <v>43.27</v>
      </c>
      <c r="P545">
        <v>4</v>
      </c>
      <c r="Q545" t="s">
        <v>37</v>
      </c>
      <c r="R545">
        <v>95.664999999999907</v>
      </c>
      <c r="S545">
        <v>16.11</v>
      </c>
      <c r="T545" s="4">
        <v>71.495999999999995</v>
      </c>
      <c r="U545" s="4">
        <v>40.085327999999997</v>
      </c>
      <c r="V545" t="str">
        <f>IF(Table1[[#This Row],[ai_disruption_intensity]]&gt;70,"High",
IF(Table1[[#This Row],[ai_disruption_intensity]]&gt;40,"Medium","Low"))</f>
        <v>Medium</v>
      </c>
      <c r="W545" t="str">
        <f>IF(Table1[[#This Row],[skill_gap_index]]&gt;70,"Large Gap",
IF(Table1[[#This Row],[skill_gap_index]]&gt;40,"Medium Gap","Small Gap"))</f>
        <v>Large Gap</v>
      </c>
      <c r="X545" s="3" t="str">
        <f>IF(Table1[[#This Row],[automation_risk_percent]]&gt;0.7,"Highly Automatable",
IF(Table1[[#This Row],[automation_risk_percent]]&gt;0.4,"Moderate Risk","Safe Job"))</f>
        <v>Highly Automatable</v>
      </c>
    </row>
    <row r="546" spans="1:24" x14ac:dyDescent="0.3">
      <c r="A546">
        <v>1929</v>
      </c>
      <c r="B546" t="s">
        <v>26</v>
      </c>
      <c r="C546" t="s">
        <v>34</v>
      </c>
      <c r="D546" t="s">
        <v>20</v>
      </c>
      <c r="E546" s="1">
        <v>2025</v>
      </c>
      <c r="F546" s="11">
        <v>0.23670000000000002</v>
      </c>
      <c r="G546">
        <v>20.100000000000001</v>
      </c>
      <c r="H546">
        <v>29.61</v>
      </c>
      <c r="I546" s="2">
        <v>136372.32999999999</v>
      </c>
      <c r="J546" s="2">
        <v>151079.07999999999</v>
      </c>
      <c r="K546" s="2">
        <f>Table1[[#This Row],[Salary_after]]-Table1[[#This Row],[Salary_before]]</f>
        <v>14706.75</v>
      </c>
      <c r="L546" s="11">
        <v>0.10779999999999999</v>
      </c>
      <c r="M546" s="11">
        <v>-4.9800000000000004E-2</v>
      </c>
      <c r="N546">
        <v>65.08</v>
      </c>
      <c r="O546">
        <v>42.72</v>
      </c>
      <c r="P546">
        <v>2</v>
      </c>
      <c r="Q546" t="s">
        <v>21</v>
      </c>
      <c r="R546">
        <v>26.64</v>
      </c>
      <c r="S546">
        <v>10.78</v>
      </c>
      <c r="T546" s="4">
        <v>21.584999999999901</v>
      </c>
      <c r="U546" s="4">
        <v>10.111824</v>
      </c>
      <c r="V546" t="str">
        <f>IF(Table1[[#This Row],[ai_disruption_intensity]]&gt;70,"High",
IF(Table1[[#This Row],[ai_disruption_intensity]]&gt;40,"Medium","Low"))</f>
        <v>Low</v>
      </c>
      <c r="W546" t="str">
        <f>IF(Table1[[#This Row],[skill_gap_index]]&gt;70,"Large Gap",
IF(Table1[[#This Row],[skill_gap_index]]&gt;40,"Medium Gap","Small Gap"))</f>
        <v>Small Gap</v>
      </c>
      <c r="X546" s="3" t="str">
        <f>IF(Table1[[#This Row],[automation_risk_percent]]&gt;0.7,"Highly Automatable",
IF(Table1[[#This Row],[automation_risk_percent]]&gt;0.4,"Moderate Risk","Safe Job"))</f>
        <v>Safe Job</v>
      </c>
    </row>
    <row r="547" spans="1:24" x14ac:dyDescent="0.3">
      <c r="A547">
        <v>1934</v>
      </c>
      <c r="B547" t="s">
        <v>22</v>
      </c>
      <c r="C547" t="s">
        <v>19</v>
      </c>
      <c r="D547" t="s">
        <v>42</v>
      </c>
      <c r="E547" s="1">
        <v>2025</v>
      </c>
      <c r="F547" s="11">
        <v>0.54359999999999997</v>
      </c>
      <c r="G547">
        <v>51.81</v>
      </c>
      <c r="H547">
        <v>61.33</v>
      </c>
      <c r="I547" s="2">
        <v>127649.8</v>
      </c>
      <c r="J547" s="2">
        <v>127066.3</v>
      </c>
      <c r="K547" s="2">
        <f>Table1[[#This Row],[Salary_after]]-Table1[[#This Row],[Salary_before]]</f>
        <v>-583.5</v>
      </c>
      <c r="L547" s="11">
        <v>-4.5999999999999999E-3</v>
      </c>
      <c r="M547" s="11">
        <v>6.0999999999999995E-3</v>
      </c>
      <c r="N547">
        <v>78.27</v>
      </c>
      <c r="O547">
        <v>54.61</v>
      </c>
      <c r="P547">
        <v>2</v>
      </c>
      <c r="Q547" t="s">
        <v>25</v>
      </c>
      <c r="R547">
        <v>57.844999999999999</v>
      </c>
      <c r="S547">
        <v>0.46</v>
      </c>
      <c r="T547" s="4">
        <v>40.280999999999999</v>
      </c>
      <c r="U547" s="4">
        <v>29.685995999999999</v>
      </c>
      <c r="V547" t="str">
        <f>IF(Table1[[#This Row],[ai_disruption_intensity]]&gt;70,"High",
IF(Table1[[#This Row],[ai_disruption_intensity]]&gt;40,"Medium","Low"))</f>
        <v>Low</v>
      </c>
      <c r="W547" t="str">
        <f>IF(Table1[[#This Row],[skill_gap_index]]&gt;70,"Large Gap",
IF(Table1[[#This Row],[skill_gap_index]]&gt;40,"Medium Gap","Small Gap"))</f>
        <v>Medium Gap</v>
      </c>
      <c r="X547" s="3" t="str">
        <f>IF(Table1[[#This Row],[automation_risk_percent]]&gt;0.7,"Highly Automatable",
IF(Table1[[#This Row],[automation_risk_percent]]&gt;0.4,"Moderate Risk","Safe Job"))</f>
        <v>Moderate Risk</v>
      </c>
    </row>
    <row r="548" spans="1:24" x14ac:dyDescent="0.3">
      <c r="A548">
        <v>1937</v>
      </c>
      <c r="B548" t="s">
        <v>45</v>
      </c>
      <c r="C548" t="s">
        <v>38</v>
      </c>
      <c r="D548" t="s">
        <v>32</v>
      </c>
      <c r="E548" s="1">
        <v>2026</v>
      </c>
      <c r="F548" s="11">
        <v>0.1002</v>
      </c>
      <c r="G548">
        <v>11.07</v>
      </c>
      <c r="H548">
        <v>74.680000000000007</v>
      </c>
      <c r="I548" s="2">
        <v>91166.720000000001</v>
      </c>
      <c r="J548" s="2">
        <v>113032.6</v>
      </c>
      <c r="K548" s="2">
        <f>Table1[[#This Row],[Salary_after]]-Table1[[#This Row],[Salary_before]]</f>
        <v>21865.880000000005</v>
      </c>
      <c r="L548" s="11">
        <v>0.23980000000000001</v>
      </c>
      <c r="M548" s="11">
        <v>0.10310000000000001</v>
      </c>
      <c r="N548">
        <v>99.69</v>
      </c>
      <c r="O548">
        <v>29.88</v>
      </c>
      <c r="P548">
        <v>4</v>
      </c>
      <c r="Q548" t="s">
        <v>21</v>
      </c>
      <c r="R548">
        <v>42.35</v>
      </c>
      <c r="S548">
        <v>23.98</v>
      </c>
      <c r="T548" s="4">
        <v>33.606000000000002</v>
      </c>
      <c r="U548" s="4">
        <v>2.9939759999999902</v>
      </c>
      <c r="V548" t="str">
        <f>IF(Table1[[#This Row],[ai_disruption_intensity]]&gt;70,"High",
IF(Table1[[#This Row],[ai_disruption_intensity]]&gt;40,"Medium","Low"))</f>
        <v>Low</v>
      </c>
      <c r="W548" t="str">
        <f>IF(Table1[[#This Row],[skill_gap_index]]&gt;70,"Large Gap",
IF(Table1[[#This Row],[skill_gap_index]]&gt;40,"Medium Gap","Small Gap"))</f>
        <v>Large Gap</v>
      </c>
      <c r="X548" s="3" t="str">
        <f>IF(Table1[[#This Row],[automation_risk_percent]]&gt;0.7,"Highly Automatable",
IF(Table1[[#This Row],[automation_risk_percent]]&gt;0.4,"Moderate Risk","Safe Job"))</f>
        <v>Safe Job</v>
      </c>
    </row>
    <row r="549" spans="1:24" x14ac:dyDescent="0.3">
      <c r="A549">
        <v>1938</v>
      </c>
      <c r="B549" t="s">
        <v>46</v>
      </c>
      <c r="C549" t="s">
        <v>38</v>
      </c>
      <c r="D549" t="s">
        <v>36</v>
      </c>
      <c r="E549" s="1">
        <v>2026</v>
      </c>
      <c r="F549" s="11">
        <v>0.22719999999999999</v>
      </c>
      <c r="G549">
        <v>19.84</v>
      </c>
      <c r="H549">
        <v>89.59</v>
      </c>
      <c r="I549" s="2">
        <v>119338.61</v>
      </c>
      <c r="J549" s="2">
        <v>127673.52</v>
      </c>
      <c r="K549" s="2">
        <f>Table1[[#This Row],[Salary_after]]-Table1[[#This Row],[Salary_before]]</f>
        <v>8334.9100000000035</v>
      </c>
      <c r="L549" s="11">
        <v>6.9800000000000001E-2</v>
      </c>
      <c r="M549" s="11">
        <v>9.6000000000000002E-2</v>
      </c>
      <c r="N549">
        <v>14.33</v>
      </c>
      <c r="O549">
        <v>50.5</v>
      </c>
      <c r="P549">
        <v>1</v>
      </c>
      <c r="Q549" t="s">
        <v>21</v>
      </c>
      <c r="R549">
        <v>56.155000000000001</v>
      </c>
      <c r="S549">
        <v>6.98</v>
      </c>
      <c r="T549" s="4">
        <v>38.058999999999997</v>
      </c>
      <c r="U549" s="4">
        <v>11.473599999999999</v>
      </c>
      <c r="V549" t="str">
        <f>IF(Table1[[#This Row],[ai_disruption_intensity]]&gt;70,"High",
IF(Table1[[#This Row],[ai_disruption_intensity]]&gt;40,"Medium","Low"))</f>
        <v>Low</v>
      </c>
      <c r="W549" t="str">
        <f>IF(Table1[[#This Row],[skill_gap_index]]&gt;70,"Large Gap",
IF(Table1[[#This Row],[skill_gap_index]]&gt;40,"Medium Gap","Small Gap"))</f>
        <v>Large Gap</v>
      </c>
      <c r="X549" s="3" t="str">
        <f>IF(Table1[[#This Row],[automation_risk_percent]]&gt;0.7,"Highly Automatable",
IF(Table1[[#This Row],[automation_risk_percent]]&gt;0.4,"Moderate Risk","Safe Job"))</f>
        <v>Safe Job</v>
      </c>
    </row>
    <row r="550" spans="1:24" x14ac:dyDescent="0.3">
      <c r="A550">
        <v>1939</v>
      </c>
      <c r="B550" t="s">
        <v>22</v>
      </c>
      <c r="C550" t="s">
        <v>27</v>
      </c>
      <c r="D550" t="s">
        <v>28</v>
      </c>
      <c r="E550" s="1">
        <v>2025</v>
      </c>
      <c r="F550" s="11">
        <v>0.58899999999999997</v>
      </c>
      <c r="G550">
        <v>59.91</v>
      </c>
      <c r="H550">
        <v>66.66</v>
      </c>
      <c r="I550" s="2">
        <v>128144.89</v>
      </c>
      <c r="J550" s="2">
        <v>141338.26</v>
      </c>
      <c r="K550" s="2">
        <f>Table1[[#This Row],[Salary_after]]-Table1[[#This Row],[Salary_before]]</f>
        <v>13193.37000000001</v>
      </c>
      <c r="L550" s="11">
        <v>0.10300000000000001</v>
      </c>
      <c r="M550" s="11">
        <v>1.29E-2</v>
      </c>
      <c r="N550">
        <v>24.66</v>
      </c>
      <c r="O550">
        <v>27.09</v>
      </c>
      <c r="P550">
        <v>2</v>
      </c>
      <c r="Q550" t="s">
        <v>25</v>
      </c>
      <c r="R550">
        <v>62.78</v>
      </c>
      <c r="S550">
        <v>10.3</v>
      </c>
      <c r="T550" s="4">
        <v>46.648000000000003</v>
      </c>
      <c r="U550" s="4">
        <v>15.956009999999999</v>
      </c>
      <c r="V550" t="str">
        <f>IF(Table1[[#This Row],[ai_disruption_intensity]]&gt;70,"High",
IF(Table1[[#This Row],[ai_disruption_intensity]]&gt;40,"Medium","Low"))</f>
        <v>Low</v>
      </c>
      <c r="W550" t="str">
        <f>IF(Table1[[#This Row],[skill_gap_index]]&gt;70,"Large Gap",
IF(Table1[[#This Row],[skill_gap_index]]&gt;40,"Medium Gap","Small Gap"))</f>
        <v>Medium Gap</v>
      </c>
      <c r="X550" s="3" t="str">
        <f>IF(Table1[[#This Row],[automation_risk_percent]]&gt;0.7,"Highly Automatable",
IF(Table1[[#This Row],[automation_risk_percent]]&gt;0.4,"Moderate Risk","Safe Job"))</f>
        <v>Moderate Risk</v>
      </c>
    </row>
    <row r="551" spans="1:24" x14ac:dyDescent="0.3">
      <c r="A551">
        <v>1942</v>
      </c>
      <c r="B551" t="s">
        <v>26</v>
      </c>
      <c r="C551" t="s">
        <v>23</v>
      </c>
      <c r="D551" t="s">
        <v>32</v>
      </c>
      <c r="E551" s="1">
        <v>2025</v>
      </c>
      <c r="F551" s="11">
        <v>0.15060000000000001</v>
      </c>
      <c r="G551">
        <v>15.37</v>
      </c>
      <c r="H551">
        <v>60.18</v>
      </c>
      <c r="I551" s="2">
        <v>149837.75</v>
      </c>
      <c r="J551" s="2">
        <v>151498.49</v>
      </c>
      <c r="K551" s="2">
        <f>Table1[[#This Row],[Salary_after]]-Table1[[#This Row],[Salary_before]]</f>
        <v>1660.7399999999907</v>
      </c>
      <c r="L551" s="11">
        <v>1.11E-2</v>
      </c>
      <c r="M551" s="11">
        <v>-9.2600000000000002E-2</v>
      </c>
      <c r="N551">
        <v>41.16</v>
      </c>
      <c r="O551">
        <v>52.59</v>
      </c>
      <c r="P551">
        <v>4</v>
      </c>
      <c r="Q551" t="s">
        <v>21</v>
      </c>
      <c r="R551">
        <v>37.619999999999997</v>
      </c>
      <c r="S551">
        <v>1.1100000000000001</v>
      </c>
      <c r="T551" s="4">
        <v>24.410999999999898</v>
      </c>
      <c r="U551" s="4">
        <v>7.9200540000000004</v>
      </c>
      <c r="V551" t="str">
        <f>IF(Table1[[#This Row],[ai_disruption_intensity]]&gt;70,"High",
IF(Table1[[#This Row],[ai_disruption_intensity]]&gt;40,"Medium","Low"))</f>
        <v>Low</v>
      </c>
      <c r="W551" t="str">
        <f>IF(Table1[[#This Row],[skill_gap_index]]&gt;70,"Large Gap",
IF(Table1[[#This Row],[skill_gap_index]]&gt;40,"Medium Gap","Small Gap"))</f>
        <v>Medium Gap</v>
      </c>
      <c r="X551" s="3" t="str">
        <f>IF(Table1[[#This Row],[automation_risk_percent]]&gt;0.7,"Highly Automatable",
IF(Table1[[#This Row],[automation_risk_percent]]&gt;0.4,"Moderate Risk","Safe Job"))</f>
        <v>Safe Job</v>
      </c>
    </row>
    <row r="552" spans="1:24" x14ac:dyDescent="0.3">
      <c r="A552">
        <v>1947</v>
      </c>
      <c r="B552" t="s">
        <v>43</v>
      </c>
      <c r="C552" t="s">
        <v>27</v>
      </c>
      <c r="D552" t="s">
        <v>24</v>
      </c>
      <c r="E552" s="1">
        <v>2026</v>
      </c>
      <c r="F552" s="11">
        <v>0.44880000000000003</v>
      </c>
      <c r="G552">
        <v>53.44</v>
      </c>
      <c r="H552">
        <v>94.71</v>
      </c>
      <c r="I552" s="2">
        <v>73023.92</v>
      </c>
      <c r="J552" s="2">
        <v>70004.149999999994</v>
      </c>
      <c r="K552" s="2">
        <f>Table1[[#This Row],[Salary_after]]-Table1[[#This Row],[Salary_before]]</f>
        <v>-3019.7700000000041</v>
      </c>
      <c r="L552" s="11">
        <v>-4.1399999999999999E-2</v>
      </c>
      <c r="M552" s="11">
        <v>-3.5299999999999998E-2</v>
      </c>
      <c r="N552">
        <v>12.74</v>
      </c>
      <c r="O552">
        <v>2.08</v>
      </c>
      <c r="P552">
        <v>4</v>
      </c>
      <c r="Q552" t="s">
        <v>25</v>
      </c>
      <c r="R552">
        <v>69.795000000000002</v>
      </c>
      <c r="S552">
        <v>4.1399999999999997</v>
      </c>
      <c r="T552" s="4">
        <v>47.6069999999999</v>
      </c>
      <c r="U552" s="4">
        <v>0.933504</v>
      </c>
      <c r="V552" t="str">
        <f>IF(Table1[[#This Row],[ai_disruption_intensity]]&gt;70,"High",
IF(Table1[[#This Row],[ai_disruption_intensity]]&gt;40,"Medium","Low"))</f>
        <v>Low</v>
      </c>
      <c r="W552" t="str">
        <f>IF(Table1[[#This Row],[skill_gap_index]]&gt;70,"Large Gap",
IF(Table1[[#This Row],[skill_gap_index]]&gt;40,"Medium Gap","Small Gap"))</f>
        <v>Large Gap</v>
      </c>
      <c r="X552" s="3" t="str">
        <f>IF(Table1[[#This Row],[automation_risk_percent]]&gt;0.7,"Highly Automatable",
IF(Table1[[#This Row],[automation_risk_percent]]&gt;0.4,"Moderate Risk","Safe Job"))</f>
        <v>Moderate Risk</v>
      </c>
    </row>
    <row r="553" spans="1:24" x14ac:dyDescent="0.3">
      <c r="A553">
        <v>1948</v>
      </c>
      <c r="B553" t="s">
        <v>22</v>
      </c>
      <c r="C553" t="s">
        <v>23</v>
      </c>
      <c r="D553" t="s">
        <v>28</v>
      </c>
      <c r="E553" s="1">
        <v>2025</v>
      </c>
      <c r="F553" s="11">
        <v>0.37689999999999996</v>
      </c>
      <c r="G553">
        <v>44.33</v>
      </c>
      <c r="H553">
        <v>87.14</v>
      </c>
      <c r="I553" s="2">
        <v>91373.14</v>
      </c>
      <c r="J553" s="2">
        <v>90332.61</v>
      </c>
      <c r="K553" s="2">
        <f>Table1[[#This Row],[Salary_after]]-Table1[[#This Row],[Salary_before]]</f>
        <v>-1040.5299999999988</v>
      </c>
      <c r="L553" s="11">
        <v>-1.1399999999999999E-2</v>
      </c>
      <c r="M553" s="11">
        <v>5.1500000000000004E-2</v>
      </c>
      <c r="N553">
        <v>29.4</v>
      </c>
      <c r="O553">
        <v>2.48</v>
      </c>
      <c r="P553">
        <v>4</v>
      </c>
      <c r="Q553" t="s">
        <v>25</v>
      </c>
      <c r="R553">
        <v>62.414999999999999</v>
      </c>
      <c r="S553">
        <v>1.1399999999999999</v>
      </c>
      <c r="T553" s="4">
        <v>41.56</v>
      </c>
      <c r="U553" s="4">
        <v>0.93471199999999999</v>
      </c>
      <c r="V553" t="str">
        <f>IF(Table1[[#This Row],[ai_disruption_intensity]]&gt;70,"High",
IF(Table1[[#This Row],[ai_disruption_intensity]]&gt;40,"Medium","Low"))</f>
        <v>Low</v>
      </c>
      <c r="W553" t="str">
        <f>IF(Table1[[#This Row],[skill_gap_index]]&gt;70,"Large Gap",
IF(Table1[[#This Row],[skill_gap_index]]&gt;40,"Medium Gap","Small Gap"))</f>
        <v>Large Gap</v>
      </c>
      <c r="X553" s="3" t="str">
        <f>IF(Table1[[#This Row],[automation_risk_percent]]&gt;0.7,"Highly Automatable",
IF(Table1[[#This Row],[automation_risk_percent]]&gt;0.4,"Moderate Risk","Safe Job"))</f>
        <v>Safe Job</v>
      </c>
    </row>
    <row r="554" spans="1:24" x14ac:dyDescent="0.3">
      <c r="A554">
        <v>1950</v>
      </c>
      <c r="B554" t="s">
        <v>29</v>
      </c>
      <c r="C554" t="s">
        <v>40</v>
      </c>
      <c r="D554" t="s">
        <v>20</v>
      </c>
      <c r="E554" s="1">
        <v>2026</v>
      </c>
      <c r="F554" s="11">
        <v>0.75290000000000001</v>
      </c>
      <c r="G554">
        <v>70.72</v>
      </c>
      <c r="H554">
        <v>58.74</v>
      </c>
      <c r="I554" s="2">
        <v>67291.399999999994</v>
      </c>
      <c r="J554" s="2">
        <v>58777.61</v>
      </c>
      <c r="K554" s="2">
        <f>Table1[[#This Row],[Salary_after]]-Table1[[#This Row],[Salary_before]]</f>
        <v>-8513.7899999999936</v>
      </c>
      <c r="L554" s="11">
        <v>-0.1265</v>
      </c>
      <c r="M554" s="11">
        <v>0.23860000000000001</v>
      </c>
      <c r="N554">
        <v>65.63</v>
      </c>
      <c r="O554">
        <v>34.159999999999997</v>
      </c>
      <c r="P554">
        <v>3</v>
      </c>
      <c r="Q554" t="s">
        <v>37</v>
      </c>
      <c r="R554">
        <v>67.015000000000001</v>
      </c>
      <c r="S554">
        <v>12.65</v>
      </c>
      <c r="T554" s="4">
        <v>51.533000000000001</v>
      </c>
      <c r="U554" s="4">
        <v>25.719063999999999</v>
      </c>
      <c r="V554" t="str">
        <f>IF(Table1[[#This Row],[ai_disruption_intensity]]&gt;70,"High",
IF(Table1[[#This Row],[ai_disruption_intensity]]&gt;40,"Medium","Low"))</f>
        <v>Low</v>
      </c>
      <c r="W554" t="str">
        <f>IF(Table1[[#This Row],[skill_gap_index]]&gt;70,"Large Gap",
IF(Table1[[#This Row],[skill_gap_index]]&gt;40,"Medium Gap","Small Gap"))</f>
        <v>Medium Gap</v>
      </c>
      <c r="X554" s="3" t="str">
        <f>IF(Table1[[#This Row],[automation_risk_percent]]&gt;0.7,"Highly Automatable",
IF(Table1[[#This Row],[automation_risk_percent]]&gt;0.4,"Moderate Risk","Safe Job"))</f>
        <v>Highly Automatable</v>
      </c>
    </row>
    <row r="555" spans="1:24" x14ac:dyDescent="0.3">
      <c r="A555">
        <v>1953</v>
      </c>
      <c r="B555" t="s">
        <v>44</v>
      </c>
      <c r="C555" t="s">
        <v>33</v>
      </c>
      <c r="D555" t="s">
        <v>31</v>
      </c>
      <c r="E555" s="1">
        <v>2026</v>
      </c>
      <c r="F555" s="11">
        <v>0.57820000000000005</v>
      </c>
      <c r="G555">
        <v>57.4</v>
      </c>
      <c r="H555">
        <v>66.7</v>
      </c>
      <c r="I555" s="2">
        <v>39575.65</v>
      </c>
      <c r="J555" s="2">
        <v>40546.339999999997</v>
      </c>
      <c r="K555" s="2">
        <f>Table1[[#This Row],[Salary_after]]-Table1[[#This Row],[Salary_before]]</f>
        <v>970.68999999999505</v>
      </c>
      <c r="L555" s="11">
        <v>2.4500000000000001E-2</v>
      </c>
      <c r="M555" s="11">
        <v>-6.2199999999999998E-2</v>
      </c>
      <c r="N555">
        <v>76.55</v>
      </c>
      <c r="O555">
        <v>7.63</v>
      </c>
      <c r="P555">
        <v>1</v>
      </c>
      <c r="Q555" t="s">
        <v>25</v>
      </c>
      <c r="R555">
        <v>62.26</v>
      </c>
      <c r="S555">
        <v>2.4500000000000002</v>
      </c>
      <c r="T555" s="4">
        <v>43.872999999999998</v>
      </c>
      <c r="U555" s="4">
        <v>4.4116660000000003</v>
      </c>
      <c r="V555" t="str">
        <f>IF(Table1[[#This Row],[ai_disruption_intensity]]&gt;70,"High",
IF(Table1[[#This Row],[ai_disruption_intensity]]&gt;40,"Medium","Low"))</f>
        <v>Low</v>
      </c>
      <c r="W555" t="str">
        <f>IF(Table1[[#This Row],[skill_gap_index]]&gt;70,"Large Gap",
IF(Table1[[#This Row],[skill_gap_index]]&gt;40,"Medium Gap","Small Gap"))</f>
        <v>Medium Gap</v>
      </c>
      <c r="X555" s="3" t="str">
        <f>IF(Table1[[#This Row],[automation_risk_percent]]&gt;0.7,"Highly Automatable",
IF(Table1[[#This Row],[automation_risk_percent]]&gt;0.4,"Moderate Risk","Safe Job"))</f>
        <v>Moderate Risk</v>
      </c>
    </row>
    <row r="556" spans="1:24" x14ac:dyDescent="0.3">
      <c r="A556">
        <v>1956</v>
      </c>
      <c r="B556" t="s">
        <v>45</v>
      </c>
      <c r="C556" t="s">
        <v>38</v>
      </c>
      <c r="D556" t="s">
        <v>35</v>
      </c>
      <c r="E556" s="1">
        <v>2025</v>
      </c>
      <c r="F556" s="11">
        <v>0.53439999999999999</v>
      </c>
      <c r="G556">
        <v>59.06</v>
      </c>
      <c r="H556">
        <v>73.56</v>
      </c>
      <c r="I556" s="2">
        <v>127730.83</v>
      </c>
      <c r="J556" s="2">
        <v>129863.52</v>
      </c>
      <c r="K556" s="2">
        <f>Table1[[#This Row],[Salary_after]]-Table1[[#This Row],[Salary_before]]</f>
        <v>2132.6900000000023</v>
      </c>
      <c r="L556" s="11">
        <v>1.67E-2</v>
      </c>
      <c r="M556" s="11">
        <v>0.1961</v>
      </c>
      <c r="N556">
        <v>62.03</v>
      </c>
      <c r="O556">
        <v>5.26</v>
      </c>
      <c r="P556">
        <v>4</v>
      </c>
      <c r="Q556" t="s">
        <v>25</v>
      </c>
      <c r="R556">
        <v>63.5</v>
      </c>
      <c r="S556">
        <v>1.67</v>
      </c>
      <c r="T556" s="4">
        <v>43.945</v>
      </c>
      <c r="U556" s="4">
        <v>2.8109439999999899</v>
      </c>
      <c r="V556" t="str">
        <f>IF(Table1[[#This Row],[ai_disruption_intensity]]&gt;70,"High",
IF(Table1[[#This Row],[ai_disruption_intensity]]&gt;40,"Medium","Low"))</f>
        <v>Low</v>
      </c>
      <c r="W556" t="str">
        <f>IF(Table1[[#This Row],[skill_gap_index]]&gt;70,"Large Gap",
IF(Table1[[#This Row],[skill_gap_index]]&gt;40,"Medium Gap","Small Gap"))</f>
        <v>Large Gap</v>
      </c>
      <c r="X556" s="3" t="str">
        <f>IF(Table1[[#This Row],[automation_risk_percent]]&gt;0.7,"Highly Automatable",
IF(Table1[[#This Row],[automation_risk_percent]]&gt;0.4,"Moderate Risk","Safe Job"))</f>
        <v>Moderate Risk</v>
      </c>
    </row>
    <row r="557" spans="1:24" x14ac:dyDescent="0.3">
      <c r="A557">
        <v>1957</v>
      </c>
      <c r="B557" t="s">
        <v>26</v>
      </c>
      <c r="C557" t="s">
        <v>30</v>
      </c>
      <c r="D557" t="s">
        <v>47</v>
      </c>
      <c r="E557" s="1">
        <v>2026</v>
      </c>
      <c r="F557" s="11">
        <v>0.1787</v>
      </c>
      <c r="G557">
        <v>18.86</v>
      </c>
      <c r="H557">
        <v>85.92</v>
      </c>
      <c r="I557" s="2">
        <v>140038.01</v>
      </c>
      <c r="J557" s="2">
        <v>183402.02</v>
      </c>
      <c r="K557" s="2">
        <f>Table1[[#This Row],[Salary_after]]-Table1[[#This Row],[Salary_before]]</f>
        <v>43364.00999999998</v>
      </c>
      <c r="L557" s="11">
        <v>0.30969999999999998</v>
      </c>
      <c r="M557" s="11">
        <v>5.2900000000000003E-2</v>
      </c>
      <c r="N557">
        <v>84.97</v>
      </c>
      <c r="O557">
        <v>53.76</v>
      </c>
      <c r="P557">
        <v>2</v>
      </c>
      <c r="Q557" t="s">
        <v>21</v>
      </c>
      <c r="R557">
        <v>51.895000000000003</v>
      </c>
      <c r="S557">
        <v>30.97</v>
      </c>
      <c r="T557" s="4">
        <v>42.214999999999897</v>
      </c>
      <c r="U557" s="4">
        <v>9.6069119999999995</v>
      </c>
      <c r="V557" t="str">
        <f>IF(Table1[[#This Row],[ai_disruption_intensity]]&gt;70,"High",
IF(Table1[[#This Row],[ai_disruption_intensity]]&gt;40,"Medium","Low"))</f>
        <v>Low</v>
      </c>
      <c r="W557" t="str">
        <f>IF(Table1[[#This Row],[skill_gap_index]]&gt;70,"Large Gap",
IF(Table1[[#This Row],[skill_gap_index]]&gt;40,"Medium Gap","Small Gap"))</f>
        <v>Large Gap</v>
      </c>
      <c r="X557" s="3" t="str">
        <f>IF(Table1[[#This Row],[automation_risk_percent]]&gt;0.7,"Highly Automatable",
IF(Table1[[#This Row],[automation_risk_percent]]&gt;0.4,"Moderate Risk","Safe Job"))</f>
        <v>Safe Job</v>
      </c>
    </row>
    <row r="558" spans="1:24" x14ac:dyDescent="0.3">
      <c r="A558">
        <v>1958</v>
      </c>
      <c r="B558" t="s">
        <v>22</v>
      </c>
      <c r="C558" t="s">
        <v>34</v>
      </c>
      <c r="D558" t="s">
        <v>36</v>
      </c>
      <c r="E558" s="1">
        <v>2025</v>
      </c>
      <c r="F558" s="11">
        <v>0.46179999999999999</v>
      </c>
      <c r="G558">
        <v>53.66</v>
      </c>
      <c r="H558">
        <v>78.989999999999995</v>
      </c>
      <c r="I558" s="2">
        <v>139088.70000000001</v>
      </c>
      <c r="J558" s="2">
        <v>140898.66</v>
      </c>
      <c r="K558" s="2">
        <f>Table1[[#This Row],[Salary_after]]-Table1[[#This Row],[Salary_before]]</f>
        <v>1809.9599999999919</v>
      </c>
      <c r="L558" s="11">
        <v>1.3000000000000001E-2</v>
      </c>
      <c r="M558" s="11">
        <v>-0.10039999999999999</v>
      </c>
      <c r="N558">
        <v>85.82</v>
      </c>
      <c r="O558">
        <v>11.11</v>
      </c>
      <c r="P558">
        <v>3</v>
      </c>
      <c r="Q558" t="s">
        <v>25</v>
      </c>
      <c r="R558">
        <v>62.584999999999901</v>
      </c>
      <c r="S558">
        <v>1.3</v>
      </c>
      <c r="T558" s="4">
        <v>42.558999999999997</v>
      </c>
      <c r="U558" s="4">
        <v>5.130598</v>
      </c>
      <c r="V558" t="str">
        <f>IF(Table1[[#This Row],[ai_disruption_intensity]]&gt;70,"High",
IF(Table1[[#This Row],[ai_disruption_intensity]]&gt;40,"Medium","Low"))</f>
        <v>Low</v>
      </c>
      <c r="W558" t="str">
        <f>IF(Table1[[#This Row],[skill_gap_index]]&gt;70,"Large Gap",
IF(Table1[[#This Row],[skill_gap_index]]&gt;40,"Medium Gap","Small Gap"))</f>
        <v>Large Gap</v>
      </c>
      <c r="X558" s="3" t="str">
        <f>IF(Table1[[#This Row],[automation_risk_percent]]&gt;0.7,"Highly Automatable",
IF(Table1[[#This Row],[automation_risk_percent]]&gt;0.4,"Moderate Risk","Safe Job"))</f>
        <v>Moderate Risk</v>
      </c>
    </row>
    <row r="559" spans="1:24" x14ac:dyDescent="0.3">
      <c r="A559">
        <v>1970</v>
      </c>
      <c r="B559" t="s">
        <v>46</v>
      </c>
      <c r="C559" t="s">
        <v>38</v>
      </c>
      <c r="D559" t="s">
        <v>28</v>
      </c>
      <c r="E559" s="1">
        <v>2026</v>
      </c>
      <c r="F559" s="11">
        <v>0.5645</v>
      </c>
      <c r="G559">
        <v>60.12</v>
      </c>
      <c r="H559">
        <v>32.770000000000003</v>
      </c>
      <c r="I559" s="2">
        <v>75115.33</v>
      </c>
      <c r="J559" s="2">
        <v>76295.38</v>
      </c>
      <c r="K559" s="2">
        <f>Table1[[#This Row],[Salary_after]]-Table1[[#This Row],[Salary_before]]</f>
        <v>1180.0500000000029</v>
      </c>
      <c r="L559" s="11">
        <v>1.5700000000000002E-2</v>
      </c>
      <c r="M559" s="11">
        <v>5.6900000000000006E-2</v>
      </c>
      <c r="N559">
        <v>73.56</v>
      </c>
      <c r="O559">
        <v>99.39</v>
      </c>
      <c r="P559">
        <v>3</v>
      </c>
      <c r="Q559" t="s">
        <v>25</v>
      </c>
      <c r="R559">
        <v>44.61</v>
      </c>
      <c r="S559">
        <v>1.57</v>
      </c>
      <c r="T559" s="4">
        <v>32.881999999999998</v>
      </c>
      <c r="U559" s="4">
        <v>56.105654999999999</v>
      </c>
      <c r="V559" t="str">
        <f>IF(Table1[[#This Row],[ai_disruption_intensity]]&gt;70,"High",
IF(Table1[[#This Row],[ai_disruption_intensity]]&gt;40,"Medium","Low"))</f>
        <v>Medium</v>
      </c>
      <c r="W559" t="str">
        <f>IF(Table1[[#This Row],[skill_gap_index]]&gt;70,"Large Gap",
IF(Table1[[#This Row],[skill_gap_index]]&gt;40,"Medium Gap","Small Gap"))</f>
        <v>Small Gap</v>
      </c>
      <c r="X559" s="3" t="str">
        <f>IF(Table1[[#This Row],[automation_risk_percent]]&gt;0.7,"Highly Automatable",
IF(Table1[[#This Row],[automation_risk_percent]]&gt;0.4,"Moderate Risk","Safe Job"))</f>
        <v>Moderate Risk</v>
      </c>
    </row>
    <row r="560" spans="1:24" x14ac:dyDescent="0.3">
      <c r="A560">
        <v>1978</v>
      </c>
      <c r="B560" t="s">
        <v>46</v>
      </c>
      <c r="C560" t="s">
        <v>23</v>
      </c>
      <c r="D560" t="s">
        <v>20</v>
      </c>
      <c r="E560" s="1">
        <v>2025</v>
      </c>
      <c r="F560" s="11">
        <v>0.05</v>
      </c>
      <c r="G560">
        <v>4.9800000000000004</v>
      </c>
      <c r="H560">
        <v>45.06</v>
      </c>
      <c r="I560" s="2">
        <v>69779.070000000007</v>
      </c>
      <c r="J560" s="2">
        <v>62993.4</v>
      </c>
      <c r="K560" s="2">
        <f>Table1[[#This Row],[Salary_after]]-Table1[[#This Row],[Salary_before]]</f>
        <v>-6785.6700000000055</v>
      </c>
      <c r="L560" s="11">
        <v>-9.7200000000000009E-2</v>
      </c>
      <c r="M560" s="11">
        <v>9.6600000000000005E-2</v>
      </c>
      <c r="N560">
        <v>76.09</v>
      </c>
      <c r="O560">
        <v>72.7</v>
      </c>
      <c r="P560">
        <v>3</v>
      </c>
      <c r="Q560" t="s">
        <v>21</v>
      </c>
      <c r="R560">
        <v>25.03</v>
      </c>
      <c r="S560">
        <v>9.7200000000000006</v>
      </c>
      <c r="T560" s="4">
        <v>18.434000000000001</v>
      </c>
      <c r="U560" s="4">
        <v>3.6349999999999998</v>
      </c>
      <c r="V560" t="str">
        <f>IF(Table1[[#This Row],[ai_disruption_intensity]]&gt;70,"High",
IF(Table1[[#This Row],[ai_disruption_intensity]]&gt;40,"Medium","Low"))</f>
        <v>Low</v>
      </c>
      <c r="W560" t="str">
        <f>IF(Table1[[#This Row],[skill_gap_index]]&gt;70,"Large Gap",
IF(Table1[[#This Row],[skill_gap_index]]&gt;40,"Medium Gap","Small Gap"))</f>
        <v>Medium Gap</v>
      </c>
      <c r="X560" s="3" t="str">
        <f>IF(Table1[[#This Row],[automation_risk_percent]]&gt;0.7,"Highly Automatable",
IF(Table1[[#This Row],[automation_risk_percent]]&gt;0.4,"Moderate Risk","Safe Job"))</f>
        <v>Safe Job</v>
      </c>
    </row>
    <row r="561" spans="1:24" x14ac:dyDescent="0.3">
      <c r="A561">
        <v>1983</v>
      </c>
      <c r="B561" t="s">
        <v>46</v>
      </c>
      <c r="C561" t="s">
        <v>27</v>
      </c>
      <c r="D561" t="s">
        <v>42</v>
      </c>
      <c r="E561" s="1">
        <v>2026</v>
      </c>
      <c r="F561" s="11">
        <v>0.42549999999999999</v>
      </c>
      <c r="G561">
        <v>47.08</v>
      </c>
      <c r="H561">
        <v>73.989999999999995</v>
      </c>
      <c r="I561" s="2">
        <v>109418.59</v>
      </c>
      <c r="J561" s="2">
        <v>115173.4</v>
      </c>
      <c r="K561" s="2">
        <f>Table1[[#This Row],[Salary_after]]-Table1[[#This Row],[Salary_before]]</f>
        <v>5754.8099999999977</v>
      </c>
      <c r="L561" s="11">
        <v>5.2600000000000001E-2</v>
      </c>
      <c r="M561" s="11">
        <v>0.14279999999999998</v>
      </c>
      <c r="N561">
        <v>58.06</v>
      </c>
      <c r="O561">
        <v>23.7</v>
      </c>
      <c r="P561">
        <v>1</v>
      </c>
      <c r="Q561" t="s">
        <v>25</v>
      </c>
      <c r="R561">
        <v>58.269999999999897</v>
      </c>
      <c r="S561">
        <v>5.26</v>
      </c>
      <c r="T561" s="4">
        <v>40.795000000000002</v>
      </c>
      <c r="U561" s="4">
        <v>10.084349999999899</v>
      </c>
      <c r="V561" t="str">
        <f>IF(Table1[[#This Row],[ai_disruption_intensity]]&gt;70,"High",
IF(Table1[[#This Row],[ai_disruption_intensity]]&gt;40,"Medium","Low"))</f>
        <v>Low</v>
      </c>
      <c r="W561" t="str">
        <f>IF(Table1[[#This Row],[skill_gap_index]]&gt;70,"Large Gap",
IF(Table1[[#This Row],[skill_gap_index]]&gt;40,"Medium Gap","Small Gap"))</f>
        <v>Large Gap</v>
      </c>
      <c r="X561" s="3" t="str">
        <f>IF(Table1[[#This Row],[automation_risk_percent]]&gt;0.7,"Highly Automatable",
IF(Table1[[#This Row],[automation_risk_percent]]&gt;0.4,"Moderate Risk","Safe Job"))</f>
        <v>Moderate Risk</v>
      </c>
    </row>
    <row r="562" spans="1:24" x14ac:dyDescent="0.3">
      <c r="A562">
        <v>1986</v>
      </c>
      <c r="B562" t="s">
        <v>26</v>
      </c>
      <c r="C562" t="s">
        <v>30</v>
      </c>
      <c r="D562" t="s">
        <v>36</v>
      </c>
      <c r="E562" s="1">
        <v>2025</v>
      </c>
      <c r="F562" s="11">
        <v>0.20620000000000002</v>
      </c>
      <c r="G562">
        <v>16.559999999999999</v>
      </c>
      <c r="H562">
        <v>29.67</v>
      </c>
      <c r="I562" s="2">
        <v>63757.26</v>
      </c>
      <c r="J562" s="2">
        <v>63428.39</v>
      </c>
      <c r="K562" s="2">
        <f>Table1[[#This Row],[Salary_after]]-Table1[[#This Row],[Salary_before]]</f>
        <v>-328.87000000000262</v>
      </c>
      <c r="L562" s="11">
        <v>-5.1999999999999998E-3</v>
      </c>
      <c r="M562" s="11">
        <v>-2.7200000000000002E-2</v>
      </c>
      <c r="N562">
        <v>59.35</v>
      </c>
      <c r="O562">
        <v>9.2899999999999991</v>
      </c>
      <c r="P562">
        <v>1</v>
      </c>
      <c r="Q562" t="s">
        <v>21</v>
      </c>
      <c r="R562">
        <v>25.145</v>
      </c>
      <c r="S562">
        <v>0.52</v>
      </c>
      <c r="T562" s="4">
        <v>17.305</v>
      </c>
      <c r="U562" s="4">
        <v>1.9155979999999999</v>
      </c>
      <c r="V562" t="str">
        <f>IF(Table1[[#This Row],[ai_disruption_intensity]]&gt;70,"High",
IF(Table1[[#This Row],[ai_disruption_intensity]]&gt;40,"Medium","Low"))</f>
        <v>Low</v>
      </c>
      <c r="W562" t="str">
        <f>IF(Table1[[#This Row],[skill_gap_index]]&gt;70,"Large Gap",
IF(Table1[[#This Row],[skill_gap_index]]&gt;40,"Medium Gap","Small Gap"))</f>
        <v>Small Gap</v>
      </c>
      <c r="X562" s="3" t="str">
        <f>IF(Table1[[#This Row],[automation_risk_percent]]&gt;0.7,"Highly Automatable",
IF(Table1[[#This Row],[automation_risk_percent]]&gt;0.4,"Moderate Risk","Safe Job"))</f>
        <v>Safe Job</v>
      </c>
    </row>
    <row r="563" spans="1:24" x14ac:dyDescent="0.3">
      <c r="A563">
        <v>1987</v>
      </c>
      <c r="B563" t="s">
        <v>44</v>
      </c>
      <c r="C563" t="s">
        <v>23</v>
      </c>
      <c r="D563" t="s">
        <v>36</v>
      </c>
      <c r="E563" s="1">
        <v>2026</v>
      </c>
      <c r="F563" s="11">
        <v>0.36420000000000002</v>
      </c>
      <c r="G563">
        <v>33.76</v>
      </c>
      <c r="H563">
        <v>53.61</v>
      </c>
      <c r="I563" s="2">
        <v>109342.91</v>
      </c>
      <c r="J563" s="2">
        <v>101179.77</v>
      </c>
      <c r="K563" s="2">
        <f>Table1[[#This Row],[Salary_after]]-Table1[[#This Row],[Salary_before]]</f>
        <v>-8163.1399999999994</v>
      </c>
      <c r="L563" s="11">
        <v>-7.4700000000000003E-2</v>
      </c>
      <c r="M563" s="11">
        <v>9.1799999999999993E-2</v>
      </c>
      <c r="N563">
        <v>83.17</v>
      </c>
      <c r="O563">
        <v>67.849999999999994</v>
      </c>
      <c r="P563">
        <v>3</v>
      </c>
      <c r="Q563" t="s">
        <v>25</v>
      </c>
      <c r="R563">
        <v>45.015000000000001</v>
      </c>
      <c r="S563">
        <v>7.47</v>
      </c>
      <c r="T563" s="4">
        <v>32.891999999999904</v>
      </c>
      <c r="U563" s="4">
        <v>24.7109699999999</v>
      </c>
      <c r="V563" t="str">
        <f>IF(Table1[[#This Row],[ai_disruption_intensity]]&gt;70,"High",
IF(Table1[[#This Row],[ai_disruption_intensity]]&gt;40,"Medium","Low"))</f>
        <v>Low</v>
      </c>
      <c r="W563" t="str">
        <f>IF(Table1[[#This Row],[skill_gap_index]]&gt;70,"Large Gap",
IF(Table1[[#This Row],[skill_gap_index]]&gt;40,"Medium Gap","Small Gap"))</f>
        <v>Medium Gap</v>
      </c>
      <c r="X563" s="3" t="str">
        <f>IF(Table1[[#This Row],[automation_risk_percent]]&gt;0.7,"Highly Automatable",
IF(Table1[[#This Row],[automation_risk_percent]]&gt;0.4,"Moderate Risk","Safe Job"))</f>
        <v>Safe Job</v>
      </c>
    </row>
    <row r="564" spans="1:24" x14ac:dyDescent="0.3">
      <c r="A564">
        <v>1988</v>
      </c>
      <c r="B564" t="s">
        <v>29</v>
      </c>
      <c r="C564" t="s">
        <v>19</v>
      </c>
      <c r="D564" t="s">
        <v>42</v>
      </c>
      <c r="E564" s="1">
        <v>2025</v>
      </c>
      <c r="F564" s="11">
        <v>0.87239999999999995</v>
      </c>
      <c r="G564">
        <v>85.47</v>
      </c>
      <c r="H564">
        <v>89.39</v>
      </c>
      <c r="I564" s="2">
        <v>133892.89000000001</v>
      </c>
      <c r="J564" s="2">
        <v>106599.54</v>
      </c>
      <c r="K564" s="2">
        <f>Table1[[#This Row],[Salary_after]]-Table1[[#This Row],[Salary_before]]</f>
        <v>-27293.35000000002</v>
      </c>
      <c r="L564" s="11">
        <v>-0.20379999999999998</v>
      </c>
      <c r="M564" s="11">
        <v>-5.5599999999999997E-2</v>
      </c>
      <c r="N564">
        <v>93.95</v>
      </c>
      <c r="O564">
        <v>71.52</v>
      </c>
      <c r="P564">
        <v>1</v>
      </c>
      <c r="Q564" t="s">
        <v>37</v>
      </c>
      <c r="R564">
        <v>88.314999999999998</v>
      </c>
      <c r="S564">
        <v>20.38</v>
      </c>
      <c r="T564" s="4">
        <v>67.826999999999998</v>
      </c>
      <c r="U564" s="4">
        <v>62.394047999999898</v>
      </c>
      <c r="V564" t="str">
        <f>IF(Table1[[#This Row],[ai_disruption_intensity]]&gt;70,"High",
IF(Table1[[#This Row],[ai_disruption_intensity]]&gt;40,"Medium","Low"))</f>
        <v>Medium</v>
      </c>
      <c r="W564" t="str">
        <f>IF(Table1[[#This Row],[skill_gap_index]]&gt;70,"Large Gap",
IF(Table1[[#This Row],[skill_gap_index]]&gt;40,"Medium Gap","Small Gap"))</f>
        <v>Large Gap</v>
      </c>
      <c r="X564" s="3" t="str">
        <f>IF(Table1[[#This Row],[automation_risk_percent]]&gt;0.7,"Highly Automatable",
IF(Table1[[#This Row],[automation_risk_percent]]&gt;0.4,"Moderate Risk","Safe Job"))</f>
        <v>Highly Automatable</v>
      </c>
    </row>
    <row r="565" spans="1:24" x14ac:dyDescent="0.3">
      <c r="A565">
        <v>1989</v>
      </c>
      <c r="B565" t="s">
        <v>44</v>
      </c>
      <c r="C565" t="s">
        <v>40</v>
      </c>
      <c r="D565" t="s">
        <v>31</v>
      </c>
      <c r="E565" s="1">
        <v>2026</v>
      </c>
      <c r="F565" s="11">
        <v>0.74980000000000002</v>
      </c>
      <c r="G565">
        <v>83.88</v>
      </c>
      <c r="H565">
        <v>60.93</v>
      </c>
      <c r="I565" s="2">
        <v>43902.33</v>
      </c>
      <c r="J565" s="2">
        <v>41163.53</v>
      </c>
      <c r="K565" s="2">
        <f>Table1[[#This Row],[Salary_after]]-Table1[[#This Row],[Salary_before]]</f>
        <v>-2738.8000000000029</v>
      </c>
      <c r="L565" s="11">
        <v>-6.2400000000000004E-2</v>
      </c>
      <c r="M565" s="11">
        <v>2.23E-2</v>
      </c>
      <c r="N565">
        <v>73.680000000000007</v>
      </c>
      <c r="O565">
        <v>73.400000000000006</v>
      </c>
      <c r="P565">
        <v>3</v>
      </c>
      <c r="Q565" t="s">
        <v>37</v>
      </c>
      <c r="R565">
        <v>67.954999999999998</v>
      </c>
      <c r="S565">
        <v>6.24</v>
      </c>
      <c r="T565" s="4">
        <v>50.143000000000001</v>
      </c>
      <c r="U565" s="4">
        <v>55.035319999999999</v>
      </c>
      <c r="V565" t="str">
        <f>IF(Table1[[#This Row],[ai_disruption_intensity]]&gt;70,"High",
IF(Table1[[#This Row],[ai_disruption_intensity]]&gt;40,"Medium","Low"))</f>
        <v>Medium</v>
      </c>
      <c r="W565" t="str">
        <f>IF(Table1[[#This Row],[skill_gap_index]]&gt;70,"Large Gap",
IF(Table1[[#This Row],[skill_gap_index]]&gt;40,"Medium Gap","Small Gap"))</f>
        <v>Medium Gap</v>
      </c>
      <c r="X565" s="3" t="str">
        <f>IF(Table1[[#This Row],[automation_risk_percent]]&gt;0.7,"Highly Automatable",
IF(Table1[[#This Row],[automation_risk_percent]]&gt;0.4,"Moderate Risk","Safe Job"))</f>
        <v>Highly Automatable</v>
      </c>
    </row>
    <row r="566" spans="1:24" x14ac:dyDescent="0.3">
      <c r="A566">
        <v>1996</v>
      </c>
      <c r="B566" t="s">
        <v>43</v>
      </c>
      <c r="C566" t="s">
        <v>23</v>
      </c>
      <c r="D566" t="s">
        <v>47</v>
      </c>
      <c r="E566" s="1">
        <v>2026</v>
      </c>
      <c r="F566" s="11">
        <v>0.62340000000000007</v>
      </c>
      <c r="G566">
        <v>71.069999999999993</v>
      </c>
      <c r="H566">
        <v>35.4</v>
      </c>
      <c r="I566" s="2">
        <v>96523.68</v>
      </c>
      <c r="J566" s="2">
        <v>81529.149999999994</v>
      </c>
      <c r="K566" s="2">
        <f>Table1[[#This Row],[Salary_after]]-Table1[[#This Row],[Salary_before]]</f>
        <v>-14994.529999999999</v>
      </c>
      <c r="L566" s="11">
        <v>-0.15529999999999999</v>
      </c>
      <c r="M566" s="11">
        <v>0.15049999999999999</v>
      </c>
      <c r="N566">
        <v>61.32</v>
      </c>
      <c r="O566">
        <v>23.67</v>
      </c>
      <c r="P566">
        <v>2</v>
      </c>
      <c r="Q566" t="s">
        <v>37</v>
      </c>
      <c r="R566">
        <v>48.87</v>
      </c>
      <c r="S566">
        <v>15.53</v>
      </c>
      <c r="T566" s="4">
        <v>40.215000000000003</v>
      </c>
      <c r="U566" s="4">
        <v>14.755877999999999</v>
      </c>
      <c r="V566" t="str">
        <f>IF(Table1[[#This Row],[ai_disruption_intensity]]&gt;70,"High",
IF(Table1[[#This Row],[ai_disruption_intensity]]&gt;40,"Medium","Low"))</f>
        <v>Low</v>
      </c>
      <c r="W566" t="str">
        <f>IF(Table1[[#This Row],[skill_gap_index]]&gt;70,"Large Gap",
IF(Table1[[#This Row],[skill_gap_index]]&gt;40,"Medium Gap","Small Gap"))</f>
        <v>Small Gap</v>
      </c>
      <c r="X566" s="3" t="str">
        <f>IF(Table1[[#This Row],[automation_risk_percent]]&gt;0.7,"Highly Automatable",
IF(Table1[[#This Row],[automation_risk_percent]]&gt;0.4,"Moderate Risk","Safe Job"))</f>
        <v>Moderate Risk</v>
      </c>
    </row>
    <row r="567" spans="1:24" x14ac:dyDescent="0.3">
      <c r="A567">
        <v>2001</v>
      </c>
      <c r="B567" t="s">
        <v>22</v>
      </c>
      <c r="C567" t="s">
        <v>30</v>
      </c>
      <c r="D567" t="s">
        <v>35</v>
      </c>
      <c r="E567" s="1">
        <v>2026</v>
      </c>
      <c r="F567" s="11">
        <v>0.61140000000000005</v>
      </c>
      <c r="G567">
        <v>69.180000000000007</v>
      </c>
      <c r="H567">
        <v>74.599999999999994</v>
      </c>
      <c r="I567" s="2">
        <v>105682.46</v>
      </c>
      <c r="J567" s="2">
        <v>115020.82</v>
      </c>
      <c r="K567" s="2">
        <f>Table1[[#This Row],[Salary_after]]-Table1[[#This Row],[Salary_before]]</f>
        <v>9338.36</v>
      </c>
      <c r="L567" s="11">
        <v>8.8399999999999992E-2</v>
      </c>
      <c r="M567" s="11">
        <v>3.4000000000000002E-2</v>
      </c>
      <c r="N567">
        <v>68.59</v>
      </c>
      <c r="O567">
        <v>39.840000000000003</v>
      </c>
      <c r="P567">
        <v>5</v>
      </c>
      <c r="Q567" t="s">
        <v>37</v>
      </c>
      <c r="R567">
        <v>67.87</v>
      </c>
      <c r="S567">
        <v>8.84</v>
      </c>
      <c r="T567" s="4">
        <v>49.488</v>
      </c>
      <c r="U567" s="4">
        <v>24.358176</v>
      </c>
      <c r="V567" t="str">
        <f>IF(Table1[[#This Row],[ai_disruption_intensity]]&gt;70,"High",
IF(Table1[[#This Row],[ai_disruption_intensity]]&gt;40,"Medium","Low"))</f>
        <v>Low</v>
      </c>
      <c r="W567" t="str">
        <f>IF(Table1[[#This Row],[skill_gap_index]]&gt;70,"Large Gap",
IF(Table1[[#This Row],[skill_gap_index]]&gt;40,"Medium Gap","Small Gap"))</f>
        <v>Large Gap</v>
      </c>
      <c r="X567" s="3" t="str">
        <f>IF(Table1[[#This Row],[automation_risk_percent]]&gt;0.7,"Highly Automatable",
IF(Table1[[#This Row],[automation_risk_percent]]&gt;0.4,"Moderate Risk","Safe Job"))</f>
        <v>Moderate Risk</v>
      </c>
    </row>
    <row r="568" spans="1:24" x14ac:dyDescent="0.3">
      <c r="A568">
        <v>2003</v>
      </c>
      <c r="B568" t="s">
        <v>46</v>
      </c>
      <c r="C568" t="s">
        <v>23</v>
      </c>
      <c r="D568" t="s">
        <v>32</v>
      </c>
      <c r="E568" s="1">
        <v>2026</v>
      </c>
      <c r="F568" s="11">
        <v>0.33909999999999996</v>
      </c>
      <c r="G568">
        <v>34.909999999999997</v>
      </c>
      <c r="H568">
        <v>14.74</v>
      </c>
      <c r="I568" s="2">
        <v>68949.16</v>
      </c>
      <c r="J568" s="2">
        <v>77760.009999999995</v>
      </c>
      <c r="K568" s="2">
        <f>Table1[[#This Row],[Salary_after]]-Table1[[#This Row],[Salary_before]]</f>
        <v>8810.8499999999913</v>
      </c>
      <c r="L568" s="11">
        <v>0.1278</v>
      </c>
      <c r="M568" s="11">
        <v>1.2699999999999999E-2</v>
      </c>
      <c r="N568">
        <v>79.31</v>
      </c>
      <c r="O568">
        <v>22.3</v>
      </c>
      <c r="P568">
        <v>2</v>
      </c>
      <c r="Q568" t="s">
        <v>25</v>
      </c>
      <c r="R568">
        <v>24.324999999999999</v>
      </c>
      <c r="S568">
        <v>12.78</v>
      </c>
      <c r="T568" s="4">
        <v>21.82</v>
      </c>
      <c r="U568" s="4">
        <v>7.5619300000000003</v>
      </c>
      <c r="V568" t="str">
        <f>IF(Table1[[#This Row],[ai_disruption_intensity]]&gt;70,"High",
IF(Table1[[#This Row],[ai_disruption_intensity]]&gt;40,"Medium","Low"))</f>
        <v>Low</v>
      </c>
      <c r="W568" t="str">
        <f>IF(Table1[[#This Row],[skill_gap_index]]&gt;70,"Large Gap",
IF(Table1[[#This Row],[skill_gap_index]]&gt;40,"Medium Gap","Small Gap"))</f>
        <v>Small Gap</v>
      </c>
      <c r="X568" s="3" t="str">
        <f>IF(Table1[[#This Row],[automation_risk_percent]]&gt;0.7,"Highly Automatable",
IF(Table1[[#This Row],[automation_risk_percent]]&gt;0.4,"Moderate Risk","Safe Job"))</f>
        <v>Safe Job</v>
      </c>
    </row>
    <row r="569" spans="1:24" x14ac:dyDescent="0.3">
      <c r="A569">
        <v>2004</v>
      </c>
      <c r="B569" t="s">
        <v>29</v>
      </c>
      <c r="C569" t="s">
        <v>33</v>
      </c>
      <c r="D569" t="s">
        <v>32</v>
      </c>
      <c r="E569" s="1">
        <v>2026</v>
      </c>
      <c r="F569" s="11">
        <v>0.68129999999999991</v>
      </c>
      <c r="G569">
        <v>61.14</v>
      </c>
      <c r="H569">
        <v>98.82</v>
      </c>
      <c r="I569" s="2">
        <v>144254.87</v>
      </c>
      <c r="J569" s="2">
        <v>169952.42</v>
      </c>
      <c r="K569" s="2">
        <f>Table1[[#This Row],[Salary_after]]-Table1[[#This Row],[Salary_before]]</f>
        <v>25697.550000000017</v>
      </c>
      <c r="L569" s="11">
        <v>0.17809999999999998</v>
      </c>
      <c r="M569" s="11">
        <v>0.1067</v>
      </c>
      <c r="N569">
        <v>82.13</v>
      </c>
      <c r="O569">
        <v>72.099999999999994</v>
      </c>
      <c r="P569">
        <v>4</v>
      </c>
      <c r="Q569" t="s">
        <v>37</v>
      </c>
      <c r="R569">
        <v>83.474999999999994</v>
      </c>
      <c r="S569">
        <v>17.809999999999999</v>
      </c>
      <c r="T569" s="4">
        <v>62.2409999999999</v>
      </c>
      <c r="U569" s="4">
        <v>49.1217299999999</v>
      </c>
      <c r="V569" t="str">
        <f>IF(Table1[[#This Row],[ai_disruption_intensity]]&gt;70,"High",
IF(Table1[[#This Row],[ai_disruption_intensity]]&gt;40,"Medium","Low"))</f>
        <v>Medium</v>
      </c>
      <c r="W569" t="str">
        <f>IF(Table1[[#This Row],[skill_gap_index]]&gt;70,"Large Gap",
IF(Table1[[#This Row],[skill_gap_index]]&gt;40,"Medium Gap","Small Gap"))</f>
        <v>Large Gap</v>
      </c>
      <c r="X569" s="3" t="str">
        <f>IF(Table1[[#This Row],[automation_risk_percent]]&gt;0.7,"Highly Automatable",
IF(Table1[[#This Row],[automation_risk_percent]]&gt;0.4,"Moderate Risk","Safe Job"))</f>
        <v>Moderate Risk</v>
      </c>
    </row>
    <row r="570" spans="1:24" x14ac:dyDescent="0.3">
      <c r="A570">
        <v>2006</v>
      </c>
      <c r="B570" t="s">
        <v>43</v>
      </c>
      <c r="C570" t="s">
        <v>23</v>
      </c>
      <c r="D570" t="s">
        <v>36</v>
      </c>
      <c r="E570" s="1">
        <v>2025</v>
      </c>
      <c r="F570" s="11">
        <v>0.3599</v>
      </c>
      <c r="G570">
        <v>30.91</v>
      </c>
      <c r="H570">
        <v>50.58</v>
      </c>
      <c r="I570" s="2">
        <v>84687.29</v>
      </c>
      <c r="J570" s="2">
        <v>79234.509999999995</v>
      </c>
      <c r="K570" s="2">
        <f>Table1[[#This Row],[Salary_after]]-Table1[[#This Row],[Salary_before]]</f>
        <v>-5452.7799999999988</v>
      </c>
      <c r="L570" s="11">
        <v>-6.4399999999999999E-2</v>
      </c>
      <c r="M570" s="11">
        <v>0.16109999999999999</v>
      </c>
      <c r="N570">
        <v>84.84</v>
      </c>
      <c r="O570">
        <v>61.51</v>
      </c>
      <c r="P570">
        <v>4</v>
      </c>
      <c r="Q570" t="s">
        <v>25</v>
      </c>
      <c r="R570">
        <v>43.284999999999997</v>
      </c>
      <c r="S570">
        <v>6.44</v>
      </c>
      <c r="T570" s="4">
        <v>31.501999999999999</v>
      </c>
      <c r="U570" s="4">
        <v>22.137449</v>
      </c>
      <c r="V570" t="str">
        <f>IF(Table1[[#This Row],[ai_disruption_intensity]]&gt;70,"High",
IF(Table1[[#This Row],[ai_disruption_intensity]]&gt;40,"Medium","Low"))</f>
        <v>Low</v>
      </c>
      <c r="W570" t="str">
        <f>IF(Table1[[#This Row],[skill_gap_index]]&gt;70,"Large Gap",
IF(Table1[[#This Row],[skill_gap_index]]&gt;40,"Medium Gap","Small Gap"))</f>
        <v>Medium Gap</v>
      </c>
      <c r="X570" s="3" t="str">
        <f>IF(Table1[[#This Row],[automation_risk_percent]]&gt;0.7,"Highly Automatable",
IF(Table1[[#This Row],[automation_risk_percent]]&gt;0.4,"Moderate Risk","Safe Job"))</f>
        <v>Safe Job</v>
      </c>
    </row>
    <row r="571" spans="1:24" x14ac:dyDescent="0.3">
      <c r="A571">
        <v>2008</v>
      </c>
      <c r="B571" t="s">
        <v>22</v>
      </c>
      <c r="C571" t="s">
        <v>19</v>
      </c>
      <c r="D571" t="s">
        <v>24</v>
      </c>
      <c r="E571" s="1">
        <v>2025</v>
      </c>
      <c r="F571" s="11">
        <v>0.56720000000000004</v>
      </c>
      <c r="G571">
        <v>67.430000000000007</v>
      </c>
      <c r="H571">
        <v>83.25</v>
      </c>
      <c r="I571" s="2">
        <v>62499.86</v>
      </c>
      <c r="J571" s="2">
        <v>53086.86</v>
      </c>
      <c r="K571" s="2">
        <f>Table1[[#This Row],[Salary_after]]-Table1[[#This Row],[Salary_before]]</f>
        <v>-9413</v>
      </c>
      <c r="L571" s="11">
        <v>-0.15060000000000001</v>
      </c>
      <c r="M571" s="11">
        <v>8.199999999999999E-3</v>
      </c>
      <c r="N571">
        <v>10.38</v>
      </c>
      <c r="O571">
        <v>18.8</v>
      </c>
      <c r="P571">
        <v>5</v>
      </c>
      <c r="Q571" t="s">
        <v>25</v>
      </c>
      <c r="R571">
        <v>69.984999999999999</v>
      </c>
      <c r="S571">
        <v>15.06</v>
      </c>
      <c r="T571" s="4">
        <v>52.180999999999997</v>
      </c>
      <c r="U571" s="4">
        <v>10.663360000000001</v>
      </c>
      <c r="V571" t="str">
        <f>IF(Table1[[#This Row],[ai_disruption_intensity]]&gt;70,"High",
IF(Table1[[#This Row],[ai_disruption_intensity]]&gt;40,"Medium","Low"))</f>
        <v>Low</v>
      </c>
      <c r="W571" t="str">
        <f>IF(Table1[[#This Row],[skill_gap_index]]&gt;70,"Large Gap",
IF(Table1[[#This Row],[skill_gap_index]]&gt;40,"Medium Gap","Small Gap"))</f>
        <v>Large Gap</v>
      </c>
      <c r="X571" s="3" t="str">
        <f>IF(Table1[[#This Row],[automation_risk_percent]]&gt;0.7,"Highly Automatable",
IF(Table1[[#This Row],[automation_risk_percent]]&gt;0.4,"Moderate Risk","Safe Job"))</f>
        <v>Moderate Risk</v>
      </c>
    </row>
    <row r="572" spans="1:24" x14ac:dyDescent="0.3">
      <c r="A572">
        <v>2010</v>
      </c>
      <c r="B572" t="s">
        <v>46</v>
      </c>
      <c r="C572" t="s">
        <v>19</v>
      </c>
      <c r="D572" t="s">
        <v>42</v>
      </c>
      <c r="E572" s="1">
        <v>2025</v>
      </c>
      <c r="F572" s="11">
        <v>0.3231</v>
      </c>
      <c r="G572">
        <v>29.79</v>
      </c>
      <c r="H572">
        <v>22.23</v>
      </c>
      <c r="I572" s="2">
        <v>55551.11</v>
      </c>
      <c r="J572" s="2">
        <v>58881.84</v>
      </c>
      <c r="K572" s="2">
        <f>Table1[[#This Row],[Salary_after]]-Table1[[#This Row],[Salary_before]]</f>
        <v>3330.7299999999959</v>
      </c>
      <c r="L572" s="11">
        <v>0.06</v>
      </c>
      <c r="M572" s="11">
        <v>-3.61E-2</v>
      </c>
      <c r="N572">
        <v>41.72</v>
      </c>
      <c r="O572">
        <v>45.73</v>
      </c>
      <c r="P572">
        <v>2</v>
      </c>
      <c r="Q572" t="s">
        <v>25</v>
      </c>
      <c r="R572">
        <v>27.27</v>
      </c>
      <c r="S572">
        <v>6</v>
      </c>
      <c r="T572" s="4">
        <v>21.393000000000001</v>
      </c>
      <c r="U572" s="4">
        <v>14.775363</v>
      </c>
      <c r="V572" t="str">
        <f>IF(Table1[[#This Row],[ai_disruption_intensity]]&gt;70,"High",
IF(Table1[[#This Row],[ai_disruption_intensity]]&gt;40,"Medium","Low"))</f>
        <v>Low</v>
      </c>
      <c r="W572" t="str">
        <f>IF(Table1[[#This Row],[skill_gap_index]]&gt;70,"Large Gap",
IF(Table1[[#This Row],[skill_gap_index]]&gt;40,"Medium Gap","Small Gap"))</f>
        <v>Small Gap</v>
      </c>
      <c r="X572" s="3" t="str">
        <f>IF(Table1[[#This Row],[automation_risk_percent]]&gt;0.7,"Highly Automatable",
IF(Table1[[#This Row],[automation_risk_percent]]&gt;0.4,"Moderate Risk","Safe Job"))</f>
        <v>Safe Job</v>
      </c>
    </row>
    <row r="573" spans="1:24" x14ac:dyDescent="0.3">
      <c r="A573">
        <v>2011</v>
      </c>
      <c r="B573" t="s">
        <v>18</v>
      </c>
      <c r="C573" t="s">
        <v>27</v>
      </c>
      <c r="D573" t="s">
        <v>42</v>
      </c>
      <c r="E573" s="1">
        <v>2025</v>
      </c>
      <c r="F573" s="11">
        <v>0.20399999999999999</v>
      </c>
      <c r="G573">
        <v>19.63</v>
      </c>
      <c r="H573">
        <v>10.32</v>
      </c>
      <c r="I573" s="2">
        <v>93965.19</v>
      </c>
      <c r="J573" s="2">
        <v>94947.53</v>
      </c>
      <c r="K573" s="2">
        <f>Table1[[#This Row],[Salary_after]]-Table1[[#This Row],[Salary_before]]</f>
        <v>982.33999999999651</v>
      </c>
      <c r="L573" s="11">
        <v>1.0500000000000001E-2</v>
      </c>
      <c r="M573" s="11">
        <v>3.5499999999999997E-2</v>
      </c>
      <c r="N573">
        <v>60.99</v>
      </c>
      <c r="O573">
        <v>72.400000000000006</v>
      </c>
      <c r="P573">
        <v>4</v>
      </c>
      <c r="Q573" t="s">
        <v>21</v>
      </c>
      <c r="R573">
        <v>15.36</v>
      </c>
      <c r="S573">
        <v>1.05</v>
      </c>
      <c r="T573" s="4">
        <v>11.571</v>
      </c>
      <c r="U573" s="4">
        <v>14.769600000000001</v>
      </c>
      <c r="V573" t="str">
        <f>IF(Table1[[#This Row],[ai_disruption_intensity]]&gt;70,"High",
IF(Table1[[#This Row],[ai_disruption_intensity]]&gt;40,"Medium","Low"))</f>
        <v>Low</v>
      </c>
      <c r="W573" t="str">
        <f>IF(Table1[[#This Row],[skill_gap_index]]&gt;70,"Large Gap",
IF(Table1[[#This Row],[skill_gap_index]]&gt;40,"Medium Gap","Small Gap"))</f>
        <v>Small Gap</v>
      </c>
      <c r="X573" s="3" t="str">
        <f>IF(Table1[[#This Row],[automation_risk_percent]]&gt;0.7,"Highly Automatable",
IF(Table1[[#This Row],[automation_risk_percent]]&gt;0.4,"Moderate Risk","Safe Job"))</f>
        <v>Safe Job</v>
      </c>
    </row>
    <row r="574" spans="1:24" x14ac:dyDescent="0.3">
      <c r="A574">
        <v>2013</v>
      </c>
      <c r="B574" t="s">
        <v>46</v>
      </c>
      <c r="C574" t="s">
        <v>23</v>
      </c>
      <c r="D574" t="s">
        <v>31</v>
      </c>
      <c r="E574" s="1">
        <v>2025</v>
      </c>
      <c r="F574" s="11">
        <v>0.52560000000000007</v>
      </c>
      <c r="G574">
        <v>45.07</v>
      </c>
      <c r="H574">
        <v>62.21</v>
      </c>
      <c r="I574" s="2">
        <v>39638.769999999997</v>
      </c>
      <c r="J574" s="2">
        <v>35989.69</v>
      </c>
      <c r="K574" s="2">
        <f>Table1[[#This Row],[Salary_after]]-Table1[[#This Row],[Salary_before]]</f>
        <v>-3649.0799999999945</v>
      </c>
      <c r="L574" s="11">
        <v>-9.2100000000000015E-2</v>
      </c>
      <c r="M574" s="11">
        <v>0.2016</v>
      </c>
      <c r="N574">
        <v>21.92</v>
      </c>
      <c r="O574">
        <v>86.21</v>
      </c>
      <c r="P574">
        <v>2</v>
      </c>
      <c r="Q574" t="s">
        <v>25</v>
      </c>
      <c r="R574">
        <v>57.384999999999998</v>
      </c>
      <c r="S574">
        <v>9.2100000000000009</v>
      </c>
      <c r="T574" s="4">
        <v>42.449999999999903</v>
      </c>
      <c r="U574" s="4">
        <v>45.311975999999902</v>
      </c>
      <c r="V574" t="str">
        <f>IF(Table1[[#This Row],[ai_disruption_intensity]]&gt;70,"High",
IF(Table1[[#This Row],[ai_disruption_intensity]]&gt;40,"Medium","Low"))</f>
        <v>Medium</v>
      </c>
      <c r="W574" t="str">
        <f>IF(Table1[[#This Row],[skill_gap_index]]&gt;70,"Large Gap",
IF(Table1[[#This Row],[skill_gap_index]]&gt;40,"Medium Gap","Small Gap"))</f>
        <v>Medium Gap</v>
      </c>
      <c r="X574" s="3" t="str">
        <f>IF(Table1[[#This Row],[automation_risk_percent]]&gt;0.7,"Highly Automatable",
IF(Table1[[#This Row],[automation_risk_percent]]&gt;0.4,"Moderate Risk","Safe Job"))</f>
        <v>Moderate Risk</v>
      </c>
    </row>
    <row r="575" spans="1:24" x14ac:dyDescent="0.3">
      <c r="A575">
        <v>2018</v>
      </c>
      <c r="B575" t="s">
        <v>41</v>
      </c>
      <c r="C575" t="s">
        <v>19</v>
      </c>
      <c r="D575" t="s">
        <v>32</v>
      </c>
      <c r="E575" s="1">
        <v>2025</v>
      </c>
      <c r="F575" s="11">
        <v>0.64590000000000003</v>
      </c>
      <c r="G575">
        <v>71.89</v>
      </c>
      <c r="H575">
        <v>2.31</v>
      </c>
      <c r="I575" s="2">
        <v>146328.01</v>
      </c>
      <c r="J575" s="2">
        <v>155087.14000000001</v>
      </c>
      <c r="K575" s="2">
        <f>Table1[[#This Row],[Salary_after]]-Table1[[#This Row],[Salary_before]]</f>
        <v>8759.1300000000047</v>
      </c>
      <c r="L575" s="11">
        <v>5.9900000000000002E-2</v>
      </c>
      <c r="M575" s="11">
        <v>0.12390000000000001</v>
      </c>
      <c r="N575">
        <v>78.430000000000007</v>
      </c>
      <c r="O575">
        <v>38.909999999999997</v>
      </c>
      <c r="P575">
        <v>4</v>
      </c>
      <c r="Q575" t="s">
        <v>37</v>
      </c>
      <c r="R575">
        <v>33.450000000000003</v>
      </c>
      <c r="S575">
        <v>5.99</v>
      </c>
      <c r="T575" s="4">
        <v>28.326000000000001</v>
      </c>
      <c r="U575" s="4">
        <v>25.131968999999899</v>
      </c>
      <c r="V575" t="str">
        <f>IF(Table1[[#This Row],[ai_disruption_intensity]]&gt;70,"High",
IF(Table1[[#This Row],[ai_disruption_intensity]]&gt;40,"Medium","Low"))</f>
        <v>Low</v>
      </c>
      <c r="W575" t="str">
        <f>IF(Table1[[#This Row],[skill_gap_index]]&gt;70,"Large Gap",
IF(Table1[[#This Row],[skill_gap_index]]&gt;40,"Medium Gap","Small Gap"))</f>
        <v>Small Gap</v>
      </c>
      <c r="X575" s="3" t="str">
        <f>IF(Table1[[#This Row],[automation_risk_percent]]&gt;0.7,"Highly Automatable",
IF(Table1[[#This Row],[automation_risk_percent]]&gt;0.4,"Moderate Risk","Safe Job"))</f>
        <v>Moderate Risk</v>
      </c>
    </row>
    <row r="576" spans="1:24" x14ac:dyDescent="0.3">
      <c r="A576">
        <v>2022</v>
      </c>
      <c r="B576" t="s">
        <v>18</v>
      </c>
      <c r="C576" t="s">
        <v>40</v>
      </c>
      <c r="D576" t="s">
        <v>35</v>
      </c>
      <c r="E576" s="1">
        <v>2025</v>
      </c>
      <c r="F576" s="11">
        <v>0.53670000000000007</v>
      </c>
      <c r="G576">
        <v>47.92</v>
      </c>
      <c r="H576">
        <v>71.87</v>
      </c>
      <c r="I576" s="2">
        <v>95653.36</v>
      </c>
      <c r="J576" s="2">
        <v>108499.19</v>
      </c>
      <c r="K576" s="2">
        <f>Table1[[#This Row],[Salary_after]]-Table1[[#This Row],[Salary_before]]</f>
        <v>12845.830000000002</v>
      </c>
      <c r="L576" s="11">
        <v>0.1343</v>
      </c>
      <c r="M576" s="11">
        <v>2.69E-2</v>
      </c>
      <c r="N576">
        <v>31.91</v>
      </c>
      <c r="O576">
        <v>88.32</v>
      </c>
      <c r="P576">
        <v>1</v>
      </c>
      <c r="Q576" t="s">
        <v>25</v>
      </c>
      <c r="R576">
        <v>62.77</v>
      </c>
      <c r="S576">
        <v>13.43</v>
      </c>
      <c r="T576" s="4">
        <v>47.058</v>
      </c>
      <c r="U576" s="4">
        <v>47.401344000000002</v>
      </c>
      <c r="V576" t="str">
        <f>IF(Table1[[#This Row],[ai_disruption_intensity]]&gt;70,"High",
IF(Table1[[#This Row],[ai_disruption_intensity]]&gt;40,"Medium","Low"))</f>
        <v>Medium</v>
      </c>
      <c r="W576" t="str">
        <f>IF(Table1[[#This Row],[skill_gap_index]]&gt;70,"Large Gap",
IF(Table1[[#This Row],[skill_gap_index]]&gt;40,"Medium Gap","Small Gap"))</f>
        <v>Large Gap</v>
      </c>
      <c r="X576" s="3" t="str">
        <f>IF(Table1[[#This Row],[automation_risk_percent]]&gt;0.7,"Highly Automatable",
IF(Table1[[#This Row],[automation_risk_percent]]&gt;0.4,"Moderate Risk","Safe Job"))</f>
        <v>Moderate Risk</v>
      </c>
    </row>
    <row r="577" spans="1:24" x14ac:dyDescent="0.3">
      <c r="A577">
        <v>2025</v>
      </c>
      <c r="B577" t="s">
        <v>45</v>
      </c>
      <c r="C577" t="s">
        <v>27</v>
      </c>
      <c r="D577" t="s">
        <v>36</v>
      </c>
      <c r="E577" s="1">
        <v>2026</v>
      </c>
      <c r="F577" s="11">
        <v>0.50880000000000003</v>
      </c>
      <c r="G577">
        <v>52.83</v>
      </c>
      <c r="H577">
        <v>77.72</v>
      </c>
      <c r="I577" s="2">
        <v>90711.15</v>
      </c>
      <c r="J577" s="2">
        <v>106885.99</v>
      </c>
      <c r="K577" s="2">
        <f>Table1[[#This Row],[Salary_after]]-Table1[[#This Row],[Salary_before]]</f>
        <v>16174.840000000011</v>
      </c>
      <c r="L577" s="11">
        <v>0.17829999999999999</v>
      </c>
      <c r="M577" s="11">
        <v>5.74E-2</v>
      </c>
      <c r="N577">
        <v>54.88</v>
      </c>
      <c r="O577">
        <v>60.85</v>
      </c>
      <c r="P577">
        <v>1</v>
      </c>
      <c r="Q577" t="s">
        <v>25</v>
      </c>
      <c r="R577">
        <v>64.3</v>
      </c>
      <c r="S577">
        <v>17.829999999999998</v>
      </c>
      <c r="T577" s="4">
        <v>49.017000000000003</v>
      </c>
      <c r="U577" s="4">
        <v>30.96048</v>
      </c>
      <c r="V577" t="str">
        <f>IF(Table1[[#This Row],[ai_disruption_intensity]]&gt;70,"High",
IF(Table1[[#This Row],[ai_disruption_intensity]]&gt;40,"Medium","Low"))</f>
        <v>Low</v>
      </c>
      <c r="W577" t="str">
        <f>IF(Table1[[#This Row],[skill_gap_index]]&gt;70,"Large Gap",
IF(Table1[[#This Row],[skill_gap_index]]&gt;40,"Medium Gap","Small Gap"))</f>
        <v>Large Gap</v>
      </c>
      <c r="X577" s="3" t="str">
        <f>IF(Table1[[#This Row],[automation_risk_percent]]&gt;0.7,"Highly Automatable",
IF(Table1[[#This Row],[automation_risk_percent]]&gt;0.4,"Moderate Risk","Safe Job"))</f>
        <v>Moderate Risk</v>
      </c>
    </row>
    <row r="578" spans="1:24" x14ac:dyDescent="0.3">
      <c r="A578">
        <v>2027</v>
      </c>
      <c r="B578" t="s">
        <v>45</v>
      </c>
      <c r="C578" t="s">
        <v>30</v>
      </c>
      <c r="D578" t="s">
        <v>24</v>
      </c>
      <c r="E578" s="1">
        <v>2025</v>
      </c>
      <c r="F578" s="11">
        <v>0.4849</v>
      </c>
      <c r="G578">
        <v>44.03</v>
      </c>
      <c r="H578">
        <v>78.62</v>
      </c>
      <c r="I578" s="2">
        <v>62366.04</v>
      </c>
      <c r="J578" s="2">
        <v>66707.899999999994</v>
      </c>
      <c r="K578" s="2">
        <f>Table1[[#This Row],[Salary_after]]-Table1[[#This Row],[Salary_before]]</f>
        <v>4341.8599999999933</v>
      </c>
      <c r="L578" s="11">
        <v>6.9599999999999995E-2</v>
      </c>
      <c r="M578" s="11">
        <v>0.1971</v>
      </c>
      <c r="N578">
        <v>25.3</v>
      </c>
      <c r="O578">
        <v>90.51</v>
      </c>
      <c r="P578">
        <v>1</v>
      </c>
      <c r="Q578" t="s">
        <v>25</v>
      </c>
      <c r="R578">
        <v>63.555</v>
      </c>
      <c r="S578">
        <v>6.96</v>
      </c>
      <c r="T578" s="4">
        <v>45.07</v>
      </c>
      <c r="U578" s="4">
        <v>43.888299000000004</v>
      </c>
      <c r="V578" t="str">
        <f>IF(Table1[[#This Row],[ai_disruption_intensity]]&gt;70,"High",
IF(Table1[[#This Row],[ai_disruption_intensity]]&gt;40,"Medium","Low"))</f>
        <v>Medium</v>
      </c>
      <c r="W578" t="str">
        <f>IF(Table1[[#This Row],[skill_gap_index]]&gt;70,"Large Gap",
IF(Table1[[#This Row],[skill_gap_index]]&gt;40,"Medium Gap","Small Gap"))</f>
        <v>Large Gap</v>
      </c>
      <c r="X578" s="3" t="str">
        <f>IF(Table1[[#This Row],[automation_risk_percent]]&gt;0.7,"Highly Automatable",
IF(Table1[[#This Row],[automation_risk_percent]]&gt;0.4,"Moderate Risk","Safe Job"))</f>
        <v>Moderate Risk</v>
      </c>
    </row>
    <row r="579" spans="1:24" x14ac:dyDescent="0.3">
      <c r="A579">
        <v>2032</v>
      </c>
      <c r="B579" t="s">
        <v>39</v>
      </c>
      <c r="C579" t="s">
        <v>27</v>
      </c>
      <c r="D579" t="s">
        <v>36</v>
      </c>
      <c r="E579" s="1">
        <v>2025</v>
      </c>
      <c r="F579" s="11">
        <v>0.105</v>
      </c>
      <c r="G579">
        <v>11.26</v>
      </c>
      <c r="H579">
        <v>26.87</v>
      </c>
      <c r="I579" s="2">
        <v>127821.99</v>
      </c>
      <c r="J579" s="2">
        <v>123783.27</v>
      </c>
      <c r="K579" s="2">
        <f>Table1[[#This Row],[Salary_after]]-Table1[[#This Row],[Salary_before]]</f>
        <v>-4038.7200000000012</v>
      </c>
      <c r="L579" s="11">
        <v>-3.1600000000000003E-2</v>
      </c>
      <c r="M579" s="11">
        <v>-0.17199999999999999</v>
      </c>
      <c r="N579">
        <v>96.91</v>
      </c>
      <c r="O579">
        <v>24.22</v>
      </c>
      <c r="P579">
        <v>1</v>
      </c>
      <c r="Q579" t="s">
        <v>21</v>
      </c>
      <c r="R579">
        <v>18.684999999999999</v>
      </c>
      <c r="S579">
        <v>3.16</v>
      </c>
      <c r="T579" s="4">
        <v>13.209</v>
      </c>
      <c r="U579" s="4">
        <v>2.5430999999999999</v>
      </c>
      <c r="V579" t="str">
        <f>IF(Table1[[#This Row],[ai_disruption_intensity]]&gt;70,"High",
IF(Table1[[#This Row],[ai_disruption_intensity]]&gt;40,"Medium","Low"))</f>
        <v>Low</v>
      </c>
      <c r="W579" t="str">
        <f>IF(Table1[[#This Row],[skill_gap_index]]&gt;70,"Large Gap",
IF(Table1[[#This Row],[skill_gap_index]]&gt;40,"Medium Gap","Small Gap"))</f>
        <v>Small Gap</v>
      </c>
      <c r="X579" s="3" t="str">
        <f>IF(Table1[[#This Row],[automation_risk_percent]]&gt;0.7,"Highly Automatable",
IF(Table1[[#This Row],[automation_risk_percent]]&gt;0.4,"Moderate Risk","Safe Job"))</f>
        <v>Safe Job</v>
      </c>
    </row>
    <row r="580" spans="1:24" x14ac:dyDescent="0.3">
      <c r="A580">
        <v>2041</v>
      </c>
      <c r="B580" t="s">
        <v>26</v>
      </c>
      <c r="C580" t="s">
        <v>19</v>
      </c>
      <c r="D580" t="s">
        <v>36</v>
      </c>
      <c r="E580" s="1">
        <v>2025</v>
      </c>
      <c r="F580" s="11">
        <v>0.16079999999999997</v>
      </c>
      <c r="G580">
        <v>13.56</v>
      </c>
      <c r="H580">
        <v>13.96</v>
      </c>
      <c r="I580" s="2">
        <v>91510.080000000002</v>
      </c>
      <c r="J580" s="2">
        <v>84492.45</v>
      </c>
      <c r="K580" s="2">
        <f>Table1[[#This Row],[Salary_after]]-Table1[[#This Row],[Salary_before]]</f>
        <v>-7017.6300000000047</v>
      </c>
      <c r="L580" s="11">
        <v>-7.6700000000000004E-2</v>
      </c>
      <c r="M580" s="11">
        <v>-0.1285</v>
      </c>
      <c r="N580">
        <v>98.42</v>
      </c>
      <c r="O580">
        <v>15.67</v>
      </c>
      <c r="P580">
        <v>2</v>
      </c>
      <c r="Q580" t="s">
        <v>21</v>
      </c>
      <c r="R580">
        <v>15.02</v>
      </c>
      <c r="S580">
        <v>7.67</v>
      </c>
      <c r="T580" s="4">
        <v>12.920999999999999</v>
      </c>
      <c r="U580" s="4">
        <v>2.519736</v>
      </c>
      <c r="V580" t="str">
        <f>IF(Table1[[#This Row],[ai_disruption_intensity]]&gt;70,"High",
IF(Table1[[#This Row],[ai_disruption_intensity]]&gt;40,"Medium","Low"))</f>
        <v>Low</v>
      </c>
      <c r="W580" t="str">
        <f>IF(Table1[[#This Row],[skill_gap_index]]&gt;70,"Large Gap",
IF(Table1[[#This Row],[skill_gap_index]]&gt;40,"Medium Gap","Small Gap"))</f>
        <v>Small Gap</v>
      </c>
      <c r="X580" s="3" t="str">
        <f>IF(Table1[[#This Row],[automation_risk_percent]]&gt;0.7,"Highly Automatable",
IF(Table1[[#This Row],[automation_risk_percent]]&gt;0.4,"Moderate Risk","Safe Job"))</f>
        <v>Safe Job</v>
      </c>
    </row>
    <row r="581" spans="1:24" x14ac:dyDescent="0.3">
      <c r="A581">
        <v>2042</v>
      </c>
      <c r="B581" t="s">
        <v>45</v>
      </c>
      <c r="C581" t="s">
        <v>34</v>
      </c>
      <c r="D581" t="s">
        <v>31</v>
      </c>
      <c r="E581" s="1">
        <v>2025</v>
      </c>
      <c r="F581" s="11">
        <v>0.47859999999999997</v>
      </c>
      <c r="G581">
        <v>40.18</v>
      </c>
      <c r="H581">
        <v>31.85</v>
      </c>
      <c r="I581" s="2">
        <v>93303.11</v>
      </c>
      <c r="J581" s="2">
        <v>92022.88</v>
      </c>
      <c r="K581" s="2">
        <f>Table1[[#This Row],[Salary_after]]-Table1[[#This Row],[Salary_before]]</f>
        <v>-1280.2299999999959</v>
      </c>
      <c r="L581" s="11">
        <v>-1.37E-2</v>
      </c>
      <c r="M581" s="11">
        <v>0.10630000000000001</v>
      </c>
      <c r="N581">
        <v>15.84</v>
      </c>
      <c r="O581">
        <v>38.82</v>
      </c>
      <c r="P581">
        <v>3</v>
      </c>
      <c r="Q581" t="s">
        <v>25</v>
      </c>
      <c r="R581">
        <v>39.854999999999997</v>
      </c>
      <c r="S581">
        <v>1.37</v>
      </c>
      <c r="T581" s="4">
        <v>29.11</v>
      </c>
      <c r="U581" s="4">
        <v>18.579252</v>
      </c>
      <c r="V581" t="str">
        <f>IF(Table1[[#This Row],[ai_disruption_intensity]]&gt;70,"High",
IF(Table1[[#This Row],[ai_disruption_intensity]]&gt;40,"Medium","Low"))</f>
        <v>Low</v>
      </c>
      <c r="W581" t="str">
        <f>IF(Table1[[#This Row],[skill_gap_index]]&gt;70,"Large Gap",
IF(Table1[[#This Row],[skill_gap_index]]&gt;40,"Medium Gap","Small Gap"))</f>
        <v>Small Gap</v>
      </c>
      <c r="X581" s="3" t="str">
        <f>IF(Table1[[#This Row],[automation_risk_percent]]&gt;0.7,"Highly Automatable",
IF(Table1[[#This Row],[automation_risk_percent]]&gt;0.4,"Moderate Risk","Safe Job"))</f>
        <v>Moderate Risk</v>
      </c>
    </row>
    <row r="582" spans="1:24" x14ac:dyDescent="0.3">
      <c r="A582">
        <v>2044</v>
      </c>
      <c r="B582" t="s">
        <v>43</v>
      </c>
      <c r="C582" t="s">
        <v>27</v>
      </c>
      <c r="D582" t="s">
        <v>47</v>
      </c>
      <c r="E582" s="1">
        <v>2026</v>
      </c>
      <c r="F582" s="11">
        <v>0.78989999999999994</v>
      </c>
      <c r="G582">
        <v>74.790000000000006</v>
      </c>
      <c r="H582">
        <v>77.86</v>
      </c>
      <c r="I582" s="2">
        <v>69077.58</v>
      </c>
      <c r="J582" s="2">
        <v>52700.08</v>
      </c>
      <c r="K582" s="2">
        <f>Table1[[#This Row],[Salary_after]]-Table1[[#This Row],[Salary_before]]</f>
        <v>-16377.5</v>
      </c>
      <c r="L582" s="11">
        <v>-0.23710000000000001</v>
      </c>
      <c r="M582" s="11">
        <v>-3.0999999999999999E-3</v>
      </c>
      <c r="N582">
        <v>40.83</v>
      </c>
      <c r="O582">
        <v>2.19</v>
      </c>
      <c r="P582">
        <v>4</v>
      </c>
      <c r="Q582" t="s">
        <v>37</v>
      </c>
      <c r="R582">
        <v>78.424999999999997</v>
      </c>
      <c r="S582">
        <v>23.71</v>
      </c>
      <c r="T582" s="4">
        <v>62.067</v>
      </c>
      <c r="U582" s="4">
        <v>1.72988099999999</v>
      </c>
      <c r="V582" t="str">
        <f>IF(Table1[[#This Row],[ai_disruption_intensity]]&gt;70,"High",
IF(Table1[[#This Row],[ai_disruption_intensity]]&gt;40,"Medium","Low"))</f>
        <v>Low</v>
      </c>
      <c r="W582" t="str">
        <f>IF(Table1[[#This Row],[skill_gap_index]]&gt;70,"Large Gap",
IF(Table1[[#This Row],[skill_gap_index]]&gt;40,"Medium Gap","Small Gap"))</f>
        <v>Large Gap</v>
      </c>
      <c r="X582" s="3" t="str">
        <f>IF(Table1[[#This Row],[automation_risk_percent]]&gt;0.7,"Highly Automatable",
IF(Table1[[#This Row],[automation_risk_percent]]&gt;0.4,"Moderate Risk","Safe Job"))</f>
        <v>Highly Automatable</v>
      </c>
    </row>
    <row r="583" spans="1:24" x14ac:dyDescent="0.3">
      <c r="A583">
        <v>2056</v>
      </c>
      <c r="B583" t="s">
        <v>18</v>
      </c>
      <c r="C583" t="s">
        <v>19</v>
      </c>
      <c r="D583" t="s">
        <v>20</v>
      </c>
      <c r="E583" s="1">
        <v>2025</v>
      </c>
      <c r="F583" s="11">
        <v>0.11939999999999999</v>
      </c>
      <c r="G583">
        <v>9.82</v>
      </c>
      <c r="H583">
        <v>6.72</v>
      </c>
      <c r="I583" s="2">
        <v>117724.29</v>
      </c>
      <c r="J583" s="2">
        <v>90484.54</v>
      </c>
      <c r="K583" s="2">
        <f>Table1[[#This Row],[Salary_after]]-Table1[[#This Row],[Salary_before]]</f>
        <v>-27239.75</v>
      </c>
      <c r="L583" s="11">
        <v>-0.23139999999999999</v>
      </c>
      <c r="M583" s="11">
        <v>5.21E-2</v>
      </c>
      <c r="N583">
        <v>19.510000000000002</v>
      </c>
      <c r="O583">
        <v>73.22</v>
      </c>
      <c r="P583">
        <v>3</v>
      </c>
      <c r="Q583" t="s">
        <v>21</v>
      </c>
      <c r="R583">
        <v>9.33</v>
      </c>
      <c r="S583">
        <v>23.14</v>
      </c>
      <c r="T583" s="4">
        <v>13.734</v>
      </c>
      <c r="U583" s="4">
        <v>8.7424679999999899</v>
      </c>
      <c r="V583" t="str">
        <f>IF(Table1[[#This Row],[ai_disruption_intensity]]&gt;70,"High",
IF(Table1[[#This Row],[ai_disruption_intensity]]&gt;40,"Medium","Low"))</f>
        <v>Low</v>
      </c>
      <c r="W583" t="str">
        <f>IF(Table1[[#This Row],[skill_gap_index]]&gt;70,"Large Gap",
IF(Table1[[#This Row],[skill_gap_index]]&gt;40,"Medium Gap","Small Gap"))</f>
        <v>Small Gap</v>
      </c>
      <c r="X583" s="3" t="str">
        <f>IF(Table1[[#This Row],[automation_risk_percent]]&gt;0.7,"Highly Automatable",
IF(Table1[[#This Row],[automation_risk_percent]]&gt;0.4,"Moderate Risk","Safe Job"))</f>
        <v>Safe Job</v>
      </c>
    </row>
    <row r="584" spans="1:24" x14ac:dyDescent="0.3">
      <c r="A584">
        <v>2059</v>
      </c>
      <c r="B584" t="s">
        <v>43</v>
      </c>
      <c r="C584" t="s">
        <v>34</v>
      </c>
      <c r="D584" t="s">
        <v>35</v>
      </c>
      <c r="E584" s="1">
        <v>2025</v>
      </c>
      <c r="F584" s="11">
        <v>0.32909999999999995</v>
      </c>
      <c r="G584">
        <v>34.99</v>
      </c>
      <c r="H584">
        <v>12.42</v>
      </c>
      <c r="I584" s="2">
        <v>90845.72</v>
      </c>
      <c r="J584" s="2">
        <v>90382.93</v>
      </c>
      <c r="K584" s="2">
        <f>Table1[[#This Row],[Salary_after]]-Table1[[#This Row],[Salary_before]]</f>
        <v>-462.79000000000815</v>
      </c>
      <c r="L584" s="11">
        <v>-5.1000000000000004E-3</v>
      </c>
      <c r="M584" s="11">
        <v>2.7400000000000001E-2</v>
      </c>
      <c r="N584">
        <v>16.739999999999998</v>
      </c>
      <c r="O584">
        <v>47.51</v>
      </c>
      <c r="P584">
        <v>1</v>
      </c>
      <c r="Q584" t="s">
        <v>25</v>
      </c>
      <c r="R584">
        <v>22.664999999999999</v>
      </c>
      <c r="S584">
        <v>0.51</v>
      </c>
      <c r="T584" s="4">
        <v>17.042999999999999</v>
      </c>
      <c r="U584" s="4">
        <v>15.6355409999999</v>
      </c>
      <c r="V584" t="str">
        <f>IF(Table1[[#This Row],[ai_disruption_intensity]]&gt;70,"High",
IF(Table1[[#This Row],[ai_disruption_intensity]]&gt;40,"Medium","Low"))</f>
        <v>Low</v>
      </c>
      <c r="W584" t="str">
        <f>IF(Table1[[#This Row],[skill_gap_index]]&gt;70,"Large Gap",
IF(Table1[[#This Row],[skill_gap_index]]&gt;40,"Medium Gap","Small Gap"))</f>
        <v>Small Gap</v>
      </c>
      <c r="X584" s="3" t="str">
        <f>IF(Table1[[#This Row],[automation_risk_percent]]&gt;0.7,"Highly Automatable",
IF(Table1[[#This Row],[automation_risk_percent]]&gt;0.4,"Moderate Risk","Safe Job"))</f>
        <v>Safe Job</v>
      </c>
    </row>
    <row r="585" spans="1:24" x14ac:dyDescent="0.3">
      <c r="A585">
        <v>2060</v>
      </c>
      <c r="B585" t="s">
        <v>22</v>
      </c>
      <c r="C585" t="s">
        <v>38</v>
      </c>
      <c r="D585" t="s">
        <v>47</v>
      </c>
      <c r="E585" s="1">
        <v>2026</v>
      </c>
      <c r="F585" s="11">
        <v>0.39520000000000005</v>
      </c>
      <c r="G585">
        <v>38.64</v>
      </c>
      <c r="H585">
        <v>4.53</v>
      </c>
      <c r="I585" s="2">
        <v>73393.960000000006</v>
      </c>
      <c r="J585" s="2">
        <v>68432.990000000005</v>
      </c>
      <c r="K585" s="2">
        <f>Table1[[#This Row],[Salary_after]]-Table1[[#This Row],[Salary_before]]</f>
        <v>-4960.9700000000012</v>
      </c>
      <c r="L585" s="11">
        <v>-6.7599999999999993E-2</v>
      </c>
      <c r="M585" s="11">
        <v>0.18230000000000002</v>
      </c>
      <c r="N585">
        <v>74.37</v>
      </c>
      <c r="O585">
        <v>36.950000000000003</v>
      </c>
      <c r="P585">
        <v>1</v>
      </c>
      <c r="Q585" t="s">
        <v>25</v>
      </c>
      <c r="R585">
        <v>22.024999999999999</v>
      </c>
      <c r="S585">
        <v>6.76</v>
      </c>
      <c r="T585" s="4">
        <v>19.195</v>
      </c>
      <c r="U585" s="4">
        <v>14.602639999999999</v>
      </c>
      <c r="V585" t="str">
        <f>IF(Table1[[#This Row],[ai_disruption_intensity]]&gt;70,"High",
IF(Table1[[#This Row],[ai_disruption_intensity]]&gt;40,"Medium","Low"))</f>
        <v>Low</v>
      </c>
      <c r="W585" t="str">
        <f>IF(Table1[[#This Row],[skill_gap_index]]&gt;70,"Large Gap",
IF(Table1[[#This Row],[skill_gap_index]]&gt;40,"Medium Gap","Small Gap"))</f>
        <v>Small Gap</v>
      </c>
      <c r="X585" s="3" t="str">
        <f>IF(Table1[[#This Row],[automation_risk_percent]]&gt;0.7,"Highly Automatable",
IF(Table1[[#This Row],[automation_risk_percent]]&gt;0.4,"Moderate Risk","Safe Job"))</f>
        <v>Safe Job</v>
      </c>
    </row>
    <row r="586" spans="1:24" x14ac:dyDescent="0.3">
      <c r="A586">
        <v>2062</v>
      </c>
      <c r="B586" t="s">
        <v>18</v>
      </c>
      <c r="C586" t="s">
        <v>33</v>
      </c>
      <c r="D586" t="s">
        <v>31</v>
      </c>
      <c r="E586" s="1">
        <v>2025</v>
      </c>
      <c r="F586" s="11">
        <v>0.43890000000000001</v>
      </c>
      <c r="G586">
        <v>43.33</v>
      </c>
      <c r="H586">
        <v>64.5</v>
      </c>
      <c r="I586" s="2">
        <v>96676.17</v>
      </c>
      <c r="J586" s="2">
        <v>105402.92</v>
      </c>
      <c r="K586" s="2">
        <f>Table1[[#This Row],[Salary_after]]-Table1[[#This Row],[Salary_before]]</f>
        <v>8726.75</v>
      </c>
      <c r="L586" s="11">
        <v>9.0299999999999991E-2</v>
      </c>
      <c r="M586" s="11">
        <v>8.2400000000000001E-2</v>
      </c>
      <c r="N586">
        <v>77.17</v>
      </c>
      <c r="O586">
        <v>49.69</v>
      </c>
      <c r="P586">
        <v>3</v>
      </c>
      <c r="Q586" t="s">
        <v>25</v>
      </c>
      <c r="R586">
        <v>54.195</v>
      </c>
      <c r="S586">
        <v>9.0299999999999994</v>
      </c>
      <c r="T586" s="4">
        <v>39.614999999999903</v>
      </c>
      <c r="U586" s="4">
        <v>21.808941000000001</v>
      </c>
      <c r="V586" t="str">
        <f>IF(Table1[[#This Row],[ai_disruption_intensity]]&gt;70,"High",
IF(Table1[[#This Row],[ai_disruption_intensity]]&gt;40,"Medium","Low"))</f>
        <v>Low</v>
      </c>
      <c r="W586" t="str">
        <f>IF(Table1[[#This Row],[skill_gap_index]]&gt;70,"Large Gap",
IF(Table1[[#This Row],[skill_gap_index]]&gt;40,"Medium Gap","Small Gap"))</f>
        <v>Medium Gap</v>
      </c>
      <c r="X586" s="3" t="str">
        <f>IF(Table1[[#This Row],[automation_risk_percent]]&gt;0.7,"Highly Automatable",
IF(Table1[[#This Row],[automation_risk_percent]]&gt;0.4,"Moderate Risk","Safe Job"))</f>
        <v>Moderate Risk</v>
      </c>
    </row>
    <row r="587" spans="1:24" x14ac:dyDescent="0.3">
      <c r="A587">
        <v>2066</v>
      </c>
      <c r="B587" t="s">
        <v>46</v>
      </c>
      <c r="C587" t="s">
        <v>38</v>
      </c>
      <c r="D587" t="s">
        <v>28</v>
      </c>
      <c r="E587" s="1">
        <v>2025</v>
      </c>
      <c r="F587" s="11">
        <v>5.6799999999999996E-2</v>
      </c>
      <c r="G587">
        <v>6.62</v>
      </c>
      <c r="H587">
        <v>49.08</v>
      </c>
      <c r="I587" s="2">
        <v>83770.929999999993</v>
      </c>
      <c r="J587" s="2">
        <v>76511.59</v>
      </c>
      <c r="K587" s="2">
        <f>Table1[[#This Row],[Salary_after]]-Table1[[#This Row],[Salary_before]]</f>
        <v>-7259.3399999999965</v>
      </c>
      <c r="L587" s="11">
        <v>-8.6699999999999999E-2</v>
      </c>
      <c r="M587" s="11">
        <v>8.4900000000000003E-2</v>
      </c>
      <c r="N587">
        <v>55.56</v>
      </c>
      <c r="O587">
        <v>52.92</v>
      </c>
      <c r="P587">
        <v>3</v>
      </c>
      <c r="Q587" t="s">
        <v>21</v>
      </c>
      <c r="R587">
        <v>27.38</v>
      </c>
      <c r="S587">
        <v>8.67</v>
      </c>
      <c r="T587" s="4">
        <v>19.596999999999898</v>
      </c>
      <c r="U587" s="4">
        <v>3.0058560000000001</v>
      </c>
      <c r="V587" t="str">
        <f>IF(Table1[[#This Row],[ai_disruption_intensity]]&gt;70,"High",
IF(Table1[[#This Row],[ai_disruption_intensity]]&gt;40,"Medium","Low"))</f>
        <v>Low</v>
      </c>
      <c r="W587" t="str">
        <f>IF(Table1[[#This Row],[skill_gap_index]]&gt;70,"Large Gap",
IF(Table1[[#This Row],[skill_gap_index]]&gt;40,"Medium Gap","Small Gap"))</f>
        <v>Medium Gap</v>
      </c>
      <c r="X587" s="3" t="str">
        <f>IF(Table1[[#This Row],[automation_risk_percent]]&gt;0.7,"Highly Automatable",
IF(Table1[[#This Row],[automation_risk_percent]]&gt;0.4,"Moderate Risk","Safe Job"))</f>
        <v>Safe Job</v>
      </c>
    </row>
    <row r="588" spans="1:24" x14ac:dyDescent="0.3">
      <c r="A588">
        <v>2073</v>
      </c>
      <c r="B588" t="s">
        <v>43</v>
      </c>
      <c r="C588" t="s">
        <v>34</v>
      </c>
      <c r="D588" t="s">
        <v>35</v>
      </c>
      <c r="E588" s="1">
        <v>2025</v>
      </c>
      <c r="F588" s="11">
        <v>0.34</v>
      </c>
      <c r="G588">
        <v>31.64</v>
      </c>
      <c r="H588">
        <v>24.29</v>
      </c>
      <c r="I588" s="2">
        <v>103064.05</v>
      </c>
      <c r="J588" s="2">
        <v>99993.82</v>
      </c>
      <c r="K588" s="2">
        <f>Table1[[#This Row],[Salary_after]]-Table1[[#This Row],[Salary_before]]</f>
        <v>-3070.2299999999959</v>
      </c>
      <c r="L588" s="11">
        <v>-2.98E-2</v>
      </c>
      <c r="M588" s="11">
        <v>0.1118</v>
      </c>
      <c r="N588">
        <v>26.8</v>
      </c>
      <c r="O588">
        <v>83.86</v>
      </c>
      <c r="P588">
        <v>5</v>
      </c>
      <c r="Q588" t="s">
        <v>25</v>
      </c>
      <c r="R588">
        <v>29.145</v>
      </c>
      <c r="S588">
        <v>2.98</v>
      </c>
      <c r="T588" s="4">
        <v>21.780999999999999</v>
      </c>
      <c r="U588" s="4">
        <v>28.5124</v>
      </c>
      <c r="V588" t="str">
        <f>IF(Table1[[#This Row],[ai_disruption_intensity]]&gt;70,"High",
IF(Table1[[#This Row],[ai_disruption_intensity]]&gt;40,"Medium","Low"))</f>
        <v>Low</v>
      </c>
      <c r="W588" t="str">
        <f>IF(Table1[[#This Row],[skill_gap_index]]&gt;70,"Large Gap",
IF(Table1[[#This Row],[skill_gap_index]]&gt;40,"Medium Gap","Small Gap"))</f>
        <v>Small Gap</v>
      </c>
      <c r="X588" s="3" t="str">
        <f>IF(Table1[[#This Row],[automation_risk_percent]]&gt;0.7,"Highly Automatable",
IF(Table1[[#This Row],[automation_risk_percent]]&gt;0.4,"Moderate Risk","Safe Job"))</f>
        <v>Safe Job</v>
      </c>
    </row>
    <row r="589" spans="1:24" x14ac:dyDescent="0.3">
      <c r="A589">
        <v>2076</v>
      </c>
      <c r="B589" t="s">
        <v>26</v>
      </c>
      <c r="C589" t="s">
        <v>33</v>
      </c>
      <c r="D589" t="s">
        <v>47</v>
      </c>
      <c r="E589" s="1">
        <v>2025</v>
      </c>
      <c r="F589" s="11">
        <v>0.28760000000000002</v>
      </c>
      <c r="G589">
        <v>23.28</v>
      </c>
      <c r="H589">
        <v>66.849999999999994</v>
      </c>
      <c r="I589" s="2">
        <v>131412.68</v>
      </c>
      <c r="J589" s="2">
        <v>125941.77</v>
      </c>
      <c r="K589" s="2">
        <f>Table1[[#This Row],[Salary_after]]-Table1[[#This Row],[Salary_before]]</f>
        <v>-5470.9099999999889</v>
      </c>
      <c r="L589" s="11">
        <v>-4.1599999999999998E-2</v>
      </c>
      <c r="M589" s="11">
        <v>3.6699999999999997E-2</v>
      </c>
      <c r="N589">
        <v>98.81</v>
      </c>
      <c r="O589">
        <v>26.37</v>
      </c>
      <c r="P589">
        <v>2</v>
      </c>
      <c r="Q589" t="s">
        <v>21</v>
      </c>
      <c r="R589">
        <v>47.805</v>
      </c>
      <c r="S589">
        <v>4.16</v>
      </c>
      <c r="T589" s="4">
        <v>32.806999999999903</v>
      </c>
      <c r="U589" s="4">
        <v>7.5840120000000004</v>
      </c>
      <c r="V589" t="str">
        <f>IF(Table1[[#This Row],[ai_disruption_intensity]]&gt;70,"High",
IF(Table1[[#This Row],[ai_disruption_intensity]]&gt;40,"Medium","Low"))</f>
        <v>Low</v>
      </c>
      <c r="W589" t="str">
        <f>IF(Table1[[#This Row],[skill_gap_index]]&gt;70,"Large Gap",
IF(Table1[[#This Row],[skill_gap_index]]&gt;40,"Medium Gap","Small Gap"))</f>
        <v>Medium Gap</v>
      </c>
      <c r="X589" s="3" t="str">
        <f>IF(Table1[[#This Row],[automation_risk_percent]]&gt;0.7,"Highly Automatable",
IF(Table1[[#This Row],[automation_risk_percent]]&gt;0.4,"Moderate Risk","Safe Job"))</f>
        <v>Safe Job</v>
      </c>
    </row>
    <row r="590" spans="1:24" x14ac:dyDescent="0.3">
      <c r="A590">
        <v>2083</v>
      </c>
      <c r="B590" t="s">
        <v>44</v>
      </c>
      <c r="C590" t="s">
        <v>27</v>
      </c>
      <c r="D590" t="s">
        <v>47</v>
      </c>
      <c r="E590" s="1">
        <v>2025</v>
      </c>
      <c r="F590" s="11">
        <v>0.78</v>
      </c>
      <c r="G590">
        <v>91.84</v>
      </c>
      <c r="H590">
        <v>26.6</v>
      </c>
      <c r="I590" s="2">
        <v>57160.59</v>
      </c>
      <c r="J590" s="2">
        <v>56860.800000000003</v>
      </c>
      <c r="K590" s="2">
        <f>Table1[[#This Row],[Salary_after]]-Table1[[#This Row],[Salary_before]]</f>
        <v>-299.7899999999936</v>
      </c>
      <c r="L590" s="11">
        <v>-5.1999999999999998E-3</v>
      </c>
      <c r="M590" s="11">
        <v>0.10800000000000001</v>
      </c>
      <c r="N590">
        <v>28.75</v>
      </c>
      <c r="O590">
        <v>70.7</v>
      </c>
      <c r="P590">
        <v>4</v>
      </c>
      <c r="Q590" t="s">
        <v>37</v>
      </c>
      <c r="R590">
        <v>52.3</v>
      </c>
      <c r="S590">
        <v>0.52</v>
      </c>
      <c r="T590" s="4">
        <v>39.335999999999999</v>
      </c>
      <c r="U590" s="4">
        <v>55.146000000000001</v>
      </c>
      <c r="V590" t="str">
        <f>IF(Table1[[#This Row],[ai_disruption_intensity]]&gt;70,"High",
IF(Table1[[#This Row],[ai_disruption_intensity]]&gt;40,"Medium","Low"))</f>
        <v>Medium</v>
      </c>
      <c r="W590" t="str">
        <f>IF(Table1[[#This Row],[skill_gap_index]]&gt;70,"Large Gap",
IF(Table1[[#This Row],[skill_gap_index]]&gt;40,"Medium Gap","Small Gap"))</f>
        <v>Small Gap</v>
      </c>
      <c r="X590" s="3" t="str">
        <f>IF(Table1[[#This Row],[automation_risk_percent]]&gt;0.7,"Highly Automatable",
IF(Table1[[#This Row],[automation_risk_percent]]&gt;0.4,"Moderate Risk","Safe Job"))</f>
        <v>Highly Automatable</v>
      </c>
    </row>
    <row r="591" spans="1:24" x14ac:dyDescent="0.3">
      <c r="A591">
        <v>2086</v>
      </c>
      <c r="B591" t="s">
        <v>39</v>
      </c>
      <c r="C591" t="s">
        <v>33</v>
      </c>
      <c r="D591" t="s">
        <v>32</v>
      </c>
      <c r="E591" s="1">
        <v>2025</v>
      </c>
      <c r="F591" s="11">
        <v>0.18030000000000002</v>
      </c>
      <c r="G591">
        <v>19.57</v>
      </c>
      <c r="H591">
        <v>21.78</v>
      </c>
      <c r="I591" s="2">
        <v>51194.81</v>
      </c>
      <c r="J591" s="2">
        <v>58222.58</v>
      </c>
      <c r="K591" s="2">
        <f>Table1[[#This Row],[Salary_after]]-Table1[[#This Row],[Salary_before]]</f>
        <v>7027.7700000000041</v>
      </c>
      <c r="L591" s="11">
        <v>0.13730000000000001</v>
      </c>
      <c r="M591" s="11">
        <v>-7.690000000000001E-2</v>
      </c>
      <c r="N591">
        <v>31.06</v>
      </c>
      <c r="O591">
        <v>18.37</v>
      </c>
      <c r="P591">
        <v>2</v>
      </c>
      <c r="Q591" t="s">
        <v>21</v>
      </c>
      <c r="R591">
        <v>19.905000000000001</v>
      </c>
      <c r="S591">
        <v>13.73</v>
      </c>
      <c r="T591" s="4">
        <v>17.864999999999998</v>
      </c>
      <c r="U591" s="4">
        <v>3.3121109999999998</v>
      </c>
      <c r="V591" t="str">
        <f>IF(Table1[[#This Row],[ai_disruption_intensity]]&gt;70,"High",
IF(Table1[[#This Row],[ai_disruption_intensity]]&gt;40,"Medium","Low"))</f>
        <v>Low</v>
      </c>
      <c r="W591" t="str">
        <f>IF(Table1[[#This Row],[skill_gap_index]]&gt;70,"Large Gap",
IF(Table1[[#This Row],[skill_gap_index]]&gt;40,"Medium Gap","Small Gap"))</f>
        <v>Small Gap</v>
      </c>
      <c r="X591" s="3" t="str">
        <f>IF(Table1[[#This Row],[automation_risk_percent]]&gt;0.7,"Highly Automatable",
IF(Table1[[#This Row],[automation_risk_percent]]&gt;0.4,"Moderate Risk","Safe Job"))</f>
        <v>Safe Job</v>
      </c>
    </row>
    <row r="592" spans="1:24" x14ac:dyDescent="0.3">
      <c r="A592">
        <v>2091</v>
      </c>
      <c r="B592" t="s">
        <v>46</v>
      </c>
      <c r="C592" t="s">
        <v>34</v>
      </c>
      <c r="D592" t="s">
        <v>20</v>
      </c>
      <c r="E592" s="1">
        <v>2025</v>
      </c>
      <c r="F592" s="11">
        <v>0.05</v>
      </c>
      <c r="G592">
        <v>5.91</v>
      </c>
      <c r="H592">
        <v>95.29</v>
      </c>
      <c r="I592" s="2">
        <v>63522.76</v>
      </c>
      <c r="J592" s="2">
        <v>66976.2</v>
      </c>
      <c r="K592" s="2">
        <f>Table1[[#This Row],[Salary_after]]-Table1[[#This Row],[Salary_before]]</f>
        <v>3453.4399999999951</v>
      </c>
      <c r="L592" s="11">
        <v>5.4400000000000004E-2</v>
      </c>
      <c r="M592" s="11">
        <v>0.2102</v>
      </c>
      <c r="N592">
        <v>31.37</v>
      </c>
      <c r="O592">
        <v>26.22</v>
      </c>
      <c r="P592">
        <v>3</v>
      </c>
      <c r="Q592" t="s">
        <v>21</v>
      </c>
      <c r="R592">
        <v>50.145000000000003</v>
      </c>
      <c r="S592">
        <v>5.44</v>
      </c>
      <c r="T592" s="4">
        <v>32.219000000000001</v>
      </c>
      <c r="U592" s="4">
        <v>1.3109999999999999</v>
      </c>
      <c r="V592" t="str">
        <f>IF(Table1[[#This Row],[ai_disruption_intensity]]&gt;70,"High",
IF(Table1[[#This Row],[ai_disruption_intensity]]&gt;40,"Medium","Low"))</f>
        <v>Low</v>
      </c>
      <c r="W592" t="str">
        <f>IF(Table1[[#This Row],[skill_gap_index]]&gt;70,"Large Gap",
IF(Table1[[#This Row],[skill_gap_index]]&gt;40,"Medium Gap","Small Gap"))</f>
        <v>Large Gap</v>
      </c>
      <c r="X592" s="3" t="str">
        <f>IF(Table1[[#This Row],[automation_risk_percent]]&gt;0.7,"Highly Automatable",
IF(Table1[[#This Row],[automation_risk_percent]]&gt;0.4,"Moderate Risk","Safe Job"))</f>
        <v>Safe Job</v>
      </c>
    </row>
    <row r="593" spans="1:24" x14ac:dyDescent="0.3">
      <c r="A593">
        <v>2093</v>
      </c>
      <c r="B593" t="s">
        <v>22</v>
      </c>
      <c r="C593" t="s">
        <v>40</v>
      </c>
      <c r="D593" t="s">
        <v>31</v>
      </c>
      <c r="E593" s="1">
        <v>2026</v>
      </c>
      <c r="F593" s="11">
        <v>0.3226</v>
      </c>
      <c r="G593">
        <v>32.6</v>
      </c>
      <c r="H593">
        <v>78.08</v>
      </c>
      <c r="I593" s="2">
        <v>122269.59</v>
      </c>
      <c r="J593" s="2">
        <v>138889.59</v>
      </c>
      <c r="K593" s="2">
        <f>Table1[[#This Row],[Salary_after]]-Table1[[#This Row],[Salary_before]]</f>
        <v>16620</v>
      </c>
      <c r="L593" s="11">
        <v>0.13589999999999999</v>
      </c>
      <c r="M593" s="11">
        <v>-5.2000000000000005E-2</v>
      </c>
      <c r="N593">
        <v>94.72</v>
      </c>
      <c r="O593">
        <v>62.57</v>
      </c>
      <c r="P593">
        <v>4</v>
      </c>
      <c r="Q593" t="s">
        <v>25</v>
      </c>
      <c r="R593">
        <v>55.17</v>
      </c>
      <c r="S593">
        <v>13.59</v>
      </c>
      <c r="T593" s="4">
        <v>40.405000000000001</v>
      </c>
      <c r="U593" s="4">
        <v>20.185082000000001</v>
      </c>
      <c r="V593" t="str">
        <f>IF(Table1[[#This Row],[ai_disruption_intensity]]&gt;70,"High",
IF(Table1[[#This Row],[ai_disruption_intensity]]&gt;40,"Medium","Low"))</f>
        <v>Low</v>
      </c>
      <c r="W593" t="str">
        <f>IF(Table1[[#This Row],[skill_gap_index]]&gt;70,"Large Gap",
IF(Table1[[#This Row],[skill_gap_index]]&gt;40,"Medium Gap","Small Gap"))</f>
        <v>Large Gap</v>
      </c>
      <c r="X593" s="3" t="str">
        <f>IF(Table1[[#This Row],[automation_risk_percent]]&gt;0.7,"Highly Automatable",
IF(Table1[[#This Row],[automation_risk_percent]]&gt;0.4,"Moderate Risk","Safe Job"))</f>
        <v>Safe Job</v>
      </c>
    </row>
    <row r="594" spans="1:24" x14ac:dyDescent="0.3">
      <c r="A594">
        <v>2095</v>
      </c>
      <c r="B594" t="s">
        <v>22</v>
      </c>
      <c r="C594" t="s">
        <v>30</v>
      </c>
      <c r="D594" t="s">
        <v>35</v>
      </c>
      <c r="E594" s="1">
        <v>2025</v>
      </c>
      <c r="F594" s="11">
        <v>0.73219999999999996</v>
      </c>
      <c r="G594">
        <v>59.19</v>
      </c>
      <c r="H594">
        <v>47.46</v>
      </c>
      <c r="I594" s="2">
        <v>141738.97</v>
      </c>
      <c r="J594" s="2">
        <v>123040.84</v>
      </c>
      <c r="K594" s="2">
        <f>Table1[[#This Row],[Salary_after]]-Table1[[#This Row],[Salary_before]]</f>
        <v>-18698.130000000005</v>
      </c>
      <c r="L594" s="11">
        <v>-0.13189999999999999</v>
      </c>
      <c r="M594" s="11">
        <v>-0.1431</v>
      </c>
      <c r="N594">
        <v>62.07</v>
      </c>
      <c r="O594">
        <v>46.29</v>
      </c>
      <c r="P594">
        <v>2</v>
      </c>
      <c r="Q594" t="s">
        <v>37</v>
      </c>
      <c r="R594">
        <v>60.34</v>
      </c>
      <c r="S594">
        <v>13.19</v>
      </c>
      <c r="T594" s="4">
        <v>47.482999999999997</v>
      </c>
      <c r="U594" s="4">
        <v>33.893537999999999</v>
      </c>
      <c r="V594" t="str">
        <f>IF(Table1[[#This Row],[ai_disruption_intensity]]&gt;70,"High",
IF(Table1[[#This Row],[ai_disruption_intensity]]&gt;40,"Medium","Low"))</f>
        <v>Low</v>
      </c>
      <c r="W594" t="str">
        <f>IF(Table1[[#This Row],[skill_gap_index]]&gt;70,"Large Gap",
IF(Table1[[#This Row],[skill_gap_index]]&gt;40,"Medium Gap","Small Gap"))</f>
        <v>Medium Gap</v>
      </c>
      <c r="X594" s="3" t="str">
        <f>IF(Table1[[#This Row],[automation_risk_percent]]&gt;0.7,"Highly Automatable",
IF(Table1[[#This Row],[automation_risk_percent]]&gt;0.4,"Moderate Risk","Safe Job"))</f>
        <v>Highly Automatable</v>
      </c>
    </row>
    <row r="595" spans="1:24" x14ac:dyDescent="0.3">
      <c r="A595">
        <v>2096</v>
      </c>
      <c r="B595" t="s">
        <v>43</v>
      </c>
      <c r="C595" t="s">
        <v>34</v>
      </c>
      <c r="D595" t="s">
        <v>42</v>
      </c>
      <c r="E595" s="1">
        <v>2025</v>
      </c>
      <c r="F595" s="11">
        <v>0.218</v>
      </c>
      <c r="G595">
        <v>17.600000000000001</v>
      </c>
      <c r="H595">
        <v>60.98</v>
      </c>
      <c r="I595" s="2">
        <v>140496.79</v>
      </c>
      <c r="J595" s="2">
        <v>137944.51</v>
      </c>
      <c r="K595" s="2">
        <f>Table1[[#This Row],[Salary_after]]-Table1[[#This Row],[Salary_before]]</f>
        <v>-2552.2799999999988</v>
      </c>
      <c r="L595" s="11">
        <v>-1.8200000000000001E-2</v>
      </c>
      <c r="M595" s="11">
        <v>2.53E-2</v>
      </c>
      <c r="N595">
        <v>43.32</v>
      </c>
      <c r="O595">
        <v>80.87</v>
      </c>
      <c r="P595">
        <v>1</v>
      </c>
      <c r="Q595" t="s">
        <v>21</v>
      </c>
      <c r="R595">
        <v>41.39</v>
      </c>
      <c r="S595">
        <v>1.82</v>
      </c>
      <c r="T595" s="4">
        <v>27.559999999999899</v>
      </c>
      <c r="U595" s="4">
        <v>17.629660000000001</v>
      </c>
      <c r="V595" t="str">
        <f>IF(Table1[[#This Row],[ai_disruption_intensity]]&gt;70,"High",
IF(Table1[[#This Row],[ai_disruption_intensity]]&gt;40,"Medium","Low"))</f>
        <v>Low</v>
      </c>
      <c r="W595" t="str">
        <f>IF(Table1[[#This Row],[skill_gap_index]]&gt;70,"Large Gap",
IF(Table1[[#This Row],[skill_gap_index]]&gt;40,"Medium Gap","Small Gap"))</f>
        <v>Medium Gap</v>
      </c>
      <c r="X595" s="3" t="str">
        <f>IF(Table1[[#This Row],[automation_risk_percent]]&gt;0.7,"Highly Automatable",
IF(Table1[[#This Row],[automation_risk_percent]]&gt;0.4,"Moderate Risk","Safe Job"))</f>
        <v>Safe Job</v>
      </c>
    </row>
    <row r="596" spans="1:24" x14ac:dyDescent="0.3">
      <c r="A596">
        <v>2097</v>
      </c>
      <c r="B596" t="s">
        <v>45</v>
      </c>
      <c r="C596" t="s">
        <v>27</v>
      </c>
      <c r="D596" t="s">
        <v>24</v>
      </c>
      <c r="E596" s="1">
        <v>2026</v>
      </c>
      <c r="F596" s="11">
        <v>0.28850000000000003</v>
      </c>
      <c r="G596">
        <v>33.26</v>
      </c>
      <c r="H596">
        <v>5.5</v>
      </c>
      <c r="I596" s="2">
        <v>142914.79</v>
      </c>
      <c r="J596" s="2">
        <v>170642.5</v>
      </c>
      <c r="K596" s="2">
        <f>Table1[[#This Row],[Salary_after]]-Table1[[#This Row],[Salary_before]]</f>
        <v>27727.709999999992</v>
      </c>
      <c r="L596" s="11">
        <v>0.19399999999999998</v>
      </c>
      <c r="M596" s="11">
        <v>0.1242</v>
      </c>
      <c r="N596">
        <v>43.09</v>
      </c>
      <c r="O596">
        <v>78.2</v>
      </c>
      <c r="P596">
        <v>5</v>
      </c>
      <c r="Q596" t="s">
        <v>21</v>
      </c>
      <c r="R596">
        <v>17.175000000000001</v>
      </c>
      <c r="S596">
        <v>19.399999999999999</v>
      </c>
      <c r="T596" s="4">
        <v>19.010000000000002</v>
      </c>
      <c r="U596" s="4">
        <v>22.560700000000001</v>
      </c>
      <c r="V596" t="str">
        <f>IF(Table1[[#This Row],[ai_disruption_intensity]]&gt;70,"High",
IF(Table1[[#This Row],[ai_disruption_intensity]]&gt;40,"Medium","Low"))</f>
        <v>Low</v>
      </c>
      <c r="W596" t="str">
        <f>IF(Table1[[#This Row],[skill_gap_index]]&gt;70,"Large Gap",
IF(Table1[[#This Row],[skill_gap_index]]&gt;40,"Medium Gap","Small Gap"))</f>
        <v>Small Gap</v>
      </c>
      <c r="X596" s="3" t="str">
        <f>IF(Table1[[#This Row],[automation_risk_percent]]&gt;0.7,"Highly Automatable",
IF(Table1[[#This Row],[automation_risk_percent]]&gt;0.4,"Moderate Risk","Safe Job"))</f>
        <v>Safe Job</v>
      </c>
    </row>
    <row r="597" spans="1:24" x14ac:dyDescent="0.3">
      <c r="A597">
        <v>2100</v>
      </c>
      <c r="B597" t="s">
        <v>46</v>
      </c>
      <c r="C597" t="s">
        <v>34</v>
      </c>
      <c r="D597" t="s">
        <v>31</v>
      </c>
      <c r="E597" s="1">
        <v>2026</v>
      </c>
      <c r="F597" s="11">
        <v>0.27600000000000002</v>
      </c>
      <c r="G597">
        <v>25.46</v>
      </c>
      <c r="H597">
        <v>40.700000000000003</v>
      </c>
      <c r="I597" s="2">
        <v>98869.37</v>
      </c>
      <c r="J597" s="2">
        <v>82986.41</v>
      </c>
      <c r="K597" s="2">
        <f>Table1[[#This Row],[Salary_after]]-Table1[[#This Row],[Salary_before]]</f>
        <v>-15882.959999999992</v>
      </c>
      <c r="L597" s="11">
        <v>-0.16059999999999999</v>
      </c>
      <c r="M597" s="11">
        <v>1.1999999999999999E-3</v>
      </c>
      <c r="N597">
        <v>78.489999999999995</v>
      </c>
      <c r="O597">
        <v>53.15</v>
      </c>
      <c r="P597">
        <v>1</v>
      </c>
      <c r="Q597" t="s">
        <v>21</v>
      </c>
      <c r="R597">
        <v>34.15</v>
      </c>
      <c r="S597">
        <v>16.059999999999999</v>
      </c>
      <c r="T597" s="4">
        <v>28.067999999999898</v>
      </c>
      <c r="U597" s="4">
        <v>14.6694</v>
      </c>
      <c r="V597" t="str">
        <f>IF(Table1[[#This Row],[ai_disruption_intensity]]&gt;70,"High",
IF(Table1[[#This Row],[ai_disruption_intensity]]&gt;40,"Medium","Low"))</f>
        <v>Low</v>
      </c>
      <c r="W597" t="str">
        <f>IF(Table1[[#This Row],[skill_gap_index]]&gt;70,"Large Gap",
IF(Table1[[#This Row],[skill_gap_index]]&gt;40,"Medium Gap","Small Gap"))</f>
        <v>Medium Gap</v>
      </c>
      <c r="X597" s="3" t="str">
        <f>IF(Table1[[#This Row],[automation_risk_percent]]&gt;0.7,"Highly Automatable",
IF(Table1[[#This Row],[automation_risk_percent]]&gt;0.4,"Moderate Risk","Safe Job"))</f>
        <v>Safe Job</v>
      </c>
    </row>
    <row r="598" spans="1:24" x14ac:dyDescent="0.3">
      <c r="A598">
        <v>2109</v>
      </c>
      <c r="B598" t="s">
        <v>26</v>
      </c>
      <c r="C598" t="s">
        <v>30</v>
      </c>
      <c r="D598" t="s">
        <v>20</v>
      </c>
      <c r="E598" s="1">
        <v>2025</v>
      </c>
      <c r="F598" s="11">
        <v>0.23089999999999999</v>
      </c>
      <c r="G598">
        <v>19.04</v>
      </c>
      <c r="H598">
        <v>47.6</v>
      </c>
      <c r="I598" s="2">
        <v>62380.51</v>
      </c>
      <c r="J598" s="2">
        <v>66675.009999999995</v>
      </c>
      <c r="K598" s="2">
        <f>Table1[[#This Row],[Salary_after]]-Table1[[#This Row],[Salary_before]]</f>
        <v>4294.4999999999927</v>
      </c>
      <c r="L598" s="11">
        <v>6.88E-2</v>
      </c>
      <c r="M598" s="11">
        <v>8.4000000000000005E-2</v>
      </c>
      <c r="N598">
        <v>50.77</v>
      </c>
      <c r="O598">
        <v>77.16</v>
      </c>
      <c r="P598">
        <v>5</v>
      </c>
      <c r="Q598" t="s">
        <v>21</v>
      </c>
      <c r="R598">
        <v>35.344999999999999</v>
      </c>
      <c r="S598">
        <v>6.88</v>
      </c>
      <c r="T598" s="4">
        <v>25.58</v>
      </c>
      <c r="U598" s="4">
        <v>17.816243999999902</v>
      </c>
      <c r="V598" t="str">
        <f>IF(Table1[[#This Row],[ai_disruption_intensity]]&gt;70,"High",
IF(Table1[[#This Row],[ai_disruption_intensity]]&gt;40,"Medium","Low"))</f>
        <v>Low</v>
      </c>
      <c r="W598" t="str">
        <f>IF(Table1[[#This Row],[skill_gap_index]]&gt;70,"Large Gap",
IF(Table1[[#This Row],[skill_gap_index]]&gt;40,"Medium Gap","Small Gap"))</f>
        <v>Medium Gap</v>
      </c>
      <c r="X598" s="3" t="str">
        <f>IF(Table1[[#This Row],[automation_risk_percent]]&gt;0.7,"Highly Automatable",
IF(Table1[[#This Row],[automation_risk_percent]]&gt;0.4,"Moderate Risk","Safe Job"))</f>
        <v>Safe Job</v>
      </c>
    </row>
    <row r="599" spans="1:24" x14ac:dyDescent="0.3">
      <c r="A599">
        <v>2110</v>
      </c>
      <c r="B599" t="s">
        <v>44</v>
      </c>
      <c r="C599" t="s">
        <v>23</v>
      </c>
      <c r="D599" t="s">
        <v>47</v>
      </c>
      <c r="E599" s="1">
        <v>2025</v>
      </c>
      <c r="F599" s="11">
        <v>0.69010000000000005</v>
      </c>
      <c r="G599">
        <v>74.83</v>
      </c>
      <c r="H599">
        <v>50.78</v>
      </c>
      <c r="I599" s="2">
        <v>105103.93</v>
      </c>
      <c r="J599" s="2">
        <v>94129.12</v>
      </c>
      <c r="K599" s="2">
        <f>Table1[[#This Row],[Salary_after]]-Table1[[#This Row],[Salary_before]]</f>
        <v>-10974.809999999998</v>
      </c>
      <c r="L599" s="11">
        <v>-0.10439999999999999</v>
      </c>
      <c r="M599" s="11">
        <v>0.1348</v>
      </c>
      <c r="N599">
        <v>82.86</v>
      </c>
      <c r="O599">
        <v>95.03</v>
      </c>
      <c r="P599">
        <v>3</v>
      </c>
      <c r="Q599" t="s">
        <v>37</v>
      </c>
      <c r="R599">
        <v>59.895000000000003</v>
      </c>
      <c r="S599">
        <v>10.44</v>
      </c>
      <c r="T599" s="4">
        <v>45.97</v>
      </c>
      <c r="U599" s="4">
        <v>65.580202999999997</v>
      </c>
      <c r="V599" t="str">
        <f>IF(Table1[[#This Row],[ai_disruption_intensity]]&gt;70,"High",
IF(Table1[[#This Row],[ai_disruption_intensity]]&gt;40,"Medium","Low"))</f>
        <v>Medium</v>
      </c>
      <c r="W599" t="str">
        <f>IF(Table1[[#This Row],[skill_gap_index]]&gt;70,"Large Gap",
IF(Table1[[#This Row],[skill_gap_index]]&gt;40,"Medium Gap","Small Gap"))</f>
        <v>Medium Gap</v>
      </c>
      <c r="X599" s="3" t="str">
        <f>IF(Table1[[#This Row],[automation_risk_percent]]&gt;0.7,"Highly Automatable",
IF(Table1[[#This Row],[automation_risk_percent]]&gt;0.4,"Moderate Risk","Safe Job"))</f>
        <v>Moderate Risk</v>
      </c>
    </row>
    <row r="600" spans="1:24" x14ac:dyDescent="0.3">
      <c r="A600">
        <v>2111</v>
      </c>
      <c r="B600" t="s">
        <v>18</v>
      </c>
      <c r="C600" t="s">
        <v>23</v>
      </c>
      <c r="D600" t="s">
        <v>24</v>
      </c>
      <c r="E600" s="1">
        <v>2025</v>
      </c>
      <c r="F600" s="11">
        <v>0.42570000000000002</v>
      </c>
      <c r="G600">
        <v>45.99</v>
      </c>
      <c r="H600">
        <v>73.7</v>
      </c>
      <c r="I600" s="2">
        <v>109469.71</v>
      </c>
      <c r="J600" s="2">
        <v>120603.49</v>
      </c>
      <c r="K600" s="2">
        <f>Table1[[#This Row],[Salary_after]]-Table1[[#This Row],[Salary_before]]</f>
        <v>11133.779999999999</v>
      </c>
      <c r="L600" s="11">
        <v>0.1017</v>
      </c>
      <c r="M600" s="11">
        <v>6.2600000000000003E-2</v>
      </c>
      <c r="N600">
        <v>50.4</v>
      </c>
      <c r="O600">
        <v>6.11</v>
      </c>
      <c r="P600">
        <v>3</v>
      </c>
      <c r="Q600" t="s">
        <v>25</v>
      </c>
      <c r="R600">
        <v>58.134999999999998</v>
      </c>
      <c r="S600">
        <v>10.17</v>
      </c>
      <c r="T600" s="4">
        <v>42.189</v>
      </c>
      <c r="U600" s="4">
        <v>2.6010270000000002</v>
      </c>
      <c r="V600" t="str">
        <f>IF(Table1[[#This Row],[ai_disruption_intensity]]&gt;70,"High",
IF(Table1[[#This Row],[ai_disruption_intensity]]&gt;40,"Medium","Low"))</f>
        <v>Low</v>
      </c>
      <c r="W600" t="str">
        <f>IF(Table1[[#This Row],[skill_gap_index]]&gt;70,"Large Gap",
IF(Table1[[#This Row],[skill_gap_index]]&gt;40,"Medium Gap","Small Gap"))</f>
        <v>Large Gap</v>
      </c>
      <c r="X600" s="3" t="str">
        <f>IF(Table1[[#This Row],[automation_risk_percent]]&gt;0.7,"Highly Automatable",
IF(Table1[[#This Row],[automation_risk_percent]]&gt;0.4,"Moderate Risk","Safe Job"))</f>
        <v>Moderate Risk</v>
      </c>
    </row>
    <row r="601" spans="1:24" x14ac:dyDescent="0.3">
      <c r="A601">
        <v>2115</v>
      </c>
      <c r="B601" t="s">
        <v>18</v>
      </c>
      <c r="C601" t="s">
        <v>23</v>
      </c>
      <c r="D601" t="s">
        <v>35</v>
      </c>
      <c r="E601" s="1">
        <v>2025</v>
      </c>
      <c r="F601" s="11">
        <v>0.68159999999999998</v>
      </c>
      <c r="G601">
        <v>80.11</v>
      </c>
      <c r="H601">
        <v>86.88</v>
      </c>
      <c r="I601" s="2">
        <v>134243.26999999999</v>
      </c>
      <c r="J601" s="2">
        <v>112974.74</v>
      </c>
      <c r="K601" s="2">
        <f>Table1[[#This Row],[Salary_after]]-Table1[[#This Row],[Salary_before]]</f>
        <v>-21268.529999999984</v>
      </c>
      <c r="L601" s="11">
        <v>-0.15839999999999999</v>
      </c>
      <c r="M601" s="11">
        <v>0.19239999999999999</v>
      </c>
      <c r="N601">
        <v>15.09</v>
      </c>
      <c r="O601">
        <v>67.77</v>
      </c>
      <c r="P601">
        <v>4</v>
      </c>
      <c r="Q601" t="s">
        <v>37</v>
      </c>
      <c r="R601">
        <v>77.52</v>
      </c>
      <c r="S601">
        <v>15.84</v>
      </c>
      <c r="T601" s="4">
        <v>58.08</v>
      </c>
      <c r="U601" s="4">
        <v>46.192031999999998</v>
      </c>
      <c r="V601" t="str">
        <f>IF(Table1[[#This Row],[ai_disruption_intensity]]&gt;70,"High",
IF(Table1[[#This Row],[ai_disruption_intensity]]&gt;40,"Medium","Low"))</f>
        <v>Medium</v>
      </c>
      <c r="W601" t="str">
        <f>IF(Table1[[#This Row],[skill_gap_index]]&gt;70,"Large Gap",
IF(Table1[[#This Row],[skill_gap_index]]&gt;40,"Medium Gap","Small Gap"))</f>
        <v>Large Gap</v>
      </c>
      <c r="X601" s="3" t="str">
        <f>IF(Table1[[#This Row],[automation_risk_percent]]&gt;0.7,"Highly Automatable",
IF(Table1[[#This Row],[automation_risk_percent]]&gt;0.4,"Moderate Risk","Safe Job"))</f>
        <v>Moderate Risk</v>
      </c>
    </row>
    <row r="602" spans="1:24" x14ac:dyDescent="0.3">
      <c r="A602">
        <v>2121</v>
      </c>
      <c r="B602" t="s">
        <v>29</v>
      </c>
      <c r="C602" t="s">
        <v>38</v>
      </c>
      <c r="D602" t="s">
        <v>42</v>
      </c>
      <c r="E602" s="1">
        <v>2025</v>
      </c>
      <c r="F602" s="11">
        <v>0.86030000000000006</v>
      </c>
      <c r="G602">
        <v>102.3</v>
      </c>
      <c r="H602">
        <v>76.319999999999993</v>
      </c>
      <c r="I602" s="2">
        <v>103008.95</v>
      </c>
      <c r="J602" s="2">
        <v>91478.22</v>
      </c>
      <c r="K602" s="2">
        <f>Table1[[#This Row],[Salary_after]]-Table1[[#This Row],[Salary_before]]</f>
        <v>-11530.729999999996</v>
      </c>
      <c r="L602" s="11">
        <v>-0.1119</v>
      </c>
      <c r="M602" s="11">
        <v>2.7000000000000001E-3</v>
      </c>
      <c r="N602">
        <v>71.8</v>
      </c>
      <c r="O602">
        <v>99.49</v>
      </c>
      <c r="P602">
        <v>5</v>
      </c>
      <c r="Q602" t="s">
        <v>37</v>
      </c>
      <c r="R602">
        <v>81.174999999999997</v>
      </c>
      <c r="S602">
        <v>11.19</v>
      </c>
      <c r="T602" s="4">
        <v>60.6649999999999</v>
      </c>
      <c r="U602" s="4">
        <v>85.591246999999996</v>
      </c>
      <c r="V602" t="str">
        <f>IF(Table1[[#This Row],[ai_disruption_intensity]]&gt;70,"High",
IF(Table1[[#This Row],[ai_disruption_intensity]]&gt;40,"Medium","Low"))</f>
        <v>High</v>
      </c>
      <c r="W602" t="str">
        <f>IF(Table1[[#This Row],[skill_gap_index]]&gt;70,"Large Gap",
IF(Table1[[#This Row],[skill_gap_index]]&gt;40,"Medium Gap","Small Gap"))</f>
        <v>Large Gap</v>
      </c>
      <c r="X602" s="3" t="str">
        <f>IF(Table1[[#This Row],[automation_risk_percent]]&gt;0.7,"Highly Automatable",
IF(Table1[[#This Row],[automation_risk_percent]]&gt;0.4,"Moderate Risk","Safe Job"))</f>
        <v>Highly Automatable</v>
      </c>
    </row>
    <row r="603" spans="1:24" x14ac:dyDescent="0.3">
      <c r="A603">
        <v>2126</v>
      </c>
      <c r="B603" t="s">
        <v>45</v>
      </c>
      <c r="C603" t="s">
        <v>19</v>
      </c>
      <c r="D603" t="s">
        <v>35</v>
      </c>
      <c r="E603" s="1">
        <v>2026</v>
      </c>
      <c r="F603" s="11">
        <v>0.66830000000000001</v>
      </c>
      <c r="G603">
        <v>74.400000000000006</v>
      </c>
      <c r="H603">
        <v>68.22</v>
      </c>
      <c r="I603" s="2">
        <v>82759.38</v>
      </c>
      <c r="J603" s="2">
        <v>83116.289999999994</v>
      </c>
      <c r="K603" s="2">
        <f>Table1[[#This Row],[Salary_after]]-Table1[[#This Row],[Salary_before]]</f>
        <v>356.90999999998894</v>
      </c>
      <c r="L603" s="11">
        <v>4.3E-3</v>
      </c>
      <c r="M603" s="11">
        <v>8.0199999999999994E-2</v>
      </c>
      <c r="N603">
        <v>28.25</v>
      </c>
      <c r="O603">
        <v>29.28</v>
      </c>
      <c r="P603">
        <v>2</v>
      </c>
      <c r="Q603" t="s">
        <v>37</v>
      </c>
      <c r="R603">
        <v>67.525000000000006</v>
      </c>
      <c r="S603">
        <v>0.43</v>
      </c>
      <c r="T603" s="4">
        <v>47.326999999999899</v>
      </c>
      <c r="U603" s="4">
        <v>19.567824000000002</v>
      </c>
      <c r="V603" t="str">
        <f>IF(Table1[[#This Row],[ai_disruption_intensity]]&gt;70,"High",
IF(Table1[[#This Row],[ai_disruption_intensity]]&gt;40,"Medium","Low"))</f>
        <v>Low</v>
      </c>
      <c r="W603" t="str">
        <f>IF(Table1[[#This Row],[skill_gap_index]]&gt;70,"Large Gap",
IF(Table1[[#This Row],[skill_gap_index]]&gt;40,"Medium Gap","Small Gap"))</f>
        <v>Medium Gap</v>
      </c>
      <c r="X603" s="3" t="str">
        <f>IF(Table1[[#This Row],[automation_risk_percent]]&gt;0.7,"Highly Automatable",
IF(Table1[[#This Row],[automation_risk_percent]]&gt;0.4,"Moderate Risk","Safe Job"))</f>
        <v>Moderate Risk</v>
      </c>
    </row>
    <row r="604" spans="1:24" x14ac:dyDescent="0.3">
      <c r="A604">
        <v>2133</v>
      </c>
      <c r="B604" t="s">
        <v>22</v>
      </c>
      <c r="C604" t="s">
        <v>23</v>
      </c>
      <c r="D604" t="s">
        <v>20</v>
      </c>
      <c r="E604" s="1">
        <v>2025</v>
      </c>
      <c r="F604" s="11">
        <v>0.35759999999999997</v>
      </c>
      <c r="G604">
        <v>38.22</v>
      </c>
      <c r="H604">
        <v>83.17</v>
      </c>
      <c r="I604" s="2">
        <v>132314.69</v>
      </c>
      <c r="J604" s="2">
        <v>131596.82</v>
      </c>
      <c r="K604" s="2">
        <f>Table1[[#This Row],[Salary_after]]-Table1[[#This Row],[Salary_before]]</f>
        <v>-717.86999999999534</v>
      </c>
      <c r="L604" s="11">
        <v>-5.4000000000000003E-3</v>
      </c>
      <c r="M604" s="11">
        <v>-7.9699999999999993E-2</v>
      </c>
      <c r="N604">
        <v>76.05</v>
      </c>
      <c r="O604">
        <v>77.400000000000006</v>
      </c>
      <c r="P604">
        <v>1</v>
      </c>
      <c r="Q604" t="s">
        <v>25</v>
      </c>
      <c r="R604">
        <v>59.465000000000003</v>
      </c>
      <c r="S604">
        <v>0.54</v>
      </c>
      <c r="T604" s="4">
        <v>39.417000000000002</v>
      </c>
      <c r="U604" s="4">
        <v>27.678239999999999</v>
      </c>
      <c r="V604" t="str">
        <f>IF(Table1[[#This Row],[ai_disruption_intensity]]&gt;70,"High",
IF(Table1[[#This Row],[ai_disruption_intensity]]&gt;40,"Medium","Low"))</f>
        <v>Low</v>
      </c>
      <c r="W604" t="str">
        <f>IF(Table1[[#This Row],[skill_gap_index]]&gt;70,"Large Gap",
IF(Table1[[#This Row],[skill_gap_index]]&gt;40,"Medium Gap","Small Gap"))</f>
        <v>Large Gap</v>
      </c>
      <c r="X604" s="3" t="str">
        <f>IF(Table1[[#This Row],[automation_risk_percent]]&gt;0.7,"Highly Automatable",
IF(Table1[[#This Row],[automation_risk_percent]]&gt;0.4,"Moderate Risk","Safe Job"))</f>
        <v>Safe Job</v>
      </c>
    </row>
    <row r="605" spans="1:24" x14ac:dyDescent="0.3">
      <c r="A605">
        <v>2135</v>
      </c>
      <c r="B605" t="s">
        <v>46</v>
      </c>
      <c r="C605" t="s">
        <v>30</v>
      </c>
      <c r="D605" t="s">
        <v>36</v>
      </c>
      <c r="E605" s="1">
        <v>2025</v>
      </c>
      <c r="F605" s="11">
        <v>0.20980000000000001</v>
      </c>
      <c r="G605">
        <v>18.18</v>
      </c>
      <c r="H605">
        <v>14.77</v>
      </c>
      <c r="I605" s="2">
        <v>67789.149999999994</v>
      </c>
      <c r="J605" s="2">
        <v>55981.88</v>
      </c>
      <c r="K605" s="2">
        <f>Table1[[#This Row],[Salary_after]]-Table1[[#This Row],[Salary_before]]</f>
        <v>-11807.269999999997</v>
      </c>
      <c r="L605" s="11">
        <v>-0.17420000000000002</v>
      </c>
      <c r="M605" s="11">
        <v>0.16399999999999998</v>
      </c>
      <c r="N605">
        <v>11.86</v>
      </c>
      <c r="O605">
        <v>9.69</v>
      </c>
      <c r="P605">
        <v>3</v>
      </c>
      <c r="Q605" t="s">
        <v>21</v>
      </c>
      <c r="R605">
        <v>17.875</v>
      </c>
      <c r="S605">
        <v>17.420000000000002</v>
      </c>
      <c r="T605" s="4">
        <v>18.048999999999999</v>
      </c>
      <c r="U605" s="4">
        <v>2.0329619999999999</v>
      </c>
      <c r="V605" t="str">
        <f>IF(Table1[[#This Row],[ai_disruption_intensity]]&gt;70,"High",
IF(Table1[[#This Row],[ai_disruption_intensity]]&gt;40,"Medium","Low"))</f>
        <v>Low</v>
      </c>
      <c r="W605" t="str">
        <f>IF(Table1[[#This Row],[skill_gap_index]]&gt;70,"Large Gap",
IF(Table1[[#This Row],[skill_gap_index]]&gt;40,"Medium Gap","Small Gap"))</f>
        <v>Small Gap</v>
      </c>
      <c r="X605" s="3" t="str">
        <f>IF(Table1[[#This Row],[automation_risk_percent]]&gt;0.7,"Highly Automatable",
IF(Table1[[#This Row],[automation_risk_percent]]&gt;0.4,"Moderate Risk","Safe Job"))</f>
        <v>Safe Job</v>
      </c>
    </row>
    <row r="606" spans="1:24" x14ac:dyDescent="0.3">
      <c r="A606">
        <v>2140</v>
      </c>
      <c r="B606" t="s">
        <v>44</v>
      </c>
      <c r="C606" t="s">
        <v>34</v>
      </c>
      <c r="D606" t="s">
        <v>42</v>
      </c>
      <c r="E606" s="1">
        <v>2025</v>
      </c>
      <c r="F606" s="11">
        <v>0.20430000000000001</v>
      </c>
      <c r="G606">
        <v>19.18</v>
      </c>
      <c r="H606">
        <v>4.29</v>
      </c>
      <c r="I606" s="2">
        <v>116337.23</v>
      </c>
      <c r="J606" s="2">
        <v>115735.61</v>
      </c>
      <c r="K606" s="2">
        <f>Table1[[#This Row],[Salary_after]]-Table1[[#This Row],[Salary_before]]</f>
        <v>-601.61999999999534</v>
      </c>
      <c r="L606" s="11">
        <v>-5.1999999999999998E-3</v>
      </c>
      <c r="M606" s="11">
        <v>-3.73E-2</v>
      </c>
      <c r="N606">
        <v>87.1</v>
      </c>
      <c r="O606">
        <v>55.2</v>
      </c>
      <c r="P606">
        <v>2</v>
      </c>
      <c r="Q606" t="s">
        <v>21</v>
      </c>
      <c r="R606">
        <v>12.36</v>
      </c>
      <c r="S606">
        <v>0.52</v>
      </c>
      <c r="T606" s="4">
        <v>9.6150000000000002</v>
      </c>
      <c r="U606" s="4">
        <v>11.27736</v>
      </c>
      <c r="V606" t="str">
        <f>IF(Table1[[#This Row],[ai_disruption_intensity]]&gt;70,"High",
IF(Table1[[#This Row],[ai_disruption_intensity]]&gt;40,"Medium","Low"))</f>
        <v>Low</v>
      </c>
      <c r="W606" t="str">
        <f>IF(Table1[[#This Row],[skill_gap_index]]&gt;70,"Large Gap",
IF(Table1[[#This Row],[skill_gap_index]]&gt;40,"Medium Gap","Small Gap"))</f>
        <v>Small Gap</v>
      </c>
      <c r="X606" s="3" t="str">
        <f>IF(Table1[[#This Row],[automation_risk_percent]]&gt;0.7,"Highly Automatable",
IF(Table1[[#This Row],[automation_risk_percent]]&gt;0.4,"Moderate Risk","Safe Job"))</f>
        <v>Safe Job</v>
      </c>
    </row>
    <row r="607" spans="1:24" x14ac:dyDescent="0.3">
      <c r="A607">
        <v>2143</v>
      </c>
      <c r="B607" t="s">
        <v>43</v>
      </c>
      <c r="C607" t="s">
        <v>34</v>
      </c>
      <c r="D607" t="s">
        <v>42</v>
      </c>
      <c r="E607" s="1">
        <v>2025</v>
      </c>
      <c r="F607" s="11">
        <v>0.2195</v>
      </c>
      <c r="G607">
        <v>25.2</v>
      </c>
      <c r="H607">
        <v>41.97</v>
      </c>
      <c r="I607" s="2">
        <v>108549.18</v>
      </c>
      <c r="J607" s="2">
        <v>127817.06</v>
      </c>
      <c r="K607" s="2">
        <f>Table1[[#This Row],[Salary_after]]-Table1[[#This Row],[Salary_before]]</f>
        <v>19267.880000000005</v>
      </c>
      <c r="L607" s="11">
        <v>0.17749999999999999</v>
      </c>
      <c r="M607" s="11">
        <v>5.3200000000000004E-2</v>
      </c>
      <c r="N607">
        <v>53.13</v>
      </c>
      <c r="O607">
        <v>28.74</v>
      </c>
      <c r="P607">
        <v>4</v>
      </c>
      <c r="Q607" t="s">
        <v>21</v>
      </c>
      <c r="R607">
        <v>31.96</v>
      </c>
      <c r="S607">
        <v>17.75</v>
      </c>
      <c r="T607" s="4">
        <v>26.695999999999898</v>
      </c>
      <c r="U607" s="4">
        <v>6.3084299999999898</v>
      </c>
      <c r="V607" t="str">
        <f>IF(Table1[[#This Row],[ai_disruption_intensity]]&gt;70,"High",
IF(Table1[[#This Row],[ai_disruption_intensity]]&gt;40,"Medium","Low"))</f>
        <v>Low</v>
      </c>
      <c r="W607" t="str">
        <f>IF(Table1[[#This Row],[skill_gap_index]]&gt;70,"Large Gap",
IF(Table1[[#This Row],[skill_gap_index]]&gt;40,"Medium Gap","Small Gap"))</f>
        <v>Medium Gap</v>
      </c>
      <c r="X607" s="3" t="str">
        <f>IF(Table1[[#This Row],[automation_risk_percent]]&gt;0.7,"Highly Automatable",
IF(Table1[[#This Row],[automation_risk_percent]]&gt;0.4,"Moderate Risk","Safe Job"))</f>
        <v>Safe Job</v>
      </c>
    </row>
    <row r="608" spans="1:24" x14ac:dyDescent="0.3">
      <c r="A608">
        <v>2146</v>
      </c>
      <c r="B608" t="s">
        <v>46</v>
      </c>
      <c r="C608" t="s">
        <v>27</v>
      </c>
      <c r="D608" t="s">
        <v>24</v>
      </c>
      <c r="E608" s="1">
        <v>2026</v>
      </c>
      <c r="F608" s="11">
        <v>0.5454</v>
      </c>
      <c r="G608">
        <v>54.56</v>
      </c>
      <c r="H608">
        <v>36.380000000000003</v>
      </c>
      <c r="I608" s="2">
        <v>81845.13</v>
      </c>
      <c r="J608" s="2">
        <v>85569.7</v>
      </c>
      <c r="K608" s="2">
        <f>Table1[[#This Row],[Salary_after]]-Table1[[#This Row],[Salary_before]]</f>
        <v>3724.5699999999924</v>
      </c>
      <c r="L608" s="11">
        <v>4.5499999999999999E-2</v>
      </c>
      <c r="M608" s="11">
        <v>3.9E-2</v>
      </c>
      <c r="N608">
        <v>79.13</v>
      </c>
      <c r="O608">
        <v>20.81</v>
      </c>
      <c r="P608">
        <v>1</v>
      </c>
      <c r="Q608" t="s">
        <v>25</v>
      </c>
      <c r="R608">
        <v>45.46</v>
      </c>
      <c r="S608">
        <v>4.55</v>
      </c>
      <c r="T608" s="4">
        <v>34.094999999999999</v>
      </c>
      <c r="U608" s="4">
        <v>11.349774</v>
      </c>
      <c r="V608" t="str">
        <f>IF(Table1[[#This Row],[ai_disruption_intensity]]&gt;70,"High",
IF(Table1[[#This Row],[ai_disruption_intensity]]&gt;40,"Medium","Low"))</f>
        <v>Low</v>
      </c>
      <c r="W608" t="str">
        <f>IF(Table1[[#This Row],[skill_gap_index]]&gt;70,"Large Gap",
IF(Table1[[#This Row],[skill_gap_index]]&gt;40,"Medium Gap","Small Gap"))</f>
        <v>Small Gap</v>
      </c>
      <c r="X608" s="3" t="str">
        <f>IF(Table1[[#This Row],[automation_risk_percent]]&gt;0.7,"Highly Automatable",
IF(Table1[[#This Row],[automation_risk_percent]]&gt;0.4,"Moderate Risk","Safe Job"))</f>
        <v>Moderate Risk</v>
      </c>
    </row>
    <row r="609" spans="1:24" x14ac:dyDescent="0.3">
      <c r="A609">
        <v>2147</v>
      </c>
      <c r="B609" t="s">
        <v>22</v>
      </c>
      <c r="C609" t="s">
        <v>27</v>
      </c>
      <c r="D609" t="s">
        <v>20</v>
      </c>
      <c r="E609" s="1">
        <v>2026</v>
      </c>
      <c r="F609" s="11">
        <v>0.36890000000000001</v>
      </c>
      <c r="G609">
        <v>37.54</v>
      </c>
      <c r="H609">
        <v>61.3</v>
      </c>
      <c r="I609" s="2">
        <v>86182.07</v>
      </c>
      <c r="J609" s="2">
        <v>91209.97</v>
      </c>
      <c r="K609" s="2">
        <f>Table1[[#This Row],[Salary_after]]-Table1[[#This Row],[Salary_before]]</f>
        <v>5027.8999999999942</v>
      </c>
      <c r="L609" s="11">
        <v>5.8299999999999998E-2</v>
      </c>
      <c r="M609" s="11">
        <v>0.1176</v>
      </c>
      <c r="N609">
        <v>55.46</v>
      </c>
      <c r="O609">
        <v>85.44</v>
      </c>
      <c r="P609">
        <v>1</v>
      </c>
      <c r="Q609" t="s">
        <v>25</v>
      </c>
      <c r="R609">
        <v>49.094999999999999</v>
      </c>
      <c r="S609">
        <v>5.83</v>
      </c>
      <c r="T609" s="4">
        <v>34.895000000000003</v>
      </c>
      <c r="U609" s="4">
        <v>31.518816000000001</v>
      </c>
      <c r="V609" t="str">
        <f>IF(Table1[[#This Row],[ai_disruption_intensity]]&gt;70,"High",
IF(Table1[[#This Row],[ai_disruption_intensity]]&gt;40,"Medium","Low"))</f>
        <v>Low</v>
      </c>
      <c r="W609" t="str">
        <f>IF(Table1[[#This Row],[skill_gap_index]]&gt;70,"Large Gap",
IF(Table1[[#This Row],[skill_gap_index]]&gt;40,"Medium Gap","Small Gap"))</f>
        <v>Medium Gap</v>
      </c>
      <c r="X609" s="3" t="str">
        <f>IF(Table1[[#This Row],[automation_risk_percent]]&gt;0.7,"Highly Automatable",
IF(Table1[[#This Row],[automation_risk_percent]]&gt;0.4,"Moderate Risk","Safe Job"))</f>
        <v>Safe Job</v>
      </c>
    </row>
    <row r="610" spans="1:24" x14ac:dyDescent="0.3">
      <c r="A610">
        <v>2151</v>
      </c>
      <c r="B610" t="s">
        <v>22</v>
      </c>
      <c r="C610" t="s">
        <v>30</v>
      </c>
      <c r="D610" t="s">
        <v>20</v>
      </c>
      <c r="E610" s="1">
        <v>2026</v>
      </c>
      <c r="F610" s="11">
        <v>0.24489999999999998</v>
      </c>
      <c r="G610">
        <v>29.28</v>
      </c>
      <c r="H610">
        <v>83.1</v>
      </c>
      <c r="I610" s="2">
        <v>100676.71</v>
      </c>
      <c r="J610" s="2">
        <v>112995.31</v>
      </c>
      <c r="K610" s="2">
        <f>Table1[[#This Row],[Salary_after]]-Table1[[#This Row],[Salary_before]]</f>
        <v>12318.599999999991</v>
      </c>
      <c r="L610" s="11">
        <v>0.12240000000000001</v>
      </c>
      <c r="M610" s="11">
        <v>0.18350000000000002</v>
      </c>
      <c r="N610">
        <v>15.26</v>
      </c>
      <c r="O610">
        <v>21.8</v>
      </c>
      <c r="P610">
        <v>1</v>
      </c>
      <c r="Q610" t="s">
        <v>21</v>
      </c>
      <c r="R610">
        <v>53.794999999999902</v>
      </c>
      <c r="S610">
        <v>12.24</v>
      </c>
      <c r="T610" s="4">
        <v>38.397999999999897</v>
      </c>
      <c r="U610" s="4">
        <v>5.3388199999999904</v>
      </c>
      <c r="V610" t="str">
        <f>IF(Table1[[#This Row],[ai_disruption_intensity]]&gt;70,"High",
IF(Table1[[#This Row],[ai_disruption_intensity]]&gt;40,"Medium","Low"))</f>
        <v>Low</v>
      </c>
      <c r="W610" t="str">
        <f>IF(Table1[[#This Row],[skill_gap_index]]&gt;70,"Large Gap",
IF(Table1[[#This Row],[skill_gap_index]]&gt;40,"Medium Gap","Small Gap"))</f>
        <v>Large Gap</v>
      </c>
      <c r="X610" s="3" t="str">
        <f>IF(Table1[[#This Row],[automation_risk_percent]]&gt;0.7,"Highly Automatable",
IF(Table1[[#This Row],[automation_risk_percent]]&gt;0.4,"Moderate Risk","Safe Job"))</f>
        <v>Safe Job</v>
      </c>
    </row>
    <row r="611" spans="1:24" x14ac:dyDescent="0.3">
      <c r="A611">
        <v>2161</v>
      </c>
      <c r="B611" t="s">
        <v>41</v>
      </c>
      <c r="C611" t="s">
        <v>23</v>
      </c>
      <c r="D611" t="s">
        <v>35</v>
      </c>
      <c r="E611" s="1">
        <v>2026</v>
      </c>
      <c r="F611" s="11">
        <v>0.4078</v>
      </c>
      <c r="G611">
        <v>43.41</v>
      </c>
      <c r="H611">
        <v>46.88</v>
      </c>
      <c r="I611" s="2">
        <v>89927.47</v>
      </c>
      <c r="J611" s="2">
        <v>92151.679999999993</v>
      </c>
      <c r="K611" s="2">
        <f>Table1[[#This Row],[Salary_after]]-Table1[[#This Row],[Salary_before]]</f>
        <v>2224.2099999999919</v>
      </c>
      <c r="L611" s="11">
        <v>2.4700000000000003E-2</v>
      </c>
      <c r="M611" s="11">
        <v>1.9900000000000001E-2</v>
      </c>
      <c r="N611">
        <v>65.53</v>
      </c>
      <c r="O611">
        <v>13.54</v>
      </c>
      <c r="P611">
        <v>1</v>
      </c>
      <c r="Q611" t="s">
        <v>25</v>
      </c>
      <c r="R611">
        <v>43.83</v>
      </c>
      <c r="S611">
        <v>2.4700000000000002</v>
      </c>
      <c r="T611" s="4">
        <v>31.117000000000001</v>
      </c>
      <c r="U611" s="4">
        <v>5.5216120000000002</v>
      </c>
      <c r="V611" t="str">
        <f>IF(Table1[[#This Row],[ai_disruption_intensity]]&gt;70,"High",
IF(Table1[[#This Row],[ai_disruption_intensity]]&gt;40,"Medium","Low"))</f>
        <v>Low</v>
      </c>
      <c r="W611" t="str">
        <f>IF(Table1[[#This Row],[skill_gap_index]]&gt;70,"Large Gap",
IF(Table1[[#This Row],[skill_gap_index]]&gt;40,"Medium Gap","Small Gap"))</f>
        <v>Medium Gap</v>
      </c>
      <c r="X611" s="3" t="str">
        <f>IF(Table1[[#This Row],[automation_risk_percent]]&gt;0.7,"Highly Automatable",
IF(Table1[[#This Row],[automation_risk_percent]]&gt;0.4,"Moderate Risk","Safe Job"))</f>
        <v>Moderate Risk</v>
      </c>
    </row>
    <row r="612" spans="1:24" x14ac:dyDescent="0.3">
      <c r="A612">
        <v>2163</v>
      </c>
      <c r="B612" t="s">
        <v>43</v>
      </c>
      <c r="C612" t="s">
        <v>40</v>
      </c>
      <c r="D612" t="s">
        <v>42</v>
      </c>
      <c r="E612" s="1">
        <v>2026</v>
      </c>
      <c r="F612" s="11">
        <v>0.40539999999999998</v>
      </c>
      <c r="G612">
        <v>39.46</v>
      </c>
      <c r="H612">
        <v>90.54</v>
      </c>
      <c r="I612" s="2">
        <v>99142.25</v>
      </c>
      <c r="J612" s="2">
        <v>83104.789999999994</v>
      </c>
      <c r="K612" s="2">
        <f>Table1[[#This Row],[Salary_after]]-Table1[[#This Row],[Salary_before]]</f>
        <v>-16037.460000000006</v>
      </c>
      <c r="L612" s="11">
        <v>-0.1618</v>
      </c>
      <c r="M612" s="11">
        <v>9.5000000000000001E-2</v>
      </c>
      <c r="N612">
        <v>64.7</v>
      </c>
      <c r="O612">
        <v>57.59</v>
      </c>
      <c r="P612">
        <v>1</v>
      </c>
      <c r="Q612" t="s">
        <v>25</v>
      </c>
      <c r="R612">
        <v>65.540000000000006</v>
      </c>
      <c r="S612">
        <v>16.18</v>
      </c>
      <c r="T612" s="4">
        <v>48.231999999999999</v>
      </c>
      <c r="U612" s="4">
        <v>23.346986000000001</v>
      </c>
      <c r="V612" t="str">
        <f>IF(Table1[[#This Row],[ai_disruption_intensity]]&gt;70,"High",
IF(Table1[[#This Row],[ai_disruption_intensity]]&gt;40,"Medium","Low"))</f>
        <v>Low</v>
      </c>
      <c r="W612" t="str">
        <f>IF(Table1[[#This Row],[skill_gap_index]]&gt;70,"Large Gap",
IF(Table1[[#This Row],[skill_gap_index]]&gt;40,"Medium Gap","Small Gap"))</f>
        <v>Large Gap</v>
      </c>
      <c r="X612" s="3" t="str">
        <f>IF(Table1[[#This Row],[automation_risk_percent]]&gt;0.7,"Highly Automatable",
IF(Table1[[#This Row],[automation_risk_percent]]&gt;0.4,"Moderate Risk","Safe Job"))</f>
        <v>Moderate Risk</v>
      </c>
    </row>
    <row r="613" spans="1:24" x14ac:dyDescent="0.3">
      <c r="A613">
        <v>2165</v>
      </c>
      <c r="B613" t="s">
        <v>39</v>
      </c>
      <c r="C613" t="s">
        <v>27</v>
      </c>
      <c r="D613" t="s">
        <v>32</v>
      </c>
      <c r="E613" s="1">
        <v>2026</v>
      </c>
      <c r="F613" s="11">
        <v>0.64180000000000004</v>
      </c>
      <c r="G613">
        <v>62.99</v>
      </c>
      <c r="H613">
        <v>88.23</v>
      </c>
      <c r="I613" s="2">
        <v>47749.34</v>
      </c>
      <c r="J613" s="2">
        <v>58292.61</v>
      </c>
      <c r="K613" s="2">
        <f>Table1[[#This Row],[Salary_after]]-Table1[[#This Row],[Salary_before]]</f>
        <v>10543.270000000004</v>
      </c>
      <c r="L613" s="11">
        <v>0.2208</v>
      </c>
      <c r="M613" s="11">
        <v>6.25E-2</v>
      </c>
      <c r="N613">
        <v>56.52</v>
      </c>
      <c r="O613">
        <v>88.92</v>
      </c>
      <c r="P613">
        <v>4</v>
      </c>
      <c r="Q613" t="s">
        <v>37</v>
      </c>
      <c r="R613">
        <v>76.204999999999998</v>
      </c>
      <c r="S613">
        <v>22.08</v>
      </c>
      <c r="T613" s="4">
        <v>58.765000000000001</v>
      </c>
      <c r="U613" s="4">
        <v>57.068855999999997</v>
      </c>
      <c r="V613" t="str">
        <f>IF(Table1[[#This Row],[ai_disruption_intensity]]&gt;70,"High",
IF(Table1[[#This Row],[ai_disruption_intensity]]&gt;40,"Medium","Low"))</f>
        <v>Medium</v>
      </c>
      <c r="W613" t="str">
        <f>IF(Table1[[#This Row],[skill_gap_index]]&gt;70,"Large Gap",
IF(Table1[[#This Row],[skill_gap_index]]&gt;40,"Medium Gap","Small Gap"))</f>
        <v>Large Gap</v>
      </c>
      <c r="X613" s="3" t="str">
        <f>IF(Table1[[#This Row],[automation_risk_percent]]&gt;0.7,"Highly Automatable",
IF(Table1[[#This Row],[automation_risk_percent]]&gt;0.4,"Moderate Risk","Safe Job"))</f>
        <v>Moderate Risk</v>
      </c>
    </row>
    <row r="614" spans="1:24" x14ac:dyDescent="0.3">
      <c r="A614">
        <v>2167</v>
      </c>
      <c r="B614" t="s">
        <v>43</v>
      </c>
      <c r="C614" t="s">
        <v>23</v>
      </c>
      <c r="D614" t="s">
        <v>32</v>
      </c>
      <c r="E614" s="1">
        <v>2026</v>
      </c>
      <c r="F614" s="11">
        <v>0.5393</v>
      </c>
      <c r="G614">
        <v>59.75</v>
      </c>
      <c r="H614">
        <v>54.82</v>
      </c>
      <c r="I614" s="2">
        <v>94740.43</v>
      </c>
      <c r="J614" s="2">
        <v>93080.17</v>
      </c>
      <c r="K614" s="2">
        <f>Table1[[#This Row],[Salary_after]]-Table1[[#This Row],[Salary_before]]</f>
        <v>-1660.2599999999948</v>
      </c>
      <c r="L614" s="11">
        <v>-1.7500000000000002E-2</v>
      </c>
      <c r="M614" s="11">
        <v>-3.0899999999999997E-2</v>
      </c>
      <c r="N614">
        <v>59.12</v>
      </c>
      <c r="O614">
        <v>46.2</v>
      </c>
      <c r="P614">
        <v>2</v>
      </c>
      <c r="Q614" t="s">
        <v>25</v>
      </c>
      <c r="R614">
        <v>54.375</v>
      </c>
      <c r="S614">
        <v>1.75</v>
      </c>
      <c r="T614" s="4">
        <v>38.542999999999999</v>
      </c>
      <c r="U614" s="4">
        <v>24.915659999999999</v>
      </c>
      <c r="V614" t="str">
        <f>IF(Table1[[#This Row],[ai_disruption_intensity]]&gt;70,"High",
IF(Table1[[#This Row],[ai_disruption_intensity]]&gt;40,"Medium","Low"))</f>
        <v>Low</v>
      </c>
      <c r="W614" t="str">
        <f>IF(Table1[[#This Row],[skill_gap_index]]&gt;70,"Large Gap",
IF(Table1[[#This Row],[skill_gap_index]]&gt;40,"Medium Gap","Small Gap"))</f>
        <v>Medium Gap</v>
      </c>
      <c r="X614" s="3" t="str">
        <f>IF(Table1[[#This Row],[automation_risk_percent]]&gt;0.7,"Highly Automatable",
IF(Table1[[#This Row],[automation_risk_percent]]&gt;0.4,"Moderate Risk","Safe Job"))</f>
        <v>Moderate Risk</v>
      </c>
    </row>
    <row r="615" spans="1:24" x14ac:dyDescent="0.3">
      <c r="A615">
        <v>2175</v>
      </c>
      <c r="B615" t="s">
        <v>43</v>
      </c>
      <c r="C615" t="s">
        <v>34</v>
      </c>
      <c r="D615" t="s">
        <v>24</v>
      </c>
      <c r="E615" s="1">
        <v>2026</v>
      </c>
      <c r="F615" s="11">
        <v>0.19579999999999997</v>
      </c>
      <c r="G615">
        <v>21.35</v>
      </c>
      <c r="H615">
        <v>16.02</v>
      </c>
      <c r="I615" s="2">
        <v>114253.63</v>
      </c>
      <c r="J615" s="2">
        <v>109680.71</v>
      </c>
      <c r="K615" s="2">
        <f>Table1[[#This Row],[Salary_after]]-Table1[[#This Row],[Salary_before]]</f>
        <v>-4572.9199999999983</v>
      </c>
      <c r="L615" s="11">
        <v>-0.04</v>
      </c>
      <c r="M615" s="11">
        <v>0.23910000000000001</v>
      </c>
      <c r="N615">
        <v>22.17</v>
      </c>
      <c r="O615">
        <v>31.48</v>
      </c>
      <c r="P615">
        <v>2</v>
      </c>
      <c r="Q615" t="s">
        <v>21</v>
      </c>
      <c r="R615">
        <v>17.799999999999901</v>
      </c>
      <c r="S615">
        <v>4</v>
      </c>
      <c r="T615" s="4">
        <v>13.837999999999999</v>
      </c>
      <c r="U615" s="4">
        <v>6.1637839999999997</v>
      </c>
      <c r="V615" t="str">
        <f>IF(Table1[[#This Row],[ai_disruption_intensity]]&gt;70,"High",
IF(Table1[[#This Row],[ai_disruption_intensity]]&gt;40,"Medium","Low"))</f>
        <v>Low</v>
      </c>
      <c r="W615" t="str">
        <f>IF(Table1[[#This Row],[skill_gap_index]]&gt;70,"Large Gap",
IF(Table1[[#This Row],[skill_gap_index]]&gt;40,"Medium Gap","Small Gap"))</f>
        <v>Small Gap</v>
      </c>
      <c r="X615" s="3" t="str">
        <f>IF(Table1[[#This Row],[automation_risk_percent]]&gt;0.7,"Highly Automatable",
IF(Table1[[#This Row],[automation_risk_percent]]&gt;0.4,"Moderate Risk","Safe Job"))</f>
        <v>Safe Job</v>
      </c>
    </row>
    <row r="616" spans="1:24" x14ac:dyDescent="0.3">
      <c r="A616">
        <v>2176</v>
      </c>
      <c r="B616" t="s">
        <v>46</v>
      </c>
      <c r="C616" t="s">
        <v>27</v>
      </c>
      <c r="D616" t="s">
        <v>31</v>
      </c>
      <c r="E616" s="1">
        <v>2025</v>
      </c>
      <c r="F616" s="11">
        <v>0.22409999999999999</v>
      </c>
      <c r="G616">
        <v>24.2</v>
      </c>
      <c r="H616">
        <v>11.37</v>
      </c>
      <c r="I616" s="2">
        <v>129488.24</v>
      </c>
      <c r="J616" s="2">
        <v>120515.44</v>
      </c>
      <c r="K616" s="2">
        <f>Table1[[#This Row],[Salary_after]]-Table1[[#This Row],[Salary_before]]</f>
        <v>-8972.8000000000029</v>
      </c>
      <c r="L616" s="11">
        <v>-6.93E-2</v>
      </c>
      <c r="M616" s="11">
        <v>0.10769999999999999</v>
      </c>
      <c r="N616">
        <v>74.72</v>
      </c>
      <c r="O616">
        <v>66.849999999999994</v>
      </c>
      <c r="P616">
        <v>2</v>
      </c>
      <c r="Q616" t="s">
        <v>21</v>
      </c>
      <c r="R616">
        <v>16.89</v>
      </c>
      <c r="S616">
        <v>6.93</v>
      </c>
      <c r="T616" s="4">
        <v>14.454000000000001</v>
      </c>
      <c r="U616" s="4">
        <v>14.981084999999901</v>
      </c>
      <c r="V616" t="str">
        <f>IF(Table1[[#This Row],[ai_disruption_intensity]]&gt;70,"High",
IF(Table1[[#This Row],[ai_disruption_intensity]]&gt;40,"Medium","Low"))</f>
        <v>Low</v>
      </c>
      <c r="W616" t="str">
        <f>IF(Table1[[#This Row],[skill_gap_index]]&gt;70,"Large Gap",
IF(Table1[[#This Row],[skill_gap_index]]&gt;40,"Medium Gap","Small Gap"))</f>
        <v>Small Gap</v>
      </c>
      <c r="X616" s="3" t="str">
        <f>IF(Table1[[#This Row],[automation_risk_percent]]&gt;0.7,"Highly Automatable",
IF(Table1[[#This Row],[automation_risk_percent]]&gt;0.4,"Moderate Risk","Safe Job"))</f>
        <v>Safe Job</v>
      </c>
    </row>
    <row r="617" spans="1:24" x14ac:dyDescent="0.3">
      <c r="A617">
        <v>2178</v>
      </c>
      <c r="B617" t="s">
        <v>26</v>
      </c>
      <c r="C617" t="s">
        <v>30</v>
      </c>
      <c r="D617" t="s">
        <v>42</v>
      </c>
      <c r="E617" s="1">
        <v>2026</v>
      </c>
      <c r="F617" s="11">
        <v>0.05</v>
      </c>
      <c r="G617">
        <v>4.0199999999999996</v>
      </c>
      <c r="H617">
        <v>69.91</v>
      </c>
      <c r="I617" s="2">
        <v>63514.5</v>
      </c>
      <c r="J617" s="2">
        <v>67073.100000000006</v>
      </c>
      <c r="K617" s="2">
        <f>Table1[[#This Row],[Salary_after]]-Table1[[#This Row],[Salary_before]]</f>
        <v>3558.6000000000058</v>
      </c>
      <c r="L617" s="11">
        <v>5.5999999999999994E-2</v>
      </c>
      <c r="M617" s="11">
        <v>-0.14859999999999998</v>
      </c>
      <c r="N617">
        <v>19.22</v>
      </c>
      <c r="O617">
        <v>64.27</v>
      </c>
      <c r="P617">
        <v>5</v>
      </c>
      <c r="Q617" t="s">
        <v>21</v>
      </c>
      <c r="R617">
        <v>37.454999999999998</v>
      </c>
      <c r="S617">
        <v>5.6</v>
      </c>
      <c r="T617" s="4">
        <v>24.652999999999999</v>
      </c>
      <c r="U617" s="4">
        <v>3.2134999999999998</v>
      </c>
      <c r="V617" t="str">
        <f>IF(Table1[[#This Row],[ai_disruption_intensity]]&gt;70,"High",
IF(Table1[[#This Row],[ai_disruption_intensity]]&gt;40,"Medium","Low"))</f>
        <v>Low</v>
      </c>
      <c r="W617" t="str">
        <f>IF(Table1[[#This Row],[skill_gap_index]]&gt;70,"Large Gap",
IF(Table1[[#This Row],[skill_gap_index]]&gt;40,"Medium Gap","Small Gap"))</f>
        <v>Medium Gap</v>
      </c>
      <c r="X617" s="3" t="str">
        <f>IF(Table1[[#This Row],[automation_risk_percent]]&gt;0.7,"Highly Automatable",
IF(Table1[[#This Row],[automation_risk_percent]]&gt;0.4,"Moderate Risk","Safe Job"))</f>
        <v>Safe Job</v>
      </c>
    </row>
    <row r="618" spans="1:24" x14ac:dyDescent="0.3">
      <c r="A618">
        <v>2185</v>
      </c>
      <c r="B618" t="s">
        <v>46</v>
      </c>
      <c r="C618" t="s">
        <v>38</v>
      </c>
      <c r="D618" t="s">
        <v>36</v>
      </c>
      <c r="E618" s="1">
        <v>2025</v>
      </c>
      <c r="F618" s="11">
        <v>0.55090000000000006</v>
      </c>
      <c r="G618">
        <v>57.82</v>
      </c>
      <c r="H618">
        <v>83.92</v>
      </c>
      <c r="I618" s="2">
        <v>121099.5</v>
      </c>
      <c r="J618" s="2">
        <v>126828.05</v>
      </c>
      <c r="K618" s="2">
        <f>Table1[[#This Row],[Salary_after]]-Table1[[#This Row],[Salary_before]]</f>
        <v>5728.5500000000029</v>
      </c>
      <c r="L618" s="11">
        <v>4.7300000000000002E-2</v>
      </c>
      <c r="M618" s="11">
        <v>6.0100000000000001E-2</v>
      </c>
      <c r="N618">
        <v>27.24</v>
      </c>
      <c r="O618">
        <v>94.34</v>
      </c>
      <c r="P618">
        <v>4</v>
      </c>
      <c r="Q618" t="s">
        <v>25</v>
      </c>
      <c r="R618">
        <v>69.504999999999995</v>
      </c>
      <c r="S618">
        <v>4.7300000000000004</v>
      </c>
      <c r="T618" s="4">
        <v>48.631</v>
      </c>
      <c r="U618" s="4">
        <v>51.971905999999997</v>
      </c>
      <c r="V618" t="str">
        <f>IF(Table1[[#This Row],[ai_disruption_intensity]]&gt;70,"High",
IF(Table1[[#This Row],[ai_disruption_intensity]]&gt;40,"Medium","Low"))</f>
        <v>Medium</v>
      </c>
      <c r="W618" t="str">
        <f>IF(Table1[[#This Row],[skill_gap_index]]&gt;70,"Large Gap",
IF(Table1[[#This Row],[skill_gap_index]]&gt;40,"Medium Gap","Small Gap"))</f>
        <v>Large Gap</v>
      </c>
      <c r="X618" s="3" t="str">
        <f>IF(Table1[[#This Row],[automation_risk_percent]]&gt;0.7,"Highly Automatable",
IF(Table1[[#This Row],[automation_risk_percent]]&gt;0.4,"Moderate Risk","Safe Job"))</f>
        <v>Moderate Risk</v>
      </c>
    </row>
    <row r="619" spans="1:24" x14ac:dyDescent="0.3">
      <c r="A619">
        <v>2200</v>
      </c>
      <c r="B619" t="s">
        <v>43</v>
      </c>
      <c r="C619" t="s">
        <v>23</v>
      </c>
      <c r="D619" t="s">
        <v>32</v>
      </c>
      <c r="E619" s="1">
        <v>2025</v>
      </c>
      <c r="F619" s="11">
        <v>0.61549999999999994</v>
      </c>
      <c r="G619">
        <v>73.06</v>
      </c>
      <c r="H619">
        <v>11.49</v>
      </c>
      <c r="I619" s="2">
        <v>99686.98</v>
      </c>
      <c r="J619" s="2">
        <v>106376.24</v>
      </c>
      <c r="K619" s="2">
        <f>Table1[[#This Row],[Salary_after]]-Table1[[#This Row],[Salary_before]]</f>
        <v>6689.2600000000093</v>
      </c>
      <c r="L619" s="11">
        <v>6.7099999999999993E-2</v>
      </c>
      <c r="M619" s="11">
        <v>8.3000000000000004E-2</v>
      </c>
      <c r="N619">
        <v>88.67</v>
      </c>
      <c r="O619">
        <v>97.8</v>
      </c>
      <c r="P619">
        <v>1</v>
      </c>
      <c r="Q619" t="s">
        <v>37</v>
      </c>
      <c r="R619">
        <v>36.519999999999897</v>
      </c>
      <c r="S619">
        <v>6.71</v>
      </c>
      <c r="T619" s="4">
        <v>30.08</v>
      </c>
      <c r="U619" s="4">
        <v>60.195899999999902</v>
      </c>
      <c r="V619" t="str">
        <f>IF(Table1[[#This Row],[ai_disruption_intensity]]&gt;70,"High",
IF(Table1[[#This Row],[ai_disruption_intensity]]&gt;40,"Medium","Low"))</f>
        <v>Medium</v>
      </c>
      <c r="W619" t="str">
        <f>IF(Table1[[#This Row],[skill_gap_index]]&gt;70,"Large Gap",
IF(Table1[[#This Row],[skill_gap_index]]&gt;40,"Medium Gap","Small Gap"))</f>
        <v>Small Gap</v>
      </c>
      <c r="X619" s="3" t="str">
        <f>IF(Table1[[#This Row],[automation_risk_percent]]&gt;0.7,"Highly Automatable",
IF(Table1[[#This Row],[automation_risk_percent]]&gt;0.4,"Moderate Risk","Safe Job"))</f>
        <v>Moderate Risk</v>
      </c>
    </row>
    <row r="620" spans="1:24" x14ac:dyDescent="0.3">
      <c r="A620">
        <v>2205</v>
      </c>
      <c r="B620" t="s">
        <v>44</v>
      </c>
      <c r="C620" t="s">
        <v>23</v>
      </c>
      <c r="D620" t="s">
        <v>42</v>
      </c>
      <c r="E620" s="1">
        <v>2026</v>
      </c>
      <c r="F620" s="11">
        <v>0.47899999999999998</v>
      </c>
      <c r="G620">
        <v>55.69</v>
      </c>
      <c r="H620">
        <v>4.0199999999999996</v>
      </c>
      <c r="I620" s="2">
        <v>77701.89</v>
      </c>
      <c r="J620" s="2">
        <v>78991.89</v>
      </c>
      <c r="K620" s="2">
        <f>Table1[[#This Row],[Salary_after]]-Table1[[#This Row],[Salary_before]]</f>
        <v>1290</v>
      </c>
      <c r="L620" s="11">
        <v>1.66E-2</v>
      </c>
      <c r="M620" s="11">
        <v>0.14960000000000001</v>
      </c>
      <c r="N620">
        <v>68.22</v>
      </c>
      <c r="O620">
        <v>86.96</v>
      </c>
      <c r="P620">
        <v>2</v>
      </c>
      <c r="Q620" t="s">
        <v>25</v>
      </c>
      <c r="R620">
        <v>25.96</v>
      </c>
      <c r="S620">
        <v>1.66</v>
      </c>
      <c r="T620" s="4">
        <v>20.864000000000001</v>
      </c>
      <c r="U620" s="4">
        <v>41.653840000000002</v>
      </c>
      <c r="V620" t="str">
        <f>IF(Table1[[#This Row],[ai_disruption_intensity]]&gt;70,"High",
IF(Table1[[#This Row],[ai_disruption_intensity]]&gt;40,"Medium","Low"))</f>
        <v>Medium</v>
      </c>
      <c r="W620" t="str">
        <f>IF(Table1[[#This Row],[skill_gap_index]]&gt;70,"Large Gap",
IF(Table1[[#This Row],[skill_gap_index]]&gt;40,"Medium Gap","Small Gap"))</f>
        <v>Small Gap</v>
      </c>
      <c r="X620" s="3" t="str">
        <f>IF(Table1[[#This Row],[automation_risk_percent]]&gt;0.7,"Highly Automatable",
IF(Table1[[#This Row],[automation_risk_percent]]&gt;0.4,"Moderate Risk","Safe Job"))</f>
        <v>Moderate Risk</v>
      </c>
    </row>
    <row r="621" spans="1:24" x14ac:dyDescent="0.3">
      <c r="A621">
        <v>2209</v>
      </c>
      <c r="B621" t="s">
        <v>26</v>
      </c>
      <c r="C621" t="s">
        <v>33</v>
      </c>
      <c r="D621" t="s">
        <v>32</v>
      </c>
      <c r="E621" s="1">
        <v>2026</v>
      </c>
      <c r="F621" s="11">
        <v>0.48930000000000001</v>
      </c>
      <c r="G621">
        <v>40.909999999999997</v>
      </c>
      <c r="H621">
        <v>88.83</v>
      </c>
      <c r="I621" s="2">
        <v>139139.89000000001</v>
      </c>
      <c r="J621" s="2">
        <v>132159.98000000001</v>
      </c>
      <c r="K621" s="2">
        <f>Table1[[#This Row],[Salary_after]]-Table1[[#This Row],[Salary_before]]</f>
        <v>-6979.9100000000035</v>
      </c>
      <c r="L621" s="11">
        <v>-5.0199999999999995E-2</v>
      </c>
      <c r="M621" s="11">
        <v>2.5600000000000001E-2</v>
      </c>
      <c r="N621">
        <v>10.46</v>
      </c>
      <c r="O621">
        <v>40.85</v>
      </c>
      <c r="P621">
        <v>3</v>
      </c>
      <c r="Q621" t="s">
        <v>25</v>
      </c>
      <c r="R621">
        <v>68.88</v>
      </c>
      <c r="S621">
        <v>5.0199999999999996</v>
      </c>
      <c r="T621" s="4">
        <v>47.726999999999997</v>
      </c>
      <c r="U621" s="4">
        <v>19.987905000000001</v>
      </c>
      <c r="V621" t="str">
        <f>IF(Table1[[#This Row],[ai_disruption_intensity]]&gt;70,"High",
IF(Table1[[#This Row],[ai_disruption_intensity]]&gt;40,"Medium","Low"))</f>
        <v>Low</v>
      </c>
      <c r="W621" t="str">
        <f>IF(Table1[[#This Row],[skill_gap_index]]&gt;70,"Large Gap",
IF(Table1[[#This Row],[skill_gap_index]]&gt;40,"Medium Gap","Small Gap"))</f>
        <v>Large Gap</v>
      </c>
      <c r="X621" s="3" t="str">
        <f>IF(Table1[[#This Row],[automation_risk_percent]]&gt;0.7,"Highly Automatable",
IF(Table1[[#This Row],[automation_risk_percent]]&gt;0.4,"Moderate Risk","Safe Job"))</f>
        <v>Moderate Risk</v>
      </c>
    </row>
    <row r="622" spans="1:24" x14ac:dyDescent="0.3">
      <c r="A622">
        <v>2218</v>
      </c>
      <c r="B622" t="s">
        <v>45</v>
      </c>
      <c r="C622" t="s">
        <v>40</v>
      </c>
      <c r="D622" t="s">
        <v>35</v>
      </c>
      <c r="E622" s="1">
        <v>2025</v>
      </c>
      <c r="F622" s="11">
        <v>0.13980000000000001</v>
      </c>
      <c r="G622">
        <v>15.2</v>
      </c>
      <c r="H622">
        <v>58.1</v>
      </c>
      <c r="I622" s="2">
        <v>90064.76</v>
      </c>
      <c r="J622" s="2">
        <v>92871.49</v>
      </c>
      <c r="K622" s="2">
        <f>Table1[[#This Row],[Salary_after]]-Table1[[#This Row],[Salary_before]]</f>
        <v>2806.7300000000105</v>
      </c>
      <c r="L622" s="11">
        <v>3.1200000000000002E-2</v>
      </c>
      <c r="M622" s="11">
        <v>0.11449999999999999</v>
      </c>
      <c r="N622">
        <v>33.31</v>
      </c>
      <c r="O622">
        <v>90.17</v>
      </c>
      <c r="P622">
        <v>1</v>
      </c>
      <c r="Q622" t="s">
        <v>21</v>
      </c>
      <c r="R622">
        <v>36.04</v>
      </c>
      <c r="S622">
        <v>3.12</v>
      </c>
      <c r="T622" s="4">
        <v>23.957999999999998</v>
      </c>
      <c r="U622" s="4">
        <v>12.605765999999999</v>
      </c>
      <c r="V622" t="str">
        <f>IF(Table1[[#This Row],[ai_disruption_intensity]]&gt;70,"High",
IF(Table1[[#This Row],[ai_disruption_intensity]]&gt;40,"Medium","Low"))</f>
        <v>Low</v>
      </c>
      <c r="W622" t="str">
        <f>IF(Table1[[#This Row],[skill_gap_index]]&gt;70,"Large Gap",
IF(Table1[[#This Row],[skill_gap_index]]&gt;40,"Medium Gap","Small Gap"))</f>
        <v>Medium Gap</v>
      </c>
      <c r="X622" s="3" t="str">
        <f>IF(Table1[[#This Row],[automation_risk_percent]]&gt;0.7,"Highly Automatable",
IF(Table1[[#This Row],[automation_risk_percent]]&gt;0.4,"Moderate Risk","Safe Job"))</f>
        <v>Safe Job</v>
      </c>
    </row>
    <row r="623" spans="1:24" x14ac:dyDescent="0.3">
      <c r="A623">
        <v>2219</v>
      </c>
      <c r="B623" t="s">
        <v>18</v>
      </c>
      <c r="C623" t="s">
        <v>33</v>
      </c>
      <c r="D623" t="s">
        <v>24</v>
      </c>
      <c r="E623" s="1">
        <v>2025</v>
      </c>
      <c r="F623" s="11">
        <v>0.40049999999999997</v>
      </c>
      <c r="G623">
        <v>45.08</v>
      </c>
      <c r="H623">
        <v>38.880000000000003</v>
      </c>
      <c r="I623" s="2">
        <v>132111.70000000001</v>
      </c>
      <c r="J623" s="2">
        <v>119429.34</v>
      </c>
      <c r="K623" s="2">
        <f>Table1[[#This Row],[Salary_after]]-Table1[[#This Row],[Salary_before]]</f>
        <v>-12682.360000000015</v>
      </c>
      <c r="L623" s="11">
        <v>-9.6000000000000002E-2</v>
      </c>
      <c r="M623" s="11">
        <v>8.6500000000000007E-2</v>
      </c>
      <c r="N623">
        <v>68.47</v>
      </c>
      <c r="O623">
        <v>19.13</v>
      </c>
      <c r="P623">
        <v>5</v>
      </c>
      <c r="Q623" t="s">
        <v>25</v>
      </c>
      <c r="R623">
        <v>39.465000000000003</v>
      </c>
      <c r="S623">
        <v>9.6</v>
      </c>
      <c r="T623" s="4">
        <v>30.563999999999901</v>
      </c>
      <c r="U623" s="4">
        <v>7.6615649999999897</v>
      </c>
      <c r="V623" t="str">
        <f>IF(Table1[[#This Row],[ai_disruption_intensity]]&gt;70,"High",
IF(Table1[[#This Row],[ai_disruption_intensity]]&gt;40,"Medium","Low"))</f>
        <v>Low</v>
      </c>
      <c r="W623" t="str">
        <f>IF(Table1[[#This Row],[skill_gap_index]]&gt;70,"Large Gap",
IF(Table1[[#This Row],[skill_gap_index]]&gt;40,"Medium Gap","Small Gap"))</f>
        <v>Small Gap</v>
      </c>
      <c r="X623" s="3" t="str">
        <f>IF(Table1[[#This Row],[automation_risk_percent]]&gt;0.7,"Highly Automatable",
IF(Table1[[#This Row],[automation_risk_percent]]&gt;0.4,"Moderate Risk","Safe Job"))</f>
        <v>Moderate Risk</v>
      </c>
    </row>
    <row r="624" spans="1:24" x14ac:dyDescent="0.3">
      <c r="A624">
        <v>2229</v>
      </c>
      <c r="B624" t="s">
        <v>18</v>
      </c>
      <c r="C624" t="s">
        <v>38</v>
      </c>
      <c r="D624" t="s">
        <v>20</v>
      </c>
      <c r="E624" s="1">
        <v>2026</v>
      </c>
      <c r="F624" s="11">
        <v>0.74769999999999992</v>
      </c>
      <c r="G624">
        <v>60.58</v>
      </c>
      <c r="H624">
        <v>70.819999999999993</v>
      </c>
      <c r="I624" s="2">
        <v>69639.320000000007</v>
      </c>
      <c r="J624" s="2">
        <v>69941.72</v>
      </c>
      <c r="K624" s="2">
        <f>Table1[[#This Row],[Salary_after]]-Table1[[#This Row],[Salary_before]]</f>
        <v>302.39999999999418</v>
      </c>
      <c r="L624" s="11">
        <v>4.3E-3</v>
      </c>
      <c r="M624" s="11">
        <v>-8.3599999999999994E-2</v>
      </c>
      <c r="N624">
        <v>55.46</v>
      </c>
      <c r="O624">
        <v>13.7</v>
      </c>
      <c r="P624">
        <v>3</v>
      </c>
      <c r="Q624" t="s">
        <v>37</v>
      </c>
      <c r="R624">
        <v>72.794999999999902</v>
      </c>
      <c r="S624">
        <v>0.43</v>
      </c>
      <c r="T624" s="4">
        <v>51.282999999999902</v>
      </c>
      <c r="U624" s="4">
        <v>10.24349</v>
      </c>
      <c r="V624" t="str">
        <f>IF(Table1[[#This Row],[ai_disruption_intensity]]&gt;70,"High",
IF(Table1[[#This Row],[ai_disruption_intensity]]&gt;40,"Medium","Low"))</f>
        <v>Low</v>
      </c>
      <c r="W624" t="str">
        <f>IF(Table1[[#This Row],[skill_gap_index]]&gt;70,"Large Gap",
IF(Table1[[#This Row],[skill_gap_index]]&gt;40,"Medium Gap","Small Gap"))</f>
        <v>Large Gap</v>
      </c>
      <c r="X624" s="3" t="str">
        <f>IF(Table1[[#This Row],[automation_risk_percent]]&gt;0.7,"Highly Automatable",
IF(Table1[[#This Row],[automation_risk_percent]]&gt;0.4,"Moderate Risk","Safe Job"))</f>
        <v>Highly Automatable</v>
      </c>
    </row>
    <row r="625" spans="1:24" x14ac:dyDescent="0.3">
      <c r="A625">
        <v>2233</v>
      </c>
      <c r="B625" t="s">
        <v>26</v>
      </c>
      <c r="C625" t="s">
        <v>19</v>
      </c>
      <c r="D625" t="s">
        <v>42</v>
      </c>
      <c r="E625" s="1">
        <v>2026</v>
      </c>
      <c r="F625" s="11">
        <v>0.3004</v>
      </c>
      <c r="G625">
        <v>31.78</v>
      </c>
      <c r="H625">
        <v>93.72</v>
      </c>
      <c r="I625" s="2">
        <v>42943.72</v>
      </c>
      <c r="J625" s="2">
        <v>49755.08</v>
      </c>
      <c r="K625" s="2">
        <f>Table1[[#This Row],[Salary_after]]-Table1[[#This Row],[Salary_before]]</f>
        <v>6811.3600000000006</v>
      </c>
      <c r="L625" s="11">
        <v>0.15859999999999999</v>
      </c>
      <c r="M625" s="11">
        <v>5.3800000000000001E-2</v>
      </c>
      <c r="N625">
        <v>29.39</v>
      </c>
      <c r="O625">
        <v>82.89</v>
      </c>
      <c r="P625">
        <v>4</v>
      </c>
      <c r="Q625" t="s">
        <v>25</v>
      </c>
      <c r="R625">
        <v>61.879999999999903</v>
      </c>
      <c r="S625">
        <v>15.86</v>
      </c>
      <c r="T625" s="4">
        <v>44.89</v>
      </c>
      <c r="U625" s="4">
        <v>24.9001559999999</v>
      </c>
      <c r="V625" t="str">
        <f>IF(Table1[[#This Row],[ai_disruption_intensity]]&gt;70,"High",
IF(Table1[[#This Row],[ai_disruption_intensity]]&gt;40,"Medium","Low"))</f>
        <v>Low</v>
      </c>
      <c r="W625" t="str">
        <f>IF(Table1[[#This Row],[skill_gap_index]]&gt;70,"Large Gap",
IF(Table1[[#This Row],[skill_gap_index]]&gt;40,"Medium Gap","Small Gap"))</f>
        <v>Large Gap</v>
      </c>
      <c r="X625" s="3" t="str">
        <f>IF(Table1[[#This Row],[automation_risk_percent]]&gt;0.7,"Highly Automatable",
IF(Table1[[#This Row],[automation_risk_percent]]&gt;0.4,"Moderate Risk","Safe Job"))</f>
        <v>Safe Job</v>
      </c>
    </row>
    <row r="626" spans="1:24" x14ac:dyDescent="0.3">
      <c r="A626">
        <v>2235</v>
      </c>
      <c r="B626" t="s">
        <v>26</v>
      </c>
      <c r="C626" t="s">
        <v>38</v>
      </c>
      <c r="D626" t="s">
        <v>47</v>
      </c>
      <c r="E626" s="1">
        <v>2026</v>
      </c>
      <c r="F626" s="11">
        <v>9.6600000000000005E-2</v>
      </c>
      <c r="G626">
        <v>8.58</v>
      </c>
      <c r="H626">
        <v>57.71</v>
      </c>
      <c r="I626" s="2">
        <v>61797.69</v>
      </c>
      <c r="J626" s="2">
        <v>68486.539999999994</v>
      </c>
      <c r="K626" s="2">
        <f>Table1[[#This Row],[Salary_after]]-Table1[[#This Row],[Salary_before]]</f>
        <v>6688.8499999999913</v>
      </c>
      <c r="L626" s="11">
        <v>0.1082</v>
      </c>
      <c r="M626" s="11">
        <v>0.21160000000000001</v>
      </c>
      <c r="N626">
        <v>19.73</v>
      </c>
      <c r="O626">
        <v>65.599999999999994</v>
      </c>
      <c r="P626">
        <v>3</v>
      </c>
      <c r="Q626" t="s">
        <v>21</v>
      </c>
      <c r="R626">
        <v>33.685000000000002</v>
      </c>
      <c r="S626">
        <v>10.82</v>
      </c>
      <c r="T626" s="4">
        <v>24.422999999999998</v>
      </c>
      <c r="U626" s="4">
        <v>6.3369599999999897</v>
      </c>
      <c r="V626" t="str">
        <f>IF(Table1[[#This Row],[ai_disruption_intensity]]&gt;70,"High",
IF(Table1[[#This Row],[ai_disruption_intensity]]&gt;40,"Medium","Low"))</f>
        <v>Low</v>
      </c>
      <c r="W626" t="str">
        <f>IF(Table1[[#This Row],[skill_gap_index]]&gt;70,"Large Gap",
IF(Table1[[#This Row],[skill_gap_index]]&gt;40,"Medium Gap","Small Gap"))</f>
        <v>Medium Gap</v>
      </c>
      <c r="X626" s="3" t="str">
        <f>IF(Table1[[#This Row],[automation_risk_percent]]&gt;0.7,"Highly Automatable",
IF(Table1[[#This Row],[automation_risk_percent]]&gt;0.4,"Moderate Risk","Safe Job"))</f>
        <v>Safe Job</v>
      </c>
    </row>
    <row r="627" spans="1:24" x14ac:dyDescent="0.3">
      <c r="A627">
        <v>2238</v>
      </c>
      <c r="B627" t="s">
        <v>43</v>
      </c>
      <c r="C627" t="s">
        <v>33</v>
      </c>
      <c r="D627" t="s">
        <v>28</v>
      </c>
      <c r="E627" s="1">
        <v>2026</v>
      </c>
      <c r="F627" s="11">
        <v>0.29320000000000002</v>
      </c>
      <c r="G627">
        <v>25.57</v>
      </c>
      <c r="H627">
        <v>55.66</v>
      </c>
      <c r="I627" s="2">
        <v>131131.85</v>
      </c>
      <c r="J627" s="2">
        <v>135648.62</v>
      </c>
      <c r="K627" s="2">
        <f>Table1[[#This Row],[Salary_after]]-Table1[[#This Row],[Salary_before]]</f>
        <v>4516.7699999999895</v>
      </c>
      <c r="L627" s="11">
        <v>3.44E-2</v>
      </c>
      <c r="M627" s="11">
        <v>0.1681</v>
      </c>
      <c r="N627">
        <v>93.63</v>
      </c>
      <c r="O627">
        <v>44.53</v>
      </c>
      <c r="P627">
        <v>5</v>
      </c>
      <c r="Q627" t="s">
        <v>21</v>
      </c>
      <c r="R627">
        <v>42.489999999999903</v>
      </c>
      <c r="S627">
        <v>3.44</v>
      </c>
      <c r="T627" s="4">
        <v>29.457999999999998</v>
      </c>
      <c r="U627" s="4">
        <v>13.056196</v>
      </c>
      <c r="V627" t="str">
        <f>IF(Table1[[#This Row],[ai_disruption_intensity]]&gt;70,"High",
IF(Table1[[#This Row],[ai_disruption_intensity]]&gt;40,"Medium","Low"))</f>
        <v>Low</v>
      </c>
      <c r="W627" t="str">
        <f>IF(Table1[[#This Row],[skill_gap_index]]&gt;70,"Large Gap",
IF(Table1[[#This Row],[skill_gap_index]]&gt;40,"Medium Gap","Small Gap"))</f>
        <v>Medium Gap</v>
      </c>
      <c r="X627" s="3" t="str">
        <f>IF(Table1[[#This Row],[automation_risk_percent]]&gt;0.7,"Highly Automatable",
IF(Table1[[#This Row],[automation_risk_percent]]&gt;0.4,"Moderate Risk","Safe Job"))</f>
        <v>Safe Job</v>
      </c>
    </row>
    <row r="628" spans="1:24" x14ac:dyDescent="0.3">
      <c r="A628">
        <v>2242</v>
      </c>
      <c r="B628" t="s">
        <v>46</v>
      </c>
      <c r="C628" t="s">
        <v>40</v>
      </c>
      <c r="D628" t="s">
        <v>32</v>
      </c>
      <c r="E628" s="1">
        <v>2025</v>
      </c>
      <c r="F628" s="11">
        <v>0.67099999999999993</v>
      </c>
      <c r="G628">
        <v>60.82</v>
      </c>
      <c r="H628">
        <v>29.65</v>
      </c>
      <c r="I628" s="2">
        <v>53711.69</v>
      </c>
      <c r="J628" s="2">
        <v>51828.160000000003</v>
      </c>
      <c r="K628" s="2">
        <f>Table1[[#This Row],[Salary_after]]-Table1[[#This Row],[Salary_before]]</f>
        <v>-1883.5299999999988</v>
      </c>
      <c r="L628" s="11">
        <v>-3.5099999999999999E-2</v>
      </c>
      <c r="M628" s="11">
        <v>1.1999999999999999E-3</v>
      </c>
      <c r="N628">
        <v>67.81</v>
      </c>
      <c r="O628">
        <v>45.54</v>
      </c>
      <c r="P628">
        <v>4</v>
      </c>
      <c r="Q628" t="s">
        <v>37</v>
      </c>
      <c r="R628">
        <v>48.375</v>
      </c>
      <c r="S628">
        <v>3.51</v>
      </c>
      <c r="T628" s="4">
        <v>36.787999999999997</v>
      </c>
      <c r="U628" s="4">
        <v>30.5573399999999</v>
      </c>
      <c r="V628" t="str">
        <f>IF(Table1[[#This Row],[ai_disruption_intensity]]&gt;70,"High",
IF(Table1[[#This Row],[ai_disruption_intensity]]&gt;40,"Medium","Low"))</f>
        <v>Low</v>
      </c>
      <c r="W628" t="str">
        <f>IF(Table1[[#This Row],[skill_gap_index]]&gt;70,"Large Gap",
IF(Table1[[#This Row],[skill_gap_index]]&gt;40,"Medium Gap","Small Gap"))</f>
        <v>Small Gap</v>
      </c>
      <c r="X628" s="3" t="str">
        <f>IF(Table1[[#This Row],[automation_risk_percent]]&gt;0.7,"Highly Automatable",
IF(Table1[[#This Row],[automation_risk_percent]]&gt;0.4,"Moderate Risk","Safe Job"))</f>
        <v>Moderate Risk</v>
      </c>
    </row>
    <row r="629" spans="1:24" x14ac:dyDescent="0.3">
      <c r="A629">
        <v>2248</v>
      </c>
      <c r="B629" t="s">
        <v>39</v>
      </c>
      <c r="C629" t="s">
        <v>38</v>
      </c>
      <c r="D629" t="s">
        <v>28</v>
      </c>
      <c r="E629" s="1">
        <v>2026</v>
      </c>
      <c r="F629" s="11">
        <v>0.39539999999999997</v>
      </c>
      <c r="G629">
        <v>46.66</v>
      </c>
      <c r="H629">
        <v>3.54</v>
      </c>
      <c r="I629" s="2">
        <v>119510.03</v>
      </c>
      <c r="J629" s="2">
        <v>104100.62</v>
      </c>
      <c r="K629" s="2">
        <f>Table1[[#This Row],[Salary_after]]-Table1[[#This Row],[Salary_before]]</f>
        <v>-15409.410000000003</v>
      </c>
      <c r="L629" s="11">
        <v>-0.12890000000000001</v>
      </c>
      <c r="M629" s="11">
        <v>0.1235</v>
      </c>
      <c r="N629">
        <v>55.66</v>
      </c>
      <c r="O629">
        <v>12.96</v>
      </c>
      <c r="P629">
        <v>3</v>
      </c>
      <c r="Q629" t="s">
        <v>25</v>
      </c>
      <c r="R629">
        <v>21.54</v>
      </c>
      <c r="S629">
        <v>12.89</v>
      </c>
      <c r="T629" s="4">
        <v>20.745000000000001</v>
      </c>
      <c r="U629" s="4">
        <v>5.1243840000000001</v>
      </c>
      <c r="V629" t="str">
        <f>IF(Table1[[#This Row],[ai_disruption_intensity]]&gt;70,"High",
IF(Table1[[#This Row],[ai_disruption_intensity]]&gt;40,"Medium","Low"))</f>
        <v>Low</v>
      </c>
      <c r="W629" t="str">
        <f>IF(Table1[[#This Row],[skill_gap_index]]&gt;70,"Large Gap",
IF(Table1[[#This Row],[skill_gap_index]]&gt;40,"Medium Gap","Small Gap"))</f>
        <v>Small Gap</v>
      </c>
      <c r="X629" s="3" t="str">
        <f>IF(Table1[[#This Row],[automation_risk_percent]]&gt;0.7,"Highly Automatable",
IF(Table1[[#This Row],[automation_risk_percent]]&gt;0.4,"Moderate Risk","Safe Job"))</f>
        <v>Safe Job</v>
      </c>
    </row>
    <row r="630" spans="1:24" x14ac:dyDescent="0.3">
      <c r="A630">
        <v>2251</v>
      </c>
      <c r="B630" t="s">
        <v>22</v>
      </c>
      <c r="C630" t="s">
        <v>38</v>
      </c>
      <c r="D630" t="s">
        <v>35</v>
      </c>
      <c r="E630" s="1">
        <v>2025</v>
      </c>
      <c r="F630" s="11">
        <v>0.46789999999999998</v>
      </c>
      <c r="G630">
        <v>40.03</v>
      </c>
      <c r="H630">
        <v>91.47</v>
      </c>
      <c r="I630" s="2">
        <v>141446.9</v>
      </c>
      <c r="J630" s="2">
        <v>172612.04</v>
      </c>
      <c r="K630" s="2">
        <f>Table1[[#This Row],[Salary_after]]-Table1[[#This Row],[Salary_before]]</f>
        <v>31165.140000000014</v>
      </c>
      <c r="L630" s="11">
        <v>0.22030000000000002</v>
      </c>
      <c r="M630" s="11">
        <v>0.11320000000000001</v>
      </c>
      <c r="N630">
        <v>99.52</v>
      </c>
      <c r="O630">
        <v>99.61</v>
      </c>
      <c r="P630">
        <v>5</v>
      </c>
      <c r="Q630" t="s">
        <v>25</v>
      </c>
      <c r="R630">
        <v>69.13</v>
      </c>
      <c r="S630">
        <v>22.03</v>
      </c>
      <c r="T630" s="4">
        <v>52.765999999999998</v>
      </c>
      <c r="U630" s="4">
        <v>46.607519000000003</v>
      </c>
      <c r="V630" t="str">
        <f>IF(Table1[[#This Row],[ai_disruption_intensity]]&gt;70,"High",
IF(Table1[[#This Row],[ai_disruption_intensity]]&gt;40,"Medium","Low"))</f>
        <v>Medium</v>
      </c>
      <c r="W630" t="str">
        <f>IF(Table1[[#This Row],[skill_gap_index]]&gt;70,"Large Gap",
IF(Table1[[#This Row],[skill_gap_index]]&gt;40,"Medium Gap","Small Gap"))</f>
        <v>Large Gap</v>
      </c>
      <c r="X630" s="3" t="str">
        <f>IF(Table1[[#This Row],[automation_risk_percent]]&gt;0.7,"Highly Automatable",
IF(Table1[[#This Row],[automation_risk_percent]]&gt;0.4,"Moderate Risk","Safe Job"))</f>
        <v>Moderate Risk</v>
      </c>
    </row>
    <row r="631" spans="1:24" x14ac:dyDescent="0.3">
      <c r="A631">
        <v>2259</v>
      </c>
      <c r="B631" t="s">
        <v>22</v>
      </c>
      <c r="C631" t="s">
        <v>19</v>
      </c>
      <c r="D631" t="s">
        <v>35</v>
      </c>
      <c r="E631" s="1">
        <v>2026</v>
      </c>
      <c r="F631" s="11">
        <v>0.72709999999999997</v>
      </c>
      <c r="G631">
        <v>75.489999999999995</v>
      </c>
      <c r="H631">
        <v>82.49</v>
      </c>
      <c r="I631" s="2">
        <v>95441.4</v>
      </c>
      <c r="J631" s="2">
        <v>89126.14</v>
      </c>
      <c r="K631" s="2">
        <f>Table1[[#This Row],[Salary_after]]-Table1[[#This Row],[Salary_before]]</f>
        <v>-6315.2599999999948</v>
      </c>
      <c r="L631" s="11">
        <v>-6.6199999999999995E-2</v>
      </c>
      <c r="M631" s="11">
        <v>-6.4100000000000004E-2</v>
      </c>
      <c r="N631">
        <v>44.34</v>
      </c>
      <c r="O631">
        <v>97.29</v>
      </c>
      <c r="P631">
        <v>4</v>
      </c>
      <c r="Q631" t="s">
        <v>37</v>
      </c>
      <c r="R631">
        <v>77.599999999999994</v>
      </c>
      <c r="S631">
        <v>6.62</v>
      </c>
      <c r="T631" s="4">
        <v>55.816999999999901</v>
      </c>
      <c r="U631" s="4">
        <v>70.739559</v>
      </c>
      <c r="V631" t="str">
        <f>IF(Table1[[#This Row],[ai_disruption_intensity]]&gt;70,"High",
IF(Table1[[#This Row],[ai_disruption_intensity]]&gt;40,"Medium","Low"))</f>
        <v>High</v>
      </c>
      <c r="W631" t="str">
        <f>IF(Table1[[#This Row],[skill_gap_index]]&gt;70,"Large Gap",
IF(Table1[[#This Row],[skill_gap_index]]&gt;40,"Medium Gap","Small Gap"))</f>
        <v>Large Gap</v>
      </c>
      <c r="X631" s="3" t="str">
        <f>IF(Table1[[#This Row],[automation_risk_percent]]&gt;0.7,"Highly Automatable",
IF(Table1[[#This Row],[automation_risk_percent]]&gt;0.4,"Moderate Risk","Safe Job"))</f>
        <v>Highly Automatable</v>
      </c>
    </row>
    <row r="632" spans="1:24" x14ac:dyDescent="0.3">
      <c r="A632">
        <v>2261</v>
      </c>
      <c r="B632" t="s">
        <v>46</v>
      </c>
      <c r="C632" t="s">
        <v>27</v>
      </c>
      <c r="D632" t="s">
        <v>47</v>
      </c>
      <c r="E632" s="1">
        <v>2026</v>
      </c>
      <c r="F632" s="11">
        <v>0.157</v>
      </c>
      <c r="G632">
        <v>18.5</v>
      </c>
      <c r="H632">
        <v>1.38</v>
      </c>
      <c r="I632" s="2">
        <v>95519.3</v>
      </c>
      <c r="J632" s="2">
        <v>93578.99</v>
      </c>
      <c r="K632" s="2">
        <f>Table1[[#This Row],[Salary_after]]-Table1[[#This Row],[Salary_before]]</f>
        <v>-1940.3099999999977</v>
      </c>
      <c r="L632" s="11">
        <v>-2.0299999999999999E-2</v>
      </c>
      <c r="M632" s="11">
        <v>9.5999999999999992E-3</v>
      </c>
      <c r="N632">
        <v>17.93</v>
      </c>
      <c r="O632">
        <v>85.95</v>
      </c>
      <c r="P632">
        <v>5</v>
      </c>
      <c r="Q632" t="s">
        <v>21</v>
      </c>
      <c r="R632">
        <v>8.5399999999999991</v>
      </c>
      <c r="S632">
        <v>2.0299999999999998</v>
      </c>
      <c r="T632" s="4">
        <v>7.3029999999999999</v>
      </c>
      <c r="U632" s="4">
        <v>13.494149999999999</v>
      </c>
      <c r="V632" t="str">
        <f>IF(Table1[[#This Row],[ai_disruption_intensity]]&gt;70,"High",
IF(Table1[[#This Row],[ai_disruption_intensity]]&gt;40,"Medium","Low"))</f>
        <v>Low</v>
      </c>
      <c r="W632" t="str">
        <f>IF(Table1[[#This Row],[skill_gap_index]]&gt;70,"Large Gap",
IF(Table1[[#This Row],[skill_gap_index]]&gt;40,"Medium Gap","Small Gap"))</f>
        <v>Small Gap</v>
      </c>
      <c r="X632" s="3" t="str">
        <f>IF(Table1[[#This Row],[automation_risk_percent]]&gt;0.7,"Highly Automatable",
IF(Table1[[#This Row],[automation_risk_percent]]&gt;0.4,"Moderate Risk","Safe Job"))</f>
        <v>Safe Job</v>
      </c>
    </row>
    <row r="633" spans="1:24" x14ac:dyDescent="0.3">
      <c r="A633">
        <v>2264</v>
      </c>
      <c r="B633" t="s">
        <v>18</v>
      </c>
      <c r="C633" t="s">
        <v>38</v>
      </c>
      <c r="D633" t="s">
        <v>20</v>
      </c>
      <c r="E633" s="1">
        <v>2026</v>
      </c>
      <c r="F633" s="11">
        <v>0.57420000000000004</v>
      </c>
      <c r="G633">
        <v>68.84</v>
      </c>
      <c r="H633">
        <v>3.05</v>
      </c>
      <c r="I633" s="2">
        <v>40949.089999999997</v>
      </c>
      <c r="J633" s="2">
        <v>40235.089999999997</v>
      </c>
      <c r="K633" s="2">
        <f>Table1[[#This Row],[Salary_after]]-Table1[[#This Row],[Salary_before]]</f>
        <v>-714</v>
      </c>
      <c r="L633" s="11">
        <v>-1.7399999999999999E-2</v>
      </c>
      <c r="M633" s="11">
        <v>-2.2599999999999999E-2</v>
      </c>
      <c r="N633">
        <v>83.94</v>
      </c>
      <c r="O633">
        <v>84.41</v>
      </c>
      <c r="P633">
        <v>5</v>
      </c>
      <c r="Q633" t="s">
        <v>25</v>
      </c>
      <c r="R633">
        <v>30.234999999999999</v>
      </c>
      <c r="S633">
        <v>1.74</v>
      </c>
      <c r="T633" s="4">
        <v>24.405000000000001</v>
      </c>
      <c r="U633" s="4">
        <v>48.468221999999997</v>
      </c>
      <c r="V633" t="str">
        <f>IF(Table1[[#This Row],[ai_disruption_intensity]]&gt;70,"High",
IF(Table1[[#This Row],[ai_disruption_intensity]]&gt;40,"Medium","Low"))</f>
        <v>Medium</v>
      </c>
      <c r="W633" t="str">
        <f>IF(Table1[[#This Row],[skill_gap_index]]&gt;70,"Large Gap",
IF(Table1[[#This Row],[skill_gap_index]]&gt;40,"Medium Gap","Small Gap"))</f>
        <v>Small Gap</v>
      </c>
      <c r="X633" s="3" t="str">
        <f>IF(Table1[[#This Row],[automation_risk_percent]]&gt;0.7,"Highly Automatable",
IF(Table1[[#This Row],[automation_risk_percent]]&gt;0.4,"Moderate Risk","Safe Job"))</f>
        <v>Moderate Risk</v>
      </c>
    </row>
    <row r="634" spans="1:24" x14ac:dyDescent="0.3">
      <c r="A634">
        <v>2265</v>
      </c>
      <c r="B634" t="s">
        <v>43</v>
      </c>
      <c r="C634" t="s">
        <v>27</v>
      </c>
      <c r="D634" t="s">
        <v>36</v>
      </c>
      <c r="E634" s="1">
        <v>2025</v>
      </c>
      <c r="F634" s="11">
        <v>0.6159</v>
      </c>
      <c r="G634">
        <v>71.37</v>
      </c>
      <c r="H634">
        <v>32.29</v>
      </c>
      <c r="I634" s="2">
        <v>40578.559999999998</v>
      </c>
      <c r="J634" s="2">
        <v>44313.39</v>
      </c>
      <c r="K634" s="2">
        <f>Table1[[#This Row],[Salary_after]]-Table1[[#This Row],[Salary_before]]</f>
        <v>3734.8300000000017</v>
      </c>
      <c r="L634" s="11">
        <v>9.1999999999999998E-2</v>
      </c>
      <c r="M634" s="11">
        <v>0.15679999999999999</v>
      </c>
      <c r="N634">
        <v>40.57</v>
      </c>
      <c r="O634">
        <v>37.99</v>
      </c>
      <c r="P634">
        <v>2</v>
      </c>
      <c r="Q634" t="s">
        <v>37</v>
      </c>
      <c r="R634">
        <v>46.94</v>
      </c>
      <c r="S634">
        <v>9.1999999999999993</v>
      </c>
      <c r="T634" s="4">
        <v>37.082999999999998</v>
      </c>
      <c r="U634" s="4">
        <v>23.398040999999999</v>
      </c>
      <c r="V634" t="str">
        <f>IF(Table1[[#This Row],[ai_disruption_intensity]]&gt;70,"High",
IF(Table1[[#This Row],[ai_disruption_intensity]]&gt;40,"Medium","Low"))</f>
        <v>Low</v>
      </c>
      <c r="W634" t="str">
        <f>IF(Table1[[#This Row],[skill_gap_index]]&gt;70,"Large Gap",
IF(Table1[[#This Row],[skill_gap_index]]&gt;40,"Medium Gap","Small Gap"))</f>
        <v>Small Gap</v>
      </c>
      <c r="X634" s="3" t="str">
        <f>IF(Table1[[#This Row],[automation_risk_percent]]&gt;0.7,"Highly Automatable",
IF(Table1[[#This Row],[automation_risk_percent]]&gt;0.4,"Moderate Risk","Safe Job"))</f>
        <v>Moderate Risk</v>
      </c>
    </row>
    <row r="635" spans="1:24" x14ac:dyDescent="0.3">
      <c r="A635">
        <v>2268</v>
      </c>
      <c r="B635" t="s">
        <v>18</v>
      </c>
      <c r="C635" t="s">
        <v>38</v>
      </c>
      <c r="D635" t="s">
        <v>35</v>
      </c>
      <c r="E635" s="1">
        <v>2026</v>
      </c>
      <c r="F635" s="11">
        <v>0.70799999999999996</v>
      </c>
      <c r="G635">
        <v>81.64</v>
      </c>
      <c r="H635">
        <v>44.5</v>
      </c>
      <c r="I635" s="2">
        <v>90919.2</v>
      </c>
      <c r="J635" s="2">
        <v>78982.960000000006</v>
      </c>
      <c r="K635" s="2">
        <f>Table1[[#This Row],[Salary_after]]-Table1[[#This Row],[Salary_before]]</f>
        <v>-11936.239999999991</v>
      </c>
      <c r="L635" s="11">
        <v>-0.1313</v>
      </c>
      <c r="M635" s="11">
        <v>-0.16870000000000002</v>
      </c>
      <c r="N635">
        <v>90.56</v>
      </c>
      <c r="O635">
        <v>78.81</v>
      </c>
      <c r="P635">
        <v>5</v>
      </c>
      <c r="Q635" t="s">
        <v>37</v>
      </c>
      <c r="R635">
        <v>57.65</v>
      </c>
      <c r="S635">
        <v>13.13</v>
      </c>
      <c r="T635" s="4">
        <v>45.609000000000002</v>
      </c>
      <c r="U635" s="4">
        <v>55.797479999999901</v>
      </c>
      <c r="V635" t="str">
        <f>IF(Table1[[#This Row],[ai_disruption_intensity]]&gt;70,"High",
IF(Table1[[#This Row],[ai_disruption_intensity]]&gt;40,"Medium","Low"))</f>
        <v>Medium</v>
      </c>
      <c r="W635" t="str">
        <f>IF(Table1[[#This Row],[skill_gap_index]]&gt;70,"Large Gap",
IF(Table1[[#This Row],[skill_gap_index]]&gt;40,"Medium Gap","Small Gap"))</f>
        <v>Medium Gap</v>
      </c>
      <c r="X635" s="3" t="str">
        <f>IF(Table1[[#This Row],[automation_risk_percent]]&gt;0.7,"Highly Automatable",
IF(Table1[[#This Row],[automation_risk_percent]]&gt;0.4,"Moderate Risk","Safe Job"))</f>
        <v>Highly Automatable</v>
      </c>
    </row>
    <row r="636" spans="1:24" x14ac:dyDescent="0.3">
      <c r="A636">
        <v>2270</v>
      </c>
      <c r="B636" t="s">
        <v>46</v>
      </c>
      <c r="C636" t="s">
        <v>38</v>
      </c>
      <c r="D636" t="s">
        <v>20</v>
      </c>
      <c r="E636" s="1">
        <v>2025</v>
      </c>
      <c r="F636" s="11">
        <v>0.50690000000000002</v>
      </c>
      <c r="G636">
        <v>50.69</v>
      </c>
      <c r="H636">
        <v>57.06</v>
      </c>
      <c r="I636" s="2">
        <v>115548.69</v>
      </c>
      <c r="J636" s="2">
        <v>107113.68</v>
      </c>
      <c r="K636" s="2">
        <f>Table1[[#This Row],[Salary_after]]-Table1[[#This Row],[Salary_before]]</f>
        <v>-8435.0100000000093</v>
      </c>
      <c r="L636" s="11">
        <v>-7.2999999999999995E-2</v>
      </c>
      <c r="M636" s="11">
        <v>0.13869999999999999</v>
      </c>
      <c r="N636">
        <v>23.21</v>
      </c>
      <c r="O636">
        <v>29.18</v>
      </c>
      <c r="P636">
        <v>5</v>
      </c>
      <c r="Q636" t="s">
        <v>25</v>
      </c>
      <c r="R636">
        <v>53.875</v>
      </c>
      <c r="S636">
        <v>7.3</v>
      </c>
      <c r="T636" s="4">
        <v>39.583999999999897</v>
      </c>
      <c r="U636" s="4">
        <v>14.791342</v>
      </c>
      <c r="V636" t="str">
        <f>IF(Table1[[#This Row],[ai_disruption_intensity]]&gt;70,"High",
IF(Table1[[#This Row],[ai_disruption_intensity]]&gt;40,"Medium","Low"))</f>
        <v>Low</v>
      </c>
      <c r="W636" t="str">
        <f>IF(Table1[[#This Row],[skill_gap_index]]&gt;70,"Large Gap",
IF(Table1[[#This Row],[skill_gap_index]]&gt;40,"Medium Gap","Small Gap"))</f>
        <v>Medium Gap</v>
      </c>
      <c r="X636" s="3" t="str">
        <f>IF(Table1[[#This Row],[automation_risk_percent]]&gt;0.7,"Highly Automatable",
IF(Table1[[#This Row],[automation_risk_percent]]&gt;0.4,"Moderate Risk","Safe Job"))</f>
        <v>Moderate Risk</v>
      </c>
    </row>
    <row r="637" spans="1:24" x14ac:dyDescent="0.3">
      <c r="A637">
        <v>2274</v>
      </c>
      <c r="B637" t="s">
        <v>45</v>
      </c>
      <c r="C637" t="s">
        <v>34</v>
      </c>
      <c r="D637" t="s">
        <v>36</v>
      </c>
      <c r="E637" s="1">
        <v>2026</v>
      </c>
      <c r="F637" s="11">
        <v>0.32919999999999999</v>
      </c>
      <c r="G637">
        <v>32.19</v>
      </c>
      <c r="H637">
        <v>45.52</v>
      </c>
      <c r="I637" s="2">
        <v>122977.17</v>
      </c>
      <c r="J637" s="2">
        <v>117585.74</v>
      </c>
      <c r="K637" s="2">
        <f>Table1[[#This Row],[Salary_after]]-Table1[[#This Row],[Salary_before]]</f>
        <v>-5391.429999999993</v>
      </c>
      <c r="L637" s="11">
        <v>-4.3799999999999999E-2</v>
      </c>
      <c r="M637" s="11">
        <v>4.4800000000000006E-2</v>
      </c>
      <c r="N637">
        <v>73.91</v>
      </c>
      <c r="O637">
        <v>88.48</v>
      </c>
      <c r="P637">
        <v>3</v>
      </c>
      <c r="Q637" t="s">
        <v>25</v>
      </c>
      <c r="R637">
        <v>39.22</v>
      </c>
      <c r="S637">
        <v>4.38</v>
      </c>
      <c r="T637" s="4">
        <v>28.138000000000002</v>
      </c>
      <c r="U637" s="4">
        <v>29.127616</v>
      </c>
      <c r="V637" t="str">
        <f>IF(Table1[[#This Row],[ai_disruption_intensity]]&gt;70,"High",
IF(Table1[[#This Row],[ai_disruption_intensity]]&gt;40,"Medium","Low"))</f>
        <v>Low</v>
      </c>
      <c r="W637" t="str">
        <f>IF(Table1[[#This Row],[skill_gap_index]]&gt;70,"Large Gap",
IF(Table1[[#This Row],[skill_gap_index]]&gt;40,"Medium Gap","Small Gap"))</f>
        <v>Medium Gap</v>
      </c>
      <c r="X637" s="3" t="str">
        <f>IF(Table1[[#This Row],[automation_risk_percent]]&gt;0.7,"Highly Automatable",
IF(Table1[[#This Row],[automation_risk_percent]]&gt;0.4,"Moderate Risk","Safe Job"))</f>
        <v>Safe Job</v>
      </c>
    </row>
    <row r="638" spans="1:24" x14ac:dyDescent="0.3">
      <c r="A638">
        <v>2280</v>
      </c>
      <c r="B638" t="s">
        <v>43</v>
      </c>
      <c r="C638" t="s">
        <v>30</v>
      </c>
      <c r="D638" t="s">
        <v>42</v>
      </c>
      <c r="E638" s="1">
        <v>2025</v>
      </c>
      <c r="F638" s="11">
        <v>0.55200000000000005</v>
      </c>
      <c r="G638">
        <v>66.16</v>
      </c>
      <c r="H638">
        <v>23.23</v>
      </c>
      <c r="I638" s="2">
        <v>63548.52</v>
      </c>
      <c r="J638" s="2">
        <v>53298.04</v>
      </c>
      <c r="K638" s="2">
        <f>Table1[[#This Row],[Salary_after]]-Table1[[#This Row],[Salary_before]]</f>
        <v>-10250.479999999996</v>
      </c>
      <c r="L638" s="11">
        <v>-0.1613</v>
      </c>
      <c r="M638" s="11">
        <v>5.6900000000000006E-2</v>
      </c>
      <c r="N638">
        <v>93.91</v>
      </c>
      <c r="O638">
        <v>98.15</v>
      </c>
      <c r="P638">
        <v>1</v>
      </c>
      <c r="Q638" t="s">
        <v>25</v>
      </c>
      <c r="R638">
        <v>39.215000000000003</v>
      </c>
      <c r="S638">
        <v>16.13</v>
      </c>
      <c r="T638" s="4">
        <v>33.887999999999998</v>
      </c>
      <c r="U638" s="4">
        <v>54.178800000000003</v>
      </c>
      <c r="V638" t="str">
        <f>IF(Table1[[#This Row],[ai_disruption_intensity]]&gt;70,"High",
IF(Table1[[#This Row],[ai_disruption_intensity]]&gt;40,"Medium","Low"))</f>
        <v>Medium</v>
      </c>
      <c r="W638" t="str">
        <f>IF(Table1[[#This Row],[skill_gap_index]]&gt;70,"Large Gap",
IF(Table1[[#This Row],[skill_gap_index]]&gt;40,"Medium Gap","Small Gap"))</f>
        <v>Small Gap</v>
      </c>
      <c r="X638" s="3" t="str">
        <f>IF(Table1[[#This Row],[automation_risk_percent]]&gt;0.7,"Highly Automatable",
IF(Table1[[#This Row],[automation_risk_percent]]&gt;0.4,"Moderate Risk","Safe Job"))</f>
        <v>Moderate Risk</v>
      </c>
    </row>
    <row r="639" spans="1:24" x14ac:dyDescent="0.3">
      <c r="A639">
        <v>2286</v>
      </c>
      <c r="B639" t="s">
        <v>45</v>
      </c>
      <c r="C639" t="s">
        <v>27</v>
      </c>
      <c r="D639" t="s">
        <v>24</v>
      </c>
      <c r="E639" s="1">
        <v>2026</v>
      </c>
      <c r="F639" s="11">
        <v>0.1351</v>
      </c>
      <c r="G639">
        <v>13.57</v>
      </c>
      <c r="H639">
        <v>48.17</v>
      </c>
      <c r="I639" s="2">
        <v>120147.62</v>
      </c>
      <c r="J639" s="2">
        <v>109069.72</v>
      </c>
      <c r="K639" s="2">
        <f>Table1[[#This Row],[Salary_after]]-Table1[[#This Row],[Salary_before]]</f>
        <v>-11077.899999999994</v>
      </c>
      <c r="L639" s="11">
        <v>-9.2200000000000004E-2</v>
      </c>
      <c r="M639" s="11">
        <v>-2.1600000000000001E-2</v>
      </c>
      <c r="N639">
        <v>93.35</v>
      </c>
      <c r="O639">
        <v>57.17</v>
      </c>
      <c r="P639">
        <v>3</v>
      </c>
      <c r="Q639" t="s">
        <v>21</v>
      </c>
      <c r="R639">
        <v>30.84</v>
      </c>
      <c r="S639">
        <v>9.2200000000000006</v>
      </c>
      <c r="T639" s="4">
        <v>22.620999999999999</v>
      </c>
      <c r="U639" s="4">
        <v>7.7236669999999998</v>
      </c>
      <c r="V639" t="str">
        <f>IF(Table1[[#This Row],[ai_disruption_intensity]]&gt;70,"High",
IF(Table1[[#This Row],[ai_disruption_intensity]]&gt;40,"Medium","Low"))</f>
        <v>Low</v>
      </c>
      <c r="W639" t="str">
        <f>IF(Table1[[#This Row],[skill_gap_index]]&gt;70,"Large Gap",
IF(Table1[[#This Row],[skill_gap_index]]&gt;40,"Medium Gap","Small Gap"))</f>
        <v>Medium Gap</v>
      </c>
      <c r="X639" s="3" t="str">
        <f>IF(Table1[[#This Row],[automation_risk_percent]]&gt;0.7,"Highly Automatable",
IF(Table1[[#This Row],[automation_risk_percent]]&gt;0.4,"Moderate Risk","Safe Job"))</f>
        <v>Safe Job</v>
      </c>
    </row>
    <row r="640" spans="1:24" x14ac:dyDescent="0.3">
      <c r="A640">
        <v>2293</v>
      </c>
      <c r="B640" t="s">
        <v>22</v>
      </c>
      <c r="C640" t="s">
        <v>27</v>
      </c>
      <c r="D640" t="s">
        <v>24</v>
      </c>
      <c r="E640" s="1">
        <v>2025</v>
      </c>
      <c r="F640" s="11">
        <v>0.215</v>
      </c>
      <c r="G640">
        <v>17.809999999999999</v>
      </c>
      <c r="H640">
        <v>31.99</v>
      </c>
      <c r="I640" s="2">
        <v>86821.03</v>
      </c>
      <c r="J640" s="2">
        <v>94947.25</v>
      </c>
      <c r="K640" s="2">
        <f>Table1[[#This Row],[Salary_after]]-Table1[[#This Row],[Salary_before]]</f>
        <v>8126.2200000000012</v>
      </c>
      <c r="L640" s="11">
        <v>9.3599999999999989E-2</v>
      </c>
      <c r="M640" s="11">
        <v>0.1595</v>
      </c>
      <c r="N640">
        <v>28.4</v>
      </c>
      <c r="O640">
        <v>5.85</v>
      </c>
      <c r="P640">
        <v>4</v>
      </c>
      <c r="Q640" t="s">
        <v>21</v>
      </c>
      <c r="R640">
        <v>26.744999999999902</v>
      </c>
      <c r="S640">
        <v>9.36</v>
      </c>
      <c r="T640" s="4">
        <v>21.004999999999999</v>
      </c>
      <c r="U640" s="4">
        <v>1.2577499999999999</v>
      </c>
      <c r="V640" t="str">
        <f>IF(Table1[[#This Row],[ai_disruption_intensity]]&gt;70,"High",
IF(Table1[[#This Row],[ai_disruption_intensity]]&gt;40,"Medium","Low"))</f>
        <v>Low</v>
      </c>
      <c r="W640" t="str">
        <f>IF(Table1[[#This Row],[skill_gap_index]]&gt;70,"Large Gap",
IF(Table1[[#This Row],[skill_gap_index]]&gt;40,"Medium Gap","Small Gap"))</f>
        <v>Small Gap</v>
      </c>
      <c r="X640" s="3" t="str">
        <f>IF(Table1[[#This Row],[automation_risk_percent]]&gt;0.7,"Highly Automatable",
IF(Table1[[#This Row],[automation_risk_percent]]&gt;0.4,"Moderate Risk","Safe Job"))</f>
        <v>Safe Job</v>
      </c>
    </row>
    <row r="641" spans="1:24" x14ac:dyDescent="0.3">
      <c r="A641">
        <v>2296</v>
      </c>
      <c r="B641" t="s">
        <v>18</v>
      </c>
      <c r="C641" t="s">
        <v>23</v>
      </c>
      <c r="D641" t="s">
        <v>47</v>
      </c>
      <c r="E641" s="1">
        <v>2025</v>
      </c>
      <c r="F641" s="11">
        <v>0.65790000000000004</v>
      </c>
      <c r="G641">
        <v>73.64</v>
      </c>
      <c r="H641">
        <v>77.540000000000006</v>
      </c>
      <c r="I641" s="2">
        <v>92980.02</v>
      </c>
      <c r="J641" s="2">
        <v>101087.82</v>
      </c>
      <c r="K641" s="2">
        <f>Table1[[#This Row],[Salary_after]]-Table1[[#This Row],[Salary_before]]</f>
        <v>8107.8000000000029</v>
      </c>
      <c r="L641" s="11">
        <v>8.72E-2</v>
      </c>
      <c r="M641" s="11">
        <v>-1.0700000000000001E-2</v>
      </c>
      <c r="N641">
        <v>26.75</v>
      </c>
      <c r="O641">
        <v>28.98</v>
      </c>
      <c r="P641">
        <v>1</v>
      </c>
      <c r="Q641" t="s">
        <v>37</v>
      </c>
      <c r="R641">
        <v>71.665000000000006</v>
      </c>
      <c r="S641">
        <v>8.7200000000000006</v>
      </c>
      <c r="T641" s="4">
        <v>52.194000000000003</v>
      </c>
      <c r="U641" s="4">
        <v>19.065942</v>
      </c>
      <c r="V641" t="str">
        <f>IF(Table1[[#This Row],[ai_disruption_intensity]]&gt;70,"High",
IF(Table1[[#This Row],[ai_disruption_intensity]]&gt;40,"Medium","Low"))</f>
        <v>Low</v>
      </c>
      <c r="W641" t="str">
        <f>IF(Table1[[#This Row],[skill_gap_index]]&gt;70,"Large Gap",
IF(Table1[[#This Row],[skill_gap_index]]&gt;40,"Medium Gap","Small Gap"))</f>
        <v>Large Gap</v>
      </c>
      <c r="X641" s="3" t="str">
        <f>IF(Table1[[#This Row],[automation_risk_percent]]&gt;0.7,"Highly Automatable",
IF(Table1[[#This Row],[automation_risk_percent]]&gt;0.4,"Moderate Risk","Safe Job"))</f>
        <v>Moderate Risk</v>
      </c>
    </row>
    <row r="642" spans="1:24" x14ac:dyDescent="0.3">
      <c r="A642">
        <v>2306</v>
      </c>
      <c r="B642" t="s">
        <v>18</v>
      </c>
      <c r="C642" t="s">
        <v>30</v>
      </c>
      <c r="D642" t="s">
        <v>36</v>
      </c>
      <c r="E642" s="1">
        <v>2025</v>
      </c>
      <c r="F642" s="11">
        <v>0.57940000000000003</v>
      </c>
      <c r="G642">
        <v>57.17</v>
      </c>
      <c r="H642">
        <v>33.67</v>
      </c>
      <c r="I642" s="2">
        <v>104298.19</v>
      </c>
      <c r="J642" s="2">
        <v>103718.39</v>
      </c>
      <c r="K642" s="2">
        <f>Table1[[#This Row],[Salary_after]]-Table1[[#This Row],[Salary_before]]</f>
        <v>-579.80000000000291</v>
      </c>
      <c r="L642" s="11">
        <v>-5.6000000000000008E-3</v>
      </c>
      <c r="M642" s="11">
        <v>8.6300000000000002E-2</v>
      </c>
      <c r="N642">
        <v>45.26</v>
      </c>
      <c r="O642">
        <v>46.43</v>
      </c>
      <c r="P642">
        <v>4</v>
      </c>
      <c r="Q642" t="s">
        <v>25</v>
      </c>
      <c r="R642">
        <v>45.805</v>
      </c>
      <c r="S642">
        <v>0.56000000000000005</v>
      </c>
      <c r="T642" s="4">
        <v>33.445</v>
      </c>
      <c r="U642" s="4">
        <v>26.901541999999999</v>
      </c>
      <c r="V642" t="str">
        <f>IF(Table1[[#This Row],[ai_disruption_intensity]]&gt;70,"High",
IF(Table1[[#This Row],[ai_disruption_intensity]]&gt;40,"Medium","Low"))</f>
        <v>Low</v>
      </c>
      <c r="W642" t="str">
        <f>IF(Table1[[#This Row],[skill_gap_index]]&gt;70,"Large Gap",
IF(Table1[[#This Row],[skill_gap_index]]&gt;40,"Medium Gap","Small Gap"))</f>
        <v>Small Gap</v>
      </c>
      <c r="X642" s="3" t="str">
        <f>IF(Table1[[#This Row],[automation_risk_percent]]&gt;0.7,"Highly Automatable",
IF(Table1[[#This Row],[automation_risk_percent]]&gt;0.4,"Moderate Risk","Safe Job"))</f>
        <v>Moderate Risk</v>
      </c>
    </row>
    <row r="643" spans="1:24" x14ac:dyDescent="0.3">
      <c r="A643">
        <v>2318</v>
      </c>
      <c r="B643" t="s">
        <v>46</v>
      </c>
      <c r="C643" t="s">
        <v>34</v>
      </c>
      <c r="D643" t="s">
        <v>20</v>
      </c>
      <c r="E643" s="1">
        <v>2026</v>
      </c>
      <c r="F643" s="11">
        <v>0.43880000000000002</v>
      </c>
      <c r="G643">
        <v>35.42</v>
      </c>
      <c r="H643">
        <v>60.84</v>
      </c>
      <c r="I643" s="2">
        <v>88977.39</v>
      </c>
      <c r="J643" s="2">
        <v>86249.4</v>
      </c>
      <c r="K643" s="2">
        <f>Table1[[#This Row],[Salary_after]]-Table1[[#This Row],[Salary_before]]</f>
        <v>-2727.9900000000052</v>
      </c>
      <c r="L643" s="11">
        <v>-3.0699999999999998E-2</v>
      </c>
      <c r="M643" s="11">
        <v>0.10869999999999999</v>
      </c>
      <c r="N643">
        <v>58.7</v>
      </c>
      <c r="O643">
        <v>31.65</v>
      </c>
      <c r="P643">
        <v>1</v>
      </c>
      <c r="Q643" t="s">
        <v>25</v>
      </c>
      <c r="R643">
        <v>52.36</v>
      </c>
      <c r="S643">
        <v>3.07</v>
      </c>
      <c r="T643" s="4">
        <v>36.725000000000001</v>
      </c>
      <c r="U643" s="4">
        <v>13.888019999999999</v>
      </c>
      <c r="V643" t="str">
        <f>IF(Table1[[#This Row],[ai_disruption_intensity]]&gt;70,"High",
IF(Table1[[#This Row],[ai_disruption_intensity]]&gt;40,"Medium","Low"))</f>
        <v>Low</v>
      </c>
      <c r="W643" t="str">
        <f>IF(Table1[[#This Row],[skill_gap_index]]&gt;70,"Large Gap",
IF(Table1[[#This Row],[skill_gap_index]]&gt;40,"Medium Gap","Small Gap"))</f>
        <v>Medium Gap</v>
      </c>
      <c r="X643" s="3" t="str">
        <f>IF(Table1[[#This Row],[automation_risk_percent]]&gt;0.7,"Highly Automatable",
IF(Table1[[#This Row],[automation_risk_percent]]&gt;0.4,"Moderate Risk","Safe Job"))</f>
        <v>Moderate Risk</v>
      </c>
    </row>
    <row r="644" spans="1:24" x14ac:dyDescent="0.3">
      <c r="A644">
        <v>2319</v>
      </c>
      <c r="B644" t="s">
        <v>44</v>
      </c>
      <c r="C644" t="s">
        <v>30</v>
      </c>
      <c r="D644" t="s">
        <v>47</v>
      </c>
      <c r="E644" s="1">
        <v>2026</v>
      </c>
      <c r="F644" s="11">
        <v>0.64280000000000004</v>
      </c>
      <c r="G644">
        <v>75.349999999999994</v>
      </c>
      <c r="H644">
        <v>35.880000000000003</v>
      </c>
      <c r="I644" s="2">
        <v>126670.11</v>
      </c>
      <c r="J644" s="2">
        <v>94873.1</v>
      </c>
      <c r="K644" s="2">
        <f>Table1[[#This Row],[Salary_after]]-Table1[[#This Row],[Salary_before]]</f>
        <v>-31797.009999999995</v>
      </c>
      <c r="L644" s="11">
        <v>-0.251</v>
      </c>
      <c r="M644" s="11">
        <v>4.6100000000000002E-2</v>
      </c>
      <c r="N644">
        <v>94.46</v>
      </c>
      <c r="O644">
        <v>51.04</v>
      </c>
      <c r="P644">
        <v>4</v>
      </c>
      <c r="Q644" t="s">
        <v>37</v>
      </c>
      <c r="R644">
        <v>50.08</v>
      </c>
      <c r="S644">
        <v>25.1</v>
      </c>
      <c r="T644" s="4">
        <v>44.006</v>
      </c>
      <c r="U644" s="4">
        <v>32.808512</v>
      </c>
      <c r="V644" t="str">
        <f>IF(Table1[[#This Row],[ai_disruption_intensity]]&gt;70,"High",
IF(Table1[[#This Row],[ai_disruption_intensity]]&gt;40,"Medium","Low"))</f>
        <v>Low</v>
      </c>
      <c r="W644" t="str">
        <f>IF(Table1[[#This Row],[skill_gap_index]]&gt;70,"Large Gap",
IF(Table1[[#This Row],[skill_gap_index]]&gt;40,"Medium Gap","Small Gap"))</f>
        <v>Small Gap</v>
      </c>
      <c r="X644" s="3" t="str">
        <f>IF(Table1[[#This Row],[automation_risk_percent]]&gt;0.7,"Highly Automatable",
IF(Table1[[#This Row],[automation_risk_percent]]&gt;0.4,"Moderate Risk","Safe Job"))</f>
        <v>Moderate Risk</v>
      </c>
    </row>
    <row r="645" spans="1:24" x14ac:dyDescent="0.3">
      <c r="A645">
        <v>2323</v>
      </c>
      <c r="B645" t="s">
        <v>39</v>
      </c>
      <c r="C645" t="s">
        <v>38</v>
      </c>
      <c r="D645" t="s">
        <v>35</v>
      </c>
      <c r="E645" s="1">
        <v>2025</v>
      </c>
      <c r="F645" s="11">
        <v>0.1069</v>
      </c>
      <c r="G645">
        <v>9.86</v>
      </c>
      <c r="H645">
        <v>39.24</v>
      </c>
      <c r="I645" s="2">
        <v>58923.57</v>
      </c>
      <c r="J645" s="2">
        <v>59220.959999999999</v>
      </c>
      <c r="K645" s="2">
        <f>Table1[[#This Row],[Salary_after]]-Table1[[#This Row],[Salary_before]]</f>
        <v>297.38999999999942</v>
      </c>
      <c r="L645" s="11">
        <v>5.0000000000000001E-3</v>
      </c>
      <c r="M645" s="11">
        <v>-2.3599999999999999E-2</v>
      </c>
      <c r="N645">
        <v>34.6</v>
      </c>
      <c r="O645">
        <v>79.599999999999994</v>
      </c>
      <c r="P645">
        <v>2</v>
      </c>
      <c r="Q645" t="s">
        <v>21</v>
      </c>
      <c r="R645">
        <v>24.965</v>
      </c>
      <c r="S645">
        <v>0.5</v>
      </c>
      <c r="T645" s="4">
        <v>16.198</v>
      </c>
      <c r="U645" s="4">
        <v>8.5092399999999895</v>
      </c>
      <c r="V645" t="str">
        <f>IF(Table1[[#This Row],[ai_disruption_intensity]]&gt;70,"High",
IF(Table1[[#This Row],[ai_disruption_intensity]]&gt;40,"Medium","Low"))</f>
        <v>Low</v>
      </c>
      <c r="W645" t="str">
        <f>IF(Table1[[#This Row],[skill_gap_index]]&gt;70,"Large Gap",
IF(Table1[[#This Row],[skill_gap_index]]&gt;40,"Medium Gap","Small Gap"))</f>
        <v>Small Gap</v>
      </c>
      <c r="X645" s="3" t="str">
        <f>IF(Table1[[#This Row],[automation_risk_percent]]&gt;0.7,"Highly Automatable",
IF(Table1[[#This Row],[automation_risk_percent]]&gt;0.4,"Moderate Risk","Safe Job"))</f>
        <v>Safe Job</v>
      </c>
    </row>
    <row r="646" spans="1:24" x14ac:dyDescent="0.3">
      <c r="A646">
        <v>2325</v>
      </c>
      <c r="B646" t="s">
        <v>44</v>
      </c>
      <c r="C646" t="s">
        <v>38</v>
      </c>
      <c r="D646" t="s">
        <v>42</v>
      </c>
      <c r="E646" s="1">
        <v>2025</v>
      </c>
      <c r="F646" s="11">
        <v>0.64139999999999997</v>
      </c>
      <c r="G646">
        <v>69.959999999999994</v>
      </c>
      <c r="H646">
        <v>36.11</v>
      </c>
      <c r="I646" s="2">
        <v>95493.3</v>
      </c>
      <c r="J646" s="2">
        <v>106896.61</v>
      </c>
      <c r="K646" s="2">
        <f>Table1[[#This Row],[Salary_after]]-Table1[[#This Row],[Salary_before]]</f>
        <v>11403.309999999998</v>
      </c>
      <c r="L646" s="11">
        <v>0.11939999999999999</v>
      </c>
      <c r="M646" s="11">
        <v>0.20269999999999999</v>
      </c>
      <c r="N646">
        <v>73.45</v>
      </c>
      <c r="O646">
        <v>8.24</v>
      </c>
      <c r="P646">
        <v>1</v>
      </c>
      <c r="Q646" t="s">
        <v>37</v>
      </c>
      <c r="R646">
        <v>50.125</v>
      </c>
      <c r="S646">
        <v>11.94</v>
      </c>
      <c r="T646" s="4">
        <v>40.070999999999998</v>
      </c>
      <c r="U646" s="4">
        <v>5.2851359999999996</v>
      </c>
      <c r="V646" t="str">
        <f>IF(Table1[[#This Row],[ai_disruption_intensity]]&gt;70,"High",
IF(Table1[[#This Row],[ai_disruption_intensity]]&gt;40,"Medium","Low"))</f>
        <v>Low</v>
      </c>
      <c r="W646" t="str">
        <f>IF(Table1[[#This Row],[skill_gap_index]]&gt;70,"Large Gap",
IF(Table1[[#This Row],[skill_gap_index]]&gt;40,"Medium Gap","Small Gap"))</f>
        <v>Small Gap</v>
      </c>
      <c r="X646" s="3" t="str">
        <f>IF(Table1[[#This Row],[automation_risk_percent]]&gt;0.7,"Highly Automatable",
IF(Table1[[#This Row],[automation_risk_percent]]&gt;0.4,"Moderate Risk","Safe Job"))</f>
        <v>Moderate Risk</v>
      </c>
    </row>
    <row r="647" spans="1:24" x14ac:dyDescent="0.3">
      <c r="A647">
        <v>2326</v>
      </c>
      <c r="B647" t="s">
        <v>45</v>
      </c>
      <c r="C647" t="s">
        <v>34</v>
      </c>
      <c r="D647" t="s">
        <v>42</v>
      </c>
      <c r="E647" s="1">
        <v>2025</v>
      </c>
      <c r="F647" s="11">
        <v>0.34899999999999998</v>
      </c>
      <c r="G647">
        <v>33.97</v>
      </c>
      <c r="H647">
        <v>26.06</v>
      </c>
      <c r="I647" s="2">
        <v>50715.27</v>
      </c>
      <c r="J647" s="2">
        <v>48915.64</v>
      </c>
      <c r="K647" s="2">
        <f>Table1[[#This Row],[Salary_after]]-Table1[[#This Row],[Salary_before]]</f>
        <v>-1799.6299999999974</v>
      </c>
      <c r="L647" s="11">
        <v>-3.5499999999999997E-2</v>
      </c>
      <c r="M647" s="11">
        <v>-4.5899999999999996E-2</v>
      </c>
      <c r="N647">
        <v>54.41</v>
      </c>
      <c r="O647">
        <v>6.3</v>
      </c>
      <c r="P647">
        <v>4</v>
      </c>
      <c r="Q647" t="s">
        <v>25</v>
      </c>
      <c r="R647">
        <v>30.479999999999901</v>
      </c>
      <c r="S647">
        <v>3.55</v>
      </c>
      <c r="T647" s="4">
        <v>22.843</v>
      </c>
      <c r="U647" s="4">
        <v>2.1986999999999899</v>
      </c>
      <c r="V647" t="str">
        <f>IF(Table1[[#This Row],[ai_disruption_intensity]]&gt;70,"High",
IF(Table1[[#This Row],[ai_disruption_intensity]]&gt;40,"Medium","Low"))</f>
        <v>Low</v>
      </c>
      <c r="W647" t="str">
        <f>IF(Table1[[#This Row],[skill_gap_index]]&gt;70,"Large Gap",
IF(Table1[[#This Row],[skill_gap_index]]&gt;40,"Medium Gap","Small Gap"))</f>
        <v>Small Gap</v>
      </c>
      <c r="X647" s="3" t="str">
        <f>IF(Table1[[#This Row],[automation_risk_percent]]&gt;0.7,"Highly Automatable",
IF(Table1[[#This Row],[automation_risk_percent]]&gt;0.4,"Moderate Risk","Safe Job"))</f>
        <v>Safe Job</v>
      </c>
    </row>
    <row r="648" spans="1:24" x14ac:dyDescent="0.3">
      <c r="A648">
        <v>2330</v>
      </c>
      <c r="B648" t="s">
        <v>46</v>
      </c>
      <c r="C648" t="s">
        <v>34</v>
      </c>
      <c r="D648" t="s">
        <v>20</v>
      </c>
      <c r="E648" s="1">
        <v>2025</v>
      </c>
      <c r="F648" s="11">
        <v>6.13E-2</v>
      </c>
      <c r="G648">
        <v>5.97</v>
      </c>
      <c r="H648">
        <v>32.090000000000003</v>
      </c>
      <c r="I648" s="2">
        <v>114787.3</v>
      </c>
      <c r="J648" s="2">
        <v>118439.36</v>
      </c>
      <c r="K648" s="2">
        <f>Table1[[#This Row],[Salary_after]]-Table1[[#This Row],[Salary_before]]</f>
        <v>3652.0599999999977</v>
      </c>
      <c r="L648" s="11">
        <v>3.1800000000000002E-2</v>
      </c>
      <c r="M648" s="11">
        <v>9.1400000000000009E-2</v>
      </c>
      <c r="N648">
        <v>57.76</v>
      </c>
      <c r="O648">
        <v>10.24</v>
      </c>
      <c r="P648">
        <v>2</v>
      </c>
      <c r="Q648" t="s">
        <v>21</v>
      </c>
      <c r="R648">
        <v>19.11</v>
      </c>
      <c r="S648">
        <v>3.18</v>
      </c>
      <c r="T648" s="4">
        <v>13.032999999999999</v>
      </c>
      <c r="U648" s="4">
        <v>0.62771200000000005</v>
      </c>
      <c r="V648" t="str">
        <f>IF(Table1[[#This Row],[ai_disruption_intensity]]&gt;70,"High",
IF(Table1[[#This Row],[ai_disruption_intensity]]&gt;40,"Medium","Low"))</f>
        <v>Low</v>
      </c>
      <c r="W648" t="str">
        <f>IF(Table1[[#This Row],[skill_gap_index]]&gt;70,"Large Gap",
IF(Table1[[#This Row],[skill_gap_index]]&gt;40,"Medium Gap","Small Gap"))</f>
        <v>Small Gap</v>
      </c>
      <c r="X648" s="3" t="str">
        <f>IF(Table1[[#This Row],[automation_risk_percent]]&gt;0.7,"Highly Automatable",
IF(Table1[[#This Row],[automation_risk_percent]]&gt;0.4,"Moderate Risk","Safe Job"))</f>
        <v>Safe Job</v>
      </c>
    </row>
    <row r="649" spans="1:24" x14ac:dyDescent="0.3">
      <c r="A649">
        <v>2333</v>
      </c>
      <c r="B649" t="s">
        <v>22</v>
      </c>
      <c r="C649" t="s">
        <v>40</v>
      </c>
      <c r="D649" t="s">
        <v>32</v>
      </c>
      <c r="E649" s="1">
        <v>2026</v>
      </c>
      <c r="F649" s="11">
        <v>0.73620000000000008</v>
      </c>
      <c r="G649">
        <v>86.87</v>
      </c>
      <c r="H649">
        <v>26.92</v>
      </c>
      <c r="I649" s="2">
        <v>120504.22</v>
      </c>
      <c r="J649" s="2">
        <v>130067.91</v>
      </c>
      <c r="K649" s="2">
        <f>Table1[[#This Row],[Salary_after]]-Table1[[#This Row],[Salary_before]]</f>
        <v>9563.6900000000023</v>
      </c>
      <c r="L649" s="11">
        <v>7.9399999999999998E-2</v>
      </c>
      <c r="M649" s="11">
        <v>-3.73E-2</v>
      </c>
      <c r="N649">
        <v>81.77</v>
      </c>
      <c r="O649">
        <v>24.72</v>
      </c>
      <c r="P649">
        <v>5</v>
      </c>
      <c r="Q649" t="s">
        <v>37</v>
      </c>
      <c r="R649">
        <v>50.27</v>
      </c>
      <c r="S649">
        <v>7.94</v>
      </c>
      <c r="T649" s="4">
        <v>39.905999999999999</v>
      </c>
      <c r="U649" s="4">
        <v>18.198864</v>
      </c>
      <c r="V649" t="str">
        <f>IF(Table1[[#This Row],[ai_disruption_intensity]]&gt;70,"High",
IF(Table1[[#This Row],[ai_disruption_intensity]]&gt;40,"Medium","Low"))</f>
        <v>Low</v>
      </c>
      <c r="W649" t="str">
        <f>IF(Table1[[#This Row],[skill_gap_index]]&gt;70,"Large Gap",
IF(Table1[[#This Row],[skill_gap_index]]&gt;40,"Medium Gap","Small Gap"))</f>
        <v>Small Gap</v>
      </c>
      <c r="X649" s="3" t="str">
        <f>IF(Table1[[#This Row],[automation_risk_percent]]&gt;0.7,"Highly Automatable",
IF(Table1[[#This Row],[automation_risk_percent]]&gt;0.4,"Moderate Risk","Safe Job"))</f>
        <v>Highly Automatable</v>
      </c>
    </row>
    <row r="650" spans="1:24" x14ac:dyDescent="0.3">
      <c r="A650">
        <v>2336</v>
      </c>
      <c r="B650" t="s">
        <v>22</v>
      </c>
      <c r="C650" t="s">
        <v>38</v>
      </c>
      <c r="D650" t="s">
        <v>32</v>
      </c>
      <c r="E650" s="1">
        <v>2025</v>
      </c>
      <c r="F650" s="11">
        <v>0.52270000000000005</v>
      </c>
      <c r="G650">
        <v>54.48</v>
      </c>
      <c r="H650">
        <v>12.8</v>
      </c>
      <c r="I650" s="2">
        <v>149578.66</v>
      </c>
      <c r="J650" s="2">
        <v>156056.10999999999</v>
      </c>
      <c r="K650" s="2">
        <f>Table1[[#This Row],[Salary_after]]-Table1[[#This Row],[Salary_before]]</f>
        <v>6477.4499999999825</v>
      </c>
      <c r="L650" s="11">
        <v>4.3299999999999998E-2</v>
      </c>
      <c r="M650" s="11">
        <v>8.1300000000000011E-2</v>
      </c>
      <c r="N650">
        <v>47.29</v>
      </c>
      <c r="O650">
        <v>50.21</v>
      </c>
      <c r="P650">
        <v>3</v>
      </c>
      <c r="Q650" t="s">
        <v>25</v>
      </c>
      <c r="R650">
        <v>32.534999999999997</v>
      </c>
      <c r="S650">
        <v>4.33</v>
      </c>
      <c r="T650" s="4">
        <v>26.047000000000001</v>
      </c>
      <c r="U650" s="4">
        <v>26.244767</v>
      </c>
      <c r="V650" t="str">
        <f>IF(Table1[[#This Row],[ai_disruption_intensity]]&gt;70,"High",
IF(Table1[[#This Row],[ai_disruption_intensity]]&gt;40,"Medium","Low"))</f>
        <v>Low</v>
      </c>
      <c r="W650" t="str">
        <f>IF(Table1[[#This Row],[skill_gap_index]]&gt;70,"Large Gap",
IF(Table1[[#This Row],[skill_gap_index]]&gt;40,"Medium Gap","Small Gap"))</f>
        <v>Small Gap</v>
      </c>
      <c r="X650" s="3" t="str">
        <f>IF(Table1[[#This Row],[automation_risk_percent]]&gt;0.7,"Highly Automatable",
IF(Table1[[#This Row],[automation_risk_percent]]&gt;0.4,"Moderate Risk","Safe Job"))</f>
        <v>Moderate Risk</v>
      </c>
    </row>
    <row r="651" spans="1:24" x14ac:dyDescent="0.3">
      <c r="A651">
        <v>2339</v>
      </c>
      <c r="B651" t="s">
        <v>22</v>
      </c>
      <c r="C651" t="s">
        <v>33</v>
      </c>
      <c r="D651" t="s">
        <v>42</v>
      </c>
      <c r="E651" s="1">
        <v>2025</v>
      </c>
      <c r="F651" s="11">
        <v>0.16300000000000001</v>
      </c>
      <c r="G651">
        <v>15.92</v>
      </c>
      <c r="H651">
        <v>89</v>
      </c>
      <c r="I651" s="2">
        <v>86104.83</v>
      </c>
      <c r="J651" s="2">
        <v>82303.509999999995</v>
      </c>
      <c r="K651" s="2">
        <f>Table1[[#This Row],[Salary_after]]-Table1[[#This Row],[Salary_before]]</f>
        <v>-3801.320000000007</v>
      </c>
      <c r="L651" s="11">
        <v>-4.41E-2</v>
      </c>
      <c r="M651" s="11">
        <v>0.13930000000000001</v>
      </c>
      <c r="N651">
        <v>40.56</v>
      </c>
      <c r="O651">
        <v>89.56</v>
      </c>
      <c r="P651">
        <v>5</v>
      </c>
      <c r="Q651" t="s">
        <v>21</v>
      </c>
      <c r="R651">
        <v>52.65</v>
      </c>
      <c r="S651">
        <v>4.41</v>
      </c>
      <c r="T651" s="4">
        <v>34.542999999999999</v>
      </c>
      <c r="U651" s="4">
        <v>14.598280000000001</v>
      </c>
      <c r="V651" t="str">
        <f>IF(Table1[[#This Row],[ai_disruption_intensity]]&gt;70,"High",
IF(Table1[[#This Row],[ai_disruption_intensity]]&gt;40,"Medium","Low"))</f>
        <v>Low</v>
      </c>
      <c r="W651" t="str">
        <f>IF(Table1[[#This Row],[skill_gap_index]]&gt;70,"Large Gap",
IF(Table1[[#This Row],[skill_gap_index]]&gt;40,"Medium Gap","Small Gap"))</f>
        <v>Large Gap</v>
      </c>
      <c r="X651" s="3" t="str">
        <f>IF(Table1[[#This Row],[automation_risk_percent]]&gt;0.7,"Highly Automatable",
IF(Table1[[#This Row],[automation_risk_percent]]&gt;0.4,"Moderate Risk","Safe Job"))</f>
        <v>Safe Job</v>
      </c>
    </row>
    <row r="652" spans="1:24" x14ac:dyDescent="0.3">
      <c r="A652">
        <v>2346</v>
      </c>
      <c r="B652" t="s">
        <v>41</v>
      </c>
      <c r="C652" t="s">
        <v>38</v>
      </c>
      <c r="D652" t="s">
        <v>31</v>
      </c>
      <c r="E652" s="1">
        <v>2025</v>
      </c>
      <c r="F652" s="11">
        <v>0.39130000000000004</v>
      </c>
      <c r="G652">
        <v>43.07</v>
      </c>
      <c r="H652">
        <v>70.94</v>
      </c>
      <c r="I652" s="2">
        <v>64712.6</v>
      </c>
      <c r="J652" s="2">
        <v>58300.49</v>
      </c>
      <c r="K652" s="2">
        <f>Table1[[#This Row],[Salary_after]]-Table1[[#This Row],[Salary_before]]</f>
        <v>-6412.1100000000006</v>
      </c>
      <c r="L652" s="11">
        <v>-9.9100000000000008E-2</v>
      </c>
      <c r="M652" s="11">
        <v>-1.0700000000000001E-2</v>
      </c>
      <c r="N652">
        <v>56.45</v>
      </c>
      <c r="O652">
        <v>91.02</v>
      </c>
      <c r="P652">
        <v>1</v>
      </c>
      <c r="Q652" t="s">
        <v>25</v>
      </c>
      <c r="R652">
        <v>55.034999999999997</v>
      </c>
      <c r="S652">
        <v>9.91</v>
      </c>
      <c r="T652" s="4">
        <v>39.906999999999996</v>
      </c>
      <c r="U652" s="4">
        <v>35.616126000000001</v>
      </c>
      <c r="V652" t="str">
        <f>IF(Table1[[#This Row],[ai_disruption_intensity]]&gt;70,"High",
IF(Table1[[#This Row],[ai_disruption_intensity]]&gt;40,"Medium","Low"))</f>
        <v>Low</v>
      </c>
      <c r="W652" t="str">
        <f>IF(Table1[[#This Row],[skill_gap_index]]&gt;70,"Large Gap",
IF(Table1[[#This Row],[skill_gap_index]]&gt;40,"Medium Gap","Small Gap"))</f>
        <v>Large Gap</v>
      </c>
      <c r="X652" s="3" t="str">
        <f>IF(Table1[[#This Row],[automation_risk_percent]]&gt;0.7,"Highly Automatable",
IF(Table1[[#This Row],[automation_risk_percent]]&gt;0.4,"Moderate Risk","Safe Job"))</f>
        <v>Safe Job</v>
      </c>
    </row>
    <row r="653" spans="1:24" x14ac:dyDescent="0.3">
      <c r="A653">
        <v>2351</v>
      </c>
      <c r="B653" t="s">
        <v>41</v>
      </c>
      <c r="C653" t="s">
        <v>34</v>
      </c>
      <c r="D653" t="s">
        <v>32</v>
      </c>
      <c r="E653" s="1">
        <v>2026</v>
      </c>
      <c r="F653" s="11">
        <v>0.30890000000000001</v>
      </c>
      <c r="G653">
        <v>31.2</v>
      </c>
      <c r="H653">
        <v>20.89</v>
      </c>
      <c r="I653" s="2">
        <v>38047.879999999997</v>
      </c>
      <c r="J653" s="2">
        <v>35504.629999999997</v>
      </c>
      <c r="K653" s="2">
        <f>Table1[[#This Row],[Salary_after]]-Table1[[#This Row],[Salary_before]]</f>
        <v>-2543.25</v>
      </c>
      <c r="L653" s="11">
        <v>-6.6799999999999998E-2</v>
      </c>
      <c r="M653" s="11">
        <v>0.49790000000000001</v>
      </c>
      <c r="N653">
        <v>73.62</v>
      </c>
      <c r="O653">
        <v>74.48</v>
      </c>
      <c r="P653">
        <v>2</v>
      </c>
      <c r="Q653" t="s">
        <v>25</v>
      </c>
      <c r="R653">
        <v>25.89</v>
      </c>
      <c r="S653">
        <v>6.68</v>
      </c>
      <c r="T653" s="4">
        <v>20.626999999999999</v>
      </c>
      <c r="U653" s="4">
        <v>23.006872000000001</v>
      </c>
      <c r="V653" t="str">
        <f>IF(Table1[[#This Row],[ai_disruption_intensity]]&gt;70,"High",
IF(Table1[[#This Row],[ai_disruption_intensity]]&gt;40,"Medium","Low"))</f>
        <v>Low</v>
      </c>
      <c r="W653" t="str">
        <f>IF(Table1[[#This Row],[skill_gap_index]]&gt;70,"Large Gap",
IF(Table1[[#This Row],[skill_gap_index]]&gt;40,"Medium Gap","Small Gap"))</f>
        <v>Small Gap</v>
      </c>
      <c r="X653" s="3" t="str">
        <f>IF(Table1[[#This Row],[automation_risk_percent]]&gt;0.7,"Highly Automatable",
IF(Table1[[#This Row],[automation_risk_percent]]&gt;0.4,"Moderate Risk","Safe Job"))</f>
        <v>Safe Job</v>
      </c>
    </row>
    <row r="654" spans="1:24" x14ac:dyDescent="0.3">
      <c r="A654">
        <v>2352</v>
      </c>
      <c r="B654" t="s">
        <v>39</v>
      </c>
      <c r="C654" t="s">
        <v>19</v>
      </c>
      <c r="D654" t="s">
        <v>35</v>
      </c>
      <c r="E654" s="1">
        <v>2025</v>
      </c>
      <c r="F654" s="11">
        <v>0.60950000000000004</v>
      </c>
      <c r="G654">
        <v>58.74</v>
      </c>
      <c r="H654">
        <v>63.17</v>
      </c>
      <c r="I654" s="2">
        <v>99233.43</v>
      </c>
      <c r="J654" s="2">
        <v>117424.05</v>
      </c>
      <c r="K654" s="2">
        <f>Table1[[#This Row],[Salary_after]]-Table1[[#This Row],[Salary_before]]</f>
        <v>18190.62000000001</v>
      </c>
      <c r="L654" s="11">
        <v>0.18329999999999999</v>
      </c>
      <c r="M654" s="11">
        <v>-9.7899999999999987E-2</v>
      </c>
      <c r="N654">
        <v>95.25</v>
      </c>
      <c r="O654">
        <v>19.29</v>
      </c>
      <c r="P654">
        <v>1</v>
      </c>
      <c r="Q654" t="s">
        <v>37</v>
      </c>
      <c r="R654">
        <v>62.06</v>
      </c>
      <c r="S654">
        <v>18.329999999999998</v>
      </c>
      <c r="T654" s="4">
        <v>48.83</v>
      </c>
      <c r="U654" s="4">
        <v>11.757255000000001</v>
      </c>
      <c r="V654" t="str">
        <f>IF(Table1[[#This Row],[ai_disruption_intensity]]&gt;70,"High",
IF(Table1[[#This Row],[ai_disruption_intensity]]&gt;40,"Medium","Low"))</f>
        <v>Low</v>
      </c>
      <c r="W654" t="str">
        <f>IF(Table1[[#This Row],[skill_gap_index]]&gt;70,"Large Gap",
IF(Table1[[#This Row],[skill_gap_index]]&gt;40,"Medium Gap","Small Gap"))</f>
        <v>Medium Gap</v>
      </c>
      <c r="X654" s="3" t="str">
        <f>IF(Table1[[#This Row],[automation_risk_percent]]&gt;0.7,"Highly Automatable",
IF(Table1[[#This Row],[automation_risk_percent]]&gt;0.4,"Moderate Risk","Safe Job"))</f>
        <v>Moderate Risk</v>
      </c>
    </row>
    <row r="655" spans="1:24" x14ac:dyDescent="0.3">
      <c r="A655">
        <v>2353</v>
      </c>
      <c r="B655" t="s">
        <v>26</v>
      </c>
      <c r="C655" t="s">
        <v>27</v>
      </c>
      <c r="D655" t="s">
        <v>28</v>
      </c>
      <c r="E655" s="1">
        <v>2025</v>
      </c>
      <c r="F655" s="11">
        <v>0.63400000000000001</v>
      </c>
      <c r="G655">
        <v>52.08</v>
      </c>
      <c r="H655">
        <v>30.84</v>
      </c>
      <c r="I655" s="2">
        <v>64577.43</v>
      </c>
      <c r="J655" s="2">
        <v>58481.7</v>
      </c>
      <c r="K655" s="2">
        <f>Table1[[#This Row],[Salary_after]]-Table1[[#This Row],[Salary_before]]</f>
        <v>-6095.7300000000032</v>
      </c>
      <c r="L655" s="11">
        <v>-9.4399999999999998E-2</v>
      </c>
      <c r="M655" s="11">
        <v>8.2299999999999998E-2</v>
      </c>
      <c r="N655">
        <v>89.41</v>
      </c>
      <c r="O655">
        <v>82.86</v>
      </c>
      <c r="P655">
        <v>5</v>
      </c>
      <c r="Q655" t="s">
        <v>37</v>
      </c>
      <c r="R655">
        <v>47.12</v>
      </c>
      <c r="S655">
        <v>9.44</v>
      </c>
      <c r="T655" s="4">
        <v>37.443999999999903</v>
      </c>
      <c r="U655" s="4">
        <v>52.533239999999999</v>
      </c>
      <c r="V655" t="str">
        <f>IF(Table1[[#This Row],[ai_disruption_intensity]]&gt;70,"High",
IF(Table1[[#This Row],[ai_disruption_intensity]]&gt;40,"Medium","Low"))</f>
        <v>Medium</v>
      </c>
      <c r="W655" t="str">
        <f>IF(Table1[[#This Row],[skill_gap_index]]&gt;70,"Large Gap",
IF(Table1[[#This Row],[skill_gap_index]]&gt;40,"Medium Gap","Small Gap"))</f>
        <v>Small Gap</v>
      </c>
      <c r="X655" s="3" t="str">
        <f>IF(Table1[[#This Row],[automation_risk_percent]]&gt;0.7,"Highly Automatable",
IF(Table1[[#This Row],[automation_risk_percent]]&gt;0.4,"Moderate Risk","Safe Job"))</f>
        <v>Moderate Risk</v>
      </c>
    </row>
    <row r="656" spans="1:24" x14ac:dyDescent="0.3">
      <c r="A656">
        <v>2362</v>
      </c>
      <c r="B656" t="s">
        <v>39</v>
      </c>
      <c r="C656" t="s">
        <v>40</v>
      </c>
      <c r="D656" t="s">
        <v>42</v>
      </c>
      <c r="E656" s="1">
        <v>2025</v>
      </c>
      <c r="F656" s="11">
        <v>0.1318</v>
      </c>
      <c r="G656">
        <v>11.33</v>
      </c>
      <c r="H656">
        <v>38.44</v>
      </c>
      <c r="I656" s="2">
        <v>45725.07</v>
      </c>
      <c r="J656" s="2">
        <v>41298.65</v>
      </c>
      <c r="K656" s="2">
        <f>Table1[[#This Row],[Salary_after]]-Table1[[#This Row],[Salary_before]]</f>
        <v>-4426.4199999999983</v>
      </c>
      <c r="L656" s="11">
        <v>-9.6799999999999997E-2</v>
      </c>
      <c r="M656" s="11">
        <v>-6.6E-3</v>
      </c>
      <c r="N656">
        <v>93.84</v>
      </c>
      <c r="O656">
        <v>66.95</v>
      </c>
      <c r="P656">
        <v>3</v>
      </c>
      <c r="Q656" t="s">
        <v>21</v>
      </c>
      <c r="R656">
        <v>25.81</v>
      </c>
      <c r="S656">
        <v>9.68</v>
      </c>
      <c r="T656" s="4">
        <v>19.707999999999998</v>
      </c>
      <c r="U656" s="4">
        <v>8.8240099999999995</v>
      </c>
      <c r="V656" t="str">
        <f>IF(Table1[[#This Row],[ai_disruption_intensity]]&gt;70,"High",
IF(Table1[[#This Row],[ai_disruption_intensity]]&gt;40,"Medium","Low"))</f>
        <v>Low</v>
      </c>
      <c r="W656" t="str">
        <f>IF(Table1[[#This Row],[skill_gap_index]]&gt;70,"Large Gap",
IF(Table1[[#This Row],[skill_gap_index]]&gt;40,"Medium Gap","Small Gap"))</f>
        <v>Small Gap</v>
      </c>
      <c r="X656" s="3" t="str">
        <f>IF(Table1[[#This Row],[automation_risk_percent]]&gt;0.7,"Highly Automatable",
IF(Table1[[#This Row],[automation_risk_percent]]&gt;0.4,"Moderate Risk","Safe Job"))</f>
        <v>Safe Job</v>
      </c>
    </row>
    <row r="657" spans="1:24" x14ac:dyDescent="0.3">
      <c r="A657">
        <v>2366</v>
      </c>
      <c r="B657" t="s">
        <v>46</v>
      </c>
      <c r="C657" t="s">
        <v>27</v>
      </c>
      <c r="D657" t="s">
        <v>36</v>
      </c>
      <c r="E657" s="1">
        <v>2026</v>
      </c>
      <c r="F657" s="11">
        <v>0.54810000000000003</v>
      </c>
      <c r="G657">
        <v>58.56</v>
      </c>
      <c r="H657">
        <v>59.8</v>
      </c>
      <c r="I657" s="2">
        <v>53057.14</v>
      </c>
      <c r="J657" s="2">
        <v>49197.42</v>
      </c>
      <c r="K657" s="2">
        <f>Table1[[#This Row],[Salary_after]]-Table1[[#This Row],[Salary_before]]</f>
        <v>-3859.7200000000012</v>
      </c>
      <c r="L657" s="11">
        <v>-7.2700000000000001E-2</v>
      </c>
      <c r="M657" s="11">
        <v>-7.2000000000000008E-2</v>
      </c>
      <c r="N657">
        <v>84.98</v>
      </c>
      <c r="O657">
        <v>36.64</v>
      </c>
      <c r="P657">
        <v>2</v>
      </c>
      <c r="Q657" t="s">
        <v>25</v>
      </c>
      <c r="R657">
        <v>57.305</v>
      </c>
      <c r="S657">
        <v>7.27</v>
      </c>
      <c r="T657" s="4">
        <v>42.045000000000002</v>
      </c>
      <c r="U657" s="4">
        <v>20.082384000000001</v>
      </c>
      <c r="V657" t="str">
        <f>IF(Table1[[#This Row],[ai_disruption_intensity]]&gt;70,"High",
IF(Table1[[#This Row],[ai_disruption_intensity]]&gt;40,"Medium","Low"))</f>
        <v>Low</v>
      </c>
      <c r="W657" t="str">
        <f>IF(Table1[[#This Row],[skill_gap_index]]&gt;70,"Large Gap",
IF(Table1[[#This Row],[skill_gap_index]]&gt;40,"Medium Gap","Small Gap"))</f>
        <v>Medium Gap</v>
      </c>
      <c r="X657" s="3" t="str">
        <f>IF(Table1[[#This Row],[automation_risk_percent]]&gt;0.7,"Highly Automatable",
IF(Table1[[#This Row],[automation_risk_percent]]&gt;0.4,"Moderate Risk","Safe Job"))</f>
        <v>Moderate Risk</v>
      </c>
    </row>
    <row r="658" spans="1:24" x14ac:dyDescent="0.3">
      <c r="A658">
        <v>2370</v>
      </c>
      <c r="B658" t="s">
        <v>41</v>
      </c>
      <c r="C658" t="s">
        <v>27</v>
      </c>
      <c r="D658" t="s">
        <v>35</v>
      </c>
      <c r="E658" s="1">
        <v>2025</v>
      </c>
      <c r="F658" s="11">
        <v>0.90639999999999998</v>
      </c>
      <c r="G658">
        <v>100.76</v>
      </c>
      <c r="H658">
        <v>60.56</v>
      </c>
      <c r="I658" s="2">
        <v>59120.56</v>
      </c>
      <c r="J658" s="2">
        <v>49818.85</v>
      </c>
      <c r="K658" s="2">
        <f>Table1[[#This Row],[Salary_after]]-Table1[[#This Row],[Salary_before]]</f>
        <v>-9301.7099999999991</v>
      </c>
      <c r="L658" s="11">
        <v>-0.1573</v>
      </c>
      <c r="M658" s="11">
        <v>6.5199999999999994E-2</v>
      </c>
      <c r="N658">
        <v>82.72</v>
      </c>
      <c r="O658">
        <v>38.700000000000003</v>
      </c>
      <c r="P658">
        <v>3</v>
      </c>
      <c r="Q658" t="s">
        <v>37</v>
      </c>
      <c r="R658">
        <v>75.599999999999994</v>
      </c>
      <c r="S658">
        <v>15.73</v>
      </c>
      <c r="T658" s="4">
        <v>59.143000000000001</v>
      </c>
      <c r="U658" s="4">
        <v>35.077680000000001</v>
      </c>
      <c r="V658" t="str">
        <f>IF(Table1[[#This Row],[ai_disruption_intensity]]&gt;70,"High",
IF(Table1[[#This Row],[ai_disruption_intensity]]&gt;40,"Medium","Low"))</f>
        <v>Low</v>
      </c>
      <c r="W658" t="str">
        <f>IF(Table1[[#This Row],[skill_gap_index]]&gt;70,"Large Gap",
IF(Table1[[#This Row],[skill_gap_index]]&gt;40,"Medium Gap","Small Gap"))</f>
        <v>Medium Gap</v>
      </c>
      <c r="X658" s="3" t="str">
        <f>IF(Table1[[#This Row],[automation_risk_percent]]&gt;0.7,"Highly Automatable",
IF(Table1[[#This Row],[automation_risk_percent]]&gt;0.4,"Moderate Risk","Safe Job"))</f>
        <v>Highly Automatable</v>
      </c>
    </row>
    <row r="659" spans="1:24" x14ac:dyDescent="0.3">
      <c r="A659">
        <v>2372</v>
      </c>
      <c r="B659" t="s">
        <v>29</v>
      </c>
      <c r="C659" t="s">
        <v>33</v>
      </c>
      <c r="D659" t="s">
        <v>28</v>
      </c>
      <c r="E659" s="1">
        <v>2025</v>
      </c>
      <c r="F659" s="11">
        <v>0.65150000000000008</v>
      </c>
      <c r="G659">
        <v>65.36</v>
      </c>
      <c r="H659">
        <v>83.94</v>
      </c>
      <c r="I659" s="2">
        <v>133891.53</v>
      </c>
      <c r="J659" s="2">
        <v>144448.85999999999</v>
      </c>
      <c r="K659" s="2">
        <f>Table1[[#This Row],[Salary_after]]-Table1[[#This Row],[Salary_before]]</f>
        <v>10557.329999999987</v>
      </c>
      <c r="L659" s="11">
        <v>7.8799999999999995E-2</v>
      </c>
      <c r="M659" s="11">
        <v>5.4100000000000002E-2</v>
      </c>
      <c r="N659">
        <v>15.83</v>
      </c>
      <c r="O659">
        <v>11.32</v>
      </c>
      <c r="P659">
        <v>3</v>
      </c>
      <c r="Q659" t="s">
        <v>37</v>
      </c>
      <c r="R659">
        <v>74.545000000000002</v>
      </c>
      <c r="S659">
        <v>7.88</v>
      </c>
      <c r="T659" s="4">
        <v>53.606000000000002</v>
      </c>
      <c r="U659" s="4">
        <v>7.3749799999999999</v>
      </c>
      <c r="V659" t="str">
        <f>IF(Table1[[#This Row],[ai_disruption_intensity]]&gt;70,"High",
IF(Table1[[#This Row],[ai_disruption_intensity]]&gt;40,"Medium","Low"))</f>
        <v>Low</v>
      </c>
      <c r="W659" t="str">
        <f>IF(Table1[[#This Row],[skill_gap_index]]&gt;70,"Large Gap",
IF(Table1[[#This Row],[skill_gap_index]]&gt;40,"Medium Gap","Small Gap"))</f>
        <v>Large Gap</v>
      </c>
      <c r="X659" s="3" t="str">
        <f>IF(Table1[[#This Row],[automation_risk_percent]]&gt;0.7,"Highly Automatable",
IF(Table1[[#This Row],[automation_risk_percent]]&gt;0.4,"Moderate Risk","Safe Job"))</f>
        <v>Moderate Risk</v>
      </c>
    </row>
    <row r="660" spans="1:24" x14ac:dyDescent="0.3">
      <c r="A660">
        <v>2373</v>
      </c>
      <c r="B660" t="s">
        <v>18</v>
      </c>
      <c r="C660" t="s">
        <v>30</v>
      </c>
      <c r="D660" t="s">
        <v>36</v>
      </c>
      <c r="E660" s="1">
        <v>2026</v>
      </c>
      <c r="F660" s="11">
        <v>0.51780000000000004</v>
      </c>
      <c r="G660">
        <v>48.75</v>
      </c>
      <c r="H660">
        <v>46.42</v>
      </c>
      <c r="I660" s="2">
        <v>69369.509999999995</v>
      </c>
      <c r="J660" s="2">
        <v>77745.36</v>
      </c>
      <c r="K660" s="2">
        <f>Table1[[#This Row],[Salary_after]]-Table1[[#This Row],[Salary_before]]</f>
        <v>8375.8500000000058</v>
      </c>
      <c r="L660" s="11">
        <v>0.1207</v>
      </c>
      <c r="M660" s="11">
        <v>1.43E-2</v>
      </c>
      <c r="N660">
        <v>63.41</v>
      </c>
      <c r="O660">
        <v>99.73</v>
      </c>
      <c r="P660">
        <v>4</v>
      </c>
      <c r="Q660" t="s">
        <v>25</v>
      </c>
      <c r="R660">
        <v>49.1</v>
      </c>
      <c r="S660">
        <v>12.07</v>
      </c>
      <c r="T660" s="4">
        <v>38.259</v>
      </c>
      <c r="U660" s="4">
        <v>51.640194000000001</v>
      </c>
      <c r="V660" t="str">
        <f>IF(Table1[[#This Row],[ai_disruption_intensity]]&gt;70,"High",
IF(Table1[[#This Row],[ai_disruption_intensity]]&gt;40,"Medium","Low"))</f>
        <v>Medium</v>
      </c>
      <c r="W660" t="str">
        <f>IF(Table1[[#This Row],[skill_gap_index]]&gt;70,"Large Gap",
IF(Table1[[#This Row],[skill_gap_index]]&gt;40,"Medium Gap","Small Gap"))</f>
        <v>Medium Gap</v>
      </c>
      <c r="X660" s="3" t="str">
        <f>IF(Table1[[#This Row],[automation_risk_percent]]&gt;0.7,"Highly Automatable",
IF(Table1[[#This Row],[automation_risk_percent]]&gt;0.4,"Moderate Risk","Safe Job"))</f>
        <v>Moderate Risk</v>
      </c>
    </row>
    <row r="661" spans="1:24" x14ac:dyDescent="0.3">
      <c r="A661">
        <v>2375</v>
      </c>
      <c r="B661" t="s">
        <v>41</v>
      </c>
      <c r="C661" t="s">
        <v>27</v>
      </c>
      <c r="D661" t="s">
        <v>42</v>
      </c>
      <c r="E661" s="1">
        <v>2025</v>
      </c>
      <c r="F661" s="11">
        <v>0.40340000000000004</v>
      </c>
      <c r="G661">
        <v>46.19</v>
      </c>
      <c r="H661">
        <v>89.38</v>
      </c>
      <c r="I661" s="2">
        <v>60735.73</v>
      </c>
      <c r="J661" s="2">
        <v>67965.48</v>
      </c>
      <c r="K661" s="2">
        <f>Table1[[#This Row],[Salary_after]]-Table1[[#This Row],[Salary_before]]</f>
        <v>7229.7499999999927</v>
      </c>
      <c r="L661" s="11">
        <v>0.11900000000000001</v>
      </c>
      <c r="M661" s="11">
        <v>2.1700000000000001E-2</v>
      </c>
      <c r="N661">
        <v>79.39</v>
      </c>
      <c r="O661">
        <v>81.39</v>
      </c>
      <c r="P661">
        <v>2</v>
      </c>
      <c r="Q661" t="s">
        <v>25</v>
      </c>
      <c r="R661">
        <v>64.86</v>
      </c>
      <c r="S661">
        <v>11.9</v>
      </c>
      <c r="T661" s="4">
        <v>46.52</v>
      </c>
      <c r="U661" s="4">
        <v>32.832726000000001</v>
      </c>
      <c r="V661" t="str">
        <f>IF(Table1[[#This Row],[ai_disruption_intensity]]&gt;70,"High",
IF(Table1[[#This Row],[ai_disruption_intensity]]&gt;40,"Medium","Low"))</f>
        <v>Low</v>
      </c>
      <c r="W661" t="str">
        <f>IF(Table1[[#This Row],[skill_gap_index]]&gt;70,"Large Gap",
IF(Table1[[#This Row],[skill_gap_index]]&gt;40,"Medium Gap","Small Gap"))</f>
        <v>Large Gap</v>
      </c>
      <c r="X661" s="3" t="str">
        <f>IF(Table1[[#This Row],[automation_risk_percent]]&gt;0.7,"Highly Automatable",
IF(Table1[[#This Row],[automation_risk_percent]]&gt;0.4,"Moderate Risk","Safe Job"))</f>
        <v>Moderate Risk</v>
      </c>
    </row>
    <row r="662" spans="1:24" x14ac:dyDescent="0.3">
      <c r="A662">
        <v>2376</v>
      </c>
      <c r="B662" t="s">
        <v>45</v>
      </c>
      <c r="C662" t="s">
        <v>19</v>
      </c>
      <c r="D662" t="s">
        <v>28</v>
      </c>
      <c r="E662" s="1">
        <v>2025</v>
      </c>
      <c r="F662" s="11">
        <v>0.46289999999999998</v>
      </c>
      <c r="G662">
        <v>53.91</v>
      </c>
      <c r="H662">
        <v>32.6</v>
      </c>
      <c r="I662" s="2">
        <v>48800.66</v>
      </c>
      <c r="J662" s="2">
        <v>50473.8</v>
      </c>
      <c r="K662" s="2">
        <f>Table1[[#This Row],[Salary_after]]-Table1[[#This Row],[Salary_before]]</f>
        <v>1673.1399999999994</v>
      </c>
      <c r="L662" s="11">
        <v>3.4300000000000004E-2</v>
      </c>
      <c r="M662" s="11">
        <v>0.23180000000000001</v>
      </c>
      <c r="N662">
        <v>86.91</v>
      </c>
      <c r="O662">
        <v>8.1199999999999992</v>
      </c>
      <c r="P662">
        <v>2</v>
      </c>
      <c r="Q662" t="s">
        <v>25</v>
      </c>
      <c r="R662">
        <v>39.445</v>
      </c>
      <c r="S662">
        <v>3.43</v>
      </c>
      <c r="T662" s="4">
        <v>29.324999999999999</v>
      </c>
      <c r="U662" s="4">
        <v>3.75874799999999</v>
      </c>
      <c r="V662" t="str">
        <f>IF(Table1[[#This Row],[ai_disruption_intensity]]&gt;70,"High",
IF(Table1[[#This Row],[ai_disruption_intensity]]&gt;40,"Medium","Low"))</f>
        <v>Low</v>
      </c>
      <c r="W662" t="str">
        <f>IF(Table1[[#This Row],[skill_gap_index]]&gt;70,"Large Gap",
IF(Table1[[#This Row],[skill_gap_index]]&gt;40,"Medium Gap","Small Gap"))</f>
        <v>Small Gap</v>
      </c>
      <c r="X662" s="3" t="str">
        <f>IF(Table1[[#This Row],[automation_risk_percent]]&gt;0.7,"Highly Automatable",
IF(Table1[[#This Row],[automation_risk_percent]]&gt;0.4,"Moderate Risk","Safe Job"))</f>
        <v>Moderate Risk</v>
      </c>
    </row>
    <row r="663" spans="1:24" x14ac:dyDescent="0.3">
      <c r="A663">
        <v>2380</v>
      </c>
      <c r="B663" t="s">
        <v>46</v>
      </c>
      <c r="C663" t="s">
        <v>38</v>
      </c>
      <c r="D663" t="s">
        <v>47</v>
      </c>
      <c r="E663" s="1">
        <v>2025</v>
      </c>
      <c r="F663" s="11">
        <v>0.41689999999999999</v>
      </c>
      <c r="G663">
        <v>43.51</v>
      </c>
      <c r="H663">
        <v>21.85</v>
      </c>
      <c r="I663" s="2">
        <v>108140.21</v>
      </c>
      <c r="J663" s="2">
        <v>100870.82</v>
      </c>
      <c r="K663" s="2">
        <f>Table1[[#This Row],[Salary_after]]-Table1[[#This Row],[Salary_before]]</f>
        <v>-7269.3899999999994</v>
      </c>
      <c r="L663" s="11">
        <v>-6.7199999999999996E-2</v>
      </c>
      <c r="M663" s="11">
        <v>0.17559999999999998</v>
      </c>
      <c r="N663">
        <v>82.12</v>
      </c>
      <c r="O663">
        <v>34.880000000000003</v>
      </c>
      <c r="P663">
        <v>1</v>
      </c>
      <c r="Q663" t="s">
        <v>25</v>
      </c>
      <c r="R663">
        <v>31.77</v>
      </c>
      <c r="S663">
        <v>6.72</v>
      </c>
      <c r="T663" s="4">
        <v>25.247</v>
      </c>
      <c r="U663" s="4">
        <v>14.541472000000001</v>
      </c>
      <c r="V663" t="str">
        <f>IF(Table1[[#This Row],[ai_disruption_intensity]]&gt;70,"High",
IF(Table1[[#This Row],[ai_disruption_intensity]]&gt;40,"Medium","Low"))</f>
        <v>Low</v>
      </c>
      <c r="W663" t="str">
        <f>IF(Table1[[#This Row],[skill_gap_index]]&gt;70,"Large Gap",
IF(Table1[[#This Row],[skill_gap_index]]&gt;40,"Medium Gap","Small Gap"))</f>
        <v>Small Gap</v>
      </c>
      <c r="X663" s="3" t="str">
        <f>IF(Table1[[#This Row],[automation_risk_percent]]&gt;0.7,"Highly Automatable",
IF(Table1[[#This Row],[automation_risk_percent]]&gt;0.4,"Moderate Risk","Safe Job"))</f>
        <v>Moderate Risk</v>
      </c>
    </row>
    <row r="664" spans="1:24" x14ac:dyDescent="0.3">
      <c r="A664">
        <v>2382</v>
      </c>
      <c r="B664" t="s">
        <v>45</v>
      </c>
      <c r="C664" t="s">
        <v>27</v>
      </c>
      <c r="D664" t="s">
        <v>31</v>
      </c>
      <c r="E664" s="1">
        <v>2025</v>
      </c>
      <c r="F664" s="11">
        <v>0.36959999999999998</v>
      </c>
      <c r="G664">
        <v>31.23</v>
      </c>
      <c r="H664">
        <v>94.68</v>
      </c>
      <c r="I664" s="2">
        <v>93626.29</v>
      </c>
      <c r="J664" s="2">
        <v>85120.67</v>
      </c>
      <c r="K664" s="2">
        <f>Table1[[#This Row],[Salary_after]]-Table1[[#This Row],[Salary_before]]</f>
        <v>-8505.6199999999953</v>
      </c>
      <c r="L664" s="11">
        <v>-9.0800000000000006E-2</v>
      </c>
      <c r="M664" s="11">
        <v>-8.1699999999999995E-2</v>
      </c>
      <c r="N664">
        <v>34.36</v>
      </c>
      <c r="O664">
        <v>60.18</v>
      </c>
      <c r="P664">
        <v>3</v>
      </c>
      <c r="Q664" t="s">
        <v>25</v>
      </c>
      <c r="R664">
        <v>65.819999999999993</v>
      </c>
      <c r="S664">
        <v>9.08</v>
      </c>
      <c r="T664" s="4">
        <v>45.911999999999999</v>
      </c>
      <c r="U664" s="4">
        <v>22.242528</v>
      </c>
      <c r="V664" t="str">
        <f>IF(Table1[[#This Row],[ai_disruption_intensity]]&gt;70,"High",
IF(Table1[[#This Row],[ai_disruption_intensity]]&gt;40,"Medium","Low"))</f>
        <v>Low</v>
      </c>
      <c r="W664" t="str">
        <f>IF(Table1[[#This Row],[skill_gap_index]]&gt;70,"Large Gap",
IF(Table1[[#This Row],[skill_gap_index]]&gt;40,"Medium Gap","Small Gap"))</f>
        <v>Large Gap</v>
      </c>
      <c r="X664" s="3" t="str">
        <f>IF(Table1[[#This Row],[automation_risk_percent]]&gt;0.7,"Highly Automatable",
IF(Table1[[#This Row],[automation_risk_percent]]&gt;0.4,"Moderate Risk","Safe Job"))</f>
        <v>Safe Job</v>
      </c>
    </row>
    <row r="665" spans="1:24" x14ac:dyDescent="0.3">
      <c r="A665">
        <v>2387</v>
      </c>
      <c r="B665" t="s">
        <v>43</v>
      </c>
      <c r="C665" t="s">
        <v>23</v>
      </c>
      <c r="D665" t="s">
        <v>32</v>
      </c>
      <c r="E665" s="1">
        <v>2025</v>
      </c>
      <c r="F665" s="11">
        <v>0.74419999999999997</v>
      </c>
      <c r="G665">
        <v>76.650000000000006</v>
      </c>
      <c r="H665">
        <v>92</v>
      </c>
      <c r="I665" s="2">
        <v>35568.519999999997</v>
      </c>
      <c r="J665" s="2">
        <v>37948.32</v>
      </c>
      <c r="K665" s="2">
        <f>Table1[[#This Row],[Salary_after]]-Table1[[#This Row],[Salary_before]]</f>
        <v>2379.8000000000029</v>
      </c>
      <c r="L665" s="11">
        <v>6.6900000000000001E-2</v>
      </c>
      <c r="M665" s="11">
        <v>7.9000000000000008E-3</v>
      </c>
      <c r="N665">
        <v>13.29</v>
      </c>
      <c r="O665">
        <v>43.61</v>
      </c>
      <c r="P665">
        <v>2</v>
      </c>
      <c r="Q665" t="s">
        <v>37</v>
      </c>
      <c r="R665">
        <v>83.21</v>
      </c>
      <c r="S665">
        <v>6.69</v>
      </c>
      <c r="T665" s="4">
        <v>59.374999999999901</v>
      </c>
      <c r="U665" s="4">
        <v>32.454562000000003</v>
      </c>
      <c r="V665" t="str">
        <f>IF(Table1[[#This Row],[ai_disruption_intensity]]&gt;70,"High",
IF(Table1[[#This Row],[ai_disruption_intensity]]&gt;40,"Medium","Low"))</f>
        <v>Low</v>
      </c>
      <c r="W665" t="str">
        <f>IF(Table1[[#This Row],[skill_gap_index]]&gt;70,"Large Gap",
IF(Table1[[#This Row],[skill_gap_index]]&gt;40,"Medium Gap","Small Gap"))</f>
        <v>Large Gap</v>
      </c>
      <c r="X665" s="3" t="str">
        <f>IF(Table1[[#This Row],[automation_risk_percent]]&gt;0.7,"Highly Automatable",
IF(Table1[[#This Row],[automation_risk_percent]]&gt;0.4,"Moderate Risk","Safe Job"))</f>
        <v>Highly Automatable</v>
      </c>
    </row>
    <row r="666" spans="1:24" x14ac:dyDescent="0.3">
      <c r="A666">
        <v>2390</v>
      </c>
      <c r="B666" t="s">
        <v>41</v>
      </c>
      <c r="C666" t="s">
        <v>27</v>
      </c>
      <c r="D666" t="s">
        <v>36</v>
      </c>
      <c r="E666" s="1">
        <v>2026</v>
      </c>
      <c r="F666" s="11">
        <v>0.67549999999999999</v>
      </c>
      <c r="G666">
        <v>67.58</v>
      </c>
      <c r="H666">
        <v>62.4</v>
      </c>
      <c r="I666" s="2">
        <v>54994.27</v>
      </c>
      <c r="J666" s="2">
        <v>53219.360000000001</v>
      </c>
      <c r="K666" s="2">
        <f>Table1[[#This Row],[Salary_after]]-Table1[[#This Row],[Salary_before]]</f>
        <v>-1774.9099999999962</v>
      </c>
      <c r="L666" s="11">
        <v>-3.2300000000000002E-2</v>
      </c>
      <c r="M666" s="11">
        <v>0.1207</v>
      </c>
      <c r="N666">
        <v>46.54</v>
      </c>
      <c r="O666">
        <v>80.84</v>
      </c>
      <c r="P666">
        <v>4</v>
      </c>
      <c r="Q666" t="s">
        <v>37</v>
      </c>
      <c r="R666">
        <v>64.974999999999994</v>
      </c>
      <c r="S666">
        <v>3.23</v>
      </c>
      <c r="T666" s="4">
        <v>46.708999999999897</v>
      </c>
      <c r="U666" s="4">
        <v>54.607419999999998</v>
      </c>
      <c r="V666" t="str">
        <f>IF(Table1[[#This Row],[ai_disruption_intensity]]&gt;70,"High",
IF(Table1[[#This Row],[ai_disruption_intensity]]&gt;40,"Medium","Low"))</f>
        <v>Medium</v>
      </c>
      <c r="W666" t="str">
        <f>IF(Table1[[#This Row],[skill_gap_index]]&gt;70,"Large Gap",
IF(Table1[[#This Row],[skill_gap_index]]&gt;40,"Medium Gap","Small Gap"))</f>
        <v>Medium Gap</v>
      </c>
      <c r="X666" s="3" t="str">
        <f>IF(Table1[[#This Row],[automation_risk_percent]]&gt;0.7,"Highly Automatable",
IF(Table1[[#This Row],[automation_risk_percent]]&gt;0.4,"Moderate Risk","Safe Job"))</f>
        <v>Moderate Risk</v>
      </c>
    </row>
    <row r="667" spans="1:24" x14ac:dyDescent="0.3">
      <c r="A667">
        <v>2400</v>
      </c>
      <c r="B667" t="s">
        <v>22</v>
      </c>
      <c r="C667" t="s">
        <v>40</v>
      </c>
      <c r="D667" t="s">
        <v>47</v>
      </c>
      <c r="E667" s="1">
        <v>2026</v>
      </c>
      <c r="F667" s="11">
        <v>0.38350000000000001</v>
      </c>
      <c r="G667">
        <v>31.06</v>
      </c>
      <c r="H667">
        <v>60.29</v>
      </c>
      <c r="I667" s="2">
        <v>64763.519999999997</v>
      </c>
      <c r="J667" s="2">
        <v>61663.34</v>
      </c>
      <c r="K667" s="2">
        <f>Table1[[#This Row],[Salary_after]]-Table1[[#This Row],[Salary_before]]</f>
        <v>-3100.1800000000003</v>
      </c>
      <c r="L667" s="11">
        <v>-4.7899999999999998E-2</v>
      </c>
      <c r="M667" s="11">
        <v>-0.22839999999999999</v>
      </c>
      <c r="N667">
        <v>15.81</v>
      </c>
      <c r="O667">
        <v>48.6</v>
      </c>
      <c r="P667">
        <v>1</v>
      </c>
      <c r="Q667" t="s">
        <v>25</v>
      </c>
      <c r="R667">
        <v>49.32</v>
      </c>
      <c r="S667">
        <v>4.79</v>
      </c>
      <c r="T667" s="4">
        <v>34.863999999999997</v>
      </c>
      <c r="U667" s="4">
        <v>18.638100000000001</v>
      </c>
      <c r="V667" t="str">
        <f>IF(Table1[[#This Row],[ai_disruption_intensity]]&gt;70,"High",
IF(Table1[[#This Row],[ai_disruption_intensity]]&gt;40,"Medium","Low"))</f>
        <v>Low</v>
      </c>
      <c r="W667" t="str">
        <f>IF(Table1[[#This Row],[skill_gap_index]]&gt;70,"Large Gap",
IF(Table1[[#This Row],[skill_gap_index]]&gt;40,"Medium Gap","Small Gap"))</f>
        <v>Medium Gap</v>
      </c>
      <c r="X667" s="3" t="str">
        <f>IF(Table1[[#This Row],[automation_risk_percent]]&gt;0.7,"Highly Automatable",
IF(Table1[[#This Row],[automation_risk_percent]]&gt;0.4,"Moderate Risk","Safe Job"))</f>
        <v>Safe Job</v>
      </c>
    </row>
    <row r="668" spans="1:24" x14ac:dyDescent="0.3">
      <c r="A668">
        <v>2403</v>
      </c>
      <c r="B668" t="s">
        <v>22</v>
      </c>
      <c r="C668" t="s">
        <v>19</v>
      </c>
      <c r="D668" t="s">
        <v>20</v>
      </c>
      <c r="E668" s="1">
        <v>2026</v>
      </c>
      <c r="F668" s="11">
        <v>0.30309999999999998</v>
      </c>
      <c r="G668">
        <v>33.590000000000003</v>
      </c>
      <c r="H668">
        <v>13.25</v>
      </c>
      <c r="I668" s="2">
        <v>121870.59</v>
      </c>
      <c r="J668" s="2">
        <v>119567.46</v>
      </c>
      <c r="K668" s="2">
        <f>Table1[[#This Row],[Salary_after]]-Table1[[#This Row],[Salary_before]]</f>
        <v>-2303.1299999999901</v>
      </c>
      <c r="L668" s="11">
        <v>-1.89E-2</v>
      </c>
      <c r="M668" s="11">
        <v>6.6100000000000006E-2</v>
      </c>
      <c r="N668">
        <v>97.92</v>
      </c>
      <c r="O668">
        <v>98.55</v>
      </c>
      <c r="P668">
        <v>4</v>
      </c>
      <c r="Q668" t="s">
        <v>25</v>
      </c>
      <c r="R668">
        <v>21.78</v>
      </c>
      <c r="S668">
        <v>1.89</v>
      </c>
      <c r="T668" s="4">
        <v>16.666</v>
      </c>
      <c r="U668" s="4">
        <v>29.870504999999898</v>
      </c>
      <c r="V668" t="str">
        <f>IF(Table1[[#This Row],[ai_disruption_intensity]]&gt;70,"High",
IF(Table1[[#This Row],[ai_disruption_intensity]]&gt;40,"Medium","Low"))</f>
        <v>Low</v>
      </c>
      <c r="W668" t="str">
        <f>IF(Table1[[#This Row],[skill_gap_index]]&gt;70,"Large Gap",
IF(Table1[[#This Row],[skill_gap_index]]&gt;40,"Medium Gap","Small Gap"))</f>
        <v>Small Gap</v>
      </c>
      <c r="X668" s="3" t="str">
        <f>IF(Table1[[#This Row],[automation_risk_percent]]&gt;0.7,"Highly Automatable",
IF(Table1[[#This Row],[automation_risk_percent]]&gt;0.4,"Moderate Risk","Safe Job"))</f>
        <v>Safe Job</v>
      </c>
    </row>
    <row r="669" spans="1:24" x14ac:dyDescent="0.3">
      <c r="A669">
        <v>2408</v>
      </c>
      <c r="B669" t="s">
        <v>43</v>
      </c>
      <c r="C669" t="s">
        <v>40</v>
      </c>
      <c r="D669" t="s">
        <v>32</v>
      </c>
      <c r="E669" s="1">
        <v>2026</v>
      </c>
      <c r="F669" s="11">
        <v>0.57640000000000002</v>
      </c>
      <c r="G669">
        <v>53.95</v>
      </c>
      <c r="H669">
        <v>36.200000000000003</v>
      </c>
      <c r="I669" s="2">
        <v>67712.41</v>
      </c>
      <c r="J669" s="2">
        <v>62272.33</v>
      </c>
      <c r="K669" s="2">
        <f>Table1[[#This Row],[Salary_after]]-Table1[[#This Row],[Salary_before]]</f>
        <v>-5440.0800000000017</v>
      </c>
      <c r="L669" s="11">
        <v>-8.0299999999999996E-2</v>
      </c>
      <c r="M669" s="11">
        <v>0.10039999999999999</v>
      </c>
      <c r="N669">
        <v>11.17</v>
      </c>
      <c r="O669">
        <v>59.62</v>
      </c>
      <c r="P669">
        <v>2</v>
      </c>
      <c r="Q669" t="s">
        <v>25</v>
      </c>
      <c r="R669">
        <v>46.92</v>
      </c>
      <c r="S669">
        <v>8.0299999999999994</v>
      </c>
      <c r="T669" s="4">
        <v>36.325000000000003</v>
      </c>
      <c r="U669" s="4">
        <v>34.364967999999998</v>
      </c>
      <c r="V669" t="str">
        <f>IF(Table1[[#This Row],[ai_disruption_intensity]]&gt;70,"High",
IF(Table1[[#This Row],[ai_disruption_intensity]]&gt;40,"Medium","Low"))</f>
        <v>Low</v>
      </c>
      <c r="W669" t="str">
        <f>IF(Table1[[#This Row],[skill_gap_index]]&gt;70,"Large Gap",
IF(Table1[[#This Row],[skill_gap_index]]&gt;40,"Medium Gap","Small Gap"))</f>
        <v>Small Gap</v>
      </c>
      <c r="X669" s="3" t="str">
        <f>IF(Table1[[#This Row],[automation_risk_percent]]&gt;0.7,"Highly Automatable",
IF(Table1[[#This Row],[automation_risk_percent]]&gt;0.4,"Moderate Risk","Safe Job"))</f>
        <v>Moderate Risk</v>
      </c>
    </row>
    <row r="670" spans="1:24" x14ac:dyDescent="0.3">
      <c r="A670">
        <v>2409</v>
      </c>
      <c r="B670" t="s">
        <v>45</v>
      </c>
      <c r="C670" t="s">
        <v>19</v>
      </c>
      <c r="D670" t="s">
        <v>42</v>
      </c>
      <c r="E670" s="1">
        <v>2026</v>
      </c>
      <c r="F670" s="11">
        <v>0.75970000000000004</v>
      </c>
      <c r="G670">
        <v>79.290000000000006</v>
      </c>
      <c r="H670">
        <v>78.290000000000006</v>
      </c>
      <c r="I670" s="2">
        <v>110734.89</v>
      </c>
      <c r="J670" s="2">
        <v>130889.02</v>
      </c>
      <c r="K670" s="2">
        <f>Table1[[#This Row],[Salary_after]]-Table1[[#This Row],[Salary_before]]</f>
        <v>20154.130000000005</v>
      </c>
      <c r="L670" s="11">
        <v>0.182</v>
      </c>
      <c r="M670" s="11">
        <v>4.7899999999999998E-2</v>
      </c>
      <c r="N670">
        <v>84.17</v>
      </c>
      <c r="O670">
        <v>22.47</v>
      </c>
      <c r="P670">
        <v>5</v>
      </c>
      <c r="Q670" t="s">
        <v>37</v>
      </c>
      <c r="R670">
        <v>77.13</v>
      </c>
      <c r="S670">
        <v>18.2</v>
      </c>
      <c r="T670" s="4">
        <v>59.335000000000001</v>
      </c>
      <c r="U670" s="4">
        <v>17.070459</v>
      </c>
      <c r="V670" t="str">
        <f>IF(Table1[[#This Row],[ai_disruption_intensity]]&gt;70,"High",
IF(Table1[[#This Row],[ai_disruption_intensity]]&gt;40,"Medium","Low"))</f>
        <v>Low</v>
      </c>
      <c r="W670" t="str">
        <f>IF(Table1[[#This Row],[skill_gap_index]]&gt;70,"Large Gap",
IF(Table1[[#This Row],[skill_gap_index]]&gt;40,"Medium Gap","Small Gap"))</f>
        <v>Large Gap</v>
      </c>
      <c r="X670" s="3" t="str">
        <f>IF(Table1[[#This Row],[automation_risk_percent]]&gt;0.7,"Highly Automatable",
IF(Table1[[#This Row],[automation_risk_percent]]&gt;0.4,"Moderate Risk","Safe Job"))</f>
        <v>Highly Automatable</v>
      </c>
    </row>
    <row r="671" spans="1:24" x14ac:dyDescent="0.3">
      <c r="A671">
        <v>2410</v>
      </c>
      <c r="B671" t="s">
        <v>26</v>
      </c>
      <c r="C671" t="s">
        <v>38</v>
      </c>
      <c r="D671" t="s">
        <v>32</v>
      </c>
      <c r="E671" s="1">
        <v>2025</v>
      </c>
      <c r="F671" s="11">
        <v>0.23530000000000001</v>
      </c>
      <c r="G671">
        <v>20.93</v>
      </c>
      <c r="H671">
        <v>45.22</v>
      </c>
      <c r="I671" s="2">
        <v>136207.75</v>
      </c>
      <c r="J671" s="2">
        <v>119751.23</v>
      </c>
      <c r="K671" s="2">
        <f>Table1[[#This Row],[Salary_after]]-Table1[[#This Row],[Salary_before]]</f>
        <v>-16456.520000000004</v>
      </c>
      <c r="L671" s="11">
        <v>-0.1208</v>
      </c>
      <c r="M671" s="11">
        <v>-9.9000000000000005E-2</v>
      </c>
      <c r="N671">
        <v>87.43</v>
      </c>
      <c r="O671">
        <v>51.54</v>
      </c>
      <c r="P671">
        <v>1</v>
      </c>
      <c r="Q671" t="s">
        <v>21</v>
      </c>
      <c r="R671">
        <v>34.375</v>
      </c>
      <c r="S671">
        <v>12.08</v>
      </c>
      <c r="T671" s="4">
        <v>26.602</v>
      </c>
      <c r="U671" s="4">
        <v>12.127362</v>
      </c>
      <c r="V671" t="str">
        <f>IF(Table1[[#This Row],[ai_disruption_intensity]]&gt;70,"High",
IF(Table1[[#This Row],[ai_disruption_intensity]]&gt;40,"Medium","Low"))</f>
        <v>Low</v>
      </c>
      <c r="W671" t="str">
        <f>IF(Table1[[#This Row],[skill_gap_index]]&gt;70,"Large Gap",
IF(Table1[[#This Row],[skill_gap_index]]&gt;40,"Medium Gap","Small Gap"))</f>
        <v>Medium Gap</v>
      </c>
      <c r="X671" s="3" t="str">
        <f>IF(Table1[[#This Row],[automation_risk_percent]]&gt;0.7,"Highly Automatable",
IF(Table1[[#This Row],[automation_risk_percent]]&gt;0.4,"Moderate Risk","Safe Job"))</f>
        <v>Safe Job</v>
      </c>
    </row>
    <row r="672" spans="1:24" x14ac:dyDescent="0.3">
      <c r="A672">
        <v>2419</v>
      </c>
      <c r="B672" t="s">
        <v>39</v>
      </c>
      <c r="C672" t="s">
        <v>34</v>
      </c>
      <c r="D672" t="s">
        <v>47</v>
      </c>
      <c r="E672" s="1">
        <v>2025</v>
      </c>
      <c r="F672" s="11">
        <v>0.25129999999999997</v>
      </c>
      <c r="G672">
        <v>23.22</v>
      </c>
      <c r="H672">
        <v>96.67</v>
      </c>
      <c r="I672" s="2">
        <v>131841.54999999999</v>
      </c>
      <c r="J672" s="2">
        <v>130409.93</v>
      </c>
      <c r="K672" s="2">
        <f>Table1[[#This Row],[Salary_after]]-Table1[[#This Row],[Salary_before]]</f>
        <v>-1431.6199999999953</v>
      </c>
      <c r="L672" s="11">
        <v>-1.09E-2</v>
      </c>
      <c r="M672" s="11">
        <v>0.1532</v>
      </c>
      <c r="N672">
        <v>66.14</v>
      </c>
      <c r="O672">
        <v>37.68</v>
      </c>
      <c r="P672">
        <v>5</v>
      </c>
      <c r="Q672" t="s">
        <v>21</v>
      </c>
      <c r="R672">
        <v>60.9</v>
      </c>
      <c r="S672">
        <v>1.0900000000000001</v>
      </c>
      <c r="T672" s="4">
        <v>39.379999999999903</v>
      </c>
      <c r="U672" s="4">
        <v>9.4689839999999901</v>
      </c>
      <c r="V672" t="str">
        <f>IF(Table1[[#This Row],[ai_disruption_intensity]]&gt;70,"High",
IF(Table1[[#This Row],[ai_disruption_intensity]]&gt;40,"Medium","Low"))</f>
        <v>Low</v>
      </c>
      <c r="W672" t="str">
        <f>IF(Table1[[#This Row],[skill_gap_index]]&gt;70,"Large Gap",
IF(Table1[[#This Row],[skill_gap_index]]&gt;40,"Medium Gap","Small Gap"))</f>
        <v>Large Gap</v>
      </c>
      <c r="X672" s="3" t="str">
        <f>IF(Table1[[#This Row],[automation_risk_percent]]&gt;0.7,"Highly Automatable",
IF(Table1[[#This Row],[automation_risk_percent]]&gt;0.4,"Moderate Risk","Safe Job"))</f>
        <v>Safe Job</v>
      </c>
    </row>
    <row r="673" spans="1:24" x14ac:dyDescent="0.3">
      <c r="A673">
        <v>2420</v>
      </c>
      <c r="B673" t="s">
        <v>43</v>
      </c>
      <c r="C673" t="s">
        <v>30</v>
      </c>
      <c r="D673" t="s">
        <v>32</v>
      </c>
      <c r="E673" s="1">
        <v>2025</v>
      </c>
      <c r="F673" s="11">
        <v>0.15439999999999998</v>
      </c>
      <c r="G673">
        <v>14.83</v>
      </c>
      <c r="H673">
        <v>59.4</v>
      </c>
      <c r="I673" s="2">
        <v>64457.31</v>
      </c>
      <c r="J673" s="2">
        <v>63353.99</v>
      </c>
      <c r="K673" s="2">
        <f>Table1[[#This Row],[Salary_after]]-Table1[[#This Row],[Salary_before]]</f>
        <v>-1103.3199999999997</v>
      </c>
      <c r="L673" s="11">
        <v>-1.7100000000000001E-2</v>
      </c>
      <c r="M673" s="11">
        <v>6.7099999999999993E-2</v>
      </c>
      <c r="N673">
        <v>43.04</v>
      </c>
      <c r="O673">
        <v>12.49</v>
      </c>
      <c r="P673">
        <v>2</v>
      </c>
      <c r="Q673" t="s">
        <v>21</v>
      </c>
      <c r="R673">
        <v>37.42</v>
      </c>
      <c r="S673">
        <v>1.71</v>
      </c>
      <c r="T673" s="4">
        <v>24.509</v>
      </c>
      <c r="U673" s="4">
        <v>1.9284559999999999</v>
      </c>
      <c r="V673" t="str">
        <f>IF(Table1[[#This Row],[ai_disruption_intensity]]&gt;70,"High",
IF(Table1[[#This Row],[ai_disruption_intensity]]&gt;40,"Medium","Low"))</f>
        <v>Low</v>
      </c>
      <c r="W673" t="str">
        <f>IF(Table1[[#This Row],[skill_gap_index]]&gt;70,"Large Gap",
IF(Table1[[#This Row],[skill_gap_index]]&gt;40,"Medium Gap","Small Gap"))</f>
        <v>Medium Gap</v>
      </c>
      <c r="X673" s="3" t="str">
        <f>IF(Table1[[#This Row],[automation_risk_percent]]&gt;0.7,"Highly Automatable",
IF(Table1[[#This Row],[automation_risk_percent]]&gt;0.4,"Moderate Risk","Safe Job"))</f>
        <v>Safe Job</v>
      </c>
    </row>
    <row r="674" spans="1:24" x14ac:dyDescent="0.3">
      <c r="A674">
        <v>2421</v>
      </c>
      <c r="B674" t="s">
        <v>39</v>
      </c>
      <c r="C674" t="s">
        <v>23</v>
      </c>
      <c r="D674" t="s">
        <v>42</v>
      </c>
      <c r="E674" s="1">
        <v>2025</v>
      </c>
      <c r="F674" s="11">
        <v>0.38340000000000002</v>
      </c>
      <c r="G674">
        <v>31.28</v>
      </c>
      <c r="H674">
        <v>27.25</v>
      </c>
      <c r="I674" s="2">
        <v>78088.23</v>
      </c>
      <c r="J674" s="2">
        <v>99394.6</v>
      </c>
      <c r="K674" s="2">
        <f>Table1[[#This Row],[Salary_after]]-Table1[[#This Row],[Salary_before]]</f>
        <v>21306.37000000001</v>
      </c>
      <c r="L674" s="11">
        <v>0.27279999999999999</v>
      </c>
      <c r="M674" s="11">
        <v>-8.6300000000000002E-2</v>
      </c>
      <c r="N674">
        <v>34.75</v>
      </c>
      <c r="O674">
        <v>52.3</v>
      </c>
      <c r="P674">
        <v>2</v>
      </c>
      <c r="Q674" t="s">
        <v>25</v>
      </c>
      <c r="R674">
        <v>32.795000000000002</v>
      </c>
      <c r="S674">
        <v>27.28</v>
      </c>
      <c r="T674" s="4">
        <v>31.695</v>
      </c>
      <c r="U674" s="4">
        <v>20.051819999999999</v>
      </c>
      <c r="V674" t="str">
        <f>IF(Table1[[#This Row],[ai_disruption_intensity]]&gt;70,"High",
IF(Table1[[#This Row],[ai_disruption_intensity]]&gt;40,"Medium","Low"))</f>
        <v>Low</v>
      </c>
      <c r="W674" t="str">
        <f>IF(Table1[[#This Row],[skill_gap_index]]&gt;70,"Large Gap",
IF(Table1[[#This Row],[skill_gap_index]]&gt;40,"Medium Gap","Small Gap"))</f>
        <v>Small Gap</v>
      </c>
      <c r="X674" s="3" t="str">
        <f>IF(Table1[[#This Row],[automation_risk_percent]]&gt;0.7,"Highly Automatable",
IF(Table1[[#This Row],[automation_risk_percent]]&gt;0.4,"Moderate Risk","Safe Job"))</f>
        <v>Safe Job</v>
      </c>
    </row>
    <row r="675" spans="1:24" x14ac:dyDescent="0.3">
      <c r="A675">
        <v>2424</v>
      </c>
      <c r="B675" t="s">
        <v>45</v>
      </c>
      <c r="C675" t="s">
        <v>19</v>
      </c>
      <c r="D675" t="s">
        <v>32</v>
      </c>
      <c r="E675" s="1">
        <v>2025</v>
      </c>
      <c r="F675" s="11">
        <v>0.38490000000000002</v>
      </c>
      <c r="G675">
        <v>44.74</v>
      </c>
      <c r="H675">
        <v>75.69</v>
      </c>
      <c r="I675" s="2">
        <v>147769.24</v>
      </c>
      <c r="J675" s="2">
        <v>143618.85</v>
      </c>
      <c r="K675" s="2">
        <f>Table1[[#This Row],[Salary_after]]-Table1[[#This Row],[Salary_before]]</f>
        <v>-4150.3899999999849</v>
      </c>
      <c r="L675" s="11">
        <v>-2.81E-2</v>
      </c>
      <c r="M675" s="11">
        <v>0.19989999999999999</v>
      </c>
      <c r="N675">
        <v>57.8</v>
      </c>
      <c r="O675">
        <v>90.05</v>
      </c>
      <c r="P675">
        <v>3</v>
      </c>
      <c r="Q675" t="s">
        <v>25</v>
      </c>
      <c r="R675">
        <v>57.09</v>
      </c>
      <c r="S675">
        <v>2.81</v>
      </c>
      <c r="T675" s="4">
        <v>38.945999999999998</v>
      </c>
      <c r="U675" s="4">
        <v>34.660245000000003</v>
      </c>
      <c r="V675" t="str">
        <f>IF(Table1[[#This Row],[ai_disruption_intensity]]&gt;70,"High",
IF(Table1[[#This Row],[ai_disruption_intensity]]&gt;40,"Medium","Low"))</f>
        <v>Low</v>
      </c>
      <c r="W675" t="str">
        <f>IF(Table1[[#This Row],[skill_gap_index]]&gt;70,"Large Gap",
IF(Table1[[#This Row],[skill_gap_index]]&gt;40,"Medium Gap","Small Gap"))</f>
        <v>Large Gap</v>
      </c>
      <c r="X675" s="3" t="str">
        <f>IF(Table1[[#This Row],[automation_risk_percent]]&gt;0.7,"Highly Automatable",
IF(Table1[[#This Row],[automation_risk_percent]]&gt;0.4,"Moderate Risk","Safe Job"))</f>
        <v>Safe Job</v>
      </c>
    </row>
    <row r="676" spans="1:24" x14ac:dyDescent="0.3">
      <c r="A676">
        <v>2427</v>
      </c>
      <c r="B676" t="s">
        <v>41</v>
      </c>
      <c r="C676" t="s">
        <v>40</v>
      </c>
      <c r="D676" t="s">
        <v>47</v>
      </c>
      <c r="E676" s="1">
        <v>2026</v>
      </c>
      <c r="F676" s="11">
        <v>0.91569999999999996</v>
      </c>
      <c r="G676">
        <v>91.76</v>
      </c>
      <c r="H676">
        <v>47.19</v>
      </c>
      <c r="I676" s="2">
        <v>83896.62</v>
      </c>
      <c r="J676" s="2">
        <v>87395.79</v>
      </c>
      <c r="K676" s="2">
        <f>Table1[[#This Row],[Salary_after]]-Table1[[#This Row],[Salary_before]]</f>
        <v>3499.1699999999983</v>
      </c>
      <c r="L676" s="11">
        <v>4.1700000000000001E-2</v>
      </c>
      <c r="M676" s="11">
        <v>-0.15439999999999998</v>
      </c>
      <c r="N676">
        <v>50.73</v>
      </c>
      <c r="O676">
        <v>3.67</v>
      </c>
      <c r="P676">
        <v>2</v>
      </c>
      <c r="Q676" t="s">
        <v>37</v>
      </c>
      <c r="R676">
        <v>69.38</v>
      </c>
      <c r="S676">
        <v>4.17</v>
      </c>
      <c r="T676" s="4">
        <v>52.035999999999902</v>
      </c>
      <c r="U676" s="4">
        <v>3.3606189999999998</v>
      </c>
      <c r="V676" t="str">
        <f>IF(Table1[[#This Row],[ai_disruption_intensity]]&gt;70,"High",
IF(Table1[[#This Row],[ai_disruption_intensity]]&gt;40,"Medium","Low"))</f>
        <v>Low</v>
      </c>
      <c r="W676" t="str">
        <f>IF(Table1[[#This Row],[skill_gap_index]]&gt;70,"Large Gap",
IF(Table1[[#This Row],[skill_gap_index]]&gt;40,"Medium Gap","Small Gap"))</f>
        <v>Medium Gap</v>
      </c>
      <c r="X676" s="3" t="str">
        <f>IF(Table1[[#This Row],[automation_risk_percent]]&gt;0.7,"Highly Automatable",
IF(Table1[[#This Row],[automation_risk_percent]]&gt;0.4,"Moderate Risk","Safe Job"))</f>
        <v>Highly Automatable</v>
      </c>
    </row>
    <row r="677" spans="1:24" x14ac:dyDescent="0.3">
      <c r="A677">
        <v>2428</v>
      </c>
      <c r="B677" t="s">
        <v>29</v>
      </c>
      <c r="C677" t="s">
        <v>30</v>
      </c>
      <c r="D677" t="s">
        <v>32</v>
      </c>
      <c r="E677" s="1">
        <v>2025</v>
      </c>
      <c r="F677" s="11">
        <v>0.43229999999999996</v>
      </c>
      <c r="G677">
        <v>38.270000000000003</v>
      </c>
      <c r="H677">
        <v>86.74</v>
      </c>
      <c r="I677" s="2">
        <v>101864.4</v>
      </c>
      <c r="J677" s="2">
        <v>92101.21</v>
      </c>
      <c r="K677" s="2">
        <f>Table1[[#This Row],[Salary_after]]-Table1[[#This Row],[Salary_before]]</f>
        <v>-9763.1899999999878</v>
      </c>
      <c r="L677" s="11">
        <v>-9.5799999999999996E-2</v>
      </c>
      <c r="M677" s="11">
        <v>-7.4999999999999997E-3</v>
      </c>
      <c r="N677">
        <v>46.3</v>
      </c>
      <c r="O677">
        <v>47.08</v>
      </c>
      <c r="P677">
        <v>4</v>
      </c>
      <c r="Q677" t="s">
        <v>25</v>
      </c>
      <c r="R677">
        <v>64.984999999999999</v>
      </c>
      <c r="S677">
        <v>9.58</v>
      </c>
      <c r="T677" s="4">
        <v>46.187999999999903</v>
      </c>
      <c r="U677" s="4">
        <v>20.352683999999901</v>
      </c>
      <c r="V677" t="str">
        <f>IF(Table1[[#This Row],[ai_disruption_intensity]]&gt;70,"High",
IF(Table1[[#This Row],[ai_disruption_intensity]]&gt;40,"Medium","Low"))</f>
        <v>Low</v>
      </c>
      <c r="W677" t="str">
        <f>IF(Table1[[#This Row],[skill_gap_index]]&gt;70,"Large Gap",
IF(Table1[[#This Row],[skill_gap_index]]&gt;40,"Medium Gap","Small Gap"))</f>
        <v>Large Gap</v>
      </c>
      <c r="X677" s="3" t="str">
        <f>IF(Table1[[#This Row],[automation_risk_percent]]&gt;0.7,"Highly Automatable",
IF(Table1[[#This Row],[automation_risk_percent]]&gt;0.4,"Moderate Risk","Safe Job"))</f>
        <v>Moderate Risk</v>
      </c>
    </row>
    <row r="678" spans="1:24" x14ac:dyDescent="0.3">
      <c r="A678">
        <v>2432</v>
      </c>
      <c r="B678" t="s">
        <v>41</v>
      </c>
      <c r="C678" t="s">
        <v>38</v>
      </c>
      <c r="D678" t="s">
        <v>32</v>
      </c>
      <c r="E678" s="1">
        <v>2025</v>
      </c>
      <c r="F678" s="11">
        <v>0.50639999999999996</v>
      </c>
      <c r="G678">
        <v>49.71</v>
      </c>
      <c r="H678">
        <v>71.17</v>
      </c>
      <c r="I678" s="2">
        <v>142458.35999999999</v>
      </c>
      <c r="J678" s="2">
        <v>149834.25</v>
      </c>
      <c r="K678" s="2">
        <f>Table1[[#This Row],[Salary_after]]-Table1[[#This Row],[Salary_before]]</f>
        <v>7375.890000000014</v>
      </c>
      <c r="L678" s="11">
        <v>5.1799999999999999E-2</v>
      </c>
      <c r="M678" s="11">
        <v>-1.7299999999999999E-2</v>
      </c>
      <c r="N678">
        <v>72</v>
      </c>
      <c r="O678">
        <v>13.32</v>
      </c>
      <c r="P678">
        <v>5</v>
      </c>
      <c r="Q678" t="s">
        <v>25</v>
      </c>
      <c r="R678">
        <v>60.905000000000001</v>
      </c>
      <c r="S678">
        <v>5.18</v>
      </c>
      <c r="T678" s="4">
        <v>43.161000000000001</v>
      </c>
      <c r="U678" s="4">
        <v>6.7452480000000001</v>
      </c>
      <c r="V678" t="str">
        <f>IF(Table1[[#This Row],[ai_disruption_intensity]]&gt;70,"High",
IF(Table1[[#This Row],[ai_disruption_intensity]]&gt;40,"Medium","Low"))</f>
        <v>Low</v>
      </c>
      <c r="W678" t="str">
        <f>IF(Table1[[#This Row],[skill_gap_index]]&gt;70,"Large Gap",
IF(Table1[[#This Row],[skill_gap_index]]&gt;40,"Medium Gap","Small Gap"))</f>
        <v>Large Gap</v>
      </c>
      <c r="X678" s="3" t="str">
        <f>IF(Table1[[#This Row],[automation_risk_percent]]&gt;0.7,"Highly Automatable",
IF(Table1[[#This Row],[automation_risk_percent]]&gt;0.4,"Moderate Risk","Safe Job"))</f>
        <v>Moderate Risk</v>
      </c>
    </row>
    <row r="679" spans="1:24" x14ac:dyDescent="0.3">
      <c r="A679">
        <v>2436</v>
      </c>
      <c r="B679" t="s">
        <v>26</v>
      </c>
      <c r="C679" t="s">
        <v>34</v>
      </c>
      <c r="D679" t="s">
        <v>20</v>
      </c>
      <c r="E679" s="1">
        <v>2026</v>
      </c>
      <c r="F679" s="11">
        <v>0.05</v>
      </c>
      <c r="G679">
        <v>4.7300000000000004</v>
      </c>
      <c r="H679">
        <v>13.88</v>
      </c>
      <c r="I679" s="2">
        <v>112762.64</v>
      </c>
      <c r="J679" s="2">
        <v>91256.3</v>
      </c>
      <c r="K679" s="2">
        <f>Table1[[#This Row],[Salary_after]]-Table1[[#This Row],[Salary_before]]</f>
        <v>-21506.339999999997</v>
      </c>
      <c r="L679" s="11">
        <v>-0.19070000000000001</v>
      </c>
      <c r="M679" s="11">
        <v>2.98E-2</v>
      </c>
      <c r="N679">
        <v>52.1</v>
      </c>
      <c r="O679">
        <v>20.96</v>
      </c>
      <c r="P679">
        <v>2</v>
      </c>
      <c r="Q679" t="s">
        <v>21</v>
      </c>
      <c r="R679">
        <v>9.44</v>
      </c>
      <c r="S679">
        <v>19.07</v>
      </c>
      <c r="T679" s="4">
        <v>11.885</v>
      </c>
      <c r="U679" s="4">
        <v>1.048</v>
      </c>
      <c r="V679" t="str">
        <f>IF(Table1[[#This Row],[ai_disruption_intensity]]&gt;70,"High",
IF(Table1[[#This Row],[ai_disruption_intensity]]&gt;40,"Medium","Low"))</f>
        <v>Low</v>
      </c>
      <c r="W679" t="str">
        <f>IF(Table1[[#This Row],[skill_gap_index]]&gt;70,"Large Gap",
IF(Table1[[#This Row],[skill_gap_index]]&gt;40,"Medium Gap","Small Gap"))</f>
        <v>Small Gap</v>
      </c>
      <c r="X679" s="3" t="str">
        <f>IF(Table1[[#This Row],[automation_risk_percent]]&gt;0.7,"Highly Automatable",
IF(Table1[[#This Row],[automation_risk_percent]]&gt;0.4,"Moderate Risk","Safe Job"))</f>
        <v>Safe Job</v>
      </c>
    </row>
    <row r="680" spans="1:24" x14ac:dyDescent="0.3">
      <c r="A680">
        <v>2438</v>
      </c>
      <c r="B680" t="s">
        <v>26</v>
      </c>
      <c r="C680" t="s">
        <v>23</v>
      </c>
      <c r="D680" t="s">
        <v>32</v>
      </c>
      <c r="E680" s="1">
        <v>2025</v>
      </c>
      <c r="F680" s="11">
        <v>0.41220000000000001</v>
      </c>
      <c r="G680">
        <v>49.36</v>
      </c>
      <c r="H680">
        <v>88.11</v>
      </c>
      <c r="I680" s="2">
        <v>94359.58</v>
      </c>
      <c r="J680" s="2">
        <v>90285.59</v>
      </c>
      <c r="K680" s="2">
        <f>Table1[[#This Row],[Salary_after]]-Table1[[#This Row],[Salary_before]]</f>
        <v>-4073.9900000000052</v>
      </c>
      <c r="L680" s="11">
        <v>-4.3200000000000002E-2</v>
      </c>
      <c r="M680" s="11">
        <v>-8.3199999999999996E-2</v>
      </c>
      <c r="N680">
        <v>40.1</v>
      </c>
      <c r="O680">
        <v>34.4</v>
      </c>
      <c r="P680">
        <v>5</v>
      </c>
      <c r="Q680" t="s">
        <v>25</v>
      </c>
      <c r="R680">
        <v>64.664999999999907</v>
      </c>
      <c r="S680">
        <v>4.32</v>
      </c>
      <c r="T680" s="4">
        <v>44.216999999999999</v>
      </c>
      <c r="U680" s="4">
        <v>14.1796799999999</v>
      </c>
      <c r="V680" t="str">
        <f>IF(Table1[[#This Row],[ai_disruption_intensity]]&gt;70,"High",
IF(Table1[[#This Row],[ai_disruption_intensity]]&gt;40,"Medium","Low"))</f>
        <v>Low</v>
      </c>
      <c r="W680" t="str">
        <f>IF(Table1[[#This Row],[skill_gap_index]]&gt;70,"Large Gap",
IF(Table1[[#This Row],[skill_gap_index]]&gt;40,"Medium Gap","Small Gap"))</f>
        <v>Large Gap</v>
      </c>
      <c r="X680" s="3" t="str">
        <f>IF(Table1[[#This Row],[automation_risk_percent]]&gt;0.7,"Highly Automatable",
IF(Table1[[#This Row],[automation_risk_percent]]&gt;0.4,"Moderate Risk","Safe Job"))</f>
        <v>Moderate Risk</v>
      </c>
    </row>
    <row r="681" spans="1:24" x14ac:dyDescent="0.3">
      <c r="A681">
        <v>2442</v>
      </c>
      <c r="B681" t="s">
        <v>26</v>
      </c>
      <c r="C681" t="s">
        <v>30</v>
      </c>
      <c r="D681" t="s">
        <v>32</v>
      </c>
      <c r="E681" s="1">
        <v>2026</v>
      </c>
      <c r="F681" s="11">
        <v>0.61640000000000006</v>
      </c>
      <c r="G681">
        <v>71.42</v>
      </c>
      <c r="H681">
        <v>87.17</v>
      </c>
      <c r="I681" s="2">
        <v>91317.23</v>
      </c>
      <c r="J681" s="2">
        <v>98276.19</v>
      </c>
      <c r="K681" s="2">
        <f>Table1[[#This Row],[Salary_after]]-Table1[[#This Row],[Salary_before]]</f>
        <v>6958.9600000000064</v>
      </c>
      <c r="L681" s="11">
        <v>7.6200000000000004E-2</v>
      </c>
      <c r="M681" s="11">
        <v>0.24210000000000001</v>
      </c>
      <c r="N681">
        <v>16.25</v>
      </c>
      <c r="O681">
        <v>59.58</v>
      </c>
      <c r="P681">
        <v>5</v>
      </c>
      <c r="Q681" t="s">
        <v>37</v>
      </c>
      <c r="R681">
        <v>74.405000000000001</v>
      </c>
      <c r="S681">
        <v>7.62</v>
      </c>
      <c r="T681" s="4">
        <v>53.093000000000004</v>
      </c>
      <c r="U681" s="4">
        <v>36.725111999999903</v>
      </c>
      <c r="V681" t="str">
        <f>IF(Table1[[#This Row],[ai_disruption_intensity]]&gt;70,"High",
IF(Table1[[#This Row],[ai_disruption_intensity]]&gt;40,"Medium","Low"))</f>
        <v>Low</v>
      </c>
      <c r="W681" t="str">
        <f>IF(Table1[[#This Row],[skill_gap_index]]&gt;70,"Large Gap",
IF(Table1[[#This Row],[skill_gap_index]]&gt;40,"Medium Gap","Small Gap"))</f>
        <v>Large Gap</v>
      </c>
      <c r="X681" s="3" t="str">
        <f>IF(Table1[[#This Row],[automation_risk_percent]]&gt;0.7,"Highly Automatable",
IF(Table1[[#This Row],[automation_risk_percent]]&gt;0.4,"Moderate Risk","Safe Job"))</f>
        <v>Moderate Risk</v>
      </c>
    </row>
    <row r="682" spans="1:24" x14ac:dyDescent="0.3">
      <c r="A682">
        <v>2458</v>
      </c>
      <c r="B682" t="s">
        <v>46</v>
      </c>
      <c r="C682" t="s">
        <v>38</v>
      </c>
      <c r="D682" t="s">
        <v>36</v>
      </c>
      <c r="E682" s="1">
        <v>2025</v>
      </c>
      <c r="F682" s="11">
        <v>0.05</v>
      </c>
      <c r="G682">
        <v>4.3099999999999996</v>
      </c>
      <c r="H682">
        <v>64.12</v>
      </c>
      <c r="I682" s="2">
        <v>77879.149999999994</v>
      </c>
      <c r="J682" s="2">
        <v>73041.8</v>
      </c>
      <c r="K682" s="2">
        <f>Table1[[#This Row],[Salary_after]]-Table1[[#This Row],[Salary_before]]</f>
        <v>-4837.3499999999913</v>
      </c>
      <c r="L682" s="11">
        <v>-6.2100000000000002E-2</v>
      </c>
      <c r="M682" s="11">
        <v>-4.4299999999999999E-2</v>
      </c>
      <c r="N682">
        <v>66.41</v>
      </c>
      <c r="O682">
        <v>68.52</v>
      </c>
      <c r="P682">
        <v>2</v>
      </c>
      <c r="Q682" t="s">
        <v>21</v>
      </c>
      <c r="R682">
        <v>34.56</v>
      </c>
      <c r="S682">
        <v>6.21</v>
      </c>
      <c r="T682" s="4">
        <v>23.099</v>
      </c>
      <c r="U682" s="4">
        <v>3.4259999999999899</v>
      </c>
      <c r="V682" t="str">
        <f>IF(Table1[[#This Row],[ai_disruption_intensity]]&gt;70,"High",
IF(Table1[[#This Row],[ai_disruption_intensity]]&gt;40,"Medium","Low"))</f>
        <v>Low</v>
      </c>
      <c r="W682" t="str">
        <f>IF(Table1[[#This Row],[skill_gap_index]]&gt;70,"Large Gap",
IF(Table1[[#This Row],[skill_gap_index]]&gt;40,"Medium Gap","Small Gap"))</f>
        <v>Medium Gap</v>
      </c>
      <c r="X682" s="3" t="str">
        <f>IF(Table1[[#This Row],[automation_risk_percent]]&gt;0.7,"Highly Automatable",
IF(Table1[[#This Row],[automation_risk_percent]]&gt;0.4,"Moderate Risk","Safe Job"))</f>
        <v>Safe Job</v>
      </c>
    </row>
    <row r="683" spans="1:24" x14ac:dyDescent="0.3">
      <c r="A683">
        <v>2463</v>
      </c>
      <c r="B683" t="s">
        <v>18</v>
      </c>
      <c r="C683" t="s">
        <v>33</v>
      </c>
      <c r="D683" t="s">
        <v>20</v>
      </c>
      <c r="E683" s="1">
        <v>2026</v>
      </c>
      <c r="F683" s="11">
        <v>0.47649999999999998</v>
      </c>
      <c r="G683">
        <v>42.28</v>
      </c>
      <c r="H683">
        <v>55.79</v>
      </c>
      <c r="I683" s="2">
        <v>85973.65</v>
      </c>
      <c r="J683" s="2">
        <v>98487.1</v>
      </c>
      <c r="K683" s="2">
        <f>Table1[[#This Row],[Salary_after]]-Table1[[#This Row],[Salary_before]]</f>
        <v>12513.450000000012</v>
      </c>
      <c r="L683" s="11">
        <v>0.14550000000000002</v>
      </c>
      <c r="M683" s="11">
        <v>0.26640000000000003</v>
      </c>
      <c r="N683">
        <v>96.41</v>
      </c>
      <c r="O683">
        <v>55.22</v>
      </c>
      <c r="P683">
        <v>2</v>
      </c>
      <c r="Q683" t="s">
        <v>25</v>
      </c>
      <c r="R683">
        <v>51.72</v>
      </c>
      <c r="S683">
        <v>14.55</v>
      </c>
      <c r="T683" s="4">
        <v>40.161999999999999</v>
      </c>
      <c r="U683" s="4">
        <v>26.3123299999999</v>
      </c>
      <c r="V683" t="str">
        <f>IF(Table1[[#This Row],[ai_disruption_intensity]]&gt;70,"High",
IF(Table1[[#This Row],[ai_disruption_intensity]]&gt;40,"Medium","Low"))</f>
        <v>Low</v>
      </c>
      <c r="W683" t="str">
        <f>IF(Table1[[#This Row],[skill_gap_index]]&gt;70,"Large Gap",
IF(Table1[[#This Row],[skill_gap_index]]&gt;40,"Medium Gap","Small Gap"))</f>
        <v>Medium Gap</v>
      </c>
      <c r="X683" s="3" t="str">
        <f>IF(Table1[[#This Row],[automation_risk_percent]]&gt;0.7,"Highly Automatable",
IF(Table1[[#This Row],[automation_risk_percent]]&gt;0.4,"Moderate Risk","Safe Job"))</f>
        <v>Moderate Risk</v>
      </c>
    </row>
    <row r="684" spans="1:24" x14ac:dyDescent="0.3">
      <c r="A684">
        <v>2467</v>
      </c>
      <c r="B684" t="s">
        <v>43</v>
      </c>
      <c r="C684" t="s">
        <v>40</v>
      </c>
      <c r="D684" t="s">
        <v>31</v>
      </c>
      <c r="E684" s="1">
        <v>2025</v>
      </c>
      <c r="F684" s="11">
        <v>0.31379999999999997</v>
      </c>
      <c r="G684">
        <v>36.71</v>
      </c>
      <c r="H684">
        <v>32.96</v>
      </c>
      <c r="I684" s="2">
        <v>38701.86</v>
      </c>
      <c r="J684" s="2">
        <v>46581.72</v>
      </c>
      <c r="K684" s="2">
        <f>Table1[[#This Row],[Salary_after]]-Table1[[#This Row],[Salary_before]]</f>
        <v>7879.8600000000006</v>
      </c>
      <c r="L684" s="11">
        <v>0.2036</v>
      </c>
      <c r="M684" s="11">
        <v>8.3000000000000001E-3</v>
      </c>
      <c r="N684">
        <v>70.41</v>
      </c>
      <c r="O684">
        <v>19.45</v>
      </c>
      <c r="P684">
        <v>1</v>
      </c>
      <c r="Q684" t="s">
        <v>25</v>
      </c>
      <c r="R684">
        <v>32.17</v>
      </c>
      <c r="S684">
        <v>20.36</v>
      </c>
      <c r="T684" s="4">
        <v>28.547999999999998</v>
      </c>
      <c r="U684" s="4">
        <v>6.1034100000000002</v>
      </c>
      <c r="V684" t="str">
        <f>IF(Table1[[#This Row],[ai_disruption_intensity]]&gt;70,"High",
IF(Table1[[#This Row],[ai_disruption_intensity]]&gt;40,"Medium","Low"))</f>
        <v>Low</v>
      </c>
      <c r="W684" t="str">
        <f>IF(Table1[[#This Row],[skill_gap_index]]&gt;70,"Large Gap",
IF(Table1[[#This Row],[skill_gap_index]]&gt;40,"Medium Gap","Small Gap"))</f>
        <v>Small Gap</v>
      </c>
      <c r="X684" s="3" t="str">
        <f>IF(Table1[[#This Row],[automation_risk_percent]]&gt;0.7,"Highly Automatable",
IF(Table1[[#This Row],[automation_risk_percent]]&gt;0.4,"Moderate Risk","Safe Job"))</f>
        <v>Safe Job</v>
      </c>
    </row>
    <row r="685" spans="1:24" x14ac:dyDescent="0.3">
      <c r="A685">
        <v>2469</v>
      </c>
      <c r="B685" t="s">
        <v>39</v>
      </c>
      <c r="C685" t="s">
        <v>34</v>
      </c>
      <c r="D685" t="s">
        <v>42</v>
      </c>
      <c r="E685" s="1">
        <v>2025</v>
      </c>
      <c r="F685" s="11">
        <v>0.39299999999999996</v>
      </c>
      <c r="G685">
        <v>40.619999999999997</v>
      </c>
      <c r="H685">
        <v>6.6</v>
      </c>
      <c r="I685" s="2">
        <v>46211.35</v>
      </c>
      <c r="J685" s="2">
        <v>47486.71</v>
      </c>
      <c r="K685" s="2">
        <f>Table1[[#This Row],[Salary_after]]-Table1[[#This Row],[Salary_before]]</f>
        <v>1275.3600000000006</v>
      </c>
      <c r="L685" s="11">
        <v>2.76E-2</v>
      </c>
      <c r="M685" s="11">
        <v>0.25869999999999999</v>
      </c>
      <c r="N685">
        <v>24.56</v>
      </c>
      <c r="O685">
        <v>53.52</v>
      </c>
      <c r="P685">
        <v>3</v>
      </c>
      <c r="Q685" t="s">
        <v>25</v>
      </c>
      <c r="R685">
        <v>22.95</v>
      </c>
      <c r="S685">
        <v>2.76</v>
      </c>
      <c r="T685" s="4">
        <v>18.527999999999999</v>
      </c>
      <c r="U685" s="4">
        <v>21.033359999999998</v>
      </c>
      <c r="V685" t="str">
        <f>IF(Table1[[#This Row],[ai_disruption_intensity]]&gt;70,"High",
IF(Table1[[#This Row],[ai_disruption_intensity]]&gt;40,"Medium","Low"))</f>
        <v>Low</v>
      </c>
      <c r="W685" t="str">
        <f>IF(Table1[[#This Row],[skill_gap_index]]&gt;70,"Large Gap",
IF(Table1[[#This Row],[skill_gap_index]]&gt;40,"Medium Gap","Small Gap"))</f>
        <v>Small Gap</v>
      </c>
      <c r="X685" s="3" t="str">
        <f>IF(Table1[[#This Row],[automation_risk_percent]]&gt;0.7,"Highly Automatable",
IF(Table1[[#This Row],[automation_risk_percent]]&gt;0.4,"Moderate Risk","Safe Job"))</f>
        <v>Safe Job</v>
      </c>
    </row>
    <row r="686" spans="1:24" x14ac:dyDescent="0.3">
      <c r="A686">
        <v>2473</v>
      </c>
      <c r="B686" t="s">
        <v>44</v>
      </c>
      <c r="C686" t="s">
        <v>34</v>
      </c>
      <c r="D686" t="s">
        <v>35</v>
      </c>
      <c r="E686" s="1">
        <v>2025</v>
      </c>
      <c r="F686" s="11">
        <v>0.78049999999999997</v>
      </c>
      <c r="G686">
        <v>81.650000000000006</v>
      </c>
      <c r="H686">
        <v>16.43</v>
      </c>
      <c r="I686" s="2">
        <v>32462.7</v>
      </c>
      <c r="J686" s="2">
        <v>33200.620000000003</v>
      </c>
      <c r="K686" s="2">
        <f>Table1[[#This Row],[Salary_after]]-Table1[[#This Row],[Salary_before]]</f>
        <v>737.92000000000189</v>
      </c>
      <c r="L686" s="11">
        <v>2.2700000000000001E-2</v>
      </c>
      <c r="M686" s="11">
        <v>-5.9000000000000004E-2</v>
      </c>
      <c r="N686">
        <v>64.319999999999993</v>
      </c>
      <c r="O686">
        <v>68.69</v>
      </c>
      <c r="P686">
        <v>5</v>
      </c>
      <c r="Q686" t="s">
        <v>37</v>
      </c>
      <c r="R686">
        <v>47.239999999999903</v>
      </c>
      <c r="S686">
        <v>2.27</v>
      </c>
      <c r="T686" s="4">
        <v>36.83</v>
      </c>
      <c r="U686" s="4">
        <v>53.612544999999997</v>
      </c>
      <c r="V686" t="str">
        <f>IF(Table1[[#This Row],[ai_disruption_intensity]]&gt;70,"High",
IF(Table1[[#This Row],[ai_disruption_intensity]]&gt;40,"Medium","Low"))</f>
        <v>Medium</v>
      </c>
      <c r="W686" t="str">
        <f>IF(Table1[[#This Row],[skill_gap_index]]&gt;70,"Large Gap",
IF(Table1[[#This Row],[skill_gap_index]]&gt;40,"Medium Gap","Small Gap"))</f>
        <v>Small Gap</v>
      </c>
      <c r="X686" s="3" t="str">
        <f>IF(Table1[[#This Row],[automation_risk_percent]]&gt;0.7,"Highly Automatable",
IF(Table1[[#This Row],[automation_risk_percent]]&gt;0.4,"Moderate Risk","Safe Job"))</f>
        <v>Highly Automatable</v>
      </c>
    </row>
    <row r="687" spans="1:24" x14ac:dyDescent="0.3">
      <c r="A687">
        <v>2474</v>
      </c>
      <c r="B687" t="s">
        <v>29</v>
      </c>
      <c r="C687" t="s">
        <v>30</v>
      </c>
      <c r="D687" t="s">
        <v>47</v>
      </c>
      <c r="E687" s="1">
        <v>2025</v>
      </c>
      <c r="F687" s="11">
        <v>0.52549999999999997</v>
      </c>
      <c r="G687">
        <v>58.3</v>
      </c>
      <c r="H687">
        <v>97.44</v>
      </c>
      <c r="I687" s="2">
        <v>62531.39</v>
      </c>
      <c r="J687" s="2">
        <v>65135.97</v>
      </c>
      <c r="K687" s="2">
        <f>Table1[[#This Row],[Salary_after]]-Table1[[#This Row],[Salary_before]]</f>
        <v>2604.5800000000017</v>
      </c>
      <c r="L687" s="11">
        <v>4.1700000000000001E-2</v>
      </c>
      <c r="M687" s="11">
        <v>6.9699999999999998E-2</v>
      </c>
      <c r="N687">
        <v>71.77</v>
      </c>
      <c r="O687">
        <v>68.11</v>
      </c>
      <c r="P687">
        <v>2</v>
      </c>
      <c r="Q687" t="s">
        <v>25</v>
      </c>
      <c r="R687">
        <v>74.995000000000005</v>
      </c>
      <c r="S687">
        <v>4.17</v>
      </c>
      <c r="T687" s="4">
        <v>51.502999999999901</v>
      </c>
      <c r="U687" s="4">
        <v>35.791804999999997</v>
      </c>
      <c r="V687" t="str">
        <f>IF(Table1[[#This Row],[ai_disruption_intensity]]&gt;70,"High",
IF(Table1[[#This Row],[ai_disruption_intensity]]&gt;40,"Medium","Low"))</f>
        <v>Low</v>
      </c>
      <c r="W687" t="str">
        <f>IF(Table1[[#This Row],[skill_gap_index]]&gt;70,"Large Gap",
IF(Table1[[#This Row],[skill_gap_index]]&gt;40,"Medium Gap","Small Gap"))</f>
        <v>Large Gap</v>
      </c>
      <c r="X687" s="3" t="str">
        <f>IF(Table1[[#This Row],[automation_risk_percent]]&gt;0.7,"Highly Automatable",
IF(Table1[[#This Row],[automation_risk_percent]]&gt;0.4,"Moderate Risk","Safe Job"))</f>
        <v>Moderate Risk</v>
      </c>
    </row>
    <row r="688" spans="1:24" x14ac:dyDescent="0.3">
      <c r="A688">
        <v>2475</v>
      </c>
      <c r="B688" t="s">
        <v>46</v>
      </c>
      <c r="C688" t="s">
        <v>34</v>
      </c>
      <c r="D688" t="s">
        <v>42</v>
      </c>
      <c r="E688" s="1">
        <v>2025</v>
      </c>
      <c r="F688" s="11">
        <v>0.15659999999999999</v>
      </c>
      <c r="G688">
        <v>15.88</v>
      </c>
      <c r="H688">
        <v>56.25</v>
      </c>
      <c r="I688" s="2">
        <v>114015.55</v>
      </c>
      <c r="J688" s="2">
        <v>107078.42</v>
      </c>
      <c r="K688" s="2">
        <f>Table1[[#This Row],[Salary_after]]-Table1[[#This Row],[Salary_before]]</f>
        <v>-6937.1300000000047</v>
      </c>
      <c r="L688" s="11">
        <v>-6.08E-2</v>
      </c>
      <c r="M688" s="11">
        <v>9.0700000000000003E-2</v>
      </c>
      <c r="N688">
        <v>66.02</v>
      </c>
      <c r="O688">
        <v>32.47</v>
      </c>
      <c r="P688">
        <v>4</v>
      </c>
      <c r="Q688" t="s">
        <v>21</v>
      </c>
      <c r="R688">
        <v>35.954999999999998</v>
      </c>
      <c r="S688">
        <v>6.08</v>
      </c>
      <c r="T688" s="4">
        <v>24.963000000000001</v>
      </c>
      <c r="U688" s="4">
        <v>5.0848019999999998</v>
      </c>
      <c r="V688" t="str">
        <f>IF(Table1[[#This Row],[ai_disruption_intensity]]&gt;70,"High",
IF(Table1[[#This Row],[ai_disruption_intensity]]&gt;40,"Medium","Low"))</f>
        <v>Low</v>
      </c>
      <c r="W688" t="str">
        <f>IF(Table1[[#This Row],[skill_gap_index]]&gt;70,"Large Gap",
IF(Table1[[#This Row],[skill_gap_index]]&gt;40,"Medium Gap","Small Gap"))</f>
        <v>Medium Gap</v>
      </c>
      <c r="X688" s="3" t="str">
        <f>IF(Table1[[#This Row],[automation_risk_percent]]&gt;0.7,"Highly Automatable",
IF(Table1[[#This Row],[automation_risk_percent]]&gt;0.4,"Moderate Risk","Safe Job"))</f>
        <v>Safe Job</v>
      </c>
    </row>
    <row r="689" spans="1:24" x14ac:dyDescent="0.3">
      <c r="A689">
        <v>2476</v>
      </c>
      <c r="B689" t="s">
        <v>26</v>
      </c>
      <c r="C689" t="s">
        <v>33</v>
      </c>
      <c r="D689" t="s">
        <v>42</v>
      </c>
      <c r="E689" s="1">
        <v>2026</v>
      </c>
      <c r="F689" s="11">
        <v>0.3201</v>
      </c>
      <c r="G689">
        <v>28.37</v>
      </c>
      <c r="H689">
        <v>86.61</v>
      </c>
      <c r="I689" s="2">
        <v>100338.04</v>
      </c>
      <c r="J689" s="2">
        <v>101407.09</v>
      </c>
      <c r="K689" s="2">
        <f>Table1[[#This Row],[Salary_after]]-Table1[[#This Row],[Salary_before]]</f>
        <v>1069.0500000000029</v>
      </c>
      <c r="L689" s="11">
        <v>1.0700000000000001E-2</v>
      </c>
      <c r="M689" s="11">
        <v>0.11349999999999999</v>
      </c>
      <c r="N689">
        <v>21.15</v>
      </c>
      <c r="O689">
        <v>17.09</v>
      </c>
      <c r="P689">
        <v>1</v>
      </c>
      <c r="Q689" t="s">
        <v>25</v>
      </c>
      <c r="R689">
        <v>59.31</v>
      </c>
      <c r="S689">
        <v>1.07</v>
      </c>
      <c r="T689" s="4">
        <v>39.107999999999997</v>
      </c>
      <c r="U689" s="4">
        <v>5.4705089999999998</v>
      </c>
      <c r="V689" t="str">
        <f>IF(Table1[[#This Row],[ai_disruption_intensity]]&gt;70,"High",
IF(Table1[[#This Row],[ai_disruption_intensity]]&gt;40,"Medium","Low"))</f>
        <v>Low</v>
      </c>
      <c r="W689" t="str">
        <f>IF(Table1[[#This Row],[skill_gap_index]]&gt;70,"Large Gap",
IF(Table1[[#This Row],[skill_gap_index]]&gt;40,"Medium Gap","Small Gap"))</f>
        <v>Large Gap</v>
      </c>
      <c r="X689" s="3" t="str">
        <f>IF(Table1[[#This Row],[automation_risk_percent]]&gt;0.7,"Highly Automatable",
IF(Table1[[#This Row],[automation_risk_percent]]&gt;0.4,"Moderate Risk","Safe Job"))</f>
        <v>Safe Job</v>
      </c>
    </row>
    <row r="690" spans="1:24" x14ac:dyDescent="0.3">
      <c r="A690">
        <v>2480</v>
      </c>
      <c r="B690" t="s">
        <v>29</v>
      </c>
      <c r="C690" t="s">
        <v>38</v>
      </c>
      <c r="D690" t="s">
        <v>32</v>
      </c>
      <c r="E690" s="1">
        <v>2025</v>
      </c>
      <c r="F690" s="11">
        <v>0.75590000000000002</v>
      </c>
      <c r="G690">
        <v>63.09</v>
      </c>
      <c r="H690">
        <v>2.16</v>
      </c>
      <c r="I690" s="2">
        <v>101281.52</v>
      </c>
      <c r="J690" s="2">
        <v>103767.07</v>
      </c>
      <c r="K690" s="2">
        <f>Table1[[#This Row],[Salary_after]]-Table1[[#This Row],[Salary_before]]</f>
        <v>2485.5500000000029</v>
      </c>
      <c r="L690" s="11">
        <v>2.4500000000000001E-2</v>
      </c>
      <c r="M690" s="11">
        <v>0.1555</v>
      </c>
      <c r="N690">
        <v>29.19</v>
      </c>
      <c r="O690">
        <v>9.0500000000000007</v>
      </c>
      <c r="P690">
        <v>4</v>
      </c>
      <c r="Q690" t="s">
        <v>37</v>
      </c>
      <c r="R690">
        <v>38.875</v>
      </c>
      <c r="S690">
        <v>2.4500000000000002</v>
      </c>
      <c r="T690" s="4">
        <v>31.619</v>
      </c>
      <c r="U690" s="4">
        <v>6.8408949999999997</v>
      </c>
      <c r="V690" t="str">
        <f>IF(Table1[[#This Row],[ai_disruption_intensity]]&gt;70,"High",
IF(Table1[[#This Row],[ai_disruption_intensity]]&gt;40,"Medium","Low"))</f>
        <v>Low</v>
      </c>
      <c r="W690" t="str">
        <f>IF(Table1[[#This Row],[skill_gap_index]]&gt;70,"Large Gap",
IF(Table1[[#This Row],[skill_gap_index]]&gt;40,"Medium Gap","Small Gap"))</f>
        <v>Small Gap</v>
      </c>
      <c r="X690" s="3" t="str">
        <f>IF(Table1[[#This Row],[automation_risk_percent]]&gt;0.7,"Highly Automatable",
IF(Table1[[#This Row],[automation_risk_percent]]&gt;0.4,"Moderate Risk","Safe Job"))</f>
        <v>Highly Automatable</v>
      </c>
    </row>
    <row r="691" spans="1:24" x14ac:dyDescent="0.3">
      <c r="A691">
        <v>2482</v>
      </c>
      <c r="B691" t="s">
        <v>39</v>
      </c>
      <c r="C691" t="s">
        <v>33</v>
      </c>
      <c r="D691" t="s">
        <v>47</v>
      </c>
      <c r="E691" s="1">
        <v>2026</v>
      </c>
      <c r="F691" s="11">
        <v>0.52739999999999998</v>
      </c>
      <c r="G691">
        <v>44.53</v>
      </c>
      <c r="H691">
        <v>68.260000000000005</v>
      </c>
      <c r="I691" s="2">
        <v>148101.20000000001</v>
      </c>
      <c r="J691" s="2">
        <v>163668.44</v>
      </c>
      <c r="K691" s="2">
        <f>Table1[[#This Row],[Salary_after]]-Table1[[#This Row],[Salary_before]]</f>
        <v>15567.239999999991</v>
      </c>
      <c r="L691" s="11">
        <v>0.1051</v>
      </c>
      <c r="M691" s="11">
        <v>-3.2899999999999999E-2</v>
      </c>
      <c r="N691">
        <v>86.6</v>
      </c>
      <c r="O691">
        <v>67.83</v>
      </c>
      <c r="P691">
        <v>3</v>
      </c>
      <c r="Q691" t="s">
        <v>25</v>
      </c>
      <c r="R691">
        <v>60.5</v>
      </c>
      <c r="S691">
        <v>10.51</v>
      </c>
      <c r="T691" s="4">
        <v>44.726999999999997</v>
      </c>
      <c r="U691" s="4">
        <v>35.773541999999999</v>
      </c>
      <c r="V691" t="str">
        <f>IF(Table1[[#This Row],[ai_disruption_intensity]]&gt;70,"High",
IF(Table1[[#This Row],[ai_disruption_intensity]]&gt;40,"Medium","Low"))</f>
        <v>Low</v>
      </c>
      <c r="W691" t="str">
        <f>IF(Table1[[#This Row],[skill_gap_index]]&gt;70,"Large Gap",
IF(Table1[[#This Row],[skill_gap_index]]&gt;40,"Medium Gap","Small Gap"))</f>
        <v>Medium Gap</v>
      </c>
      <c r="X691" s="3" t="str">
        <f>IF(Table1[[#This Row],[automation_risk_percent]]&gt;0.7,"Highly Automatable",
IF(Table1[[#This Row],[automation_risk_percent]]&gt;0.4,"Moderate Risk","Safe Job"))</f>
        <v>Moderate Risk</v>
      </c>
    </row>
    <row r="692" spans="1:24" x14ac:dyDescent="0.3">
      <c r="A692">
        <v>2484</v>
      </c>
      <c r="B692" t="s">
        <v>43</v>
      </c>
      <c r="C692" t="s">
        <v>38</v>
      </c>
      <c r="D692" t="s">
        <v>20</v>
      </c>
      <c r="E692" s="1">
        <v>2026</v>
      </c>
      <c r="F692" s="11">
        <v>0.61829999999999996</v>
      </c>
      <c r="G692">
        <v>69.23</v>
      </c>
      <c r="H692">
        <v>72.540000000000006</v>
      </c>
      <c r="I692" s="2">
        <v>54271.31</v>
      </c>
      <c r="J692" s="2">
        <v>49734.55</v>
      </c>
      <c r="K692" s="2">
        <f>Table1[[#This Row],[Salary_after]]-Table1[[#This Row],[Salary_before]]</f>
        <v>-4536.7599999999948</v>
      </c>
      <c r="L692" s="11">
        <v>-8.3599999999999994E-2</v>
      </c>
      <c r="M692" s="11">
        <v>-0.111</v>
      </c>
      <c r="N692">
        <v>85.17</v>
      </c>
      <c r="O692">
        <v>39.04</v>
      </c>
      <c r="P692">
        <v>1</v>
      </c>
      <c r="Q692" t="s">
        <v>37</v>
      </c>
      <c r="R692">
        <v>67.185000000000002</v>
      </c>
      <c r="S692">
        <v>8.36</v>
      </c>
      <c r="T692" s="4">
        <v>49.002000000000002</v>
      </c>
      <c r="U692" s="4">
        <v>24.138431999999899</v>
      </c>
      <c r="V692" t="str">
        <f>IF(Table1[[#This Row],[ai_disruption_intensity]]&gt;70,"High",
IF(Table1[[#This Row],[ai_disruption_intensity]]&gt;40,"Medium","Low"))</f>
        <v>Low</v>
      </c>
      <c r="W692" t="str">
        <f>IF(Table1[[#This Row],[skill_gap_index]]&gt;70,"Large Gap",
IF(Table1[[#This Row],[skill_gap_index]]&gt;40,"Medium Gap","Small Gap"))</f>
        <v>Large Gap</v>
      </c>
      <c r="X692" s="3" t="str">
        <f>IF(Table1[[#This Row],[automation_risk_percent]]&gt;0.7,"Highly Automatable",
IF(Table1[[#This Row],[automation_risk_percent]]&gt;0.4,"Moderate Risk","Safe Job"))</f>
        <v>Moderate Risk</v>
      </c>
    </row>
    <row r="693" spans="1:24" x14ac:dyDescent="0.3">
      <c r="A693">
        <v>2485</v>
      </c>
      <c r="B693" t="s">
        <v>45</v>
      </c>
      <c r="C693" t="s">
        <v>38</v>
      </c>
      <c r="D693" t="s">
        <v>35</v>
      </c>
      <c r="E693" s="1">
        <v>2026</v>
      </c>
      <c r="F693" s="11">
        <v>0.1079</v>
      </c>
      <c r="G693">
        <v>10.15</v>
      </c>
      <c r="H693">
        <v>49.89</v>
      </c>
      <c r="I693" s="2">
        <v>143880.57</v>
      </c>
      <c r="J693" s="2">
        <v>137884.99</v>
      </c>
      <c r="K693" s="2">
        <f>Table1[[#This Row],[Salary_after]]-Table1[[#This Row],[Salary_before]]</f>
        <v>-5995.5800000000163</v>
      </c>
      <c r="L693" s="11">
        <v>-4.1700000000000001E-2</v>
      </c>
      <c r="M693" s="11">
        <v>1.1000000000000001E-2</v>
      </c>
      <c r="N693">
        <v>81</v>
      </c>
      <c r="O693">
        <v>0.6</v>
      </c>
      <c r="P693">
        <v>5</v>
      </c>
      <c r="Q693" t="s">
        <v>21</v>
      </c>
      <c r="R693">
        <v>30.34</v>
      </c>
      <c r="S693">
        <v>4.17</v>
      </c>
      <c r="T693" s="4">
        <v>20.533999999999999</v>
      </c>
      <c r="U693" s="4">
        <v>6.4739999999999895E-2</v>
      </c>
      <c r="V693" t="str">
        <f>IF(Table1[[#This Row],[ai_disruption_intensity]]&gt;70,"High",
IF(Table1[[#This Row],[ai_disruption_intensity]]&gt;40,"Medium","Low"))</f>
        <v>Low</v>
      </c>
      <c r="W693" t="str">
        <f>IF(Table1[[#This Row],[skill_gap_index]]&gt;70,"Large Gap",
IF(Table1[[#This Row],[skill_gap_index]]&gt;40,"Medium Gap","Small Gap"))</f>
        <v>Medium Gap</v>
      </c>
      <c r="X693" s="3" t="str">
        <f>IF(Table1[[#This Row],[automation_risk_percent]]&gt;0.7,"Highly Automatable",
IF(Table1[[#This Row],[automation_risk_percent]]&gt;0.4,"Moderate Risk","Safe Job"))</f>
        <v>Safe Job</v>
      </c>
    </row>
    <row r="694" spans="1:24" x14ac:dyDescent="0.3">
      <c r="A694">
        <v>2490</v>
      </c>
      <c r="B694" t="s">
        <v>22</v>
      </c>
      <c r="C694" t="s">
        <v>23</v>
      </c>
      <c r="D694" t="s">
        <v>35</v>
      </c>
      <c r="E694" s="1">
        <v>2025</v>
      </c>
      <c r="F694" s="11">
        <v>0.307</v>
      </c>
      <c r="G694">
        <v>35.76</v>
      </c>
      <c r="H694">
        <v>74.37</v>
      </c>
      <c r="I694" s="2">
        <v>77401.399999999994</v>
      </c>
      <c r="J694" s="2">
        <v>75491.62</v>
      </c>
      <c r="K694" s="2">
        <f>Table1[[#This Row],[Salary_after]]-Table1[[#This Row],[Salary_before]]</f>
        <v>-1909.7799999999988</v>
      </c>
      <c r="L694" s="11">
        <v>-2.4700000000000003E-2</v>
      </c>
      <c r="M694" s="11">
        <v>8.8999999999999999E-3</v>
      </c>
      <c r="N694">
        <v>96.11</v>
      </c>
      <c r="O694">
        <v>31.04</v>
      </c>
      <c r="P694">
        <v>3</v>
      </c>
      <c r="Q694" t="s">
        <v>25</v>
      </c>
      <c r="R694">
        <v>52.534999999999997</v>
      </c>
      <c r="S694">
        <v>2.4700000000000002</v>
      </c>
      <c r="T694" s="4">
        <v>35.332000000000001</v>
      </c>
      <c r="U694" s="4">
        <v>9.52928</v>
      </c>
      <c r="V694" t="str">
        <f>IF(Table1[[#This Row],[ai_disruption_intensity]]&gt;70,"High",
IF(Table1[[#This Row],[ai_disruption_intensity]]&gt;40,"Medium","Low"))</f>
        <v>Low</v>
      </c>
      <c r="W694" t="str">
        <f>IF(Table1[[#This Row],[skill_gap_index]]&gt;70,"Large Gap",
IF(Table1[[#This Row],[skill_gap_index]]&gt;40,"Medium Gap","Small Gap"))</f>
        <v>Large Gap</v>
      </c>
      <c r="X694" s="3" t="str">
        <f>IF(Table1[[#This Row],[automation_risk_percent]]&gt;0.7,"Highly Automatable",
IF(Table1[[#This Row],[automation_risk_percent]]&gt;0.4,"Moderate Risk","Safe Job"))</f>
        <v>Safe Job</v>
      </c>
    </row>
    <row r="695" spans="1:24" x14ac:dyDescent="0.3">
      <c r="A695">
        <v>2499</v>
      </c>
      <c r="B695" t="s">
        <v>46</v>
      </c>
      <c r="C695" t="s">
        <v>27</v>
      </c>
      <c r="D695" t="s">
        <v>28</v>
      </c>
      <c r="E695" s="1">
        <v>2026</v>
      </c>
      <c r="F695" s="11">
        <v>0.39039999999999997</v>
      </c>
      <c r="G695">
        <v>36.4</v>
      </c>
      <c r="H695">
        <v>34.4</v>
      </c>
      <c r="I695" s="2">
        <v>64830.15</v>
      </c>
      <c r="J695" s="2">
        <v>51801.02</v>
      </c>
      <c r="K695" s="2">
        <f>Table1[[#This Row],[Salary_after]]-Table1[[#This Row],[Salary_before]]</f>
        <v>-13029.130000000005</v>
      </c>
      <c r="L695" s="11">
        <v>-0.20100000000000001</v>
      </c>
      <c r="M695" s="11">
        <v>-4.8999999999999998E-3</v>
      </c>
      <c r="N695">
        <v>59.32</v>
      </c>
      <c r="O695">
        <v>77.349999999999994</v>
      </c>
      <c r="P695">
        <v>4</v>
      </c>
      <c r="Q695" t="s">
        <v>25</v>
      </c>
      <c r="R695">
        <v>36.72</v>
      </c>
      <c r="S695">
        <v>20.100000000000001</v>
      </c>
      <c r="T695" s="4">
        <v>31.966000000000001</v>
      </c>
      <c r="U695" s="4">
        <v>30.197439999999901</v>
      </c>
      <c r="V695" t="str">
        <f>IF(Table1[[#This Row],[ai_disruption_intensity]]&gt;70,"High",
IF(Table1[[#This Row],[ai_disruption_intensity]]&gt;40,"Medium","Low"))</f>
        <v>Low</v>
      </c>
      <c r="W695" t="str">
        <f>IF(Table1[[#This Row],[skill_gap_index]]&gt;70,"Large Gap",
IF(Table1[[#This Row],[skill_gap_index]]&gt;40,"Medium Gap","Small Gap"))</f>
        <v>Small Gap</v>
      </c>
      <c r="X695" s="3" t="str">
        <f>IF(Table1[[#This Row],[automation_risk_percent]]&gt;0.7,"Highly Automatable",
IF(Table1[[#This Row],[automation_risk_percent]]&gt;0.4,"Moderate Risk","Safe Job"))</f>
        <v>Safe Job</v>
      </c>
    </row>
    <row r="696" spans="1:24" x14ac:dyDescent="0.3">
      <c r="A696">
        <v>2511</v>
      </c>
      <c r="B696" t="s">
        <v>46</v>
      </c>
      <c r="C696" t="s">
        <v>27</v>
      </c>
      <c r="D696" t="s">
        <v>36</v>
      </c>
      <c r="E696" s="1">
        <v>2026</v>
      </c>
      <c r="F696" s="11">
        <v>0.53639999999999999</v>
      </c>
      <c r="G696">
        <v>55.25</v>
      </c>
      <c r="H696">
        <v>26.08</v>
      </c>
      <c r="I696" s="2">
        <v>139485.19</v>
      </c>
      <c r="J696" s="2">
        <v>139393.07999999999</v>
      </c>
      <c r="K696" s="2">
        <f>Table1[[#This Row],[Salary_after]]-Table1[[#This Row],[Salary_before]]</f>
        <v>-92.110000000015134</v>
      </c>
      <c r="L696" s="11">
        <v>-7.000000000000001E-4</v>
      </c>
      <c r="M696" s="11">
        <v>4.7599999999999996E-2</v>
      </c>
      <c r="N696">
        <v>75.599999999999994</v>
      </c>
      <c r="O696">
        <v>42.72</v>
      </c>
      <c r="P696">
        <v>1</v>
      </c>
      <c r="Q696" t="s">
        <v>25</v>
      </c>
      <c r="R696">
        <v>39.86</v>
      </c>
      <c r="S696">
        <v>7.0000000000000007E-2</v>
      </c>
      <c r="T696" s="4">
        <v>29.300999999999998</v>
      </c>
      <c r="U696" s="4">
        <v>22.915007999999901</v>
      </c>
      <c r="V696" t="str">
        <f>IF(Table1[[#This Row],[ai_disruption_intensity]]&gt;70,"High",
IF(Table1[[#This Row],[ai_disruption_intensity]]&gt;40,"Medium","Low"))</f>
        <v>Low</v>
      </c>
      <c r="W696" t="str">
        <f>IF(Table1[[#This Row],[skill_gap_index]]&gt;70,"Large Gap",
IF(Table1[[#This Row],[skill_gap_index]]&gt;40,"Medium Gap","Small Gap"))</f>
        <v>Small Gap</v>
      </c>
      <c r="X696" s="3" t="str">
        <f>IF(Table1[[#This Row],[automation_risk_percent]]&gt;0.7,"Highly Automatable",
IF(Table1[[#This Row],[automation_risk_percent]]&gt;0.4,"Moderate Risk","Safe Job"))</f>
        <v>Moderate Risk</v>
      </c>
    </row>
    <row r="697" spans="1:24" x14ac:dyDescent="0.3">
      <c r="A697">
        <v>2513</v>
      </c>
      <c r="B697" t="s">
        <v>43</v>
      </c>
      <c r="C697" t="s">
        <v>30</v>
      </c>
      <c r="D697" t="s">
        <v>28</v>
      </c>
      <c r="E697" s="1">
        <v>2026</v>
      </c>
      <c r="F697" s="11">
        <v>0.11470000000000001</v>
      </c>
      <c r="G697">
        <v>10.43</v>
      </c>
      <c r="H697">
        <v>44.91</v>
      </c>
      <c r="I697" s="2">
        <v>53753.97</v>
      </c>
      <c r="J697" s="2">
        <v>55073.73</v>
      </c>
      <c r="K697" s="2">
        <f>Table1[[#This Row],[Salary_after]]-Table1[[#This Row],[Salary_before]]</f>
        <v>1319.760000000002</v>
      </c>
      <c r="L697" s="11">
        <v>2.46E-2</v>
      </c>
      <c r="M697" s="11">
        <v>3.4999999999999996E-3</v>
      </c>
      <c r="N697">
        <v>90.52</v>
      </c>
      <c r="O697">
        <v>93.68</v>
      </c>
      <c r="P697">
        <v>1</v>
      </c>
      <c r="Q697" t="s">
        <v>21</v>
      </c>
      <c r="R697">
        <v>28.189999999999898</v>
      </c>
      <c r="S697">
        <v>2.46</v>
      </c>
      <c r="T697" s="4">
        <v>18.798999999999999</v>
      </c>
      <c r="U697" s="4">
        <v>10.745096</v>
      </c>
      <c r="V697" t="str">
        <f>IF(Table1[[#This Row],[ai_disruption_intensity]]&gt;70,"High",
IF(Table1[[#This Row],[ai_disruption_intensity]]&gt;40,"Medium","Low"))</f>
        <v>Low</v>
      </c>
      <c r="W697" t="str">
        <f>IF(Table1[[#This Row],[skill_gap_index]]&gt;70,"Large Gap",
IF(Table1[[#This Row],[skill_gap_index]]&gt;40,"Medium Gap","Small Gap"))</f>
        <v>Medium Gap</v>
      </c>
      <c r="X697" s="3" t="str">
        <f>IF(Table1[[#This Row],[automation_risk_percent]]&gt;0.7,"Highly Automatable",
IF(Table1[[#This Row],[automation_risk_percent]]&gt;0.4,"Moderate Risk","Safe Job"))</f>
        <v>Safe Job</v>
      </c>
    </row>
    <row r="698" spans="1:24" x14ac:dyDescent="0.3">
      <c r="A698">
        <v>2515</v>
      </c>
      <c r="B698" t="s">
        <v>39</v>
      </c>
      <c r="C698" t="s">
        <v>19</v>
      </c>
      <c r="D698" t="s">
        <v>24</v>
      </c>
      <c r="E698" s="1">
        <v>2026</v>
      </c>
      <c r="F698" s="11">
        <v>0.61670000000000003</v>
      </c>
      <c r="G698">
        <v>66.44</v>
      </c>
      <c r="H698">
        <v>26.17</v>
      </c>
      <c r="I698" s="2">
        <v>140972.24</v>
      </c>
      <c r="J698" s="2">
        <v>130085.62</v>
      </c>
      <c r="K698" s="2">
        <f>Table1[[#This Row],[Salary_after]]-Table1[[#This Row],[Salary_before]]</f>
        <v>-10886.619999999995</v>
      </c>
      <c r="L698" s="11">
        <v>-7.7199999999999991E-2</v>
      </c>
      <c r="M698" s="11">
        <v>1.09E-2</v>
      </c>
      <c r="N698">
        <v>84.4</v>
      </c>
      <c r="O698">
        <v>0.25</v>
      </c>
      <c r="P698">
        <v>5</v>
      </c>
      <c r="Q698" t="s">
        <v>37</v>
      </c>
      <c r="R698">
        <v>43.92</v>
      </c>
      <c r="S698">
        <v>7.72</v>
      </c>
      <c r="T698" s="4">
        <v>34.835000000000001</v>
      </c>
      <c r="U698" s="4">
        <v>0.15417500000000001</v>
      </c>
      <c r="V698" t="str">
        <f>IF(Table1[[#This Row],[ai_disruption_intensity]]&gt;70,"High",
IF(Table1[[#This Row],[ai_disruption_intensity]]&gt;40,"Medium","Low"))</f>
        <v>Low</v>
      </c>
      <c r="W698" t="str">
        <f>IF(Table1[[#This Row],[skill_gap_index]]&gt;70,"Large Gap",
IF(Table1[[#This Row],[skill_gap_index]]&gt;40,"Medium Gap","Small Gap"))</f>
        <v>Small Gap</v>
      </c>
      <c r="X698" s="3" t="str">
        <f>IF(Table1[[#This Row],[automation_risk_percent]]&gt;0.7,"Highly Automatable",
IF(Table1[[#This Row],[automation_risk_percent]]&gt;0.4,"Moderate Risk","Safe Job"))</f>
        <v>Moderate Risk</v>
      </c>
    </row>
    <row r="699" spans="1:24" x14ac:dyDescent="0.3">
      <c r="A699">
        <v>2517</v>
      </c>
      <c r="B699" t="s">
        <v>29</v>
      </c>
      <c r="C699" t="s">
        <v>40</v>
      </c>
      <c r="D699" t="s">
        <v>47</v>
      </c>
      <c r="E699" s="1">
        <v>2025</v>
      </c>
      <c r="F699" s="11">
        <v>0.36959999999999998</v>
      </c>
      <c r="G699">
        <v>35.07</v>
      </c>
      <c r="H699">
        <v>60.04</v>
      </c>
      <c r="I699" s="2">
        <v>87870.45</v>
      </c>
      <c r="J699" s="2">
        <v>84463.56</v>
      </c>
      <c r="K699" s="2">
        <f>Table1[[#This Row],[Salary_after]]-Table1[[#This Row],[Salary_before]]</f>
        <v>-3406.8899999999994</v>
      </c>
      <c r="L699" s="11">
        <v>-3.8800000000000001E-2</v>
      </c>
      <c r="M699" s="11">
        <v>1.7500000000000002E-2</v>
      </c>
      <c r="N699">
        <v>21.09</v>
      </c>
      <c r="O699">
        <v>86.3</v>
      </c>
      <c r="P699">
        <v>1</v>
      </c>
      <c r="Q699" t="s">
        <v>25</v>
      </c>
      <c r="R699">
        <v>48.5</v>
      </c>
      <c r="S699">
        <v>3.88</v>
      </c>
      <c r="T699" s="4">
        <v>33.96</v>
      </c>
      <c r="U699" s="4">
        <v>31.89648</v>
      </c>
      <c r="V699" t="str">
        <f>IF(Table1[[#This Row],[ai_disruption_intensity]]&gt;70,"High",
IF(Table1[[#This Row],[ai_disruption_intensity]]&gt;40,"Medium","Low"))</f>
        <v>Low</v>
      </c>
      <c r="W699" t="str">
        <f>IF(Table1[[#This Row],[skill_gap_index]]&gt;70,"Large Gap",
IF(Table1[[#This Row],[skill_gap_index]]&gt;40,"Medium Gap","Small Gap"))</f>
        <v>Medium Gap</v>
      </c>
      <c r="X699" s="3" t="str">
        <f>IF(Table1[[#This Row],[automation_risk_percent]]&gt;0.7,"Highly Automatable",
IF(Table1[[#This Row],[automation_risk_percent]]&gt;0.4,"Moderate Risk","Safe Job"))</f>
        <v>Safe Job</v>
      </c>
    </row>
    <row r="700" spans="1:24" x14ac:dyDescent="0.3">
      <c r="A700">
        <v>2519</v>
      </c>
      <c r="B700" t="s">
        <v>39</v>
      </c>
      <c r="C700" t="s">
        <v>30</v>
      </c>
      <c r="D700" t="s">
        <v>47</v>
      </c>
      <c r="E700" s="1">
        <v>2025</v>
      </c>
      <c r="F700" s="11">
        <v>0.13350000000000001</v>
      </c>
      <c r="G700">
        <v>14.95</v>
      </c>
      <c r="H700">
        <v>39.450000000000003</v>
      </c>
      <c r="I700" s="2">
        <v>49138.879999999997</v>
      </c>
      <c r="J700" s="2">
        <v>46428.73</v>
      </c>
      <c r="K700" s="2">
        <f>Table1[[#This Row],[Salary_after]]-Table1[[#This Row],[Salary_before]]</f>
        <v>-2710.1499999999942</v>
      </c>
      <c r="L700" s="11">
        <v>-5.5199999999999999E-2</v>
      </c>
      <c r="M700" s="11">
        <v>5.5300000000000002E-2</v>
      </c>
      <c r="N700">
        <v>51.8</v>
      </c>
      <c r="O700">
        <v>81.739999999999995</v>
      </c>
      <c r="P700">
        <v>4</v>
      </c>
      <c r="Q700" t="s">
        <v>21</v>
      </c>
      <c r="R700">
        <v>26.4</v>
      </c>
      <c r="S700">
        <v>5.52</v>
      </c>
      <c r="T700" s="4">
        <v>18.831</v>
      </c>
      <c r="U700" s="4">
        <v>10.912289999999899</v>
      </c>
      <c r="V700" t="str">
        <f>IF(Table1[[#This Row],[ai_disruption_intensity]]&gt;70,"High",
IF(Table1[[#This Row],[ai_disruption_intensity]]&gt;40,"Medium","Low"))</f>
        <v>Low</v>
      </c>
      <c r="W700" t="str">
        <f>IF(Table1[[#This Row],[skill_gap_index]]&gt;70,"Large Gap",
IF(Table1[[#This Row],[skill_gap_index]]&gt;40,"Medium Gap","Small Gap"))</f>
        <v>Small Gap</v>
      </c>
      <c r="X700" s="3" t="str">
        <f>IF(Table1[[#This Row],[automation_risk_percent]]&gt;0.7,"Highly Automatable",
IF(Table1[[#This Row],[automation_risk_percent]]&gt;0.4,"Moderate Risk","Safe Job"))</f>
        <v>Safe Job</v>
      </c>
    </row>
    <row r="701" spans="1:24" x14ac:dyDescent="0.3">
      <c r="A701">
        <v>2520</v>
      </c>
      <c r="B701" t="s">
        <v>18</v>
      </c>
      <c r="C701" t="s">
        <v>34</v>
      </c>
      <c r="D701" t="s">
        <v>42</v>
      </c>
      <c r="E701" s="1">
        <v>2026</v>
      </c>
      <c r="F701" s="11">
        <v>0.60829999999999995</v>
      </c>
      <c r="G701">
        <v>60.56</v>
      </c>
      <c r="H701">
        <v>86</v>
      </c>
      <c r="I701" s="2">
        <v>44443.77</v>
      </c>
      <c r="J701" s="2">
        <v>48337.96</v>
      </c>
      <c r="K701" s="2">
        <f>Table1[[#This Row],[Salary_after]]-Table1[[#This Row],[Salary_before]]</f>
        <v>3894.1900000000023</v>
      </c>
      <c r="L701" s="11">
        <v>8.7599999999999997E-2</v>
      </c>
      <c r="M701" s="11">
        <v>0.1074</v>
      </c>
      <c r="N701">
        <v>58.94</v>
      </c>
      <c r="O701">
        <v>67.52</v>
      </c>
      <c r="P701">
        <v>4</v>
      </c>
      <c r="Q701" t="s">
        <v>37</v>
      </c>
      <c r="R701">
        <v>73.414999999999907</v>
      </c>
      <c r="S701">
        <v>8.76</v>
      </c>
      <c r="T701" s="4">
        <v>52.76</v>
      </c>
      <c r="U701" s="4">
        <v>41.072415999999997</v>
      </c>
      <c r="V701" t="str">
        <f>IF(Table1[[#This Row],[ai_disruption_intensity]]&gt;70,"High",
IF(Table1[[#This Row],[ai_disruption_intensity]]&gt;40,"Medium","Low"))</f>
        <v>Medium</v>
      </c>
      <c r="W701" t="str">
        <f>IF(Table1[[#This Row],[skill_gap_index]]&gt;70,"Large Gap",
IF(Table1[[#This Row],[skill_gap_index]]&gt;40,"Medium Gap","Small Gap"))</f>
        <v>Large Gap</v>
      </c>
      <c r="X701" s="3" t="str">
        <f>IF(Table1[[#This Row],[automation_risk_percent]]&gt;0.7,"Highly Automatable",
IF(Table1[[#This Row],[automation_risk_percent]]&gt;0.4,"Moderate Risk","Safe Job"))</f>
        <v>Moderate Risk</v>
      </c>
    </row>
    <row r="702" spans="1:24" x14ac:dyDescent="0.3">
      <c r="A702">
        <v>2522</v>
      </c>
      <c r="B702" t="s">
        <v>18</v>
      </c>
      <c r="C702" t="s">
        <v>27</v>
      </c>
      <c r="D702" t="s">
        <v>35</v>
      </c>
      <c r="E702" s="1">
        <v>2026</v>
      </c>
      <c r="F702" s="11">
        <v>0.69640000000000002</v>
      </c>
      <c r="G702">
        <v>66.33</v>
      </c>
      <c r="H702">
        <v>74.8</v>
      </c>
      <c r="I702" s="2">
        <v>51023.74</v>
      </c>
      <c r="J702" s="2">
        <v>46096.639999999999</v>
      </c>
      <c r="K702" s="2">
        <f>Table1[[#This Row],[Salary_after]]-Table1[[#This Row],[Salary_before]]</f>
        <v>-4927.0999999999985</v>
      </c>
      <c r="L702" s="11">
        <v>-9.6600000000000005E-2</v>
      </c>
      <c r="M702" s="11">
        <v>3.1099999999999999E-2</v>
      </c>
      <c r="N702">
        <v>22.48</v>
      </c>
      <c r="O702">
        <v>61.74</v>
      </c>
      <c r="P702">
        <v>3</v>
      </c>
      <c r="Q702" t="s">
        <v>37</v>
      </c>
      <c r="R702">
        <v>72.22</v>
      </c>
      <c r="S702">
        <v>9.66</v>
      </c>
      <c r="T702" s="4">
        <v>53.194000000000003</v>
      </c>
      <c r="U702" s="4">
        <v>42.995736000000001</v>
      </c>
      <c r="V702" t="str">
        <f>IF(Table1[[#This Row],[ai_disruption_intensity]]&gt;70,"High",
IF(Table1[[#This Row],[ai_disruption_intensity]]&gt;40,"Medium","Low"))</f>
        <v>Medium</v>
      </c>
      <c r="W702" t="str">
        <f>IF(Table1[[#This Row],[skill_gap_index]]&gt;70,"Large Gap",
IF(Table1[[#This Row],[skill_gap_index]]&gt;40,"Medium Gap","Small Gap"))</f>
        <v>Large Gap</v>
      </c>
      <c r="X702" s="3" t="str">
        <f>IF(Table1[[#This Row],[automation_risk_percent]]&gt;0.7,"Highly Automatable",
IF(Table1[[#This Row],[automation_risk_percent]]&gt;0.4,"Moderate Risk","Safe Job"))</f>
        <v>Moderate Risk</v>
      </c>
    </row>
    <row r="703" spans="1:24" x14ac:dyDescent="0.3">
      <c r="A703">
        <v>2524</v>
      </c>
      <c r="B703" t="s">
        <v>43</v>
      </c>
      <c r="C703" t="s">
        <v>27</v>
      </c>
      <c r="D703" t="s">
        <v>42</v>
      </c>
      <c r="E703" s="1">
        <v>2025</v>
      </c>
      <c r="F703" s="11">
        <v>0.42930000000000001</v>
      </c>
      <c r="G703">
        <v>41.73</v>
      </c>
      <c r="H703">
        <v>57.31</v>
      </c>
      <c r="I703" s="2">
        <v>40874.93</v>
      </c>
      <c r="J703" s="2">
        <v>41634.71</v>
      </c>
      <c r="K703" s="2">
        <f>Table1[[#This Row],[Salary_after]]-Table1[[#This Row],[Salary_before]]</f>
        <v>759.77999999999884</v>
      </c>
      <c r="L703" s="11">
        <v>1.8600000000000002E-2</v>
      </c>
      <c r="M703" s="11">
        <v>0.11359999999999999</v>
      </c>
      <c r="N703">
        <v>26.56</v>
      </c>
      <c r="O703">
        <v>56.26</v>
      </c>
      <c r="P703">
        <v>2</v>
      </c>
      <c r="Q703" t="s">
        <v>25</v>
      </c>
      <c r="R703">
        <v>50.12</v>
      </c>
      <c r="S703">
        <v>1.86</v>
      </c>
      <c r="T703" s="4">
        <v>34.923000000000002</v>
      </c>
      <c r="U703" s="4">
        <v>24.152417999999901</v>
      </c>
      <c r="V703" t="str">
        <f>IF(Table1[[#This Row],[ai_disruption_intensity]]&gt;70,"High",
IF(Table1[[#This Row],[ai_disruption_intensity]]&gt;40,"Medium","Low"))</f>
        <v>Low</v>
      </c>
      <c r="W703" t="str">
        <f>IF(Table1[[#This Row],[skill_gap_index]]&gt;70,"Large Gap",
IF(Table1[[#This Row],[skill_gap_index]]&gt;40,"Medium Gap","Small Gap"))</f>
        <v>Medium Gap</v>
      </c>
      <c r="X703" s="3" t="str">
        <f>IF(Table1[[#This Row],[automation_risk_percent]]&gt;0.7,"Highly Automatable",
IF(Table1[[#This Row],[automation_risk_percent]]&gt;0.4,"Moderate Risk","Safe Job"))</f>
        <v>Moderate Risk</v>
      </c>
    </row>
    <row r="704" spans="1:24" x14ac:dyDescent="0.3">
      <c r="A704">
        <v>2526</v>
      </c>
      <c r="B704" t="s">
        <v>43</v>
      </c>
      <c r="C704" t="s">
        <v>19</v>
      </c>
      <c r="D704" t="s">
        <v>28</v>
      </c>
      <c r="E704" s="1">
        <v>2025</v>
      </c>
      <c r="F704" s="11">
        <v>0.52649999999999997</v>
      </c>
      <c r="G704">
        <v>53.78</v>
      </c>
      <c r="H704">
        <v>65.53</v>
      </c>
      <c r="I704" s="2">
        <v>137457.07</v>
      </c>
      <c r="J704" s="2">
        <v>132785.99</v>
      </c>
      <c r="K704" s="2">
        <f>Table1[[#This Row],[Salary_after]]-Table1[[#This Row],[Salary_before]]</f>
        <v>-4671.0800000000163</v>
      </c>
      <c r="L704" s="11">
        <v>-3.4000000000000002E-2</v>
      </c>
      <c r="M704" s="11">
        <v>6.8199999999999997E-2</v>
      </c>
      <c r="N704">
        <v>14.41</v>
      </c>
      <c r="O704">
        <v>83.76</v>
      </c>
      <c r="P704">
        <v>4</v>
      </c>
      <c r="Q704" t="s">
        <v>25</v>
      </c>
      <c r="R704">
        <v>59.09</v>
      </c>
      <c r="S704">
        <v>3.4</v>
      </c>
      <c r="T704" s="4">
        <v>41.738999999999997</v>
      </c>
      <c r="U704" s="4">
        <v>44.099640000000001</v>
      </c>
      <c r="V704" t="str">
        <f>IF(Table1[[#This Row],[ai_disruption_intensity]]&gt;70,"High",
IF(Table1[[#This Row],[ai_disruption_intensity]]&gt;40,"Medium","Low"))</f>
        <v>Medium</v>
      </c>
      <c r="W704" t="str">
        <f>IF(Table1[[#This Row],[skill_gap_index]]&gt;70,"Large Gap",
IF(Table1[[#This Row],[skill_gap_index]]&gt;40,"Medium Gap","Small Gap"))</f>
        <v>Medium Gap</v>
      </c>
      <c r="X704" s="3" t="str">
        <f>IF(Table1[[#This Row],[automation_risk_percent]]&gt;0.7,"Highly Automatable",
IF(Table1[[#This Row],[automation_risk_percent]]&gt;0.4,"Moderate Risk","Safe Job"))</f>
        <v>Moderate Risk</v>
      </c>
    </row>
    <row r="705" spans="1:24" x14ac:dyDescent="0.3">
      <c r="A705">
        <v>2527</v>
      </c>
      <c r="B705" t="s">
        <v>26</v>
      </c>
      <c r="C705" t="s">
        <v>27</v>
      </c>
      <c r="D705" t="s">
        <v>20</v>
      </c>
      <c r="E705" s="1">
        <v>2026</v>
      </c>
      <c r="F705" s="11">
        <v>0.34279999999999999</v>
      </c>
      <c r="G705">
        <v>38.590000000000003</v>
      </c>
      <c r="H705">
        <v>31.29</v>
      </c>
      <c r="I705" s="2">
        <v>77717.98</v>
      </c>
      <c r="J705" s="2">
        <v>81705.289999999994</v>
      </c>
      <c r="K705" s="2">
        <f>Table1[[#This Row],[Salary_after]]-Table1[[#This Row],[Salary_before]]</f>
        <v>3987.3099999999977</v>
      </c>
      <c r="L705" s="11">
        <v>5.1299999999999998E-2</v>
      </c>
      <c r="M705" s="11">
        <v>7.4700000000000003E-2</v>
      </c>
      <c r="N705">
        <v>17.899999999999999</v>
      </c>
      <c r="O705">
        <v>86.15</v>
      </c>
      <c r="P705">
        <v>4</v>
      </c>
      <c r="Q705" t="s">
        <v>25</v>
      </c>
      <c r="R705">
        <v>32.784999999999997</v>
      </c>
      <c r="S705">
        <v>5.13</v>
      </c>
      <c r="T705" s="4">
        <v>24.638000000000002</v>
      </c>
      <c r="U705" s="4">
        <v>29.532219999999999</v>
      </c>
      <c r="V705" t="str">
        <f>IF(Table1[[#This Row],[ai_disruption_intensity]]&gt;70,"High",
IF(Table1[[#This Row],[ai_disruption_intensity]]&gt;40,"Medium","Low"))</f>
        <v>Low</v>
      </c>
      <c r="W705" t="str">
        <f>IF(Table1[[#This Row],[skill_gap_index]]&gt;70,"Large Gap",
IF(Table1[[#This Row],[skill_gap_index]]&gt;40,"Medium Gap","Small Gap"))</f>
        <v>Small Gap</v>
      </c>
      <c r="X705" s="3" t="str">
        <f>IF(Table1[[#This Row],[automation_risk_percent]]&gt;0.7,"Highly Automatable",
IF(Table1[[#This Row],[automation_risk_percent]]&gt;0.4,"Moderate Risk","Safe Job"))</f>
        <v>Safe Job</v>
      </c>
    </row>
    <row r="706" spans="1:24" x14ac:dyDescent="0.3">
      <c r="A706">
        <v>2532</v>
      </c>
      <c r="B706" t="s">
        <v>41</v>
      </c>
      <c r="C706" t="s">
        <v>38</v>
      </c>
      <c r="D706" t="s">
        <v>42</v>
      </c>
      <c r="E706" s="1">
        <v>2025</v>
      </c>
      <c r="F706" s="11">
        <v>0.84310000000000007</v>
      </c>
      <c r="G706">
        <v>68.33</v>
      </c>
      <c r="H706">
        <v>94.78</v>
      </c>
      <c r="I706" s="2">
        <v>116527.81</v>
      </c>
      <c r="J706" s="2">
        <v>119354.73</v>
      </c>
      <c r="K706" s="2">
        <f>Table1[[#This Row],[Salary_after]]-Table1[[#This Row],[Salary_before]]</f>
        <v>2826.9199999999983</v>
      </c>
      <c r="L706" s="11">
        <v>2.4300000000000002E-2</v>
      </c>
      <c r="M706" s="11">
        <v>-9.3999999999999986E-3</v>
      </c>
      <c r="N706">
        <v>68.22</v>
      </c>
      <c r="O706">
        <v>21.88</v>
      </c>
      <c r="P706">
        <v>4</v>
      </c>
      <c r="Q706" t="s">
        <v>37</v>
      </c>
      <c r="R706">
        <v>89.545000000000002</v>
      </c>
      <c r="S706">
        <v>2.4300000000000002</v>
      </c>
      <c r="T706" s="4">
        <v>62.887</v>
      </c>
      <c r="U706" s="4">
        <v>18.447028</v>
      </c>
      <c r="V706" t="str">
        <f>IF(Table1[[#This Row],[ai_disruption_intensity]]&gt;70,"High",
IF(Table1[[#This Row],[ai_disruption_intensity]]&gt;40,"Medium","Low"))</f>
        <v>Low</v>
      </c>
      <c r="W706" t="str">
        <f>IF(Table1[[#This Row],[skill_gap_index]]&gt;70,"Large Gap",
IF(Table1[[#This Row],[skill_gap_index]]&gt;40,"Medium Gap","Small Gap"))</f>
        <v>Large Gap</v>
      </c>
      <c r="X706" s="3" t="str">
        <f>IF(Table1[[#This Row],[automation_risk_percent]]&gt;0.7,"Highly Automatable",
IF(Table1[[#This Row],[automation_risk_percent]]&gt;0.4,"Moderate Risk","Safe Job"))</f>
        <v>Highly Automatable</v>
      </c>
    </row>
    <row r="707" spans="1:24" x14ac:dyDescent="0.3">
      <c r="A707">
        <v>2533</v>
      </c>
      <c r="B707" t="s">
        <v>22</v>
      </c>
      <c r="C707" t="s">
        <v>40</v>
      </c>
      <c r="D707" t="s">
        <v>32</v>
      </c>
      <c r="E707" s="1">
        <v>2025</v>
      </c>
      <c r="F707" s="11">
        <v>0.63090000000000002</v>
      </c>
      <c r="G707">
        <v>52.67</v>
      </c>
      <c r="H707">
        <v>48.94</v>
      </c>
      <c r="I707" s="2">
        <v>31190.78</v>
      </c>
      <c r="J707" s="2">
        <v>29789.43</v>
      </c>
      <c r="K707" s="2">
        <f>Table1[[#This Row],[Salary_after]]-Table1[[#This Row],[Salary_before]]</f>
        <v>-1401.3499999999985</v>
      </c>
      <c r="L707" s="11">
        <v>-4.4900000000000002E-2</v>
      </c>
      <c r="M707" s="11">
        <v>-4.6799999999999994E-2</v>
      </c>
      <c r="N707">
        <v>24.45</v>
      </c>
      <c r="O707">
        <v>76.66</v>
      </c>
      <c r="P707">
        <v>2</v>
      </c>
      <c r="Q707" t="s">
        <v>37</v>
      </c>
      <c r="R707">
        <v>56.015000000000001</v>
      </c>
      <c r="S707">
        <v>4.49</v>
      </c>
      <c r="T707" s="4">
        <v>41.265000000000001</v>
      </c>
      <c r="U707" s="4">
        <v>48.364794000000003</v>
      </c>
      <c r="V707" t="str">
        <f>IF(Table1[[#This Row],[ai_disruption_intensity]]&gt;70,"High",
IF(Table1[[#This Row],[ai_disruption_intensity]]&gt;40,"Medium","Low"))</f>
        <v>Medium</v>
      </c>
      <c r="W707" t="str">
        <f>IF(Table1[[#This Row],[skill_gap_index]]&gt;70,"Large Gap",
IF(Table1[[#This Row],[skill_gap_index]]&gt;40,"Medium Gap","Small Gap"))</f>
        <v>Medium Gap</v>
      </c>
      <c r="X707" s="3" t="str">
        <f>IF(Table1[[#This Row],[automation_risk_percent]]&gt;0.7,"Highly Automatable",
IF(Table1[[#This Row],[automation_risk_percent]]&gt;0.4,"Moderate Risk","Safe Job"))</f>
        <v>Moderate Risk</v>
      </c>
    </row>
    <row r="708" spans="1:24" x14ac:dyDescent="0.3">
      <c r="A708">
        <v>2536</v>
      </c>
      <c r="B708" t="s">
        <v>41</v>
      </c>
      <c r="C708" t="s">
        <v>27</v>
      </c>
      <c r="D708" t="s">
        <v>28</v>
      </c>
      <c r="E708" s="1">
        <v>2025</v>
      </c>
      <c r="F708" s="11">
        <v>0.74370000000000003</v>
      </c>
      <c r="G708">
        <v>83.88</v>
      </c>
      <c r="H708">
        <v>66.08</v>
      </c>
      <c r="I708" s="2">
        <v>31552.43</v>
      </c>
      <c r="J708" s="2">
        <v>29929.29</v>
      </c>
      <c r="K708" s="2">
        <f>Table1[[#This Row],[Salary_after]]-Table1[[#This Row],[Salary_before]]</f>
        <v>-1623.1399999999994</v>
      </c>
      <c r="L708" s="11">
        <v>-5.1399999999999994E-2</v>
      </c>
      <c r="M708" s="11">
        <v>-5.4199999999999998E-2</v>
      </c>
      <c r="N708">
        <v>31.03</v>
      </c>
      <c r="O708">
        <v>96.27</v>
      </c>
      <c r="P708">
        <v>5</v>
      </c>
      <c r="Q708" t="s">
        <v>37</v>
      </c>
      <c r="R708">
        <v>70.224999999999994</v>
      </c>
      <c r="S708">
        <v>5.14</v>
      </c>
      <c r="T708" s="4">
        <v>51.113999999999997</v>
      </c>
      <c r="U708" s="4">
        <v>71.595999000000006</v>
      </c>
      <c r="V708" t="str">
        <f>IF(Table1[[#This Row],[ai_disruption_intensity]]&gt;70,"High",
IF(Table1[[#This Row],[ai_disruption_intensity]]&gt;40,"Medium","Low"))</f>
        <v>High</v>
      </c>
      <c r="W708" t="str">
        <f>IF(Table1[[#This Row],[skill_gap_index]]&gt;70,"Large Gap",
IF(Table1[[#This Row],[skill_gap_index]]&gt;40,"Medium Gap","Small Gap"))</f>
        <v>Medium Gap</v>
      </c>
      <c r="X708" s="3" t="str">
        <f>IF(Table1[[#This Row],[automation_risk_percent]]&gt;0.7,"Highly Automatable",
IF(Table1[[#This Row],[automation_risk_percent]]&gt;0.4,"Moderate Risk","Safe Job"))</f>
        <v>Highly Automatable</v>
      </c>
    </row>
    <row r="709" spans="1:24" x14ac:dyDescent="0.3">
      <c r="A709">
        <v>2544</v>
      </c>
      <c r="B709" t="s">
        <v>22</v>
      </c>
      <c r="C709" t="s">
        <v>30</v>
      </c>
      <c r="D709" t="s">
        <v>24</v>
      </c>
      <c r="E709" s="1">
        <v>2025</v>
      </c>
      <c r="F709" s="11">
        <v>0.30420000000000003</v>
      </c>
      <c r="G709">
        <v>29.7</v>
      </c>
      <c r="H709">
        <v>10.33</v>
      </c>
      <c r="I709" s="2">
        <v>61275.18</v>
      </c>
      <c r="J709" s="2">
        <v>61763.51</v>
      </c>
      <c r="K709" s="2">
        <f>Table1[[#This Row],[Salary_after]]-Table1[[#This Row],[Salary_before]]</f>
        <v>488.33000000000175</v>
      </c>
      <c r="L709" s="11">
        <v>8.0000000000000002E-3</v>
      </c>
      <c r="M709" s="11">
        <v>-1.0500000000000001E-2</v>
      </c>
      <c r="N709">
        <v>77.599999999999994</v>
      </c>
      <c r="O709">
        <v>19.57</v>
      </c>
      <c r="P709">
        <v>3</v>
      </c>
      <c r="Q709" t="s">
        <v>25</v>
      </c>
      <c r="R709">
        <v>20.375</v>
      </c>
      <c r="S709">
        <v>0.8</v>
      </c>
      <c r="T709" s="4">
        <v>15.507</v>
      </c>
      <c r="U709" s="4">
        <v>5.9531939999999999</v>
      </c>
      <c r="V709" t="str">
        <f>IF(Table1[[#This Row],[ai_disruption_intensity]]&gt;70,"High",
IF(Table1[[#This Row],[ai_disruption_intensity]]&gt;40,"Medium","Low"))</f>
        <v>Low</v>
      </c>
      <c r="W709" t="str">
        <f>IF(Table1[[#This Row],[skill_gap_index]]&gt;70,"Large Gap",
IF(Table1[[#This Row],[skill_gap_index]]&gt;40,"Medium Gap","Small Gap"))</f>
        <v>Small Gap</v>
      </c>
      <c r="X709" s="3" t="str">
        <f>IF(Table1[[#This Row],[automation_risk_percent]]&gt;0.7,"Highly Automatable",
IF(Table1[[#This Row],[automation_risk_percent]]&gt;0.4,"Moderate Risk","Safe Job"))</f>
        <v>Safe Job</v>
      </c>
    </row>
    <row r="710" spans="1:24" x14ac:dyDescent="0.3">
      <c r="A710">
        <v>2547</v>
      </c>
      <c r="B710" t="s">
        <v>29</v>
      </c>
      <c r="C710" t="s">
        <v>33</v>
      </c>
      <c r="D710" t="s">
        <v>42</v>
      </c>
      <c r="E710" s="1">
        <v>2026</v>
      </c>
      <c r="F710" s="11">
        <v>0.74540000000000006</v>
      </c>
      <c r="G710">
        <v>73.02</v>
      </c>
      <c r="H710">
        <v>1.21</v>
      </c>
      <c r="I710" s="2">
        <v>92458.01</v>
      </c>
      <c r="J710" s="2">
        <v>92614.32</v>
      </c>
      <c r="K710" s="2">
        <f>Table1[[#This Row],[Salary_after]]-Table1[[#This Row],[Salary_before]]</f>
        <v>156.31000000001222</v>
      </c>
      <c r="L710" s="11">
        <v>1.7000000000000001E-3</v>
      </c>
      <c r="M710" s="11">
        <v>8.5500000000000007E-2</v>
      </c>
      <c r="N710">
        <v>26.42</v>
      </c>
      <c r="O710">
        <v>2.21</v>
      </c>
      <c r="P710">
        <v>1</v>
      </c>
      <c r="Q710" t="s">
        <v>37</v>
      </c>
      <c r="R710">
        <v>37.875</v>
      </c>
      <c r="S710">
        <v>0.17</v>
      </c>
      <c r="T710" s="4">
        <v>30.23</v>
      </c>
      <c r="U710" s="4">
        <v>1.6473340000000001</v>
      </c>
      <c r="V710" t="str">
        <f>IF(Table1[[#This Row],[ai_disruption_intensity]]&gt;70,"High",
IF(Table1[[#This Row],[ai_disruption_intensity]]&gt;40,"Medium","Low"))</f>
        <v>Low</v>
      </c>
      <c r="W710" t="str">
        <f>IF(Table1[[#This Row],[skill_gap_index]]&gt;70,"Large Gap",
IF(Table1[[#This Row],[skill_gap_index]]&gt;40,"Medium Gap","Small Gap"))</f>
        <v>Small Gap</v>
      </c>
      <c r="X710" s="3" t="str">
        <f>IF(Table1[[#This Row],[automation_risk_percent]]&gt;0.7,"Highly Automatable",
IF(Table1[[#This Row],[automation_risk_percent]]&gt;0.4,"Moderate Risk","Safe Job"))</f>
        <v>Highly Automatable</v>
      </c>
    </row>
    <row r="711" spans="1:24" x14ac:dyDescent="0.3">
      <c r="A711">
        <v>2551</v>
      </c>
      <c r="B711" t="s">
        <v>26</v>
      </c>
      <c r="C711" t="s">
        <v>27</v>
      </c>
      <c r="D711" t="s">
        <v>35</v>
      </c>
      <c r="E711" s="1">
        <v>2025</v>
      </c>
      <c r="F711" s="11">
        <v>0.1128</v>
      </c>
      <c r="G711">
        <v>9.49</v>
      </c>
      <c r="H711">
        <v>0.27</v>
      </c>
      <c r="I711" s="2">
        <v>67680.05</v>
      </c>
      <c r="J711" s="2">
        <v>64954.78</v>
      </c>
      <c r="K711" s="2">
        <f>Table1[[#This Row],[Salary_after]]-Table1[[#This Row],[Salary_before]]</f>
        <v>-2725.2700000000041</v>
      </c>
      <c r="L711" s="11">
        <v>-4.0300000000000002E-2</v>
      </c>
      <c r="M711" s="11">
        <v>-7.000000000000001E-4</v>
      </c>
      <c r="N711">
        <v>11.01</v>
      </c>
      <c r="O711">
        <v>22.72</v>
      </c>
      <c r="P711">
        <v>1</v>
      </c>
      <c r="Q711" t="s">
        <v>21</v>
      </c>
      <c r="R711">
        <v>5.7749999999999897</v>
      </c>
      <c r="S711">
        <v>4.03</v>
      </c>
      <c r="T711" s="4">
        <v>5.8019999999999996</v>
      </c>
      <c r="U711" s="4">
        <v>2.56281599999999</v>
      </c>
      <c r="V711" t="str">
        <f>IF(Table1[[#This Row],[ai_disruption_intensity]]&gt;70,"High",
IF(Table1[[#This Row],[ai_disruption_intensity]]&gt;40,"Medium","Low"))</f>
        <v>Low</v>
      </c>
      <c r="W711" t="str">
        <f>IF(Table1[[#This Row],[skill_gap_index]]&gt;70,"Large Gap",
IF(Table1[[#This Row],[skill_gap_index]]&gt;40,"Medium Gap","Small Gap"))</f>
        <v>Small Gap</v>
      </c>
      <c r="X711" s="3" t="str">
        <f>IF(Table1[[#This Row],[automation_risk_percent]]&gt;0.7,"Highly Automatable",
IF(Table1[[#This Row],[automation_risk_percent]]&gt;0.4,"Moderate Risk","Safe Job"))</f>
        <v>Safe Job</v>
      </c>
    </row>
    <row r="712" spans="1:24" x14ac:dyDescent="0.3">
      <c r="A712">
        <v>2552</v>
      </c>
      <c r="B712" t="s">
        <v>39</v>
      </c>
      <c r="C712" t="s">
        <v>30</v>
      </c>
      <c r="D712" t="s">
        <v>24</v>
      </c>
      <c r="E712" s="1">
        <v>2025</v>
      </c>
      <c r="F712" s="11">
        <v>0.33289999999999997</v>
      </c>
      <c r="G712">
        <v>27.05</v>
      </c>
      <c r="H712">
        <v>60.79</v>
      </c>
      <c r="I712" s="2">
        <v>98256.04</v>
      </c>
      <c r="J712" s="2">
        <v>100215.07</v>
      </c>
      <c r="K712" s="2">
        <f>Table1[[#This Row],[Salary_after]]-Table1[[#This Row],[Salary_before]]</f>
        <v>1959.0300000000134</v>
      </c>
      <c r="L712" s="11">
        <v>1.9900000000000001E-2</v>
      </c>
      <c r="M712" s="11">
        <v>-3.4599999999999999E-2</v>
      </c>
      <c r="N712">
        <v>99.88</v>
      </c>
      <c r="O712">
        <v>94.45</v>
      </c>
      <c r="P712">
        <v>1</v>
      </c>
      <c r="Q712" t="s">
        <v>25</v>
      </c>
      <c r="R712">
        <v>47.04</v>
      </c>
      <c r="S712">
        <v>1.99</v>
      </c>
      <c r="T712" s="4">
        <v>32.15</v>
      </c>
      <c r="U712" s="4">
        <v>31.442404999999901</v>
      </c>
      <c r="V712" t="str">
        <f>IF(Table1[[#This Row],[ai_disruption_intensity]]&gt;70,"High",
IF(Table1[[#This Row],[ai_disruption_intensity]]&gt;40,"Medium","Low"))</f>
        <v>Low</v>
      </c>
      <c r="W712" t="str">
        <f>IF(Table1[[#This Row],[skill_gap_index]]&gt;70,"Large Gap",
IF(Table1[[#This Row],[skill_gap_index]]&gt;40,"Medium Gap","Small Gap"))</f>
        <v>Medium Gap</v>
      </c>
      <c r="X712" s="3" t="str">
        <f>IF(Table1[[#This Row],[automation_risk_percent]]&gt;0.7,"Highly Automatable",
IF(Table1[[#This Row],[automation_risk_percent]]&gt;0.4,"Moderate Risk","Safe Job"))</f>
        <v>Safe Job</v>
      </c>
    </row>
    <row r="713" spans="1:24" x14ac:dyDescent="0.3">
      <c r="A713">
        <v>2555</v>
      </c>
      <c r="B713" t="s">
        <v>26</v>
      </c>
      <c r="C713" t="s">
        <v>23</v>
      </c>
      <c r="D713" t="s">
        <v>24</v>
      </c>
      <c r="E713" s="1">
        <v>2026</v>
      </c>
      <c r="F713" s="11">
        <v>0.2918</v>
      </c>
      <c r="G713">
        <v>33.01</v>
      </c>
      <c r="H713">
        <v>46.5</v>
      </c>
      <c r="I713" s="2">
        <v>65473.72</v>
      </c>
      <c r="J713" s="2">
        <v>68884.929999999993</v>
      </c>
      <c r="K713" s="2">
        <f>Table1[[#This Row],[Salary_after]]-Table1[[#This Row],[Salary_before]]</f>
        <v>3411.2099999999919</v>
      </c>
      <c r="L713" s="11">
        <v>5.21E-2</v>
      </c>
      <c r="M713" s="11">
        <v>9.0399999999999994E-2</v>
      </c>
      <c r="N713">
        <v>47.84</v>
      </c>
      <c r="O713">
        <v>66.78</v>
      </c>
      <c r="P713">
        <v>5</v>
      </c>
      <c r="Q713" t="s">
        <v>21</v>
      </c>
      <c r="R713">
        <v>37.840000000000003</v>
      </c>
      <c r="S713">
        <v>5.21</v>
      </c>
      <c r="T713" s="4">
        <v>27.184999999999999</v>
      </c>
      <c r="U713" s="4">
        <v>19.486404</v>
      </c>
      <c r="V713" t="str">
        <f>IF(Table1[[#This Row],[ai_disruption_intensity]]&gt;70,"High",
IF(Table1[[#This Row],[ai_disruption_intensity]]&gt;40,"Medium","Low"))</f>
        <v>Low</v>
      </c>
      <c r="W713" t="str">
        <f>IF(Table1[[#This Row],[skill_gap_index]]&gt;70,"Large Gap",
IF(Table1[[#This Row],[skill_gap_index]]&gt;40,"Medium Gap","Small Gap"))</f>
        <v>Medium Gap</v>
      </c>
      <c r="X713" s="3" t="str">
        <f>IF(Table1[[#This Row],[automation_risk_percent]]&gt;0.7,"Highly Automatable",
IF(Table1[[#This Row],[automation_risk_percent]]&gt;0.4,"Moderate Risk","Safe Job"))</f>
        <v>Safe Job</v>
      </c>
    </row>
    <row r="714" spans="1:24" x14ac:dyDescent="0.3">
      <c r="A714">
        <v>2558</v>
      </c>
      <c r="B714" t="s">
        <v>44</v>
      </c>
      <c r="C714" t="s">
        <v>40</v>
      </c>
      <c r="D714" t="s">
        <v>32</v>
      </c>
      <c r="E714" s="1">
        <v>2025</v>
      </c>
      <c r="F714" s="11">
        <v>0.46479999999999999</v>
      </c>
      <c r="G714">
        <v>55.59</v>
      </c>
      <c r="H714">
        <v>50.92</v>
      </c>
      <c r="I714" s="2">
        <v>43902.239999999998</v>
      </c>
      <c r="J714" s="2">
        <v>38042.06</v>
      </c>
      <c r="K714" s="2">
        <f>Table1[[#This Row],[Salary_after]]-Table1[[#This Row],[Salary_before]]</f>
        <v>-5860.18</v>
      </c>
      <c r="L714" s="11">
        <v>-0.13350000000000001</v>
      </c>
      <c r="M714" s="11">
        <v>3.7599999999999995E-2</v>
      </c>
      <c r="N714">
        <v>63.74</v>
      </c>
      <c r="O714">
        <v>69.31</v>
      </c>
      <c r="P714">
        <v>4</v>
      </c>
      <c r="Q714" t="s">
        <v>25</v>
      </c>
      <c r="R714">
        <v>48.7</v>
      </c>
      <c r="S714">
        <v>13.35</v>
      </c>
      <c r="T714" s="4">
        <v>37.872999999999998</v>
      </c>
      <c r="U714" s="4">
        <v>32.215288000000001</v>
      </c>
      <c r="V714" t="str">
        <f>IF(Table1[[#This Row],[ai_disruption_intensity]]&gt;70,"High",
IF(Table1[[#This Row],[ai_disruption_intensity]]&gt;40,"Medium","Low"))</f>
        <v>Low</v>
      </c>
      <c r="W714" t="str">
        <f>IF(Table1[[#This Row],[skill_gap_index]]&gt;70,"Large Gap",
IF(Table1[[#This Row],[skill_gap_index]]&gt;40,"Medium Gap","Small Gap"))</f>
        <v>Medium Gap</v>
      </c>
      <c r="X714" s="3" t="str">
        <f>IF(Table1[[#This Row],[automation_risk_percent]]&gt;0.7,"Highly Automatable",
IF(Table1[[#This Row],[automation_risk_percent]]&gt;0.4,"Moderate Risk","Safe Job"))</f>
        <v>Moderate Risk</v>
      </c>
    </row>
    <row r="715" spans="1:24" x14ac:dyDescent="0.3">
      <c r="A715">
        <v>2559</v>
      </c>
      <c r="B715" t="s">
        <v>22</v>
      </c>
      <c r="C715" t="s">
        <v>27</v>
      </c>
      <c r="D715" t="s">
        <v>24</v>
      </c>
      <c r="E715" s="1">
        <v>2025</v>
      </c>
      <c r="F715" s="11">
        <v>0.4279</v>
      </c>
      <c r="G715">
        <v>35.9</v>
      </c>
      <c r="H715">
        <v>46.86</v>
      </c>
      <c r="I715" s="2">
        <v>39774.51</v>
      </c>
      <c r="J715" s="2">
        <v>43915.46</v>
      </c>
      <c r="K715" s="2">
        <f>Table1[[#This Row],[Salary_after]]-Table1[[#This Row],[Salary_before]]</f>
        <v>4140.9499999999971</v>
      </c>
      <c r="L715" s="11">
        <v>0.1041</v>
      </c>
      <c r="M715" s="11">
        <v>0.1153</v>
      </c>
      <c r="N715">
        <v>96.61</v>
      </c>
      <c r="O715">
        <v>14.88</v>
      </c>
      <c r="P715">
        <v>1</v>
      </c>
      <c r="Q715" t="s">
        <v>25</v>
      </c>
      <c r="R715">
        <v>44.825000000000003</v>
      </c>
      <c r="S715">
        <v>10.41</v>
      </c>
      <c r="T715" s="4">
        <v>34.296999999999997</v>
      </c>
      <c r="U715" s="4">
        <v>6.3671519999999999</v>
      </c>
      <c r="V715" t="str">
        <f>IF(Table1[[#This Row],[ai_disruption_intensity]]&gt;70,"High",
IF(Table1[[#This Row],[ai_disruption_intensity]]&gt;40,"Medium","Low"))</f>
        <v>Low</v>
      </c>
      <c r="W715" t="str">
        <f>IF(Table1[[#This Row],[skill_gap_index]]&gt;70,"Large Gap",
IF(Table1[[#This Row],[skill_gap_index]]&gt;40,"Medium Gap","Small Gap"))</f>
        <v>Medium Gap</v>
      </c>
      <c r="X715" s="3" t="str">
        <f>IF(Table1[[#This Row],[automation_risk_percent]]&gt;0.7,"Highly Automatable",
IF(Table1[[#This Row],[automation_risk_percent]]&gt;0.4,"Moderate Risk","Safe Job"))</f>
        <v>Moderate Risk</v>
      </c>
    </row>
    <row r="716" spans="1:24" x14ac:dyDescent="0.3">
      <c r="A716">
        <v>2562</v>
      </c>
      <c r="B716" t="s">
        <v>22</v>
      </c>
      <c r="C716" t="s">
        <v>38</v>
      </c>
      <c r="D716" t="s">
        <v>24</v>
      </c>
      <c r="E716" s="1">
        <v>2025</v>
      </c>
      <c r="F716" s="11">
        <v>0.17120000000000002</v>
      </c>
      <c r="G716">
        <v>14.3</v>
      </c>
      <c r="H716">
        <v>54.74</v>
      </c>
      <c r="I716" s="2">
        <v>55853.279999999999</v>
      </c>
      <c r="J716" s="2">
        <v>54917</v>
      </c>
      <c r="K716" s="2">
        <f>Table1[[#This Row],[Salary_after]]-Table1[[#This Row],[Salary_before]]</f>
        <v>-936.27999999999884</v>
      </c>
      <c r="L716" s="11">
        <v>-1.6799999999999999E-2</v>
      </c>
      <c r="M716" s="11">
        <v>0.1613</v>
      </c>
      <c r="N716">
        <v>72.599999999999994</v>
      </c>
      <c r="O716">
        <v>65.290000000000006</v>
      </c>
      <c r="P716">
        <v>3</v>
      </c>
      <c r="Q716" t="s">
        <v>21</v>
      </c>
      <c r="R716">
        <v>35.93</v>
      </c>
      <c r="S716">
        <v>1.68</v>
      </c>
      <c r="T716" s="4">
        <v>23.774000000000001</v>
      </c>
      <c r="U716" s="4">
        <v>11.177648</v>
      </c>
      <c r="V716" t="str">
        <f>IF(Table1[[#This Row],[ai_disruption_intensity]]&gt;70,"High",
IF(Table1[[#This Row],[ai_disruption_intensity]]&gt;40,"Medium","Low"))</f>
        <v>Low</v>
      </c>
      <c r="W716" t="str">
        <f>IF(Table1[[#This Row],[skill_gap_index]]&gt;70,"Large Gap",
IF(Table1[[#This Row],[skill_gap_index]]&gt;40,"Medium Gap","Small Gap"))</f>
        <v>Medium Gap</v>
      </c>
      <c r="X716" s="3" t="str">
        <f>IF(Table1[[#This Row],[automation_risk_percent]]&gt;0.7,"Highly Automatable",
IF(Table1[[#This Row],[automation_risk_percent]]&gt;0.4,"Moderate Risk","Safe Job"))</f>
        <v>Safe Job</v>
      </c>
    </row>
    <row r="717" spans="1:24" x14ac:dyDescent="0.3">
      <c r="A717">
        <v>2563</v>
      </c>
      <c r="B717" t="s">
        <v>41</v>
      </c>
      <c r="C717" t="s">
        <v>27</v>
      </c>
      <c r="D717" t="s">
        <v>35</v>
      </c>
      <c r="E717" s="1">
        <v>2026</v>
      </c>
      <c r="F717" s="11">
        <v>0.47389999999999999</v>
      </c>
      <c r="G717">
        <v>42.52</v>
      </c>
      <c r="H717">
        <v>34.25</v>
      </c>
      <c r="I717" s="2">
        <v>125599</v>
      </c>
      <c r="J717" s="2">
        <v>106489.96</v>
      </c>
      <c r="K717" s="2">
        <f>Table1[[#This Row],[Salary_after]]-Table1[[#This Row],[Salary_before]]</f>
        <v>-19109.039999999994</v>
      </c>
      <c r="L717" s="11">
        <v>-0.15210000000000001</v>
      </c>
      <c r="M717" s="11">
        <v>0.1033</v>
      </c>
      <c r="N717">
        <v>83.61</v>
      </c>
      <c r="O717">
        <v>5.48</v>
      </c>
      <c r="P717">
        <v>2</v>
      </c>
      <c r="Q717" t="s">
        <v>25</v>
      </c>
      <c r="R717">
        <v>40.82</v>
      </c>
      <c r="S717">
        <v>15.21</v>
      </c>
      <c r="T717" s="4">
        <v>33.793999999999997</v>
      </c>
      <c r="U717" s="4">
        <v>2.5969720000000001</v>
      </c>
      <c r="V717" t="str">
        <f>IF(Table1[[#This Row],[ai_disruption_intensity]]&gt;70,"High",
IF(Table1[[#This Row],[ai_disruption_intensity]]&gt;40,"Medium","Low"))</f>
        <v>Low</v>
      </c>
      <c r="W717" t="str">
        <f>IF(Table1[[#This Row],[skill_gap_index]]&gt;70,"Large Gap",
IF(Table1[[#This Row],[skill_gap_index]]&gt;40,"Medium Gap","Small Gap"))</f>
        <v>Small Gap</v>
      </c>
      <c r="X717" s="3" t="str">
        <f>IF(Table1[[#This Row],[automation_risk_percent]]&gt;0.7,"Highly Automatable",
IF(Table1[[#This Row],[automation_risk_percent]]&gt;0.4,"Moderate Risk","Safe Job"))</f>
        <v>Moderate Risk</v>
      </c>
    </row>
    <row r="718" spans="1:24" x14ac:dyDescent="0.3">
      <c r="A718">
        <v>2564</v>
      </c>
      <c r="B718" t="s">
        <v>22</v>
      </c>
      <c r="C718" t="s">
        <v>40</v>
      </c>
      <c r="D718" t="s">
        <v>42</v>
      </c>
      <c r="E718" s="1">
        <v>2026</v>
      </c>
      <c r="F718" s="11">
        <v>0.58939999999999992</v>
      </c>
      <c r="G718">
        <v>57.51</v>
      </c>
      <c r="H718">
        <v>73.13</v>
      </c>
      <c r="I718" s="2">
        <v>141295.35</v>
      </c>
      <c r="J718" s="2">
        <v>136078.10999999999</v>
      </c>
      <c r="K718" s="2">
        <f>Table1[[#This Row],[Salary_after]]-Table1[[#This Row],[Salary_before]]</f>
        <v>-5217.2400000000198</v>
      </c>
      <c r="L718" s="11">
        <v>-3.6900000000000002E-2</v>
      </c>
      <c r="M718" s="11">
        <v>0.20910000000000001</v>
      </c>
      <c r="N718">
        <v>23.59</v>
      </c>
      <c r="O718">
        <v>80.64</v>
      </c>
      <c r="P718">
        <v>4</v>
      </c>
      <c r="Q718" t="s">
        <v>25</v>
      </c>
      <c r="R718">
        <v>66.034999999999997</v>
      </c>
      <c r="S718">
        <v>3.69</v>
      </c>
      <c r="T718" s="4">
        <v>46.622</v>
      </c>
      <c r="U718" s="4">
        <v>47.529215999999998</v>
      </c>
      <c r="V718" t="str">
        <f>IF(Table1[[#This Row],[ai_disruption_intensity]]&gt;70,"High",
IF(Table1[[#This Row],[ai_disruption_intensity]]&gt;40,"Medium","Low"))</f>
        <v>Medium</v>
      </c>
      <c r="W718" t="str">
        <f>IF(Table1[[#This Row],[skill_gap_index]]&gt;70,"Large Gap",
IF(Table1[[#This Row],[skill_gap_index]]&gt;40,"Medium Gap","Small Gap"))</f>
        <v>Large Gap</v>
      </c>
      <c r="X718" s="3" t="str">
        <f>IF(Table1[[#This Row],[automation_risk_percent]]&gt;0.7,"Highly Automatable",
IF(Table1[[#This Row],[automation_risk_percent]]&gt;0.4,"Moderate Risk","Safe Job"))</f>
        <v>Moderate Risk</v>
      </c>
    </row>
    <row r="719" spans="1:24" x14ac:dyDescent="0.3">
      <c r="A719">
        <v>2566</v>
      </c>
      <c r="B719" t="s">
        <v>26</v>
      </c>
      <c r="C719" t="s">
        <v>34</v>
      </c>
      <c r="D719" t="s">
        <v>31</v>
      </c>
      <c r="E719" s="1">
        <v>2026</v>
      </c>
      <c r="F719" s="11">
        <v>0.05</v>
      </c>
      <c r="G719">
        <v>5.38</v>
      </c>
      <c r="H719">
        <v>76.7</v>
      </c>
      <c r="I719" s="2">
        <v>55191.29</v>
      </c>
      <c r="J719" s="2">
        <v>50301.13</v>
      </c>
      <c r="K719" s="2">
        <f>Table1[[#This Row],[Salary_after]]-Table1[[#This Row],[Salary_before]]</f>
        <v>-4890.1600000000035</v>
      </c>
      <c r="L719" s="11">
        <v>-8.8599999999999998E-2</v>
      </c>
      <c r="M719" s="11">
        <v>4.7800000000000002E-2</v>
      </c>
      <c r="N719">
        <v>77.209999999999994</v>
      </c>
      <c r="O719">
        <v>84.75</v>
      </c>
      <c r="P719">
        <v>3</v>
      </c>
      <c r="Q719" t="s">
        <v>21</v>
      </c>
      <c r="R719">
        <v>40.85</v>
      </c>
      <c r="S719">
        <v>8.86</v>
      </c>
      <c r="T719" s="4">
        <v>27.667999999999999</v>
      </c>
      <c r="U719" s="4">
        <v>4.2374999999999998</v>
      </c>
      <c r="V719" t="str">
        <f>IF(Table1[[#This Row],[ai_disruption_intensity]]&gt;70,"High",
IF(Table1[[#This Row],[ai_disruption_intensity]]&gt;40,"Medium","Low"))</f>
        <v>Low</v>
      </c>
      <c r="W719" t="str">
        <f>IF(Table1[[#This Row],[skill_gap_index]]&gt;70,"Large Gap",
IF(Table1[[#This Row],[skill_gap_index]]&gt;40,"Medium Gap","Small Gap"))</f>
        <v>Large Gap</v>
      </c>
      <c r="X719" s="3" t="str">
        <f>IF(Table1[[#This Row],[automation_risk_percent]]&gt;0.7,"Highly Automatable",
IF(Table1[[#This Row],[automation_risk_percent]]&gt;0.4,"Moderate Risk","Safe Job"))</f>
        <v>Safe Job</v>
      </c>
    </row>
    <row r="720" spans="1:24" x14ac:dyDescent="0.3">
      <c r="A720">
        <v>2569</v>
      </c>
      <c r="B720" t="s">
        <v>39</v>
      </c>
      <c r="C720" t="s">
        <v>38</v>
      </c>
      <c r="D720" t="s">
        <v>32</v>
      </c>
      <c r="E720" s="1">
        <v>2026</v>
      </c>
      <c r="F720" s="11">
        <v>0.58950000000000002</v>
      </c>
      <c r="G720">
        <v>70.39</v>
      </c>
      <c r="H720">
        <v>7.52</v>
      </c>
      <c r="I720" s="2">
        <v>81431.11</v>
      </c>
      <c r="J720" s="2">
        <v>86777.11</v>
      </c>
      <c r="K720" s="2">
        <f>Table1[[#This Row],[Salary_after]]-Table1[[#This Row],[Salary_before]]</f>
        <v>5346</v>
      </c>
      <c r="L720" s="11">
        <v>6.5700000000000008E-2</v>
      </c>
      <c r="M720" s="11">
        <v>-8.1300000000000011E-2</v>
      </c>
      <c r="N720">
        <v>82.61</v>
      </c>
      <c r="O720">
        <v>96.63</v>
      </c>
      <c r="P720">
        <v>4</v>
      </c>
      <c r="Q720" t="s">
        <v>25</v>
      </c>
      <c r="R720">
        <v>33.234999999999999</v>
      </c>
      <c r="S720">
        <v>6.57</v>
      </c>
      <c r="T720" s="4">
        <v>27.806999999999999</v>
      </c>
      <c r="U720" s="4">
        <v>56.963384999999903</v>
      </c>
      <c r="V720" t="str">
        <f>IF(Table1[[#This Row],[ai_disruption_intensity]]&gt;70,"High",
IF(Table1[[#This Row],[ai_disruption_intensity]]&gt;40,"Medium","Low"))</f>
        <v>Medium</v>
      </c>
      <c r="W720" t="str">
        <f>IF(Table1[[#This Row],[skill_gap_index]]&gt;70,"Large Gap",
IF(Table1[[#This Row],[skill_gap_index]]&gt;40,"Medium Gap","Small Gap"))</f>
        <v>Small Gap</v>
      </c>
      <c r="X720" s="3" t="str">
        <f>IF(Table1[[#This Row],[automation_risk_percent]]&gt;0.7,"Highly Automatable",
IF(Table1[[#This Row],[automation_risk_percent]]&gt;0.4,"Moderate Risk","Safe Job"))</f>
        <v>Moderate Risk</v>
      </c>
    </row>
    <row r="721" spans="1:24" x14ac:dyDescent="0.3">
      <c r="A721">
        <v>2580</v>
      </c>
      <c r="B721" t="s">
        <v>45</v>
      </c>
      <c r="C721" t="s">
        <v>34</v>
      </c>
      <c r="D721" t="s">
        <v>32</v>
      </c>
      <c r="E721" s="1">
        <v>2026</v>
      </c>
      <c r="F721" s="11">
        <v>0.66110000000000002</v>
      </c>
      <c r="G721">
        <v>59.06</v>
      </c>
      <c r="H721">
        <v>46.84</v>
      </c>
      <c r="I721" s="2">
        <v>139914.79</v>
      </c>
      <c r="J721" s="2">
        <v>120886.82</v>
      </c>
      <c r="K721" s="2">
        <f>Table1[[#This Row],[Salary_after]]-Table1[[#This Row],[Salary_before]]</f>
        <v>-19027.97</v>
      </c>
      <c r="L721" s="11">
        <v>-0.13600000000000001</v>
      </c>
      <c r="M721" s="11">
        <v>9.0299999999999991E-2</v>
      </c>
      <c r="N721">
        <v>35.57</v>
      </c>
      <c r="O721">
        <v>92.04</v>
      </c>
      <c r="P721">
        <v>5</v>
      </c>
      <c r="Q721" t="s">
        <v>37</v>
      </c>
      <c r="R721">
        <v>56.475000000000001</v>
      </c>
      <c r="S721">
        <v>13.6</v>
      </c>
      <c r="T721" s="4">
        <v>44.576000000000001</v>
      </c>
      <c r="U721" s="4">
        <v>60.847644000000003</v>
      </c>
      <c r="V721" t="str">
        <f>IF(Table1[[#This Row],[ai_disruption_intensity]]&gt;70,"High",
IF(Table1[[#This Row],[ai_disruption_intensity]]&gt;40,"Medium","Low"))</f>
        <v>Medium</v>
      </c>
      <c r="W721" t="str">
        <f>IF(Table1[[#This Row],[skill_gap_index]]&gt;70,"Large Gap",
IF(Table1[[#This Row],[skill_gap_index]]&gt;40,"Medium Gap","Small Gap"))</f>
        <v>Medium Gap</v>
      </c>
      <c r="X721" s="3" t="str">
        <f>IF(Table1[[#This Row],[automation_risk_percent]]&gt;0.7,"Highly Automatable",
IF(Table1[[#This Row],[automation_risk_percent]]&gt;0.4,"Moderate Risk","Safe Job"))</f>
        <v>Moderate Risk</v>
      </c>
    </row>
    <row r="722" spans="1:24" x14ac:dyDescent="0.3">
      <c r="A722">
        <v>2581</v>
      </c>
      <c r="B722" t="s">
        <v>43</v>
      </c>
      <c r="C722" t="s">
        <v>34</v>
      </c>
      <c r="D722" t="s">
        <v>35</v>
      </c>
      <c r="E722" s="1">
        <v>2026</v>
      </c>
      <c r="F722" s="11">
        <v>0.39899999999999997</v>
      </c>
      <c r="G722">
        <v>41.29</v>
      </c>
      <c r="H722">
        <v>45.99</v>
      </c>
      <c r="I722" s="2">
        <v>75412.570000000007</v>
      </c>
      <c r="J722" s="2">
        <v>80770.06</v>
      </c>
      <c r="K722" s="2">
        <f>Table1[[#This Row],[Salary_after]]-Table1[[#This Row],[Salary_before]]</f>
        <v>5357.4899999999907</v>
      </c>
      <c r="L722" s="11">
        <v>7.0999999999999994E-2</v>
      </c>
      <c r="M722" s="11">
        <v>-5.5599999999999997E-2</v>
      </c>
      <c r="N722">
        <v>74.64</v>
      </c>
      <c r="O722">
        <v>27.49</v>
      </c>
      <c r="P722">
        <v>2</v>
      </c>
      <c r="Q722" t="s">
        <v>25</v>
      </c>
      <c r="R722">
        <v>42.945</v>
      </c>
      <c r="S722">
        <v>7.1</v>
      </c>
      <c r="T722" s="4">
        <v>31.887</v>
      </c>
      <c r="U722" s="4">
        <v>10.968509999999901</v>
      </c>
      <c r="V722" t="str">
        <f>IF(Table1[[#This Row],[ai_disruption_intensity]]&gt;70,"High",
IF(Table1[[#This Row],[ai_disruption_intensity]]&gt;40,"Medium","Low"))</f>
        <v>Low</v>
      </c>
      <c r="W722" t="str">
        <f>IF(Table1[[#This Row],[skill_gap_index]]&gt;70,"Large Gap",
IF(Table1[[#This Row],[skill_gap_index]]&gt;40,"Medium Gap","Small Gap"))</f>
        <v>Medium Gap</v>
      </c>
      <c r="X722" s="3" t="str">
        <f>IF(Table1[[#This Row],[automation_risk_percent]]&gt;0.7,"Highly Automatable",
IF(Table1[[#This Row],[automation_risk_percent]]&gt;0.4,"Moderate Risk","Safe Job"))</f>
        <v>Safe Job</v>
      </c>
    </row>
    <row r="723" spans="1:24" x14ac:dyDescent="0.3">
      <c r="A723">
        <v>2583</v>
      </c>
      <c r="B723" t="s">
        <v>29</v>
      </c>
      <c r="C723" t="s">
        <v>33</v>
      </c>
      <c r="D723" t="s">
        <v>20</v>
      </c>
      <c r="E723" s="1">
        <v>2026</v>
      </c>
      <c r="F723" s="11">
        <v>0.85959999999999992</v>
      </c>
      <c r="G723">
        <v>79.989999999999995</v>
      </c>
      <c r="H723">
        <v>41.45</v>
      </c>
      <c r="I723" s="2">
        <v>83560.08</v>
      </c>
      <c r="J723" s="2">
        <v>79939.56</v>
      </c>
      <c r="K723" s="2">
        <f>Table1[[#This Row],[Salary_after]]-Table1[[#This Row],[Salary_before]]</f>
        <v>-3620.5200000000041</v>
      </c>
      <c r="L723" s="11">
        <v>-4.3299999999999998E-2</v>
      </c>
      <c r="M723" s="11">
        <v>0.1431</v>
      </c>
      <c r="N723">
        <v>90.31</v>
      </c>
      <c r="O723">
        <v>61.69</v>
      </c>
      <c r="P723">
        <v>1</v>
      </c>
      <c r="Q723" t="s">
        <v>37</v>
      </c>
      <c r="R723">
        <v>63.704999999999998</v>
      </c>
      <c r="S723">
        <v>4.33</v>
      </c>
      <c r="T723" s="4">
        <v>48.118000000000002</v>
      </c>
      <c r="U723" s="4">
        <v>53.028723999999897</v>
      </c>
      <c r="V723" t="str">
        <f>IF(Table1[[#This Row],[ai_disruption_intensity]]&gt;70,"High",
IF(Table1[[#This Row],[ai_disruption_intensity]]&gt;40,"Medium","Low"))</f>
        <v>Medium</v>
      </c>
      <c r="W723" t="str">
        <f>IF(Table1[[#This Row],[skill_gap_index]]&gt;70,"Large Gap",
IF(Table1[[#This Row],[skill_gap_index]]&gt;40,"Medium Gap","Small Gap"))</f>
        <v>Medium Gap</v>
      </c>
      <c r="X723" s="3" t="str">
        <f>IF(Table1[[#This Row],[automation_risk_percent]]&gt;0.7,"Highly Automatable",
IF(Table1[[#This Row],[automation_risk_percent]]&gt;0.4,"Moderate Risk","Safe Job"))</f>
        <v>Highly Automatable</v>
      </c>
    </row>
    <row r="724" spans="1:24" x14ac:dyDescent="0.3">
      <c r="A724">
        <v>2587</v>
      </c>
      <c r="B724" t="s">
        <v>43</v>
      </c>
      <c r="C724" t="s">
        <v>38</v>
      </c>
      <c r="D724" t="s">
        <v>32</v>
      </c>
      <c r="E724" s="1">
        <v>2026</v>
      </c>
      <c r="F724" s="11">
        <v>0.14410000000000001</v>
      </c>
      <c r="G724">
        <v>14.54</v>
      </c>
      <c r="H724">
        <v>65.31</v>
      </c>
      <c r="I724" s="2">
        <v>50571.98</v>
      </c>
      <c r="J724" s="2">
        <v>53751.59</v>
      </c>
      <c r="K724" s="2">
        <f>Table1[[#This Row],[Salary_after]]-Table1[[#This Row],[Salary_before]]</f>
        <v>3179.6099999999933</v>
      </c>
      <c r="L724" s="11">
        <v>6.2899999999999998E-2</v>
      </c>
      <c r="M724" s="11">
        <v>3.1200000000000002E-2</v>
      </c>
      <c r="N724">
        <v>49.82</v>
      </c>
      <c r="O724">
        <v>80.25</v>
      </c>
      <c r="P724">
        <v>3</v>
      </c>
      <c r="Q724" t="s">
        <v>21</v>
      </c>
      <c r="R724">
        <v>39.86</v>
      </c>
      <c r="S724">
        <v>6.29</v>
      </c>
      <c r="T724" s="4">
        <v>27.244</v>
      </c>
      <c r="U724" s="4">
        <v>11.5640249999999</v>
      </c>
      <c r="V724" t="str">
        <f>IF(Table1[[#This Row],[ai_disruption_intensity]]&gt;70,"High",
IF(Table1[[#This Row],[ai_disruption_intensity]]&gt;40,"Medium","Low"))</f>
        <v>Low</v>
      </c>
      <c r="W724" t="str">
        <f>IF(Table1[[#This Row],[skill_gap_index]]&gt;70,"Large Gap",
IF(Table1[[#This Row],[skill_gap_index]]&gt;40,"Medium Gap","Small Gap"))</f>
        <v>Medium Gap</v>
      </c>
      <c r="X724" s="3" t="str">
        <f>IF(Table1[[#This Row],[automation_risk_percent]]&gt;0.7,"Highly Automatable",
IF(Table1[[#This Row],[automation_risk_percent]]&gt;0.4,"Moderate Risk","Safe Job"))</f>
        <v>Safe Job</v>
      </c>
    </row>
    <row r="725" spans="1:24" x14ac:dyDescent="0.3">
      <c r="A725">
        <v>2590</v>
      </c>
      <c r="B725" t="s">
        <v>26</v>
      </c>
      <c r="C725" t="s">
        <v>38</v>
      </c>
      <c r="D725" t="s">
        <v>24</v>
      </c>
      <c r="E725" s="1">
        <v>2026</v>
      </c>
      <c r="F725" s="11">
        <v>0.14710000000000001</v>
      </c>
      <c r="G725">
        <v>12.78</v>
      </c>
      <c r="H725">
        <v>64.040000000000006</v>
      </c>
      <c r="I725" s="2">
        <v>140327.38</v>
      </c>
      <c r="J725" s="2">
        <v>113650.1</v>
      </c>
      <c r="K725" s="2">
        <f>Table1[[#This Row],[Salary_after]]-Table1[[#This Row],[Salary_before]]</f>
        <v>-26677.279999999999</v>
      </c>
      <c r="L725" s="11">
        <v>-0.19010000000000002</v>
      </c>
      <c r="M725" s="11">
        <v>5.8299999999999998E-2</v>
      </c>
      <c r="N725">
        <v>24.32</v>
      </c>
      <c r="O725">
        <v>83.01</v>
      </c>
      <c r="P725">
        <v>5</v>
      </c>
      <c r="Q725" t="s">
        <v>21</v>
      </c>
      <c r="R725">
        <v>39.375</v>
      </c>
      <c r="S725">
        <v>19.010000000000002</v>
      </c>
      <c r="T725" s="4">
        <v>30.798999999999999</v>
      </c>
      <c r="U725" s="4">
        <v>12.210770999999999</v>
      </c>
      <c r="V725" t="str">
        <f>IF(Table1[[#This Row],[ai_disruption_intensity]]&gt;70,"High",
IF(Table1[[#This Row],[ai_disruption_intensity]]&gt;40,"Medium","Low"))</f>
        <v>Low</v>
      </c>
      <c r="W725" t="str">
        <f>IF(Table1[[#This Row],[skill_gap_index]]&gt;70,"Large Gap",
IF(Table1[[#This Row],[skill_gap_index]]&gt;40,"Medium Gap","Small Gap"))</f>
        <v>Medium Gap</v>
      </c>
      <c r="X725" s="3" t="str">
        <f>IF(Table1[[#This Row],[automation_risk_percent]]&gt;0.7,"Highly Automatable",
IF(Table1[[#This Row],[automation_risk_percent]]&gt;0.4,"Moderate Risk","Safe Job"))</f>
        <v>Safe Job</v>
      </c>
    </row>
    <row r="726" spans="1:24" x14ac:dyDescent="0.3">
      <c r="A726">
        <v>2596</v>
      </c>
      <c r="B726" t="s">
        <v>43</v>
      </c>
      <c r="C726" t="s">
        <v>33</v>
      </c>
      <c r="D726" t="s">
        <v>42</v>
      </c>
      <c r="E726" s="1">
        <v>2025</v>
      </c>
      <c r="F726" s="11">
        <v>0.3851</v>
      </c>
      <c r="G726">
        <v>37.479999999999997</v>
      </c>
      <c r="H726">
        <v>92.23</v>
      </c>
      <c r="I726" s="2">
        <v>113107.68</v>
      </c>
      <c r="J726" s="2">
        <v>104937.91</v>
      </c>
      <c r="K726" s="2">
        <f>Table1[[#This Row],[Salary_after]]-Table1[[#This Row],[Salary_before]]</f>
        <v>-8169.7699999999895</v>
      </c>
      <c r="L726" s="11">
        <v>-7.22E-2</v>
      </c>
      <c r="M726" s="11">
        <v>-7.9000000000000008E-3</v>
      </c>
      <c r="N726">
        <v>30.73</v>
      </c>
      <c r="O726">
        <v>26.36</v>
      </c>
      <c r="P726">
        <v>4</v>
      </c>
      <c r="Q726" t="s">
        <v>25</v>
      </c>
      <c r="R726">
        <v>65.37</v>
      </c>
      <c r="S726">
        <v>7.22</v>
      </c>
      <c r="T726" s="4">
        <v>45.238999999999997</v>
      </c>
      <c r="U726" s="4">
        <v>10.1512359999999</v>
      </c>
      <c r="V726" t="str">
        <f>IF(Table1[[#This Row],[ai_disruption_intensity]]&gt;70,"High",
IF(Table1[[#This Row],[ai_disruption_intensity]]&gt;40,"Medium","Low"))</f>
        <v>Low</v>
      </c>
      <c r="W726" t="str">
        <f>IF(Table1[[#This Row],[skill_gap_index]]&gt;70,"Large Gap",
IF(Table1[[#This Row],[skill_gap_index]]&gt;40,"Medium Gap","Small Gap"))</f>
        <v>Large Gap</v>
      </c>
      <c r="X726" s="3" t="str">
        <f>IF(Table1[[#This Row],[automation_risk_percent]]&gt;0.7,"Highly Automatable",
IF(Table1[[#This Row],[automation_risk_percent]]&gt;0.4,"Moderate Risk","Safe Job"))</f>
        <v>Safe Job</v>
      </c>
    </row>
    <row r="727" spans="1:24" x14ac:dyDescent="0.3">
      <c r="A727">
        <v>2602</v>
      </c>
      <c r="B727" t="s">
        <v>18</v>
      </c>
      <c r="C727" t="s">
        <v>40</v>
      </c>
      <c r="D727" t="s">
        <v>28</v>
      </c>
      <c r="E727" s="1">
        <v>2025</v>
      </c>
      <c r="F727" s="11">
        <v>0.74569999999999992</v>
      </c>
      <c r="G727">
        <v>80.8</v>
      </c>
      <c r="H727">
        <v>78.53</v>
      </c>
      <c r="I727" s="2">
        <v>40203.89</v>
      </c>
      <c r="J727" s="2">
        <v>45193.06</v>
      </c>
      <c r="K727" s="2">
        <f>Table1[[#This Row],[Salary_after]]-Table1[[#This Row],[Salary_before]]</f>
        <v>4989.1699999999983</v>
      </c>
      <c r="L727" s="11">
        <v>0.1241</v>
      </c>
      <c r="M727" s="11">
        <v>8.199999999999999E-2</v>
      </c>
      <c r="N727">
        <v>87.54</v>
      </c>
      <c r="O727">
        <v>2.86</v>
      </c>
      <c r="P727">
        <v>5</v>
      </c>
      <c r="Q727" t="s">
        <v>37</v>
      </c>
      <c r="R727">
        <v>76.55</v>
      </c>
      <c r="S727">
        <v>12.41</v>
      </c>
      <c r="T727" s="4">
        <v>57.11</v>
      </c>
      <c r="U727" s="4">
        <v>2.1327019999999899</v>
      </c>
      <c r="V727" t="str">
        <f>IF(Table1[[#This Row],[ai_disruption_intensity]]&gt;70,"High",
IF(Table1[[#This Row],[ai_disruption_intensity]]&gt;40,"Medium","Low"))</f>
        <v>Low</v>
      </c>
      <c r="W727" t="str">
        <f>IF(Table1[[#This Row],[skill_gap_index]]&gt;70,"Large Gap",
IF(Table1[[#This Row],[skill_gap_index]]&gt;40,"Medium Gap","Small Gap"))</f>
        <v>Large Gap</v>
      </c>
      <c r="X727" s="3" t="str">
        <f>IF(Table1[[#This Row],[automation_risk_percent]]&gt;0.7,"Highly Automatable",
IF(Table1[[#This Row],[automation_risk_percent]]&gt;0.4,"Moderate Risk","Safe Job"))</f>
        <v>Highly Automatable</v>
      </c>
    </row>
    <row r="728" spans="1:24" x14ac:dyDescent="0.3">
      <c r="A728">
        <v>2607</v>
      </c>
      <c r="B728" t="s">
        <v>29</v>
      </c>
      <c r="C728" t="s">
        <v>23</v>
      </c>
      <c r="D728" t="s">
        <v>42</v>
      </c>
      <c r="E728" s="1">
        <v>2025</v>
      </c>
      <c r="F728" s="11">
        <v>0.82650000000000001</v>
      </c>
      <c r="G728">
        <v>93.89</v>
      </c>
      <c r="H728">
        <v>82.43</v>
      </c>
      <c r="I728" s="2">
        <v>116662.63</v>
      </c>
      <c r="J728" s="2">
        <v>112826.41</v>
      </c>
      <c r="K728" s="2">
        <f>Table1[[#This Row],[Salary_after]]-Table1[[#This Row],[Salary_before]]</f>
        <v>-3836.2200000000012</v>
      </c>
      <c r="L728" s="11">
        <v>-3.2899999999999999E-2</v>
      </c>
      <c r="M728" s="11">
        <v>0.1535</v>
      </c>
      <c r="N728">
        <v>20.32</v>
      </c>
      <c r="O728">
        <v>84.25</v>
      </c>
      <c r="P728">
        <v>4</v>
      </c>
      <c r="Q728" t="s">
        <v>37</v>
      </c>
      <c r="R728">
        <v>82.54</v>
      </c>
      <c r="S728">
        <v>3.29</v>
      </c>
      <c r="T728" s="4">
        <v>58.776000000000003</v>
      </c>
      <c r="U728" s="4">
        <v>69.632625000000004</v>
      </c>
      <c r="V728" t="str">
        <f>IF(Table1[[#This Row],[ai_disruption_intensity]]&gt;70,"High",
IF(Table1[[#This Row],[ai_disruption_intensity]]&gt;40,"Medium","Low"))</f>
        <v>Medium</v>
      </c>
      <c r="W728" t="str">
        <f>IF(Table1[[#This Row],[skill_gap_index]]&gt;70,"Large Gap",
IF(Table1[[#This Row],[skill_gap_index]]&gt;40,"Medium Gap","Small Gap"))</f>
        <v>Large Gap</v>
      </c>
      <c r="X728" s="3" t="str">
        <f>IF(Table1[[#This Row],[automation_risk_percent]]&gt;0.7,"Highly Automatable",
IF(Table1[[#This Row],[automation_risk_percent]]&gt;0.4,"Moderate Risk","Safe Job"))</f>
        <v>Highly Automatable</v>
      </c>
    </row>
    <row r="729" spans="1:24" x14ac:dyDescent="0.3">
      <c r="A729">
        <v>2615</v>
      </c>
      <c r="B729" t="s">
        <v>44</v>
      </c>
      <c r="C729" t="s">
        <v>19</v>
      </c>
      <c r="D729" t="s">
        <v>28</v>
      </c>
      <c r="E729" s="1">
        <v>2025</v>
      </c>
      <c r="F729" s="11">
        <v>0.72670000000000001</v>
      </c>
      <c r="G729">
        <v>84.56</v>
      </c>
      <c r="H729">
        <v>73.959999999999994</v>
      </c>
      <c r="I729" s="2">
        <v>42840</v>
      </c>
      <c r="J729" s="2">
        <v>38281.620000000003</v>
      </c>
      <c r="K729" s="2">
        <f>Table1[[#This Row],[Salary_after]]-Table1[[#This Row],[Salary_before]]</f>
        <v>-4558.3799999999974</v>
      </c>
      <c r="L729" s="11">
        <v>-0.10640000000000001</v>
      </c>
      <c r="M729" s="11">
        <v>3.2099999999999997E-2</v>
      </c>
      <c r="N729">
        <v>98.89</v>
      </c>
      <c r="O729">
        <v>33.299999999999997</v>
      </c>
      <c r="P729">
        <v>2</v>
      </c>
      <c r="Q729" t="s">
        <v>37</v>
      </c>
      <c r="R729">
        <v>73.314999999999998</v>
      </c>
      <c r="S729">
        <v>10.64</v>
      </c>
      <c r="T729" s="4">
        <v>54.448</v>
      </c>
      <c r="U729" s="4">
        <v>24.199110000000001</v>
      </c>
      <c r="V729" t="str">
        <f>IF(Table1[[#This Row],[ai_disruption_intensity]]&gt;70,"High",
IF(Table1[[#This Row],[ai_disruption_intensity]]&gt;40,"Medium","Low"))</f>
        <v>Low</v>
      </c>
      <c r="W729" t="str">
        <f>IF(Table1[[#This Row],[skill_gap_index]]&gt;70,"Large Gap",
IF(Table1[[#This Row],[skill_gap_index]]&gt;40,"Medium Gap","Small Gap"))</f>
        <v>Large Gap</v>
      </c>
      <c r="X729" s="3" t="str">
        <f>IF(Table1[[#This Row],[automation_risk_percent]]&gt;0.7,"Highly Automatable",
IF(Table1[[#This Row],[automation_risk_percent]]&gt;0.4,"Moderate Risk","Safe Job"))</f>
        <v>Highly Automatable</v>
      </c>
    </row>
    <row r="730" spans="1:24" x14ac:dyDescent="0.3">
      <c r="A730">
        <v>2620</v>
      </c>
      <c r="B730" t="s">
        <v>22</v>
      </c>
      <c r="C730" t="s">
        <v>34</v>
      </c>
      <c r="D730" t="s">
        <v>24</v>
      </c>
      <c r="E730" s="1">
        <v>2025</v>
      </c>
      <c r="F730" s="11">
        <v>0.44619999999999999</v>
      </c>
      <c r="G730">
        <v>43.04</v>
      </c>
      <c r="H730">
        <v>89.03</v>
      </c>
      <c r="I730" s="2">
        <v>31110.47</v>
      </c>
      <c r="J730" s="2">
        <v>31307.040000000001</v>
      </c>
      <c r="K730" s="2">
        <f>Table1[[#This Row],[Salary_after]]-Table1[[#This Row],[Salary_before]]</f>
        <v>196.56999999999971</v>
      </c>
      <c r="L730" s="11">
        <v>6.3E-3</v>
      </c>
      <c r="M730" s="11">
        <v>7.4200000000000002E-2</v>
      </c>
      <c r="N730">
        <v>23.67</v>
      </c>
      <c r="O730">
        <v>4.68</v>
      </c>
      <c r="P730">
        <v>1</v>
      </c>
      <c r="Q730" t="s">
        <v>25</v>
      </c>
      <c r="R730">
        <v>66.825000000000003</v>
      </c>
      <c r="S730">
        <v>0.63</v>
      </c>
      <c r="T730" s="4">
        <v>44.746000000000002</v>
      </c>
      <c r="U730" s="4">
        <v>2.0882160000000001</v>
      </c>
      <c r="V730" t="str">
        <f>IF(Table1[[#This Row],[ai_disruption_intensity]]&gt;70,"High",
IF(Table1[[#This Row],[ai_disruption_intensity]]&gt;40,"Medium","Low"))</f>
        <v>Low</v>
      </c>
      <c r="W730" t="str">
        <f>IF(Table1[[#This Row],[skill_gap_index]]&gt;70,"Large Gap",
IF(Table1[[#This Row],[skill_gap_index]]&gt;40,"Medium Gap","Small Gap"))</f>
        <v>Large Gap</v>
      </c>
      <c r="X730" s="3" t="str">
        <f>IF(Table1[[#This Row],[automation_risk_percent]]&gt;0.7,"Highly Automatable",
IF(Table1[[#This Row],[automation_risk_percent]]&gt;0.4,"Moderate Risk","Safe Job"))</f>
        <v>Moderate Risk</v>
      </c>
    </row>
    <row r="731" spans="1:24" x14ac:dyDescent="0.3">
      <c r="A731">
        <v>2623</v>
      </c>
      <c r="B731" t="s">
        <v>45</v>
      </c>
      <c r="C731" t="s">
        <v>34</v>
      </c>
      <c r="D731" t="s">
        <v>47</v>
      </c>
      <c r="E731" s="1">
        <v>2025</v>
      </c>
      <c r="F731" s="11">
        <v>0.55079999999999996</v>
      </c>
      <c r="G731">
        <v>46.08</v>
      </c>
      <c r="H731">
        <v>2.1</v>
      </c>
      <c r="I731" s="2">
        <v>36094.04</v>
      </c>
      <c r="J731" s="2">
        <v>41684.71</v>
      </c>
      <c r="K731" s="2">
        <f>Table1[[#This Row],[Salary_after]]-Table1[[#This Row],[Salary_before]]</f>
        <v>5590.6699999999983</v>
      </c>
      <c r="L731" s="11">
        <v>0.15490000000000001</v>
      </c>
      <c r="M731" s="11">
        <v>0.1986</v>
      </c>
      <c r="N731">
        <v>54.97</v>
      </c>
      <c r="O731">
        <v>30.68</v>
      </c>
      <c r="P731">
        <v>1</v>
      </c>
      <c r="Q731" t="s">
        <v>25</v>
      </c>
      <c r="R731">
        <v>28.59</v>
      </c>
      <c r="S731">
        <v>15.49</v>
      </c>
      <c r="T731" s="4">
        <v>27.308999999999902</v>
      </c>
      <c r="U731" s="4">
        <v>16.898544000000001</v>
      </c>
      <c r="V731" t="str">
        <f>IF(Table1[[#This Row],[ai_disruption_intensity]]&gt;70,"High",
IF(Table1[[#This Row],[ai_disruption_intensity]]&gt;40,"Medium","Low"))</f>
        <v>Low</v>
      </c>
      <c r="W731" t="str">
        <f>IF(Table1[[#This Row],[skill_gap_index]]&gt;70,"Large Gap",
IF(Table1[[#This Row],[skill_gap_index]]&gt;40,"Medium Gap","Small Gap"))</f>
        <v>Small Gap</v>
      </c>
      <c r="X731" s="3" t="str">
        <f>IF(Table1[[#This Row],[automation_risk_percent]]&gt;0.7,"Highly Automatable",
IF(Table1[[#This Row],[automation_risk_percent]]&gt;0.4,"Moderate Risk","Safe Job"))</f>
        <v>Moderate Risk</v>
      </c>
    </row>
    <row r="732" spans="1:24" x14ac:dyDescent="0.3">
      <c r="A732">
        <v>2624</v>
      </c>
      <c r="B732" t="s">
        <v>29</v>
      </c>
      <c r="C732" t="s">
        <v>19</v>
      </c>
      <c r="D732" t="s">
        <v>35</v>
      </c>
      <c r="E732" s="1">
        <v>2026</v>
      </c>
      <c r="F732" s="11">
        <v>0.62219999999999998</v>
      </c>
      <c r="G732">
        <v>62.63</v>
      </c>
      <c r="H732">
        <v>1.94</v>
      </c>
      <c r="I732" s="2">
        <v>63896.31</v>
      </c>
      <c r="J732" s="2">
        <v>68393.3</v>
      </c>
      <c r="K732" s="2">
        <f>Table1[[#This Row],[Salary_after]]-Table1[[#This Row],[Salary_before]]</f>
        <v>4496.9900000000052</v>
      </c>
      <c r="L732" s="11">
        <v>7.0400000000000004E-2</v>
      </c>
      <c r="M732" s="11">
        <v>1.32E-2</v>
      </c>
      <c r="N732">
        <v>64.27</v>
      </c>
      <c r="O732">
        <v>45.31</v>
      </c>
      <c r="P732">
        <v>4</v>
      </c>
      <c r="Q732" t="s">
        <v>37</v>
      </c>
      <c r="R732">
        <v>32.08</v>
      </c>
      <c r="S732">
        <v>7.04</v>
      </c>
      <c r="T732" s="4">
        <v>27.582000000000001</v>
      </c>
      <c r="U732" s="4">
        <v>28.191882</v>
      </c>
      <c r="V732" t="str">
        <f>IF(Table1[[#This Row],[ai_disruption_intensity]]&gt;70,"High",
IF(Table1[[#This Row],[ai_disruption_intensity]]&gt;40,"Medium","Low"))</f>
        <v>Low</v>
      </c>
      <c r="W732" t="str">
        <f>IF(Table1[[#This Row],[skill_gap_index]]&gt;70,"Large Gap",
IF(Table1[[#This Row],[skill_gap_index]]&gt;40,"Medium Gap","Small Gap"))</f>
        <v>Small Gap</v>
      </c>
      <c r="X732" s="3" t="str">
        <f>IF(Table1[[#This Row],[automation_risk_percent]]&gt;0.7,"Highly Automatable",
IF(Table1[[#This Row],[automation_risk_percent]]&gt;0.4,"Moderate Risk","Safe Job"))</f>
        <v>Moderate Risk</v>
      </c>
    </row>
    <row r="733" spans="1:24" x14ac:dyDescent="0.3">
      <c r="A733">
        <v>2628</v>
      </c>
      <c r="B733" t="s">
        <v>18</v>
      </c>
      <c r="C733" t="s">
        <v>30</v>
      </c>
      <c r="D733" t="s">
        <v>32</v>
      </c>
      <c r="E733" s="1">
        <v>2026</v>
      </c>
      <c r="F733" s="11">
        <v>0.6381</v>
      </c>
      <c r="G733">
        <v>75.69</v>
      </c>
      <c r="H733">
        <v>33.89</v>
      </c>
      <c r="I733" s="2">
        <v>107773.27</v>
      </c>
      <c r="J733" s="2">
        <v>124292.58</v>
      </c>
      <c r="K733" s="2">
        <f>Table1[[#This Row],[Salary_after]]-Table1[[#This Row],[Salary_before]]</f>
        <v>16519.309999999998</v>
      </c>
      <c r="L733" s="11">
        <v>0.15329999999999999</v>
      </c>
      <c r="M733" s="11">
        <v>8.6500000000000007E-2</v>
      </c>
      <c r="N733">
        <v>87.96</v>
      </c>
      <c r="O733">
        <v>60.3</v>
      </c>
      <c r="P733">
        <v>5</v>
      </c>
      <c r="Q733" t="s">
        <v>37</v>
      </c>
      <c r="R733">
        <v>48.85</v>
      </c>
      <c r="S733">
        <v>15.33</v>
      </c>
      <c r="T733" s="4">
        <v>40.29</v>
      </c>
      <c r="U733" s="4">
        <v>38.477429999999998</v>
      </c>
      <c r="V733" t="str">
        <f>IF(Table1[[#This Row],[ai_disruption_intensity]]&gt;70,"High",
IF(Table1[[#This Row],[ai_disruption_intensity]]&gt;40,"Medium","Low"))</f>
        <v>Low</v>
      </c>
      <c r="W733" t="str">
        <f>IF(Table1[[#This Row],[skill_gap_index]]&gt;70,"Large Gap",
IF(Table1[[#This Row],[skill_gap_index]]&gt;40,"Medium Gap","Small Gap"))</f>
        <v>Small Gap</v>
      </c>
      <c r="X733" s="3" t="str">
        <f>IF(Table1[[#This Row],[automation_risk_percent]]&gt;0.7,"Highly Automatable",
IF(Table1[[#This Row],[automation_risk_percent]]&gt;0.4,"Moderate Risk","Safe Job"))</f>
        <v>Moderate Risk</v>
      </c>
    </row>
    <row r="734" spans="1:24" x14ac:dyDescent="0.3">
      <c r="A734">
        <v>2638</v>
      </c>
      <c r="B734" t="s">
        <v>29</v>
      </c>
      <c r="C734" t="s">
        <v>27</v>
      </c>
      <c r="D734" t="s">
        <v>35</v>
      </c>
      <c r="E734" s="1">
        <v>2025</v>
      </c>
      <c r="F734" s="11">
        <v>0.9083</v>
      </c>
      <c r="G734">
        <v>88.91</v>
      </c>
      <c r="H734">
        <v>65.64</v>
      </c>
      <c r="I734" s="2">
        <v>76857.41</v>
      </c>
      <c r="J734" s="2">
        <v>70100.600000000006</v>
      </c>
      <c r="K734" s="2">
        <f>Table1[[#This Row],[Salary_after]]-Table1[[#This Row],[Salary_before]]</f>
        <v>-6756.8099999999977</v>
      </c>
      <c r="L734" s="11">
        <v>-8.7899999999999992E-2</v>
      </c>
      <c r="M734" s="11">
        <v>-0.1419</v>
      </c>
      <c r="N734">
        <v>76.88</v>
      </c>
      <c r="O734">
        <v>50.14</v>
      </c>
      <c r="P734">
        <v>2</v>
      </c>
      <c r="Q734" t="s">
        <v>37</v>
      </c>
      <c r="R734">
        <v>78.234999999999999</v>
      </c>
      <c r="S734">
        <v>8.7899999999999991</v>
      </c>
      <c r="T734" s="4">
        <v>58.661000000000001</v>
      </c>
      <c r="U734" s="4">
        <v>45.542161999999998</v>
      </c>
      <c r="V734" t="str">
        <f>IF(Table1[[#This Row],[ai_disruption_intensity]]&gt;70,"High",
IF(Table1[[#This Row],[ai_disruption_intensity]]&gt;40,"Medium","Low"))</f>
        <v>Medium</v>
      </c>
      <c r="W734" t="str">
        <f>IF(Table1[[#This Row],[skill_gap_index]]&gt;70,"Large Gap",
IF(Table1[[#This Row],[skill_gap_index]]&gt;40,"Medium Gap","Small Gap"))</f>
        <v>Medium Gap</v>
      </c>
      <c r="X734" s="3" t="str">
        <f>IF(Table1[[#This Row],[automation_risk_percent]]&gt;0.7,"Highly Automatable",
IF(Table1[[#This Row],[automation_risk_percent]]&gt;0.4,"Moderate Risk","Safe Job"))</f>
        <v>Highly Automatable</v>
      </c>
    </row>
    <row r="735" spans="1:24" x14ac:dyDescent="0.3">
      <c r="A735">
        <v>2639</v>
      </c>
      <c r="B735" t="s">
        <v>43</v>
      </c>
      <c r="C735" t="s">
        <v>40</v>
      </c>
      <c r="D735" t="s">
        <v>42</v>
      </c>
      <c r="E735" s="1">
        <v>2025</v>
      </c>
      <c r="F735" s="11">
        <v>0.66980000000000006</v>
      </c>
      <c r="G735">
        <v>73.55</v>
      </c>
      <c r="H735">
        <v>2.0499999999999998</v>
      </c>
      <c r="I735" s="2">
        <v>105628.58</v>
      </c>
      <c r="J735" s="2">
        <v>89309.92</v>
      </c>
      <c r="K735" s="2">
        <f>Table1[[#This Row],[Salary_after]]-Table1[[#This Row],[Salary_before]]</f>
        <v>-16318.660000000003</v>
      </c>
      <c r="L735" s="11">
        <v>-0.1545</v>
      </c>
      <c r="M735" s="11">
        <v>-0.1759</v>
      </c>
      <c r="N735">
        <v>83.65</v>
      </c>
      <c r="O735">
        <v>54.76</v>
      </c>
      <c r="P735">
        <v>3</v>
      </c>
      <c r="Q735" t="s">
        <v>37</v>
      </c>
      <c r="R735">
        <v>34.515000000000001</v>
      </c>
      <c r="S735">
        <v>15.45</v>
      </c>
      <c r="T735" s="4">
        <v>32.042000000000002</v>
      </c>
      <c r="U735" s="4">
        <v>36.678247999999897</v>
      </c>
      <c r="V735" t="str">
        <f>IF(Table1[[#This Row],[ai_disruption_intensity]]&gt;70,"High",
IF(Table1[[#This Row],[ai_disruption_intensity]]&gt;40,"Medium","Low"))</f>
        <v>Low</v>
      </c>
      <c r="W735" t="str">
        <f>IF(Table1[[#This Row],[skill_gap_index]]&gt;70,"Large Gap",
IF(Table1[[#This Row],[skill_gap_index]]&gt;40,"Medium Gap","Small Gap"))</f>
        <v>Small Gap</v>
      </c>
      <c r="X735" s="3" t="str">
        <f>IF(Table1[[#This Row],[automation_risk_percent]]&gt;0.7,"Highly Automatable",
IF(Table1[[#This Row],[automation_risk_percent]]&gt;0.4,"Moderate Risk","Safe Job"))</f>
        <v>Moderate Risk</v>
      </c>
    </row>
    <row r="736" spans="1:24" x14ac:dyDescent="0.3">
      <c r="A736">
        <v>2641</v>
      </c>
      <c r="B736" t="s">
        <v>39</v>
      </c>
      <c r="C736" t="s">
        <v>40</v>
      </c>
      <c r="D736" t="s">
        <v>47</v>
      </c>
      <c r="E736" s="1">
        <v>2025</v>
      </c>
      <c r="F736" s="11">
        <v>0.47960000000000003</v>
      </c>
      <c r="G736">
        <v>51.08</v>
      </c>
      <c r="H736">
        <v>27.88</v>
      </c>
      <c r="I736" s="2">
        <v>68615.63</v>
      </c>
      <c r="J736" s="2">
        <v>77213.600000000006</v>
      </c>
      <c r="K736" s="2">
        <f>Table1[[#This Row],[Salary_after]]-Table1[[#This Row],[Salary_before]]</f>
        <v>8597.9700000000012</v>
      </c>
      <c r="L736" s="11">
        <v>0.12529999999999999</v>
      </c>
      <c r="M736" s="11">
        <v>-5.3699999999999998E-2</v>
      </c>
      <c r="N736">
        <v>52.63</v>
      </c>
      <c r="O736">
        <v>51.77</v>
      </c>
      <c r="P736">
        <v>4</v>
      </c>
      <c r="Q736" t="s">
        <v>25</v>
      </c>
      <c r="R736">
        <v>37.92</v>
      </c>
      <c r="S736">
        <v>12.53</v>
      </c>
      <c r="T736" s="4">
        <v>31.306999999999999</v>
      </c>
      <c r="U736" s="4">
        <v>24.828892</v>
      </c>
      <c r="V736" t="str">
        <f>IF(Table1[[#This Row],[ai_disruption_intensity]]&gt;70,"High",
IF(Table1[[#This Row],[ai_disruption_intensity]]&gt;40,"Medium","Low"))</f>
        <v>Low</v>
      </c>
      <c r="W736" t="str">
        <f>IF(Table1[[#This Row],[skill_gap_index]]&gt;70,"Large Gap",
IF(Table1[[#This Row],[skill_gap_index]]&gt;40,"Medium Gap","Small Gap"))</f>
        <v>Small Gap</v>
      </c>
      <c r="X736" s="3" t="str">
        <f>IF(Table1[[#This Row],[automation_risk_percent]]&gt;0.7,"Highly Automatable",
IF(Table1[[#This Row],[automation_risk_percent]]&gt;0.4,"Moderate Risk","Safe Job"))</f>
        <v>Moderate Risk</v>
      </c>
    </row>
    <row r="737" spans="1:24" x14ac:dyDescent="0.3">
      <c r="A737">
        <v>2646</v>
      </c>
      <c r="B737" t="s">
        <v>22</v>
      </c>
      <c r="C737" t="s">
        <v>33</v>
      </c>
      <c r="D737" t="s">
        <v>35</v>
      </c>
      <c r="E737" s="1">
        <v>2025</v>
      </c>
      <c r="F737" s="11">
        <v>0.45350000000000001</v>
      </c>
      <c r="G737">
        <v>40.549999999999997</v>
      </c>
      <c r="H737">
        <v>87.49</v>
      </c>
      <c r="I737" s="2">
        <v>48348.65</v>
      </c>
      <c r="J737" s="2">
        <v>42480.52</v>
      </c>
      <c r="K737" s="2">
        <f>Table1[[#This Row],[Salary_after]]-Table1[[#This Row],[Salary_before]]</f>
        <v>-5868.1300000000047</v>
      </c>
      <c r="L737" s="11">
        <v>-0.12140000000000001</v>
      </c>
      <c r="M737" s="11">
        <v>0.13639999999999999</v>
      </c>
      <c r="N737">
        <v>42.09</v>
      </c>
      <c r="O737">
        <v>94.06</v>
      </c>
      <c r="P737">
        <v>4</v>
      </c>
      <c r="Q737" t="s">
        <v>25</v>
      </c>
      <c r="R737">
        <v>66.42</v>
      </c>
      <c r="S737">
        <v>12.14</v>
      </c>
      <c r="T737" s="4">
        <v>48.029000000000003</v>
      </c>
      <c r="U737" s="4">
        <v>42.656210000000002</v>
      </c>
      <c r="V737" t="str">
        <f>IF(Table1[[#This Row],[ai_disruption_intensity]]&gt;70,"High",
IF(Table1[[#This Row],[ai_disruption_intensity]]&gt;40,"Medium","Low"))</f>
        <v>Medium</v>
      </c>
      <c r="W737" t="str">
        <f>IF(Table1[[#This Row],[skill_gap_index]]&gt;70,"Large Gap",
IF(Table1[[#This Row],[skill_gap_index]]&gt;40,"Medium Gap","Small Gap"))</f>
        <v>Large Gap</v>
      </c>
      <c r="X737" s="3" t="str">
        <f>IF(Table1[[#This Row],[automation_risk_percent]]&gt;0.7,"Highly Automatable",
IF(Table1[[#This Row],[automation_risk_percent]]&gt;0.4,"Moderate Risk","Safe Job"))</f>
        <v>Moderate Risk</v>
      </c>
    </row>
    <row r="738" spans="1:24" x14ac:dyDescent="0.3">
      <c r="A738">
        <v>2649</v>
      </c>
      <c r="B738" t="s">
        <v>41</v>
      </c>
      <c r="C738" t="s">
        <v>27</v>
      </c>
      <c r="D738" t="s">
        <v>42</v>
      </c>
      <c r="E738" s="1">
        <v>2025</v>
      </c>
      <c r="F738" s="11">
        <v>0.4698</v>
      </c>
      <c r="G738">
        <v>39.81</v>
      </c>
      <c r="H738">
        <v>45.49</v>
      </c>
      <c r="I738" s="2">
        <v>96240.51</v>
      </c>
      <c r="J738" s="2">
        <v>88974.03</v>
      </c>
      <c r="K738" s="2">
        <f>Table1[[#This Row],[Salary_after]]-Table1[[#This Row],[Salary_before]]</f>
        <v>-7266.4799999999959</v>
      </c>
      <c r="L738" s="11">
        <v>-7.5499999999999998E-2</v>
      </c>
      <c r="M738" s="11">
        <v>0.2397</v>
      </c>
      <c r="N738">
        <v>15.37</v>
      </c>
      <c r="O738">
        <v>47.22</v>
      </c>
      <c r="P738">
        <v>5</v>
      </c>
      <c r="Q738" t="s">
        <v>25</v>
      </c>
      <c r="R738">
        <v>46.234999999999999</v>
      </c>
      <c r="S738">
        <v>7.55</v>
      </c>
      <c r="T738" s="4">
        <v>34.704000000000001</v>
      </c>
      <c r="U738" s="4">
        <v>22.183955999999998</v>
      </c>
      <c r="V738" t="str">
        <f>IF(Table1[[#This Row],[ai_disruption_intensity]]&gt;70,"High",
IF(Table1[[#This Row],[ai_disruption_intensity]]&gt;40,"Medium","Low"))</f>
        <v>Low</v>
      </c>
      <c r="W738" t="str">
        <f>IF(Table1[[#This Row],[skill_gap_index]]&gt;70,"Large Gap",
IF(Table1[[#This Row],[skill_gap_index]]&gt;40,"Medium Gap","Small Gap"))</f>
        <v>Medium Gap</v>
      </c>
      <c r="X738" s="3" t="str">
        <f>IF(Table1[[#This Row],[automation_risk_percent]]&gt;0.7,"Highly Automatable",
IF(Table1[[#This Row],[automation_risk_percent]]&gt;0.4,"Moderate Risk","Safe Job"))</f>
        <v>Moderate Risk</v>
      </c>
    </row>
    <row r="739" spans="1:24" x14ac:dyDescent="0.3">
      <c r="A739">
        <v>2652</v>
      </c>
      <c r="B739" t="s">
        <v>26</v>
      </c>
      <c r="C739" t="s">
        <v>33</v>
      </c>
      <c r="D739" t="s">
        <v>42</v>
      </c>
      <c r="E739" s="1">
        <v>2025</v>
      </c>
      <c r="F739" s="11">
        <v>0.1201</v>
      </c>
      <c r="G739">
        <v>11.27</v>
      </c>
      <c r="H739">
        <v>97.01</v>
      </c>
      <c r="I739" s="2">
        <v>123694.54</v>
      </c>
      <c r="J739" s="2">
        <v>129904.03</v>
      </c>
      <c r="K739" s="2">
        <f>Table1[[#This Row],[Salary_after]]-Table1[[#This Row],[Salary_before]]</f>
        <v>6209.4900000000052</v>
      </c>
      <c r="L739" s="11">
        <v>5.0199999999999995E-2</v>
      </c>
      <c r="M739" s="11">
        <v>-0.1207</v>
      </c>
      <c r="N739">
        <v>46.39</v>
      </c>
      <c r="O739">
        <v>49</v>
      </c>
      <c r="P739">
        <v>1</v>
      </c>
      <c r="Q739" t="s">
        <v>21</v>
      </c>
      <c r="R739">
        <v>54.51</v>
      </c>
      <c r="S739">
        <v>5.0199999999999996</v>
      </c>
      <c r="T739" s="4">
        <v>35.412999999999997</v>
      </c>
      <c r="U739" s="4">
        <v>5.8849</v>
      </c>
      <c r="V739" t="str">
        <f>IF(Table1[[#This Row],[ai_disruption_intensity]]&gt;70,"High",
IF(Table1[[#This Row],[ai_disruption_intensity]]&gt;40,"Medium","Low"))</f>
        <v>Low</v>
      </c>
      <c r="W739" t="str">
        <f>IF(Table1[[#This Row],[skill_gap_index]]&gt;70,"Large Gap",
IF(Table1[[#This Row],[skill_gap_index]]&gt;40,"Medium Gap","Small Gap"))</f>
        <v>Large Gap</v>
      </c>
      <c r="X739" s="3" t="str">
        <f>IF(Table1[[#This Row],[automation_risk_percent]]&gt;0.7,"Highly Automatable",
IF(Table1[[#This Row],[automation_risk_percent]]&gt;0.4,"Moderate Risk","Safe Job"))</f>
        <v>Safe Job</v>
      </c>
    </row>
    <row r="740" spans="1:24" x14ac:dyDescent="0.3">
      <c r="A740">
        <v>2654</v>
      </c>
      <c r="B740" t="s">
        <v>18</v>
      </c>
      <c r="C740" t="s">
        <v>33</v>
      </c>
      <c r="D740" t="s">
        <v>47</v>
      </c>
      <c r="E740" s="1">
        <v>2026</v>
      </c>
      <c r="F740" s="11">
        <v>0.41820000000000002</v>
      </c>
      <c r="G740">
        <v>36.75</v>
      </c>
      <c r="H740">
        <v>15.99</v>
      </c>
      <c r="I740" s="2">
        <v>86758.05</v>
      </c>
      <c r="J740" s="2">
        <v>89942.48</v>
      </c>
      <c r="K740" s="2">
        <f>Table1[[#This Row],[Salary_after]]-Table1[[#This Row],[Salary_before]]</f>
        <v>3184.429999999993</v>
      </c>
      <c r="L740" s="11">
        <v>3.6699999999999997E-2</v>
      </c>
      <c r="M740" s="11">
        <v>7.8E-2</v>
      </c>
      <c r="N740">
        <v>77.3</v>
      </c>
      <c r="O740">
        <v>89.54</v>
      </c>
      <c r="P740">
        <v>3</v>
      </c>
      <c r="Q740" t="s">
        <v>25</v>
      </c>
      <c r="R740">
        <v>28.905000000000001</v>
      </c>
      <c r="S740">
        <v>3.67</v>
      </c>
      <c r="T740" s="4">
        <v>22.626000000000001</v>
      </c>
      <c r="U740" s="4">
        <v>37.445627999999999</v>
      </c>
      <c r="V740" t="str">
        <f>IF(Table1[[#This Row],[ai_disruption_intensity]]&gt;70,"High",
IF(Table1[[#This Row],[ai_disruption_intensity]]&gt;40,"Medium","Low"))</f>
        <v>Low</v>
      </c>
      <c r="W740" t="str">
        <f>IF(Table1[[#This Row],[skill_gap_index]]&gt;70,"Large Gap",
IF(Table1[[#This Row],[skill_gap_index]]&gt;40,"Medium Gap","Small Gap"))</f>
        <v>Small Gap</v>
      </c>
      <c r="X740" s="3" t="str">
        <f>IF(Table1[[#This Row],[automation_risk_percent]]&gt;0.7,"Highly Automatable",
IF(Table1[[#This Row],[automation_risk_percent]]&gt;0.4,"Moderate Risk","Safe Job"))</f>
        <v>Moderate Risk</v>
      </c>
    </row>
    <row r="741" spans="1:24" x14ac:dyDescent="0.3">
      <c r="A741">
        <v>2658</v>
      </c>
      <c r="B741" t="s">
        <v>46</v>
      </c>
      <c r="C741" t="s">
        <v>19</v>
      </c>
      <c r="D741" t="s">
        <v>24</v>
      </c>
      <c r="E741" s="1">
        <v>2025</v>
      </c>
      <c r="F741" s="11">
        <v>0.41139999999999999</v>
      </c>
      <c r="G741">
        <v>42.43</v>
      </c>
      <c r="H741">
        <v>54.34</v>
      </c>
      <c r="I741" s="2">
        <v>70640.63</v>
      </c>
      <c r="J741" s="2">
        <v>76706.28</v>
      </c>
      <c r="K741" s="2">
        <f>Table1[[#This Row],[Salary_after]]-Table1[[#This Row],[Salary_before]]</f>
        <v>6065.6499999999942</v>
      </c>
      <c r="L741" s="11">
        <v>8.5900000000000004E-2</v>
      </c>
      <c r="M741" s="11">
        <v>0.1043</v>
      </c>
      <c r="N741">
        <v>41.16</v>
      </c>
      <c r="O741">
        <v>8.5500000000000007</v>
      </c>
      <c r="P741">
        <v>5</v>
      </c>
      <c r="Q741" t="s">
        <v>25</v>
      </c>
      <c r="R741">
        <v>47.74</v>
      </c>
      <c r="S741">
        <v>8.59</v>
      </c>
      <c r="T741" s="4">
        <v>35.334999999999901</v>
      </c>
      <c r="U741" s="4">
        <v>3.5174699999999999</v>
      </c>
      <c r="V741" t="str">
        <f>IF(Table1[[#This Row],[ai_disruption_intensity]]&gt;70,"High",
IF(Table1[[#This Row],[ai_disruption_intensity]]&gt;40,"Medium","Low"))</f>
        <v>Low</v>
      </c>
      <c r="W741" t="str">
        <f>IF(Table1[[#This Row],[skill_gap_index]]&gt;70,"Large Gap",
IF(Table1[[#This Row],[skill_gap_index]]&gt;40,"Medium Gap","Small Gap"))</f>
        <v>Medium Gap</v>
      </c>
      <c r="X741" s="3" t="str">
        <f>IF(Table1[[#This Row],[automation_risk_percent]]&gt;0.7,"Highly Automatable",
IF(Table1[[#This Row],[automation_risk_percent]]&gt;0.4,"Moderate Risk","Safe Job"))</f>
        <v>Moderate Risk</v>
      </c>
    </row>
    <row r="742" spans="1:24" x14ac:dyDescent="0.3">
      <c r="A742">
        <v>2663</v>
      </c>
      <c r="B742" t="s">
        <v>18</v>
      </c>
      <c r="C742" t="s">
        <v>33</v>
      </c>
      <c r="D742" t="s">
        <v>32</v>
      </c>
      <c r="E742" s="1">
        <v>2026</v>
      </c>
      <c r="F742" s="11">
        <v>0.76209999999999989</v>
      </c>
      <c r="G742">
        <v>77.34</v>
      </c>
      <c r="H742">
        <v>0.69</v>
      </c>
      <c r="I742" s="2">
        <v>31326.53</v>
      </c>
      <c r="J742" s="2">
        <v>24311.51</v>
      </c>
      <c r="K742" s="2">
        <f>Table1[[#This Row],[Salary_after]]-Table1[[#This Row],[Salary_before]]</f>
        <v>-7015.02</v>
      </c>
      <c r="L742" s="11">
        <v>-0.22390000000000002</v>
      </c>
      <c r="M742" s="11">
        <v>0.20440000000000003</v>
      </c>
      <c r="N742">
        <v>50.61</v>
      </c>
      <c r="O742">
        <v>40.04</v>
      </c>
      <c r="P742">
        <v>1</v>
      </c>
      <c r="Q742" t="s">
        <v>37</v>
      </c>
      <c r="R742">
        <v>38.449999999999903</v>
      </c>
      <c r="S742">
        <v>22.39</v>
      </c>
      <c r="T742" s="4">
        <v>37.408000000000001</v>
      </c>
      <c r="U742" s="4">
        <v>30.5144839999999</v>
      </c>
      <c r="V742" t="str">
        <f>IF(Table1[[#This Row],[ai_disruption_intensity]]&gt;70,"High",
IF(Table1[[#This Row],[ai_disruption_intensity]]&gt;40,"Medium","Low"))</f>
        <v>Low</v>
      </c>
      <c r="W742" t="str">
        <f>IF(Table1[[#This Row],[skill_gap_index]]&gt;70,"Large Gap",
IF(Table1[[#This Row],[skill_gap_index]]&gt;40,"Medium Gap","Small Gap"))</f>
        <v>Small Gap</v>
      </c>
      <c r="X742" s="3" t="str">
        <f>IF(Table1[[#This Row],[automation_risk_percent]]&gt;0.7,"Highly Automatable",
IF(Table1[[#This Row],[automation_risk_percent]]&gt;0.4,"Moderate Risk","Safe Job"))</f>
        <v>Highly Automatable</v>
      </c>
    </row>
    <row r="743" spans="1:24" x14ac:dyDescent="0.3">
      <c r="A743">
        <v>2670</v>
      </c>
      <c r="B743" t="s">
        <v>18</v>
      </c>
      <c r="C743" t="s">
        <v>23</v>
      </c>
      <c r="D743" t="s">
        <v>47</v>
      </c>
      <c r="E743" s="1">
        <v>2026</v>
      </c>
      <c r="F743" s="11">
        <v>0.51570000000000005</v>
      </c>
      <c r="G743">
        <v>56.7</v>
      </c>
      <c r="H743">
        <v>15.06</v>
      </c>
      <c r="I743" s="2">
        <v>142992.64000000001</v>
      </c>
      <c r="J743" s="2">
        <v>157974</v>
      </c>
      <c r="K743" s="2">
        <f>Table1[[#This Row],[Salary_after]]-Table1[[#This Row],[Salary_before]]</f>
        <v>14981.359999999986</v>
      </c>
      <c r="L743" s="11">
        <v>0.1048</v>
      </c>
      <c r="M743" s="11">
        <v>8.6500000000000007E-2</v>
      </c>
      <c r="N743">
        <v>32.19</v>
      </c>
      <c r="O743">
        <v>73.94</v>
      </c>
      <c r="P743">
        <v>5</v>
      </c>
      <c r="Q743" t="s">
        <v>25</v>
      </c>
      <c r="R743">
        <v>33.314999999999998</v>
      </c>
      <c r="S743">
        <v>10.48</v>
      </c>
      <c r="T743" s="4">
        <v>28.29</v>
      </c>
      <c r="U743" s="4">
        <v>38.130857999999897</v>
      </c>
      <c r="V743" t="str">
        <f>IF(Table1[[#This Row],[ai_disruption_intensity]]&gt;70,"High",
IF(Table1[[#This Row],[ai_disruption_intensity]]&gt;40,"Medium","Low"))</f>
        <v>Low</v>
      </c>
      <c r="W743" t="str">
        <f>IF(Table1[[#This Row],[skill_gap_index]]&gt;70,"Large Gap",
IF(Table1[[#This Row],[skill_gap_index]]&gt;40,"Medium Gap","Small Gap"))</f>
        <v>Small Gap</v>
      </c>
      <c r="X743" s="3" t="str">
        <f>IF(Table1[[#This Row],[automation_risk_percent]]&gt;0.7,"Highly Automatable",
IF(Table1[[#This Row],[automation_risk_percent]]&gt;0.4,"Moderate Risk","Safe Job"))</f>
        <v>Moderate Risk</v>
      </c>
    </row>
    <row r="744" spans="1:24" x14ac:dyDescent="0.3">
      <c r="A744">
        <v>2671</v>
      </c>
      <c r="B744" t="s">
        <v>41</v>
      </c>
      <c r="C744" t="s">
        <v>27</v>
      </c>
      <c r="D744" t="s">
        <v>20</v>
      </c>
      <c r="E744" s="1">
        <v>2026</v>
      </c>
      <c r="F744" s="11">
        <v>0.79669999999999996</v>
      </c>
      <c r="G744">
        <v>76.400000000000006</v>
      </c>
      <c r="H744">
        <v>38.4</v>
      </c>
      <c r="I744" s="2">
        <v>108935.55</v>
      </c>
      <c r="J744" s="2">
        <v>111656.07</v>
      </c>
      <c r="K744" s="2">
        <f>Table1[[#This Row],[Salary_after]]-Table1[[#This Row],[Salary_before]]</f>
        <v>2720.5200000000041</v>
      </c>
      <c r="L744" s="11">
        <v>2.5000000000000001E-2</v>
      </c>
      <c r="M744" s="11">
        <v>6.8999999999999999E-3</v>
      </c>
      <c r="N744">
        <v>13.86</v>
      </c>
      <c r="O744">
        <v>19.059999999999999</v>
      </c>
      <c r="P744">
        <v>5</v>
      </c>
      <c r="Q744" t="s">
        <v>37</v>
      </c>
      <c r="R744">
        <v>59.034999999999997</v>
      </c>
      <c r="S744">
        <v>2.5</v>
      </c>
      <c r="T744" s="4">
        <v>44.137999999999998</v>
      </c>
      <c r="U744" s="4">
        <v>15.185101999999899</v>
      </c>
      <c r="V744" t="str">
        <f>IF(Table1[[#This Row],[ai_disruption_intensity]]&gt;70,"High",
IF(Table1[[#This Row],[ai_disruption_intensity]]&gt;40,"Medium","Low"))</f>
        <v>Low</v>
      </c>
      <c r="W744" t="str">
        <f>IF(Table1[[#This Row],[skill_gap_index]]&gt;70,"Large Gap",
IF(Table1[[#This Row],[skill_gap_index]]&gt;40,"Medium Gap","Small Gap"))</f>
        <v>Small Gap</v>
      </c>
      <c r="X744" s="3" t="str">
        <f>IF(Table1[[#This Row],[automation_risk_percent]]&gt;0.7,"Highly Automatable",
IF(Table1[[#This Row],[automation_risk_percent]]&gt;0.4,"Moderate Risk","Safe Job"))</f>
        <v>Highly Automatable</v>
      </c>
    </row>
    <row r="745" spans="1:24" x14ac:dyDescent="0.3">
      <c r="A745">
        <v>2678</v>
      </c>
      <c r="B745" t="s">
        <v>18</v>
      </c>
      <c r="C745" t="s">
        <v>33</v>
      </c>
      <c r="D745" t="s">
        <v>47</v>
      </c>
      <c r="E745" s="1">
        <v>2025</v>
      </c>
      <c r="F745" s="11">
        <v>0.64290000000000003</v>
      </c>
      <c r="G745">
        <v>54.63</v>
      </c>
      <c r="H745">
        <v>65.37</v>
      </c>
      <c r="I745" s="2">
        <v>65486.87</v>
      </c>
      <c r="J745" s="2">
        <v>60357.22</v>
      </c>
      <c r="K745" s="2">
        <f>Table1[[#This Row],[Salary_after]]-Table1[[#This Row],[Salary_before]]</f>
        <v>-5129.6500000000015</v>
      </c>
      <c r="L745" s="11">
        <v>-7.8299999999999995E-2</v>
      </c>
      <c r="M745" s="11">
        <v>0.1285</v>
      </c>
      <c r="N745">
        <v>71.56</v>
      </c>
      <c r="O745">
        <v>29.5</v>
      </c>
      <c r="P745">
        <v>1</v>
      </c>
      <c r="Q745" t="s">
        <v>37</v>
      </c>
      <c r="R745">
        <v>64.83</v>
      </c>
      <c r="S745">
        <v>7.83</v>
      </c>
      <c r="T745" s="4">
        <v>47.676000000000002</v>
      </c>
      <c r="U745" s="4">
        <v>18.96555</v>
      </c>
      <c r="V745" t="str">
        <f>IF(Table1[[#This Row],[ai_disruption_intensity]]&gt;70,"High",
IF(Table1[[#This Row],[ai_disruption_intensity]]&gt;40,"Medium","Low"))</f>
        <v>Low</v>
      </c>
      <c r="W745" t="str">
        <f>IF(Table1[[#This Row],[skill_gap_index]]&gt;70,"Large Gap",
IF(Table1[[#This Row],[skill_gap_index]]&gt;40,"Medium Gap","Small Gap"))</f>
        <v>Medium Gap</v>
      </c>
      <c r="X745" s="3" t="str">
        <f>IF(Table1[[#This Row],[automation_risk_percent]]&gt;0.7,"Highly Automatable",
IF(Table1[[#This Row],[automation_risk_percent]]&gt;0.4,"Moderate Risk","Safe Job"))</f>
        <v>Moderate Risk</v>
      </c>
    </row>
    <row r="746" spans="1:24" x14ac:dyDescent="0.3">
      <c r="A746">
        <v>2683</v>
      </c>
      <c r="B746" t="s">
        <v>43</v>
      </c>
      <c r="C746" t="s">
        <v>38</v>
      </c>
      <c r="D746" t="s">
        <v>42</v>
      </c>
      <c r="E746" s="1">
        <v>2026</v>
      </c>
      <c r="F746" s="11">
        <v>0.53249999999999997</v>
      </c>
      <c r="G746">
        <v>61.38</v>
      </c>
      <c r="H746">
        <v>13.14</v>
      </c>
      <c r="I746" s="2">
        <v>125693.87</v>
      </c>
      <c r="J746" s="2">
        <v>122779.31</v>
      </c>
      <c r="K746" s="2">
        <f>Table1[[#This Row],[Salary_after]]-Table1[[#This Row],[Salary_before]]</f>
        <v>-2914.5599999999977</v>
      </c>
      <c r="L746" s="11">
        <v>-2.3199999999999998E-2</v>
      </c>
      <c r="M746" s="11">
        <v>-4.5999999999999999E-2</v>
      </c>
      <c r="N746">
        <v>39.14</v>
      </c>
      <c r="O746">
        <v>58.56</v>
      </c>
      <c r="P746">
        <v>2</v>
      </c>
      <c r="Q746" t="s">
        <v>25</v>
      </c>
      <c r="R746">
        <v>33.195</v>
      </c>
      <c r="S746">
        <v>2.3199999999999998</v>
      </c>
      <c r="T746" s="4">
        <v>25.937999999999999</v>
      </c>
      <c r="U746" s="4">
        <v>31.183199999999999</v>
      </c>
      <c r="V746" t="str">
        <f>IF(Table1[[#This Row],[ai_disruption_intensity]]&gt;70,"High",
IF(Table1[[#This Row],[ai_disruption_intensity]]&gt;40,"Medium","Low"))</f>
        <v>Low</v>
      </c>
      <c r="W746" t="str">
        <f>IF(Table1[[#This Row],[skill_gap_index]]&gt;70,"Large Gap",
IF(Table1[[#This Row],[skill_gap_index]]&gt;40,"Medium Gap","Small Gap"))</f>
        <v>Small Gap</v>
      </c>
      <c r="X746" s="3" t="str">
        <f>IF(Table1[[#This Row],[automation_risk_percent]]&gt;0.7,"Highly Automatable",
IF(Table1[[#This Row],[automation_risk_percent]]&gt;0.4,"Moderate Risk","Safe Job"))</f>
        <v>Moderate Risk</v>
      </c>
    </row>
    <row r="747" spans="1:24" x14ac:dyDescent="0.3">
      <c r="A747">
        <v>2685</v>
      </c>
      <c r="B747" t="s">
        <v>22</v>
      </c>
      <c r="C747" t="s">
        <v>33</v>
      </c>
      <c r="D747" t="s">
        <v>24</v>
      </c>
      <c r="E747" s="1">
        <v>2026</v>
      </c>
      <c r="F747" s="11">
        <v>0.3705</v>
      </c>
      <c r="G747">
        <v>37.58</v>
      </c>
      <c r="H747">
        <v>64.89</v>
      </c>
      <c r="I747" s="2">
        <v>71737.16</v>
      </c>
      <c r="J747" s="2">
        <v>70132.62</v>
      </c>
      <c r="K747" s="2">
        <f>Table1[[#This Row],[Salary_after]]-Table1[[#This Row],[Salary_before]]</f>
        <v>-1604.5400000000081</v>
      </c>
      <c r="L747" s="11">
        <v>-2.2400000000000003E-2</v>
      </c>
      <c r="M747" s="11">
        <v>-0.13619999999999999</v>
      </c>
      <c r="N747">
        <v>29.34</v>
      </c>
      <c r="O747">
        <v>28.42</v>
      </c>
      <c r="P747">
        <v>5</v>
      </c>
      <c r="Q747" t="s">
        <v>25</v>
      </c>
      <c r="R747">
        <v>50.97</v>
      </c>
      <c r="S747">
        <v>2.2400000000000002</v>
      </c>
      <c r="T747" s="4">
        <v>34.958999999999897</v>
      </c>
      <c r="U747" s="4">
        <v>10.52961</v>
      </c>
      <c r="V747" t="str">
        <f>IF(Table1[[#This Row],[ai_disruption_intensity]]&gt;70,"High",
IF(Table1[[#This Row],[ai_disruption_intensity]]&gt;40,"Medium","Low"))</f>
        <v>Low</v>
      </c>
      <c r="W747" t="str">
        <f>IF(Table1[[#This Row],[skill_gap_index]]&gt;70,"Large Gap",
IF(Table1[[#This Row],[skill_gap_index]]&gt;40,"Medium Gap","Small Gap"))</f>
        <v>Medium Gap</v>
      </c>
      <c r="X747" s="3" t="str">
        <f>IF(Table1[[#This Row],[automation_risk_percent]]&gt;0.7,"Highly Automatable",
IF(Table1[[#This Row],[automation_risk_percent]]&gt;0.4,"Moderate Risk","Safe Job"))</f>
        <v>Safe Job</v>
      </c>
    </row>
    <row r="748" spans="1:24" x14ac:dyDescent="0.3">
      <c r="A748">
        <v>2686</v>
      </c>
      <c r="B748" t="s">
        <v>26</v>
      </c>
      <c r="C748" t="s">
        <v>38</v>
      </c>
      <c r="D748" t="s">
        <v>36</v>
      </c>
      <c r="E748" s="1">
        <v>2026</v>
      </c>
      <c r="F748" s="11">
        <v>0.05</v>
      </c>
      <c r="G748">
        <v>4.6100000000000003</v>
      </c>
      <c r="H748">
        <v>32.07</v>
      </c>
      <c r="I748" s="2">
        <v>145419.98000000001</v>
      </c>
      <c r="J748" s="2">
        <v>165193.31</v>
      </c>
      <c r="K748" s="2">
        <f>Table1[[#This Row],[Salary_after]]-Table1[[#This Row],[Salary_before]]</f>
        <v>19773.329999999987</v>
      </c>
      <c r="L748" s="11">
        <v>0.13600000000000001</v>
      </c>
      <c r="M748" s="11">
        <v>9.2499999999999999E-2</v>
      </c>
      <c r="N748">
        <v>14.08</v>
      </c>
      <c r="O748">
        <v>10.65</v>
      </c>
      <c r="P748">
        <v>3</v>
      </c>
      <c r="Q748" t="s">
        <v>21</v>
      </c>
      <c r="R748">
        <v>18.535</v>
      </c>
      <c r="S748">
        <v>13.6</v>
      </c>
      <c r="T748" s="4">
        <v>15.701000000000001</v>
      </c>
      <c r="U748" s="4">
        <v>0.53249999999999997</v>
      </c>
      <c r="V748" t="str">
        <f>IF(Table1[[#This Row],[ai_disruption_intensity]]&gt;70,"High",
IF(Table1[[#This Row],[ai_disruption_intensity]]&gt;40,"Medium","Low"))</f>
        <v>Low</v>
      </c>
      <c r="W748" t="str">
        <f>IF(Table1[[#This Row],[skill_gap_index]]&gt;70,"Large Gap",
IF(Table1[[#This Row],[skill_gap_index]]&gt;40,"Medium Gap","Small Gap"))</f>
        <v>Small Gap</v>
      </c>
      <c r="X748" s="3" t="str">
        <f>IF(Table1[[#This Row],[automation_risk_percent]]&gt;0.7,"Highly Automatable",
IF(Table1[[#This Row],[automation_risk_percent]]&gt;0.4,"Moderate Risk","Safe Job"))</f>
        <v>Safe Job</v>
      </c>
    </row>
    <row r="749" spans="1:24" x14ac:dyDescent="0.3">
      <c r="A749">
        <v>2689</v>
      </c>
      <c r="B749" t="s">
        <v>44</v>
      </c>
      <c r="C749" t="s">
        <v>27</v>
      </c>
      <c r="D749" t="s">
        <v>47</v>
      </c>
      <c r="E749" s="1">
        <v>2026</v>
      </c>
      <c r="F749" s="11">
        <v>0.73260000000000003</v>
      </c>
      <c r="G749">
        <v>61.49</v>
      </c>
      <c r="H749">
        <v>10.48</v>
      </c>
      <c r="I749" s="2">
        <v>125568</v>
      </c>
      <c r="J749" s="2">
        <v>140765.79</v>
      </c>
      <c r="K749" s="2">
        <f>Table1[[#This Row],[Salary_after]]-Table1[[#This Row],[Salary_before]]</f>
        <v>15197.790000000008</v>
      </c>
      <c r="L749" s="11">
        <v>0.121</v>
      </c>
      <c r="M749" s="11">
        <v>1.26E-2</v>
      </c>
      <c r="N749">
        <v>21.39</v>
      </c>
      <c r="O749">
        <v>67.180000000000007</v>
      </c>
      <c r="P749">
        <v>1</v>
      </c>
      <c r="Q749" t="s">
        <v>37</v>
      </c>
      <c r="R749">
        <v>41.87</v>
      </c>
      <c r="S749">
        <v>12.1</v>
      </c>
      <c r="T749" s="4">
        <v>36.078000000000003</v>
      </c>
      <c r="U749" s="4">
        <v>49.216068</v>
      </c>
      <c r="V749" t="str">
        <f>IF(Table1[[#This Row],[ai_disruption_intensity]]&gt;70,"High",
IF(Table1[[#This Row],[ai_disruption_intensity]]&gt;40,"Medium","Low"))</f>
        <v>Medium</v>
      </c>
      <c r="W749" t="str">
        <f>IF(Table1[[#This Row],[skill_gap_index]]&gt;70,"Large Gap",
IF(Table1[[#This Row],[skill_gap_index]]&gt;40,"Medium Gap","Small Gap"))</f>
        <v>Small Gap</v>
      </c>
      <c r="X749" s="3" t="str">
        <f>IF(Table1[[#This Row],[automation_risk_percent]]&gt;0.7,"Highly Automatable",
IF(Table1[[#This Row],[automation_risk_percent]]&gt;0.4,"Moderate Risk","Safe Job"))</f>
        <v>Highly Automatable</v>
      </c>
    </row>
    <row r="750" spans="1:24" x14ac:dyDescent="0.3">
      <c r="A750">
        <v>2690</v>
      </c>
      <c r="B750" t="s">
        <v>26</v>
      </c>
      <c r="C750" t="s">
        <v>19</v>
      </c>
      <c r="D750" t="s">
        <v>32</v>
      </c>
      <c r="E750" s="1">
        <v>2026</v>
      </c>
      <c r="F750" s="11">
        <v>0.05</v>
      </c>
      <c r="G750">
        <v>4.22</v>
      </c>
      <c r="H750">
        <v>35.090000000000003</v>
      </c>
      <c r="I750" s="2">
        <v>40032.269999999997</v>
      </c>
      <c r="J750" s="2">
        <v>36813.93</v>
      </c>
      <c r="K750" s="2">
        <f>Table1[[#This Row],[Salary_after]]-Table1[[#This Row],[Salary_before]]</f>
        <v>-3218.3399999999965</v>
      </c>
      <c r="L750" s="11">
        <v>-8.0399999999999985E-2</v>
      </c>
      <c r="M750" s="11">
        <v>0.1298</v>
      </c>
      <c r="N750">
        <v>57.09</v>
      </c>
      <c r="O750">
        <v>18.420000000000002</v>
      </c>
      <c r="P750">
        <v>3</v>
      </c>
      <c r="Q750" t="s">
        <v>21</v>
      </c>
      <c r="R750">
        <v>20.045000000000002</v>
      </c>
      <c r="S750">
        <v>8.0399999999999991</v>
      </c>
      <c r="T750" s="4">
        <v>14.939</v>
      </c>
      <c r="U750" s="4">
        <v>0.92100000000000004</v>
      </c>
      <c r="V750" t="str">
        <f>IF(Table1[[#This Row],[ai_disruption_intensity]]&gt;70,"High",
IF(Table1[[#This Row],[ai_disruption_intensity]]&gt;40,"Medium","Low"))</f>
        <v>Low</v>
      </c>
      <c r="W750" t="str">
        <f>IF(Table1[[#This Row],[skill_gap_index]]&gt;70,"Large Gap",
IF(Table1[[#This Row],[skill_gap_index]]&gt;40,"Medium Gap","Small Gap"))</f>
        <v>Small Gap</v>
      </c>
      <c r="X750" s="3" t="str">
        <f>IF(Table1[[#This Row],[automation_risk_percent]]&gt;0.7,"Highly Automatable",
IF(Table1[[#This Row],[automation_risk_percent]]&gt;0.4,"Moderate Risk","Safe Job"))</f>
        <v>Safe Job</v>
      </c>
    </row>
    <row r="751" spans="1:24" x14ac:dyDescent="0.3">
      <c r="A751">
        <v>2693</v>
      </c>
      <c r="B751" t="s">
        <v>26</v>
      </c>
      <c r="C751" t="s">
        <v>27</v>
      </c>
      <c r="D751" t="s">
        <v>24</v>
      </c>
      <c r="E751" s="1">
        <v>2026</v>
      </c>
      <c r="F751" s="11">
        <v>0.1411</v>
      </c>
      <c r="G751">
        <v>14.96</v>
      </c>
      <c r="H751">
        <v>73.28</v>
      </c>
      <c r="I751" s="2">
        <v>45008.55</v>
      </c>
      <c r="J751" s="2">
        <v>40928.49</v>
      </c>
      <c r="K751" s="2">
        <f>Table1[[#This Row],[Salary_after]]-Table1[[#This Row],[Salary_before]]</f>
        <v>-4080.0600000000049</v>
      </c>
      <c r="L751" s="11">
        <v>-9.0700000000000003E-2</v>
      </c>
      <c r="M751" s="11">
        <v>-2.2499999999999999E-2</v>
      </c>
      <c r="N751">
        <v>44.19</v>
      </c>
      <c r="O751">
        <v>76.34</v>
      </c>
      <c r="P751">
        <v>2</v>
      </c>
      <c r="Q751" t="s">
        <v>21</v>
      </c>
      <c r="R751">
        <v>43.695</v>
      </c>
      <c r="S751">
        <v>9.07</v>
      </c>
      <c r="T751" s="4">
        <v>30.349</v>
      </c>
      <c r="U751" s="4">
        <v>10.771573999999999</v>
      </c>
      <c r="V751" t="str">
        <f>IF(Table1[[#This Row],[ai_disruption_intensity]]&gt;70,"High",
IF(Table1[[#This Row],[ai_disruption_intensity]]&gt;40,"Medium","Low"))</f>
        <v>Low</v>
      </c>
      <c r="W751" t="str">
        <f>IF(Table1[[#This Row],[skill_gap_index]]&gt;70,"Large Gap",
IF(Table1[[#This Row],[skill_gap_index]]&gt;40,"Medium Gap","Small Gap"))</f>
        <v>Large Gap</v>
      </c>
      <c r="X751" s="3" t="str">
        <f>IF(Table1[[#This Row],[automation_risk_percent]]&gt;0.7,"Highly Automatable",
IF(Table1[[#This Row],[automation_risk_percent]]&gt;0.4,"Moderate Risk","Safe Job"))</f>
        <v>Safe Job</v>
      </c>
    </row>
    <row r="752" spans="1:24" x14ac:dyDescent="0.3">
      <c r="A752">
        <v>2696</v>
      </c>
      <c r="B752" t="s">
        <v>26</v>
      </c>
      <c r="C752" t="s">
        <v>40</v>
      </c>
      <c r="D752" t="s">
        <v>28</v>
      </c>
      <c r="E752" s="1">
        <v>2025</v>
      </c>
      <c r="F752" s="11">
        <v>0.33500000000000002</v>
      </c>
      <c r="G752">
        <v>33.659999999999997</v>
      </c>
      <c r="H752">
        <v>40.06</v>
      </c>
      <c r="I752" s="2">
        <v>141581.1</v>
      </c>
      <c r="J752" s="2">
        <v>129549.61</v>
      </c>
      <c r="K752" s="2">
        <f>Table1[[#This Row],[Salary_after]]-Table1[[#This Row],[Salary_before]]</f>
        <v>-12031.490000000005</v>
      </c>
      <c r="L752" s="11">
        <v>-8.5000000000000006E-2</v>
      </c>
      <c r="M752" s="11">
        <v>0.13009999999999999</v>
      </c>
      <c r="N752">
        <v>62.7</v>
      </c>
      <c r="O752">
        <v>68.87</v>
      </c>
      <c r="P752">
        <v>4</v>
      </c>
      <c r="Q752" t="s">
        <v>25</v>
      </c>
      <c r="R752">
        <v>36.78</v>
      </c>
      <c r="S752">
        <v>8.5</v>
      </c>
      <c r="T752" s="4">
        <v>27.968</v>
      </c>
      <c r="U752" s="4">
        <v>23.071449999999999</v>
      </c>
      <c r="V752" t="str">
        <f>IF(Table1[[#This Row],[ai_disruption_intensity]]&gt;70,"High",
IF(Table1[[#This Row],[ai_disruption_intensity]]&gt;40,"Medium","Low"))</f>
        <v>Low</v>
      </c>
      <c r="W752" t="str">
        <f>IF(Table1[[#This Row],[skill_gap_index]]&gt;70,"Large Gap",
IF(Table1[[#This Row],[skill_gap_index]]&gt;40,"Medium Gap","Small Gap"))</f>
        <v>Medium Gap</v>
      </c>
      <c r="X752" s="3" t="str">
        <f>IF(Table1[[#This Row],[automation_risk_percent]]&gt;0.7,"Highly Automatable",
IF(Table1[[#This Row],[automation_risk_percent]]&gt;0.4,"Moderate Risk","Safe Job"))</f>
        <v>Safe Job</v>
      </c>
    </row>
    <row r="753" spans="1:24" x14ac:dyDescent="0.3">
      <c r="A753">
        <v>2697</v>
      </c>
      <c r="B753" t="s">
        <v>29</v>
      </c>
      <c r="C753" t="s">
        <v>40</v>
      </c>
      <c r="D753" t="s">
        <v>36</v>
      </c>
      <c r="E753" s="1">
        <v>2026</v>
      </c>
      <c r="F753" s="11">
        <v>0.34810000000000002</v>
      </c>
      <c r="G753">
        <v>32.840000000000003</v>
      </c>
      <c r="H753">
        <v>90.55</v>
      </c>
      <c r="I753" s="2">
        <v>98060.77</v>
      </c>
      <c r="J753" s="2">
        <v>94265.3</v>
      </c>
      <c r="K753" s="2">
        <f>Table1[[#This Row],[Salary_after]]-Table1[[#This Row],[Salary_before]]</f>
        <v>-3795.4700000000012</v>
      </c>
      <c r="L753" s="11">
        <v>-3.8699999999999998E-2</v>
      </c>
      <c r="M753" s="11">
        <v>2.1000000000000001E-2</v>
      </c>
      <c r="N753">
        <v>56.64</v>
      </c>
      <c r="O753">
        <v>54.77</v>
      </c>
      <c r="P753">
        <v>4</v>
      </c>
      <c r="Q753" t="s">
        <v>25</v>
      </c>
      <c r="R753">
        <v>62.68</v>
      </c>
      <c r="S753">
        <v>3.87</v>
      </c>
      <c r="T753" s="4">
        <v>42.25</v>
      </c>
      <c r="U753" s="4">
        <v>19.065436999999999</v>
      </c>
      <c r="V753" t="str">
        <f>IF(Table1[[#This Row],[ai_disruption_intensity]]&gt;70,"High",
IF(Table1[[#This Row],[ai_disruption_intensity]]&gt;40,"Medium","Low"))</f>
        <v>Low</v>
      </c>
      <c r="W753" t="str">
        <f>IF(Table1[[#This Row],[skill_gap_index]]&gt;70,"Large Gap",
IF(Table1[[#This Row],[skill_gap_index]]&gt;40,"Medium Gap","Small Gap"))</f>
        <v>Large Gap</v>
      </c>
      <c r="X753" s="3" t="str">
        <f>IF(Table1[[#This Row],[automation_risk_percent]]&gt;0.7,"Highly Automatable",
IF(Table1[[#This Row],[automation_risk_percent]]&gt;0.4,"Moderate Risk","Safe Job"))</f>
        <v>Safe Job</v>
      </c>
    </row>
    <row r="754" spans="1:24" x14ac:dyDescent="0.3">
      <c r="A754">
        <v>2703</v>
      </c>
      <c r="B754" t="s">
        <v>46</v>
      </c>
      <c r="C754" t="s">
        <v>38</v>
      </c>
      <c r="D754" t="s">
        <v>31</v>
      </c>
      <c r="E754" s="1">
        <v>2025</v>
      </c>
      <c r="F754" s="11">
        <v>0.27699999999999997</v>
      </c>
      <c r="G754">
        <v>29.43</v>
      </c>
      <c r="H754">
        <v>82.84</v>
      </c>
      <c r="I754" s="2">
        <v>124983.73</v>
      </c>
      <c r="J754" s="2">
        <v>114225.9</v>
      </c>
      <c r="K754" s="2">
        <f>Table1[[#This Row],[Salary_after]]-Table1[[#This Row],[Salary_before]]</f>
        <v>-10757.830000000002</v>
      </c>
      <c r="L754" s="11">
        <v>-8.6099999999999996E-2</v>
      </c>
      <c r="M754" s="11">
        <v>0.18539999999999998</v>
      </c>
      <c r="N754">
        <v>21.01</v>
      </c>
      <c r="O754">
        <v>21.68</v>
      </c>
      <c r="P754">
        <v>2</v>
      </c>
      <c r="Q754" t="s">
        <v>21</v>
      </c>
      <c r="R754">
        <v>55.27</v>
      </c>
      <c r="S754">
        <v>8.61</v>
      </c>
      <c r="T754" s="4">
        <v>38.515000000000001</v>
      </c>
      <c r="U754" s="4">
        <v>6.0053599999999996</v>
      </c>
      <c r="V754" t="str">
        <f>IF(Table1[[#This Row],[ai_disruption_intensity]]&gt;70,"High",
IF(Table1[[#This Row],[ai_disruption_intensity]]&gt;40,"Medium","Low"))</f>
        <v>Low</v>
      </c>
      <c r="W754" t="str">
        <f>IF(Table1[[#This Row],[skill_gap_index]]&gt;70,"Large Gap",
IF(Table1[[#This Row],[skill_gap_index]]&gt;40,"Medium Gap","Small Gap"))</f>
        <v>Large Gap</v>
      </c>
      <c r="X754" s="3" t="str">
        <f>IF(Table1[[#This Row],[automation_risk_percent]]&gt;0.7,"Highly Automatable",
IF(Table1[[#This Row],[automation_risk_percent]]&gt;0.4,"Moderate Risk","Safe Job"))</f>
        <v>Safe Job</v>
      </c>
    </row>
    <row r="755" spans="1:24" x14ac:dyDescent="0.3">
      <c r="A755">
        <v>2708</v>
      </c>
      <c r="B755" t="s">
        <v>44</v>
      </c>
      <c r="C755" t="s">
        <v>27</v>
      </c>
      <c r="D755" t="s">
        <v>36</v>
      </c>
      <c r="E755" s="1">
        <v>2025</v>
      </c>
      <c r="F755" s="11">
        <v>0.25519999999999998</v>
      </c>
      <c r="G755">
        <v>24.54</v>
      </c>
      <c r="H755">
        <v>97.56</v>
      </c>
      <c r="I755" s="2">
        <v>102932.79</v>
      </c>
      <c r="J755" s="2">
        <v>100227.21</v>
      </c>
      <c r="K755" s="2">
        <f>Table1[[#This Row],[Salary_after]]-Table1[[#This Row],[Salary_before]]</f>
        <v>-2705.5799999999872</v>
      </c>
      <c r="L755" s="11">
        <v>-2.63E-2</v>
      </c>
      <c r="M755" s="11">
        <v>0.19739999999999999</v>
      </c>
      <c r="N755">
        <v>57.88</v>
      </c>
      <c r="O755">
        <v>42.9</v>
      </c>
      <c r="P755">
        <v>5</v>
      </c>
      <c r="Q755" t="s">
        <v>21</v>
      </c>
      <c r="R755">
        <v>61.54</v>
      </c>
      <c r="S755">
        <v>2.63</v>
      </c>
      <c r="T755" s="4">
        <v>40.265000000000001</v>
      </c>
      <c r="U755" s="4">
        <v>10.948079999999999</v>
      </c>
      <c r="V755" t="str">
        <f>IF(Table1[[#This Row],[ai_disruption_intensity]]&gt;70,"High",
IF(Table1[[#This Row],[ai_disruption_intensity]]&gt;40,"Medium","Low"))</f>
        <v>Low</v>
      </c>
      <c r="W755" t="str">
        <f>IF(Table1[[#This Row],[skill_gap_index]]&gt;70,"Large Gap",
IF(Table1[[#This Row],[skill_gap_index]]&gt;40,"Medium Gap","Small Gap"))</f>
        <v>Large Gap</v>
      </c>
      <c r="X755" s="3" t="str">
        <f>IF(Table1[[#This Row],[automation_risk_percent]]&gt;0.7,"Highly Automatable",
IF(Table1[[#This Row],[automation_risk_percent]]&gt;0.4,"Moderate Risk","Safe Job"))</f>
        <v>Safe Job</v>
      </c>
    </row>
    <row r="756" spans="1:24" x14ac:dyDescent="0.3">
      <c r="A756">
        <v>2715</v>
      </c>
      <c r="B756" t="s">
        <v>44</v>
      </c>
      <c r="C756" t="s">
        <v>38</v>
      </c>
      <c r="D756" t="s">
        <v>28</v>
      </c>
      <c r="E756" s="1">
        <v>2026</v>
      </c>
      <c r="F756" s="11">
        <v>0.75419999999999998</v>
      </c>
      <c r="G756">
        <v>69.06</v>
      </c>
      <c r="H756">
        <v>72.62</v>
      </c>
      <c r="I756" s="2">
        <v>117703.3</v>
      </c>
      <c r="J756" s="2">
        <v>120449.17</v>
      </c>
      <c r="K756" s="2">
        <f>Table1[[#This Row],[Salary_after]]-Table1[[#This Row],[Salary_before]]</f>
        <v>2745.8699999999953</v>
      </c>
      <c r="L756" s="11">
        <v>2.3300000000000001E-2</v>
      </c>
      <c r="M756" s="11">
        <v>3.39E-2</v>
      </c>
      <c r="N756">
        <v>54.21</v>
      </c>
      <c r="O756">
        <v>67.89</v>
      </c>
      <c r="P756">
        <v>4</v>
      </c>
      <c r="Q756" t="s">
        <v>37</v>
      </c>
      <c r="R756">
        <v>74.02</v>
      </c>
      <c r="S756">
        <v>2.33</v>
      </c>
      <c r="T756" s="4">
        <v>52.652999999999999</v>
      </c>
      <c r="U756" s="4">
        <v>51.202638</v>
      </c>
      <c r="V756" t="str">
        <f>IF(Table1[[#This Row],[ai_disruption_intensity]]&gt;70,"High",
IF(Table1[[#This Row],[ai_disruption_intensity]]&gt;40,"Medium","Low"))</f>
        <v>Medium</v>
      </c>
      <c r="W756" t="str">
        <f>IF(Table1[[#This Row],[skill_gap_index]]&gt;70,"Large Gap",
IF(Table1[[#This Row],[skill_gap_index]]&gt;40,"Medium Gap","Small Gap"))</f>
        <v>Large Gap</v>
      </c>
      <c r="X756" s="3" t="str">
        <f>IF(Table1[[#This Row],[automation_risk_percent]]&gt;0.7,"Highly Automatable",
IF(Table1[[#This Row],[automation_risk_percent]]&gt;0.4,"Moderate Risk","Safe Job"))</f>
        <v>Highly Automatable</v>
      </c>
    </row>
    <row r="757" spans="1:24" x14ac:dyDescent="0.3">
      <c r="A757">
        <v>2717</v>
      </c>
      <c r="B757" t="s">
        <v>22</v>
      </c>
      <c r="C757" t="s">
        <v>34</v>
      </c>
      <c r="D757" t="s">
        <v>28</v>
      </c>
      <c r="E757" s="1">
        <v>2026</v>
      </c>
      <c r="F757" s="11">
        <v>0.1032</v>
      </c>
      <c r="G757">
        <v>10.94</v>
      </c>
      <c r="H757">
        <v>42.21</v>
      </c>
      <c r="I757" s="2">
        <v>71003.8</v>
      </c>
      <c r="J757" s="2">
        <v>70037.460000000006</v>
      </c>
      <c r="K757" s="2">
        <f>Table1[[#This Row],[Salary_after]]-Table1[[#This Row],[Salary_before]]</f>
        <v>-966.33999999999651</v>
      </c>
      <c r="L757" s="11">
        <v>-1.3600000000000001E-2</v>
      </c>
      <c r="M757" s="11">
        <v>3.0200000000000001E-2</v>
      </c>
      <c r="N757">
        <v>30.14</v>
      </c>
      <c r="O757">
        <v>93.54</v>
      </c>
      <c r="P757">
        <v>5</v>
      </c>
      <c r="Q757" t="s">
        <v>21</v>
      </c>
      <c r="R757">
        <v>26.265000000000001</v>
      </c>
      <c r="S757">
        <v>1.36</v>
      </c>
      <c r="T757" s="4">
        <v>17.199000000000002</v>
      </c>
      <c r="U757" s="4">
        <v>9.6533280000000001</v>
      </c>
      <c r="V757" t="str">
        <f>IF(Table1[[#This Row],[ai_disruption_intensity]]&gt;70,"High",
IF(Table1[[#This Row],[ai_disruption_intensity]]&gt;40,"Medium","Low"))</f>
        <v>Low</v>
      </c>
      <c r="W757" t="str">
        <f>IF(Table1[[#This Row],[skill_gap_index]]&gt;70,"Large Gap",
IF(Table1[[#This Row],[skill_gap_index]]&gt;40,"Medium Gap","Small Gap"))</f>
        <v>Medium Gap</v>
      </c>
      <c r="X757" s="3" t="str">
        <f>IF(Table1[[#This Row],[automation_risk_percent]]&gt;0.7,"Highly Automatable",
IF(Table1[[#This Row],[automation_risk_percent]]&gt;0.4,"Moderate Risk","Safe Job"))</f>
        <v>Safe Job</v>
      </c>
    </row>
    <row r="758" spans="1:24" x14ac:dyDescent="0.3">
      <c r="A758">
        <v>2724</v>
      </c>
      <c r="B758" t="s">
        <v>39</v>
      </c>
      <c r="C758" t="s">
        <v>33</v>
      </c>
      <c r="D758" t="s">
        <v>28</v>
      </c>
      <c r="E758" s="1">
        <v>2025</v>
      </c>
      <c r="F758" s="11">
        <v>0.27460000000000001</v>
      </c>
      <c r="G758">
        <v>25.62</v>
      </c>
      <c r="H758">
        <v>96.59</v>
      </c>
      <c r="I758" s="2">
        <v>58875.03</v>
      </c>
      <c r="J758" s="2">
        <v>59908.53</v>
      </c>
      <c r="K758" s="2">
        <f>Table1[[#This Row],[Salary_after]]-Table1[[#This Row],[Salary_before]]</f>
        <v>1033.5</v>
      </c>
      <c r="L758" s="11">
        <v>1.7600000000000001E-2</v>
      </c>
      <c r="M758" s="11">
        <v>0.1376</v>
      </c>
      <c r="N758">
        <v>21.1</v>
      </c>
      <c r="O758">
        <v>46.73</v>
      </c>
      <c r="P758">
        <v>4</v>
      </c>
      <c r="Q758" t="s">
        <v>21</v>
      </c>
      <c r="R758">
        <v>62.024999999999999</v>
      </c>
      <c r="S758">
        <v>1.76</v>
      </c>
      <c r="T758" s="4">
        <v>40.488999999999997</v>
      </c>
      <c r="U758" s="4">
        <v>12.832058</v>
      </c>
      <c r="V758" t="str">
        <f>IF(Table1[[#This Row],[ai_disruption_intensity]]&gt;70,"High",
IF(Table1[[#This Row],[ai_disruption_intensity]]&gt;40,"Medium","Low"))</f>
        <v>Low</v>
      </c>
      <c r="W758" t="str">
        <f>IF(Table1[[#This Row],[skill_gap_index]]&gt;70,"Large Gap",
IF(Table1[[#This Row],[skill_gap_index]]&gt;40,"Medium Gap","Small Gap"))</f>
        <v>Large Gap</v>
      </c>
      <c r="X758" s="3" t="str">
        <f>IF(Table1[[#This Row],[automation_risk_percent]]&gt;0.7,"Highly Automatable",
IF(Table1[[#This Row],[automation_risk_percent]]&gt;0.4,"Moderate Risk","Safe Job"))</f>
        <v>Safe Job</v>
      </c>
    </row>
    <row r="759" spans="1:24" x14ac:dyDescent="0.3">
      <c r="A759">
        <v>2727</v>
      </c>
      <c r="B759" t="s">
        <v>39</v>
      </c>
      <c r="C759" t="s">
        <v>40</v>
      </c>
      <c r="D759" t="s">
        <v>24</v>
      </c>
      <c r="E759" s="1">
        <v>2026</v>
      </c>
      <c r="F759" s="11">
        <v>0.56799999999999995</v>
      </c>
      <c r="G759">
        <v>55.12</v>
      </c>
      <c r="H759">
        <v>98.81</v>
      </c>
      <c r="I759" s="2">
        <v>48387.88</v>
      </c>
      <c r="J759" s="2">
        <v>58897.69</v>
      </c>
      <c r="K759" s="2">
        <f>Table1[[#This Row],[Salary_after]]-Table1[[#This Row],[Salary_before]]</f>
        <v>10509.810000000005</v>
      </c>
      <c r="L759" s="11">
        <v>0.21719999999999998</v>
      </c>
      <c r="M759" s="11">
        <v>1.46E-2</v>
      </c>
      <c r="N759">
        <v>15</v>
      </c>
      <c r="O759">
        <v>71.7</v>
      </c>
      <c r="P759">
        <v>5</v>
      </c>
      <c r="Q759" t="s">
        <v>25</v>
      </c>
      <c r="R759">
        <v>77.805000000000007</v>
      </c>
      <c r="S759">
        <v>21.72</v>
      </c>
      <c r="T759" s="4">
        <v>58.878999999999998</v>
      </c>
      <c r="U759" s="4">
        <v>40.7256</v>
      </c>
      <c r="V759" t="str">
        <f>IF(Table1[[#This Row],[ai_disruption_intensity]]&gt;70,"High",
IF(Table1[[#This Row],[ai_disruption_intensity]]&gt;40,"Medium","Low"))</f>
        <v>Medium</v>
      </c>
      <c r="W759" t="str">
        <f>IF(Table1[[#This Row],[skill_gap_index]]&gt;70,"Large Gap",
IF(Table1[[#This Row],[skill_gap_index]]&gt;40,"Medium Gap","Small Gap"))</f>
        <v>Large Gap</v>
      </c>
      <c r="X759" s="3" t="str">
        <f>IF(Table1[[#This Row],[automation_risk_percent]]&gt;0.7,"Highly Automatable",
IF(Table1[[#This Row],[automation_risk_percent]]&gt;0.4,"Moderate Risk","Safe Job"))</f>
        <v>Moderate Risk</v>
      </c>
    </row>
    <row r="760" spans="1:24" x14ac:dyDescent="0.3">
      <c r="A760">
        <v>2730</v>
      </c>
      <c r="B760" t="s">
        <v>43</v>
      </c>
      <c r="C760" t="s">
        <v>30</v>
      </c>
      <c r="D760" t="s">
        <v>47</v>
      </c>
      <c r="E760" s="1">
        <v>2025</v>
      </c>
      <c r="F760" s="11">
        <v>0.54170000000000007</v>
      </c>
      <c r="G760">
        <v>52.4</v>
      </c>
      <c r="H760">
        <v>39.630000000000003</v>
      </c>
      <c r="I760" s="2">
        <v>112831.51</v>
      </c>
      <c r="J760" s="2">
        <v>113652.95</v>
      </c>
      <c r="K760" s="2">
        <f>Table1[[#This Row],[Salary_after]]-Table1[[#This Row],[Salary_before]]</f>
        <v>821.44000000000233</v>
      </c>
      <c r="L760" s="11">
        <v>7.3000000000000001E-3</v>
      </c>
      <c r="M760" s="11">
        <v>0.22109999999999999</v>
      </c>
      <c r="N760">
        <v>97.23</v>
      </c>
      <c r="O760">
        <v>95.57</v>
      </c>
      <c r="P760">
        <v>3</v>
      </c>
      <c r="Q760" t="s">
        <v>25</v>
      </c>
      <c r="R760">
        <v>46.9</v>
      </c>
      <c r="S760">
        <v>0.73</v>
      </c>
      <c r="T760" s="4">
        <v>33.776000000000003</v>
      </c>
      <c r="U760" s="4">
        <v>51.770268999999999</v>
      </c>
      <c r="V760" t="str">
        <f>IF(Table1[[#This Row],[ai_disruption_intensity]]&gt;70,"High",
IF(Table1[[#This Row],[ai_disruption_intensity]]&gt;40,"Medium","Low"))</f>
        <v>Medium</v>
      </c>
      <c r="W760" t="str">
        <f>IF(Table1[[#This Row],[skill_gap_index]]&gt;70,"Large Gap",
IF(Table1[[#This Row],[skill_gap_index]]&gt;40,"Medium Gap","Small Gap"))</f>
        <v>Small Gap</v>
      </c>
      <c r="X760" s="3" t="str">
        <f>IF(Table1[[#This Row],[automation_risk_percent]]&gt;0.7,"Highly Automatable",
IF(Table1[[#This Row],[automation_risk_percent]]&gt;0.4,"Moderate Risk","Safe Job"))</f>
        <v>Moderate Risk</v>
      </c>
    </row>
    <row r="761" spans="1:24" x14ac:dyDescent="0.3">
      <c r="A761">
        <v>2732</v>
      </c>
      <c r="B761" t="s">
        <v>26</v>
      </c>
      <c r="C761" t="s">
        <v>38</v>
      </c>
      <c r="D761" t="s">
        <v>31</v>
      </c>
      <c r="E761" s="1">
        <v>2026</v>
      </c>
      <c r="F761" s="11">
        <v>0.5504</v>
      </c>
      <c r="G761">
        <v>47.55</v>
      </c>
      <c r="H761">
        <v>35.840000000000003</v>
      </c>
      <c r="I761" s="2">
        <v>57984.59</v>
      </c>
      <c r="J761" s="2">
        <v>62381.24</v>
      </c>
      <c r="K761" s="2">
        <f>Table1[[#This Row],[Salary_after]]-Table1[[#This Row],[Salary_before]]</f>
        <v>4396.6500000000015</v>
      </c>
      <c r="L761" s="11">
        <v>7.5800000000000006E-2</v>
      </c>
      <c r="M761" s="11">
        <v>-0.1255</v>
      </c>
      <c r="N761">
        <v>42.83</v>
      </c>
      <c r="O761">
        <v>56.07</v>
      </c>
      <c r="P761">
        <v>2</v>
      </c>
      <c r="Q761" t="s">
        <v>25</v>
      </c>
      <c r="R761">
        <v>45.44</v>
      </c>
      <c r="S761">
        <v>7.58</v>
      </c>
      <c r="T761" s="4">
        <v>35.042000000000002</v>
      </c>
      <c r="U761" s="4">
        <v>30.860927999999902</v>
      </c>
      <c r="V761" t="str">
        <f>IF(Table1[[#This Row],[ai_disruption_intensity]]&gt;70,"High",
IF(Table1[[#This Row],[ai_disruption_intensity]]&gt;40,"Medium","Low"))</f>
        <v>Low</v>
      </c>
      <c r="W761" t="str">
        <f>IF(Table1[[#This Row],[skill_gap_index]]&gt;70,"Large Gap",
IF(Table1[[#This Row],[skill_gap_index]]&gt;40,"Medium Gap","Small Gap"))</f>
        <v>Small Gap</v>
      </c>
      <c r="X761" s="3" t="str">
        <f>IF(Table1[[#This Row],[automation_risk_percent]]&gt;0.7,"Highly Automatable",
IF(Table1[[#This Row],[automation_risk_percent]]&gt;0.4,"Moderate Risk","Safe Job"))</f>
        <v>Moderate Risk</v>
      </c>
    </row>
    <row r="762" spans="1:24" x14ac:dyDescent="0.3">
      <c r="A762">
        <v>2741</v>
      </c>
      <c r="B762" t="s">
        <v>22</v>
      </c>
      <c r="C762" t="s">
        <v>40</v>
      </c>
      <c r="D762" t="s">
        <v>36</v>
      </c>
      <c r="E762" s="1">
        <v>2025</v>
      </c>
      <c r="F762" s="11">
        <v>0.13600000000000001</v>
      </c>
      <c r="G762">
        <v>13.75</v>
      </c>
      <c r="H762">
        <v>10.74</v>
      </c>
      <c r="I762" s="2">
        <v>54089.06</v>
      </c>
      <c r="J762" s="2">
        <v>54048.15</v>
      </c>
      <c r="K762" s="2">
        <f>Table1[[#This Row],[Salary_after]]-Table1[[#This Row],[Salary_before]]</f>
        <v>-40.909999999996217</v>
      </c>
      <c r="L762" s="11">
        <v>-8.0000000000000004E-4</v>
      </c>
      <c r="M762" s="11">
        <v>0.1444</v>
      </c>
      <c r="N762">
        <v>78.27</v>
      </c>
      <c r="O762">
        <v>6.44</v>
      </c>
      <c r="P762">
        <v>5</v>
      </c>
      <c r="Q762" t="s">
        <v>21</v>
      </c>
      <c r="R762">
        <v>12.17</v>
      </c>
      <c r="S762">
        <v>0.08</v>
      </c>
      <c r="T762" s="4">
        <v>8.6859999999999999</v>
      </c>
      <c r="U762" s="4">
        <v>0.87583999999999995</v>
      </c>
      <c r="V762" t="str">
        <f>IF(Table1[[#This Row],[ai_disruption_intensity]]&gt;70,"High",
IF(Table1[[#This Row],[ai_disruption_intensity]]&gt;40,"Medium","Low"))</f>
        <v>Low</v>
      </c>
      <c r="W762" t="str">
        <f>IF(Table1[[#This Row],[skill_gap_index]]&gt;70,"Large Gap",
IF(Table1[[#This Row],[skill_gap_index]]&gt;40,"Medium Gap","Small Gap"))</f>
        <v>Small Gap</v>
      </c>
      <c r="X762" s="3" t="str">
        <f>IF(Table1[[#This Row],[automation_risk_percent]]&gt;0.7,"Highly Automatable",
IF(Table1[[#This Row],[automation_risk_percent]]&gt;0.4,"Moderate Risk","Safe Job"))</f>
        <v>Safe Job</v>
      </c>
    </row>
    <row r="763" spans="1:24" x14ac:dyDescent="0.3">
      <c r="A763">
        <v>2748</v>
      </c>
      <c r="B763" t="s">
        <v>22</v>
      </c>
      <c r="C763" t="s">
        <v>23</v>
      </c>
      <c r="D763" t="s">
        <v>42</v>
      </c>
      <c r="E763" s="1">
        <v>2025</v>
      </c>
      <c r="F763" s="11">
        <v>0.4083</v>
      </c>
      <c r="G763">
        <v>38.5</v>
      </c>
      <c r="H763">
        <v>73.63</v>
      </c>
      <c r="I763" s="2">
        <v>107010.25</v>
      </c>
      <c r="J763" s="2">
        <v>114346.43</v>
      </c>
      <c r="K763" s="2">
        <f>Table1[[#This Row],[Salary_after]]-Table1[[#This Row],[Salary_before]]</f>
        <v>7336.179999999993</v>
      </c>
      <c r="L763" s="11">
        <v>6.8600000000000008E-2</v>
      </c>
      <c r="M763" s="11">
        <v>0.10550000000000001</v>
      </c>
      <c r="N763">
        <v>93.07</v>
      </c>
      <c r="O763">
        <v>43.09</v>
      </c>
      <c r="P763">
        <v>4</v>
      </c>
      <c r="Q763" t="s">
        <v>25</v>
      </c>
      <c r="R763">
        <v>57.23</v>
      </c>
      <c r="S763">
        <v>6.86</v>
      </c>
      <c r="T763" s="4">
        <v>40.478999999999999</v>
      </c>
      <c r="U763" s="4">
        <v>17.593647000000001</v>
      </c>
      <c r="V763" t="str">
        <f>IF(Table1[[#This Row],[ai_disruption_intensity]]&gt;70,"High",
IF(Table1[[#This Row],[ai_disruption_intensity]]&gt;40,"Medium","Low"))</f>
        <v>Low</v>
      </c>
      <c r="W763" t="str">
        <f>IF(Table1[[#This Row],[skill_gap_index]]&gt;70,"Large Gap",
IF(Table1[[#This Row],[skill_gap_index]]&gt;40,"Medium Gap","Small Gap"))</f>
        <v>Large Gap</v>
      </c>
      <c r="X763" s="3" t="str">
        <f>IF(Table1[[#This Row],[automation_risk_percent]]&gt;0.7,"Highly Automatable",
IF(Table1[[#This Row],[automation_risk_percent]]&gt;0.4,"Moderate Risk","Safe Job"))</f>
        <v>Moderate Risk</v>
      </c>
    </row>
    <row r="764" spans="1:24" x14ac:dyDescent="0.3">
      <c r="A764">
        <v>2750</v>
      </c>
      <c r="B764" t="s">
        <v>18</v>
      </c>
      <c r="C764" t="s">
        <v>38</v>
      </c>
      <c r="D764" t="s">
        <v>36</v>
      </c>
      <c r="E764" s="1">
        <v>2026</v>
      </c>
      <c r="F764" s="11">
        <v>0.61260000000000003</v>
      </c>
      <c r="G764">
        <v>68.03</v>
      </c>
      <c r="H764">
        <v>6.72</v>
      </c>
      <c r="I764" s="2">
        <v>54594.92</v>
      </c>
      <c r="J764" s="2">
        <v>43613.2</v>
      </c>
      <c r="K764" s="2">
        <f>Table1[[#This Row],[Salary_after]]-Table1[[#This Row],[Salary_before]]</f>
        <v>-10981.720000000001</v>
      </c>
      <c r="L764" s="11">
        <v>-0.2011</v>
      </c>
      <c r="M764" s="11">
        <v>0.1429</v>
      </c>
      <c r="N764">
        <v>14</v>
      </c>
      <c r="O764">
        <v>36.909999999999997</v>
      </c>
      <c r="P764">
        <v>1</v>
      </c>
      <c r="Q764" t="s">
        <v>37</v>
      </c>
      <c r="R764">
        <v>33.99</v>
      </c>
      <c r="S764">
        <v>20.11</v>
      </c>
      <c r="T764" s="4">
        <v>32.552999999999997</v>
      </c>
      <c r="U764" s="4">
        <v>22.611065999999902</v>
      </c>
      <c r="V764" t="str">
        <f>IF(Table1[[#This Row],[ai_disruption_intensity]]&gt;70,"High",
IF(Table1[[#This Row],[ai_disruption_intensity]]&gt;40,"Medium","Low"))</f>
        <v>Low</v>
      </c>
      <c r="W764" t="str">
        <f>IF(Table1[[#This Row],[skill_gap_index]]&gt;70,"Large Gap",
IF(Table1[[#This Row],[skill_gap_index]]&gt;40,"Medium Gap","Small Gap"))</f>
        <v>Small Gap</v>
      </c>
      <c r="X764" s="3" t="str">
        <f>IF(Table1[[#This Row],[automation_risk_percent]]&gt;0.7,"Highly Automatable",
IF(Table1[[#This Row],[automation_risk_percent]]&gt;0.4,"Moderate Risk","Safe Job"))</f>
        <v>Moderate Risk</v>
      </c>
    </row>
    <row r="765" spans="1:24" x14ac:dyDescent="0.3">
      <c r="A765">
        <v>2756</v>
      </c>
      <c r="B765" t="s">
        <v>39</v>
      </c>
      <c r="C765" t="s">
        <v>23</v>
      </c>
      <c r="D765" t="s">
        <v>31</v>
      </c>
      <c r="E765" s="1">
        <v>2025</v>
      </c>
      <c r="F765" s="11">
        <v>0.36030000000000001</v>
      </c>
      <c r="G765">
        <v>31.2</v>
      </c>
      <c r="H765">
        <v>20.92</v>
      </c>
      <c r="I765" s="2">
        <v>108824.8</v>
      </c>
      <c r="J765" s="2">
        <v>91706.559999999998</v>
      </c>
      <c r="K765" s="2">
        <f>Table1[[#This Row],[Salary_after]]-Table1[[#This Row],[Salary_before]]</f>
        <v>-17118.240000000005</v>
      </c>
      <c r="L765" s="11">
        <v>-0.1573</v>
      </c>
      <c r="M765" s="11">
        <v>5.6299999999999996E-2</v>
      </c>
      <c r="N765">
        <v>46.26</v>
      </c>
      <c r="O765">
        <v>37.32</v>
      </c>
      <c r="P765">
        <v>3</v>
      </c>
      <c r="Q765" t="s">
        <v>25</v>
      </c>
      <c r="R765">
        <v>28.475000000000001</v>
      </c>
      <c r="S765">
        <v>15.73</v>
      </c>
      <c r="T765" s="4">
        <v>25.407</v>
      </c>
      <c r="U765" s="4">
        <v>13.446396</v>
      </c>
      <c r="V765" t="str">
        <f>IF(Table1[[#This Row],[ai_disruption_intensity]]&gt;70,"High",
IF(Table1[[#This Row],[ai_disruption_intensity]]&gt;40,"Medium","Low"))</f>
        <v>Low</v>
      </c>
      <c r="W765" t="str">
        <f>IF(Table1[[#This Row],[skill_gap_index]]&gt;70,"Large Gap",
IF(Table1[[#This Row],[skill_gap_index]]&gt;40,"Medium Gap","Small Gap"))</f>
        <v>Small Gap</v>
      </c>
      <c r="X765" s="3" t="str">
        <f>IF(Table1[[#This Row],[automation_risk_percent]]&gt;0.7,"Highly Automatable",
IF(Table1[[#This Row],[automation_risk_percent]]&gt;0.4,"Moderate Risk","Safe Job"))</f>
        <v>Safe Job</v>
      </c>
    </row>
    <row r="766" spans="1:24" x14ac:dyDescent="0.3">
      <c r="A766">
        <v>2757</v>
      </c>
      <c r="B766" t="s">
        <v>45</v>
      </c>
      <c r="C766" t="s">
        <v>38</v>
      </c>
      <c r="D766" t="s">
        <v>24</v>
      </c>
      <c r="E766" s="1">
        <v>2026</v>
      </c>
      <c r="F766" s="11">
        <v>0.79120000000000001</v>
      </c>
      <c r="G766">
        <v>90.3</v>
      </c>
      <c r="H766">
        <v>38.799999999999997</v>
      </c>
      <c r="I766" s="2">
        <v>139669.99</v>
      </c>
      <c r="J766" s="2">
        <v>157624.38</v>
      </c>
      <c r="K766" s="2">
        <f>Table1[[#This Row],[Salary_after]]-Table1[[#This Row],[Salary_before]]</f>
        <v>17954.390000000014</v>
      </c>
      <c r="L766" s="11">
        <v>0.1285</v>
      </c>
      <c r="M766" s="11">
        <v>-7.0499999999999993E-2</v>
      </c>
      <c r="N766">
        <v>97</v>
      </c>
      <c r="O766">
        <v>39.03</v>
      </c>
      <c r="P766">
        <v>4</v>
      </c>
      <c r="Q766" t="s">
        <v>37</v>
      </c>
      <c r="R766">
        <v>58.96</v>
      </c>
      <c r="S766">
        <v>12.85</v>
      </c>
      <c r="T766" s="4">
        <v>47.143000000000001</v>
      </c>
      <c r="U766" s="4">
        <v>30.880535999999999</v>
      </c>
      <c r="V766" t="str">
        <f>IF(Table1[[#This Row],[ai_disruption_intensity]]&gt;70,"High",
IF(Table1[[#This Row],[ai_disruption_intensity]]&gt;40,"Medium","Low"))</f>
        <v>Low</v>
      </c>
      <c r="W766" t="str">
        <f>IF(Table1[[#This Row],[skill_gap_index]]&gt;70,"Large Gap",
IF(Table1[[#This Row],[skill_gap_index]]&gt;40,"Medium Gap","Small Gap"))</f>
        <v>Small Gap</v>
      </c>
      <c r="X766" s="3" t="str">
        <f>IF(Table1[[#This Row],[automation_risk_percent]]&gt;0.7,"Highly Automatable",
IF(Table1[[#This Row],[automation_risk_percent]]&gt;0.4,"Moderate Risk","Safe Job"))</f>
        <v>Highly Automatable</v>
      </c>
    </row>
    <row r="767" spans="1:24" x14ac:dyDescent="0.3">
      <c r="A767">
        <v>2758</v>
      </c>
      <c r="B767" t="s">
        <v>41</v>
      </c>
      <c r="C767" t="s">
        <v>40</v>
      </c>
      <c r="D767" t="s">
        <v>35</v>
      </c>
      <c r="E767" s="1">
        <v>2026</v>
      </c>
      <c r="F767" s="11">
        <v>0.72589999999999999</v>
      </c>
      <c r="G767">
        <v>66.67</v>
      </c>
      <c r="H767">
        <v>26.63</v>
      </c>
      <c r="I767" s="2">
        <v>98898.8</v>
      </c>
      <c r="J767" s="2">
        <v>98525.54</v>
      </c>
      <c r="K767" s="2">
        <f>Table1[[#This Row],[Salary_after]]-Table1[[#This Row],[Salary_before]]</f>
        <v>-373.26000000000931</v>
      </c>
      <c r="L767" s="11">
        <v>-3.8E-3</v>
      </c>
      <c r="M767" s="11">
        <v>8.8599999999999998E-2</v>
      </c>
      <c r="N767">
        <v>94.39</v>
      </c>
      <c r="O767">
        <v>91.44</v>
      </c>
      <c r="P767">
        <v>4</v>
      </c>
      <c r="Q767" t="s">
        <v>37</v>
      </c>
      <c r="R767">
        <v>49.61</v>
      </c>
      <c r="S767">
        <v>0.38</v>
      </c>
      <c r="T767" s="4">
        <v>37.138999999999903</v>
      </c>
      <c r="U767" s="4">
        <v>66.376295999999996</v>
      </c>
      <c r="V767" t="str">
        <f>IF(Table1[[#This Row],[ai_disruption_intensity]]&gt;70,"High",
IF(Table1[[#This Row],[ai_disruption_intensity]]&gt;40,"Medium","Low"))</f>
        <v>Medium</v>
      </c>
      <c r="W767" t="str">
        <f>IF(Table1[[#This Row],[skill_gap_index]]&gt;70,"Large Gap",
IF(Table1[[#This Row],[skill_gap_index]]&gt;40,"Medium Gap","Small Gap"))</f>
        <v>Small Gap</v>
      </c>
      <c r="X767" s="3" t="str">
        <f>IF(Table1[[#This Row],[automation_risk_percent]]&gt;0.7,"Highly Automatable",
IF(Table1[[#This Row],[automation_risk_percent]]&gt;0.4,"Moderate Risk","Safe Job"))</f>
        <v>Highly Automatable</v>
      </c>
    </row>
    <row r="768" spans="1:24" x14ac:dyDescent="0.3">
      <c r="A768">
        <v>2760</v>
      </c>
      <c r="B768" t="s">
        <v>45</v>
      </c>
      <c r="C768" t="s">
        <v>23</v>
      </c>
      <c r="D768" t="s">
        <v>42</v>
      </c>
      <c r="E768" s="1">
        <v>2025</v>
      </c>
      <c r="F768" s="11">
        <v>0.44670000000000004</v>
      </c>
      <c r="G768">
        <v>52.37</v>
      </c>
      <c r="H768">
        <v>89.66</v>
      </c>
      <c r="I768" s="2">
        <v>70485.7</v>
      </c>
      <c r="J768" s="2">
        <v>83817.759999999995</v>
      </c>
      <c r="K768" s="2">
        <f>Table1[[#This Row],[Salary_after]]-Table1[[#This Row],[Salary_before]]</f>
        <v>13332.059999999998</v>
      </c>
      <c r="L768" s="11">
        <v>0.18909999999999999</v>
      </c>
      <c r="M768" s="11">
        <v>8.0100000000000005E-2</v>
      </c>
      <c r="N768">
        <v>40.6</v>
      </c>
      <c r="O768">
        <v>6.49</v>
      </c>
      <c r="P768">
        <v>2</v>
      </c>
      <c r="Q768" t="s">
        <v>25</v>
      </c>
      <c r="R768">
        <v>67.164999999999907</v>
      </c>
      <c r="S768">
        <v>18.91</v>
      </c>
      <c r="T768" s="4">
        <v>50.439</v>
      </c>
      <c r="U768" s="4">
        <v>2.8990830000000001</v>
      </c>
      <c r="V768" t="str">
        <f>IF(Table1[[#This Row],[ai_disruption_intensity]]&gt;70,"High",
IF(Table1[[#This Row],[ai_disruption_intensity]]&gt;40,"Medium","Low"))</f>
        <v>Low</v>
      </c>
      <c r="W768" t="str">
        <f>IF(Table1[[#This Row],[skill_gap_index]]&gt;70,"Large Gap",
IF(Table1[[#This Row],[skill_gap_index]]&gt;40,"Medium Gap","Small Gap"))</f>
        <v>Large Gap</v>
      </c>
      <c r="X768" s="3" t="str">
        <f>IF(Table1[[#This Row],[automation_risk_percent]]&gt;0.7,"Highly Automatable",
IF(Table1[[#This Row],[automation_risk_percent]]&gt;0.4,"Moderate Risk","Safe Job"))</f>
        <v>Moderate Risk</v>
      </c>
    </row>
    <row r="769" spans="1:24" x14ac:dyDescent="0.3">
      <c r="A769">
        <v>2765</v>
      </c>
      <c r="B769" t="s">
        <v>26</v>
      </c>
      <c r="C769" t="s">
        <v>23</v>
      </c>
      <c r="D769" t="s">
        <v>20</v>
      </c>
      <c r="E769" s="1">
        <v>2025</v>
      </c>
      <c r="F769" s="11">
        <v>0.4919</v>
      </c>
      <c r="G769">
        <v>58.34</v>
      </c>
      <c r="H769">
        <v>45.36</v>
      </c>
      <c r="I769" s="2">
        <v>105892.27</v>
      </c>
      <c r="J769" s="2">
        <v>93402.09</v>
      </c>
      <c r="K769" s="2">
        <f>Table1[[#This Row],[Salary_after]]-Table1[[#This Row],[Salary_before]]</f>
        <v>-12490.180000000008</v>
      </c>
      <c r="L769" s="11">
        <v>-0.11800000000000001</v>
      </c>
      <c r="M769" s="11">
        <v>6.3200000000000006E-2</v>
      </c>
      <c r="N769">
        <v>51.51</v>
      </c>
      <c r="O769">
        <v>54.48</v>
      </c>
      <c r="P769">
        <v>5</v>
      </c>
      <c r="Q769" t="s">
        <v>25</v>
      </c>
      <c r="R769">
        <v>47.274999999999999</v>
      </c>
      <c r="S769">
        <v>11.8</v>
      </c>
      <c r="T769" s="4">
        <v>36.823999999999998</v>
      </c>
      <c r="U769" s="4">
        <v>26.798711999999899</v>
      </c>
      <c r="V769" t="str">
        <f>IF(Table1[[#This Row],[ai_disruption_intensity]]&gt;70,"High",
IF(Table1[[#This Row],[ai_disruption_intensity]]&gt;40,"Medium","Low"))</f>
        <v>Low</v>
      </c>
      <c r="W769" t="str">
        <f>IF(Table1[[#This Row],[skill_gap_index]]&gt;70,"Large Gap",
IF(Table1[[#This Row],[skill_gap_index]]&gt;40,"Medium Gap","Small Gap"))</f>
        <v>Medium Gap</v>
      </c>
      <c r="X769" s="3" t="str">
        <f>IF(Table1[[#This Row],[automation_risk_percent]]&gt;0.7,"Highly Automatable",
IF(Table1[[#This Row],[automation_risk_percent]]&gt;0.4,"Moderate Risk","Safe Job"))</f>
        <v>Moderate Risk</v>
      </c>
    </row>
    <row r="770" spans="1:24" x14ac:dyDescent="0.3">
      <c r="A770">
        <v>2767</v>
      </c>
      <c r="B770" t="s">
        <v>29</v>
      </c>
      <c r="C770" t="s">
        <v>27</v>
      </c>
      <c r="D770" t="s">
        <v>42</v>
      </c>
      <c r="E770" s="1">
        <v>2025</v>
      </c>
      <c r="F770" s="11">
        <v>0.26530000000000004</v>
      </c>
      <c r="G770">
        <v>25.95</v>
      </c>
      <c r="H770">
        <v>98.84</v>
      </c>
      <c r="I770" s="2">
        <v>110412.82</v>
      </c>
      <c r="J770" s="2">
        <v>105222.91</v>
      </c>
      <c r="K770" s="2">
        <f>Table1[[#This Row],[Salary_after]]-Table1[[#This Row],[Salary_before]]</f>
        <v>-5189.9100000000035</v>
      </c>
      <c r="L770" s="11">
        <v>-4.7E-2</v>
      </c>
      <c r="M770" s="11">
        <v>8.2100000000000006E-2</v>
      </c>
      <c r="N770">
        <v>52.58</v>
      </c>
      <c r="O770">
        <v>28.62</v>
      </c>
      <c r="P770">
        <v>2</v>
      </c>
      <c r="Q770" t="s">
        <v>21</v>
      </c>
      <c r="R770">
        <v>62.685000000000002</v>
      </c>
      <c r="S770">
        <v>4.7</v>
      </c>
      <c r="T770" s="4">
        <v>41.673999999999999</v>
      </c>
      <c r="U770" s="4">
        <v>7.592886</v>
      </c>
      <c r="V770" t="str">
        <f>IF(Table1[[#This Row],[ai_disruption_intensity]]&gt;70,"High",
IF(Table1[[#This Row],[ai_disruption_intensity]]&gt;40,"Medium","Low"))</f>
        <v>Low</v>
      </c>
      <c r="W770" t="str">
        <f>IF(Table1[[#This Row],[skill_gap_index]]&gt;70,"Large Gap",
IF(Table1[[#This Row],[skill_gap_index]]&gt;40,"Medium Gap","Small Gap"))</f>
        <v>Large Gap</v>
      </c>
      <c r="X770" s="3" t="str">
        <f>IF(Table1[[#This Row],[automation_risk_percent]]&gt;0.7,"Highly Automatable",
IF(Table1[[#This Row],[automation_risk_percent]]&gt;0.4,"Moderate Risk","Safe Job"))</f>
        <v>Safe Job</v>
      </c>
    </row>
    <row r="771" spans="1:24" x14ac:dyDescent="0.3">
      <c r="A771">
        <v>2772</v>
      </c>
      <c r="B771" t="s">
        <v>26</v>
      </c>
      <c r="C771" t="s">
        <v>33</v>
      </c>
      <c r="D771" t="s">
        <v>20</v>
      </c>
      <c r="E771" s="1">
        <v>2025</v>
      </c>
      <c r="F771" s="11">
        <v>0.05</v>
      </c>
      <c r="G771">
        <v>4.95</v>
      </c>
      <c r="H771">
        <v>5.73</v>
      </c>
      <c r="I771" s="2">
        <v>116216.91</v>
      </c>
      <c r="J771" s="2">
        <v>102270.93</v>
      </c>
      <c r="K771" s="2">
        <f>Table1[[#This Row],[Salary_after]]-Table1[[#This Row],[Salary_before]]</f>
        <v>-13945.98000000001</v>
      </c>
      <c r="L771" s="11">
        <v>-0.12</v>
      </c>
      <c r="M771" s="11">
        <v>-1.1000000000000001E-3</v>
      </c>
      <c r="N771">
        <v>59.04</v>
      </c>
      <c r="O771">
        <v>97.38</v>
      </c>
      <c r="P771">
        <v>4</v>
      </c>
      <c r="Q771" t="s">
        <v>21</v>
      </c>
      <c r="R771">
        <v>5.3650000000000002</v>
      </c>
      <c r="S771">
        <v>12</v>
      </c>
      <c r="T771" s="4">
        <v>7.319</v>
      </c>
      <c r="U771" s="4">
        <v>4.8689999999999998</v>
      </c>
      <c r="V771" t="str">
        <f>IF(Table1[[#This Row],[ai_disruption_intensity]]&gt;70,"High",
IF(Table1[[#This Row],[ai_disruption_intensity]]&gt;40,"Medium","Low"))</f>
        <v>Low</v>
      </c>
      <c r="W771" t="str">
        <f>IF(Table1[[#This Row],[skill_gap_index]]&gt;70,"Large Gap",
IF(Table1[[#This Row],[skill_gap_index]]&gt;40,"Medium Gap","Small Gap"))</f>
        <v>Small Gap</v>
      </c>
      <c r="X771" s="3" t="str">
        <f>IF(Table1[[#This Row],[automation_risk_percent]]&gt;0.7,"Highly Automatable",
IF(Table1[[#This Row],[automation_risk_percent]]&gt;0.4,"Moderate Risk","Safe Job"))</f>
        <v>Safe Job</v>
      </c>
    </row>
    <row r="772" spans="1:24" x14ac:dyDescent="0.3">
      <c r="A772">
        <v>2774</v>
      </c>
      <c r="B772" t="s">
        <v>22</v>
      </c>
      <c r="C772" t="s">
        <v>30</v>
      </c>
      <c r="D772" t="s">
        <v>28</v>
      </c>
      <c r="E772" s="1">
        <v>2025</v>
      </c>
      <c r="F772" s="11">
        <v>0.75870000000000004</v>
      </c>
      <c r="G772">
        <v>69.23</v>
      </c>
      <c r="H772">
        <v>92.68</v>
      </c>
      <c r="I772" s="2">
        <v>145654.89000000001</v>
      </c>
      <c r="J772" s="2">
        <v>147994.26999999999</v>
      </c>
      <c r="K772" s="2">
        <f>Table1[[#This Row],[Salary_after]]-Table1[[#This Row],[Salary_before]]</f>
        <v>2339.3799999999756</v>
      </c>
      <c r="L772" s="11">
        <v>1.61E-2</v>
      </c>
      <c r="M772" s="11">
        <v>4.82E-2</v>
      </c>
      <c r="N772">
        <v>53.97</v>
      </c>
      <c r="O772">
        <v>55.04</v>
      </c>
      <c r="P772">
        <v>1</v>
      </c>
      <c r="Q772" t="s">
        <v>37</v>
      </c>
      <c r="R772">
        <v>84.275000000000006</v>
      </c>
      <c r="S772">
        <v>1.61</v>
      </c>
      <c r="T772" s="4">
        <v>58.634999999999998</v>
      </c>
      <c r="U772" s="4">
        <v>41.758848</v>
      </c>
      <c r="V772" t="str">
        <f>IF(Table1[[#This Row],[ai_disruption_intensity]]&gt;70,"High",
IF(Table1[[#This Row],[ai_disruption_intensity]]&gt;40,"Medium","Low"))</f>
        <v>Medium</v>
      </c>
      <c r="W772" t="str">
        <f>IF(Table1[[#This Row],[skill_gap_index]]&gt;70,"Large Gap",
IF(Table1[[#This Row],[skill_gap_index]]&gt;40,"Medium Gap","Small Gap"))</f>
        <v>Large Gap</v>
      </c>
      <c r="X772" s="3" t="str">
        <f>IF(Table1[[#This Row],[automation_risk_percent]]&gt;0.7,"Highly Automatable",
IF(Table1[[#This Row],[automation_risk_percent]]&gt;0.4,"Moderate Risk","Safe Job"))</f>
        <v>Highly Automatable</v>
      </c>
    </row>
    <row r="773" spans="1:24" x14ac:dyDescent="0.3">
      <c r="A773">
        <v>2776</v>
      </c>
      <c r="B773" t="s">
        <v>46</v>
      </c>
      <c r="C773" t="s">
        <v>23</v>
      </c>
      <c r="D773" t="s">
        <v>36</v>
      </c>
      <c r="E773" s="1">
        <v>2025</v>
      </c>
      <c r="F773" s="11">
        <v>0.1802</v>
      </c>
      <c r="G773">
        <v>20.82</v>
      </c>
      <c r="H773">
        <v>32.68</v>
      </c>
      <c r="I773" s="2">
        <v>97997.61</v>
      </c>
      <c r="J773" s="2">
        <v>91070.61</v>
      </c>
      <c r="K773" s="2">
        <f>Table1[[#This Row],[Salary_after]]-Table1[[#This Row],[Salary_before]]</f>
        <v>-6927</v>
      </c>
      <c r="L773" s="11">
        <v>-7.0699999999999999E-2</v>
      </c>
      <c r="M773" s="11">
        <v>3.3000000000000002E-2</v>
      </c>
      <c r="N773">
        <v>42.66</v>
      </c>
      <c r="O773">
        <v>40.81</v>
      </c>
      <c r="P773">
        <v>5</v>
      </c>
      <c r="Q773" t="s">
        <v>21</v>
      </c>
      <c r="R773">
        <v>25.35</v>
      </c>
      <c r="S773">
        <v>7.07</v>
      </c>
      <c r="T773" s="4">
        <v>19.132999999999999</v>
      </c>
      <c r="U773" s="4">
        <v>7.3539620000000001</v>
      </c>
      <c r="V773" t="str">
        <f>IF(Table1[[#This Row],[ai_disruption_intensity]]&gt;70,"High",
IF(Table1[[#This Row],[ai_disruption_intensity]]&gt;40,"Medium","Low"))</f>
        <v>Low</v>
      </c>
      <c r="W773" t="str">
        <f>IF(Table1[[#This Row],[skill_gap_index]]&gt;70,"Large Gap",
IF(Table1[[#This Row],[skill_gap_index]]&gt;40,"Medium Gap","Small Gap"))</f>
        <v>Small Gap</v>
      </c>
      <c r="X773" s="3" t="str">
        <f>IF(Table1[[#This Row],[automation_risk_percent]]&gt;0.7,"Highly Automatable",
IF(Table1[[#This Row],[automation_risk_percent]]&gt;0.4,"Moderate Risk","Safe Job"))</f>
        <v>Safe Job</v>
      </c>
    </row>
    <row r="774" spans="1:24" x14ac:dyDescent="0.3">
      <c r="A774">
        <v>2779</v>
      </c>
      <c r="B774" t="s">
        <v>39</v>
      </c>
      <c r="C774" t="s">
        <v>27</v>
      </c>
      <c r="D774" t="s">
        <v>24</v>
      </c>
      <c r="E774" s="1">
        <v>2026</v>
      </c>
      <c r="F774" s="11">
        <v>0.14419999999999999</v>
      </c>
      <c r="G774">
        <v>16.66</v>
      </c>
      <c r="H774">
        <v>93.1</v>
      </c>
      <c r="I774" s="2">
        <v>100412.45</v>
      </c>
      <c r="J774" s="2">
        <v>96719.92</v>
      </c>
      <c r="K774" s="2">
        <f>Table1[[#This Row],[Salary_after]]-Table1[[#This Row],[Salary_before]]</f>
        <v>-3692.5299999999988</v>
      </c>
      <c r="L774" s="11">
        <v>-3.6799999999999999E-2</v>
      </c>
      <c r="M774" s="11">
        <v>8.9600000000000013E-2</v>
      </c>
      <c r="N774">
        <v>91.15</v>
      </c>
      <c r="O774">
        <v>50.64</v>
      </c>
      <c r="P774">
        <v>4</v>
      </c>
      <c r="Q774" t="s">
        <v>21</v>
      </c>
      <c r="R774">
        <v>53.76</v>
      </c>
      <c r="S774">
        <v>3.68</v>
      </c>
      <c r="T774" s="4">
        <v>34.8019999999999</v>
      </c>
      <c r="U774" s="4">
        <v>7.3022879999999999</v>
      </c>
      <c r="V774" t="str">
        <f>IF(Table1[[#This Row],[ai_disruption_intensity]]&gt;70,"High",
IF(Table1[[#This Row],[ai_disruption_intensity]]&gt;40,"Medium","Low"))</f>
        <v>Low</v>
      </c>
      <c r="W774" t="str">
        <f>IF(Table1[[#This Row],[skill_gap_index]]&gt;70,"Large Gap",
IF(Table1[[#This Row],[skill_gap_index]]&gt;40,"Medium Gap","Small Gap"))</f>
        <v>Large Gap</v>
      </c>
      <c r="X774" s="3" t="str">
        <f>IF(Table1[[#This Row],[automation_risk_percent]]&gt;0.7,"Highly Automatable",
IF(Table1[[#This Row],[automation_risk_percent]]&gt;0.4,"Moderate Risk","Safe Job"))</f>
        <v>Safe Job</v>
      </c>
    </row>
    <row r="775" spans="1:24" x14ac:dyDescent="0.3">
      <c r="A775">
        <v>2781</v>
      </c>
      <c r="B775" t="s">
        <v>41</v>
      </c>
      <c r="C775" t="s">
        <v>40</v>
      </c>
      <c r="D775" t="s">
        <v>24</v>
      </c>
      <c r="E775" s="1">
        <v>2026</v>
      </c>
      <c r="F775" s="11">
        <v>0.94609999999999994</v>
      </c>
      <c r="G775">
        <v>84.6</v>
      </c>
      <c r="H775">
        <v>23.92</v>
      </c>
      <c r="I775" s="2">
        <v>112414.68</v>
      </c>
      <c r="J775" s="2">
        <v>108827.32</v>
      </c>
      <c r="K775" s="2">
        <f>Table1[[#This Row],[Salary_after]]-Table1[[#This Row],[Salary_before]]</f>
        <v>-3587.359999999986</v>
      </c>
      <c r="L775" s="11">
        <v>-3.1899999999999998E-2</v>
      </c>
      <c r="M775" s="11">
        <v>0.1515</v>
      </c>
      <c r="N775">
        <v>88.81</v>
      </c>
      <c r="O775">
        <v>34.01</v>
      </c>
      <c r="P775">
        <v>3</v>
      </c>
      <c r="Q775" t="s">
        <v>37</v>
      </c>
      <c r="R775">
        <v>59.265000000000001</v>
      </c>
      <c r="S775">
        <v>3.19</v>
      </c>
      <c r="T775" s="4">
        <v>45.976999999999997</v>
      </c>
      <c r="U775" s="4">
        <v>32.176861000000002</v>
      </c>
      <c r="V775" t="str">
        <f>IF(Table1[[#This Row],[ai_disruption_intensity]]&gt;70,"High",
IF(Table1[[#This Row],[ai_disruption_intensity]]&gt;40,"Medium","Low"))</f>
        <v>Low</v>
      </c>
      <c r="W775" t="str">
        <f>IF(Table1[[#This Row],[skill_gap_index]]&gt;70,"Large Gap",
IF(Table1[[#This Row],[skill_gap_index]]&gt;40,"Medium Gap","Small Gap"))</f>
        <v>Small Gap</v>
      </c>
      <c r="X775" s="3" t="str">
        <f>IF(Table1[[#This Row],[automation_risk_percent]]&gt;0.7,"Highly Automatable",
IF(Table1[[#This Row],[automation_risk_percent]]&gt;0.4,"Moderate Risk","Safe Job"))</f>
        <v>Highly Automatable</v>
      </c>
    </row>
    <row r="776" spans="1:24" x14ac:dyDescent="0.3">
      <c r="A776">
        <v>2783</v>
      </c>
      <c r="B776" t="s">
        <v>22</v>
      </c>
      <c r="C776" t="s">
        <v>19</v>
      </c>
      <c r="D776" t="s">
        <v>20</v>
      </c>
      <c r="E776" s="1">
        <v>2026</v>
      </c>
      <c r="F776" s="11">
        <v>0.41909999999999997</v>
      </c>
      <c r="G776">
        <v>42.88</v>
      </c>
      <c r="H776">
        <v>68.62</v>
      </c>
      <c r="I776" s="2">
        <v>58645.64</v>
      </c>
      <c r="J776" s="2">
        <v>61654.42</v>
      </c>
      <c r="K776" s="2">
        <f>Table1[[#This Row],[Salary_after]]-Table1[[#This Row],[Salary_before]]</f>
        <v>3008.7799999999988</v>
      </c>
      <c r="L776" s="11">
        <v>5.1299999999999998E-2</v>
      </c>
      <c r="M776" s="11">
        <v>0.12770000000000001</v>
      </c>
      <c r="N776">
        <v>31.07</v>
      </c>
      <c r="O776">
        <v>97.5</v>
      </c>
      <c r="P776">
        <v>2</v>
      </c>
      <c r="Q776" t="s">
        <v>25</v>
      </c>
      <c r="R776">
        <v>55.265000000000001</v>
      </c>
      <c r="S776">
        <v>5.13</v>
      </c>
      <c r="T776" s="4">
        <v>38.889000000000003</v>
      </c>
      <c r="U776" s="4">
        <v>40.862249999999896</v>
      </c>
      <c r="V776" t="str">
        <f>IF(Table1[[#This Row],[ai_disruption_intensity]]&gt;70,"High",
IF(Table1[[#This Row],[ai_disruption_intensity]]&gt;40,"Medium","Low"))</f>
        <v>Medium</v>
      </c>
      <c r="W776" t="str">
        <f>IF(Table1[[#This Row],[skill_gap_index]]&gt;70,"Large Gap",
IF(Table1[[#This Row],[skill_gap_index]]&gt;40,"Medium Gap","Small Gap"))</f>
        <v>Medium Gap</v>
      </c>
      <c r="X776" s="3" t="str">
        <f>IF(Table1[[#This Row],[automation_risk_percent]]&gt;0.7,"Highly Automatable",
IF(Table1[[#This Row],[automation_risk_percent]]&gt;0.4,"Moderate Risk","Safe Job"))</f>
        <v>Moderate Risk</v>
      </c>
    </row>
    <row r="777" spans="1:24" x14ac:dyDescent="0.3">
      <c r="A777">
        <v>2786</v>
      </c>
      <c r="B777" t="s">
        <v>18</v>
      </c>
      <c r="C777" t="s">
        <v>19</v>
      </c>
      <c r="D777" t="s">
        <v>42</v>
      </c>
      <c r="E777" s="1">
        <v>2025</v>
      </c>
      <c r="F777" s="11">
        <v>0.31409999999999999</v>
      </c>
      <c r="G777">
        <v>32.6</v>
      </c>
      <c r="H777">
        <v>33.26</v>
      </c>
      <c r="I777" s="2">
        <v>117083.72</v>
      </c>
      <c r="J777" s="2">
        <v>104165.96</v>
      </c>
      <c r="K777" s="2">
        <f>Table1[[#This Row],[Salary_after]]-Table1[[#This Row],[Salary_before]]</f>
        <v>-12917.759999999995</v>
      </c>
      <c r="L777" s="11">
        <v>-0.1103</v>
      </c>
      <c r="M777" s="11">
        <v>7.4800000000000005E-2</v>
      </c>
      <c r="N777">
        <v>37.92</v>
      </c>
      <c r="O777">
        <v>22.14</v>
      </c>
      <c r="P777">
        <v>4</v>
      </c>
      <c r="Q777" t="s">
        <v>25</v>
      </c>
      <c r="R777">
        <v>32.335000000000001</v>
      </c>
      <c r="S777">
        <v>11.03</v>
      </c>
      <c r="T777" s="4">
        <v>25.850999999999999</v>
      </c>
      <c r="U777" s="4">
        <v>6.9541740000000001</v>
      </c>
      <c r="V777" t="str">
        <f>IF(Table1[[#This Row],[ai_disruption_intensity]]&gt;70,"High",
IF(Table1[[#This Row],[ai_disruption_intensity]]&gt;40,"Medium","Low"))</f>
        <v>Low</v>
      </c>
      <c r="W777" t="str">
        <f>IF(Table1[[#This Row],[skill_gap_index]]&gt;70,"Large Gap",
IF(Table1[[#This Row],[skill_gap_index]]&gt;40,"Medium Gap","Small Gap"))</f>
        <v>Small Gap</v>
      </c>
      <c r="X777" s="3" t="str">
        <f>IF(Table1[[#This Row],[automation_risk_percent]]&gt;0.7,"Highly Automatable",
IF(Table1[[#This Row],[automation_risk_percent]]&gt;0.4,"Moderate Risk","Safe Job"))</f>
        <v>Safe Job</v>
      </c>
    </row>
    <row r="778" spans="1:24" x14ac:dyDescent="0.3">
      <c r="A778">
        <v>2788</v>
      </c>
      <c r="B778" t="s">
        <v>22</v>
      </c>
      <c r="C778" t="s">
        <v>38</v>
      </c>
      <c r="D778" t="s">
        <v>35</v>
      </c>
      <c r="E778" s="1">
        <v>2025</v>
      </c>
      <c r="F778" s="11">
        <v>0.3649</v>
      </c>
      <c r="G778">
        <v>40.1</v>
      </c>
      <c r="H778">
        <v>88.37</v>
      </c>
      <c r="I778" s="2">
        <v>122016.44</v>
      </c>
      <c r="J778" s="2">
        <v>130499.85</v>
      </c>
      <c r="K778" s="2">
        <f>Table1[[#This Row],[Salary_after]]-Table1[[#This Row],[Salary_before]]</f>
        <v>8483.4100000000035</v>
      </c>
      <c r="L778" s="11">
        <v>6.9500000000000006E-2</v>
      </c>
      <c r="M778" s="11">
        <v>0.16269999999999998</v>
      </c>
      <c r="N778">
        <v>78.400000000000006</v>
      </c>
      <c r="O778">
        <v>97.94</v>
      </c>
      <c r="P778">
        <v>2</v>
      </c>
      <c r="Q778" t="s">
        <v>25</v>
      </c>
      <c r="R778">
        <v>62.43</v>
      </c>
      <c r="S778">
        <v>6.95</v>
      </c>
      <c r="T778" s="4">
        <v>43.192</v>
      </c>
      <c r="U778" s="4">
        <v>35.738306000000001</v>
      </c>
      <c r="V778" t="str">
        <f>IF(Table1[[#This Row],[ai_disruption_intensity]]&gt;70,"High",
IF(Table1[[#This Row],[ai_disruption_intensity]]&gt;40,"Medium","Low"))</f>
        <v>Low</v>
      </c>
      <c r="W778" t="str">
        <f>IF(Table1[[#This Row],[skill_gap_index]]&gt;70,"Large Gap",
IF(Table1[[#This Row],[skill_gap_index]]&gt;40,"Medium Gap","Small Gap"))</f>
        <v>Large Gap</v>
      </c>
      <c r="X778" s="3" t="str">
        <f>IF(Table1[[#This Row],[automation_risk_percent]]&gt;0.7,"Highly Automatable",
IF(Table1[[#This Row],[automation_risk_percent]]&gt;0.4,"Moderate Risk","Safe Job"))</f>
        <v>Safe Job</v>
      </c>
    </row>
    <row r="779" spans="1:24" x14ac:dyDescent="0.3">
      <c r="A779">
        <v>2790</v>
      </c>
      <c r="B779" t="s">
        <v>46</v>
      </c>
      <c r="C779" t="s">
        <v>19</v>
      </c>
      <c r="D779" t="s">
        <v>47</v>
      </c>
      <c r="E779" s="1">
        <v>2025</v>
      </c>
      <c r="F779" s="11">
        <v>0.57540000000000002</v>
      </c>
      <c r="G779">
        <v>55.71</v>
      </c>
      <c r="H779">
        <v>90.01</v>
      </c>
      <c r="I779" s="2">
        <v>39580.67</v>
      </c>
      <c r="J779" s="2">
        <v>40878.959999999999</v>
      </c>
      <c r="K779" s="2">
        <f>Table1[[#This Row],[Salary_after]]-Table1[[#This Row],[Salary_before]]</f>
        <v>1298.2900000000009</v>
      </c>
      <c r="L779" s="11">
        <v>3.2799999999999996E-2</v>
      </c>
      <c r="M779" s="11">
        <v>8.4000000000000005E-2</v>
      </c>
      <c r="N779">
        <v>38.979999999999997</v>
      </c>
      <c r="O779">
        <v>29.87</v>
      </c>
      <c r="P779">
        <v>5</v>
      </c>
      <c r="Q779" t="s">
        <v>25</v>
      </c>
      <c r="R779">
        <v>73.775000000000006</v>
      </c>
      <c r="S779">
        <v>3.28</v>
      </c>
      <c r="T779" s="4">
        <v>51.003</v>
      </c>
      <c r="U779" s="4">
        <v>17.187197999999999</v>
      </c>
      <c r="V779" t="str">
        <f>IF(Table1[[#This Row],[ai_disruption_intensity]]&gt;70,"High",
IF(Table1[[#This Row],[ai_disruption_intensity]]&gt;40,"Medium","Low"))</f>
        <v>Low</v>
      </c>
      <c r="W779" t="str">
        <f>IF(Table1[[#This Row],[skill_gap_index]]&gt;70,"Large Gap",
IF(Table1[[#This Row],[skill_gap_index]]&gt;40,"Medium Gap","Small Gap"))</f>
        <v>Large Gap</v>
      </c>
      <c r="X779" s="3" t="str">
        <f>IF(Table1[[#This Row],[automation_risk_percent]]&gt;0.7,"Highly Automatable",
IF(Table1[[#This Row],[automation_risk_percent]]&gt;0.4,"Moderate Risk","Safe Job"))</f>
        <v>Moderate Risk</v>
      </c>
    </row>
    <row r="780" spans="1:24" x14ac:dyDescent="0.3">
      <c r="A780">
        <v>2793</v>
      </c>
      <c r="B780" t="s">
        <v>39</v>
      </c>
      <c r="C780" t="s">
        <v>38</v>
      </c>
      <c r="D780" t="s">
        <v>42</v>
      </c>
      <c r="E780" s="1">
        <v>2025</v>
      </c>
      <c r="F780" s="11">
        <v>0.55090000000000006</v>
      </c>
      <c r="G780">
        <v>47.99</v>
      </c>
      <c r="H780">
        <v>79.11</v>
      </c>
      <c r="I780" s="2">
        <v>65903.460000000006</v>
      </c>
      <c r="J780" s="2">
        <v>64423.57</v>
      </c>
      <c r="K780" s="2">
        <f>Table1[[#This Row],[Salary_after]]-Table1[[#This Row],[Salary_before]]</f>
        <v>-1479.8900000000067</v>
      </c>
      <c r="L780" s="11">
        <v>-2.2499999999999999E-2</v>
      </c>
      <c r="M780" s="11">
        <v>-5.5800000000000002E-2</v>
      </c>
      <c r="N780">
        <v>18.190000000000001</v>
      </c>
      <c r="O780">
        <v>26.32</v>
      </c>
      <c r="P780">
        <v>2</v>
      </c>
      <c r="Q780" t="s">
        <v>25</v>
      </c>
      <c r="R780">
        <v>67.099999999999994</v>
      </c>
      <c r="S780">
        <v>2.25</v>
      </c>
      <c r="T780" s="4">
        <v>46.444000000000003</v>
      </c>
      <c r="U780" s="4">
        <v>14.499688000000001</v>
      </c>
      <c r="V780" t="str">
        <f>IF(Table1[[#This Row],[ai_disruption_intensity]]&gt;70,"High",
IF(Table1[[#This Row],[ai_disruption_intensity]]&gt;40,"Medium","Low"))</f>
        <v>Low</v>
      </c>
      <c r="W780" t="str">
        <f>IF(Table1[[#This Row],[skill_gap_index]]&gt;70,"Large Gap",
IF(Table1[[#This Row],[skill_gap_index]]&gt;40,"Medium Gap","Small Gap"))</f>
        <v>Large Gap</v>
      </c>
      <c r="X780" s="3" t="str">
        <f>IF(Table1[[#This Row],[automation_risk_percent]]&gt;0.7,"Highly Automatable",
IF(Table1[[#This Row],[automation_risk_percent]]&gt;0.4,"Moderate Risk","Safe Job"))</f>
        <v>Moderate Risk</v>
      </c>
    </row>
    <row r="781" spans="1:24" x14ac:dyDescent="0.3">
      <c r="A781">
        <v>2799</v>
      </c>
      <c r="B781" t="s">
        <v>39</v>
      </c>
      <c r="C781" t="s">
        <v>33</v>
      </c>
      <c r="D781" t="s">
        <v>36</v>
      </c>
      <c r="E781" s="1">
        <v>2025</v>
      </c>
      <c r="F781" s="11">
        <v>0.77989999999999993</v>
      </c>
      <c r="G781">
        <v>89.79</v>
      </c>
      <c r="H781">
        <v>11.84</v>
      </c>
      <c r="I781" s="2">
        <v>70621.64</v>
      </c>
      <c r="J781" s="2">
        <v>65450.14</v>
      </c>
      <c r="K781" s="2">
        <f>Table1[[#This Row],[Salary_after]]-Table1[[#This Row],[Salary_before]]</f>
        <v>-5171.5</v>
      </c>
      <c r="L781" s="11">
        <v>-7.3200000000000001E-2</v>
      </c>
      <c r="M781" s="11">
        <v>-5.3E-3</v>
      </c>
      <c r="N781">
        <v>59.03</v>
      </c>
      <c r="O781">
        <v>55.33</v>
      </c>
      <c r="P781">
        <v>1</v>
      </c>
      <c r="Q781" t="s">
        <v>37</v>
      </c>
      <c r="R781">
        <v>44.914999999999999</v>
      </c>
      <c r="S781">
        <v>7.32</v>
      </c>
      <c r="T781" s="4">
        <v>36.943999999999903</v>
      </c>
      <c r="U781" s="4">
        <v>43.151866999999903</v>
      </c>
      <c r="V781" t="str">
        <f>IF(Table1[[#This Row],[ai_disruption_intensity]]&gt;70,"High",
IF(Table1[[#This Row],[ai_disruption_intensity]]&gt;40,"Medium","Low"))</f>
        <v>Medium</v>
      </c>
      <c r="W781" t="str">
        <f>IF(Table1[[#This Row],[skill_gap_index]]&gt;70,"Large Gap",
IF(Table1[[#This Row],[skill_gap_index]]&gt;40,"Medium Gap","Small Gap"))</f>
        <v>Small Gap</v>
      </c>
      <c r="X781" s="3" t="str">
        <f>IF(Table1[[#This Row],[automation_risk_percent]]&gt;0.7,"Highly Automatable",
IF(Table1[[#This Row],[automation_risk_percent]]&gt;0.4,"Moderate Risk","Safe Job"))</f>
        <v>Highly Automatable</v>
      </c>
    </row>
    <row r="782" spans="1:24" x14ac:dyDescent="0.3">
      <c r="A782">
        <v>2811</v>
      </c>
      <c r="B782" t="s">
        <v>46</v>
      </c>
      <c r="C782" t="s">
        <v>38</v>
      </c>
      <c r="D782" t="s">
        <v>31</v>
      </c>
      <c r="E782" s="1">
        <v>2025</v>
      </c>
      <c r="F782" s="11">
        <v>0.2253</v>
      </c>
      <c r="G782">
        <v>18.72</v>
      </c>
      <c r="H782">
        <v>45.61</v>
      </c>
      <c r="I782" s="2">
        <v>128206.15</v>
      </c>
      <c r="J782" s="2">
        <v>128820.11</v>
      </c>
      <c r="K782" s="2">
        <f>Table1[[#This Row],[Salary_after]]-Table1[[#This Row],[Salary_before]]</f>
        <v>613.9600000000064</v>
      </c>
      <c r="L782" s="11">
        <v>4.7999999999999996E-3</v>
      </c>
      <c r="M782" s="11">
        <v>2.18E-2</v>
      </c>
      <c r="N782">
        <v>89.27</v>
      </c>
      <c r="O782">
        <v>21.75</v>
      </c>
      <c r="P782">
        <v>4</v>
      </c>
      <c r="Q782" t="s">
        <v>21</v>
      </c>
      <c r="R782">
        <v>34.07</v>
      </c>
      <c r="S782">
        <v>0.48</v>
      </c>
      <c r="T782" s="4">
        <v>22.838999999999999</v>
      </c>
      <c r="U782" s="4">
        <v>4.9002749999999997</v>
      </c>
      <c r="V782" t="str">
        <f>IF(Table1[[#This Row],[ai_disruption_intensity]]&gt;70,"High",
IF(Table1[[#This Row],[ai_disruption_intensity]]&gt;40,"Medium","Low"))</f>
        <v>Low</v>
      </c>
      <c r="W782" t="str">
        <f>IF(Table1[[#This Row],[skill_gap_index]]&gt;70,"Large Gap",
IF(Table1[[#This Row],[skill_gap_index]]&gt;40,"Medium Gap","Small Gap"))</f>
        <v>Medium Gap</v>
      </c>
      <c r="X782" s="3" t="str">
        <f>IF(Table1[[#This Row],[automation_risk_percent]]&gt;0.7,"Highly Automatable",
IF(Table1[[#This Row],[automation_risk_percent]]&gt;0.4,"Moderate Risk","Safe Job"))</f>
        <v>Safe Job</v>
      </c>
    </row>
    <row r="783" spans="1:24" x14ac:dyDescent="0.3">
      <c r="A783">
        <v>2813</v>
      </c>
      <c r="B783" t="s">
        <v>18</v>
      </c>
      <c r="C783" t="s">
        <v>19</v>
      </c>
      <c r="D783" t="s">
        <v>42</v>
      </c>
      <c r="E783" s="1">
        <v>2025</v>
      </c>
      <c r="F783" s="11">
        <v>0.38420000000000004</v>
      </c>
      <c r="G783">
        <v>38.950000000000003</v>
      </c>
      <c r="H783">
        <v>95.4</v>
      </c>
      <c r="I783" s="2">
        <v>43585.760000000002</v>
      </c>
      <c r="J783" s="2">
        <v>42517.63</v>
      </c>
      <c r="K783" s="2">
        <f>Table1[[#This Row],[Salary_after]]-Table1[[#This Row],[Salary_before]]</f>
        <v>-1068.1300000000047</v>
      </c>
      <c r="L783" s="11">
        <v>-2.4500000000000001E-2</v>
      </c>
      <c r="M783" s="11">
        <v>-6.0199999999999997E-2</v>
      </c>
      <c r="N783">
        <v>14.47</v>
      </c>
      <c r="O783">
        <v>65.489999999999995</v>
      </c>
      <c r="P783">
        <v>2</v>
      </c>
      <c r="Q783" t="s">
        <v>25</v>
      </c>
      <c r="R783">
        <v>66.91</v>
      </c>
      <c r="S783">
        <v>2.4500000000000002</v>
      </c>
      <c r="T783" s="4">
        <v>44.722999999999999</v>
      </c>
      <c r="U783" s="4">
        <v>25.161257999999901</v>
      </c>
      <c r="V783" t="str">
        <f>IF(Table1[[#This Row],[ai_disruption_intensity]]&gt;70,"High",
IF(Table1[[#This Row],[ai_disruption_intensity]]&gt;40,"Medium","Low"))</f>
        <v>Low</v>
      </c>
      <c r="W783" t="str">
        <f>IF(Table1[[#This Row],[skill_gap_index]]&gt;70,"Large Gap",
IF(Table1[[#This Row],[skill_gap_index]]&gt;40,"Medium Gap","Small Gap"))</f>
        <v>Large Gap</v>
      </c>
      <c r="X783" s="3" t="str">
        <f>IF(Table1[[#This Row],[automation_risk_percent]]&gt;0.7,"Highly Automatable",
IF(Table1[[#This Row],[automation_risk_percent]]&gt;0.4,"Moderate Risk","Safe Job"))</f>
        <v>Safe Job</v>
      </c>
    </row>
    <row r="784" spans="1:24" x14ac:dyDescent="0.3">
      <c r="A784">
        <v>2820</v>
      </c>
      <c r="B784" t="s">
        <v>44</v>
      </c>
      <c r="C784" t="s">
        <v>34</v>
      </c>
      <c r="D784" t="s">
        <v>31</v>
      </c>
      <c r="E784" s="1">
        <v>2026</v>
      </c>
      <c r="F784" s="11">
        <v>0.17120000000000002</v>
      </c>
      <c r="G784">
        <v>18.84</v>
      </c>
      <c r="H784">
        <v>31.22</v>
      </c>
      <c r="I784" s="2">
        <v>116073.79</v>
      </c>
      <c r="J784" s="2">
        <v>113903.54</v>
      </c>
      <c r="K784" s="2">
        <f>Table1[[#This Row],[Salary_after]]-Table1[[#This Row],[Salary_before]]</f>
        <v>-2170.25</v>
      </c>
      <c r="L784" s="11">
        <v>-1.8700000000000001E-2</v>
      </c>
      <c r="M784" s="11">
        <v>-9.0500000000000011E-2</v>
      </c>
      <c r="N784">
        <v>33.880000000000003</v>
      </c>
      <c r="O784">
        <v>45.15</v>
      </c>
      <c r="P784">
        <v>2</v>
      </c>
      <c r="Q784" t="s">
        <v>21</v>
      </c>
      <c r="R784">
        <v>24.17</v>
      </c>
      <c r="S784">
        <v>1.87</v>
      </c>
      <c r="T784" s="4">
        <v>16.774999999999999</v>
      </c>
      <c r="U784" s="4">
        <v>7.7296800000000001</v>
      </c>
      <c r="V784" t="str">
        <f>IF(Table1[[#This Row],[ai_disruption_intensity]]&gt;70,"High",
IF(Table1[[#This Row],[ai_disruption_intensity]]&gt;40,"Medium","Low"))</f>
        <v>Low</v>
      </c>
      <c r="W784" t="str">
        <f>IF(Table1[[#This Row],[skill_gap_index]]&gt;70,"Large Gap",
IF(Table1[[#This Row],[skill_gap_index]]&gt;40,"Medium Gap","Small Gap"))</f>
        <v>Small Gap</v>
      </c>
      <c r="X784" s="3" t="str">
        <f>IF(Table1[[#This Row],[automation_risk_percent]]&gt;0.7,"Highly Automatable",
IF(Table1[[#This Row],[automation_risk_percent]]&gt;0.4,"Moderate Risk","Safe Job"))</f>
        <v>Safe Job</v>
      </c>
    </row>
    <row r="785" spans="1:24" x14ac:dyDescent="0.3">
      <c r="A785">
        <v>2822</v>
      </c>
      <c r="B785" t="s">
        <v>45</v>
      </c>
      <c r="C785" t="s">
        <v>40</v>
      </c>
      <c r="D785" t="s">
        <v>31</v>
      </c>
      <c r="E785" s="1">
        <v>2025</v>
      </c>
      <c r="F785" s="11">
        <v>0.1326</v>
      </c>
      <c r="G785">
        <v>13.83</v>
      </c>
      <c r="H785">
        <v>37.44</v>
      </c>
      <c r="I785" s="2">
        <v>119693.1</v>
      </c>
      <c r="J785" s="2">
        <v>122432.27</v>
      </c>
      <c r="K785" s="2">
        <f>Table1[[#This Row],[Salary_after]]-Table1[[#This Row],[Salary_before]]</f>
        <v>2739.1699999999983</v>
      </c>
      <c r="L785" s="11">
        <v>2.29E-2</v>
      </c>
      <c r="M785" s="11">
        <v>0.1852</v>
      </c>
      <c r="N785">
        <v>10.15</v>
      </c>
      <c r="O785">
        <v>63.64</v>
      </c>
      <c r="P785">
        <v>3</v>
      </c>
      <c r="Q785" t="s">
        <v>21</v>
      </c>
      <c r="R785">
        <v>25.349999999999898</v>
      </c>
      <c r="S785">
        <v>2.29</v>
      </c>
      <c r="T785" s="4">
        <v>17.222999999999999</v>
      </c>
      <c r="U785" s="4">
        <v>8.4386639999999993</v>
      </c>
      <c r="V785" t="str">
        <f>IF(Table1[[#This Row],[ai_disruption_intensity]]&gt;70,"High",
IF(Table1[[#This Row],[ai_disruption_intensity]]&gt;40,"Medium","Low"))</f>
        <v>Low</v>
      </c>
      <c r="W785" t="str">
        <f>IF(Table1[[#This Row],[skill_gap_index]]&gt;70,"Large Gap",
IF(Table1[[#This Row],[skill_gap_index]]&gt;40,"Medium Gap","Small Gap"))</f>
        <v>Small Gap</v>
      </c>
      <c r="X785" s="3" t="str">
        <f>IF(Table1[[#This Row],[automation_risk_percent]]&gt;0.7,"Highly Automatable",
IF(Table1[[#This Row],[automation_risk_percent]]&gt;0.4,"Moderate Risk","Safe Job"))</f>
        <v>Safe Job</v>
      </c>
    </row>
    <row r="786" spans="1:24" x14ac:dyDescent="0.3">
      <c r="A786">
        <v>2824</v>
      </c>
      <c r="B786" t="s">
        <v>29</v>
      </c>
      <c r="C786" t="s">
        <v>38</v>
      </c>
      <c r="D786" t="s">
        <v>32</v>
      </c>
      <c r="E786" s="1">
        <v>2026</v>
      </c>
      <c r="F786" s="11">
        <v>0.91489999999999994</v>
      </c>
      <c r="G786">
        <v>95.46</v>
      </c>
      <c r="H786">
        <v>30.33</v>
      </c>
      <c r="I786" s="2">
        <v>106628.37</v>
      </c>
      <c r="J786" s="2">
        <v>120663.3</v>
      </c>
      <c r="K786" s="2">
        <f>Table1[[#This Row],[Salary_after]]-Table1[[#This Row],[Salary_before]]</f>
        <v>14034.930000000008</v>
      </c>
      <c r="L786" s="11">
        <v>0.13159999999999999</v>
      </c>
      <c r="M786" s="11">
        <v>0.2195</v>
      </c>
      <c r="N786">
        <v>24.35</v>
      </c>
      <c r="O786">
        <v>63.46</v>
      </c>
      <c r="P786">
        <v>2</v>
      </c>
      <c r="Q786" t="s">
        <v>37</v>
      </c>
      <c r="R786">
        <v>60.91</v>
      </c>
      <c r="S786">
        <v>13.16</v>
      </c>
      <c r="T786" s="4">
        <v>49.642999999999901</v>
      </c>
      <c r="U786" s="4">
        <v>58.059553999999999</v>
      </c>
      <c r="V786" t="str">
        <f>IF(Table1[[#This Row],[ai_disruption_intensity]]&gt;70,"High",
IF(Table1[[#This Row],[ai_disruption_intensity]]&gt;40,"Medium","Low"))</f>
        <v>Medium</v>
      </c>
      <c r="W786" t="str">
        <f>IF(Table1[[#This Row],[skill_gap_index]]&gt;70,"Large Gap",
IF(Table1[[#This Row],[skill_gap_index]]&gt;40,"Medium Gap","Small Gap"))</f>
        <v>Small Gap</v>
      </c>
      <c r="X786" s="3" t="str">
        <f>IF(Table1[[#This Row],[automation_risk_percent]]&gt;0.7,"Highly Automatable",
IF(Table1[[#This Row],[automation_risk_percent]]&gt;0.4,"Moderate Risk","Safe Job"))</f>
        <v>Highly Automatable</v>
      </c>
    </row>
    <row r="787" spans="1:24" x14ac:dyDescent="0.3">
      <c r="A787">
        <v>2830</v>
      </c>
      <c r="B787" t="s">
        <v>46</v>
      </c>
      <c r="C787" t="s">
        <v>38</v>
      </c>
      <c r="D787" t="s">
        <v>47</v>
      </c>
      <c r="E787" s="1">
        <v>2025</v>
      </c>
      <c r="F787" s="11">
        <v>0.36549999999999999</v>
      </c>
      <c r="G787">
        <v>36.83</v>
      </c>
      <c r="H787">
        <v>38.64</v>
      </c>
      <c r="I787" s="2">
        <v>86242.81</v>
      </c>
      <c r="J787" s="2">
        <v>91378.53</v>
      </c>
      <c r="K787" s="2">
        <f>Table1[[#This Row],[Salary_after]]-Table1[[#This Row],[Salary_before]]</f>
        <v>5135.7200000000012</v>
      </c>
      <c r="L787" s="11">
        <v>5.9500000000000004E-2</v>
      </c>
      <c r="M787" s="11">
        <v>6.8600000000000008E-2</v>
      </c>
      <c r="N787">
        <v>63.63</v>
      </c>
      <c r="O787">
        <v>85.71</v>
      </c>
      <c r="P787">
        <v>2</v>
      </c>
      <c r="Q787" t="s">
        <v>25</v>
      </c>
      <c r="R787">
        <v>37.594999999999999</v>
      </c>
      <c r="S787">
        <v>5.95</v>
      </c>
      <c r="T787" s="4">
        <v>27.997</v>
      </c>
      <c r="U787" s="4">
        <v>31.3270049999999</v>
      </c>
      <c r="V787" t="str">
        <f>IF(Table1[[#This Row],[ai_disruption_intensity]]&gt;70,"High",
IF(Table1[[#This Row],[ai_disruption_intensity]]&gt;40,"Medium","Low"))</f>
        <v>Low</v>
      </c>
      <c r="W787" t="str">
        <f>IF(Table1[[#This Row],[skill_gap_index]]&gt;70,"Large Gap",
IF(Table1[[#This Row],[skill_gap_index]]&gt;40,"Medium Gap","Small Gap"))</f>
        <v>Small Gap</v>
      </c>
      <c r="X787" s="3" t="str">
        <f>IF(Table1[[#This Row],[automation_risk_percent]]&gt;0.7,"Highly Automatable",
IF(Table1[[#This Row],[automation_risk_percent]]&gt;0.4,"Moderate Risk","Safe Job"))</f>
        <v>Safe Job</v>
      </c>
    </row>
    <row r="788" spans="1:24" x14ac:dyDescent="0.3">
      <c r="A788">
        <v>2831</v>
      </c>
      <c r="B788" t="s">
        <v>41</v>
      </c>
      <c r="C788" t="s">
        <v>19</v>
      </c>
      <c r="D788" t="s">
        <v>20</v>
      </c>
      <c r="E788" s="1">
        <v>2026</v>
      </c>
      <c r="F788" s="11">
        <v>0.85389999999999999</v>
      </c>
      <c r="G788">
        <v>86.04</v>
      </c>
      <c r="H788">
        <v>34.75</v>
      </c>
      <c r="I788" s="2">
        <v>106748.86</v>
      </c>
      <c r="J788" s="2">
        <v>98031.69</v>
      </c>
      <c r="K788" s="2">
        <f>Table1[[#This Row],[Salary_after]]-Table1[[#This Row],[Salary_before]]</f>
        <v>-8717.1699999999983</v>
      </c>
      <c r="L788" s="11">
        <v>-8.1699999999999995E-2</v>
      </c>
      <c r="M788" s="11">
        <v>3.9399999999999998E-2</v>
      </c>
      <c r="N788">
        <v>44</v>
      </c>
      <c r="O788">
        <v>99.41</v>
      </c>
      <c r="P788">
        <v>2</v>
      </c>
      <c r="Q788" t="s">
        <v>37</v>
      </c>
      <c r="R788">
        <v>60.07</v>
      </c>
      <c r="S788">
        <v>8.17</v>
      </c>
      <c r="T788" s="4">
        <v>47.031999999999996</v>
      </c>
      <c r="U788" s="4">
        <v>84.886198999999905</v>
      </c>
      <c r="V788" t="str">
        <f>IF(Table1[[#This Row],[ai_disruption_intensity]]&gt;70,"High",
IF(Table1[[#This Row],[ai_disruption_intensity]]&gt;40,"Medium","Low"))</f>
        <v>High</v>
      </c>
      <c r="W788" t="str">
        <f>IF(Table1[[#This Row],[skill_gap_index]]&gt;70,"Large Gap",
IF(Table1[[#This Row],[skill_gap_index]]&gt;40,"Medium Gap","Small Gap"))</f>
        <v>Small Gap</v>
      </c>
      <c r="X788" s="3" t="str">
        <f>IF(Table1[[#This Row],[automation_risk_percent]]&gt;0.7,"Highly Automatable",
IF(Table1[[#This Row],[automation_risk_percent]]&gt;0.4,"Moderate Risk","Safe Job"))</f>
        <v>Highly Automatable</v>
      </c>
    </row>
    <row r="789" spans="1:24" x14ac:dyDescent="0.3">
      <c r="A789">
        <v>2832</v>
      </c>
      <c r="B789" t="s">
        <v>29</v>
      </c>
      <c r="C789" t="s">
        <v>19</v>
      </c>
      <c r="D789" t="s">
        <v>35</v>
      </c>
      <c r="E789" s="1">
        <v>2026</v>
      </c>
      <c r="F789" s="11">
        <v>0.28399999999999997</v>
      </c>
      <c r="G789">
        <v>30.63</v>
      </c>
      <c r="H789">
        <v>84.12</v>
      </c>
      <c r="I789" s="2">
        <v>107847.11</v>
      </c>
      <c r="J789" s="2">
        <v>126426.03</v>
      </c>
      <c r="K789" s="2">
        <f>Table1[[#This Row],[Salary_after]]-Table1[[#This Row],[Salary_before]]</f>
        <v>18578.919999999998</v>
      </c>
      <c r="L789" s="11">
        <v>0.17230000000000001</v>
      </c>
      <c r="M789" s="11">
        <v>0.1079</v>
      </c>
      <c r="N789">
        <v>48.64</v>
      </c>
      <c r="O789">
        <v>9.14</v>
      </c>
      <c r="P789">
        <v>3</v>
      </c>
      <c r="Q789" t="s">
        <v>21</v>
      </c>
      <c r="R789">
        <v>56.26</v>
      </c>
      <c r="S789">
        <v>17.23</v>
      </c>
      <c r="T789" s="4">
        <v>41.765000000000001</v>
      </c>
      <c r="U789" s="4">
        <v>2.5957599999999998</v>
      </c>
      <c r="V789" t="str">
        <f>IF(Table1[[#This Row],[ai_disruption_intensity]]&gt;70,"High",
IF(Table1[[#This Row],[ai_disruption_intensity]]&gt;40,"Medium","Low"))</f>
        <v>Low</v>
      </c>
      <c r="W789" t="str">
        <f>IF(Table1[[#This Row],[skill_gap_index]]&gt;70,"Large Gap",
IF(Table1[[#This Row],[skill_gap_index]]&gt;40,"Medium Gap","Small Gap"))</f>
        <v>Large Gap</v>
      </c>
      <c r="X789" s="3" t="str">
        <f>IF(Table1[[#This Row],[automation_risk_percent]]&gt;0.7,"Highly Automatable",
IF(Table1[[#This Row],[automation_risk_percent]]&gt;0.4,"Moderate Risk","Safe Job"))</f>
        <v>Safe Job</v>
      </c>
    </row>
    <row r="790" spans="1:24" x14ac:dyDescent="0.3">
      <c r="A790">
        <v>2833</v>
      </c>
      <c r="B790" t="s">
        <v>46</v>
      </c>
      <c r="C790" t="s">
        <v>23</v>
      </c>
      <c r="D790" t="s">
        <v>36</v>
      </c>
      <c r="E790" s="1">
        <v>2026</v>
      </c>
      <c r="F790" s="11">
        <v>0.67370000000000008</v>
      </c>
      <c r="G790">
        <v>65.540000000000006</v>
      </c>
      <c r="H790">
        <v>66.540000000000006</v>
      </c>
      <c r="I790" s="2">
        <v>93757.25</v>
      </c>
      <c r="J790" s="2">
        <v>89430.23</v>
      </c>
      <c r="K790" s="2">
        <f>Table1[[#This Row],[Salary_after]]-Table1[[#This Row],[Salary_before]]</f>
        <v>-4327.0200000000041</v>
      </c>
      <c r="L790" s="11">
        <v>-4.6199999999999998E-2</v>
      </c>
      <c r="M790" s="11">
        <v>8.8499999999999995E-2</v>
      </c>
      <c r="N790">
        <v>98.35</v>
      </c>
      <c r="O790">
        <v>73.69</v>
      </c>
      <c r="P790">
        <v>4</v>
      </c>
      <c r="Q790" t="s">
        <v>37</v>
      </c>
      <c r="R790">
        <v>66.954999999999998</v>
      </c>
      <c r="S790">
        <v>4.62</v>
      </c>
      <c r="T790" s="4">
        <v>48.295999999999999</v>
      </c>
      <c r="U790" s="4">
        <v>49.644953000000001</v>
      </c>
      <c r="V790" t="str">
        <f>IF(Table1[[#This Row],[ai_disruption_intensity]]&gt;70,"High",
IF(Table1[[#This Row],[ai_disruption_intensity]]&gt;40,"Medium","Low"))</f>
        <v>Medium</v>
      </c>
      <c r="W790" t="str">
        <f>IF(Table1[[#This Row],[skill_gap_index]]&gt;70,"Large Gap",
IF(Table1[[#This Row],[skill_gap_index]]&gt;40,"Medium Gap","Small Gap"))</f>
        <v>Medium Gap</v>
      </c>
      <c r="X790" s="3" t="str">
        <f>IF(Table1[[#This Row],[automation_risk_percent]]&gt;0.7,"Highly Automatable",
IF(Table1[[#This Row],[automation_risk_percent]]&gt;0.4,"Moderate Risk","Safe Job"))</f>
        <v>Moderate Risk</v>
      </c>
    </row>
    <row r="791" spans="1:24" x14ac:dyDescent="0.3">
      <c r="A791">
        <v>2836</v>
      </c>
      <c r="B791" t="s">
        <v>44</v>
      </c>
      <c r="C791" t="s">
        <v>23</v>
      </c>
      <c r="D791" t="s">
        <v>42</v>
      </c>
      <c r="E791" s="1">
        <v>2025</v>
      </c>
      <c r="F791" s="11">
        <v>0.64249999999999996</v>
      </c>
      <c r="G791">
        <v>75.58</v>
      </c>
      <c r="H791">
        <v>30.23</v>
      </c>
      <c r="I791" s="2">
        <v>133334.29999999999</v>
      </c>
      <c r="J791" s="2">
        <v>116547.48</v>
      </c>
      <c r="K791" s="2">
        <f>Table1[[#This Row],[Salary_after]]-Table1[[#This Row],[Salary_before]]</f>
        <v>-16786.819999999992</v>
      </c>
      <c r="L791" s="11">
        <v>-0.12590000000000001</v>
      </c>
      <c r="M791" s="11">
        <v>4.58E-2</v>
      </c>
      <c r="N791">
        <v>70.19</v>
      </c>
      <c r="O791">
        <v>68.41</v>
      </c>
      <c r="P791">
        <v>5</v>
      </c>
      <c r="Q791" t="s">
        <v>37</v>
      </c>
      <c r="R791">
        <v>47.24</v>
      </c>
      <c r="S791">
        <v>12.59</v>
      </c>
      <c r="T791" s="4">
        <v>38.545999999999999</v>
      </c>
      <c r="U791" s="4">
        <v>43.953424999999903</v>
      </c>
      <c r="V791" t="str">
        <f>IF(Table1[[#This Row],[ai_disruption_intensity]]&gt;70,"High",
IF(Table1[[#This Row],[ai_disruption_intensity]]&gt;40,"Medium","Low"))</f>
        <v>Medium</v>
      </c>
      <c r="W791" t="str">
        <f>IF(Table1[[#This Row],[skill_gap_index]]&gt;70,"Large Gap",
IF(Table1[[#This Row],[skill_gap_index]]&gt;40,"Medium Gap","Small Gap"))</f>
        <v>Small Gap</v>
      </c>
      <c r="X791" s="3" t="str">
        <f>IF(Table1[[#This Row],[automation_risk_percent]]&gt;0.7,"Highly Automatable",
IF(Table1[[#This Row],[automation_risk_percent]]&gt;0.4,"Moderate Risk","Safe Job"))</f>
        <v>Moderate Risk</v>
      </c>
    </row>
    <row r="792" spans="1:24" x14ac:dyDescent="0.3">
      <c r="A792">
        <v>2837</v>
      </c>
      <c r="B792" t="s">
        <v>41</v>
      </c>
      <c r="C792" t="s">
        <v>33</v>
      </c>
      <c r="D792" t="s">
        <v>36</v>
      </c>
      <c r="E792" s="1">
        <v>2025</v>
      </c>
      <c r="F792" s="11">
        <v>0.45079999999999998</v>
      </c>
      <c r="G792">
        <v>36.56</v>
      </c>
      <c r="H792">
        <v>19.98</v>
      </c>
      <c r="I792" s="2">
        <v>77973.31</v>
      </c>
      <c r="J792" s="2">
        <v>74611.25</v>
      </c>
      <c r="K792" s="2">
        <f>Table1[[#This Row],[Salary_after]]-Table1[[#This Row],[Salary_before]]</f>
        <v>-3362.0599999999977</v>
      </c>
      <c r="L792" s="11">
        <v>-4.3099999999999999E-2</v>
      </c>
      <c r="M792" s="11">
        <v>3.2000000000000002E-3</v>
      </c>
      <c r="N792">
        <v>45.23</v>
      </c>
      <c r="O792">
        <v>96.18</v>
      </c>
      <c r="P792">
        <v>4</v>
      </c>
      <c r="Q792" t="s">
        <v>25</v>
      </c>
      <c r="R792">
        <v>32.53</v>
      </c>
      <c r="S792">
        <v>4.3099999999999996</v>
      </c>
      <c r="T792" s="4">
        <v>25.318999999999999</v>
      </c>
      <c r="U792" s="4">
        <v>43.357943999999897</v>
      </c>
      <c r="V792" t="str">
        <f>IF(Table1[[#This Row],[ai_disruption_intensity]]&gt;70,"High",
IF(Table1[[#This Row],[ai_disruption_intensity]]&gt;40,"Medium","Low"))</f>
        <v>Medium</v>
      </c>
      <c r="W792" t="str">
        <f>IF(Table1[[#This Row],[skill_gap_index]]&gt;70,"Large Gap",
IF(Table1[[#This Row],[skill_gap_index]]&gt;40,"Medium Gap","Small Gap"))</f>
        <v>Small Gap</v>
      </c>
      <c r="X792" s="3" t="str">
        <f>IF(Table1[[#This Row],[automation_risk_percent]]&gt;0.7,"Highly Automatable",
IF(Table1[[#This Row],[automation_risk_percent]]&gt;0.4,"Moderate Risk","Safe Job"))</f>
        <v>Moderate Risk</v>
      </c>
    </row>
    <row r="793" spans="1:24" x14ac:dyDescent="0.3">
      <c r="A793">
        <v>2841</v>
      </c>
      <c r="B793" t="s">
        <v>26</v>
      </c>
      <c r="C793" t="s">
        <v>23</v>
      </c>
      <c r="D793" t="s">
        <v>36</v>
      </c>
      <c r="E793" s="1">
        <v>2026</v>
      </c>
      <c r="F793" s="11">
        <v>0.39429999999999998</v>
      </c>
      <c r="G793">
        <v>36.75</v>
      </c>
      <c r="H793">
        <v>42.99</v>
      </c>
      <c r="I793" s="2">
        <v>103221.96</v>
      </c>
      <c r="J793" s="2">
        <v>102278.71</v>
      </c>
      <c r="K793" s="2">
        <f>Table1[[#This Row],[Salary_after]]-Table1[[#This Row],[Salary_before]]</f>
        <v>-943.25</v>
      </c>
      <c r="L793" s="11">
        <v>-9.1000000000000004E-3</v>
      </c>
      <c r="M793" s="11">
        <v>0.13800000000000001</v>
      </c>
      <c r="N793">
        <v>98.9</v>
      </c>
      <c r="O793">
        <v>59.28</v>
      </c>
      <c r="P793">
        <v>2</v>
      </c>
      <c r="Q793" t="s">
        <v>25</v>
      </c>
      <c r="R793">
        <v>41.21</v>
      </c>
      <c r="S793">
        <v>0.91</v>
      </c>
      <c r="T793" s="4">
        <v>28.942</v>
      </c>
      <c r="U793" s="4">
        <v>23.374103999999999</v>
      </c>
      <c r="V793" t="str">
        <f>IF(Table1[[#This Row],[ai_disruption_intensity]]&gt;70,"High",
IF(Table1[[#This Row],[ai_disruption_intensity]]&gt;40,"Medium","Low"))</f>
        <v>Low</v>
      </c>
      <c r="W793" t="str">
        <f>IF(Table1[[#This Row],[skill_gap_index]]&gt;70,"Large Gap",
IF(Table1[[#This Row],[skill_gap_index]]&gt;40,"Medium Gap","Small Gap"))</f>
        <v>Medium Gap</v>
      </c>
      <c r="X793" s="3" t="str">
        <f>IF(Table1[[#This Row],[automation_risk_percent]]&gt;0.7,"Highly Automatable",
IF(Table1[[#This Row],[automation_risk_percent]]&gt;0.4,"Moderate Risk","Safe Job"))</f>
        <v>Safe Job</v>
      </c>
    </row>
    <row r="794" spans="1:24" x14ac:dyDescent="0.3">
      <c r="A794">
        <v>2845</v>
      </c>
      <c r="B794" t="s">
        <v>39</v>
      </c>
      <c r="C794" t="s">
        <v>23</v>
      </c>
      <c r="D794" t="s">
        <v>42</v>
      </c>
      <c r="E794" s="1">
        <v>2025</v>
      </c>
      <c r="F794" s="11">
        <v>0.53339999999999999</v>
      </c>
      <c r="G794">
        <v>53.46</v>
      </c>
      <c r="H794">
        <v>30.51</v>
      </c>
      <c r="I794" s="2">
        <v>117304.16</v>
      </c>
      <c r="J794" s="2">
        <v>103262.21</v>
      </c>
      <c r="K794" s="2">
        <f>Table1[[#This Row],[Salary_after]]-Table1[[#This Row],[Salary_before]]</f>
        <v>-14041.949999999997</v>
      </c>
      <c r="L794" s="11">
        <v>-0.1197</v>
      </c>
      <c r="M794" s="11">
        <v>0.32069999999999999</v>
      </c>
      <c r="N794">
        <v>70.09</v>
      </c>
      <c r="O794">
        <v>80.23</v>
      </c>
      <c r="P794">
        <v>2</v>
      </c>
      <c r="Q794" t="s">
        <v>25</v>
      </c>
      <c r="R794">
        <v>41.924999999999997</v>
      </c>
      <c r="S794">
        <v>11.97</v>
      </c>
      <c r="T794" s="4">
        <v>34.08</v>
      </c>
      <c r="U794" s="4">
        <v>42.794682000000002</v>
      </c>
      <c r="V794" t="str">
        <f>IF(Table1[[#This Row],[ai_disruption_intensity]]&gt;70,"High",
IF(Table1[[#This Row],[ai_disruption_intensity]]&gt;40,"Medium","Low"))</f>
        <v>Medium</v>
      </c>
      <c r="W794" t="str">
        <f>IF(Table1[[#This Row],[skill_gap_index]]&gt;70,"Large Gap",
IF(Table1[[#This Row],[skill_gap_index]]&gt;40,"Medium Gap","Small Gap"))</f>
        <v>Small Gap</v>
      </c>
      <c r="X794" s="3" t="str">
        <f>IF(Table1[[#This Row],[automation_risk_percent]]&gt;0.7,"Highly Automatable",
IF(Table1[[#This Row],[automation_risk_percent]]&gt;0.4,"Moderate Risk","Safe Job"))</f>
        <v>Moderate Risk</v>
      </c>
    </row>
    <row r="795" spans="1:24" x14ac:dyDescent="0.3">
      <c r="A795">
        <v>2847</v>
      </c>
      <c r="B795" t="s">
        <v>39</v>
      </c>
      <c r="C795" t="s">
        <v>23</v>
      </c>
      <c r="D795" t="s">
        <v>24</v>
      </c>
      <c r="E795" s="1">
        <v>2025</v>
      </c>
      <c r="F795" s="11">
        <v>0.62280000000000002</v>
      </c>
      <c r="G795">
        <v>60.09</v>
      </c>
      <c r="H795">
        <v>67.010000000000005</v>
      </c>
      <c r="I795" s="2">
        <v>88766.31</v>
      </c>
      <c r="J795" s="2">
        <v>73314.94</v>
      </c>
      <c r="K795" s="2">
        <f>Table1[[#This Row],[Salary_after]]-Table1[[#This Row],[Salary_before]]</f>
        <v>-15451.369999999995</v>
      </c>
      <c r="L795" s="11">
        <v>-0.1741</v>
      </c>
      <c r="M795" s="11">
        <v>-2.2000000000000001E-3</v>
      </c>
      <c r="N795">
        <v>44.43</v>
      </c>
      <c r="O795">
        <v>34.979999999999997</v>
      </c>
      <c r="P795">
        <v>3</v>
      </c>
      <c r="Q795" t="s">
        <v>37</v>
      </c>
      <c r="R795">
        <v>64.644999999999996</v>
      </c>
      <c r="S795">
        <v>17.41</v>
      </c>
      <c r="T795" s="4">
        <v>50.238</v>
      </c>
      <c r="U795" s="4">
        <v>21.785544000000002</v>
      </c>
      <c r="V795" t="str">
        <f>IF(Table1[[#This Row],[ai_disruption_intensity]]&gt;70,"High",
IF(Table1[[#This Row],[ai_disruption_intensity]]&gt;40,"Medium","Low"))</f>
        <v>Low</v>
      </c>
      <c r="W795" t="str">
        <f>IF(Table1[[#This Row],[skill_gap_index]]&gt;70,"Large Gap",
IF(Table1[[#This Row],[skill_gap_index]]&gt;40,"Medium Gap","Small Gap"))</f>
        <v>Medium Gap</v>
      </c>
      <c r="X795" s="3" t="str">
        <f>IF(Table1[[#This Row],[automation_risk_percent]]&gt;0.7,"Highly Automatable",
IF(Table1[[#This Row],[automation_risk_percent]]&gt;0.4,"Moderate Risk","Safe Job"))</f>
        <v>Moderate Risk</v>
      </c>
    </row>
    <row r="796" spans="1:24" x14ac:dyDescent="0.3">
      <c r="A796">
        <v>2849</v>
      </c>
      <c r="B796" t="s">
        <v>43</v>
      </c>
      <c r="C796" t="s">
        <v>38</v>
      </c>
      <c r="D796" t="s">
        <v>42</v>
      </c>
      <c r="E796" s="1">
        <v>2026</v>
      </c>
      <c r="F796" s="11">
        <v>0.65280000000000005</v>
      </c>
      <c r="G796">
        <v>75.459999999999994</v>
      </c>
      <c r="H796">
        <v>70.260000000000005</v>
      </c>
      <c r="I796" s="2">
        <v>37189.46</v>
      </c>
      <c r="J796" s="2">
        <v>32893.97</v>
      </c>
      <c r="K796" s="2">
        <f>Table1[[#This Row],[Salary_after]]-Table1[[#This Row],[Salary_before]]</f>
        <v>-4295.489999999998</v>
      </c>
      <c r="L796" s="11">
        <v>-0.11550000000000001</v>
      </c>
      <c r="M796" s="11">
        <v>0.126</v>
      </c>
      <c r="N796">
        <v>38.369999999999997</v>
      </c>
      <c r="O796">
        <v>19.59</v>
      </c>
      <c r="P796">
        <v>1</v>
      </c>
      <c r="Q796" t="s">
        <v>37</v>
      </c>
      <c r="R796">
        <v>67.77</v>
      </c>
      <c r="S796">
        <v>11.55</v>
      </c>
      <c r="T796" s="4">
        <v>50.655000000000001</v>
      </c>
      <c r="U796" s="4">
        <v>12.788352</v>
      </c>
      <c r="V796" t="str">
        <f>IF(Table1[[#This Row],[ai_disruption_intensity]]&gt;70,"High",
IF(Table1[[#This Row],[ai_disruption_intensity]]&gt;40,"Medium","Low"))</f>
        <v>Low</v>
      </c>
      <c r="W796" t="str">
        <f>IF(Table1[[#This Row],[skill_gap_index]]&gt;70,"Large Gap",
IF(Table1[[#This Row],[skill_gap_index]]&gt;40,"Medium Gap","Small Gap"))</f>
        <v>Large Gap</v>
      </c>
      <c r="X796" s="3" t="str">
        <f>IF(Table1[[#This Row],[automation_risk_percent]]&gt;0.7,"Highly Automatable",
IF(Table1[[#This Row],[automation_risk_percent]]&gt;0.4,"Moderate Risk","Safe Job"))</f>
        <v>Moderate Risk</v>
      </c>
    </row>
    <row r="797" spans="1:24" x14ac:dyDescent="0.3">
      <c r="A797">
        <v>2854</v>
      </c>
      <c r="B797" t="s">
        <v>45</v>
      </c>
      <c r="C797" t="s">
        <v>27</v>
      </c>
      <c r="D797" t="s">
        <v>28</v>
      </c>
      <c r="E797" s="1">
        <v>2026</v>
      </c>
      <c r="F797" s="11">
        <v>0.54820000000000002</v>
      </c>
      <c r="G797">
        <v>44.73</v>
      </c>
      <c r="H797">
        <v>6.89</v>
      </c>
      <c r="I797" s="2">
        <v>115623.24</v>
      </c>
      <c r="J797" s="2">
        <v>116351.03999999999</v>
      </c>
      <c r="K797" s="2">
        <f>Table1[[#This Row],[Salary_after]]-Table1[[#This Row],[Salary_before]]</f>
        <v>727.79999999998836</v>
      </c>
      <c r="L797" s="11">
        <v>6.3E-3</v>
      </c>
      <c r="M797" s="11">
        <v>1.2500000000000001E-2</v>
      </c>
      <c r="N797">
        <v>85.64</v>
      </c>
      <c r="O797">
        <v>37.99</v>
      </c>
      <c r="P797">
        <v>1</v>
      </c>
      <c r="Q797" t="s">
        <v>25</v>
      </c>
      <c r="R797">
        <v>30.855</v>
      </c>
      <c r="S797">
        <v>0.63</v>
      </c>
      <c r="T797" s="4">
        <v>24.184000000000001</v>
      </c>
      <c r="U797" s="4">
        <v>20.826118000000001</v>
      </c>
      <c r="V797" t="str">
        <f>IF(Table1[[#This Row],[ai_disruption_intensity]]&gt;70,"High",
IF(Table1[[#This Row],[ai_disruption_intensity]]&gt;40,"Medium","Low"))</f>
        <v>Low</v>
      </c>
      <c r="W797" t="str">
        <f>IF(Table1[[#This Row],[skill_gap_index]]&gt;70,"Large Gap",
IF(Table1[[#This Row],[skill_gap_index]]&gt;40,"Medium Gap","Small Gap"))</f>
        <v>Small Gap</v>
      </c>
      <c r="X797" s="3" t="str">
        <f>IF(Table1[[#This Row],[automation_risk_percent]]&gt;0.7,"Highly Automatable",
IF(Table1[[#This Row],[automation_risk_percent]]&gt;0.4,"Moderate Risk","Safe Job"))</f>
        <v>Moderate Risk</v>
      </c>
    </row>
    <row r="798" spans="1:24" x14ac:dyDescent="0.3">
      <c r="A798">
        <v>2855</v>
      </c>
      <c r="B798" t="s">
        <v>18</v>
      </c>
      <c r="C798" t="s">
        <v>40</v>
      </c>
      <c r="D798" t="s">
        <v>24</v>
      </c>
      <c r="E798" s="1">
        <v>2026</v>
      </c>
      <c r="F798" s="11">
        <v>0.13140000000000002</v>
      </c>
      <c r="G798">
        <v>14.26</v>
      </c>
      <c r="H798">
        <v>92.97</v>
      </c>
      <c r="I798" s="2">
        <v>116060.57</v>
      </c>
      <c r="J798" s="2">
        <v>99147.01</v>
      </c>
      <c r="K798" s="2">
        <f>Table1[[#This Row],[Salary_after]]-Table1[[#This Row],[Salary_before]]</f>
        <v>-16913.560000000012</v>
      </c>
      <c r="L798" s="11">
        <v>-0.1457</v>
      </c>
      <c r="M798" s="11">
        <v>9.2300000000000007E-2</v>
      </c>
      <c r="N798">
        <v>11.38</v>
      </c>
      <c r="O798">
        <v>69.47</v>
      </c>
      <c r="P798">
        <v>1</v>
      </c>
      <c r="Q798" t="s">
        <v>21</v>
      </c>
      <c r="R798">
        <v>53.055</v>
      </c>
      <c r="S798">
        <v>14.57</v>
      </c>
      <c r="T798" s="4">
        <v>37.518000000000001</v>
      </c>
      <c r="U798" s="4">
        <v>9.1283580000000004</v>
      </c>
      <c r="V798" t="str">
        <f>IF(Table1[[#This Row],[ai_disruption_intensity]]&gt;70,"High",
IF(Table1[[#This Row],[ai_disruption_intensity]]&gt;40,"Medium","Low"))</f>
        <v>Low</v>
      </c>
      <c r="W798" t="str">
        <f>IF(Table1[[#This Row],[skill_gap_index]]&gt;70,"Large Gap",
IF(Table1[[#This Row],[skill_gap_index]]&gt;40,"Medium Gap","Small Gap"))</f>
        <v>Large Gap</v>
      </c>
      <c r="X798" s="3" t="str">
        <f>IF(Table1[[#This Row],[automation_risk_percent]]&gt;0.7,"Highly Automatable",
IF(Table1[[#This Row],[automation_risk_percent]]&gt;0.4,"Moderate Risk","Safe Job"))</f>
        <v>Safe Job</v>
      </c>
    </row>
    <row r="799" spans="1:24" x14ac:dyDescent="0.3">
      <c r="A799">
        <v>2857</v>
      </c>
      <c r="B799" t="s">
        <v>39</v>
      </c>
      <c r="C799" t="s">
        <v>30</v>
      </c>
      <c r="D799" t="s">
        <v>32</v>
      </c>
      <c r="E799" s="1">
        <v>2025</v>
      </c>
      <c r="F799" s="11">
        <v>0.78760000000000008</v>
      </c>
      <c r="G799">
        <v>92.84</v>
      </c>
      <c r="H799">
        <v>82.42</v>
      </c>
      <c r="I799" s="2">
        <v>114675.03</v>
      </c>
      <c r="J799" s="2">
        <v>106350.91</v>
      </c>
      <c r="K799" s="2">
        <f>Table1[[#This Row],[Salary_after]]-Table1[[#This Row],[Salary_before]]</f>
        <v>-8324.1199999999953</v>
      </c>
      <c r="L799" s="11">
        <v>-7.2599999999999998E-2</v>
      </c>
      <c r="M799" s="11">
        <v>7.9899999999999999E-2</v>
      </c>
      <c r="N799">
        <v>34.43</v>
      </c>
      <c r="O799">
        <v>0.56999999999999995</v>
      </c>
      <c r="P799">
        <v>5</v>
      </c>
      <c r="Q799" t="s">
        <v>37</v>
      </c>
      <c r="R799">
        <v>80.59</v>
      </c>
      <c r="S799">
        <v>7.26</v>
      </c>
      <c r="T799" s="4">
        <v>58.408000000000001</v>
      </c>
      <c r="U799" s="4">
        <v>0.448932</v>
      </c>
      <c r="V799" t="str">
        <f>IF(Table1[[#This Row],[ai_disruption_intensity]]&gt;70,"High",
IF(Table1[[#This Row],[ai_disruption_intensity]]&gt;40,"Medium","Low"))</f>
        <v>Low</v>
      </c>
      <c r="W799" t="str">
        <f>IF(Table1[[#This Row],[skill_gap_index]]&gt;70,"Large Gap",
IF(Table1[[#This Row],[skill_gap_index]]&gt;40,"Medium Gap","Small Gap"))</f>
        <v>Large Gap</v>
      </c>
      <c r="X799" s="3" t="str">
        <f>IF(Table1[[#This Row],[automation_risk_percent]]&gt;0.7,"Highly Automatable",
IF(Table1[[#This Row],[automation_risk_percent]]&gt;0.4,"Moderate Risk","Safe Job"))</f>
        <v>Highly Automatable</v>
      </c>
    </row>
    <row r="800" spans="1:24" x14ac:dyDescent="0.3">
      <c r="A800">
        <v>2858</v>
      </c>
      <c r="B800" t="s">
        <v>39</v>
      </c>
      <c r="C800" t="s">
        <v>40</v>
      </c>
      <c r="D800" t="s">
        <v>28</v>
      </c>
      <c r="E800" s="1">
        <v>2026</v>
      </c>
      <c r="F800" s="11">
        <v>0.19620000000000001</v>
      </c>
      <c r="G800">
        <v>19.14</v>
      </c>
      <c r="H800">
        <v>14.65</v>
      </c>
      <c r="I800" s="2">
        <v>138199.60999999999</v>
      </c>
      <c r="J800" s="2">
        <v>148110.87</v>
      </c>
      <c r="K800" s="2">
        <f>Table1[[#This Row],[Salary_after]]-Table1[[#This Row],[Salary_before]]</f>
        <v>9911.2600000000093</v>
      </c>
      <c r="L800" s="11">
        <v>7.17E-2</v>
      </c>
      <c r="M800" s="11">
        <v>-6.4000000000000003E-3</v>
      </c>
      <c r="N800">
        <v>82.27</v>
      </c>
      <c r="O800">
        <v>94.55</v>
      </c>
      <c r="P800">
        <v>4</v>
      </c>
      <c r="Q800" t="s">
        <v>21</v>
      </c>
      <c r="R800">
        <v>17.135000000000002</v>
      </c>
      <c r="S800">
        <v>7.17</v>
      </c>
      <c r="T800" s="4">
        <v>14.394</v>
      </c>
      <c r="U800" s="4">
        <v>18.550709999999999</v>
      </c>
      <c r="V800" t="str">
        <f>IF(Table1[[#This Row],[ai_disruption_intensity]]&gt;70,"High",
IF(Table1[[#This Row],[ai_disruption_intensity]]&gt;40,"Medium","Low"))</f>
        <v>Low</v>
      </c>
      <c r="W800" t="str">
        <f>IF(Table1[[#This Row],[skill_gap_index]]&gt;70,"Large Gap",
IF(Table1[[#This Row],[skill_gap_index]]&gt;40,"Medium Gap","Small Gap"))</f>
        <v>Small Gap</v>
      </c>
      <c r="X800" s="3" t="str">
        <f>IF(Table1[[#This Row],[automation_risk_percent]]&gt;0.7,"Highly Automatable",
IF(Table1[[#This Row],[automation_risk_percent]]&gt;0.4,"Moderate Risk","Safe Job"))</f>
        <v>Safe Job</v>
      </c>
    </row>
    <row r="801" spans="1:24" x14ac:dyDescent="0.3">
      <c r="A801">
        <v>2861</v>
      </c>
      <c r="B801" t="s">
        <v>43</v>
      </c>
      <c r="C801" t="s">
        <v>27</v>
      </c>
      <c r="D801" t="s">
        <v>35</v>
      </c>
      <c r="E801" s="1">
        <v>2026</v>
      </c>
      <c r="F801" s="11">
        <v>0.23260000000000003</v>
      </c>
      <c r="G801">
        <v>26.67</v>
      </c>
      <c r="H801">
        <v>72.510000000000005</v>
      </c>
      <c r="I801" s="2">
        <v>55584.51</v>
      </c>
      <c r="J801" s="2">
        <v>50179.46</v>
      </c>
      <c r="K801" s="2">
        <f>Table1[[#This Row],[Salary_after]]-Table1[[#This Row],[Salary_before]]</f>
        <v>-5405.0500000000029</v>
      </c>
      <c r="L801" s="11">
        <v>-9.7200000000000009E-2</v>
      </c>
      <c r="M801" s="11">
        <v>0.26340000000000002</v>
      </c>
      <c r="N801">
        <v>24.28</v>
      </c>
      <c r="O801">
        <v>53.19</v>
      </c>
      <c r="P801">
        <v>2</v>
      </c>
      <c r="Q801" t="s">
        <v>21</v>
      </c>
      <c r="R801">
        <v>47.884999999999998</v>
      </c>
      <c r="S801">
        <v>9.7200000000000006</v>
      </c>
      <c r="T801" s="4">
        <v>33.972999999999999</v>
      </c>
      <c r="U801" s="4">
        <v>12.3719939999999</v>
      </c>
      <c r="V801" t="str">
        <f>IF(Table1[[#This Row],[ai_disruption_intensity]]&gt;70,"High",
IF(Table1[[#This Row],[ai_disruption_intensity]]&gt;40,"Medium","Low"))</f>
        <v>Low</v>
      </c>
      <c r="W801" t="str">
        <f>IF(Table1[[#This Row],[skill_gap_index]]&gt;70,"Large Gap",
IF(Table1[[#This Row],[skill_gap_index]]&gt;40,"Medium Gap","Small Gap"))</f>
        <v>Large Gap</v>
      </c>
      <c r="X801" s="3" t="str">
        <f>IF(Table1[[#This Row],[automation_risk_percent]]&gt;0.7,"Highly Automatable",
IF(Table1[[#This Row],[automation_risk_percent]]&gt;0.4,"Moderate Risk","Safe Job"))</f>
        <v>Safe Job</v>
      </c>
    </row>
    <row r="802" spans="1:24" x14ac:dyDescent="0.3">
      <c r="A802">
        <v>2871</v>
      </c>
      <c r="B802" t="s">
        <v>43</v>
      </c>
      <c r="C802" t="s">
        <v>34</v>
      </c>
      <c r="D802" t="s">
        <v>24</v>
      </c>
      <c r="E802" s="1">
        <v>2026</v>
      </c>
      <c r="F802" s="11">
        <v>0.16760000000000003</v>
      </c>
      <c r="G802">
        <v>18.8</v>
      </c>
      <c r="H802">
        <v>86.61</v>
      </c>
      <c r="I802" s="2">
        <v>100051.37</v>
      </c>
      <c r="J802" s="2">
        <v>114324.06</v>
      </c>
      <c r="K802" s="2">
        <f>Table1[[#This Row],[Salary_after]]-Table1[[#This Row],[Salary_before]]</f>
        <v>14272.690000000002</v>
      </c>
      <c r="L802" s="11">
        <v>0.14269999999999999</v>
      </c>
      <c r="M802" s="11">
        <v>-7.5199999999999989E-2</v>
      </c>
      <c r="N802">
        <v>37.51</v>
      </c>
      <c r="O802">
        <v>23.84</v>
      </c>
      <c r="P802">
        <v>4</v>
      </c>
      <c r="Q802" t="s">
        <v>21</v>
      </c>
      <c r="R802">
        <v>51.685000000000002</v>
      </c>
      <c r="S802">
        <v>14.27</v>
      </c>
      <c r="T802" s="4">
        <v>36.967999999999897</v>
      </c>
      <c r="U802" s="4">
        <v>3.995584</v>
      </c>
      <c r="V802" t="str">
        <f>IF(Table1[[#This Row],[ai_disruption_intensity]]&gt;70,"High",
IF(Table1[[#This Row],[ai_disruption_intensity]]&gt;40,"Medium","Low"))</f>
        <v>Low</v>
      </c>
      <c r="W802" t="str">
        <f>IF(Table1[[#This Row],[skill_gap_index]]&gt;70,"Large Gap",
IF(Table1[[#This Row],[skill_gap_index]]&gt;40,"Medium Gap","Small Gap"))</f>
        <v>Large Gap</v>
      </c>
      <c r="X802" s="3" t="str">
        <f>IF(Table1[[#This Row],[automation_risk_percent]]&gt;0.7,"Highly Automatable",
IF(Table1[[#This Row],[automation_risk_percent]]&gt;0.4,"Moderate Risk","Safe Job"))</f>
        <v>Safe Job</v>
      </c>
    </row>
    <row r="803" spans="1:24" x14ac:dyDescent="0.3">
      <c r="A803">
        <v>2873</v>
      </c>
      <c r="B803" t="s">
        <v>18</v>
      </c>
      <c r="C803" t="s">
        <v>30</v>
      </c>
      <c r="D803" t="s">
        <v>32</v>
      </c>
      <c r="E803" s="1">
        <v>2026</v>
      </c>
      <c r="F803" s="11">
        <v>0.76290000000000002</v>
      </c>
      <c r="G803">
        <v>81.88</v>
      </c>
      <c r="H803">
        <v>21.14</v>
      </c>
      <c r="I803" s="2">
        <v>34767.5</v>
      </c>
      <c r="J803" s="2">
        <v>38780.480000000003</v>
      </c>
      <c r="K803" s="2">
        <f>Table1[[#This Row],[Salary_after]]-Table1[[#This Row],[Salary_before]]</f>
        <v>4012.9800000000032</v>
      </c>
      <c r="L803" s="11">
        <v>0.11539999999999999</v>
      </c>
      <c r="M803" s="11">
        <v>3.7699999999999997E-2</v>
      </c>
      <c r="N803">
        <v>51.85</v>
      </c>
      <c r="O803">
        <v>66.08</v>
      </c>
      <c r="P803">
        <v>2</v>
      </c>
      <c r="Q803" t="s">
        <v>37</v>
      </c>
      <c r="R803">
        <v>48.715000000000003</v>
      </c>
      <c r="S803">
        <v>11.54</v>
      </c>
      <c r="T803" s="4">
        <v>40.32</v>
      </c>
      <c r="U803" s="4">
        <v>50.412431999999903</v>
      </c>
      <c r="V803" t="str">
        <f>IF(Table1[[#This Row],[ai_disruption_intensity]]&gt;70,"High",
IF(Table1[[#This Row],[ai_disruption_intensity]]&gt;40,"Medium","Low"))</f>
        <v>Medium</v>
      </c>
      <c r="W803" t="str">
        <f>IF(Table1[[#This Row],[skill_gap_index]]&gt;70,"Large Gap",
IF(Table1[[#This Row],[skill_gap_index]]&gt;40,"Medium Gap","Small Gap"))</f>
        <v>Small Gap</v>
      </c>
      <c r="X803" s="3" t="str">
        <f>IF(Table1[[#This Row],[automation_risk_percent]]&gt;0.7,"Highly Automatable",
IF(Table1[[#This Row],[automation_risk_percent]]&gt;0.4,"Moderate Risk","Safe Job"))</f>
        <v>Highly Automatable</v>
      </c>
    </row>
    <row r="804" spans="1:24" x14ac:dyDescent="0.3">
      <c r="A804">
        <v>2874</v>
      </c>
      <c r="B804" t="s">
        <v>26</v>
      </c>
      <c r="C804" t="s">
        <v>40</v>
      </c>
      <c r="D804" t="s">
        <v>47</v>
      </c>
      <c r="E804" s="1">
        <v>2025</v>
      </c>
      <c r="F804" s="11">
        <v>0.05</v>
      </c>
      <c r="G804">
        <v>4.5</v>
      </c>
      <c r="H804">
        <v>43.63</v>
      </c>
      <c r="I804" s="2">
        <v>105675.73</v>
      </c>
      <c r="J804" s="2">
        <v>111144.28</v>
      </c>
      <c r="K804" s="2">
        <f>Table1[[#This Row],[Salary_after]]-Table1[[#This Row],[Salary_before]]</f>
        <v>5468.5500000000029</v>
      </c>
      <c r="L804" s="11">
        <v>5.1699999999999996E-2</v>
      </c>
      <c r="M804" s="11">
        <v>-1.43E-2</v>
      </c>
      <c r="N804">
        <v>42.8</v>
      </c>
      <c r="O804">
        <v>81.739999999999995</v>
      </c>
      <c r="P804">
        <v>3</v>
      </c>
      <c r="Q804" t="s">
        <v>21</v>
      </c>
      <c r="R804">
        <v>24.315000000000001</v>
      </c>
      <c r="S804">
        <v>5.17</v>
      </c>
      <c r="T804" s="4">
        <v>16.64</v>
      </c>
      <c r="U804" s="4">
        <v>4.0869999999999997</v>
      </c>
      <c r="V804" t="str">
        <f>IF(Table1[[#This Row],[ai_disruption_intensity]]&gt;70,"High",
IF(Table1[[#This Row],[ai_disruption_intensity]]&gt;40,"Medium","Low"))</f>
        <v>Low</v>
      </c>
      <c r="W804" t="str">
        <f>IF(Table1[[#This Row],[skill_gap_index]]&gt;70,"Large Gap",
IF(Table1[[#This Row],[skill_gap_index]]&gt;40,"Medium Gap","Small Gap"))</f>
        <v>Medium Gap</v>
      </c>
      <c r="X804" s="3" t="str">
        <f>IF(Table1[[#This Row],[automation_risk_percent]]&gt;0.7,"Highly Automatable",
IF(Table1[[#This Row],[automation_risk_percent]]&gt;0.4,"Moderate Risk","Safe Job"))</f>
        <v>Safe Job</v>
      </c>
    </row>
    <row r="805" spans="1:24" x14ac:dyDescent="0.3">
      <c r="A805">
        <v>2884</v>
      </c>
      <c r="B805" t="s">
        <v>22</v>
      </c>
      <c r="C805" t="s">
        <v>23</v>
      </c>
      <c r="D805" t="s">
        <v>36</v>
      </c>
      <c r="E805" s="1">
        <v>2026</v>
      </c>
      <c r="F805" s="11">
        <v>0.22440000000000002</v>
      </c>
      <c r="G805">
        <v>18.25</v>
      </c>
      <c r="H805">
        <v>33.78</v>
      </c>
      <c r="I805" s="2">
        <v>81302.66</v>
      </c>
      <c r="J805" s="2">
        <v>86643.15</v>
      </c>
      <c r="K805" s="2">
        <f>Table1[[#This Row],[Salary_after]]-Table1[[#This Row],[Salary_before]]</f>
        <v>5340.4899999999907</v>
      </c>
      <c r="L805" s="11">
        <v>6.5700000000000008E-2</v>
      </c>
      <c r="M805" s="11">
        <v>2.52E-2</v>
      </c>
      <c r="N805">
        <v>23.9</v>
      </c>
      <c r="O805">
        <v>5.69</v>
      </c>
      <c r="P805">
        <v>2</v>
      </c>
      <c r="Q805" t="s">
        <v>21</v>
      </c>
      <c r="R805">
        <v>28.11</v>
      </c>
      <c r="S805">
        <v>6.57</v>
      </c>
      <c r="T805" s="4">
        <v>21.081</v>
      </c>
      <c r="U805" s="4">
        <v>1.2768360000000001</v>
      </c>
      <c r="V805" t="str">
        <f>IF(Table1[[#This Row],[ai_disruption_intensity]]&gt;70,"High",
IF(Table1[[#This Row],[ai_disruption_intensity]]&gt;40,"Medium","Low"))</f>
        <v>Low</v>
      </c>
      <c r="W805" t="str">
        <f>IF(Table1[[#This Row],[skill_gap_index]]&gt;70,"Large Gap",
IF(Table1[[#This Row],[skill_gap_index]]&gt;40,"Medium Gap","Small Gap"))</f>
        <v>Small Gap</v>
      </c>
      <c r="X805" s="3" t="str">
        <f>IF(Table1[[#This Row],[automation_risk_percent]]&gt;0.7,"Highly Automatable",
IF(Table1[[#This Row],[automation_risk_percent]]&gt;0.4,"Moderate Risk","Safe Job"))</f>
        <v>Safe Job</v>
      </c>
    </row>
    <row r="806" spans="1:24" x14ac:dyDescent="0.3">
      <c r="A806">
        <v>2886</v>
      </c>
      <c r="B806" t="s">
        <v>44</v>
      </c>
      <c r="C806" t="s">
        <v>23</v>
      </c>
      <c r="D806" t="s">
        <v>31</v>
      </c>
      <c r="E806" s="1">
        <v>2026</v>
      </c>
      <c r="F806" s="11">
        <v>0.312</v>
      </c>
      <c r="G806">
        <v>31.18</v>
      </c>
      <c r="H806">
        <v>18.52</v>
      </c>
      <c r="I806" s="2">
        <v>85987.4</v>
      </c>
      <c r="J806" s="2">
        <v>91654.2</v>
      </c>
      <c r="K806" s="2">
        <f>Table1[[#This Row],[Salary_after]]-Table1[[#This Row],[Salary_before]]</f>
        <v>5666.8000000000029</v>
      </c>
      <c r="L806" s="11">
        <v>6.59E-2</v>
      </c>
      <c r="M806" s="11">
        <v>-0.1061</v>
      </c>
      <c r="N806">
        <v>42.49</v>
      </c>
      <c r="O806">
        <v>84.4</v>
      </c>
      <c r="P806">
        <v>2</v>
      </c>
      <c r="Q806" t="s">
        <v>25</v>
      </c>
      <c r="R806">
        <v>24.86</v>
      </c>
      <c r="S806">
        <v>6.59</v>
      </c>
      <c r="T806" s="4">
        <v>20.013000000000002</v>
      </c>
      <c r="U806" s="4">
        <v>26.332799999999999</v>
      </c>
      <c r="V806" t="str">
        <f>IF(Table1[[#This Row],[ai_disruption_intensity]]&gt;70,"High",
IF(Table1[[#This Row],[ai_disruption_intensity]]&gt;40,"Medium","Low"))</f>
        <v>Low</v>
      </c>
      <c r="W806" t="str">
        <f>IF(Table1[[#This Row],[skill_gap_index]]&gt;70,"Large Gap",
IF(Table1[[#This Row],[skill_gap_index]]&gt;40,"Medium Gap","Small Gap"))</f>
        <v>Small Gap</v>
      </c>
      <c r="X806" s="3" t="str">
        <f>IF(Table1[[#This Row],[automation_risk_percent]]&gt;0.7,"Highly Automatable",
IF(Table1[[#This Row],[automation_risk_percent]]&gt;0.4,"Moderate Risk","Safe Job"))</f>
        <v>Safe Job</v>
      </c>
    </row>
    <row r="807" spans="1:24" x14ac:dyDescent="0.3">
      <c r="A807">
        <v>2898</v>
      </c>
      <c r="B807" t="s">
        <v>44</v>
      </c>
      <c r="C807" t="s">
        <v>34</v>
      </c>
      <c r="D807" t="s">
        <v>31</v>
      </c>
      <c r="E807" s="1">
        <v>2025</v>
      </c>
      <c r="F807" s="11">
        <v>0.30149999999999999</v>
      </c>
      <c r="G807">
        <v>27.02</v>
      </c>
      <c r="H807">
        <v>12.82</v>
      </c>
      <c r="I807" s="2">
        <v>120781.77</v>
      </c>
      <c r="J807" s="2">
        <v>131702.25</v>
      </c>
      <c r="K807" s="2">
        <f>Table1[[#This Row],[Salary_after]]-Table1[[#This Row],[Salary_before]]</f>
        <v>10920.479999999996</v>
      </c>
      <c r="L807" s="11">
        <v>9.0399999999999994E-2</v>
      </c>
      <c r="M807" s="11">
        <v>0.20699999999999999</v>
      </c>
      <c r="N807">
        <v>13.68</v>
      </c>
      <c r="O807">
        <v>76.28</v>
      </c>
      <c r="P807">
        <v>1</v>
      </c>
      <c r="Q807" t="s">
        <v>25</v>
      </c>
      <c r="R807">
        <v>21.484999999999999</v>
      </c>
      <c r="S807">
        <v>9.0399999999999991</v>
      </c>
      <c r="T807" s="4">
        <v>18.617999999999999</v>
      </c>
      <c r="U807" s="4">
        <v>22.998419999999999</v>
      </c>
      <c r="V807" t="str">
        <f>IF(Table1[[#This Row],[ai_disruption_intensity]]&gt;70,"High",
IF(Table1[[#This Row],[ai_disruption_intensity]]&gt;40,"Medium","Low"))</f>
        <v>Low</v>
      </c>
      <c r="W807" t="str">
        <f>IF(Table1[[#This Row],[skill_gap_index]]&gt;70,"Large Gap",
IF(Table1[[#This Row],[skill_gap_index]]&gt;40,"Medium Gap","Small Gap"))</f>
        <v>Small Gap</v>
      </c>
      <c r="X807" s="3" t="str">
        <f>IF(Table1[[#This Row],[automation_risk_percent]]&gt;0.7,"Highly Automatable",
IF(Table1[[#This Row],[automation_risk_percent]]&gt;0.4,"Moderate Risk","Safe Job"))</f>
        <v>Safe Job</v>
      </c>
    </row>
    <row r="808" spans="1:24" x14ac:dyDescent="0.3">
      <c r="A808">
        <v>2902</v>
      </c>
      <c r="B808" t="s">
        <v>39</v>
      </c>
      <c r="C808" t="s">
        <v>27</v>
      </c>
      <c r="D808" t="s">
        <v>20</v>
      </c>
      <c r="E808" s="1">
        <v>2025</v>
      </c>
      <c r="F808" s="11">
        <v>0.61260000000000003</v>
      </c>
      <c r="G808">
        <v>60.3</v>
      </c>
      <c r="H808">
        <v>67.69</v>
      </c>
      <c r="I808" s="2">
        <v>94588.73</v>
      </c>
      <c r="J808" s="2">
        <v>106591.71</v>
      </c>
      <c r="K808" s="2">
        <f>Table1[[#This Row],[Salary_after]]-Table1[[#This Row],[Salary_before]]</f>
        <v>12002.98000000001</v>
      </c>
      <c r="L808" s="11">
        <v>0.12689999999999999</v>
      </c>
      <c r="M808" s="11">
        <v>0.22030000000000002</v>
      </c>
      <c r="N808">
        <v>69.92</v>
      </c>
      <c r="O808">
        <v>19.96</v>
      </c>
      <c r="P808">
        <v>4</v>
      </c>
      <c r="Q808" t="s">
        <v>37</v>
      </c>
      <c r="R808">
        <v>64.474999999999994</v>
      </c>
      <c r="S808">
        <v>12.69</v>
      </c>
      <c r="T808" s="4">
        <v>48.618000000000002</v>
      </c>
      <c r="U808" s="4">
        <v>12.227496</v>
      </c>
      <c r="V808" t="str">
        <f>IF(Table1[[#This Row],[ai_disruption_intensity]]&gt;70,"High",
IF(Table1[[#This Row],[ai_disruption_intensity]]&gt;40,"Medium","Low"))</f>
        <v>Low</v>
      </c>
      <c r="W808" t="str">
        <f>IF(Table1[[#This Row],[skill_gap_index]]&gt;70,"Large Gap",
IF(Table1[[#This Row],[skill_gap_index]]&gt;40,"Medium Gap","Small Gap"))</f>
        <v>Medium Gap</v>
      </c>
      <c r="X808" s="3" t="str">
        <f>IF(Table1[[#This Row],[automation_risk_percent]]&gt;0.7,"Highly Automatable",
IF(Table1[[#This Row],[automation_risk_percent]]&gt;0.4,"Moderate Risk","Safe Job"))</f>
        <v>Moderate Risk</v>
      </c>
    </row>
    <row r="809" spans="1:24" x14ac:dyDescent="0.3">
      <c r="A809">
        <v>2905</v>
      </c>
      <c r="B809" t="s">
        <v>46</v>
      </c>
      <c r="C809" t="s">
        <v>40</v>
      </c>
      <c r="D809" t="s">
        <v>42</v>
      </c>
      <c r="E809" s="1">
        <v>2026</v>
      </c>
      <c r="F809" s="11">
        <v>0.58210000000000006</v>
      </c>
      <c r="G809">
        <v>69.66</v>
      </c>
      <c r="H809">
        <v>62.31</v>
      </c>
      <c r="I809" s="2">
        <v>123504.81</v>
      </c>
      <c r="J809" s="2">
        <v>102945.38</v>
      </c>
      <c r="K809" s="2">
        <f>Table1[[#This Row],[Salary_after]]-Table1[[#This Row],[Salary_before]]</f>
        <v>-20559.429999999993</v>
      </c>
      <c r="L809" s="11">
        <v>-0.16649999999999998</v>
      </c>
      <c r="M809" s="11">
        <v>7.9600000000000004E-2</v>
      </c>
      <c r="N809">
        <v>41.93</v>
      </c>
      <c r="O809">
        <v>89.4</v>
      </c>
      <c r="P809">
        <v>3</v>
      </c>
      <c r="Q809" t="s">
        <v>25</v>
      </c>
      <c r="R809">
        <v>60.26</v>
      </c>
      <c r="S809">
        <v>16.649999999999999</v>
      </c>
      <c r="T809" s="4">
        <v>46.972000000000001</v>
      </c>
      <c r="U809" s="4">
        <v>52.039740000000002</v>
      </c>
      <c r="V809" t="str">
        <f>IF(Table1[[#This Row],[ai_disruption_intensity]]&gt;70,"High",
IF(Table1[[#This Row],[ai_disruption_intensity]]&gt;40,"Medium","Low"))</f>
        <v>Medium</v>
      </c>
      <c r="W809" t="str">
        <f>IF(Table1[[#This Row],[skill_gap_index]]&gt;70,"Large Gap",
IF(Table1[[#This Row],[skill_gap_index]]&gt;40,"Medium Gap","Small Gap"))</f>
        <v>Medium Gap</v>
      </c>
      <c r="X809" s="3" t="str">
        <f>IF(Table1[[#This Row],[automation_risk_percent]]&gt;0.7,"Highly Automatable",
IF(Table1[[#This Row],[automation_risk_percent]]&gt;0.4,"Moderate Risk","Safe Job"))</f>
        <v>Moderate Risk</v>
      </c>
    </row>
    <row r="810" spans="1:24" x14ac:dyDescent="0.3">
      <c r="A810">
        <v>2910</v>
      </c>
      <c r="B810" t="s">
        <v>39</v>
      </c>
      <c r="C810" t="s">
        <v>19</v>
      </c>
      <c r="D810" t="s">
        <v>31</v>
      </c>
      <c r="E810" s="1">
        <v>2026</v>
      </c>
      <c r="F810" s="11">
        <v>0.10099999999999999</v>
      </c>
      <c r="G810">
        <v>9.51</v>
      </c>
      <c r="H810">
        <v>85.79</v>
      </c>
      <c r="I810" s="2">
        <v>33278.339999999997</v>
      </c>
      <c r="J810" s="2">
        <v>42549.39</v>
      </c>
      <c r="K810" s="2">
        <f>Table1[[#This Row],[Salary_after]]-Table1[[#This Row],[Salary_before]]</f>
        <v>9271.0500000000029</v>
      </c>
      <c r="L810" s="11">
        <v>0.27860000000000001</v>
      </c>
      <c r="M810" s="11">
        <v>0.1482</v>
      </c>
      <c r="N810">
        <v>39.880000000000003</v>
      </c>
      <c r="O810">
        <v>24.37</v>
      </c>
      <c r="P810">
        <v>3</v>
      </c>
      <c r="Q810" t="s">
        <v>21</v>
      </c>
      <c r="R810">
        <v>47.945</v>
      </c>
      <c r="S810">
        <v>27.86</v>
      </c>
      <c r="T810" s="4">
        <v>38.134999999999998</v>
      </c>
      <c r="U810" s="4">
        <v>2.4613700000000001</v>
      </c>
      <c r="V810" t="str">
        <f>IF(Table1[[#This Row],[ai_disruption_intensity]]&gt;70,"High",
IF(Table1[[#This Row],[ai_disruption_intensity]]&gt;40,"Medium","Low"))</f>
        <v>Low</v>
      </c>
      <c r="W810" t="str">
        <f>IF(Table1[[#This Row],[skill_gap_index]]&gt;70,"Large Gap",
IF(Table1[[#This Row],[skill_gap_index]]&gt;40,"Medium Gap","Small Gap"))</f>
        <v>Large Gap</v>
      </c>
      <c r="X810" s="3" t="str">
        <f>IF(Table1[[#This Row],[automation_risk_percent]]&gt;0.7,"Highly Automatable",
IF(Table1[[#This Row],[automation_risk_percent]]&gt;0.4,"Moderate Risk","Safe Job"))</f>
        <v>Safe Job</v>
      </c>
    </row>
    <row r="811" spans="1:24" x14ac:dyDescent="0.3">
      <c r="A811">
        <v>2915</v>
      </c>
      <c r="B811" t="s">
        <v>45</v>
      </c>
      <c r="C811" t="s">
        <v>34</v>
      </c>
      <c r="D811" t="s">
        <v>32</v>
      </c>
      <c r="E811" s="1">
        <v>2026</v>
      </c>
      <c r="F811" s="11">
        <v>0.2011</v>
      </c>
      <c r="G811">
        <v>20.87</v>
      </c>
      <c r="H811">
        <v>13.14</v>
      </c>
      <c r="I811" s="2">
        <v>78148.37</v>
      </c>
      <c r="J811" s="2">
        <v>91409.01</v>
      </c>
      <c r="K811" s="2">
        <f>Table1[[#This Row],[Salary_after]]-Table1[[#This Row],[Salary_before]]</f>
        <v>13260.64</v>
      </c>
      <c r="L811" s="11">
        <v>0.16969999999999999</v>
      </c>
      <c r="M811" s="11">
        <v>0.2487</v>
      </c>
      <c r="N811">
        <v>20.72</v>
      </c>
      <c r="O811">
        <v>3.44</v>
      </c>
      <c r="P811">
        <v>2</v>
      </c>
      <c r="Q811" t="s">
        <v>21</v>
      </c>
      <c r="R811">
        <v>16.625</v>
      </c>
      <c r="S811">
        <v>16.97</v>
      </c>
      <c r="T811" s="4">
        <v>17.076999999999899</v>
      </c>
      <c r="U811" s="4">
        <v>0.69178399999999995</v>
      </c>
      <c r="V811" t="str">
        <f>IF(Table1[[#This Row],[ai_disruption_intensity]]&gt;70,"High",
IF(Table1[[#This Row],[ai_disruption_intensity]]&gt;40,"Medium","Low"))</f>
        <v>Low</v>
      </c>
      <c r="W811" t="str">
        <f>IF(Table1[[#This Row],[skill_gap_index]]&gt;70,"Large Gap",
IF(Table1[[#This Row],[skill_gap_index]]&gt;40,"Medium Gap","Small Gap"))</f>
        <v>Small Gap</v>
      </c>
      <c r="X811" s="3" t="str">
        <f>IF(Table1[[#This Row],[automation_risk_percent]]&gt;0.7,"Highly Automatable",
IF(Table1[[#This Row],[automation_risk_percent]]&gt;0.4,"Moderate Risk","Safe Job"))</f>
        <v>Safe Job</v>
      </c>
    </row>
    <row r="812" spans="1:24" x14ac:dyDescent="0.3">
      <c r="A812">
        <v>2922</v>
      </c>
      <c r="B812" t="s">
        <v>41</v>
      </c>
      <c r="C812" t="s">
        <v>23</v>
      </c>
      <c r="D812" t="s">
        <v>32</v>
      </c>
      <c r="E812" s="1">
        <v>2025</v>
      </c>
      <c r="F812" s="11">
        <v>0.71730000000000005</v>
      </c>
      <c r="G812">
        <v>85.35</v>
      </c>
      <c r="H812">
        <v>60.64</v>
      </c>
      <c r="I812" s="2">
        <v>116578.25</v>
      </c>
      <c r="J812" s="2">
        <v>119232.84</v>
      </c>
      <c r="K812" s="2">
        <f>Table1[[#This Row],[Salary_after]]-Table1[[#This Row],[Salary_before]]</f>
        <v>2654.5899999999965</v>
      </c>
      <c r="L812" s="11">
        <v>2.2799999999999997E-2</v>
      </c>
      <c r="M812" s="11">
        <v>-2.3399999999999997E-2</v>
      </c>
      <c r="N812">
        <v>50.85</v>
      </c>
      <c r="O812">
        <v>88.58</v>
      </c>
      <c r="P812">
        <v>3</v>
      </c>
      <c r="Q812" t="s">
        <v>37</v>
      </c>
      <c r="R812">
        <v>66.185000000000002</v>
      </c>
      <c r="S812">
        <v>2.2799999999999998</v>
      </c>
      <c r="T812" s="4">
        <v>47.567999999999998</v>
      </c>
      <c r="U812" s="4">
        <v>63.538434000000002</v>
      </c>
      <c r="V812" t="str">
        <f>IF(Table1[[#This Row],[ai_disruption_intensity]]&gt;70,"High",
IF(Table1[[#This Row],[ai_disruption_intensity]]&gt;40,"Medium","Low"))</f>
        <v>Medium</v>
      </c>
      <c r="W812" t="str">
        <f>IF(Table1[[#This Row],[skill_gap_index]]&gt;70,"Large Gap",
IF(Table1[[#This Row],[skill_gap_index]]&gt;40,"Medium Gap","Small Gap"))</f>
        <v>Medium Gap</v>
      </c>
      <c r="X812" s="3" t="str">
        <f>IF(Table1[[#This Row],[automation_risk_percent]]&gt;0.7,"Highly Automatable",
IF(Table1[[#This Row],[automation_risk_percent]]&gt;0.4,"Moderate Risk","Safe Job"))</f>
        <v>Highly Automatable</v>
      </c>
    </row>
    <row r="813" spans="1:24" x14ac:dyDescent="0.3">
      <c r="A813">
        <v>2923</v>
      </c>
      <c r="B813" t="s">
        <v>46</v>
      </c>
      <c r="C813" t="s">
        <v>30</v>
      </c>
      <c r="D813" t="s">
        <v>35</v>
      </c>
      <c r="E813" s="1">
        <v>2025</v>
      </c>
      <c r="F813" s="11">
        <v>0.2717</v>
      </c>
      <c r="G813">
        <v>29.13</v>
      </c>
      <c r="H813">
        <v>22.82</v>
      </c>
      <c r="I813" s="2">
        <v>61124.7</v>
      </c>
      <c r="J813" s="2">
        <v>52065.3</v>
      </c>
      <c r="K813" s="2">
        <f>Table1[[#This Row],[Salary_after]]-Table1[[#This Row],[Salary_before]]</f>
        <v>-9059.3999999999942</v>
      </c>
      <c r="L813" s="11">
        <v>-0.1482</v>
      </c>
      <c r="M813" s="11">
        <v>-4.3700000000000003E-2</v>
      </c>
      <c r="N813">
        <v>32.85</v>
      </c>
      <c r="O813">
        <v>4.97</v>
      </c>
      <c r="P813">
        <v>5</v>
      </c>
      <c r="Q813" t="s">
        <v>21</v>
      </c>
      <c r="R813">
        <v>24.995000000000001</v>
      </c>
      <c r="S813">
        <v>14.82</v>
      </c>
      <c r="T813" s="4">
        <v>22.16</v>
      </c>
      <c r="U813" s="4">
        <v>1.350349</v>
      </c>
      <c r="V813" t="str">
        <f>IF(Table1[[#This Row],[ai_disruption_intensity]]&gt;70,"High",
IF(Table1[[#This Row],[ai_disruption_intensity]]&gt;40,"Medium","Low"))</f>
        <v>Low</v>
      </c>
      <c r="W813" t="str">
        <f>IF(Table1[[#This Row],[skill_gap_index]]&gt;70,"Large Gap",
IF(Table1[[#This Row],[skill_gap_index]]&gt;40,"Medium Gap","Small Gap"))</f>
        <v>Small Gap</v>
      </c>
      <c r="X813" s="3" t="str">
        <f>IF(Table1[[#This Row],[automation_risk_percent]]&gt;0.7,"Highly Automatable",
IF(Table1[[#This Row],[automation_risk_percent]]&gt;0.4,"Moderate Risk","Safe Job"))</f>
        <v>Safe Job</v>
      </c>
    </row>
    <row r="814" spans="1:24" x14ac:dyDescent="0.3">
      <c r="A814">
        <v>2925</v>
      </c>
      <c r="B814" t="s">
        <v>44</v>
      </c>
      <c r="C814" t="s">
        <v>27</v>
      </c>
      <c r="D814" t="s">
        <v>42</v>
      </c>
      <c r="E814" s="1">
        <v>2026</v>
      </c>
      <c r="F814" s="11">
        <v>0.50219999999999998</v>
      </c>
      <c r="G814">
        <v>45.94</v>
      </c>
      <c r="H814">
        <v>66.290000000000006</v>
      </c>
      <c r="I814" s="2">
        <v>90288.27</v>
      </c>
      <c r="J814" s="2">
        <v>99289.62</v>
      </c>
      <c r="K814" s="2">
        <f>Table1[[#This Row],[Salary_after]]-Table1[[#This Row],[Salary_before]]</f>
        <v>9001.3499999999913</v>
      </c>
      <c r="L814" s="11">
        <v>9.9700000000000011E-2</v>
      </c>
      <c r="M814" s="11">
        <v>-5.0000000000000001E-4</v>
      </c>
      <c r="N814">
        <v>75.489999999999995</v>
      </c>
      <c r="O814">
        <v>39.36</v>
      </c>
      <c r="P814">
        <v>2</v>
      </c>
      <c r="Q814" t="s">
        <v>25</v>
      </c>
      <c r="R814">
        <v>58.255000000000003</v>
      </c>
      <c r="S814">
        <v>9.9700000000000006</v>
      </c>
      <c r="T814" s="4">
        <v>42.966000000000001</v>
      </c>
      <c r="U814" s="4">
        <v>19.766591999999999</v>
      </c>
      <c r="V814" t="str">
        <f>IF(Table1[[#This Row],[ai_disruption_intensity]]&gt;70,"High",
IF(Table1[[#This Row],[ai_disruption_intensity]]&gt;40,"Medium","Low"))</f>
        <v>Low</v>
      </c>
      <c r="W814" t="str">
        <f>IF(Table1[[#This Row],[skill_gap_index]]&gt;70,"Large Gap",
IF(Table1[[#This Row],[skill_gap_index]]&gt;40,"Medium Gap","Small Gap"))</f>
        <v>Medium Gap</v>
      </c>
      <c r="X814" s="3" t="str">
        <f>IF(Table1[[#This Row],[automation_risk_percent]]&gt;0.7,"Highly Automatable",
IF(Table1[[#This Row],[automation_risk_percent]]&gt;0.4,"Moderate Risk","Safe Job"))</f>
        <v>Moderate Risk</v>
      </c>
    </row>
    <row r="815" spans="1:24" x14ac:dyDescent="0.3">
      <c r="A815">
        <v>2926</v>
      </c>
      <c r="B815" t="s">
        <v>29</v>
      </c>
      <c r="C815" t="s">
        <v>38</v>
      </c>
      <c r="D815" t="s">
        <v>32</v>
      </c>
      <c r="E815" s="1">
        <v>2025</v>
      </c>
      <c r="F815" s="11">
        <v>0.84329999999999994</v>
      </c>
      <c r="G815">
        <v>98.51</v>
      </c>
      <c r="H815">
        <v>53.69</v>
      </c>
      <c r="I815" s="2">
        <v>55794.29</v>
      </c>
      <c r="J815" s="2">
        <v>55062.720000000001</v>
      </c>
      <c r="K815" s="2">
        <f>Table1[[#This Row],[Salary_after]]-Table1[[#This Row],[Salary_before]]</f>
        <v>-731.56999999999971</v>
      </c>
      <c r="L815" s="11">
        <v>-1.3100000000000001E-2</v>
      </c>
      <c r="M815" s="11">
        <v>1.5700000000000002E-2</v>
      </c>
      <c r="N815">
        <v>75.430000000000007</v>
      </c>
      <c r="O815">
        <v>92.33</v>
      </c>
      <c r="P815">
        <v>4</v>
      </c>
      <c r="Q815" t="s">
        <v>37</v>
      </c>
      <c r="R815">
        <v>69.009999999999906</v>
      </c>
      <c r="S815">
        <v>1.31</v>
      </c>
      <c r="T815" s="4">
        <v>50.231999999999999</v>
      </c>
      <c r="U815" s="4">
        <v>77.861889000000005</v>
      </c>
      <c r="V815" t="str">
        <f>IF(Table1[[#This Row],[ai_disruption_intensity]]&gt;70,"High",
IF(Table1[[#This Row],[ai_disruption_intensity]]&gt;40,"Medium","Low"))</f>
        <v>High</v>
      </c>
      <c r="W815" t="str">
        <f>IF(Table1[[#This Row],[skill_gap_index]]&gt;70,"Large Gap",
IF(Table1[[#This Row],[skill_gap_index]]&gt;40,"Medium Gap","Small Gap"))</f>
        <v>Medium Gap</v>
      </c>
      <c r="X815" s="3" t="str">
        <f>IF(Table1[[#This Row],[automation_risk_percent]]&gt;0.7,"Highly Automatable",
IF(Table1[[#This Row],[automation_risk_percent]]&gt;0.4,"Moderate Risk","Safe Job"))</f>
        <v>Highly Automatable</v>
      </c>
    </row>
    <row r="816" spans="1:24" x14ac:dyDescent="0.3">
      <c r="A816">
        <v>2927</v>
      </c>
      <c r="B816" t="s">
        <v>43</v>
      </c>
      <c r="C816" t="s">
        <v>34</v>
      </c>
      <c r="D816" t="s">
        <v>24</v>
      </c>
      <c r="E816" s="1">
        <v>2026</v>
      </c>
      <c r="F816" s="11">
        <v>0.54610000000000003</v>
      </c>
      <c r="G816">
        <v>64.48</v>
      </c>
      <c r="H816">
        <v>9.24</v>
      </c>
      <c r="I816" s="2">
        <v>37290.449999999997</v>
      </c>
      <c r="J816" s="2">
        <v>38848</v>
      </c>
      <c r="K816" s="2">
        <f>Table1[[#This Row],[Salary_after]]-Table1[[#This Row],[Salary_before]]</f>
        <v>1557.5500000000029</v>
      </c>
      <c r="L816" s="11">
        <v>4.1799999999999997E-2</v>
      </c>
      <c r="M816" s="11">
        <v>5.9299999999999999E-2</v>
      </c>
      <c r="N816">
        <v>55.24</v>
      </c>
      <c r="O816">
        <v>5.15</v>
      </c>
      <c r="P816">
        <v>3</v>
      </c>
      <c r="Q816" t="s">
        <v>25</v>
      </c>
      <c r="R816">
        <v>31.925000000000001</v>
      </c>
      <c r="S816">
        <v>4.18</v>
      </c>
      <c r="T816" s="4">
        <v>25.87</v>
      </c>
      <c r="U816" s="4">
        <v>2.8124150000000001</v>
      </c>
      <c r="V816" t="str">
        <f>IF(Table1[[#This Row],[ai_disruption_intensity]]&gt;70,"High",
IF(Table1[[#This Row],[ai_disruption_intensity]]&gt;40,"Medium","Low"))</f>
        <v>Low</v>
      </c>
      <c r="W816" t="str">
        <f>IF(Table1[[#This Row],[skill_gap_index]]&gt;70,"Large Gap",
IF(Table1[[#This Row],[skill_gap_index]]&gt;40,"Medium Gap","Small Gap"))</f>
        <v>Small Gap</v>
      </c>
      <c r="X816" s="3" t="str">
        <f>IF(Table1[[#This Row],[automation_risk_percent]]&gt;0.7,"Highly Automatable",
IF(Table1[[#This Row],[automation_risk_percent]]&gt;0.4,"Moderate Risk","Safe Job"))</f>
        <v>Moderate Risk</v>
      </c>
    </row>
    <row r="817" spans="1:24" x14ac:dyDescent="0.3">
      <c r="A817">
        <v>2930</v>
      </c>
      <c r="B817" t="s">
        <v>22</v>
      </c>
      <c r="C817" t="s">
        <v>23</v>
      </c>
      <c r="D817" t="s">
        <v>20</v>
      </c>
      <c r="E817" s="1">
        <v>2025</v>
      </c>
      <c r="F817" s="11">
        <v>0.56040000000000001</v>
      </c>
      <c r="G817">
        <v>54.77</v>
      </c>
      <c r="H817">
        <v>29.07</v>
      </c>
      <c r="I817" s="2">
        <v>80236.06</v>
      </c>
      <c r="J817" s="2">
        <v>87137.84</v>
      </c>
      <c r="K817" s="2">
        <f>Table1[[#This Row],[Salary_after]]-Table1[[#This Row],[Salary_before]]</f>
        <v>6901.7799999999988</v>
      </c>
      <c r="L817" s="11">
        <v>8.5999999999999993E-2</v>
      </c>
      <c r="M817" s="11">
        <v>3.85E-2</v>
      </c>
      <c r="N817">
        <v>19.309999999999999</v>
      </c>
      <c r="O817">
        <v>27.97</v>
      </c>
      <c r="P817">
        <v>1</v>
      </c>
      <c r="Q817" t="s">
        <v>25</v>
      </c>
      <c r="R817">
        <v>42.555</v>
      </c>
      <c r="S817">
        <v>8.6</v>
      </c>
      <c r="T817" s="4">
        <v>33.716999999999999</v>
      </c>
      <c r="U817" s="4">
        <v>15.674387999999899</v>
      </c>
      <c r="V817" t="str">
        <f>IF(Table1[[#This Row],[ai_disruption_intensity]]&gt;70,"High",
IF(Table1[[#This Row],[ai_disruption_intensity]]&gt;40,"Medium","Low"))</f>
        <v>Low</v>
      </c>
      <c r="W817" t="str">
        <f>IF(Table1[[#This Row],[skill_gap_index]]&gt;70,"Large Gap",
IF(Table1[[#This Row],[skill_gap_index]]&gt;40,"Medium Gap","Small Gap"))</f>
        <v>Small Gap</v>
      </c>
      <c r="X817" s="3" t="str">
        <f>IF(Table1[[#This Row],[automation_risk_percent]]&gt;0.7,"Highly Automatable",
IF(Table1[[#This Row],[automation_risk_percent]]&gt;0.4,"Moderate Risk","Safe Job"))</f>
        <v>Moderate Risk</v>
      </c>
    </row>
    <row r="818" spans="1:24" x14ac:dyDescent="0.3">
      <c r="A818">
        <v>2934</v>
      </c>
      <c r="B818" t="s">
        <v>22</v>
      </c>
      <c r="C818" t="s">
        <v>33</v>
      </c>
      <c r="D818" t="s">
        <v>36</v>
      </c>
      <c r="E818" s="1">
        <v>2026</v>
      </c>
      <c r="F818" s="11">
        <v>0.76700000000000002</v>
      </c>
      <c r="G818">
        <v>64.010000000000005</v>
      </c>
      <c r="H818">
        <v>93.89</v>
      </c>
      <c r="I818" s="2">
        <v>67348.570000000007</v>
      </c>
      <c r="J818" s="2">
        <v>60685.24</v>
      </c>
      <c r="K818" s="2">
        <f>Table1[[#This Row],[Salary_after]]-Table1[[#This Row],[Salary_before]]</f>
        <v>-6663.330000000009</v>
      </c>
      <c r="L818" s="11">
        <v>-9.8900000000000002E-2</v>
      </c>
      <c r="M818" s="11">
        <v>5.3200000000000004E-2</v>
      </c>
      <c r="N818">
        <v>16.38</v>
      </c>
      <c r="O818">
        <v>42.95</v>
      </c>
      <c r="P818">
        <v>3</v>
      </c>
      <c r="Q818" t="s">
        <v>37</v>
      </c>
      <c r="R818">
        <v>85.295000000000002</v>
      </c>
      <c r="S818">
        <v>9.89</v>
      </c>
      <c r="T818" s="4">
        <v>61.814</v>
      </c>
      <c r="U818" s="4">
        <v>32.94265</v>
      </c>
      <c r="V818" t="str">
        <f>IF(Table1[[#This Row],[ai_disruption_intensity]]&gt;70,"High",
IF(Table1[[#This Row],[ai_disruption_intensity]]&gt;40,"Medium","Low"))</f>
        <v>Low</v>
      </c>
      <c r="W818" t="str">
        <f>IF(Table1[[#This Row],[skill_gap_index]]&gt;70,"Large Gap",
IF(Table1[[#This Row],[skill_gap_index]]&gt;40,"Medium Gap","Small Gap"))</f>
        <v>Large Gap</v>
      </c>
      <c r="X818" s="3" t="str">
        <f>IF(Table1[[#This Row],[automation_risk_percent]]&gt;0.7,"Highly Automatable",
IF(Table1[[#This Row],[automation_risk_percent]]&gt;0.4,"Moderate Risk","Safe Job"))</f>
        <v>Highly Automatable</v>
      </c>
    </row>
    <row r="819" spans="1:24" x14ac:dyDescent="0.3">
      <c r="A819">
        <v>2937</v>
      </c>
      <c r="B819" t="s">
        <v>26</v>
      </c>
      <c r="C819" t="s">
        <v>23</v>
      </c>
      <c r="D819" t="s">
        <v>24</v>
      </c>
      <c r="E819" s="1">
        <v>2026</v>
      </c>
      <c r="F819" s="11">
        <v>0.24609999999999999</v>
      </c>
      <c r="G819">
        <v>25.96</v>
      </c>
      <c r="H819">
        <v>96.15</v>
      </c>
      <c r="I819" s="2">
        <v>147145.15</v>
      </c>
      <c r="J819" s="2">
        <v>161951.5</v>
      </c>
      <c r="K819" s="2">
        <f>Table1[[#This Row],[Salary_after]]-Table1[[#This Row],[Salary_before]]</f>
        <v>14806.350000000006</v>
      </c>
      <c r="L819" s="11">
        <v>0.10060000000000001</v>
      </c>
      <c r="M819" s="11">
        <v>0.13189999999999999</v>
      </c>
      <c r="N819">
        <v>60.71</v>
      </c>
      <c r="O819">
        <v>75.58</v>
      </c>
      <c r="P819">
        <v>4</v>
      </c>
      <c r="Q819" t="s">
        <v>21</v>
      </c>
      <c r="R819">
        <v>60.38</v>
      </c>
      <c r="S819">
        <v>10.06</v>
      </c>
      <c r="T819" s="4">
        <v>41.707000000000001</v>
      </c>
      <c r="U819" s="4">
        <v>18.600238000000001</v>
      </c>
      <c r="V819" t="str">
        <f>IF(Table1[[#This Row],[ai_disruption_intensity]]&gt;70,"High",
IF(Table1[[#This Row],[ai_disruption_intensity]]&gt;40,"Medium","Low"))</f>
        <v>Low</v>
      </c>
      <c r="W819" t="str">
        <f>IF(Table1[[#This Row],[skill_gap_index]]&gt;70,"Large Gap",
IF(Table1[[#This Row],[skill_gap_index]]&gt;40,"Medium Gap","Small Gap"))</f>
        <v>Large Gap</v>
      </c>
      <c r="X819" s="3" t="str">
        <f>IF(Table1[[#This Row],[automation_risk_percent]]&gt;0.7,"Highly Automatable",
IF(Table1[[#This Row],[automation_risk_percent]]&gt;0.4,"Moderate Risk","Safe Job"))</f>
        <v>Safe Job</v>
      </c>
    </row>
    <row r="820" spans="1:24" x14ac:dyDescent="0.3">
      <c r="A820">
        <v>2938</v>
      </c>
      <c r="B820" t="s">
        <v>43</v>
      </c>
      <c r="C820" t="s">
        <v>38</v>
      </c>
      <c r="D820" t="s">
        <v>20</v>
      </c>
      <c r="E820" s="1">
        <v>2025</v>
      </c>
      <c r="F820" s="11">
        <v>0.70180000000000009</v>
      </c>
      <c r="G820">
        <v>69.790000000000006</v>
      </c>
      <c r="H820">
        <v>61.99</v>
      </c>
      <c r="I820" s="2">
        <v>94478</v>
      </c>
      <c r="J820" s="2">
        <v>103535.67999999999</v>
      </c>
      <c r="K820" s="2">
        <f>Table1[[#This Row],[Salary_after]]-Table1[[#This Row],[Salary_before]]</f>
        <v>9057.679999999993</v>
      </c>
      <c r="L820" s="11">
        <v>9.5899999999999999E-2</v>
      </c>
      <c r="M820" s="11">
        <v>6.54E-2</v>
      </c>
      <c r="N820">
        <v>42.01</v>
      </c>
      <c r="O820">
        <v>20.82</v>
      </c>
      <c r="P820">
        <v>1</v>
      </c>
      <c r="Q820" t="s">
        <v>37</v>
      </c>
      <c r="R820">
        <v>66.084999999999994</v>
      </c>
      <c r="S820">
        <v>9.59</v>
      </c>
      <c r="T820" s="4">
        <v>49.545999999999999</v>
      </c>
      <c r="U820" s="4">
        <v>14.611476</v>
      </c>
      <c r="V820" t="str">
        <f>IF(Table1[[#This Row],[ai_disruption_intensity]]&gt;70,"High",
IF(Table1[[#This Row],[ai_disruption_intensity]]&gt;40,"Medium","Low"))</f>
        <v>Low</v>
      </c>
      <c r="W820" t="str">
        <f>IF(Table1[[#This Row],[skill_gap_index]]&gt;70,"Large Gap",
IF(Table1[[#This Row],[skill_gap_index]]&gt;40,"Medium Gap","Small Gap"))</f>
        <v>Medium Gap</v>
      </c>
      <c r="X820" s="3" t="str">
        <f>IF(Table1[[#This Row],[automation_risk_percent]]&gt;0.7,"Highly Automatable",
IF(Table1[[#This Row],[automation_risk_percent]]&gt;0.4,"Moderate Risk","Safe Job"))</f>
        <v>Highly Automatable</v>
      </c>
    </row>
    <row r="821" spans="1:24" x14ac:dyDescent="0.3">
      <c r="A821">
        <v>2939</v>
      </c>
      <c r="B821" t="s">
        <v>22</v>
      </c>
      <c r="C821" t="s">
        <v>19</v>
      </c>
      <c r="D821" t="s">
        <v>35</v>
      </c>
      <c r="E821" s="1">
        <v>2025</v>
      </c>
      <c r="F821" s="11">
        <v>0.4194</v>
      </c>
      <c r="G821">
        <v>37.04</v>
      </c>
      <c r="H821">
        <v>49.84</v>
      </c>
      <c r="I821" s="2">
        <v>138420.97</v>
      </c>
      <c r="J821" s="2">
        <v>152563.79</v>
      </c>
      <c r="K821" s="2">
        <f>Table1[[#This Row],[Salary_after]]-Table1[[#This Row],[Salary_before]]</f>
        <v>14142.820000000007</v>
      </c>
      <c r="L821" s="11">
        <v>0.10220000000000001</v>
      </c>
      <c r="M821" s="11">
        <v>8.3800000000000013E-2</v>
      </c>
      <c r="N821">
        <v>24.96</v>
      </c>
      <c r="O821">
        <v>90.09</v>
      </c>
      <c r="P821">
        <v>5</v>
      </c>
      <c r="Q821" t="s">
        <v>25</v>
      </c>
      <c r="R821">
        <v>45.89</v>
      </c>
      <c r="S821">
        <v>10.220000000000001</v>
      </c>
      <c r="T821" s="4">
        <v>34.793999999999997</v>
      </c>
      <c r="U821" s="4">
        <v>37.783746000000001</v>
      </c>
      <c r="V821" t="str">
        <f>IF(Table1[[#This Row],[ai_disruption_intensity]]&gt;70,"High",
IF(Table1[[#This Row],[ai_disruption_intensity]]&gt;40,"Medium","Low"))</f>
        <v>Low</v>
      </c>
      <c r="W821" t="str">
        <f>IF(Table1[[#This Row],[skill_gap_index]]&gt;70,"Large Gap",
IF(Table1[[#This Row],[skill_gap_index]]&gt;40,"Medium Gap","Small Gap"))</f>
        <v>Medium Gap</v>
      </c>
      <c r="X821" s="3" t="str">
        <f>IF(Table1[[#This Row],[automation_risk_percent]]&gt;0.7,"Highly Automatable",
IF(Table1[[#This Row],[automation_risk_percent]]&gt;0.4,"Moderate Risk","Safe Job"))</f>
        <v>Moderate Risk</v>
      </c>
    </row>
    <row r="822" spans="1:24" x14ac:dyDescent="0.3">
      <c r="A822">
        <v>2942</v>
      </c>
      <c r="B822" t="s">
        <v>41</v>
      </c>
      <c r="C822" t="s">
        <v>34</v>
      </c>
      <c r="D822" t="s">
        <v>36</v>
      </c>
      <c r="E822" s="1">
        <v>2025</v>
      </c>
      <c r="F822" s="11">
        <v>0.90439999999999998</v>
      </c>
      <c r="G822">
        <v>103.96</v>
      </c>
      <c r="H822">
        <v>52.24</v>
      </c>
      <c r="I822" s="2">
        <v>136099.70000000001</v>
      </c>
      <c r="J822" s="2">
        <v>133880.44</v>
      </c>
      <c r="K822" s="2">
        <f>Table1[[#This Row],[Salary_after]]-Table1[[#This Row],[Salary_before]]</f>
        <v>-2219.2600000000093</v>
      </c>
      <c r="L822" s="11">
        <v>-1.6299999999999999E-2</v>
      </c>
      <c r="M822" s="11">
        <v>0.12560000000000002</v>
      </c>
      <c r="N822">
        <v>35.51</v>
      </c>
      <c r="O822">
        <v>9.83</v>
      </c>
      <c r="P822">
        <v>3</v>
      </c>
      <c r="Q822" t="s">
        <v>37</v>
      </c>
      <c r="R822">
        <v>71.34</v>
      </c>
      <c r="S822">
        <v>1.63</v>
      </c>
      <c r="T822" s="4">
        <v>52.336999999999897</v>
      </c>
      <c r="U822" s="4">
        <v>8.8902520000000003</v>
      </c>
      <c r="V822" t="str">
        <f>IF(Table1[[#This Row],[ai_disruption_intensity]]&gt;70,"High",
IF(Table1[[#This Row],[ai_disruption_intensity]]&gt;40,"Medium","Low"))</f>
        <v>Low</v>
      </c>
      <c r="W822" t="str">
        <f>IF(Table1[[#This Row],[skill_gap_index]]&gt;70,"Large Gap",
IF(Table1[[#This Row],[skill_gap_index]]&gt;40,"Medium Gap","Small Gap"))</f>
        <v>Medium Gap</v>
      </c>
      <c r="X822" s="3" t="str">
        <f>IF(Table1[[#This Row],[automation_risk_percent]]&gt;0.7,"Highly Automatable",
IF(Table1[[#This Row],[automation_risk_percent]]&gt;0.4,"Moderate Risk","Safe Job"))</f>
        <v>Highly Automatable</v>
      </c>
    </row>
    <row r="823" spans="1:24" x14ac:dyDescent="0.3">
      <c r="A823">
        <v>2946</v>
      </c>
      <c r="B823" t="s">
        <v>39</v>
      </c>
      <c r="C823" t="s">
        <v>38</v>
      </c>
      <c r="D823" t="s">
        <v>36</v>
      </c>
      <c r="E823" s="1">
        <v>2025</v>
      </c>
      <c r="F823" s="11">
        <v>0.38090000000000002</v>
      </c>
      <c r="G823">
        <v>32.21</v>
      </c>
      <c r="H823">
        <v>71.900000000000006</v>
      </c>
      <c r="I823" s="2">
        <v>128890.51</v>
      </c>
      <c r="J823" s="2">
        <v>117345.94</v>
      </c>
      <c r="K823" s="2">
        <f>Table1[[#This Row],[Salary_after]]-Table1[[#This Row],[Salary_before]]</f>
        <v>-11544.569999999992</v>
      </c>
      <c r="L823" s="11">
        <v>-8.9600000000000013E-2</v>
      </c>
      <c r="M823" s="11">
        <v>0.12570000000000001</v>
      </c>
      <c r="N823">
        <v>96.1</v>
      </c>
      <c r="O823">
        <v>2.5299999999999998</v>
      </c>
      <c r="P823">
        <v>1</v>
      </c>
      <c r="Q823" t="s">
        <v>25</v>
      </c>
      <c r="R823">
        <v>54.994999999999997</v>
      </c>
      <c r="S823">
        <v>8.9600000000000009</v>
      </c>
      <c r="T823" s="4">
        <v>39.494</v>
      </c>
      <c r="U823" s="4">
        <v>0.96367700000000001</v>
      </c>
      <c r="V823" t="str">
        <f>IF(Table1[[#This Row],[ai_disruption_intensity]]&gt;70,"High",
IF(Table1[[#This Row],[ai_disruption_intensity]]&gt;40,"Medium","Low"))</f>
        <v>Low</v>
      </c>
      <c r="W823" t="str">
        <f>IF(Table1[[#This Row],[skill_gap_index]]&gt;70,"Large Gap",
IF(Table1[[#This Row],[skill_gap_index]]&gt;40,"Medium Gap","Small Gap"))</f>
        <v>Large Gap</v>
      </c>
      <c r="X823" s="3" t="str">
        <f>IF(Table1[[#This Row],[automation_risk_percent]]&gt;0.7,"Highly Automatable",
IF(Table1[[#This Row],[automation_risk_percent]]&gt;0.4,"Moderate Risk","Safe Job"))</f>
        <v>Safe Job</v>
      </c>
    </row>
    <row r="824" spans="1:24" x14ac:dyDescent="0.3">
      <c r="A824">
        <v>2948</v>
      </c>
      <c r="B824" t="s">
        <v>46</v>
      </c>
      <c r="C824" t="s">
        <v>38</v>
      </c>
      <c r="D824" t="s">
        <v>36</v>
      </c>
      <c r="E824" s="1">
        <v>2025</v>
      </c>
      <c r="F824" s="11">
        <v>0.3281</v>
      </c>
      <c r="G824">
        <v>35.74</v>
      </c>
      <c r="H824">
        <v>84.36</v>
      </c>
      <c r="I824" s="2">
        <v>85836.86</v>
      </c>
      <c r="J824" s="2">
        <v>85056.43</v>
      </c>
      <c r="K824" s="2">
        <f>Table1[[#This Row],[Salary_after]]-Table1[[#This Row],[Salary_before]]</f>
        <v>-780.43000000000757</v>
      </c>
      <c r="L824" s="11">
        <v>-9.1000000000000004E-3</v>
      </c>
      <c r="M824" s="11">
        <v>0.19940000000000002</v>
      </c>
      <c r="N824">
        <v>44.78</v>
      </c>
      <c r="O824">
        <v>52.61</v>
      </c>
      <c r="P824">
        <v>1</v>
      </c>
      <c r="Q824" t="s">
        <v>25</v>
      </c>
      <c r="R824">
        <v>58.585000000000001</v>
      </c>
      <c r="S824">
        <v>0.91</v>
      </c>
      <c r="T824" s="4">
        <v>38.704999999999998</v>
      </c>
      <c r="U824" s="4">
        <v>17.261341000000002</v>
      </c>
      <c r="V824" t="str">
        <f>IF(Table1[[#This Row],[ai_disruption_intensity]]&gt;70,"High",
IF(Table1[[#This Row],[ai_disruption_intensity]]&gt;40,"Medium","Low"))</f>
        <v>Low</v>
      </c>
      <c r="W824" t="str">
        <f>IF(Table1[[#This Row],[skill_gap_index]]&gt;70,"Large Gap",
IF(Table1[[#This Row],[skill_gap_index]]&gt;40,"Medium Gap","Small Gap"))</f>
        <v>Large Gap</v>
      </c>
      <c r="X824" s="3" t="str">
        <f>IF(Table1[[#This Row],[automation_risk_percent]]&gt;0.7,"Highly Automatable",
IF(Table1[[#This Row],[automation_risk_percent]]&gt;0.4,"Moderate Risk","Safe Job"))</f>
        <v>Safe Job</v>
      </c>
    </row>
    <row r="825" spans="1:24" x14ac:dyDescent="0.3">
      <c r="A825">
        <v>2949</v>
      </c>
      <c r="B825" t="s">
        <v>29</v>
      </c>
      <c r="C825" t="s">
        <v>27</v>
      </c>
      <c r="D825" t="s">
        <v>20</v>
      </c>
      <c r="E825" s="1">
        <v>2025</v>
      </c>
      <c r="F825" s="11">
        <v>0.72310000000000008</v>
      </c>
      <c r="G825">
        <v>78.87</v>
      </c>
      <c r="H825">
        <v>35.67</v>
      </c>
      <c r="I825" s="2">
        <v>98558.43</v>
      </c>
      <c r="J825" s="2">
        <v>92024.11</v>
      </c>
      <c r="K825" s="2">
        <f>Table1[[#This Row],[Salary_after]]-Table1[[#This Row],[Salary_before]]</f>
        <v>-6534.3199999999924</v>
      </c>
      <c r="L825" s="11">
        <v>-6.6299999999999998E-2</v>
      </c>
      <c r="M825" s="11">
        <v>-8.8999999999999999E-3</v>
      </c>
      <c r="N825">
        <v>70.900000000000006</v>
      </c>
      <c r="O825">
        <v>41.47</v>
      </c>
      <c r="P825">
        <v>3</v>
      </c>
      <c r="Q825" t="s">
        <v>37</v>
      </c>
      <c r="R825">
        <v>53.99</v>
      </c>
      <c r="S825">
        <v>6.63</v>
      </c>
      <c r="T825" s="4">
        <v>41.613999999999997</v>
      </c>
      <c r="U825" s="4">
        <v>29.986957</v>
      </c>
      <c r="V825" t="str">
        <f>IF(Table1[[#This Row],[ai_disruption_intensity]]&gt;70,"High",
IF(Table1[[#This Row],[ai_disruption_intensity]]&gt;40,"Medium","Low"))</f>
        <v>Low</v>
      </c>
      <c r="W825" t="str">
        <f>IF(Table1[[#This Row],[skill_gap_index]]&gt;70,"Large Gap",
IF(Table1[[#This Row],[skill_gap_index]]&gt;40,"Medium Gap","Small Gap"))</f>
        <v>Small Gap</v>
      </c>
      <c r="X825" s="3" t="str">
        <f>IF(Table1[[#This Row],[automation_risk_percent]]&gt;0.7,"Highly Automatable",
IF(Table1[[#This Row],[automation_risk_percent]]&gt;0.4,"Moderate Risk","Safe Job"))</f>
        <v>Highly Automatable</v>
      </c>
    </row>
    <row r="826" spans="1:24" x14ac:dyDescent="0.3">
      <c r="A826">
        <v>2950</v>
      </c>
      <c r="B826" t="s">
        <v>26</v>
      </c>
      <c r="C826" t="s">
        <v>19</v>
      </c>
      <c r="D826" t="s">
        <v>36</v>
      </c>
      <c r="E826" s="1">
        <v>2026</v>
      </c>
      <c r="F826" s="11">
        <v>0.05</v>
      </c>
      <c r="G826">
        <v>4.6900000000000004</v>
      </c>
      <c r="H826">
        <v>80.67</v>
      </c>
      <c r="I826" s="2">
        <v>125691.23</v>
      </c>
      <c r="J826" s="2">
        <v>83774.55</v>
      </c>
      <c r="K826" s="2">
        <f>Table1[[#This Row],[Salary_after]]-Table1[[#This Row],[Salary_before]]</f>
        <v>-41916.679999999993</v>
      </c>
      <c r="L826" s="11">
        <v>-0.33350000000000002</v>
      </c>
      <c r="M826" s="11">
        <v>-1.46E-2</v>
      </c>
      <c r="N826">
        <v>62.16</v>
      </c>
      <c r="O826">
        <v>21.94</v>
      </c>
      <c r="P826">
        <v>1</v>
      </c>
      <c r="Q826" t="s">
        <v>21</v>
      </c>
      <c r="R826">
        <v>42.835000000000001</v>
      </c>
      <c r="S826">
        <v>33.35</v>
      </c>
      <c r="T826" s="4">
        <v>36.206000000000003</v>
      </c>
      <c r="U826" s="4">
        <v>1.097</v>
      </c>
      <c r="V826" t="str">
        <f>IF(Table1[[#This Row],[ai_disruption_intensity]]&gt;70,"High",
IF(Table1[[#This Row],[ai_disruption_intensity]]&gt;40,"Medium","Low"))</f>
        <v>Low</v>
      </c>
      <c r="W826" t="str">
        <f>IF(Table1[[#This Row],[skill_gap_index]]&gt;70,"Large Gap",
IF(Table1[[#This Row],[skill_gap_index]]&gt;40,"Medium Gap","Small Gap"))</f>
        <v>Large Gap</v>
      </c>
      <c r="X826" s="3" t="str">
        <f>IF(Table1[[#This Row],[automation_risk_percent]]&gt;0.7,"Highly Automatable",
IF(Table1[[#This Row],[automation_risk_percent]]&gt;0.4,"Moderate Risk","Safe Job"))</f>
        <v>Safe Job</v>
      </c>
    </row>
    <row r="827" spans="1:24" x14ac:dyDescent="0.3">
      <c r="A827">
        <v>2951</v>
      </c>
      <c r="B827" t="s">
        <v>41</v>
      </c>
      <c r="C827" t="s">
        <v>19</v>
      </c>
      <c r="D827" t="s">
        <v>47</v>
      </c>
      <c r="E827" s="1">
        <v>2026</v>
      </c>
      <c r="F827" s="11">
        <v>0.61819999999999997</v>
      </c>
      <c r="G827">
        <v>49.73</v>
      </c>
      <c r="H827">
        <v>47.56</v>
      </c>
      <c r="I827" s="2">
        <v>70326.13</v>
      </c>
      <c r="J827" s="2">
        <v>78168.399999999994</v>
      </c>
      <c r="K827" s="2">
        <f>Table1[[#This Row],[Salary_after]]-Table1[[#This Row],[Salary_before]]</f>
        <v>7842.2699999999895</v>
      </c>
      <c r="L827" s="11">
        <v>0.1115</v>
      </c>
      <c r="M827" s="11">
        <v>0.19089999999999999</v>
      </c>
      <c r="N827">
        <v>44.28</v>
      </c>
      <c r="O827">
        <v>0.73</v>
      </c>
      <c r="P827">
        <v>3</v>
      </c>
      <c r="Q827" t="s">
        <v>37</v>
      </c>
      <c r="R827">
        <v>54.69</v>
      </c>
      <c r="S827">
        <v>11.15</v>
      </c>
      <c r="T827" s="4">
        <v>42.341000000000001</v>
      </c>
      <c r="U827" s="4">
        <v>0.45128599999999902</v>
      </c>
      <c r="V827" t="str">
        <f>IF(Table1[[#This Row],[ai_disruption_intensity]]&gt;70,"High",
IF(Table1[[#This Row],[ai_disruption_intensity]]&gt;40,"Medium","Low"))</f>
        <v>Low</v>
      </c>
      <c r="W827" t="str">
        <f>IF(Table1[[#This Row],[skill_gap_index]]&gt;70,"Large Gap",
IF(Table1[[#This Row],[skill_gap_index]]&gt;40,"Medium Gap","Small Gap"))</f>
        <v>Medium Gap</v>
      </c>
      <c r="X827" s="3" t="str">
        <f>IF(Table1[[#This Row],[automation_risk_percent]]&gt;0.7,"Highly Automatable",
IF(Table1[[#This Row],[automation_risk_percent]]&gt;0.4,"Moderate Risk","Safe Job"))</f>
        <v>Moderate Risk</v>
      </c>
    </row>
    <row r="828" spans="1:24" x14ac:dyDescent="0.3">
      <c r="A828">
        <v>2953</v>
      </c>
      <c r="B828" t="s">
        <v>39</v>
      </c>
      <c r="C828" t="s">
        <v>40</v>
      </c>
      <c r="D828" t="s">
        <v>35</v>
      </c>
      <c r="E828" s="1">
        <v>2026</v>
      </c>
      <c r="F828" s="11">
        <v>0.76200000000000001</v>
      </c>
      <c r="G828">
        <v>89.78</v>
      </c>
      <c r="H828">
        <v>30.75</v>
      </c>
      <c r="I828" s="2">
        <v>127198.55</v>
      </c>
      <c r="J828" s="2">
        <v>131601.72</v>
      </c>
      <c r="K828" s="2">
        <f>Table1[[#This Row],[Salary_after]]-Table1[[#This Row],[Salary_before]]</f>
        <v>4403.1699999999983</v>
      </c>
      <c r="L828" s="11">
        <v>3.4599999999999999E-2</v>
      </c>
      <c r="M828" s="11">
        <v>5.6799999999999996E-2</v>
      </c>
      <c r="N828">
        <v>52.99</v>
      </c>
      <c r="O828">
        <v>77.47</v>
      </c>
      <c r="P828">
        <v>2</v>
      </c>
      <c r="Q828" t="s">
        <v>37</v>
      </c>
      <c r="R828">
        <v>53.475000000000001</v>
      </c>
      <c r="S828">
        <v>3.46</v>
      </c>
      <c r="T828" s="4">
        <v>40.743000000000002</v>
      </c>
      <c r="U828" s="4">
        <v>59.032139999999998</v>
      </c>
      <c r="V828" t="str">
        <f>IF(Table1[[#This Row],[ai_disruption_intensity]]&gt;70,"High",
IF(Table1[[#This Row],[ai_disruption_intensity]]&gt;40,"Medium","Low"))</f>
        <v>Medium</v>
      </c>
      <c r="W828" t="str">
        <f>IF(Table1[[#This Row],[skill_gap_index]]&gt;70,"Large Gap",
IF(Table1[[#This Row],[skill_gap_index]]&gt;40,"Medium Gap","Small Gap"))</f>
        <v>Small Gap</v>
      </c>
      <c r="X828" s="3" t="str">
        <f>IF(Table1[[#This Row],[automation_risk_percent]]&gt;0.7,"Highly Automatable",
IF(Table1[[#This Row],[automation_risk_percent]]&gt;0.4,"Moderate Risk","Safe Job"))</f>
        <v>Highly Automatable</v>
      </c>
    </row>
    <row r="829" spans="1:24" x14ac:dyDescent="0.3">
      <c r="A829">
        <v>2954</v>
      </c>
      <c r="B829" t="s">
        <v>29</v>
      </c>
      <c r="C829" t="s">
        <v>23</v>
      </c>
      <c r="D829" t="s">
        <v>36</v>
      </c>
      <c r="E829" s="1">
        <v>2026</v>
      </c>
      <c r="F829" s="11">
        <v>0.78769999999999996</v>
      </c>
      <c r="G829">
        <v>78.69</v>
      </c>
      <c r="H829">
        <v>79.56</v>
      </c>
      <c r="I829" s="2">
        <v>61324.84</v>
      </c>
      <c r="J829" s="2">
        <v>60106.83</v>
      </c>
      <c r="K829" s="2">
        <f>Table1[[#This Row],[Salary_after]]-Table1[[#This Row],[Salary_before]]</f>
        <v>-1218.0099999999948</v>
      </c>
      <c r="L829" s="11">
        <v>-1.9900000000000001E-2</v>
      </c>
      <c r="M829" s="11">
        <v>-5.0300000000000004E-2</v>
      </c>
      <c r="N829">
        <v>94.93</v>
      </c>
      <c r="O829">
        <v>50.07</v>
      </c>
      <c r="P829">
        <v>3</v>
      </c>
      <c r="Q829" t="s">
        <v>37</v>
      </c>
      <c r="R829">
        <v>79.164999999999907</v>
      </c>
      <c r="S829">
        <v>1.99</v>
      </c>
      <c r="T829" s="4">
        <v>55.972999999999999</v>
      </c>
      <c r="U829" s="4">
        <v>39.440139000000002</v>
      </c>
      <c r="V829" t="str">
        <f>IF(Table1[[#This Row],[ai_disruption_intensity]]&gt;70,"High",
IF(Table1[[#This Row],[ai_disruption_intensity]]&gt;40,"Medium","Low"))</f>
        <v>Low</v>
      </c>
      <c r="W829" t="str">
        <f>IF(Table1[[#This Row],[skill_gap_index]]&gt;70,"Large Gap",
IF(Table1[[#This Row],[skill_gap_index]]&gt;40,"Medium Gap","Small Gap"))</f>
        <v>Large Gap</v>
      </c>
      <c r="X829" s="3" t="str">
        <f>IF(Table1[[#This Row],[automation_risk_percent]]&gt;0.7,"Highly Automatable",
IF(Table1[[#This Row],[automation_risk_percent]]&gt;0.4,"Moderate Risk","Safe Job"))</f>
        <v>Highly Automatable</v>
      </c>
    </row>
    <row r="830" spans="1:24" x14ac:dyDescent="0.3">
      <c r="A830">
        <v>2956</v>
      </c>
      <c r="B830" t="s">
        <v>18</v>
      </c>
      <c r="C830" t="s">
        <v>34</v>
      </c>
      <c r="D830" t="s">
        <v>47</v>
      </c>
      <c r="E830" s="1">
        <v>2026</v>
      </c>
      <c r="F830" s="11">
        <v>0.36369999999999997</v>
      </c>
      <c r="G830">
        <v>36.96</v>
      </c>
      <c r="H830">
        <v>23.06</v>
      </c>
      <c r="I830" s="2">
        <v>57307.519999999997</v>
      </c>
      <c r="J830" s="2">
        <v>64110.65</v>
      </c>
      <c r="K830" s="2">
        <f>Table1[[#This Row],[Salary_after]]-Table1[[#This Row],[Salary_before]]</f>
        <v>6803.1300000000047</v>
      </c>
      <c r="L830" s="11">
        <v>0.11869999999999999</v>
      </c>
      <c r="M830" s="11">
        <v>-6.1399999999999996E-2</v>
      </c>
      <c r="N830">
        <v>33.229999999999997</v>
      </c>
      <c r="O830">
        <v>92.8</v>
      </c>
      <c r="P830">
        <v>3</v>
      </c>
      <c r="Q830" t="s">
        <v>25</v>
      </c>
      <c r="R830">
        <v>29.7149999999999</v>
      </c>
      <c r="S830">
        <v>11.87</v>
      </c>
      <c r="T830" s="4">
        <v>25.027000000000001</v>
      </c>
      <c r="U830" s="4">
        <v>33.751359999999998</v>
      </c>
      <c r="V830" t="str">
        <f>IF(Table1[[#This Row],[ai_disruption_intensity]]&gt;70,"High",
IF(Table1[[#This Row],[ai_disruption_intensity]]&gt;40,"Medium","Low"))</f>
        <v>Low</v>
      </c>
      <c r="W830" t="str">
        <f>IF(Table1[[#This Row],[skill_gap_index]]&gt;70,"Large Gap",
IF(Table1[[#This Row],[skill_gap_index]]&gt;40,"Medium Gap","Small Gap"))</f>
        <v>Small Gap</v>
      </c>
      <c r="X830" s="3" t="str">
        <f>IF(Table1[[#This Row],[automation_risk_percent]]&gt;0.7,"Highly Automatable",
IF(Table1[[#This Row],[automation_risk_percent]]&gt;0.4,"Moderate Risk","Safe Job"))</f>
        <v>Safe Job</v>
      </c>
    </row>
    <row r="831" spans="1:24" x14ac:dyDescent="0.3">
      <c r="A831">
        <v>2959</v>
      </c>
      <c r="B831" t="s">
        <v>41</v>
      </c>
      <c r="C831" t="s">
        <v>23</v>
      </c>
      <c r="D831" t="s">
        <v>47</v>
      </c>
      <c r="E831" s="1">
        <v>2026</v>
      </c>
      <c r="F831" s="11">
        <v>0.502</v>
      </c>
      <c r="G831">
        <v>53.18</v>
      </c>
      <c r="H831">
        <v>47.01</v>
      </c>
      <c r="I831" s="2">
        <v>145615.04000000001</v>
      </c>
      <c r="J831" s="2">
        <v>164393.46</v>
      </c>
      <c r="K831" s="2">
        <f>Table1[[#This Row],[Salary_after]]-Table1[[#This Row],[Salary_before]]</f>
        <v>18778.419999999984</v>
      </c>
      <c r="L831" s="11">
        <v>0.129</v>
      </c>
      <c r="M831" s="11">
        <v>-2.92E-2</v>
      </c>
      <c r="N831">
        <v>33.159999999999997</v>
      </c>
      <c r="O831">
        <v>50.88</v>
      </c>
      <c r="P831">
        <v>4</v>
      </c>
      <c r="Q831" t="s">
        <v>25</v>
      </c>
      <c r="R831">
        <v>48.604999999999997</v>
      </c>
      <c r="S831">
        <v>12.9</v>
      </c>
      <c r="T831" s="4">
        <v>38.052999999999997</v>
      </c>
      <c r="U831" s="4">
        <v>25.54176</v>
      </c>
      <c r="V831" t="str">
        <f>IF(Table1[[#This Row],[ai_disruption_intensity]]&gt;70,"High",
IF(Table1[[#This Row],[ai_disruption_intensity]]&gt;40,"Medium","Low"))</f>
        <v>Low</v>
      </c>
      <c r="W831" t="str">
        <f>IF(Table1[[#This Row],[skill_gap_index]]&gt;70,"Large Gap",
IF(Table1[[#This Row],[skill_gap_index]]&gt;40,"Medium Gap","Small Gap"))</f>
        <v>Medium Gap</v>
      </c>
      <c r="X831" s="3" t="str">
        <f>IF(Table1[[#This Row],[automation_risk_percent]]&gt;0.7,"Highly Automatable",
IF(Table1[[#This Row],[automation_risk_percent]]&gt;0.4,"Moderate Risk","Safe Job"))</f>
        <v>Moderate Risk</v>
      </c>
    </row>
    <row r="832" spans="1:24" x14ac:dyDescent="0.3">
      <c r="A832">
        <v>2963</v>
      </c>
      <c r="B832" t="s">
        <v>29</v>
      </c>
      <c r="C832" t="s">
        <v>30</v>
      </c>
      <c r="D832" t="s">
        <v>31</v>
      </c>
      <c r="E832" s="1">
        <v>2025</v>
      </c>
      <c r="F832" s="11">
        <v>0.68099999999999994</v>
      </c>
      <c r="G832">
        <v>78.2</v>
      </c>
      <c r="H832">
        <v>45.79</v>
      </c>
      <c r="I832" s="2">
        <v>116915.34</v>
      </c>
      <c r="J832" s="2">
        <v>113841.84</v>
      </c>
      <c r="K832" s="2">
        <f>Table1[[#This Row],[Salary_after]]-Table1[[#This Row],[Salary_before]]</f>
        <v>-3073.5</v>
      </c>
      <c r="L832" s="11">
        <v>-2.63E-2</v>
      </c>
      <c r="M832" s="11">
        <v>7.3099999999999998E-2</v>
      </c>
      <c r="N832">
        <v>73.52</v>
      </c>
      <c r="O832">
        <v>91.98</v>
      </c>
      <c r="P832">
        <v>5</v>
      </c>
      <c r="Q832" t="s">
        <v>37</v>
      </c>
      <c r="R832">
        <v>56.944999999999901</v>
      </c>
      <c r="S832">
        <v>2.63</v>
      </c>
      <c r="T832" s="4">
        <v>41.765999999999998</v>
      </c>
      <c r="U832" s="4">
        <v>62.638379999999998</v>
      </c>
      <c r="V832" t="str">
        <f>IF(Table1[[#This Row],[ai_disruption_intensity]]&gt;70,"High",
IF(Table1[[#This Row],[ai_disruption_intensity]]&gt;40,"Medium","Low"))</f>
        <v>Medium</v>
      </c>
      <c r="W832" t="str">
        <f>IF(Table1[[#This Row],[skill_gap_index]]&gt;70,"Large Gap",
IF(Table1[[#This Row],[skill_gap_index]]&gt;40,"Medium Gap","Small Gap"))</f>
        <v>Medium Gap</v>
      </c>
      <c r="X832" s="3" t="str">
        <f>IF(Table1[[#This Row],[automation_risk_percent]]&gt;0.7,"Highly Automatable",
IF(Table1[[#This Row],[automation_risk_percent]]&gt;0.4,"Moderate Risk","Safe Job"))</f>
        <v>Moderate Risk</v>
      </c>
    </row>
    <row r="833" spans="1:24" x14ac:dyDescent="0.3">
      <c r="A833">
        <v>2964</v>
      </c>
      <c r="B833" t="s">
        <v>43</v>
      </c>
      <c r="C833" t="s">
        <v>19</v>
      </c>
      <c r="D833" t="s">
        <v>32</v>
      </c>
      <c r="E833" s="1">
        <v>2025</v>
      </c>
      <c r="F833" s="11">
        <v>0.50350000000000006</v>
      </c>
      <c r="G833">
        <v>44.02</v>
      </c>
      <c r="H833">
        <v>12.69</v>
      </c>
      <c r="I833" s="2">
        <v>61168.24</v>
      </c>
      <c r="J833" s="2">
        <v>61366.93</v>
      </c>
      <c r="K833" s="2">
        <f>Table1[[#This Row],[Salary_after]]-Table1[[#This Row],[Salary_before]]</f>
        <v>198.69000000000233</v>
      </c>
      <c r="L833" s="11">
        <v>3.2000000000000002E-3</v>
      </c>
      <c r="M833" s="11">
        <v>-4.6199999999999998E-2</v>
      </c>
      <c r="N833">
        <v>16.27</v>
      </c>
      <c r="O833">
        <v>22.34</v>
      </c>
      <c r="P833">
        <v>3</v>
      </c>
      <c r="Q833" t="s">
        <v>25</v>
      </c>
      <c r="R833">
        <v>31.52</v>
      </c>
      <c r="S833">
        <v>0.32</v>
      </c>
      <c r="T833" s="4">
        <v>24.042999999999999</v>
      </c>
      <c r="U833" s="4">
        <v>11.248189999999999</v>
      </c>
      <c r="V833" t="str">
        <f>IF(Table1[[#This Row],[ai_disruption_intensity]]&gt;70,"High",
IF(Table1[[#This Row],[ai_disruption_intensity]]&gt;40,"Medium","Low"))</f>
        <v>Low</v>
      </c>
      <c r="W833" t="str">
        <f>IF(Table1[[#This Row],[skill_gap_index]]&gt;70,"Large Gap",
IF(Table1[[#This Row],[skill_gap_index]]&gt;40,"Medium Gap","Small Gap"))</f>
        <v>Small Gap</v>
      </c>
      <c r="X833" s="3" t="str">
        <f>IF(Table1[[#This Row],[automation_risk_percent]]&gt;0.7,"Highly Automatable",
IF(Table1[[#This Row],[automation_risk_percent]]&gt;0.4,"Moderate Risk","Safe Job"))</f>
        <v>Moderate Risk</v>
      </c>
    </row>
    <row r="834" spans="1:24" x14ac:dyDescent="0.3">
      <c r="A834">
        <v>2969</v>
      </c>
      <c r="B834" t="s">
        <v>29</v>
      </c>
      <c r="C834" t="s">
        <v>34</v>
      </c>
      <c r="D834" t="s">
        <v>42</v>
      </c>
      <c r="E834" s="1">
        <v>2025</v>
      </c>
      <c r="F834" s="11">
        <v>0.32030000000000003</v>
      </c>
      <c r="G834">
        <v>32.729999999999997</v>
      </c>
      <c r="H834">
        <v>32.78</v>
      </c>
      <c r="I834" s="2">
        <v>56468.17</v>
      </c>
      <c r="J834" s="2">
        <v>67968.38</v>
      </c>
      <c r="K834" s="2">
        <f>Table1[[#This Row],[Salary_after]]-Table1[[#This Row],[Salary_before]]</f>
        <v>11500.210000000006</v>
      </c>
      <c r="L834" s="11">
        <v>0.20370000000000002</v>
      </c>
      <c r="M834" s="11">
        <v>8.6999999999999994E-3</v>
      </c>
      <c r="N834">
        <v>44.65</v>
      </c>
      <c r="O834">
        <v>80.25</v>
      </c>
      <c r="P834">
        <v>2</v>
      </c>
      <c r="Q834" t="s">
        <v>25</v>
      </c>
      <c r="R834">
        <v>32.405000000000001</v>
      </c>
      <c r="S834">
        <v>20.37</v>
      </c>
      <c r="T834" s="4">
        <v>28.757000000000001</v>
      </c>
      <c r="U834" s="4">
        <v>25.704075</v>
      </c>
      <c r="V834" t="str">
        <f>IF(Table1[[#This Row],[ai_disruption_intensity]]&gt;70,"High",
IF(Table1[[#This Row],[ai_disruption_intensity]]&gt;40,"Medium","Low"))</f>
        <v>Low</v>
      </c>
      <c r="W834" t="str">
        <f>IF(Table1[[#This Row],[skill_gap_index]]&gt;70,"Large Gap",
IF(Table1[[#This Row],[skill_gap_index]]&gt;40,"Medium Gap","Small Gap"))</f>
        <v>Small Gap</v>
      </c>
      <c r="X834" s="3" t="str">
        <f>IF(Table1[[#This Row],[automation_risk_percent]]&gt;0.7,"Highly Automatable",
IF(Table1[[#This Row],[automation_risk_percent]]&gt;0.4,"Moderate Risk","Safe Job"))</f>
        <v>Safe Job</v>
      </c>
    </row>
    <row r="835" spans="1:24" x14ac:dyDescent="0.3">
      <c r="A835">
        <v>2973</v>
      </c>
      <c r="B835" t="s">
        <v>18</v>
      </c>
      <c r="C835" t="s">
        <v>38</v>
      </c>
      <c r="D835" t="s">
        <v>36</v>
      </c>
      <c r="E835" s="1">
        <v>2025</v>
      </c>
      <c r="F835" s="11">
        <v>0.58810000000000007</v>
      </c>
      <c r="G835">
        <v>67.12</v>
      </c>
      <c r="H835">
        <v>19.559999999999999</v>
      </c>
      <c r="I835" s="2">
        <v>69531.95</v>
      </c>
      <c r="J835" s="2">
        <v>73168.27</v>
      </c>
      <c r="K835" s="2">
        <f>Table1[[#This Row],[Salary_after]]-Table1[[#This Row],[Salary_before]]</f>
        <v>3636.320000000007</v>
      </c>
      <c r="L835" s="11">
        <v>5.2300000000000006E-2</v>
      </c>
      <c r="M835" s="11">
        <v>4.2800000000000005E-2</v>
      </c>
      <c r="N835">
        <v>42.88</v>
      </c>
      <c r="O835">
        <v>38.11</v>
      </c>
      <c r="P835">
        <v>3</v>
      </c>
      <c r="Q835" t="s">
        <v>25</v>
      </c>
      <c r="R835">
        <v>39.185000000000002</v>
      </c>
      <c r="S835">
        <v>5.23</v>
      </c>
      <c r="T835" s="4">
        <v>30.960999999999999</v>
      </c>
      <c r="U835" s="4">
        <v>22.412490999999999</v>
      </c>
      <c r="V835" t="str">
        <f>IF(Table1[[#This Row],[ai_disruption_intensity]]&gt;70,"High",
IF(Table1[[#This Row],[ai_disruption_intensity]]&gt;40,"Medium","Low"))</f>
        <v>Low</v>
      </c>
      <c r="W835" t="str">
        <f>IF(Table1[[#This Row],[skill_gap_index]]&gt;70,"Large Gap",
IF(Table1[[#This Row],[skill_gap_index]]&gt;40,"Medium Gap","Small Gap"))</f>
        <v>Small Gap</v>
      </c>
      <c r="X835" s="3" t="str">
        <f>IF(Table1[[#This Row],[automation_risk_percent]]&gt;0.7,"Highly Automatable",
IF(Table1[[#This Row],[automation_risk_percent]]&gt;0.4,"Moderate Risk","Safe Job"))</f>
        <v>Moderate Risk</v>
      </c>
    </row>
    <row r="836" spans="1:24" x14ac:dyDescent="0.3">
      <c r="A836">
        <v>2976</v>
      </c>
      <c r="B836" t="s">
        <v>44</v>
      </c>
      <c r="C836" t="s">
        <v>23</v>
      </c>
      <c r="D836" t="s">
        <v>24</v>
      </c>
      <c r="E836" s="1">
        <v>2026</v>
      </c>
      <c r="F836" s="11">
        <v>0.67209999999999992</v>
      </c>
      <c r="G836">
        <v>64.19</v>
      </c>
      <c r="H836">
        <v>60.32</v>
      </c>
      <c r="I836" s="2">
        <v>55182.7</v>
      </c>
      <c r="J836" s="2">
        <v>59201.31</v>
      </c>
      <c r="K836" s="2">
        <f>Table1[[#This Row],[Salary_after]]-Table1[[#This Row],[Salary_before]]</f>
        <v>4018.6100000000006</v>
      </c>
      <c r="L836" s="11">
        <v>7.2800000000000004E-2</v>
      </c>
      <c r="M836" s="11">
        <v>3.5799999999999998E-2</v>
      </c>
      <c r="N836">
        <v>60.98</v>
      </c>
      <c r="O836">
        <v>90.19</v>
      </c>
      <c r="P836">
        <v>5</v>
      </c>
      <c r="Q836" t="s">
        <v>37</v>
      </c>
      <c r="R836">
        <v>63.765000000000001</v>
      </c>
      <c r="S836">
        <v>7.28</v>
      </c>
      <c r="T836" s="4">
        <v>47.164000000000001</v>
      </c>
      <c r="U836" s="4">
        <v>60.616698999999898</v>
      </c>
      <c r="V836" t="str">
        <f>IF(Table1[[#This Row],[ai_disruption_intensity]]&gt;70,"High",
IF(Table1[[#This Row],[ai_disruption_intensity]]&gt;40,"Medium","Low"))</f>
        <v>Medium</v>
      </c>
      <c r="W836" t="str">
        <f>IF(Table1[[#This Row],[skill_gap_index]]&gt;70,"Large Gap",
IF(Table1[[#This Row],[skill_gap_index]]&gt;40,"Medium Gap","Small Gap"))</f>
        <v>Medium Gap</v>
      </c>
      <c r="X836" s="3" t="str">
        <f>IF(Table1[[#This Row],[automation_risk_percent]]&gt;0.7,"Highly Automatable",
IF(Table1[[#This Row],[automation_risk_percent]]&gt;0.4,"Moderate Risk","Safe Job"))</f>
        <v>Moderate Risk</v>
      </c>
    </row>
    <row r="837" spans="1:24" x14ac:dyDescent="0.3">
      <c r="A837">
        <v>2977</v>
      </c>
      <c r="B837" t="s">
        <v>18</v>
      </c>
      <c r="C837" t="s">
        <v>27</v>
      </c>
      <c r="D837" t="s">
        <v>31</v>
      </c>
      <c r="E837" s="1">
        <v>2026</v>
      </c>
      <c r="F837" s="11">
        <v>0.73140000000000005</v>
      </c>
      <c r="G837">
        <v>86.14</v>
      </c>
      <c r="H837">
        <v>89.54</v>
      </c>
      <c r="I837" s="2">
        <v>30393.74</v>
      </c>
      <c r="J837" s="2">
        <v>34093.050000000003</v>
      </c>
      <c r="K837" s="2">
        <f>Table1[[#This Row],[Salary_after]]-Table1[[#This Row],[Salary_before]]</f>
        <v>3699.3100000000013</v>
      </c>
      <c r="L837" s="11">
        <v>0.1217</v>
      </c>
      <c r="M837" s="11">
        <v>-0.10220000000000001</v>
      </c>
      <c r="N837">
        <v>46.21</v>
      </c>
      <c r="O837">
        <v>2.56</v>
      </c>
      <c r="P837">
        <v>5</v>
      </c>
      <c r="Q837" t="s">
        <v>37</v>
      </c>
      <c r="R837">
        <v>81.34</v>
      </c>
      <c r="S837">
        <v>12.17</v>
      </c>
      <c r="T837" s="4">
        <v>59.768999999999998</v>
      </c>
      <c r="U837" s="4">
        <v>1.872384</v>
      </c>
      <c r="V837" t="str">
        <f>IF(Table1[[#This Row],[ai_disruption_intensity]]&gt;70,"High",
IF(Table1[[#This Row],[ai_disruption_intensity]]&gt;40,"Medium","Low"))</f>
        <v>Low</v>
      </c>
      <c r="W837" t="str">
        <f>IF(Table1[[#This Row],[skill_gap_index]]&gt;70,"Large Gap",
IF(Table1[[#This Row],[skill_gap_index]]&gt;40,"Medium Gap","Small Gap"))</f>
        <v>Large Gap</v>
      </c>
      <c r="X837" s="3" t="str">
        <f>IF(Table1[[#This Row],[automation_risk_percent]]&gt;0.7,"Highly Automatable",
IF(Table1[[#This Row],[automation_risk_percent]]&gt;0.4,"Moderate Risk","Safe Job"))</f>
        <v>Highly Automatable</v>
      </c>
    </row>
    <row r="838" spans="1:24" x14ac:dyDescent="0.3">
      <c r="A838">
        <v>2978</v>
      </c>
      <c r="B838" t="s">
        <v>41</v>
      </c>
      <c r="C838" t="s">
        <v>23</v>
      </c>
      <c r="D838" t="s">
        <v>31</v>
      </c>
      <c r="E838" s="1">
        <v>2026</v>
      </c>
      <c r="F838" s="11">
        <v>0.58350000000000002</v>
      </c>
      <c r="G838">
        <v>57</v>
      </c>
      <c r="H838">
        <v>75.680000000000007</v>
      </c>
      <c r="I838" s="2">
        <v>63553.55</v>
      </c>
      <c r="J838" s="2">
        <v>59061.31</v>
      </c>
      <c r="K838" s="2">
        <f>Table1[[#This Row],[Salary_after]]-Table1[[#This Row],[Salary_before]]</f>
        <v>-4492.2400000000052</v>
      </c>
      <c r="L838" s="11">
        <v>-7.0699999999999999E-2</v>
      </c>
      <c r="M838" s="11">
        <v>-3.1800000000000002E-2</v>
      </c>
      <c r="N838">
        <v>37.340000000000003</v>
      </c>
      <c r="O838">
        <v>59.92</v>
      </c>
      <c r="P838">
        <v>5</v>
      </c>
      <c r="Q838" t="s">
        <v>25</v>
      </c>
      <c r="R838">
        <v>67.015000000000001</v>
      </c>
      <c r="S838">
        <v>7.07</v>
      </c>
      <c r="T838" s="4">
        <v>48.164999999999999</v>
      </c>
      <c r="U838" s="4">
        <v>34.963320000000003</v>
      </c>
      <c r="V838" t="str">
        <f>IF(Table1[[#This Row],[ai_disruption_intensity]]&gt;70,"High",
IF(Table1[[#This Row],[ai_disruption_intensity]]&gt;40,"Medium","Low"))</f>
        <v>Low</v>
      </c>
      <c r="W838" t="str">
        <f>IF(Table1[[#This Row],[skill_gap_index]]&gt;70,"Large Gap",
IF(Table1[[#This Row],[skill_gap_index]]&gt;40,"Medium Gap","Small Gap"))</f>
        <v>Large Gap</v>
      </c>
      <c r="X838" s="3" t="str">
        <f>IF(Table1[[#This Row],[automation_risk_percent]]&gt;0.7,"Highly Automatable",
IF(Table1[[#This Row],[automation_risk_percent]]&gt;0.4,"Moderate Risk","Safe Job"))</f>
        <v>Moderate Risk</v>
      </c>
    </row>
    <row r="839" spans="1:24" x14ac:dyDescent="0.3">
      <c r="A839">
        <v>2979</v>
      </c>
      <c r="B839" t="s">
        <v>29</v>
      </c>
      <c r="C839" t="s">
        <v>23</v>
      </c>
      <c r="D839" t="s">
        <v>28</v>
      </c>
      <c r="E839" s="1">
        <v>2026</v>
      </c>
      <c r="F839" s="11">
        <v>0.58009999999999995</v>
      </c>
      <c r="G839">
        <v>54.22</v>
      </c>
      <c r="H839">
        <v>37.43</v>
      </c>
      <c r="I839" s="2">
        <v>74510.84</v>
      </c>
      <c r="J839" s="2">
        <v>78783.539999999994</v>
      </c>
      <c r="K839" s="2">
        <f>Table1[[#This Row],[Salary_after]]-Table1[[#This Row],[Salary_before]]</f>
        <v>4272.6999999999971</v>
      </c>
      <c r="L839" s="11">
        <v>5.7300000000000004E-2</v>
      </c>
      <c r="M839" s="11">
        <v>0.1376</v>
      </c>
      <c r="N839">
        <v>10.5</v>
      </c>
      <c r="O839">
        <v>99.32</v>
      </c>
      <c r="P839">
        <v>2</v>
      </c>
      <c r="Q839" t="s">
        <v>25</v>
      </c>
      <c r="R839">
        <v>47.72</v>
      </c>
      <c r="S839">
        <v>5.73</v>
      </c>
      <c r="T839" s="4">
        <v>36.152000000000001</v>
      </c>
      <c r="U839" s="4">
        <v>57.615531999999902</v>
      </c>
      <c r="V839" t="str">
        <f>IF(Table1[[#This Row],[ai_disruption_intensity]]&gt;70,"High",
IF(Table1[[#This Row],[ai_disruption_intensity]]&gt;40,"Medium","Low"))</f>
        <v>Medium</v>
      </c>
      <c r="W839" t="str">
        <f>IF(Table1[[#This Row],[skill_gap_index]]&gt;70,"Large Gap",
IF(Table1[[#This Row],[skill_gap_index]]&gt;40,"Medium Gap","Small Gap"))</f>
        <v>Small Gap</v>
      </c>
      <c r="X839" s="3" t="str">
        <f>IF(Table1[[#This Row],[automation_risk_percent]]&gt;0.7,"Highly Automatable",
IF(Table1[[#This Row],[automation_risk_percent]]&gt;0.4,"Moderate Risk","Safe Job"))</f>
        <v>Moderate Risk</v>
      </c>
    </row>
    <row r="840" spans="1:24" x14ac:dyDescent="0.3">
      <c r="A840">
        <v>2982</v>
      </c>
      <c r="B840" t="s">
        <v>46</v>
      </c>
      <c r="C840" t="s">
        <v>40</v>
      </c>
      <c r="D840" t="s">
        <v>28</v>
      </c>
      <c r="E840" s="1">
        <v>2025</v>
      </c>
      <c r="F840" s="11">
        <v>0.1036</v>
      </c>
      <c r="G840">
        <v>10.47</v>
      </c>
      <c r="H840">
        <v>85.76</v>
      </c>
      <c r="I840" s="2">
        <v>68222.23</v>
      </c>
      <c r="J840" s="2">
        <v>77276.62</v>
      </c>
      <c r="K840" s="2">
        <f>Table1[[#This Row],[Salary_after]]-Table1[[#This Row],[Salary_before]]</f>
        <v>9054.39</v>
      </c>
      <c r="L840" s="11">
        <v>0.13269999999999998</v>
      </c>
      <c r="M840" s="11">
        <v>1.7299999999999999E-2</v>
      </c>
      <c r="N840">
        <v>18.04</v>
      </c>
      <c r="O840">
        <v>85.95</v>
      </c>
      <c r="P840">
        <v>1</v>
      </c>
      <c r="Q840" t="s">
        <v>21</v>
      </c>
      <c r="R840">
        <v>48.06</v>
      </c>
      <c r="S840">
        <v>13.27</v>
      </c>
      <c r="T840" s="4">
        <v>33.853000000000002</v>
      </c>
      <c r="U840" s="4">
        <v>8.90442</v>
      </c>
      <c r="V840" t="str">
        <f>IF(Table1[[#This Row],[ai_disruption_intensity]]&gt;70,"High",
IF(Table1[[#This Row],[ai_disruption_intensity]]&gt;40,"Medium","Low"))</f>
        <v>Low</v>
      </c>
      <c r="W840" t="str">
        <f>IF(Table1[[#This Row],[skill_gap_index]]&gt;70,"Large Gap",
IF(Table1[[#This Row],[skill_gap_index]]&gt;40,"Medium Gap","Small Gap"))</f>
        <v>Large Gap</v>
      </c>
      <c r="X840" s="3" t="str">
        <f>IF(Table1[[#This Row],[automation_risk_percent]]&gt;0.7,"Highly Automatable",
IF(Table1[[#This Row],[automation_risk_percent]]&gt;0.4,"Moderate Risk","Safe Job"))</f>
        <v>Safe Job</v>
      </c>
    </row>
    <row r="841" spans="1:24" x14ac:dyDescent="0.3">
      <c r="A841">
        <v>2984</v>
      </c>
      <c r="B841" t="s">
        <v>26</v>
      </c>
      <c r="C841" t="s">
        <v>19</v>
      </c>
      <c r="D841" t="s">
        <v>35</v>
      </c>
      <c r="E841" s="1">
        <v>2025</v>
      </c>
      <c r="F841" s="11">
        <v>0.36149999999999999</v>
      </c>
      <c r="G841">
        <v>35.57</v>
      </c>
      <c r="H841">
        <v>43.43</v>
      </c>
      <c r="I841" s="2">
        <v>113110.52</v>
      </c>
      <c r="J841" s="2">
        <v>101045.55</v>
      </c>
      <c r="K841" s="2">
        <f>Table1[[#This Row],[Salary_after]]-Table1[[#This Row],[Salary_before]]</f>
        <v>-12064.970000000001</v>
      </c>
      <c r="L841" s="11">
        <v>-0.1067</v>
      </c>
      <c r="M841" s="11">
        <v>3.6299999999999999E-2</v>
      </c>
      <c r="N841">
        <v>89.22</v>
      </c>
      <c r="O841">
        <v>42.84</v>
      </c>
      <c r="P841">
        <v>1</v>
      </c>
      <c r="Q841" t="s">
        <v>25</v>
      </c>
      <c r="R841">
        <v>39.79</v>
      </c>
      <c r="S841">
        <v>10.67</v>
      </c>
      <c r="T841" s="4">
        <v>30.69</v>
      </c>
      <c r="U841" s="4">
        <v>15.486660000000001</v>
      </c>
      <c r="V841" t="str">
        <f>IF(Table1[[#This Row],[ai_disruption_intensity]]&gt;70,"High",
IF(Table1[[#This Row],[ai_disruption_intensity]]&gt;40,"Medium","Low"))</f>
        <v>Low</v>
      </c>
      <c r="W841" t="str">
        <f>IF(Table1[[#This Row],[skill_gap_index]]&gt;70,"Large Gap",
IF(Table1[[#This Row],[skill_gap_index]]&gt;40,"Medium Gap","Small Gap"))</f>
        <v>Medium Gap</v>
      </c>
      <c r="X841" s="3" t="str">
        <f>IF(Table1[[#This Row],[automation_risk_percent]]&gt;0.7,"Highly Automatable",
IF(Table1[[#This Row],[automation_risk_percent]]&gt;0.4,"Moderate Risk","Safe Job"))</f>
        <v>Safe Job</v>
      </c>
    </row>
    <row r="842" spans="1:24" x14ac:dyDescent="0.3">
      <c r="A842">
        <v>2985</v>
      </c>
      <c r="B842" t="s">
        <v>18</v>
      </c>
      <c r="C842" t="s">
        <v>40</v>
      </c>
      <c r="D842" t="s">
        <v>36</v>
      </c>
      <c r="E842" s="1">
        <v>2025</v>
      </c>
      <c r="F842" s="11">
        <v>0.15179999999999999</v>
      </c>
      <c r="G842">
        <v>15.36</v>
      </c>
      <c r="H842">
        <v>64.73</v>
      </c>
      <c r="I842" s="2">
        <v>63069.9</v>
      </c>
      <c r="J842" s="2">
        <v>66851.009999999995</v>
      </c>
      <c r="K842" s="2">
        <f>Table1[[#This Row],[Salary_after]]-Table1[[#This Row],[Salary_before]]</f>
        <v>3781.1099999999933</v>
      </c>
      <c r="L842" s="11">
        <v>0.06</v>
      </c>
      <c r="M842" s="11">
        <v>0.15609999999999999</v>
      </c>
      <c r="N842">
        <v>68.53</v>
      </c>
      <c r="O842">
        <v>42.08</v>
      </c>
      <c r="P842">
        <v>2</v>
      </c>
      <c r="Q842" t="s">
        <v>21</v>
      </c>
      <c r="R842">
        <v>39.954999999999998</v>
      </c>
      <c r="S842">
        <v>6</v>
      </c>
      <c r="T842" s="4">
        <v>27.291</v>
      </c>
      <c r="U842" s="4">
        <v>6.3877439999999996</v>
      </c>
      <c r="V842" t="str">
        <f>IF(Table1[[#This Row],[ai_disruption_intensity]]&gt;70,"High",
IF(Table1[[#This Row],[ai_disruption_intensity]]&gt;40,"Medium","Low"))</f>
        <v>Low</v>
      </c>
      <c r="W842" t="str">
        <f>IF(Table1[[#This Row],[skill_gap_index]]&gt;70,"Large Gap",
IF(Table1[[#This Row],[skill_gap_index]]&gt;40,"Medium Gap","Small Gap"))</f>
        <v>Medium Gap</v>
      </c>
      <c r="X842" s="3" t="str">
        <f>IF(Table1[[#This Row],[automation_risk_percent]]&gt;0.7,"Highly Automatable",
IF(Table1[[#This Row],[automation_risk_percent]]&gt;0.4,"Moderate Risk","Safe Job"))</f>
        <v>Safe Job</v>
      </c>
    </row>
    <row r="843" spans="1:24" x14ac:dyDescent="0.3">
      <c r="A843">
        <v>2988</v>
      </c>
      <c r="B843" t="s">
        <v>43</v>
      </c>
      <c r="C843" t="s">
        <v>27</v>
      </c>
      <c r="D843" t="s">
        <v>28</v>
      </c>
      <c r="E843" s="1">
        <v>2025</v>
      </c>
      <c r="F843" s="11">
        <v>0.2447</v>
      </c>
      <c r="G843">
        <v>23.46</v>
      </c>
      <c r="H843">
        <v>85.99</v>
      </c>
      <c r="I843" s="2">
        <v>37373.75</v>
      </c>
      <c r="J843" s="2">
        <v>38486.25</v>
      </c>
      <c r="K843" s="2">
        <f>Table1[[#This Row],[Salary_after]]-Table1[[#This Row],[Salary_before]]</f>
        <v>1112.5</v>
      </c>
      <c r="L843" s="11">
        <v>2.98E-2</v>
      </c>
      <c r="M843" s="11">
        <v>2.87E-2</v>
      </c>
      <c r="N843">
        <v>20.96</v>
      </c>
      <c r="O843">
        <v>62.96</v>
      </c>
      <c r="P843">
        <v>5</v>
      </c>
      <c r="Q843" t="s">
        <v>21</v>
      </c>
      <c r="R843">
        <v>55.23</v>
      </c>
      <c r="S843">
        <v>2.98</v>
      </c>
      <c r="T843" s="4">
        <v>36.4789999999999</v>
      </c>
      <c r="U843" s="4">
        <v>15.406312</v>
      </c>
      <c r="V843" t="str">
        <f>IF(Table1[[#This Row],[ai_disruption_intensity]]&gt;70,"High",
IF(Table1[[#This Row],[ai_disruption_intensity]]&gt;40,"Medium","Low"))</f>
        <v>Low</v>
      </c>
      <c r="W843" t="str">
        <f>IF(Table1[[#This Row],[skill_gap_index]]&gt;70,"Large Gap",
IF(Table1[[#This Row],[skill_gap_index]]&gt;40,"Medium Gap","Small Gap"))</f>
        <v>Large Gap</v>
      </c>
      <c r="X843" s="3" t="str">
        <f>IF(Table1[[#This Row],[automation_risk_percent]]&gt;0.7,"Highly Automatable",
IF(Table1[[#This Row],[automation_risk_percent]]&gt;0.4,"Moderate Risk","Safe Job"))</f>
        <v>Safe Job</v>
      </c>
    </row>
    <row r="844" spans="1:24" x14ac:dyDescent="0.3">
      <c r="A844">
        <v>2989</v>
      </c>
      <c r="B844" t="s">
        <v>39</v>
      </c>
      <c r="C844" t="s">
        <v>33</v>
      </c>
      <c r="D844" t="s">
        <v>20</v>
      </c>
      <c r="E844" s="1">
        <v>2025</v>
      </c>
      <c r="F844" s="11">
        <v>0.2495</v>
      </c>
      <c r="G844">
        <v>26</v>
      </c>
      <c r="H844">
        <v>38.31</v>
      </c>
      <c r="I844" s="2">
        <v>42201.23</v>
      </c>
      <c r="J844" s="2">
        <v>49551.92</v>
      </c>
      <c r="K844" s="2">
        <f>Table1[[#This Row],[Salary_after]]-Table1[[#This Row],[Salary_before]]</f>
        <v>7350.6899999999951</v>
      </c>
      <c r="L844" s="11">
        <v>0.17420000000000002</v>
      </c>
      <c r="M844" s="11">
        <v>0.1285</v>
      </c>
      <c r="N844">
        <v>71.22</v>
      </c>
      <c r="O844">
        <v>63.7</v>
      </c>
      <c r="P844">
        <v>3</v>
      </c>
      <c r="Q844" t="s">
        <v>21</v>
      </c>
      <c r="R844">
        <v>31.63</v>
      </c>
      <c r="S844">
        <v>17.420000000000002</v>
      </c>
      <c r="T844" s="4">
        <v>26.698999999999899</v>
      </c>
      <c r="U844" s="4">
        <v>15.89315</v>
      </c>
      <c r="V844" t="str">
        <f>IF(Table1[[#This Row],[ai_disruption_intensity]]&gt;70,"High",
IF(Table1[[#This Row],[ai_disruption_intensity]]&gt;40,"Medium","Low"))</f>
        <v>Low</v>
      </c>
      <c r="W844" t="str">
        <f>IF(Table1[[#This Row],[skill_gap_index]]&gt;70,"Large Gap",
IF(Table1[[#This Row],[skill_gap_index]]&gt;40,"Medium Gap","Small Gap"))</f>
        <v>Small Gap</v>
      </c>
      <c r="X844" s="3" t="str">
        <f>IF(Table1[[#This Row],[automation_risk_percent]]&gt;0.7,"Highly Automatable",
IF(Table1[[#This Row],[automation_risk_percent]]&gt;0.4,"Moderate Risk","Safe Job"))</f>
        <v>Safe Job</v>
      </c>
    </row>
    <row r="845" spans="1:24" x14ac:dyDescent="0.3">
      <c r="A845">
        <v>2991</v>
      </c>
      <c r="B845" t="s">
        <v>45</v>
      </c>
      <c r="C845" t="s">
        <v>38</v>
      </c>
      <c r="D845" t="s">
        <v>32</v>
      </c>
      <c r="E845" s="1">
        <v>2025</v>
      </c>
      <c r="F845" s="11">
        <v>0.28220000000000001</v>
      </c>
      <c r="G845">
        <v>32.950000000000003</v>
      </c>
      <c r="H845">
        <v>75.94</v>
      </c>
      <c r="I845" s="2">
        <v>96344.02</v>
      </c>
      <c r="J845" s="2">
        <v>91737.36</v>
      </c>
      <c r="K845" s="2">
        <f>Table1[[#This Row],[Salary_after]]-Table1[[#This Row],[Salary_before]]</f>
        <v>-4606.6600000000035</v>
      </c>
      <c r="L845" s="11">
        <v>-4.7800000000000002E-2</v>
      </c>
      <c r="M845" s="11">
        <v>1.95E-2</v>
      </c>
      <c r="N845">
        <v>90.89</v>
      </c>
      <c r="O845">
        <v>89.27</v>
      </c>
      <c r="P845">
        <v>2</v>
      </c>
      <c r="Q845" t="s">
        <v>21</v>
      </c>
      <c r="R845">
        <v>52.08</v>
      </c>
      <c r="S845">
        <v>4.78</v>
      </c>
      <c r="T845" s="4">
        <v>35.503999999999998</v>
      </c>
      <c r="U845" s="4">
        <v>25.191994000000001</v>
      </c>
      <c r="V845" t="str">
        <f>IF(Table1[[#This Row],[ai_disruption_intensity]]&gt;70,"High",
IF(Table1[[#This Row],[ai_disruption_intensity]]&gt;40,"Medium","Low"))</f>
        <v>Low</v>
      </c>
      <c r="W845" t="str">
        <f>IF(Table1[[#This Row],[skill_gap_index]]&gt;70,"Large Gap",
IF(Table1[[#This Row],[skill_gap_index]]&gt;40,"Medium Gap","Small Gap"))</f>
        <v>Large Gap</v>
      </c>
      <c r="X845" s="3" t="str">
        <f>IF(Table1[[#This Row],[automation_risk_percent]]&gt;0.7,"Highly Automatable",
IF(Table1[[#This Row],[automation_risk_percent]]&gt;0.4,"Moderate Risk","Safe Job"))</f>
        <v>Safe Job</v>
      </c>
    </row>
    <row r="846" spans="1:24" x14ac:dyDescent="0.3">
      <c r="A846">
        <v>3002</v>
      </c>
      <c r="B846" t="s">
        <v>22</v>
      </c>
      <c r="C846" t="s">
        <v>33</v>
      </c>
      <c r="D846" t="s">
        <v>47</v>
      </c>
      <c r="E846" s="1">
        <v>2026</v>
      </c>
      <c r="F846" s="11">
        <v>0.1207</v>
      </c>
      <c r="G846">
        <v>10.34</v>
      </c>
      <c r="H846">
        <v>8.48</v>
      </c>
      <c r="I846" s="2">
        <v>61587.72</v>
      </c>
      <c r="J846" s="2">
        <v>73977.460000000006</v>
      </c>
      <c r="K846" s="2">
        <f>Table1[[#This Row],[Salary_after]]-Table1[[#This Row],[Salary_before]]</f>
        <v>12389.740000000005</v>
      </c>
      <c r="L846" s="11">
        <v>0.20120000000000002</v>
      </c>
      <c r="M846" s="11">
        <v>-3.2300000000000002E-2</v>
      </c>
      <c r="N846">
        <v>55.07</v>
      </c>
      <c r="O846">
        <v>90.32</v>
      </c>
      <c r="P846">
        <v>1</v>
      </c>
      <c r="Q846" t="s">
        <v>21</v>
      </c>
      <c r="R846">
        <v>10.275</v>
      </c>
      <c r="S846">
        <v>20.12</v>
      </c>
      <c r="T846" s="4">
        <v>13.407999999999999</v>
      </c>
      <c r="U846" s="4">
        <v>10.901624</v>
      </c>
      <c r="V846" t="str">
        <f>IF(Table1[[#This Row],[ai_disruption_intensity]]&gt;70,"High",
IF(Table1[[#This Row],[ai_disruption_intensity]]&gt;40,"Medium","Low"))</f>
        <v>Low</v>
      </c>
      <c r="W846" t="str">
        <f>IF(Table1[[#This Row],[skill_gap_index]]&gt;70,"Large Gap",
IF(Table1[[#This Row],[skill_gap_index]]&gt;40,"Medium Gap","Small Gap"))</f>
        <v>Small Gap</v>
      </c>
      <c r="X846" s="3" t="str">
        <f>IF(Table1[[#This Row],[automation_risk_percent]]&gt;0.7,"Highly Automatable",
IF(Table1[[#This Row],[automation_risk_percent]]&gt;0.4,"Moderate Risk","Safe Job"))</f>
        <v>Safe Job</v>
      </c>
    </row>
    <row r="847" spans="1:24" x14ac:dyDescent="0.3">
      <c r="A847">
        <v>3004</v>
      </c>
      <c r="B847" t="s">
        <v>29</v>
      </c>
      <c r="C847" t="s">
        <v>23</v>
      </c>
      <c r="D847" t="s">
        <v>31</v>
      </c>
      <c r="E847" s="1">
        <v>2026</v>
      </c>
      <c r="F847" s="11">
        <v>0.71959999999999991</v>
      </c>
      <c r="G847">
        <v>82.76</v>
      </c>
      <c r="H847">
        <v>99.45</v>
      </c>
      <c r="I847" s="2">
        <v>92160.53</v>
      </c>
      <c r="J847" s="2">
        <v>85819.81</v>
      </c>
      <c r="K847" s="2">
        <f>Table1[[#This Row],[Salary_after]]-Table1[[#This Row],[Salary_before]]</f>
        <v>-6340.7200000000012</v>
      </c>
      <c r="L847" s="11">
        <v>-6.88E-2</v>
      </c>
      <c r="M847" s="11">
        <v>1.9400000000000001E-2</v>
      </c>
      <c r="N847">
        <v>83.38</v>
      </c>
      <c r="O847">
        <v>29.69</v>
      </c>
      <c r="P847">
        <v>2</v>
      </c>
      <c r="Q847" t="s">
        <v>37</v>
      </c>
      <c r="R847">
        <v>85.704999999999998</v>
      </c>
      <c r="S847">
        <v>6.88</v>
      </c>
      <c r="T847" s="4">
        <v>60.683</v>
      </c>
      <c r="U847" s="4">
        <v>21.364923999999998</v>
      </c>
      <c r="V847" t="str">
        <f>IF(Table1[[#This Row],[ai_disruption_intensity]]&gt;70,"High",
IF(Table1[[#This Row],[ai_disruption_intensity]]&gt;40,"Medium","Low"))</f>
        <v>Low</v>
      </c>
      <c r="W847" t="str">
        <f>IF(Table1[[#This Row],[skill_gap_index]]&gt;70,"Large Gap",
IF(Table1[[#This Row],[skill_gap_index]]&gt;40,"Medium Gap","Small Gap"))</f>
        <v>Large Gap</v>
      </c>
      <c r="X847" s="3" t="str">
        <f>IF(Table1[[#This Row],[automation_risk_percent]]&gt;0.7,"Highly Automatable",
IF(Table1[[#This Row],[automation_risk_percent]]&gt;0.4,"Moderate Risk","Safe Job"))</f>
        <v>Highly Automatable</v>
      </c>
    </row>
    <row r="848" spans="1:24" x14ac:dyDescent="0.3">
      <c r="A848">
        <v>3012</v>
      </c>
      <c r="B848" t="s">
        <v>29</v>
      </c>
      <c r="C848" t="s">
        <v>40</v>
      </c>
      <c r="D848" t="s">
        <v>24</v>
      </c>
      <c r="E848" s="1">
        <v>2026</v>
      </c>
      <c r="F848" s="11">
        <v>0.3372</v>
      </c>
      <c r="G848">
        <v>37.729999999999997</v>
      </c>
      <c r="H848">
        <v>49.58</v>
      </c>
      <c r="I848" s="2">
        <v>105745.22</v>
      </c>
      <c r="J848" s="2">
        <v>112278.56</v>
      </c>
      <c r="K848" s="2">
        <f>Table1[[#This Row],[Salary_after]]-Table1[[#This Row],[Salary_before]]</f>
        <v>6533.3399999999965</v>
      </c>
      <c r="L848" s="11">
        <v>6.1799999999999994E-2</v>
      </c>
      <c r="M848" s="11">
        <v>-0.14419999999999999</v>
      </c>
      <c r="N848">
        <v>33.18</v>
      </c>
      <c r="O848">
        <v>30.8</v>
      </c>
      <c r="P848">
        <v>4</v>
      </c>
      <c r="Q848" t="s">
        <v>25</v>
      </c>
      <c r="R848">
        <v>41.65</v>
      </c>
      <c r="S848">
        <v>6.18</v>
      </c>
      <c r="T848" s="4">
        <v>30.215999999999902</v>
      </c>
      <c r="U848" s="4">
        <v>10.385759999999999</v>
      </c>
      <c r="V848" t="str">
        <f>IF(Table1[[#This Row],[ai_disruption_intensity]]&gt;70,"High",
IF(Table1[[#This Row],[ai_disruption_intensity]]&gt;40,"Medium","Low"))</f>
        <v>Low</v>
      </c>
      <c r="W848" t="str">
        <f>IF(Table1[[#This Row],[skill_gap_index]]&gt;70,"Large Gap",
IF(Table1[[#This Row],[skill_gap_index]]&gt;40,"Medium Gap","Small Gap"))</f>
        <v>Medium Gap</v>
      </c>
      <c r="X848" s="3" t="str">
        <f>IF(Table1[[#This Row],[automation_risk_percent]]&gt;0.7,"Highly Automatable",
IF(Table1[[#This Row],[automation_risk_percent]]&gt;0.4,"Moderate Risk","Safe Job"))</f>
        <v>Safe Job</v>
      </c>
    </row>
    <row r="849" spans="1:24" x14ac:dyDescent="0.3">
      <c r="A849">
        <v>3015</v>
      </c>
      <c r="B849" t="s">
        <v>18</v>
      </c>
      <c r="C849" t="s">
        <v>38</v>
      </c>
      <c r="D849" t="s">
        <v>28</v>
      </c>
      <c r="E849" s="1">
        <v>2025</v>
      </c>
      <c r="F849" s="11">
        <v>0.65439999999999998</v>
      </c>
      <c r="G849">
        <v>53.92</v>
      </c>
      <c r="H849">
        <v>88.32</v>
      </c>
      <c r="I849" s="2">
        <v>110899.13</v>
      </c>
      <c r="J849" s="2">
        <v>97984.41</v>
      </c>
      <c r="K849" s="2">
        <f>Table1[[#This Row],[Salary_after]]-Table1[[#This Row],[Salary_before]]</f>
        <v>-12914.720000000001</v>
      </c>
      <c r="L849" s="11">
        <v>-0.11650000000000001</v>
      </c>
      <c r="M849" s="11">
        <v>1.1999999999999999E-3</v>
      </c>
      <c r="N849">
        <v>83.49</v>
      </c>
      <c r="O849">
        <v>60.32</v>
      </c>
      <c r="P849">
        <v>2</v>
      </c>
      <c r="Q849" t="s">
        <v>37</v>
      </c>
      <c r="R849">
        <v>76.88</v>
      </c>
      <c r="S849">
        <v>11.65</v>
      </c>
      <c r="T849" s="4">
        <v>56.166999999999902</v>
      </c>
      <c r="U849" s="4">
        <v>39.473407999999999</v>
      </c>
      <c r="V849" t="str">
        <f>IF(Table1[[#This Row],[ai_disruption_intensity]]&gt;70,"High",
IF(Table1[[#This Row],[ai_disruption_intensity]]&gt;40,"Medium","Low"))</f>
        <v>Low</v>
      </c>
      <c r="W849" t="str">
        <f>IF(Table1[[#This Row],[skill_gap_index]]&gt;70,"Large Gap",
IF(Table1[[#This Row],[skill_gap_index]]&gt;40,"Medium Gap","Small Gap"))</f>
        <v>Large Gap</v>
      </c>
      <c r="X849" s="3" t="str">
        <f>IF(Table1[[#This Row],[automation_risk_percent]]&gt;0.7,"Highly Automatable",
IF(Table1[[#This Row],[automation_risk_percent]]&gt;0.4,"Moderate Risk","Safe Job"))</f>
        <v>Moderate Risk</v>
      </c>
    </row>
    <row r="850" spans="1:24" x14ac:dyDescent="0.3">
      <c r="A850">
        <v>3020</v>
      </c>
      <c r="B850" t="s">
        <v>22</v>
      </c>
      <c r="C850" t="s">
        <v>33</v>
      </c>
      <c r="D850" t="s">
        <v>28</v>
      </c>
      <c r="E850" s="1">
        <v>2026</v>
      </c>
      <c r="F850" s="11">
        <v>0.24050000000000002</v>
      </c>
      <c r="G850">
        <v>27.01</v>
      </c>
      <c r="H850">
        <v>80.540000000000006</v>
      </c>
      <c r="I850" s="2">
        <v>89710.28</v>
      </c>
      <c r="J850" s="2">
        <v>106827.1</v>
      </c>
      <c r="K850" s="2">
        <f>Table1[[#This Row],[Salary_after]]-Table1[[#This Row],[Salary_before]]</f>
        <v>17116.820000000007</v>
      </c>
      <c r="L850" s="11">
        <v>0.19079999999999997</v>
      </c>
      <c r="M850" s="11">
        <v>7.5899999999999995E-2</v>
      </c>
      <c r="N850">
        <v>55.83</v>
      </c>
      <c r="O850">
        <v>41.7</v>
      </c>
      <c r="P850">
        <v>1</v>
      </c>
      <c r="Q850" t="s">
        <v>21</v>
      </c>
      <c r="R850">
        <v>52.295000000000002</v>
      </c>
      <c r="S850">
        <v>19.079999999999998</v>
      </c>
      <c r="T850" s="4">
        <v>39.506</v>
      </c>
      <c r="U850" s="4">
        <v>10.02885</v>
      </c>
      <c r="V850" t="str">
        <f>IF(Table1[[#This Row],[ai_disruption_intensity]]&gt;70,"High",
IF(Table1[[#This Row],[ai_disruption_intensity]]&gt;40,"Medium","Low"))</f>
        <v>Low</v>
      </c>
      <c r="W850" t="str">
        <f>IF(Table1[[#This Row],[skill_gap_index]]&gt;70,"Large Gap",
IF(Table1[[#This Row],[skill_gap_index]]&gt;40,"Medium Gap","Small Gap"))</f>
        <v>Large Gap</v>
      </c>
      <c r="X850" s="3" t="str">
        <f>IF(Table1[[#This Row],[automation_risk_percent]]&gt;0.7,"Highly Automatable",
IF(Table1[[#This Row],[automation_risk_percent]]&gt;0.4,"Moderate Risk","Safe Job"))</f>
        <v>Safe Job</v>
      </c>
    </row>
    <row r="851" spans="1:24" x14ac:dyDescent="0.3">
      <c r="A851">
        <v>3022</v>
      </c>
      <c r="B851" t="s">
        <v>45</v>
      </c>
      <c r="C851" t="s">
        <v>27</v>
      </c>
      <c r="D851" t="s">
        <v>47</v>
      </c>
      <c r="E851" s="1">
        <v>2025</v>
      </c>
      <c r="F851" s="11">
        <v>0.69590000000000007</v>
      </c>
      <c r="G851">
        <v>66.64</v>
      </c>
      <c r="H851">
        <v>70.97</v>
      </c>
      <c r="I851" s="2">
        <v>47729.83</v>
      </c>
      <c r="J851" s="2">
        <v>49179.35</v>
      </c>
      <c r="K851" s="2">
        <f>Table1[[#This Row],[Salary_after]]-Table1[[#This Row],[Salary_before]]</f>
        <v>1449.5199999999968</v>
      </c>
      <c r="L851" s="11">
        <v>3.04E-2</v>
      </c>
      <c r="M851" s="11">
        <v>0.20860000000000001</v>
      </c>
      <c r="N851">
        <v>34.18</v>
      </c>
      <c r="O851">
        <v>49.45</v>
      </c>
      <c r="P851">
        <v>1</v>
      </c>
      <c r="Q851" t="s">
        <v>37</v>
      </c>
      <c r="R851">
        <v>70.28</v>
      </c>
      <c r="S851">
        <v>3.04</v>
      </c>
      <c r="T851" s="4">
        <v>50.039000000000001</v>
      </c>
      <c r="U851" s="4">
        <v>34.412255000000002</v>
      </c>
      <c r="V851" t="str">
        <f>IF(Table1[[#This Row],[ai_disruption_intensity]]&gt;70,"High",
IF(Table1[[#This Row],[ai_disruption_intensity]]&gt;40,"Medium","Low"))</f>
        <v>Low</v>
      </c>
      <c r="W851" t="str">
        <f>IF(Table1[[#This Row],[skill_gap_index]]&gt;70,"Large Gap",
IF(Table1[[#This Row],[skill_gap_index]]&gt;40,"Medium Gap","Small Gap"))</f>
        <v>Large Gap</v>
      </c>
      <c r="X851" s="3" t="str">
        <f>IF(Table1[[#This Row],[automation_risk_percent]]&gt;0.7,"Highly Automatable",
IF(Table1[[#This Row],[automation_risk_percent]]&gt;0.4,"Moderate Risk","Safe Job"))</f>
        <v>Moderate Risk</v>
      </c>
    </row>
    <row r="852" spans="1:24" x14ac:dyDescent="0.3">
      <c r="A852">
        <v>3032</v>
      </c>
      <c r="B852" t="s">
        <v>18</v>
      </c>
      <c r="C852" t="s">
        <v>19</v>
      </c>
      <c r="D852" t="s">
        <v>36</v>
      </c>
      <c r="E852" s="1">
        <v>2025</v>
      </c>
      <c r="F852" s="11">
        <v>0.54880000000000007</v>
      </c>
      <c r="G852">
        <v>46.78</v>
      </c>
      <c r="H852">
        <v>82.32</v>
      </c>
      <c r="I852" s="2">
        <v>123428.79</v>
      </c>
      <c r="J852" s="2">
        <v>105054.28</v>
      </c>
      <c r="K852" s="2">
        <f>Table1[[#This Row],[Salary_after]]-Table1[[#This Row],[Salary_before]]</f>
        <v>-18374.509999999995</v>
      </c>
      <c r="L852" s="11">
        <v>-0.1489</v>
      </c>
      <c r="M852" s="11">
        <v>0.05</v>
      </c>
      <c r="N852">
        <v>67.099999999999994</v>
      </c>
      <c r="O852">
        <v>15.63</v>
      </c>
      <c r="P852">
        <v>5</v>
      </c>
      <c r="Q852" t="s">
        <v>25</v>
      </c>
      <c r="R852">
        <v>68.599999999999994</v>
      </c>
      <c r="S852">
        <v>14.89</v>
      </c>
      <c r="T852" s="4">
        <v>51.114999999999903</v>
      </c>
      <c r="U852" s="4">
        <v>8.5777439999999991</v>
      </c>
      <c r="V852" t="str">
        <f>IF(Table1[[#This Row],[ai_disruption_intensity]]&gt;70,"High",
IF(Table1[[#This Row],[ai_disruption_intensity]]&gt;40,"Medium","Low"))</f>
        <v>Low</v>
      </c>
      <c r="W852" t="str">
        <f>IF(Table1[[#This Row],[skill_gap_index]]&gt;70,"Large Gap",
IF(Table1[[#This Row],[skill_gap_index]]&gt;40,"Medium Gap","Small Gap"))</f>
        <v>Large Gap</v>
      </c>
      <c r="X852" s="3" t="str">
        <f>IF(Table1[[#This Row],[automation_risk_percent]]&gt;0.7,"Highly Automatable",
IF(Table1[[#This Row],[automation_risk_percent]]&gt;0.4,"Moderate Risk","Safe Job"))</f>
        <v>Moderate Risk</v>
      </c>
    </row>
    <row r="853" spans="1:24" x14ac:dyDescent="0.3">
      <c r="A853">
        <v>3035</v>
      </c>
      <c r="B853" t="s">
        <v>41</v>
      </c>
      <c r="C853" t="s">
        <v>19</v>
      </c>
      <c r="D853" t="s">
        <v>20</v>
      </c>
      <c r="E853" s="1">
        <v>2025</v>
      </c>
      <c r="F853" s="11">
        <v>0.63329999999999997</v>
      </c>
      <c r="G853">
        <v>75.78</v>
      </c>
      <c r="H853">
        <v>22.1</v>
      </c>
      <c r="I853" s="2">
        <v>75090.77</v>
      </c>
      <c r="J853" s="2">
        <v>77266.48</v>
      </c>
      <c r="K853" s="2">
        <f>Table1[[#This Row],[Salary_after]]-Table1[[#This Row],[Salary_before]]</f>
        <v>2175.7099999999919</v>
      </c>
      <c r="L853" s="11">
        <v>2.8999999999999998E-2</v>
      </c>
      <c r="M853" s="11">
        <v>-4.9000000000000002E-2</v>
      </c>
      <c r="N853">
        <v>75.489999999999995</v>
      </c>
      <c r="O853">
        <v>48.21</v>
      </c>
      <c r="P853">
        <v>4</v>
      </c>
      <c r="Q853" t="s">
        <v>37</v>
      </c>
      <c r="R853">
        <v>42.715000000000003</v>
      </c>
      <c r="S853">
        <v>2.9</v>
      </c>
      <c r="T853" s="4">
        <v>32.832000000000001</v>
      </c>
      <c r="U853" s="4">
        <v>30.531392999999898</v>
      </c>
      <c r="V853" t="str">
        <f>IF(Table1[[#This Row],[ai_disruption_intensity]]&gt;70,"High",
IF(Table1[[#This Row],[ai_disruption_intensity]]&gt;40,"Medium","Low"))</f>
        <v>Low</v>
      </c>
      <c r="W853" t="str">
        <f>IF(Table1[[#This Row],[skill_gap_index]]&gt;70,"Large Gap",
IF(Table1[[#This Row],[skill_gap_index]]&gt;40,"Medium Gap","Small Gap"))</f>
        <v>Small Gap</v>
      </c>
      <c r="X853" s="3" t="str">
        <f>IF(Table1[[#This Row],[automation_risk_percent]]&gt;0.7,"Highly Automatable",
IF(Table1[[#This Row],[automation_risk_percent]]&gt;0.4,"Moderate Risk","Safe Job"))</f>
        <v>Moderate Risk</v>
      </c>
    </row>
    <row r="854" spans="1:24" x14ac:dyDescent="0.3">
      <c r="A854">
        <v>3036</v>
      </c>
      <c r="B854" t="s">
        <v>46</v>
      </c>
      <c r="C854" t="s">
        <v>40</v>
      </c>
      <c r="D854" t="s">
        <v>32</v>
      </c>
      <c r="E854" s="1">
        <v>2025</v>
      </c>
      <c r="F854" s="11">
        <v>0.1721</v>
      </c>
      <c r="G854">
        <v>18.04</v>
      </c>
      <c r="H854">
        <v>53.92</v>
      </c>
      <c r="I854" s="2">
        <v>50542.29</v>
      </c>
      <c r="J854" s="2">
        <v>43591.1</v>
      </c>
      <c r="K854" s="2">
        <f>Table1[[#This Row],[Salary_after]]-Table1[[#This Row],[Salary_before]]</f>
        <v>-6951.1900000000023</v>
      </c>
      <c r="L854" s="11">
        <v>-0.13750000000000001</v>
      </c>
      <c r="M854" s="11">
        <v>-0.1502</v>
      </c>
      <c r="N854">
        <v>98.44</v>
      </c>
      <c r="O854">
        <v>84.93</v>
      </c>
      <c r="P854">
        <v>2</v>
      </c>
      <c r="Q854" t="s">
        <v>21</v>
      </c>
      <c r="R854">
        <v>35.564999999999998</v>
      </c>
      <c r="S854">
        <v>13.75</v>
      </c>
      <c r="T854" s="4">
        <v>27.184999999999999</v>
      </c>
      <c r="U854" s="4">
        <v>14.616453</v>
      </c>
      <c r="V854" t="str">
        <f>IF(Table1[[#This Row],[ai_disruption_intensity]]&gt;70,"High",
IF(Table1[[#This Row],[ai_disruption_intensity]]&gt;40,"Medium","Low"))</f>
        <v>Low</v>
      </c>
      <c r="W854" t="str">
        <f>IF(Table1[[#This Row],[skill_gap_index]]&gt;70,"Large Gap",
IF(Table1[[#This Row],[skill_gap_index]]&gt;40,"Medium Gap","Small Gap"))</f>
        <v>Medium Gap</v>
      </c>
      <c r="X854" s="3" t="str">
        <f>IF(Table1[[#This Row],[automation_risk_percent]]&gt;0.7,"Highly Automatable",
IF(Table1[[#This Row],[automation_risk_percent]]&gt;0.4,"Moderate Risk","Safe Job"))</f>
        <v>Safe Job</v>
      </c>
    </row>
    <row r="855" spans="1:24" x14ac:dyDescent="0.3">
      <c r="A855">
        <v>3040</v>
      </c>
      <c r="B855" t="s">
        <v>22</v>
      </c>
      <c r="C855" t="s">
        <v>19</v>
      </c>
      <c r="D855" t="s">
        <v>31</v>
      </c>
      <c r="E855" s="1">
        <v>2026</v>
      </c>
      <c r="F855" s="11">
        <v>0.39369999999999999</v>
      </c>
      <c r="G855">
        <v>44.36</v>
      </c>
      <c r="H855">
        <v>28.27</v>
      </c>
      <c r="I855" s="2">
        <v>65890.649999999994</v>
      </c>
      <c r="J855" s="2">
        <v>70736.7</v>
      </c>
      <c r="K855" s="2">
        <f>Table1[[#This Row],[Salary_after]]-Table1[[#This Row],[Salary_before]]</f>
        <v>4846.0500000000029</v>
      </c>
      <c r="L855" s="11">
        <v>7.3499999999999996E-2</v>
      </c>
      <c r="M855" s="11">
        <v>5.2999999999999999E-2</v>
      </c>
      <c r="N855">
        <v>80.760000000000005</v>
      </c>
      <c r="O855">
        <v>79.59</v>
      </c>
      <c r="P855">
        <v>1</v>
      </c>
      <c r="Q855" t="s">
        <v>25</v>
      </c>
      <c r="R855">
        <v>33.82</v>
      </c>
      <c r="S855">
        <v>7.35</v>
      </c>
      <c r="T855" s="4">
        <v>26.433999999999902</v>
      </c>
      <c r="U855" s="4">
        <v>31.334582999999999</v>
      </c>
      <c r="V855" t="str">
        <f>IF(Table1[[#This Row],[ai_disruption_intensity]]&gt;70,"High",
IF(Table1[[#This Row],[ai_disruption_intensity]]&gt;40,"Medium","Low"))</f>
        <v>Low</v>
      </c>
      <c r="W855" t="str">
        <f>IF(Table1[[#This Row],[skill_gap_index]]&gt;70,"Large Gap",
IF(Table1[[#This Row],[skill_gap_index]]&gt;40,"Medium Gap","Small Gap"))</f>
        <v>Small Gap</v>
      </c>
      <c r="X855" s="3" t="str">
        <f>IF(Table1[[#This Row],[automation_risk_percent]]&gt;0.7,"Highly Automatable",
IF(Table1[[#This Row],[automation_risk_percent]]&gt;0.4,"Moderate Risk","Safe Job"))</f>
        <v>Safe Job</v>
      </c>
    </row>
    <row r="856" spans="1:24" x14ac:dyDescent="0.3">
      <c r="A856">
        <v>3044</v>
      </c>
      <c r="B856" t="s">
        <v>43</v>
      </c>
      <c r="C856" t="s">
        <v>27</v>
      </c>
      <c r="D856" t="s">
        <v>31</v>
      </c>
      <c r="E856" s="1">
        <v>2026</v>
      </c>
      <c r="F856" s="11">
        <v>0.1103</v>
      </c>
      <c r="G856">
        <v>11.74</v>
      </c>
      <c r="H856">
        <v>0.01</v>
      </c>
      <c r="I856" s="2">
        <v>37567.019999999997</v>
      </c>
      <c r="J856" s="2">
        <v>41846.82</v>
      </c>
      <c r="K856" s="2">
        <f>Table1[[#This Row],[Salary_after]]-Table1[[#This Row],[Salary_before]]</f>
        <v>4279.8000000000029</v>
      </c>
      <c r="L856" s="11">
        <v>0.1139</v>
      </c>
      <c r="M856" s="11">
        <v>1.9400000000000001E-2</v>
      </c>
      <c r="N856">
        <v>23.05</v>
      </c>
      <c r="O856">
        <v>55.46</v>
      </c>
      <c r="P856">
        <v>1</v>
      </c>
      <c r="Q856" t="s">
        <v>21</v>
      </c>
      <c r="R856">
        <v>5.52</v>
      </c>
      <c r="S856">
        <v>11.39</v>
      </c>
      <c r="T856" s="4">
        <v>7.8319999999999999</v>
      </c>
      <c r="U856" s="4">
        <v>6.1172379999999897</v>
      </c>
      <c r="V856" t="str">
        <f>IF(Table1[[#This Row],[ai_disruption_intensity]]&gt;70,"High",
IF(Table1[[#This Row],[ai_disruption_intensity]]&gt;40,"Medium","Low"))</f>
        <v>Low</v>
      </c>
      <c r="W856" t="str">
        <f>IF(Table1[[#This Row],[skill_gap_index]]&gt;70,"Large Gap",
IF(Table1[[#This Row],[skill_gap_index]]&gt;40,"Medium Gap","Small Gap"))</f>
        <v>Small Gap</v>
      </c>
      <c r="X856" s="3" t="str">
        <f>IF(Table1[[#This Row],[automation_risk_percent]]&gt;0.7,"Highly Automatable",
IF(Table1[[#This Row],[automation_risk_percent]]&gt;0.4,"Moderate Risk","Safe Job"))</f>
        <v>Safe Job</v>
      </c>
    </row>
    <row r="857" spans="1:24" x14ac:dyDescent="0.3">
      <c r="A857">
        <v>3046</v>
      </c>
      <c r="B857" t="s">
        <v>41</v>
      </c>
      <c r="C857" t="s">
        <v>33</v>
      </c>
      <c r="D857" t="s">
        <v>28</v>
      </c>
      <c r="E857" s="1">
        <v>2026</v>
      </c>
      <c r="F857" s="11">
        <v>0.26890000000000003</v>
      </c>
      <c r="G857">
        <v>22.48</v>
      </c>
      <c r="H857">
        <v>15.68</v>
      </c>
      <c r="I857" s="2">
        <v>46354.69</v>
      </c>
      <c r="J857" s="2">
        <v>44886.6</v>
      </c>
      <c r="K857" s="2">
        <f>Table1[[#This Row],[Salary_after]]-Table1[[#This Row],[Salary_before]]</f>
        <v>-1468.0900000000038</v>
      </c>
      <c r="L857" s="11">
        <v>-3.1699999999999999E-2</v>
      </c>
      <c r="M857" s="11">
        <v>-0.11599999999999999</v>
      </c>
      <c r="N857">
        <v>43.45</v>
      </c>
      <c r="O857">
        <v>89.06</v>
      </c>
      <c r="P857">
        <v>2</v>
      </c>
      <c r="Q857" t="s">
        <v>21</v>
      </c>
      <c r="R857">
        <v>21.285</v>
      </c>
      <c r="S857">
        <v>3.17</v>
      </c>
      <c r="T857" s="4">
        <v>16.411000000000001</v>
      </c>
      <c r="U857" s="4">
        <v>23.948233999999999</v>
      </c>
      <c r="V857" t="str">
        <f>IF(Table1[[#This Row],[ai_disruption_intensity]]&gt;70,"High",
IF(Table1[[#This Row],[ai_disruption_intensity]]&gt;40,"Medium","Low"))</f>
        <v>Low</v>
      </c>
      <c r="W857" t="str">
        <f>IF(Table1[[#This Row],[skill_gap_index]]&gt;70,"Large Gap",
IF(Table1[[#This Row],[skill_gap_index]]&gt;40,"Medium Gap","Small Gap"))</f>
        <v>Small Gap</v>
      </c>
      <c r="X857" s="3" t="str">
        <f>IF(Table1[[#This Row],[automation_risk_percent]]&gt;0.7,"Highly Automatable",
IF(Table1[[#This Row],[automation_risk_percent]]&gt;0.4,"Moderate Risk","Safe Job"))</f>
        <v>Safe Job</v>
      </c>
    </row>
    <row r="858" spans="1:24" x14ac:dyDescent="0.3">
      <c r="A858">
        <v>3051</v>
      </c>
      <c r="B858" t="s">
        <v>44</v>
      </c>
      <c r="C858" t="s">
        <v>34</v>
      </c>
      <c r="D858" t="s">
        <v>47</v>
      </c>
      <c r="E858" s="1">
        <v>2025</v>
      </c>
      <c r="F858" s="11">
        <v>0.70030000000000003</v>
      </c>
      <c r="G858">
        <v>78.260000000000005</v>
      </c>
      <c r="H858">
        <v>95.16</v>
      </c>
      <c r="I858" s="2">
        <v>57691.85</v>
      </c>
      <c r="J858" s="2">
        <v>62776.58</v>
      </c>
      <c r="K858" s="2">
        <f>Table1[[#This Row],[Salary_after]]-Table1[[#This Row],[Salary_before]]</f>
        <v>5084.7300000000032</v>
      </c>
      <c r="L858" s="11">
        <v>8.8100000000000012E-2</v>
      </c>
      <c r="M858" s="11">
        <v>7.6600000000000001E-2</v>
      </c>
      <c r="N858">
        <v>66.17</v>
      </c>
      <c r="O858">
        <v>97.74</v>
      </c>
      <c r="P858">
        <v>4</v>
      </c>
      <c r="Q858" t="s">
        <v>37</v>
      </c>
      <c r="R858">
        <v>82.594999999999999</v>
      </c>
      <c r="S858">
        <v>8.81</v>
      </c>
      <c r="T858" s="4">
        <v>59.203000000000003</v>
      </c>
      <c r="U858" s="4">
        <v>68.447322</v>
      </c>
      <c r="V858" t="str">
        <f>IF(Table1[[#This Row],[ai_disruption_intensity]]&gt;70,"High",
IF(Table1[[#This Row],[ai_disruption_intensity]]&gt;40,"Medium","Low"))</f>
        <v>Medium</v>
      </c>
      <c r="W858" t="str">
        <f>IF(Table1[[#This Row],[skill_gap_index]]&gt;70,"Large Gap",
IF(Table1[[#This Row],[skill_gap_index]]&gt;40,"Medium Gap","Small Gap"))</f>
        <v>Large Gap</v>
      </c>
      <c r="X858" s="3" t="str">
        <f>IF(Table1[[#This Row],[automation_risk_percent]]&gt;0.7,"Highly Automatable",
IF(Table1[[#This Row],[automation_risk_percent]]&gt;0.4,"Moderate Risk","Safe Job"))</f>
        <v>Highly Automatable</v>
      </c>
    </row>
    <row r="859" spans="1:24" x14ac:dyDescent="0.3">
      <c r="A859">
        <v>3052</v>
      </c>
      <c r="B859" t="s">
        <v>46</v>
      </c>
      <c r="C859" t="s">
        <v>40</v>
      </c>
      <c r="D859" t="s">
        <v>31</v>
      </c>
      <c r="E859" s="1">
        <v>2026</v>
      </c>
      <c r="F859" s="11">
        <v>7.0199999999999999E-2</v>
      </c>
      <c r="G859">
        <v>6.85</v>
      </c>
      <c r="H859">
        <v>97.74</v>
      </c>
      <c r="I859" s="2">
        <v>75548.160000000003</v>
      </c>
      <c r="J859" s="2">
        <v>78586.44</v>
      </c>
      <c r="K859" s="2">
        <f>Table1[[#This Row],[Salary_after]]-Table1[[#This Row],[Salary_before]]</f>
        <v>3038.2799999999988</v>
      </c>
      <c r="L859" s="11">
        <v>4.0199999999999993E-2</v>
      </c>
      <c r="M859" s="11">
        <v>6.8000000000000005E-2</v>
      </c>
      <c r="N859">
        <v>44.44</v>
      </c>
      <c r="O859">
        <v>2.13</v>
      </c>
      <c r="P859">
        <v>2</v>
      </c>
      <c r="Q859" t="s">
        <v>21</v>
      </c>
      <c r="R859">
        <v>52.379999999999903</v>
      </c>
      <c r="S859">
        <v>4.0199999999999996</v>
      </c>
      <c r="T859" s="4">
        <v>33.335999999999999</v>
      </c>
      <c r="U859" s="4">
        <v>0.14952599999999999</v>
      </c>
      <c r="V859" t="str">
        <f>IF(Table1[[#This Row],[ai_disruption_intensity]]&gt;70,"High",
IF(Table1[[#This Row],[ai_disruption_intensity]]&gt;40,"Medium","Low"))</f>
        <v>Low</v>
      </c>
      <c r="W859" t="str">
        <f>IF(Table1[[#This Row],[skill_gap_index]]&gt;70,"Large Gap",
IF(Table1[[#This Row],[skill_gap_index]]&gt;40,"Medium Gap","Small Gap"))</f>
        <v>Large Gap</v>
      </c>
      <c r="X859" s="3" t="str">
        <f>IF(Table1[[#This Row],[automation_risk_percent]]&gt;0.7,"Highly Automatable",
IF(Table1[[#This Row],[automation_risk_percent]]&gt;0.4,"Moderate Risk","Safe Job"))</f>
        <v>Safe Job</v>
      </c>
    </row>
    <row r="860" spans="1:24" x14ac:dyDescent="0.3">
      <c r="A860">
        <v>3055</v>
      </c>
      <c r="B860" t="s">
        <v>43</v>
      </c>
      <c r="C860" t="s">
        <v>33</v>
      </c>
      <c r="D860" t="s">
        <v>32</v>
      </c>
      <c r="E860" s="1">
        <v>2025</v>
      </c>
      <c r="F860" s="11">
        <v>0.3286</v>
      </c>
      <c r="G860">
        <v>37.5</v>
      </c>
      <c r="H860">
        <v>49.79</v>
      </c>
      <c r="I860" s="2">
        <v>72510.28</v>
      </c>
      <c r="J860" s="2">
        <v>64589.72</v>
      </c>
      <c r="K860" s="2">
        <f>Table1[[#This Row],[Salary_after]]-Table1[[#This Row],[Salary_before]]</f>
        <v>-7920.5599999999977</v>
      </c>
      <c r="L860" s="11">
        <v>-0.10920000000000001</v>
      </c>
      <c r="M860" s="11">
        <v>6.3200000000000006E-2</v>
      </c>
      <c r="N860">
        <v>10.48</v>
      </c>
      <c r="O860">
        <v>28.06</v>
      </c>
      <c r="P860">
        <v>3</v>
      </c>
      <c r="Q860" t="s">
        <v>25</v>
      </c>
      <c r="R860">
        <v>41.325000000000003</v>
      </c>
      <c r="S860">
        <v>10.92</v>
      </c>
      <c r="T860" s="4">
        <v>31.356999999999999</v>
      </c>
      <c r="U860" s="4">
        <v>9.2205159999999893</v>
      </c>
      <c r="V860" t="str">
        <f>IF(Table1[[#This Row],[ai_disruption_intensity]]&gt;70,"High",
IF(Table1[[#This Row],[ai_disruption_intensity]]&gt;40,"Medium","Low"))</f>
        <v>Low</v>
      </c>
      <c r="W860" t="str">
        <f>IF(Table1[[#This Row],[skill_gap_index]]&gt;70,"Large Gap",
IF(Table1[[#This Row],[skill_gap_index]]&gt;40,"Medium Gap","Small Gap"))</f>
        <v>Medium Gap</v>
      </c>
      <c r="X860" s="3" t="str">
        <f>IF(Table1[[#This Row],[automation_risk_percent]]&gt;0.7,"Highly Automatable",
IF(Table1[[#This Row],[automation_risk_percent]]&gt;0.4,"Moderate Risk","Safe Job"))</f>
        <v>Safe Job</v>
      </c>
    </row>
    <row r="861" spans="1:24" x14ac:dyDescent="0.3">
      <c r="A861">
        <v>3058</v>
      </c>
      <c r="B861" t="s">
        <v>43</v>
      </c>
      <c r="C861" t="s">
        <v>30</v>
      </c>
      <c r="D861" t="s">
        <v>24</v>
      </c>
      <c r="E861" s="1">
        <v>2026</v>
      </c>
      <c r="F861" s="11">
        <v>0.21829999999999999</v>
      </c>
      <c r="G861">
        <v>18.11</v>
      </c>
      <c r="H861">
        <v>23.62</v>
      </c>
      <c r="I861" s="2">
        <v>36924.06</v>
      </c>
      <c r="J861" s="2">
        <v>41525.01</v>
      </c>
      <c r="K861" s="2">
        <f>Table1[[#This Row],[Salary_after]]-Table1[[#This Row],[Salary_before]]</f>
        <v>4600.9500000000044</v>
      </c>
      <c r="L861" s="11">
        <v>0.1246</v>
      </c>
      <c r="M861" s="11">
        <v>0.1</v>
      </c>
      <c r="N861">
        <v>40.58</v>
      </c>
      <c r="O861">
        <v>38.71</v>
      </c>
      <c r="P861">
        <v>1</v>
      </c>
      <c r="Q861" t="s">
        <v>21</v>
      </c>
      <c r="R861">
        <v>22.725000000000001</v>
      </c>
      <c r="S861">
        <v>12.46</v>
      </c>
      <c r="T861" s="4">
        <v>19.556000000000001</v>
      </c>
      <c r="U861" s="4">
        <v>8.4503929999999894</v>
      </c>
      <c r="V861" t="str">
        <f>IF(Table1[[#This Row],[ai_disruption_intensity]]&gt;70,"High",
IF(Table1[[#This Row],[ai_disruption_intensity]]&gt;40,"Medium","Low"))</f>
        <v>Low</v>
      </c>
      <c r="W861" t="str">
        <f>IF(Table1[[#This Row],[skill_gap_index]]&gt;70,"Large Gap",
IF(Table1[[#This Row],[skill_gap_index]]&gt;40,"Medium Gap","Small Gap"))</f>
        <v>Small Gap</v>
      </c>
      <c r="X861" s="3" t="str">
        <f>IF(Table1[[#This Row],[automation_risk_percent]]&gt;0.7,"Highly Automatable",
IF(Table1[[#This Row],[automation_risk_percent]]&gt;0.4,"Moderate Risk","Safe Job"))</f>
        <v>Safe Job</v>
      </c>
    </row>
    <row r="862" spans="1:24" x14ac:dyDescent="0.3">
      <c r="A862">
        <v>3059</v>
      </c>
      <c r="B862" t="s">
        <v>18</v>
      </c>
      <c r="C862" t="s">
        <v>30</v>
      </c>
      <c r="D862" t="s">
        <v>20</v>
      </c>
      <c r="E862" s="1">
        <v>2025</v>
      </c>
      <c r="F862" s="11">
        <v>0.67130000000000001</v>
      </c>
      <c r="G862">
        <v>59.68</v>
      </c>
      <c r="H862">
        <v>11.92</v>
      </c>
      <c r="I862" s="2">
        <v>90134.17</v>
      </c>
      <c r="J862" s="2">
        <v>100483.42</v>
      </c>
      <c r="K862" s="2">
        <f>Table1[[#This Row],[Salary_after]]-Table1[[#This Row],[Salary_before]]</f>
        <v>10349.25</v>
      </c>
      <c r="L862" s="11">
        <v>0.1148</v>
      </c>
      <c r="M862" s="11">
        <v>0.21840000000000001</v>
      </c>
      <c r="N862">
        <v>74.25</v>
      </c>
      <c r="O862">
        <v>5.68</v>
      </c>
      <c r="P862">
        <v>4</v>
      </c>
      <c r="Q862" t="s">
        <v>37</v>
      </c>
      <c r="R862">
        <v>39.524999999999999</v>
      </c>
      <c r="S862">
        <v>11.48</v>
      </c>
      <c r="T862" s="4">
        <v>33.872</v>
      </c>
      <c r="U862" s="4">
        <v>3.8129839999999899</v>
      </c>
      <c r="V862" t="str">
        <f>IF(Table1[[#This Row],[ai_disruption_intensity]]&gt;70,"High",
IF(Table1[[#This Row],[ai_disruption_intensity]]&gt;40,"Medium","Low"))</f>
        <v>Low</v>
      </c>
      <c r="W862" t="str">
        <f>IF(Table1[[#This Row],[skill_gap_index]]&gt;70,"Large Gap",
IF(Table1[[#This Row],[skill_gap_index]]&gt;40,"Medium Gap","Small Gap"))</f>
        <v>Small Gap</v>
      </c>
      <c r="X862" s="3" t="str">
        <f>IF(Table1[[#This Row],[automation_risk_percent]]&gt;0.7,"Highly Automatable",
IF(Table1[[#This Row],[automation_risk_percent]]&gt;0.4,"Moderate Risk","Safe Job"))</f>
        <v>Moderate Risk</v>
      </c>
    </row>
    <row r="863" spans="1:24" x14ac:dyDescent="0.3">
      <c r="A863">
        <v>3060</v>
      </c>
      <c r="B863" t="s">
        <v>18</v>
      </c>
      <c r="C863" t="s">
        <v>38</v>
      </c>
      <c r="D863" t="s">
        <v>35</v>
      </c>
      <c r="E863" s="1">
        <v>2025</v>
      </c>
      <c r="F863" s="11">
        <v>0.3997</v>
      </c>
      <c r="G863">
        <v>35.79</v>
      </c>
      <c r="H863">
        <v>75.91</v>
      </c>
      <c r="I863" s="2">
        <v>134727.66</v>
      </c>
      <c r="J863" s="2">
        <v>127887.97</v>
      </c>
      <c r="K863" s="2">
        <f>Table1[[#This Row],[Salary_after]]-Table1[[#This Row],[Salary_before]]</f>
        <v>-6839.6900000000023</v>
      </c>
      <c r="L863" s="11">
        <v>-5.0799999999999998E-2</v>
      </c>
      <c r="M863" s="11">
        <v>2.2599999999999999E-2</v>
      </c>
      <c r="N863">
        <v>32.81</v>
      </c>
      <c r="O863">
        <v>10.4</v>
      </c>
      <c r="P863">
        <v>5</v>
      </c>
      <c r="Q863" t="s">
        <v>25</v>
      </c>
      <c r="R863">
        <v>57.94</v>
      </c>
      <c r="S863">
        <v>5.08</v>
      </c>
      <c r="T863" s="4">
        <v>40.284999999999997</v>
      </c>
      <c r="U863" s="4">
        <v>4.1568800000000001</v>
      </c>
      <c r="V863" t="str">
        <f>IF(Table1[[#This Row],[ai_disruption_intensity]]&gt;70,"High",
IF(Table1[[#This Row],[ai_disruption_intensity]]&gt;40,"Medium","Low"))</f>
        <v>Low</v>
      </c>
      <c r="W863" t="str">
        <f>IF(Table1[[#This Row],[skill_gap_index]]&gt;70,"Large Gap",
IF(Table1[[#This Row],[skill_gap_index]]&gt;40,"Medium Gap","Small Gap"))</f>
        <v>Large Gap</v>
      </c>
      <c r="X863" s="3" t="str">
        <f>IF(Table1[[#This Row],[automation_risk_percent]]&gt;0.7,"Highly Automatable",
IF(Table1[[#This Row],[automation_risk_percent]]&gt;0.4,"Moderate Risk","Safe Job"))</f>
        <v>Safe Job</v>
      </c>
    </row>
    <row r="864" spans="1:24" x14ac:dyDescent="0.3">
      <c r="A864">
        <v>3061</v>
      </c>
      <c r="B864" t="s">
        <v>43</v>
      </c>
      <c r="C864" t="s">
        <v>40</v>
      </c>
      <c r="D864" t="s">
        <v>24</v>
      </c>
      <c r="E864" s="1">
        <v>2025</v>
      </c>
      <c r="F864" s="11">
        <v>0.32569999999999999</v>
      </c>
      <c r="G864">
        <v>33.07</v>
      </c>
      <c r="H864">
        <v>97.37</v>
      </c>
      <c r="I864" s="2">
        <v>77924.429999999993</v>
      </c>
      <c r="J864" s="2">
        <v>73478.960000000006</v>
      </c>
      <c r="K864" s="2">
        <f>Table1[[#This Row],[Salary_after]]-Table1[[#This Row],[Salary_before]]</f>
        <v>-4445.4699999999866</v>
      </c>
      <c r="L864" s="11">
        <v>-5.7000000000000002E-2</v>
      </c>
      <c r="M864" s="11">
        <v>2.0999999999999999E-3</v>
      </c>
      <c r="N864">
        <v>25.57</v>
      </c>
      <c r="O864">
        <v>19.260000000000002</v>
      </c>
      <c r="P864">
        <v>4</v>
      </c>
      <c r="Q864" t="s">
        <v>25</v>
      </c>
      <c r="R864">
        <v>64.97</v>
      </c>
      <c r="S864">
        <v>5.7</v>
      </c>
      <c r="T864" s="4">
        <v>43.948999999999998</v>
      </c>
      <c r="U864" s="4">
        <v>6.2729819999999998</v>
      </c>
      <c r="V864" t="str">
        <f>IF(Table1[[#This Row],[ai_disruption_intensity]]&gt;70,"High",
IF(Table1[[#This Row],[ai_disruption_intensity]]&gt;40,"Medium","Low"))</f>
        <v>Low</v>
      </c>
      <c r="W864" t="str">
        <f>IF(Table1[[#This Row],[skill_gap_index]]&gt;70,"Large Gap",
IF(Table1[[#This Row],[skill_gap_index]]&gt;40,"Medium Gap","Small Gap"))</f>
        <v>Large Gap</v>
      </c>
      <c r="X864" s="3" t="str">
        <f>IF(Table1[[#This Row],[automation_risk_percent]]&gt;0.7,"Highly Automatable",
IF(Table1[[#This Row],[automation_risk_percent]]&gt;0.4,"Moderate Risk","Safe Job"))</f>
        <v>Safe Job</v>
      </c>
    </row>
    <row r="865" spans="1:24" x14ac:dyDescent="0.3">
      <c r="A865">
        <v>3062</v>
      </c>
      <c r="B865" t="s">
        <v>18</v>
      </c>
      <c r="C865" t="s">
        <v>19</v>
      </c>
      <c r="D865" t="s">
        <v>47</v>
      </c>
      <c r="E865" s="1">
        <v>2025</v>
      </c>
      <c r="F865" s="11">
        <v>0.63359999999999994</v>
      </c>
      <c r="G865">
        <v>52.23</v>
      </c>
      <c r="H865">
        <v>99.74</v>
      </c>
      <c r="I865" s="2">
        <v>92722.37</v>
      </c>
      <c r="J865" s="2">
        <v>73245.899999999994</v>
      </c>
      <c r="K865" s="2">
        <f>Table1[[#This Row],[Salary_after]]-Table1[[#This Row],[Salary_before]]</f>
        <v>-19476.47</v>
      </c>
      <c r="L865" s="11">
        <v>-0.21010000000000001</v>
      </c>
      <c r="M865" s="11">
        <v>0.1153</v>
      </c>
      <c r="N865">
        <v>72.12</v>
      </c>
      <c r="O865">
        <v>47.15</v>
      </c>
      <c r="P865">
        <v>4</v>
      </c>
      <c r="Q865" t="s">
        <v>37</v>
      </c>
      <c r="R865">
        <v>81.55</v>
      </c>
      <c r="S865">
        <v>21.01</v>
      </c>
      <c r="T865" s="4">
        <v>61.568999999999903</v>
      </c>
      <c r="U865" s="4">
        <v>29.87424</v>
      </c>
      <c r="V865" t="str">
        <f>IF(Table1[[#This Row],[ai_disruption_intensity]]&gt;70,"High",
IF(Table1[[#This Row],[ai_disruption_intensity]]&gt;40,"Medium","Low"))</f>
        <v>Low</v>
      </c>
      <c r="W865" t="str">
        <f>IF(Table1[[#This Row],[skill_gap_index]]&gt;70,"Large Gap",
IF(Table1[[#This Row],[skill_gap_index]]&gt;40,"Medium Gap","Small Gap"))</f>
        <v>Large Gap</v>
      </c>
      <c r="X865" s="3" t="str">
        <f>IF(Table1[[#This Row],[automation_risk_percent]]&gt;0.7,"Highly Automatable",
IF(Table1[[#This Row],[automation_risk_percent]]&gt;0.4,"Moderate Risk","Safe Job"))</f>
        <v>Moderate Risk</v>
      </c>
    </row>
    <row r="866" spans="1:24" x14ac:dyDescent="0.3">
      <c r="A866">
        <v>3064</v>
      </c>
      <c r="B866" t="s">
        <v>29</v>
      </c>
      <c r="C866" t="s">
        <v>27</v>
      </c>
      <c r="D866" t="s">
        <v>35</v>
      </c>
      <c r="E866" s="1">
        <v>2025</v>
      </c>
      <c r="F866" s="11">
        <v>0.38270000000000004</v>
      </c>
      <c r="G866">
        <v>41.23</v>
      </c>
      <c r="H866">
        <v>40.659999999999997</v>
      </c>
      <c r="I866" s="2">
        <v>123836.11</v>
      </c>
      <c r="J866" s="2">
        <v>112698.62</v>
      </c>
      <c r="K866" s="2">
        <f>Table1[[#This Row],[Salary_after]]-Table1[[#This Row],[Salary_before]]</f>
        <v>-11137.490000000005</v>
      </c>
      <c r="L866" s="11">
        <v>-8.9900000000000008E-2</v>
      </c>
      <c r="M866" s="11">
        <v>0.111</v>
      </c>
      <c r="N866">
        <v>60.66</v>
      </c>
      <c r="O866">
        <v>74.290000000000006</v>
      </c>
      <c r="P866">
        <v>2</v>
      </c>
      <c r="Q866" t="s">
        <v>25</v>
      </c>
      <c r="R866">
        <v>39.465000000000003</v>
      </c>
      <c r="S866">
        <v>8.99</v>
      </c>
      <c r="T866" s="4">
        <v>30.202999999999999</v>
      </c>
      <c r="U866" s="4">
        <v>28.430783000000002</v>
      </c>
      <c r="V866" t="str">
        <f>IF(Table1[[#This Row],[ai_disruption_intensity]]&gt;70,"High",
IF(Table1[[#This Row],[ai_disruption_intensity]]&gt;40,"Medium","Low"))</f>
        <v>Low</v>
      </c>
      <c r="W866" t="str">
        <f>IF(Table1[[#This Row],[skill_gap_index]]&gt;70,"Large Gap",
IF(Table1[[#This Row],[skill_gap_index]]&gt;40,"Medium Gap","Small Gap"))</f>
        <v>Medium Gap</v>
      </c>
      <c r="X866" s="3" t="str">
        <f>IF(Table1[[#This Row],[automation_risk_percent]]&gt;0.7,"Highly Automatable",
IF(Table1[[#This Row],[automation_risk_percent]]&gt;0.4,"Moderate Risk","Safe Job"))</f>
        <v>Safe Job</v>
      </c>
    </row>
    <row r="867" spans="1:24" x14ac:dyDescent="0.3">
      <c r="A867">
        <v>3071</v>
      </c>
      <c r="B867" t="s">
        <v>29</v>
      </c>
      <c r="C867" t="s">
        <v>34</v>
      </c>
      <c r="D867" t="s">
        <v>24</v>
      </c>
      <c r="E867" s="1">
        <v>2025</v>
      </c>
      <c r="F867" s="11">
        <v>0.70369999999999999</v>
      </c>
      <c r="G867">
        <v>57.95</v>
      </c>
      <c r="H867">
        <v>81.790000000000006</v>
      </c>
      <c r="I867" s="2">
        <v>97926.5</v>
      </c>
      <c r="J867" s="2">
        <v>105314.72</v>
      </c>
      <c r="K867" s="2">
        <f>Table1[[#This Row],[Salary_after]]-Table1[[#This Row],[Salary_before]]</f>
        <v>7388.2200000000012</v>
      </c>
      <c r="L867" s="11">
        <v>7.5399999999999995E-2</v>
      </c>
      <c r="M867" s="11">
        <v>-0.1007</v>
      </c>
      <c r="N867">
        <v>13.43</v>
      </c>
      <c r="O867">
        <v>77.12</v>
      </c>
      <c r="P867">
        <v>2</v>
      </c>
      <c r="Q867" t="s">
        <v>37</v>
      </c>
      <c r="R867">
        <v>76.08</v>
      </c>
      <c r="S867">
        <v>7.54</v>
      </c>
      <c r="T867" s="4">
        <v>54.947000000000003</v>
      </c>
      <c r="U867" s="4">
        <v>54.269343999999997</v>
      </c>
      <c r="V867" t="str">
        <f>IF(Table1[[#This Row],[ai_disruption_intensity]]&gt;70,"High",
IF(Table1[[#This Row],[ai_disruption_intensity]]&gt;40,"Medium","Low"))</f>
        <v>Medium</v>
      </c>
      <c r="W867" t="str">
        <f>IF(Table1[[#This Row],[skill_gap_index]]&gt;70,"Large Gap",
IF(Table1[[#This Row],[skill_gap_index]]&gt;40,"Medium Gap","Small Gap"))</f>
        <v>Large Gap</v>
      </c>
      <c r="X867" s="3" t="str">
        <f>IF(Table1[[#This Row],[automation_risk_percent]]&gt;0.7,"Highly Automatable",
IF(Table1[[#This Row],[automation_risk_percent]]&gt;0.4,"Moderate Risk","Safe Job"))</f>
        <v>Highly Automatable</v>
      </c>
    </row>
    <row r="868" spans="1:24" x14ac:dyDescent="0.3">
      <c r="A868">
        <v>3077</v>
      </c>
      <c r="B868" t="s">
        <v>44</v>
      </c>
      <c r="C868" t="s">
        <v>40</v>
      </c>
      <c r="D868" t="s">
        <v>20</v>
      </c>
      <c r="E868" s="1">
        <v>2025</v>
      </c>
      <c r="F868" s="11">
        <v>0.33260000000000001</v>
      </c>
      <c r="G868">
        <v>34.299999999999997</v>
      </c>
      <c r="H868">
        <v>24</v>
      </c>
      <c r="I868" s="2">
        <v>125685.04</v>
      </c>
      <c r="J868" s="2">
        <v>116432.15</v>
      </c>
      <c r="K868" s="2">
        <f>Table1[[#This Row],[Salary_after]]-Table1[[#This Row],[Salary_before]]</f>
        <v>-9252.89</v>
      </c>
      <c r="L868" s="11">
        <v>-7.3599999999999999E-2</v>
      </c>
      <c r="M868" s="11">
        <v>0.14910000000000001</v>
      </c>
      <c r="N868">
        <v>71.34</v>
      </c>
      <c r="O868">
        <v>70.39</v>
      </c>
      <c r="P868">
        <v>2</v>
      </c>
      <c r="Q868" t="s">
        <v>25</v>
      </c>
      <c r="R868">
        <v>28.63</v>
      </c>
      <c r="S868">
        <v>7.36</v>
      </c>
      <c r="T868" s="4">
        <v>22.7119999999999</v>
      </c>
      <c r="U868" s="4">
        <v>23.4117139999999</v>
      </c>
      <c r="V868" t="str">
        <f>IF(Table1[[#This Row],[ai_disruption_intensity]]&gt;70,"High",
IF(Table1[[#This Row],[ai_disruption_intensity]]&gt;40,"Medium","Low"))</f>
        <v>Low</v>
      </c>
      <c r="W868" t="str">
        <f>IF(Table1[[#This Row],[skill_gap_index]]&gt;70,"Large Gap",
IF(Table1[[#This Row],[skill_gap_index]]&gt;40,"Medium Gap","Small Gap"))</f>
        <v>Small Gap</v>
      </c>
      <c r="X868" s="3" t="str">
        <f>IF(Table1[[#This Row],[automation_risk_percent]]&gt;0.7,"Highly Automatable",
IF(Table1[[#This Row],[automation_risk_percent]]&gt;0.4,"Moderate Risk","Safe Job"))</f>
        <v>Safe Job</v>
      </c>
    </row>
    <row r="869" spans="1:24" x14ac:dyDescent="0.3">
      <c r="A869">
        <v>3078</v>
      </c>
      <c r="B869" t="s">
        <v>43</v>
      </c>
      <c r="C869" t="s">
        <v>27</v>
      </c>
      <c r="D869" t="s">
        <v>35</v>
      </c>
      <c r="E869" s="1">
        <v>2025</v>
      </c>
      <c r="F869" s="11">
        <v>0.49380000000000002</v>
      </c>
      <c r="G869">
        <v>51.36</v>
      </c>
      <c r="H869">
        <v>57.45</v>
      </c>
      <c r="I869" s="2">
        <v>39823.730000000003</v>
      </c>
      <c r="J869" s="2">
        <v>38389.29</v>
      </c>
      <c r="K869" s="2">
        <f>Table1[[#This Row],[Salary_after]]-Table1[[#This Row],[Salary_before]]</f>
        <v>-1434.4400000000023</v>
      </c>
      <c r="L869" s="11">
        <v>-3.6000000000000004E-2</v>
      </c>
      <c r="M869" s="11">
        <v>0.25290000000000001</v>
      </c>
      <c r="N869">
        <v>49.46</v>
      </c>
      <c r="O869">
        <v>86</v>
      </c>
      <c r="P869">
        <v>5</v>
      </c>
      <c r="Q869" t="s">
        <v>25</v>
      </c>
      <c r="R869">
        <v>53.414999999999999</v>
      </c>
      <c r="S869">
        <v>3.6</v>
      </c>
      <c r="T869" s="4">
        <v>38.067</v>
      </c>
      <c r="U869" s="4">
        <v>42.466799999999999</v>
      </c>
      <c r="V869" t="str">
        <f>IF(Table1[[#This Row],[ai_disruption_intensity]]&gt;70,"High",
IF(Table1[[#This Row],[ai_disruption_intensity]]&gt;40,"Medium","Low"))</f>
        <v>Medium</v>
      </c>
      <c r="W869" t="str">
        <f>IF(Table1[[#This Row],[skill_gap_index]]&gt;70,"Large Gap",
IF(Table1[[#This Row],[skill_gap_index]]&gt;40,"Medium Gap","Small Gap"))</f>
        <v>Medium Gap</v>
      </c>
      <c r="X869" s="3" t="str">
        <f>IF(Table1[[#This Row],[automation_risk_percent]]&gt;0.7,"Highly Automatable",
IF(Table1[[#This Row],[automation_risk_percent]]&gt;0.4,"Moderate Risk","Safe Job"))</f>
        <v>Moderate Risk</v>
      </c>
    </row>
    <row r="870" spans="1:24" x14ac:dyDescent="0.3">
      <c r="A870">
        <v>3080</v>
      </c>
      <c r="B870" t="s">
        <v>39</v>
      </c>
      <c r="C870" t="s">
        <v>40</v>
      </c>
      <c r="D870" t="s">
        <v>24</v>
      </c>
      <c r="E870" s="1">
        <v>2026</v>
      </c>
      <c r="F870" s="11">
        <v>0.78909999999999991</v>
      </c>
      <c r="G870">
        <v>72.34</v>
      </c>
      <c r="H870">
        <v>84.81</v>
      </c>
      <c r="I870" s="2">
        <v>149708.57</v>
      </c>
      <c r="J870" s="2">
        <v>124428.89</v>
      </c>
      <c r="K870" s="2">
        <f>Table1[[#This Row],[Salary_after]]-Table1[[#This Row],[Salary_before]]</f>
        <v>-25279.680000000008</v>
      </c>
      <c r="L870" s="11">
        <v>-0.16889999999999999</v>
      </c>
      <c r="M870" s="11">
        <v>0.1285</v>
      </c>
      <c r="N870">
        <v>70.62</v>
      </c>
      <c r="O870">
        <v>84.48</v>
      </c>
      <c r="P870">
        <v>2</v>
      </c>
      <c r="Q870" t="s">
        <v>37</v>
      </c>
      <c r="R870">
        <v>81.86</v>
      </c>
      <c r="S870">
        <v>16.89</v>
      </c>
      <c r="T870" s="4">
        <v>62.073999999999998</v>
      </c>
      <c r="U870" s="4">
        <v>66.663167999999999</v>
      </c>
      <c r="V870" t="str">
        <f>IF(Table1[[#This Row],[ai_disruption_intensity]]&gt;70,"High",
IF(Table1[[#This Row],[ai_disruption_intensity]]&gt;40,"Medium","Low"))</f>
        <v>Medium</v>
      </c>
      <c r="W870" t="str">
        <f>IF(Table1[[#This Row],[skill_gap_index]]&gt;70,"Large Gap",
IF(Table1[[#This Row],[skill_gap_index]]&gt;40,"Medium Gap","Small Gap"))</f>
        <v>Large Gap</v>
      </c>
      <c r="X870" s="3" t="str">
        <f>IF(Table1[[#This Row],[automation_risk_percent]]&gt;0.7,"Highly Automatable",
IF(Table1[[#This Row],[automation_risk_percent]]&gt;0.4,"Moderate Risk","Safe Job"))</f>
        <v>Highly Automatable</v>
      </c>
    </row>
    <row r="871" spans="1:24" x14ac:dyDescent="0.3">
      <c r="A871">
        <v>3081</v>
      </c>
      <c r="B871" t="s">
        <v>41</v>
      </c>
      <c r="C871" t="s">
        <v>23</v>
      </c>
      <c r="D871" t="s">
        <v>28</v>
      </c>
      <c r="E871" s="1">
        <v>2025</v>
      </c>
      <c r="F871" s="11">
        <v>0.36990000000000001</v>
      </c>
      <c r="G871">
        <v>36.29</v>
      </c>
      <c r="H871">
        <v>31.92</v>
      </c>
      <c r="I871" s="2">
        <v>64003.08</v>
      </c>
      <c r="J871" s="2">
        <v>62507.5</v>
      </c>
      <c r="K871" s="2">
        <f>Table1[[#This Row],[Salary_after]]-Table1[[#This Row],[Salary_before]]</f>
        <v>-1495.5800000000017</v>
      </c>
      <c r="L871" s="11">
        <v>-2.3399999999999997E-2</v>
      </c>
      <c r="M871" s="11">
        <v>0.15759999999999999</v>
      </c>
      <c r="N871">
        <v>40.520000000000003</v>
      </c>
      <c r="O871">
        <v>60.35</v>
      </c>
      <c r="P871">
        <v>1</v>
      </c>
      <c r="Q871" t="s">
        <v>25</v>
      </c>
      <c r="R871">
        <v>34.454999999999998</v>
      </c>
      <c r="S871">
        <v>2.34</v>
      </c>
      <c r="T871" s="4">
        <v>25.073999999999899</v>
      </c>
      <c r="U871" s="4">
        <v>22.323464999999999</v>
      </c>
      <c r="V871" t="str">
        <f>IF(Table1[[#This Row],[ai_disruption_intensity]]&gt;70,"High",
IF(Table1[[#This Row],[ai_disruption_intensity]]&gt;40,"Medium","Low"))</f>
        <v>Low</v>
      </c>
      <c r="W871" t="str">
        <f>IF(Table1[[#This Row],[skill_gap_index]]&gt;70,"Large Gap",
IF(Table1[[#This Row],[skill_gap_index]]&gt;40,"Medium Gap","Small Gap"))</f>
        <v>Small Gap</v>
      </c>
      <c r="X871" s="3" t="str">
        <f>IF(Table1[[#This Row],[automation_risk_percent]]&gt;0.7,"Highly Automatable",
IF(Table1[[#This Row],[automation_risk_percent]]&gt;0.4,"Moderate Risk","Safe Job"))</f>
        <v>Safe Job</v>
      </c>
    </row>
    <row r="872" spans="1:24" x14ac:dyDescent="0.3">
      <c r="A872">
        <v>3095</v>
      </c>
      <c r="B872" t="s">
        <v>44</v>
      </c>
      <c r="C872" t="s">
        <v>27</v>
      </c>
      <c r="D872" t="s">
        <v>35</v>
      </c>
      <c r="E872" s="1">
        <v>2025</v>
      </c>
      <c r="F872" s="11">
        <v>0.51969999999999994</v>
      </c>
      <c r="G872">
        <v>56.14</v>
      </c>
      <c r="H872">
        <v>90.8</v>
      </c>
      <c r="I872" s="2">
        <v>41010.230000000003</v>
      </c>
      <c r="J872" s="2">
        <v>46033.9</v>
      </c>
      <c r="K872" s="2">
        <f>Table1[[#This Row],[Salary_after]]-Table1[[#This Row],[Salary_before]]</f>
        <v>5023.6699999999983</v>
      </c>
      <c r="L872" s="11">
        <v>0.1225</v>
      </c>
      <c r="M872" s="11">
        <v>-4.9100000000000005E-2</v>
      </c>
      <c r="N872">
        <v>96.25</v>
      </c>
      <c r="O872">
        <v>98.08</v>
      </c>
      <c r="P872">
        <v>4</v>
      </c>
      <c r="Q872" t="s">
        <v>25</v>
      </c>
      <c r="R872">
        <v>71.384999999999906</v>
      </c>
      <c r="S872">
        <v>12.25</v>
      </c>
      <c r="T872" s="4">
        <v>51.702999999999903</v>
      </c>
      <c r="U872" s="4">
        <v>50.972175999999997</v>
      </c>
      <c r="V872" t="str">
        <f>IF(Table1[[#This Row],[ai_disruption_intensity]]&gt;70,"High",
IF(Table1[[#This Row],[ai_disruption_intensity]]&gt;40,"Medium","Low"))</f>
        <v>Medium</v>
      </c>
      <c r="W872" t="str">
        <f>IF(Table1[[#This Row],[skill_gap_index]]&gt;70,"Large Gap",
IF(Table1[[#This Row],[skill_gap_index]]&gt;40,"Medium Gap","Small Gap"))</f>
        <v>Large Gap</v>
      </c>
      <c r="X872" s="3" t="str">
        <f>IF(Table1[[#This Row],[automation_risk_percent]]&gt;0.7,"Highly Automatable",
IF(Table1[[#This Row],[automation_risk_percent]]&gt;0.4,"Moderate Risk","Safe Job"))</f>
        <v>Moderate Risk</v>
      </c>
    </row>
    <row r="873" spans="1:24" x14ac:dyDescent="0.3">
      <c r="A873">
        <v>3096</v>
      </c>
      <c r="B873" t="s">
        <v>44</v>
      </c>
      <c r="C873" t="s">
        <v>30</v>
      </c>
      <c r="D873" t="s">
        <v>24</v>
      </c>
      <c r="E873" s="1">
        <v>2025</v>
      </c>
      <c r="F873" s="11">
        <v>0.54669999999999996</v>
      </c>
      <c r="G873">
        <v>47.97</v>
      </c>
      <c r="H873">
        <v>11.92</v>
      </c>
      <c r="I873" s="2">
        <v>143525.24</v>
      </c>
      <c r="J873" s="2">
        <v>124275.49</v>
      </c>
      <c r="K873" s="2">
        <f>Table1[[#This Row],[Salary_after]]-Table1[[#This Row],[Salary_before]]</f>
        <v>-19249.749999999985</v>
      </c>
      <c r="L873" s="11">
        <v>-0.1341</v>
      </c>
      <c r="M873" s="11">
        <v>2.1000000000000001E-2</v>
      </c>
      <c r="N873">
        <v>94.05</v>
      </c>
      <c r="O873">
        <v>10.45</v>
      </c>
      <c r="P873">
        <v>3</v>
      </c>
      <c r="Q873" t="s">
        <v>25</v>
      </c>
      <c r="R873">
        <v>33.295000000000002</v>
      </c>
      <c r="S873">
        <v>13.41</v>
      </c>
      <c r="T873" s="4">
        <v>29.466999999999999</v>
      </c>
      <c r="U873" s="4">
        <v>5.7130150000000004</v>
      </c>
      <c r="V873" t="str">
        <f>IF(Table1[[#This Row],[ai_disruption_intensity]]&gt;70,"High",
IF(Table1[[#This Row],[ai_disruption_intensity]]&gt;40,"Medium","Low"))</f>
        <v>Low</v>
      </c>
      <c r="W873" t="str">
        <f>IF(Table1[[#This Row],[skill_gap_index]]&gt;70,"Large Gap",
IF(Table1[[#This Row],[skill_gap_index]]&gt;40,"Medium Gap","Small Gap"))</f>
        <v>Small Gap</v>
      </c>
      <c r="X873" s="3" t="str">
        <f>IF(Table1[[#This Row],[automation_risk_percent]]&gt;0.7,"Highly Automatable",
IF(Table1[[#This Row],[automation_risk_percent]]&gt;0.4,"Moderate Risk","Safe Job"))</f>
        <v>Moderate Risk</v>
      </c>
    </row>
    <row r="874" spans="1:24" x14ac:dyDescent="0.3">
      <c r="A874">
        <v>3100</v>
      </c>
      <c r="B874" t="s">
        <v>39</v>
      </c>
      <c r="C874" t="s">
        <v>27</v>
      </c>
      <c r="D874" t="s">
        <v>20</v>
      </c>
      <c r="E874" s="1">
        <v>2025</v>
      </c>
      <c r="F874" s="11">
        <v>0.77980000000000005</v>
      </c>
      <c r="G874">
        <v>83.92</v>
      </c>
      <c r="H874">
        <v>10.24</v>
      </c>
      <c r="I874" s="2">
        <v>59347.15</v>
      </c>
      <c r="J874" s="2">
        <v>50083.78</v>
      </c>
      <c r="K874" s="2">
        <f>Table1[[#This Row],[Salary_after]]-Table1[[#This Row],[Salary_before]]</f>
        <v>-9263.3700000000026</v>
      </c>
      <c r="L874" s="11">
        <v>-0.15609999999999999</v>
      </c>
      <c r="M874" s="11">
        <v>0.11609999999999999</v>
      </c>
      <c r="N874">
        <v>96.18</v>
      </c>
      <c r="O874">
        <v>40.54</v>
      </c>
      <c r="P874">
        <v>2</v>
      </c>
      <c r="Q874" t="s">
        <v>37</v>
      </c>
      <c r="R874">
        <v>44.11</v>
      </c>
      <c r="S874">
        <v>15.61</v>
      </c>
      <c r="T874" s="4">
        <v>38.947000000000003</v>
      </c>
      <c r="U874" s="4">
        <v>31.613092000000002</v>
      </c>
      <c r="V874" t="str">
        <f>IF(Table1[[#This Row],[ai_disruption_intensity]]&gt;70,"High",
IF(Table1[[#This Row],[ai_disruption_intensity]]&gt;40,"Medium","Low"))</f>
        <v>Low</v>
      </c>
      <c r="W874" t="str">
        <f>IF(Table1[[#This Row],[skill_gap_index]]&gt;70,"Large Gap",
IF(Table1[[#This Row],[skill_gap_index]]&gt;40,"Medium Gap","Small Gap"))</f>
        <v>Small Gap</v>
      </c>
      <c r="X874" s="3" t="str">
        <f>IF(Table1[[#This Row],[automation_risk_percent]]&gt;0.7,"Highly Automatable",
IF(Table1[[#This Row],[automation_risk_percent]]&gt;0.4,"Moderate Risk","Safe Job"))</f>
        <v>Highly Automatable</v>
      </c>
    </row>
    <row r="875" spans="1:24" x14ac:dyDescent="0.3">
      <c r="A875">
        <v>3102</v>
      </c>
      <c r="B875" t="s">
        <v>46</v>
      </c>
      <c r="C875" t="s">
        <v>19</v>
      </c>
      <c r="D875" t="s">
        <v>42</v>
      </c>
      <c r="E875" s="1">
        <v>2025</v>
      </c>
      <c r="F875" s="11">
        <v>0.26700000000000002</v>
      </c>
      <c r="G875">
        <v>22.73</v>
      </c>
      <c r="H875">
        <v>81.63</v>
      </c>
      <c r="I875" s="2">
        <v>143009.79999999999</v>
      </c>
      <c r="J875" s="2">
        <v>164128.82999999999</v>
      </c>
      <c r="K875" s="2">
        <f>Table1[[#This Row],[Salary_after]]-Table1[[#This Row],[Salary_before]]</f>
        <v>21119.03</v>
      </c>
      <c r="L875" s="11">
        <v>0.1477</v>
      </c>
      <c r="M875" s="11">
        <v>-2.2200000000000001E-2</v>
      </c>
      <c r="N875">
        <v>46.97</v>
      </c>
      <c r="O875">
        <v>50.23</v>
      </c>
      <c r="P875">
        <v>1</v>
      </c>
      <c r="Q875" t="s">
        <v>21</v>
      </c>
      <c r="R875">
        <v>54.164999999999999</v>
      </c>
      <c r="S875">
        <v>14.77</v>
      </c>
      <c r="T875" s="4">
        <v>39.599999999999902</v>
      </c>
      <c r="U875" s="4">
        <v>13.411409999999901</v>
      </c>
      <c r="V875" t="str">
        <f>IF(Table1[[#This Row],[ai_disruption_intensity]]&gt;70,"High",
IF(Table1[[#This Row],[ai_disruption_intensity]]&gt;40,"Medium","Low"))</f>
        <v>Low</v>
      </c>
      <c r="W875" t="str">
        <f>IF(Table1[[#This Row],[skill_gap_index]]&gt;70,"Large Gap",
IF(Table1[[#This Row],[skill_gap_index]]&gt;40,"Medium Gap","Small Gap"))</f>
        <v>Large Gap</v>
      </c>
      <c r="X875" s="3" t="str">
        <f>IF(Table1[[#This Row],[automation_risk_percent]]&gt;0.7,"Highly Automatable",
IF(Table1[[#This Row],[automation_risk_percent]]&gt;0.4,"Moderate Risk","Safe Job"))</f>
        <v>Safe Job</v>
      </c>
    </row>
    <row r="876" spans="1:24" x14ac:dyDescent="0.3">
      <c r="A876">
        <v>3103</v>
      </c>
      <c r="B876" t="s">
        <v>39</v>
      </c>
      <c r="C876" t="s">
        <v>33</v>
      </c>
      <c r="D876" t="s">
        <v>32</v>
      </c>
      <c r="E876" s="1">
        <v>2026</v>
      </c>
      <c r="F876" s="11">
        <v>0.6855</v>
      </c>
      <c r="G876">
        <v>57.13</v>
      </c>
      <c r="H876">
        <v>53.03</v>
      </c>
      <c r="I876" s="2">
        <v>55754.43</v>
      </c>
      <c r="J876" s="2">
        <v>62601.01</v>
      </c>
      <c r="K876" s="2">
        <f>Table1[[#This Row],[Salary_after]]-Table1[[#This Row],[Salary_before]]</f>
        <v>6846.5800000000017</v>
      </c>
      <c r="L876" s="11">
        <v>0.12279999999999999</v>
      </c>
      <c r="M876" s="11">
        <v>-8.6199999999999999E-2</v>
      </c>
      <c r="N876">
        <v>12.45</v>
      </c>
      <c r="O876">
        <v>59.38</v>
      </c>
      <c r="P876">
        <v>5</v>
      </c>
      <c r="Q876" t="s">
        <v>37</v>
      </c>
      <c r="R876">
        <v>60.79</v>
      </c>
      <c r="S876">
        <v>12.28</v>
      </c>
      <c r="T876" s="4">
        <v>47.012999999999998</v>
      </c>
      <c r="U876" s="4">
        <v>40.704989999999903</v>
      </c>
      <c r="V876" t="str">
        <f>IF(Table1[[#This Row],[ai_disruption_intensity]]&gt;70,"High",
IF(Table1[[#This Row],[ai_disruption_intensity]]&gt;40,"Medium","Low"))</f>
        <v>Medium</v>
      </c>
      <c r="W876" t="str">
        <f>IF(Table1[[#This Row],[skill_gap_index]]&gt;70,"Large Gap",
IF(Table1[[#This Row],[skill_gap_index]]&gt;40,"Medium Gap","Small Gap"))</f>
        <v>Medium Gap</v>
      </c>
      <c r="X876" s="3" t="str">
        <f>IF(Table1[[#This Row],[automation_risk_percent]]&gt;0.7,"Highly Automatable",
IF(Table1[[#This Row],[automation_risk_percent]]&gt;0.4,"Moderate Risk","Safe Job"))</f>
        <v>Moderate Risk</v>
      </c>
    </row>
    <row r="877" spans="1:24" x14ac:dyDescent="0.3">
      <c r="A877">
        <v>3106</v>
      </c>
      <c r="B877" t="s">
        <v>43</v>
      </c>
      <c r="C877" t="s">
        <v>23</v>
      </c>
      <c r="D877" t="s">
        <v>47</v>
      </c>
      <c r="E877" s="1">
        <v>2026</v>
      </c>
      <c r="F877" s="11">
        <v>0.20600000000000002</v>
      </c>
      <c r="G877">
        <v>19.649999999999999</v>
      </c>
      <c r="H877">
        <v>4.32</v>
      </c>
      <c r="I877" s="2">
        <v>86312.62</v>
      </c>
      <c r="J877" s="2">
        <v>92965.45</v>
      </c>
      <c r="K877" s="2">
        <f>Table1[[#This Row],[Salary_after]]-Table1[[#This Row],[Salary_before]]</f>
        <v>6652.8300000000017</v>
      </c>
      <c r="L877" s="11">
        <v>7.7100000000000002E-2</v>
      </c>
      <c r="M877" s="11">
        <v>0.1173</v>
      </c>
      <c r="N877">
        <v>54.91</v>
      </c>
      <c r="O877">
        <v>9.59</v>
      </c>
      <c r="P877">
        <v>5</v>
      </c>
      <c r="Q877" t="s">
        <v>21</v>
      </c>
      <c r="R877">
        <v>12.46</v>
      </c>
      <c r="S877">
        <v>7.71</v>
      </c>
      <c r="T877" s="4">
        <v>11.849</v>
      </c>
      <c r="U877" s="4">
        <v>1.9755400000000001</v>
      </c>
      <c r="V877" t="str">
        <f>IF(Table1[[#This Row],[ai_disruption_intensity]]&gt;70,"High",
IF(Table1[[#This Row],[ai_disruption_intensity]]&gt;40,"Medium","Low"))</f>
        <v>Low</v>
      </c>
      <c r="W877" t="str">
        <f>IF(Table1[[#This Row],[skill_gap_index]]&gt;70,"Large Gap",
IF(Table1[[#This Row],[skill_gap_index]]&gt;40,"Medium Gap","Small Gap"))</f>
        <v>Small Gap</v>
      </c>
      <c r="X877" s="3" t="str">
        <f>IF(Table1[[#This Row],[automation_risk_percent]]&gt;0.7,"Highly Automatable",
IF(Table1[[#This Row],[automation_risk_percent]]&gt;0.4,"Moderate Risk","Safe Job"))</f>
        <v>Safe Job</v>
      </c>
    </row>
    <row r="878" spans="1:24" x14ac:dyDescent="0.3">
      <c r="A878">
        <v>3109</v>
      </c>
      <c r="B878" t="s">
        <v>26</v>
      </c>
      <c r="C878" t="s">
        <v>40</v>
      </c>
      <c r="D878" t="s">
        <v>31</v>
      </c>
      <c r="E878" s="1">
        <v>2026</v>
      </c>
      <c r="F878" s="11">
        <v>0.05</v>
      </c>
      <c r="G878">
        <v>4.12</v>
      </c>
      <c r="H878">
        <v>67.790000000000006</v>
      </c>
      <c r="I878" s="2">
        <v>74641.490000000005</v>
      </c>
      <c r="J878" s="2">
        <v>77599.320000000007</v>
      </c>
      <c r="K878" s="2">
        <f>Table1[[#This Row],[Salary_after]]-Table1[[#This Row],[Salary_before]]</f>
        <v>2957.8300000000017</v>
      </c>
      <c r="L878" s="11">
        <v>3.9599999999999996E-2</v>
      </c>
      <c r="M878" s="11">
        <v>0.11230000000000001</v>
      </c>
      <c r="N878">
        <v>11.95</v>
      </c>
      <c r="O878">
        <v>68.69</v>
      </c>
      <c r="P878">
        <v>3</v>
      </c>
      <c r="Q878" t="s">
        <v>21</v>
      </c>
      <c r="R878">
        <v>36.395000000000003</v>
      </c>
      <c r="S878">
        <v>3.96</v>
      </c>
      <c r="T878" s="4">
        <v>23.524999999999999</v>
      </c>
      <c r="U878" s="4">
        <v>3.4344999999999999</v>
      </c>
      <c r="V878" t="str">
        <f>IF(Table1[[#This Row],[ai_disruption_intensity]]&gt;70,"High",
IF(Table1[[#This Row],[ai_disruption_intensity]]&gt;40,"Medium","Low"))</f>
        <v>Low</v>
      </c>
      <c r="W878" t="str">
        <f>IF(Table1[[#This Row],[skill_gap_index]]&gt;70,"Large Gap",
IF(Table1[[#This Row],[skill_gap_index]]&gt;40,"Medium Gap","Small Gap"))</f>
        <v>Medium Gap</v>
      </c>
      <c r="X878" s="3" t="str">
        <f>IF(Table1[[#This Row],[automation_risk_percent]]&gt;0.7,"Highly Automatable",
IF(Table1[[#This Row],[automation_risk_percent]]&gt;0.4,"Moderate Risk","Safe Job"))</f>
        <v>Safe Job</v>
      </c>
    </row>
    <row r="879" spans="1:24" x14ac:dyDescent="0.3">
      <c r="A879">
        <v>3110</v>
      </c>
      <c r="B879" t="s">
        <v>45</v>
      </c>
      <c r="C879" t="s">
        <v>30</v>
      </c>
      <c r="D879" t="s">
        <v>20</v>
      </c>
      <c r="E879" s="1">
        <v>2026</v>
      </c>
      <c r="F879" s="11">
        <v>0.2346</v>
      </c>
      <c r="G879">
        <v>22.74</v>
      </c>
      <c r="H879">
        <v>62.47</v>
      </c>
      <c r="I879" s="2">
        <v>134726.14000000001</v>
      </c>
      <c r="J879" s="2">
        <v>153070.76999999999</v>
      </c>
      <c r="K879" s="2">
        <f>Table1[[#This Row],[Salary_after]]-Table1[[#This Row],[Salary_before]]</f>
        <v>18344.629999999976</v>
      </c>
      <c r="L879" s="11">
        <v>0.13619999999999999</v>
      </c>
      <c r="M879" s="11">
        <v>3.0600000000000002E-2</v>
      </c>
      <c r="N879">
        <v>80.47</v>
      </c>
      <c r="O879">
        <v>41.45</v>
      </c>
      <c r="P879">
        <v>2</v>
      </c>
      <c r="Q879" t="s">
        <v>21</v>
      </c>
      <c r="R879">
        <v>42.965000000000003</v>
      </c>
      <c r="S879">
        <v>13.62</v>
      </c>
      <c r="T879" s="4">
        <v>32.210999999999999</v>
      </c>
      <c r="U879" s="4">
        <v>9.7241700000000009</v>
      </c>
      <c r="V879" t="str">
        <f>IF(Table1[[#This Row],[ai_disruption_intensity]]&gt;70,"High",
IF(Table1[[#This Row],[ai_disruption_intensity]]&gt;40,"Medium","Low"))</f>
        <v>Low</v>
      </c>
      <c r="W879" t="str">
        <f>IF(Table1[[#This Row],[skill_gap_index]]&gt;70,"Large Gap",
IF(Table1[[#This Row],[skill_gap_index]]&gt;40,"Medium Gap","Small Gap"))</f>
        <v>Medium Gap</v>
      </c>
      <c r="X879" s="3" t="str">
        <f>IF(Table1[[#This Row],[automation_risk_percent]]&gt;0.7,"Highly Automatable",
IF(Table1[[#This Row],[automation_risk_percent]]&gt;0.4,"Moderate Risk","Safe Job"))</f>
        <v>Safe Job</v>
      </c>
    </row>
    <row r="880" spans="1:24" x14ac:dyDescent="0.3">
      <c r="A880">
        <v>3112</v>
      </c>
      <c r="B880" t="s">
        <v>26</v>
      </c>
      <c r="C880" t="s">
        <v>27</v>
      </c>
      <c r="D880" t="s">
        <v>24</v>
      </c>
      <c r="E880" s="1">
        <v>2026</v>
      </c>
      <c r="F880" s="11">
        <v>0.63990000000000002</v>
      </c>
      <c r="G880">
        <v>59.49</v>
      </c>
      <c r="H880">
        <v>76.31</v>
      </c>
      <c r="I880" s="2">
        <v>84765.19</v>
      </c>
      <c r="J880" s="2">
        <v>78835.960000000006</v>
      </c>
      <c r="K880" s="2">
        <f>Table1[[#This Row],[Salary_after]]-Table1[[#This Row],[Salary_before]]</f>
        <v>-5929.2299999999959</v>
      </c>
      <c r="L880" s="11">
        <v>-6.9900000000000004E-2</v>
      </c>
      <c r="M880" s="11">
        <v>9.8100000000000007E-2</v>
      </c>
      <c r="N880">
        <v>34.26</v>
      </c>
      <c r="O880">
        <v>9.99</v>
      </c>
      <c r="P880">
        <v>1</v>
      </c>
      <c r="Q880" t="s">
        <v>37</v>
      </c>
      <c r="R880">
        <v>70.150000000000006</v>
      </c>
      <c r="S880">
        <v>6.99</v>
      </c>
      <c r="T880" s="4">
        <v>50.585999999999999</v>
      </c>
      <c r="U880" s="4">
        <v>6.392601</v>
      </c>
      <c r="V880" t="str">
        <f>IF(Table1[[#This Row],[ai_disruption_intensity]]&gt;70,"High",
IF(Table1[[#This Row],[ai_disruption_intensity]]&gt;40,"Medium","Low"))</f>
        <v>Low</v>
      </c>
      <c r="W880" t="str">
        <f>IF(Table1[[#This Row],[skill_gap_index]]&gt;70,"Large Gap",
IF(Table1[[#This Row],[skill_gap_index]]&gt;40,"Medium Gap","Small Gap"))</f>
        <v>Large Gap</v>
      </c>
      <c r="X880" s="3" t="str">
        <f>IF(Table1[[#This Row],[automation_risk_percent]]&gt;0.7,"Highly Automatable",
IF(Table1[[#This Row],[automation_risk_percent]]&gt;0.4,"Moderate Risk","Safe Job"))</f>
        <v>Moderate Risk</v>
      </c>
    </row>
    <row r="881" spans="1:24" x14ac:dyDescent="0.3">
      <c r="A881">
        <v>3113</v>
      </c>
      <c r="B881" t="s">
        <v>26</v>
      </c>
      <c r="C881" t="s">
        <v>33</v>
      </c>
      <c r="D881" t="s">
        <v>20</v>
      </c>
      <c r="E881" s="1">
        <v>2025</v>
      </c>
      <c r="F881" s="11">
        <v>0.60560000000000003</v>
      </c>
      <c r="G881">
        <v>55.63</v>
      </c>
      <c r="H881">
        <v>69.45</v>
      </c>
      <c r="I881" s="2">
        <v>128426.54</v>
      </c>
      <c r="J881" s="2">
        <v>127039.75</v>
      </c>
      <c r="K881" s="2">
        <f>Table1[[#This Row],[Salary_after]]-Table1[[#This Row],[Salary_before]]</f>
        <v>-1386.7899999999936</v>
      </c>
      <c r="L881" s="11">
        <v>-1.0800000000000001E-2</v>
      </c>
      <c r="M881" s="11">
        <v>6.4000000000000001E-2</v>
      </c>
      <c r="N881">
        <v>76.319999999999993</v>
      </c>
      <c r="O881">
        <v>72.88</v>
      </c>
      <c r="P881">
        <v>3</v>
      </c>
      <c r="Q881" t="s">
        <v>37</v>
      </c>
      <c r="R881">
        <v>65.004999999999995</v>
      </c>
      <c r="S881">
        <v>1.08</v>
      </c>
      <c r="T881" s="4">
        <v>45.383000000000003</v>
      </c>
      <c r="U881" s="4">
        <v>44.136127999999999</v>
      </c>
      <c r="V881" t="str">
        <f>IF(Table1[[#This Row],[ai_disruption_intensity]]&gt;70,"High",
IF(Table1[[#This Row],[ai_disruption_intensity]]&gt;40,"Medium","Low"))</f>
        <v>Medium</v>
      </c>
      <c r="W881" t="str">
        <f>IF(Table1[[#This Row],[skill_gap_index]]&gt;70,"Large Gap",
IF(Table1[[#This Row],[skill_gap_index]]&gt;40,"Medium Gap","Small Gap"))</f>
        <v>Medium Gap</v>
      </c>
      <c r="X881" s="3" t="str">
        <f>IF(Table1[[#This Row],[automation_risk_percent]]&gt;0.7,"Highly Automatable",
IF(Table1[[#This Row],[automation_risk_percent]]&gt;0.4,"Moderate Risk","Safe Job"))</f>
        <v>Moderate Risk</v>
      </c>
    </row>
    <row r="882" spans="1:24" x14ac:dyDescent="0.3">
      <c r="A882">
        <v>3118</v>
      </c>
      <c r="B882" t="s">
        <v>26</v>
      </c>
      <c r="C882" t="s">
        <v>38</v>
      </c>
      <c r="D882" t="s">
        <v>47</v>
      </c>
      <c r="E882" s="1">
        <v>2025</v>
      </c>
      <c r="F882" s="11">
        <v>0.05</v>
      </c>
      <c r="G882">
        <v>4.0199999999999996</v>
      </c>
      <c r="H882">
        <v>29.12</v>
      </c>
      <c r="I882" s="2">
        <v>47193.97</v>
      </c>
      <c r="J882" s="2">
        <v>54086.92</v>
      </c>
      <c r="K882" s="2">
        <f>Table1[[#This Row],[Salary_after]]-Table1[[#This Row],[Salary_before]]</f>
        <v>6892.9499999999971</v>
      </c>
      <c r="L882" s="11">
        <v>0.14610000000000001</v>
      </c>
      <c r="M882" s="11">
        <v>0.16620000000000001</v>
      </c>
      <c r="N882">
        <v>94.78</v>
      </c>
      <c r="O882">
        <v>95.2</v>
      </c>
      <c r="P882">
        <v>5</v>
      </c>
      <c r="Q882" t="s">
        <v>21</v>
      </c>
      <c r="R882">
        <v>17.059999999999999</v>
      </c>
      <c r="S882">
        <v>14.61</v>
      </c>
      <c r="T882" s="4">
        <v>15.119</v>
      </c>
      <c r="U882" s="4">
        <v>4.76</v>
      </c>
      <c r="V882" t="str">
        <f>IF(Table1[[#This Row],[ai_disruption_intensity]]&gt;70,"High",
IF(Table1[[#This Row],[ai_disruption_intensity]]&gt;40,"Medium","Low"))</f>
        <v>Low</v>
      </c>
      <c r="W882" t="str">
        <f>IF(Table1[[#This Row],[skill_gap_index]]&gt;70,"Large Gap",
IF(Table1[[#This Row],[skill_gap_index]]&gt;40,"Medium Gap","Small Gap"))</f>
        <v>Small Gap</v>
      </c>
      <c r="X882" s="3" t="str">
        <f>IF(Table1[[#This Row],[automation_risk_percent]]&gt;0.7,"Highly Automatable",
IF(Table1[[#This Row],[automation_risk_percent]]&gt;0.4,"Moderate Risk","Safe Job"))</f>
        <v>Safe Job</v>
      </c>
    </row>
    <row r="883" spans="1:24" x14ac:dyDescent="0.3">
      <c r="A883">
        <v>3119</v>
      </c>
      <c r="B883" t="s">
        <v>29</v>
      </c>
      <c r="C883" t="s">
        <v>40</v>
      </c>
      <c r="D883" t="s">
        <v>24</v>
      </c>
      <c r="E883" s="1">
        <v>2025</v>
      </c>
      <c r="F883" s="11">
        <v>0.71120000000000005</v>
      </c>
      <c r="G883">
        <v>57.06</v>
      </c>
      <c r="H883">
        <v>35.9</v>
      </c>
      <c r="I883" s="2">
        <v>91576.98</v>
      </c>
      <c r="J883" s="2">
        <v>114573.18</v>
      </c>
      <c r="K883" s="2">
        <f>Table1[[#This Row],[Salary_after]]-Table1[[#This Row],[Salary_before]]</f>
        <v>22996.199999999997</v>
      </c>
      <c r="L883" s="11">
        <v>0.25109999999999999</v>
      </c>
      <c r="M883" s="11">
        <v>4.8000000000000001E-2</v>
      </c>
      <c r="N883">
        <v>96.45</v>
      </c>
      <c r="O883">
        <v>88.52</v>
      </c>
      <c r="P883">
        <v>4</v>
      </c>
      <c r="Q883" t="s">
        <v>37</v>
      </c>
      <c r="R883">
        <v>53.51</v>
      </c>
      <c r="S883">
        <v>25.11</v>
      </c>
      <c r="T883" s="4">
        <v>46.750999999999998</v>
      </c>
      <c r="U883" s="4">
        <v>62.955424000000001</v>
      </c>
      <c r="V883" t="str">
        <f>IF(Table1[[#This Row],[ai_disruption_intensity]]&gt;70,"High",
IF(Table1[[#This Row],[ai_disruption_intensity]]&gt;40,"Medium","Low"))</f>
        <v>Medium</v>
      </c>
      <c r="W883" t="str">
        <f>IF(Table1[[#This Row],[skill_gap_index]]&gt;70,"Large Gap",
IF(Table1[[#This Row],[skill_gap_index]]&gt;40,"Medium Gap","Small Gap"))</f>
        <v>Small Gap</v>
      </c>
      <c r="X883" s="3" t="str">
        <f>IF(Table1[[#This Row],[automation_risk_percent]]&gt;0.7,"Highly Automatable",
IF(Table1[[#This Row],[automation_risk_percent]]&gt;0.4,"Moderate Risk","Safe Job"))</f>
        <v>Highly Automatable</v>
      </c>
    </row>
    <row r="884" spans="1:24" x14ac:dyDescent="0.3">
      <c r="A884">
        <v>3123</v>
      </c>
      <c r="B884" t="s">
        <v>45</v>
      </c>
      <c r="C884" t="s">
        <v>34</v>
      </c>
      <c r="D884" t="s">
        <v>31</v>
      </c>
      <c r="E884" s="1">
        <v>2025</v>
      </c>
      <c r="F884" s="11">
        <v>0.44789999999999996</v>
      </c>
      <c r="G884">
        <v>38.130000000000003</v>
      </c>
      <c r="H884">
        <v>0.73</v>
      </c>
      <c r="I884" s="2">
        <v>44996.23</v>
      </c>
      <c r="J884" s="2">
        <v>43809.69</v>
      </c>
      <c r="K884" s="2">
        <f>Table1[[#This Row],[Salary_after]]-Table1[[#This Row],[Salary_before]]</f>
        <v>-1186.5400000000009</v>
      </c>
      <c r="L884" s="11">
        <v>-2.64E-2</v>
      </c>
      <c r="M884" s="11">
        <v>6.0400000000000002E-2</v>
      </c>
      <c r="N884">
        <v>80.39</v>
      </c>
      <c r="O884">
        <v>38.1</v>
      </c>
      <c r="P884">
        <v>1</v>
      </c>
      <c r="Q884" t="s">
        <v>25</v>
      </c>
      <c r="R884">
        <v>22.759999999999899</v>
      </c>
      <c r="S884">
        <v>2.64</v>
      </c>
      <c r="T884" s="4">
        <v>18.927</v>
      </c>
      <c r="U884" s="4">
        <v>17.064990000000002</v>
      </c>
      <c r="V884" t="str">
        <f>IF(Table1[[#This Row],[ai_disruption_intensity]]&gt;70,"High",
IF(Table1[[#This Row],[ai_disruption_intensity]]&gt;40,"Medium","Low"))</f>
        <v>Low</v>
      </c>
      <c r="W884" t="str">
        <f>IF(Table1[[#This Row],[skill_gap_index]]&gt;70,"Large Gap",
IF(Table1[[#This Row],[skill_gap_index]]&gt;40,"Medium Gap","Small Gap"))</f>
        <v>Small Gap</v>
      </c>
      <c r="X884" s="3" t="str">
        <f>IF(Table1[[#This Row],[automation_risk_percent]]&gt;0.7,"Highly Automatable",
IF(Table1[[#This Row],[automation_risk_percent]]&gt;0.4,"Moderate Risk","Safe Job"))</f>
        <v>Moderate Risk</v>
      </c>
    </row>
    <row r="885" spans="1:24" x14ac:dyDescent="0.3">
      <c r="A885">
        <v>3124</v>
      </c>
      <c r="B885" t="s">
        <v>29</v>
      </c>
      <c r="C885" t="s">
        <v>27</v>
      </c>
      <c r="D885" t="s">
        <v>47</v>
      </c>
      <c r="E885" s="1">
        <v>2026</v>
      </c>
      <c r="F885" s="11">
        <v>0.317</v>
      </c>
      <c r="G885">
        <v>32.57</v>
      </c>
      <c r="H885">
        <v>28.01</v>
      </c>
      <c r="I885" s="2">
        <v>109148.87</v>
      </c>
      <c r="J885" s="2">
        <v>123168.98</v>
      </c>
      <c r="K885" s="2">
        <f>Table1[[#This Row],[Salary_after]]-Table1[[#This Row],[Salary_before]]</f>
        <v>14020.11</v>
      </c>
      <c r="L885" s="11">
        <v>0.12839999999999999</v>
      </c>
      <c r="M885" s="11">
        <v>0.14910000000000001</v>
      </c>
      <c r="N885">
        <v>99.32</v>
      </c>
      <c r="O885">
        <v>38.67</v>
      </c>
      <c r="P885">
        <v>2</v>
      </c>
      <c r="Q885" t="s">
        <v>25</v>
      </c>
      <c r="R885">
        <v>29.855</v>
      </c>
      <c r="S885">
        <v>12.84</v>
      </c>
      <c r="T885" s="4">
        <v>24.934999999999999</v>
      </c>
      <c r="U885" s="4">
        <v>12.258389999999901</v>
      </c>
      <c r="V885" t="str">
        <f>IF(Table1[[#This Row],[ai_disruption_intensity]]&gt;70,"High",
IF(Table1[[#This Row],[ai_disruption_intensity]]&gt;40,"Medium","Low"))</f>
        <v>Low</v>
      </c>
      <c r="W885" t="str">
        <f>IF(Table1[[#This Row],[skill_gap_index]]&gt;70,"Large Gap",
IF(Table1[[#This Row],[skill_gap_index]]&gt;40,"Medium Gap","Small Gap"))</f>
        <v>Small Gap</v>
      </c>
      <c r="X885" s="3" t="str">
        <f>IF(Table1[[#This Row],[automation_risk_percent]]&gt;0.7,"Highly Automatable",
IF(Table1[[#This Row],[automation_risk_percent]]&gt;0.4,"Moderate Risk","Safe Job"))</f>
        <v>Safe Job</v>
      </c>
    </row>
    <row r="886" spans="1:24" x14ac:dyDescent="0.3">
      <c r="A886">
        <v>3130</v>
      </c>
      <c r="B886" t="s">
        <v>26</v>
      </c>
      <c r="C886" t="s">
        <v>40</v>
      </c>
      <c r="D886" t="s">
        <v>20</v>
      </c>
      <c r="E886" s="1">
        <v>2025</v>
      </c>
      <c r="F886" s="11">
        <v>0.4289</v>
      </c>
      <c r="G886">
        <v>45.41</v>
      </c>
      <c r="H886">
        <v>97.14</v>
      </c>
      <c r="I886" s="2">
        <v>104207.46</v>
      </c>
      <c r="J886" s="2">
        <v>119964.94</v>
      </c>
      <c r="K886" s="2">
        <f>Table1[[#This Row],[Salary_after]]-Table1[[#This Row],[Salary_before]]</f>
        <v>15757.479999999996</v>
      </c>
      <c r="L886" s="11">
        <v>0.1512</v>
      </c>
      <c r="M886" s="11">
        <v>-4.4600000000000001E-2</v>
      </c>
      <c r="N886">
        <v>69.349999999999994</v>
      </c>
      <c r="O886">
        <v>1.38</v>
      </c>
      <c r="P886">
        <v>1</v>
      </c>
      <c r="Q886" t="s">
        <v>25</v>
      </c>
      <c r="R886">
        <v>70.015000000000001</v>
      </c>
      <c r="S886">
        <v>15.12</v>
      </c>
      <c r="T886" s="4">
        <v>50.834000000000003</v>
      </c>
      <c r="U886" s="4">
        <v>0.59188199999999902</v>
      </c>
      <c r="V886" t="str">
        <f>IF(Table1[[#This Row],[ai_disruption_intensity]]&gt;70,"High",
IF(Table1[[#This Row],[ai_disruption_intensity]]&gt;40,"Medium","Low"))</f>
        <v>Low</v>
      </c>
      <c r="W886" t="str">
        <f>IF(Table1[[#This Row],[skill_gap_index]]&gt;70,"Large Gap",
IF(Table1[[#This Row],[skill_gap_index]]&gt;40,"Medium Gap","Small Gap"))</f>
        <v>Large Gap</v>
      </c>
      <c r="X886" s="3" t="str">
        <f>IF(Table1[[#This Row],[automation_risk_percent]]&gt;0.7,"Highly Automatable",
IF(Table1[[#This Row],[automation_risk_percent]]&gt;0.4,"Moderate Risk","Safe Job"))</f>
        <v>Moderate Risk</v>
      </c>
    </row>
    <row r="887" spans="1:24" x14ac:dyDescent="0.3">
      <c r="A887">
        <v>3132</v>
      </c>
      <c r="B887" t="s">
        <v>39</v>
      </c>
      <c r="C887" t="s">
        <v>40</v>
      </c>
      <c r="D887" t="s">
        <v>47</v>
      </c>
      <c r="E887" s="1">
        <v>2025</v>
      </c>
      <c r="F887" s="11">
        <v>0.40100000000000002</v>
      </c>
      <c r="G887">
        <v>40.770000000000003</v>
      </c>
      <c r="H887">
        <v>34.909999999999997</v>
      </c>
      <c r="I887" s="2">
        <v>59073.74</v>
      </c>
      <c r="J887" s="2">
        <v>52703.55</v>
      </c>
      <c r="K887" s="2">
        <f>Table1[[#This Row],[Salary_after]]-Table1[[#This Row],[Salary_before]]</f>
        <v>-6370.1899999999951</v>
      </c>
      <c r="L887" s="11">
        <v>-0.10779999999999999</v>
      </c>
      <c r="M887" s="11">
        <v>0.20100000000000001</v>
      </c>
      <c r="N887">
        <v>66.819999999999993</v>
      </c>
      <c r="O887">
        <v>77.91</v>
      </c>
      <c r="P887">
        <v>4</v>
      </c>
      <c r="Q887" t="s">
        <v>25</v>
      </c>
      <c r="R887">
        <v>37.504999999999903</v>
      </c>
      <c r="S887">
        <v>10.78</v>
      </c>
      <c r="T887" s="4">
        <v>29.747</v>
      </c>
      <c r="U887" s="4">
        <v>31.241909999999901</v>
      </c>
      <c r="V887" t="str">
        <f>IF(Table1[[#This Row],[ai_disruption_intensity]]&gt;70,"High",
IF(Table1[[#This Row],[ai_disruption_intensity]]&gt;40,"Medium","Low"))</f>
        <v>Low</v>
      </c>
      <c r="W887" t="str">
        <f>IF(Table1[[#This Row],[skill_gap_index]]&gt;70,"Large Gap",
IF(Table1[[#This Row],[skill_gap_index]]&gt;40,"Medium Gap","Small Gap"))</f>
        <v>Small Gap</v>
      </c>
      <c r="X887" s="3" t="str">
        <f>IF(Table1[[#This Row],[automation_risk_percent]]&gt;0.7,"Highly Automatable",
IF(Table1[[#This Row],[automation_risk_percent]]&gt;0.4,"Moderate Risk","Safe Job"))</f>
        <v>Moderate Risk</v>
      </c>
    </row>
    <row r="888" spans="1:24" x14ac:dyDescent="0.3">
      <c r="A888">
        <v>3133</v>
      </c>
      <c r="B888" t="s">
        <v>39</v>
      </c>
      <c r="C888" t="s">
        <v>40</v>
      </c>
      <c r="D888" t="s">
        <v>35</v>
      </c>
      <c r="E888" s="1">
        <v>2026</v>
      </c>
      <c r="F888" s="11">
        <v>0.63270000000000004</v>
      </c>
      <c r="G888">
        <v>60.11</v>
      </c>
      <c r="H888">
        <v>56.79</v>
      </c>
      <c r="I888" s="2">
        <v>83958.99</v>
      </c>
      <c r="J888" s="2">
        <v>78210.899999999994</v>
      </c>
      <c r="K888" s="2">
        <f>Table1[[#This Row],[Salary_after]]-Table1[[#This Row],[Salary_before]]</f>
        <v>-5748.0900000000111</v>
      </c>
      <c r="L888" s="11">
        <v>-6.8499999999999991E-2</v>
      </c>
      <c r="M888" s="11">
        <v>2.3799999999999998E-2</v>
      </c>
      <c r="N888">
        <v>25.08</v>
      </c>
      <c r="O888">
        <v>36.700000000000003</v>
      </c>
      <c r="P888">
        <v>4</v>
      </c>
      <c r="Q888" t="s">
        <v>37</v>
      </c>
      <c r="R888">
        <v>60.03</v>
      </c>
      <c r="S888">
        <v>6.85</v>
      </c>
      <c r="T888" s="4">
        <v>44.4</v>
      </c>
      <c r="U888" s="4">
        <v>23.220089999999999</v>
      </c>
      <c r="V888" t="str">
        <f>IF(Table1[[#This Row],[ai_disruption_intensity]]&gt;70,"High",
IF(Table1[[#This Row],[ai_disruption_intensity]]&gt;40,"Medium","Low"))</f>
        <v>Low</v>
      </c>
      <c r="W888" t="str">
        <f>IF(Table1[[#This Row],[skill_gap_index]]&gt;70,"Large Gap",
IF(Table1[[#This Row],[skill_gap_index]]&gt;40,"Medium Gap","Small Gap"))</f>
        <v>Medium Gap</v>
      </c>
      <c r="X888" s="3" t="str">
        <f>IF(Table1[[#This Row],[automation_risk_percent]]&gt;0.7,"Highly Automatable",
IF(Table1[[#This Row],[automation_risk_percent]]&gt;0.4,"Moderate Risk","Safe Job"))</f>
        <v>Moderate Risk</v>
      </c>
    </row>
    <row r="889" spans="1:24" x14ac:dyDescent="0.3">
      <c r="A889">
        <v>3136</v>
      </c>
      <c r="B889" t="s">
        <v>39</v>
      </c>
      <c r="C889" t="s">
        <v>38</v>
      </c>
      <c r="D889" t="s">
        <v>42</v>
      </c>
      <c r="E889" s="1">
        <v>2026</v>
      </c>
      <c r="F889" s="11">
        <v>0.49450000000000005</v>
      </c>
      <c r="G889">
        <v>41.96</v>
      </c>
      <c r="H889">
        <v>31.52</v>
      </c>
      <c r="I889" s="2">
        <v>109395.22</v>
      </c>
      <c r="J889" s="2">
        <v>104144.73</v>
      </c>
      <c r="K889" s="2">
        <f>Table1[[#This Row],[Salary_after]]-Table1[[#This Row],[Salary_before]]</f>
        <v>-5250.4900000000052</v>
      </c>
      <c r="L889" s="11">
        <v>-4.8000000000000001E-2</v>
      </c>
      <c r="M889" s="11">
        <v>-3.6000000000000004E-2</v>
      </c>
      <c r="N889">
        <v>73.27</v>
      </c>
      <c r="O889">
        <v>65.08</v>
      </c>
      <c r="P889">
        <v>4</v>
      </c>
      <c r="Q889" t="s">
        <v>25</v>
      </c>
      <c r="R889">
        <v>40.484999999999999</v>
      </c>
      <c r="S889">
        <v>4.8</v>
      </c>
      <c r="T889" s="4">
        <v>30.675999999999998</v>
      </c>
      <c r="U889" s="4">
        <v>32.18206</v>
      </c>
      <c r="V889" t="str">
        <f>IF(Table1[[#This Row],[ai_disruption_intensity]]&gt;70,"High",
IF(Table1[[#This Row],[ai_disruption_intensity]]&gt;40,"Medium","Low"))</f>
        <v>Low</v>
      </c>
      <c r="W889" t="str">
        <f>IF(Table1[[#This Row],[skill_gap_index]]&gt;70,"Large Gap",
IF(Table1[[#This Row],[skill_gap_index]]&gt;40,"Medium Gap","Small Gap"))</f>
        <v>Small Gap</v>
      </c>
      <c r="X889" s="3" t="str">
        <f>IF(Table1[[#This Row],[automation_risk_percent]]&gt;0.7,"Highly Automatable",
IF(Table1[[#This Row],[automation_risk_percent]]&gt;0.4,"Moderate Risk","Safe Job"))</f>
        <v>Moderate Risk</v>
      </c>
    </row>
    <row r="890" spans="1:24" x14ac:dyDescent="0.3">
      <c r="A890">
        <v>3137</v>
      </c>
      <c r="B890" t="s">
        <v>41</v>
      </c>
      <c r="C890" t="s">
        <v>27</v>
      </c>
      <c r="D890" t="s">
        <v>32</v>
      </c>
      <c r="E890" s="1">
        <v>2025</v>
      </c>
      <c r="F890" s="11">
        <v>0.31370000000000003</v>
      </c>
      <c r="G890">
        <v>32.340000000000003</v>
      </c>
      <c r="H890">
        <v>14.73</v>
      </c>
      <c r="I890" s="2">
        <v>60272.57</v>
      </c>
      <c r="J890" s="2">
        <v>54382.32</v>
      </c>
      <c r="K890" s="2">
        <f>Table1[[#This Row],[Salary_after]]-Table1[[#This Row],[Salary_before]]</f>
        <v>-5890.25</v>
      </c>
      <c r="L890" s="11">
        <v>-9.7699999999999995E-2</v>
      </c>
      <c r="M890" s="11">
        <v>3.9800000000000002E-2</v>
      </c>
      <c r="N890">
        <v>99.43</v>
      </c>
      <c r="O890">
        <v>16.54</v>
      </c>
      <c r="P890">
        <v>4</v>
      </c>
      <c r="Q890" t="s">
        <v>25</v>
      </c>
      <c r="R890">
        <v>23.05</v>
      </c>
      <c r="S890">
        <v>9.77</v>
      </c>
      <c r="T890" s="4">
        <v>19.898</v>
      </c>
      <c r="U890" s="4">
        <v>5.1885979999999998</v>
      </c>
      <c r="V890" t="str">
        <f>IF(Table1[[#This Row],[ai_disruption_intensity]]&gt;70,"High",
IF(Table1[[#This Row],[ai_disruption_intensity]]&gt;40,"Medium","Low"))</f>
        <v>Low</v>
      </c>
      <c r="W890" t="str">
        <f>IF(Table1[[#This Row],[skill_gap_index]]&gt;70,"Large Gap",
IF(Table1[[#This Row],[skill_gap_index]]&gt;40,"Medium Gap","Small Gap"))</f>
        <v>Small Gap</v>
      </c>
      <c r="X890" s="3" t="str">
        <f>IF(Table1[[#This Row],[automation_risk_percent]]&gt;0.7,"Highly Automatable",
IF(Table1[[#This Row],[automation_risk_percent]]&gt;0.4,"Moderate Risk","Safe Job"))</f>
        <v>Safe Job</v>
      </c>
    </row>
    <row r="891" spans="1:24" x14ac:dyDescent="0.3">
      <c r="A891">
        <v>3138</v>
      </c>
      <c r="B891" t="s">
        <v>43</v>
      </c>
      <c r="C891" t="s">
        <v>33</v>
      </c>
      <c r="D891" t="s">
        <v>32</v>
      </c>
      <c r="E891" s="1">
        <v>2026</v>
      </c>
      <c r="F891" s="11">
        <v>0.64690000000000003</v>
      </c>
      <c r="G891">
        <v>73.23</v>
      </c>
      <c r="H891">
        <v>99.45</v>
      </c>
      <c r="I891" s="2">
        <v>81438.39</v>
      </c>
      <c r="J891" s="2">
        <v>80774.25</v>
      </c>
      <c r="K891" s="2">
        <f>Table1[[#This Row],[Salary_after]]-Table1[[#This Row],[Salary_before]]</f>
        <v>-664.13999999999942</v>
      </c>
      <c r="L891" s="11">
        <v>-8.199999999999999E-3</v>
      </c>
      <c r="M891" s="11">
        <v>-7.9699999999999993E-2</v>
      </c>
      <c r="N891">
        <v>15.4</v>
      </c>
      <c r="O891">
        <v>62.07</v>
      </c>
      <c r="P891">
        <v>3</v>
      </c>
      <c r="Q891" t="s">
        <v>37</v>
      </c>
      <c r="R891">
        <v>82.07</v>
      </c>
      <c r="S891">
        <v>0.82</v>
      </c>
      <c r="T891" s="4">
        <v>55.957000000000001</v>
      </c>
      <c r="U891" s="4">
        <v>40.153082999999903</v>
      </c>
      <c r="V891" t="str">
        <f>IF(Table1[[#This Row],[ai_disruption_intensity]]&gt;70,"High",
IF(Table1[[#This Row],[ai_disruption_intensity]]&gt;40,"Medium","Low"))</f>
        <v>Medium</v>
      </c>
      <c r="W891" t="str">
        <f>IF(Table1[[#This Row],[skill_gap_index]]&gt;70,"Large Gap",
IF(Table1[[#This Row],[skill_gap_index]]&gt;40,"Medium Gap","Small Gap"))</f>
        <v>Large Gap</v>
      </c>
      <c r="X891" s="3" t="str">
        <f>IF(Table1[[#This Row],[automation_risk_percent]]&gt;0.7,"Highly Automatable",
IF(Table1[[#This Row],[automation_risk_percent]]&gt;0.4,"Moderate Risk","Safe Job"))</f>
        <v>Moderate Risk</v>
      </c>
    </row>
    <row r="892" spans="1:24" x14ac:dyDescent="0.3">
      <c r="A892">
        <v>3145</v>
      </c>
      <c r="B892" t="s">
        <v>41</v>
      </c>
      <c r="C892" t="s">
        <v>38</v>
      </c>
      <c r="D892" t="s">
        <v>36</v>
      </c>
      <c r="E892" s="1">
        <v>2026</v>
      </c>
      <c r="F892" s="11">
        <v>0.65969999999999995</v>
      </c>
      <c r="G892">
        <v>74.44</v>
      </c>
      <c r="H892">
        <v>38.97</v>
      </c>
      <c r="I892" s="2">
        <v>53760.09</v>
      </c>
      <c r="J892" s="2">
        <v>60261.19</v>
      </c>
      <c r="K892" s="2">
        <f>Table1[[#This Row],[Salary_after]]-Table1[[#This Row],[Salary_before]]</f>
        <v>6501.1000000000058</v>
      </c>
      <c r="L892" s="11">
        <v>0.12089999999999999</v>
      </c>
      <c r="M892" s="11">
        <v>8.2500000000000004E-2</v>
      </c>
      <c r="N892">
        <v>14.4</v>
      </c>
      <c r="O892">
        <v>59.7</v>
      </c>
      <c r="P892">
        <v>2</v>
      </c>
      <c r="Q892" t="s">
        <v>37</v>
      </c>
      <c r="R892">
        <v>52.47</v>
      </c>
      <c r="S892">
        <v>12.09</v>
      </c>
      <c r="T892" s="4">
        <v>41.706000000000003</v>
      </c>
      <c r="U892" s="4">
        <v>39.38409</v>
      </c>
      <c r="V892" t="str">
        <f>IF(Table1[[#This Row],[ai_disruption_intensity]]&gt;70,"High",
IF(Table1[[#This Row],[ai_disruption_intensity]]&gt;40,"Medium","Low"))</f>
        <v>Low</v>
      </c>
      <c r="W892" t="str">
        <f>IF(Table1[[#This Row],[skill_gap_index]]&gt;70,"Large Gap",
IF(Table1[[#This Row],[skill_gap_index]]&gt;40,"Medium Gap","Small Gap"))</f>
        <v>Small Gap</v>
      </c>
      <c r="X892" s="3" t="str">
        <f>IF(Table1[[#This Row],[automation_risk_percent]]&gt;0.7,"Highly Automatable",
IF(Table1[[#This Row],[automation_risk_percent]]&gt;0.4,"Moderate Risk","Safe Job"))</f>
        <v>Moderate Risk</v>
      </c>
    </row>
    <row r="893" spans="1:24" x14ac:dyDescent="0.3">
      <c r="A893">
        <v>3151</v>
      </c>
      <c r="B893" t="s">
        <v>45</v>
      </c>
      <c r="C893" t="s">
        <v>19</v>
      </c>
      <c r="D893" t="s">
        <v>47</v>
      </c>
      <c r="E893" s="1">
        <v>2025</v>
      </c>
      <c r="F893" s="11">
        <v>0.66670000000000007</v>
      </c>
      <c r="G893">
        <v>73.62</v>
      </c>
      <c r="H893">
        <v>82.03</v>
      </c>
      <c r="I893" s="2">
        <v>52851.54</v>
      </c>
      <c r="J893" s="2">
        <v>47920.34</v>
      </c>
      <c r="K893" s="2">
        <f>Table1[[#This Row],[Salary_after]]-Table1[[#This Row],[Salary_before]]</f>
        <v>-4931.2000000000044</v>
      </c>
      <c r="L893" s="11">
        <v>-9.3299999999999994E-2</v>
      </c>
      <c r="M893" s="11">
        <v>-5.4299999999999994E-2</v>
      </c>
      <c r="N893">
        <v>55.73</v>
      </c>
      <c r="O893">
        <v>13.39</v>
      </c>
      <c r="P893">
        <v>3</v>
      </c>
      <c r="Q893" t="s">
        <v>37</v>
      </c>
      <c r="R893">
        <v>74.349999999999994</v>
      </c>
      <c r="S893">
        <v>9.33</v>
      </c>
      <c r="T893" s="4">
        <v>54.076000000000001</v>
      </c>
      <c r="U893" s="4">
        <v>8.9271130000000003</v>
      </c>
      <c r="V893" t="str">
        <f>IF(Table1[[#This Row],[ai_disruption_intensity]]&gt;70,"High",
IF(Table1[[#This Row],[ai_disruption_intensity]]&gt;40,"Medium","Low"))</f>
        <v>Low</v>
      </c>
      <c r="W893" t="str">
        <f>IF(Table1[[#This Row],[skill_gap_index]]&gt;70,"Large Gap",
IF(Table1[[#This Row],[skill_gap_index]]&gt;40,"Medium Gap","Small Gap"))</f>
        <v>Large Gap</v>
      </c>
      <c r="X893" s="3" t="str">
        <f>IF(Table1[[#This Row],[automation_risk_percent]]&gt;0.7,"Highly Automatable",
IF(Table1[[#This Row],[automation_risk_percent]]&gt;0.4,"Moderate Risk","Safe Job"))</f>
        <v>Moderate Risk</v>
      </c>
    </row>
    <row r="894" spans="1:24" x14ac:dyDescent="0.3">
      <c r="A894">
        <v>3154</v>
      </c>
      <c r="B894" t="s">
        <v>39</v>
      </c>
      <c r="C894" t="s">
        <v>34</v>
      </c>
      <c r="D894" t="s">
        <v>47</v>
      </c>
      <c r="E894" s="1">
        <v>2025</v>
      </c>
      <c r="F894" s="11">
        <v>0.2601</v>
      </c>
      <c r="G894">
        <v>22.42</v>
      </c>
      <c r="H894">
        <v>62.31</v>
      </c>
      <c r="I894" s="2">
        <v>39249.839999999997</v>
      </c>
      <c r="J894" s="2">
        <v>33705.480000000003</v>
      </c>
      <c r="K894" s="2">
        <f>Table1[[#This Row],[Salary_after]]-Table1[[#This Row],[Salary_before]]</f>
        <v>-5544.3599999999933</v>
      </c>
      <c r="L894" s="11">
        <v>-0.14130000000000001</v>
      </c>
      <c r="M894" s="11">
        <v>8.0299999999999996E-2</v>
      </c>
      <c r="N894">
        <v>30.97</v>
      </c>
      <c r="O894">
        <v>81.099999999999994</v>
      </c>
      <c r="P894">
        <v>4</v>
      </c>
      <c r="Q894" t="s">
        <v>21</v>
      </c>
      <c r="R894">
        <v>44.16</v>
      </c>
      <c r="S894">
        <v>14.13</v>
      </c>
      <c r="T894" s="4">
        <v>33.335999999999999</v>
      </c>
      <c r="U894" s="4">
        <v>21.094110000000001</v>
      </c>
      <c r="V894" t="str">
        <f>IF(Table1[[#This Row],[ai_disruption_intensity]]&gt;70,"High",
IF(Table1[[#This Row],[ai_disruption_intensity]]&gt;40,"Medium","Low"))</f>
        <v>Low</v>
      </c>
      <c r="W894" t="str">
        <f>IF(Table1[[#This Row],[skill_gap_index]]&gt;70,"Large Gap",
IF(Table1[[#This Row],[skill_gap_index]]&gt;40,"Medium Gap","Small Gap"))</f>
        <v>Medium Gap</v>
      </c>
      <c r="X894" s="3" t="str">
        <f>IF(Table1[[#This Row],[automation_risk_percent]]&gt;0.7,"Highly Automatable",
IF(Table1[[#This Row],[automation_risk_percent]]&gt;0.4,"Moderate Risk","Safe Job"))</f>
        <v>Safe Job</v>
      </c>
    </row>
    <row r="895" spans="1:24" x14ac:dyDescent="0.3">
      <c r="A895">
        <v>3155</v>
      </c>
      <c r="B895" t="s">
        <v>22</v>
      </c>
      <c r="C895" t="s">
        <v>23</v>
      </c>
      <c r="D895" t="s">
        <v>47</v>
      </c>
      <c r="E895" s="1">
        <v>2025</v>
      </c>
      <c r="F895" s="11">
        <v>0.45130000000000003</v>
      </c>
      <c r="G895">
        <v>48.71</v>
      </c>
      <c r="H895">
        <v>45.28</v>
      </c>
      <c r="I895" s="2">
        <v>58526.16</v>
      </c>
      <c r="J895" s="2">
        <v>58892.87</v>
      </c>
      <c r="K895" s="2">
        <f>Table1[[#This Row],[Salary_after]]-Table1[[#This Row],[Salary_before]]</f>
        <v>366.70999999999913</v>
      </c>
      <c r="L895" s="11">
        <v>6.3E-3</v>
      </c>
      <c r="M895" s="11">
        <v>9.4899999999999998E-2</v>
      </c>
      <c r="N895">
        <v>21.79</v>
      </c>
      <c r="O895">
        <v>40.61</v>
      </c>
      <c r="P895">
        <v>2</v>
      </c>
      <c r="Q895" t="s">
        <v>25</v>
      </c>
      <c r="R895">
        <v>45.204999999999998</v>
      </c>
      <c r="S895">
        <v>0.63</v>
      </c>
      <c r="T895" s="4">
        <v>31.824999999999999</v>
      </c>
      <c r="U895" s="4">
        <v>18.327293000000001</v>
      </c>
      <c r="V895" t="str">
        <f>IF(Table1[[#This Row],[ai_disruption_intensity]]&gt;70,"High",
IF(Table1[[#This Row],[ai_disruption_intensity]]&gt;40,"Medium","Low"))</f>
        <v>Low</v>
      </c>
      <c r="W895" t="str">
        <f>IF(Table1[[#This Row],[skill_gap_index]]&gt;70,"Large Gap",
IF(Table1[[#This Row],[skill_gap_index]]&gt;40,"Medium Gap","Small Gap"))</f>
        <v>Medium Gap</v>
      </c>
      <c r="X895" s="3" t="str">
        <f>IF(Table1[[#This Row],[automation_risk_percent]]&gt;0.7,"Highly Automatable",
IF(Table1[[#This Row],[automation_risk_percent]]&gt;0.4,"Moderate Risk","Safe Job"))</f>
        <v>Moderate Risk</v>
      </c>
    </row>
    <row r="896" spans="1:24" x14ac:dyDescent="0.3">
      <c r="A896">
        <v>3156</v>
      </c>
      <c r="B896" t="s">
        <v>44</v>
      </c>
      <c r="C896" t="s">
        <v>23</v>
      </c>
      <c r="D896" t="s">
        <v>24</v>
      </c>
      <c r="E896" s="1">
        <v>2025</v>
      </c>
      <c r="F896" s="11">
        <v>0.33049999999999996</v>
      </c>
      <c r="G896">
        <v>29.27</v>
      </c>
      <c r="H896">
        <v>93.34</v>
      </c>
      <c r="I896" s="2">
        <v>135710.39999999999</v>
      </c>
      <c r="J896" s="2">
        <v>128140.81</v>
      </c>
      <c r="K896" s="2">
        <f>Table1[[#This Row],[Salary_after]]-Table1[[#This Row],[Salary_before]]</f>
        <v>-7569.5899999999965</v>
      </c>
      <c r="L896" s="11">
        <v>-5.5800000000000002E-2</v>
      </c>
      <c r="M896" s="11">
        <v>-6.3500000000000001E-2</v>
      </c>
      <c r="N896">
        <v>78.61</v>
      </c>
      <c r="O896">
        <v>20.85</v>
      </c>
      <c r="P896">
        <v>5</v>
      </c>
      <c r="Q896" t="s">
        <v>25</v>
      </c>
      <c r="R896">
        <v>63.195</v>
      </c>
      <c r="S896">
        <v>5.58</v>
      </c>
      <c r="T896" s="4">
        <v>42.895999999999901</v>
      </c>
      <c r="U896" s="4">
        <v>6.8909249999999904</v>
      </c>
      <c r="V896" t="str">
        <f>IF(Table1[[#This Row],[ai_disruption_intensity]]&gt;70,"High",
IF(Table1[[#This Row],[ai_disruption_intensity]]&gt;40,"Medium","Low"))</f>
        <v>Low</v>
      </c>
      <c r="W896" t="str">
        <f>IF(Table1[[#This Row],[skill_gap_index]]&gt;70,"Large Gap",
IF(Table1[[#This Row],[skill_gap_index]]&gt;40,"Medium Gap","Small Gap"))</f>
        <v>Large Gap</v>
      </c>
      <c r="X896" s="3" t="str">
        <f>IF(Table1[[#This Row],[automation_risk_percent]]&gt;0.7,"Highly Automatable",
IF(Table1[[#This Row],[automation_risk_percent]]&gt;0.4,"Moderate Risk","Safe Job"))</f>
        <v>Safe Job</v>
      </c>
    </row>
    <row r="897" spans="1:24" x14ac:dyDescent="0.3">
      <c r="A897">
        <v>3161</v>
      </c>
      <c r="B897" t="s">
        <v>43</v>
      </c>
      <c r="C897" t="s">
        <v>34</v>
      </c>
      <c r="D897" t="s">
        <v>35</v>
      </c>
      <c r="E897" s="1">
        <v>2025</v>
      </c>
      <c r="F897" s="11">
        <v>0.73159999999999992</v>
      </c>
      <c r="G897">
        <v>80.47</v>
      </c>
      <c r="H897">
        <v>92.42</v>
      </c>
      <c r="I897" s="2">
        <v>111987.49</v>
      </c>
      <c r="J897" s="2">
        <v>105574.01</v>
      </c>
      <c r="K897" s="2">
        <f>Table1[[#This Row],[Salary_after]]-Table1[[#This Row],[Salary_before]]</f>
        <v>-6413.4800000000105</v>
      </c>
      <c r="L897" s="11">
        <v>-5.7300000000000004E-2</v>
      </c>
      <c r="M897" s="11">
        <v>-4.4199999999999996E-2</v>
      </c>
      <c r="N897">
        <v>53.82</v>
      </c>
      <c r="O897">
        <v>60.73</v>
      </c>
      <c r="P897">
        <v>2</v>
      </c>
      <c r="Q897" t="s">
        <v>37</v>
      </c>
      <c r="R897">
        <v>82.789999999999907</v>
      </c>
      <c r="S897">
        <v>5.73</v>
      </c>
      <c r="T897" s="4">
        <v>58.708999999999897</v>
      </c>
      <c r="U897" s="4">
        <v>44.430067999999899</v>
      </c>
      <c r="V897" t="str">
        <f>IF(Table1[[#This Row],[ai_disruption_intensity]]&gt;70,"High",
IF(Table1[[#This Row],[ai_disruption_intensity]]&gt;40,"Medium","Low"))</f>
        <v>Medium</v>
      </c>
      <c r="W897" t="str">
        <f>IF(Table1[[#This Row],[skill_gap_index]]&gt;70,"Large Gap",
IF(Table1[[#This Row],[skill_gap_index]]&gt;40,"Medium Gap","Small Gap"))</f>
        <v>Large Gap</v>
      </c>
      <c r="X897" s="3" t="str">
        <f>IF(Table1[[#This Row],[automation_risk_percent]]&gt;0.7,"Highly Automatable",
IF(Table1[[#This Row],[automation_risk_percent]]&gt;0.4,"Moderate Risk","Safe Job"))</f>
        <v>Highly Automatable</v>
      </c>
    </row>
    <row r="898" spans="1:24" x14ac:dyDescent="0.3">
      <c r="A898">
        <v>3163</v>
      </c>
      <c r="B898" t="s">
        <v>46</v>
      </c>
      <c r="C898" t="s">
        <v>23</v>
      </c>
      <c r="D898" t="s">
        <v>47</v>
      </c>
      <c r="E898" s="1">
        <v>2026</v>
      </c>
      <c r="F898" s="11">
        <v>0.05</v>
      </c>
      <c r="G898">
        <v>5.94</v>
      </c>
      <c r="H898">
        <v>81.349999999999994</v>
      </c>
      <c r="I898" s="2">
        <v>41270.15</v>
      </c>
      <c r="J898" s="2">
        <v>47844.93</v>
      </c>
      <c r="K898" s="2">
        <f>Table1[[#This Row],[Salary_after]]-Table1[[#This Row],[Salary_before]]</f>
        <v>6574.7799999999988</v>
      </c>
      <c r="L898" s="11">
        <v>0.1593</v>
      </c>
      <c r="M898" s="11">
        <v>-5.3800000000000001E-2</v>
      </c>
      <c r="N898">
        <v>19.579999999999998</v>
      </c>
      <c r="O898">
        <v>48.89</v>
      </c>
      <c r="P898">
        <v>5</v>
      </c>
      <c r="Q898" t="s">
        <v>21</v>
      </c>
      <c r="R898">
        <v>43.174999999999997</v>
      </c>
      <c r="S898">
        <v>15.93</v>
      </c>
      <c r="T898" s="4">
        <v>31.183999999999902</v>
      </c>
      <c r="U898" s="4">
        <v>2.4444999999999899</v>
      </c>
      <c r="V898" t="str">
        <f>IF(Table1[[#This Row],[ai_disruption_intensity]]&gt;70,"High",
IF(Table1[[#This Row],[ai_disruption_intensity]]&gt;40,"Medium","Low"))</f>
        <v>Low</v>
      </c>
      <c r="W898" t="str">
        <f>IF(Table1[[#This Row],[skill_gap_index]]&gt;70,"Large Gap",
IF(Table1[[#This Row],[skill_gap_index]]&gt;40,"Medium Gap","Small Gap"))</f>
        <v>Large Gap</v>
      </c>
      <c r="X898" s="3" t="str">
        <f>IF(Table1[[#This Row],[automation_risk_percent]]&gt;0.7,"Highly Automatable",
IF(Table1[[#This Row],[automation_risk_percent]]&gt;0.4,"Moderate Risk","Safe Job"))</f>
        <v>Safe Job</v>
      </c>
    </row>
    <row r="899" spans="1:24" x14ac:dyDescent="0.3">
      <c r="A899">
        <v>3166</v>
      </c>
      <c r="B899" t="s">
        <v>26</v>
      </c>
      <c r="C899" t="s">
        <v>19</v>
      </c>
      <c r="D899" t="s">
        <v>20</v>
      </c>
      <c r="E899" s="1">
        <v>2025</v>
      </c>
      <c r="F899" s="11">
        <v>0.2777</v>
      </c>
      <c r="G899">
        <v>23.04</v>
      </c>
      <c r="H899">
        <v>74.849999999999994</v>
      </c>
      <c r="I899" s="2">
        <v>37620.660000000003</v>
      </c>
      <c r="J899" s="2">
        <v>36359.300000000003</v>
      </c>
      <c r="K899" s="2">
        <f>Table1[[#This Row],[Salary_after]]-Table1[[#This Row],[Salary_before]]</f>
        <v>-1261.3600000000006</v>
      </c>
      <c r="L899" s="11">
        <v>-3.3500000000000002E-2</v>
      </c>
      <c r="M899" s="11">
        <v>-7.690000000000001E-2</v>
      </c>
      <c r="N899">
        <v>51.64</v>
      </c>
      <c r="O899">
        <v>40.65</v>
      </c>
      <c r="P899">
        <v>2</v>
      </c>
      <c r="Q899" t="s">
        <v>21</v>
      </c>
      <c r="R899">
        <v>51.309999999999903</v>
      </c>
      <c r="S899">
        <v>3.35</v>
      </c>
      <c r="T899" s="4">
        <v>34.567999999999998</v>
      </c>
      <c r="U899" s="4">
        <v>11.288505000000001</v>
      </c>
      <c r="V899" t="str">
        <f>IF(Table1[[#This Row],[ai_disruption_intensity]]&gt;70,"High",
IF(Table1[[#This Row],[ai_disruption_intensity]]&gt;40,"Medium","Low"))</f>
        <v>Low</v>
      </c>
      <c r="W899" t="str">
        <f>IF(Table1[[#This Row],[skill_gap_index]]&gt;70,"Large Gap",
IF(Table1[[#This Row],[skill_gap_index]]&gt;40,"Medium Gap","Small Gap"))</f>
        <v>Large Gap</v>
      </c>
      <c r="X899" s="3" t="str">
        <f>IF(Table1[[#This Row],[automation_risk_percent]]&gt;0.7,"Highly Automatable",
IF(Table1[[#This Row],[automation_risk_percent]]&gt;0.4,"Moderate Risk","Safe Job"))</f>
        <v>Safe Job</v>
      </c>
    </row>
    <row r="900" spans="1:24" x14ac:dyDescent="0.3">
      <c r="A900">
        <v>3167</v>
      </c>
      <c r="B900" t="s">
        <v>45</v>
      </c>
      <c r="C900" t="s">
        <v>19</v>
      </c>
      <c r="D900" t="s">
        <v>24</v>
      </c>
      <c r="E900" s="1">
        <v>2026</v>
      </c>
      <c r="F900" s="11">
        <v>0.4244</v>
      </c>
      <c r="G900">
        <v>46.06</v>
      </c>
      <c r="H900">
        <v>36.93</v>
      </c>
      <c r="I900" s="2">
        <v>95730.06</v>
      </c>
      <c r="J900" s="2">
        <v>86077.73</v>
      </c>
      <c r="K900" s="2">
        <f>Table1[[#This Row],[Salary_after]]-Table1[[#This Row],[Salary_before]]</f>
        <v>-9652.3300000000017</v>
      </c>
      <c r="L900" s="11">
        <v>-0.1008</v>
      </c>
      <c r="M900" s="11">
        <v>-8.539999999999999E-2</v>
      </c>
      <c r="N900">
        <v>65.239999999999995</v>
      </c>
      <c r="O900">
        <v>49.05</v>
      </c>
      <c r="P900">
        <v>4</v>
      </c>
      <c r="Q900" t="s">
        <v>25</v>
      </c>
      <c r="R900">
        <v>39.685000000000002</v>
      </c>
      <c r="S900">
        <v>10.08</v>
      </c>
      <c r="T900" s="4">
        <v>31.079000000000001</v>
      </c>
      <c r="U900" s="4">
        <v>20.8168199999999</v>
      </c>
      <c r="V900" t="str">
        <f>IF(Table1[[#This Row],[ai_disruption_intensity]]&gt;70,"High",
IF(Table1[[#This Row],[ai_disruption_intensity]]&gt;40,"Medium","Low"))</f>
        <v>Low</v>
      </c>
      <c r="W900" t="str">
        <f>IF(Table1[[#This Row],[skill_gap_index]]&gt;70,"Large Gap",
IF(Table1[[#This Row],[skill_gap_index]]&gt;40,"Medium Gap","Small Gap"))</f>
        <v>Small Gap</v>
      </c>
      <c r="X900" s="3" t="str">
        <f>IF(Table1[[#This Row],[automation_risk_percent]]&gt;0.7,"Highly Automatable",
IF(Table1[[#This Row],[automation_risk_percent]]&gt;0.4,"Moderate Risk","Safe Job"))</f>
        <v>Moderate Risk</v>
      </c>
    </row>
    <row r="901" spans="1:24" x14ac:dyDescent="0.3">
      <c r="A901">
        <v>3170</v>
      </c>
      <c r="B901" t="s">
        <v>26</v>
      </c>
      <c r="C901" t="s">
        <v>23</v>
      </c>
      <c r="D901" t="s">
        <v>42</v>
      </c>
      <c r="E901" s="1">
        <v>2026</v>
      </c>
      <c r="F901" s="11">
        <v>0.54239999999999999</v>
      </c>
      <c r="G901">
        <v>46.07</v>
      </c>
      <c r="H901">
        <v>25.77</v>
      </c>
      <c r="I901" s="2">
        <v>143285.1</v>
      </c>
      <c r="J901" s="2">
        <v>150629.65</v>
      </c>
      <c r="K901" s="2">
        <f>Table1[[#This Row],[Salary_after]]-Table1[[#This Row],[Salary_before]]</f>
        <v>7344.5499999999884</v>
      </c>
      <c r="L901" s="11">
        <v>5.1299999999999998E-2</v>
      </c>
      <c r="M901" s="11">
        <v>0.10890000000000001</v>
      </c>
      <c r="N901">
        <v>87.81</v>
      </c>
      <c r="O901">
        <v>74.959999999999994</v>
      </c>
      <c r="P901">
        <v>2</v>
      </c>
      <c r="Q901" t="s">
        <v>25</v>
      </c>
      <c r="R901">
        <v>40.005000000000003</v>
      </c>
      <c r="S901">
        <v>5.13</v>
      </c>
      <c r="T901" s="4">
        <v>30.966000000000001</v>
      </c>
      <c r="U901" s="4">
        <v>40.658304000000001</v>
      </c>
      <c r="V901" t="str">
        <f>IF(Table1[[#This Row],[ai_disruption_intensity]]&gt;70,"High",
IF(Table1[[#This Row],[ai_disruption_intensity]]&gt;40,"Medium","Low"))</f>
        <v>Medium</v>
      </c>
      <c r="W901" t="str">
        <f>IF(Table1[[#This Row],[skill_gap_index]]&gt;70,"Large Gap",
IF(Table1[[#This Row],[skill_gap_index]]&gt;40,"Medium Gap","Small Gap"))</f>
        <v>Small Gap</v>
      </c>
      <c r="X901" s="3" t="str">
        <f>IF(Table1[[#This Row],[automation_risk_percent]]&gt;0.7,"Highly Automatable",
IF(Table1[[#This Row],[automation_risk_percent]]&gt;0.4,"Moderate Risk","Safe Job"))</f>
        <v>Moderate Risk</v>
      </c>
    </row>
    <row r="902" spans="1:24" x14ac:dyDescent="0.3">
      <c r="A902">
        <v>3184</v>
      </c>
      <c r="B902" t="s">
        <v>45</v>
      </c>
      <c r="C902" t="s">
        <v>38</v>
      </c>
      <c r="D902" t="s">
        <v>36</v>
      </c>
      <c r="E902" s="1">
        <v>2025</v>
      </c>
      <c r="F902" s="11">
        <v>0.74390000000000001</v>
      </c>
      <c r="G902">
        <v>62.82</v>
      </c>
      <c r="H902">
        <v>59.07</v>
      </c>
      <c r="I902" s="2">
        <v>117440.27</v>
      </c>
      <c r="J902" s="2">
        <v>134462.22</v>
      </c>
      <c r="K902" s="2">
        <f>Table1[[#This Row],[Salary_after]]-Table1[[#This Row],[Salary_before]]</f>
        <v>17021.949999999997</v>
      </c>
      <c r="L902" s="11">
        <v>0.1449</v>
      </c>
      <c r="M902" s="11">
        <v>3.2199999999999999E-2</v>
      </c>
      <c r="N902">
        <v>24.46</v>
      </c>
      <c r="O902">
        <v>83.66</v>
      </c>
      <c r="P902">
        <v>2</v>
      </c>
      <c r="Q902" t="s">
        <v>37</v>
      </c>
      <c r="R902">
        <v>66.73</v>
      </c>
      <c r="S902">
        <v>14.49</v>
      </c>
      <c r="T902" s="4">
        <v>51.823999999999998</v>
      </c>
      <c r="U902" s="4">
        <v>62.234673999999998</v>
      </c>
      <c r="V902" t="str">
        <f>IF(Table1[[#This Row],[ai_disruption_intensity]]&gt;70,"High",
IF(Table1[[#This Row],[ai_disruption_intensity]]&gt;40,"Medium","Low"))</f>
        <v>Medium</v>
      </c>
      <c r="W902" t="str">
        <f>IF(Table1[[#This Row],[skill_gap_index]]&gt;70,"Large Gap",
IF(Table1[[#This Row],[skill_gap_index]]&gt;40,"Medium Gap","Small Gap"))</f>
        <v>Medium Gap</v>
      </c>
      <c r="X902" s="3" t="str">
        <f>IF(Table1[[#This Row],[automation_risk_percent]]&gt;0.7,"Highly Automatable",
IF(Table1[[#This Row],[automation_risk_percent]]&gt;0.4,"Moderate Risk","Safe Job"))</f>
        <v>Highly Automatable</v>
      </c>
    </row>
    <row r="903" spans="1:24" x14ac:dyDescent="0.3">
      <c r="A903">
        <v>3187</v>
      </c>
      <c r="B903" t="s">
        <v>45</v>
      </c>
      <c r="C903" t="s">
        <v>33</v>
      </c>
      <c r="D903" t="s">
        <v>20</v>
      </c>
      <c r="E903" s="1">
        <v>2025</v>
      </c>
      <c r="F903" s="11">
        <v>0.32600000000000001</v>
      </c>
      <c r="G903">
        <v>31.22</v>
      </c>
      <c r="H903">
        <v>93.98</v>
      </c>
      <c r="I903" s="2">
        <v>77500.42</v>
      </c>
      <c r="J903" s="2">
        <v>64762.18</v>
      </c>
      <c r="K903" s="2">
        <f>Table1[[#This Row],[Salary_after]]-Table1[[#This Row],[Salary_before]]</f>
        <v>-12738.239999999998</v>
      </c>
      <c r="L903" s="11">
        <v>-0.16440000000000002</v>
      </c>
      <c r="M903" s="11">
        <v>4.7599999999999996E-2</v>
      </c>
      <c r="N903">
        <v>10.01</v>
      </c>
      <c r="O903">
        <v>89.93</v>
      </c>
      <c r="P903">
        <v>2</v>
      </c>
      <c r="Q903" t="s">
        <v>25</v>
      </c>
      <c r="R903">
        <v>63.29</v>
      </c>
      <c r="S903">
        <v>16.440000000000001</v>
      </c>
      <c r="T903" s="4">
        <v>46.165999999999997</v>
      </c>
      <c r="U903" s="4">
        <v>29.31718</v>
      </c>
      <c r="V903" t="str">
        <f>IF(Table1[[#This Row],[ai_disruption_intensity]]&gt;70,"High",
IF(Table1[[#This Row],[ai_disruption_intensity]]&gt;40,"Medium","Low"))</f>
        <v>Low</v>
      </c>
      <c r="W903" t="str">
        <f>IF(Table1[[#This Row],[skill_gap_index]]&gt;70,"Large Gap",
IF(Table1[[#This Row],[skill_gap_index]]&gt;40,"Medium Gap","Small Gap"))</f>
        <v>Large Gap</v>
      </c>
      <c r="X903" s="3" t="str">
        <f>IF(Table1[[#This Row],[automation_risk_percent]]&gt;0.7,"Highly Automatable",
IF(Table1[[#This Row],[automation_risk_percent]]&gt;0.4,"Moderate Risk","Safe Job"))</f>
        <v>Safe Job</v>
      </c>
    </row>
    <row r="904" spans="1:24" x14ac:dyDescent="0.3">
      <c r="A904">
        <v>3194</v>
      </c>
      <c r="B904" t="s">
        <v>18</v>
      </c>
      <c r="C904" t="s">
        <v>23</v>
      </c>
      <c r="D904" t="s">
        <v>28</v>
      </c>
      <c r="E904" s="1">
        <v>2026</v>
      </c>
      <c r="F904" s="11">
        <v>0.29480000000000001</v>
      </c>
      <c r="G904">
        <v>31.84</v>
      </c>
      <c r="H904">
        <v>70.58</v>
      </c>
      <c r="I904" s="2">
        <v>113995.92</v>
      </c>
      <c r="J904" s="2">
        <v>117299.15</v>
      </c>
      <c r="K904" s="2">
        <f>Table1[[#This Row],[Salary_after]]-Table1[[#This Row],[Salary_before]]</f>
        <v>3303.2299999999959</v>
      </c>
      <c r="L904" s="11">
        <v>2.8999999999999998E-2</v>
      </c>
      <c r="M904" s="11">
        <v>-3.0699999999999998E-2</v>
      </c>
      <c r="N904">
        <v>95.85</v>
      </c>
      <c r="O904">
        <v>46.58</v>
      </c>
      <c r="P904">
        <v>2</v>
      </c>
      <c r="Q904" t="s">
        <v>21</v>
      </c>
      <c r="R904">
        <v>50.03</v>
      </c>
      <c r="S904">
        <v>2.9</v>
      </c>
      <c r="T904" s="4">
        <v>33.835999999999999</v>
      </c>
      <c r="U904" s="4">
        <v>13.731783999999999</v>
      </c>
      <c r="V904" t="str">
        <f>IF(Table1[[#This Row],[ai_disruption_intensity]]&gt;70,"High",
IF(Table1[[#This Row],[ai_disruption_intensity]]&gt;40,"Medium","Low"))</f>
        <v>Low</v>
      </c>
      <c r="W904" t="str">
        <f>IF(Table1[[#This Row],[skill_gap_index]]&gt;70,"Large Gap",
IF(Table1[[#This Row],[skill_gap_index]]&gt;40,"Medium Gap","Small Gap"))</f>
        <v>Large Gap</v>
      </c>
      <c r="X904" s="3" t="str">
        <f>IF(Table1[[#This Row],[automation_risk_percent]]&gt;0.7,"Highly Automatable",
IF(Table1[[#This Row],[automation_risk_percent]]&gt;0.4,"Moderate Risk","Safe Job"))</f>
        <v>Safe Job</v>
      </c>
    </row>
    <row r="905" spans="1:24" x14ac:dyDescent="0.3">
      <c r="A905">
        <v>3197</v>
      </c>
      <c r="B905" t="s">
        <v>45</v>
      </c>
      <c r="C905" t="s">
        <v>38</v>
      </c>
      <c r="D905" t="s">
        <v>32</v>
      </c>
      <c r="E905" s="1">
        <v>2026</v>
      </c>
      <c r="F905" s="11">
        <v>0.2097</v>
      </c>
      <c r="G905">
        <v>24.98</v>
      </c>
      <c r="H905">
        <v>7.02</v>
      </c>
      <c r="I905" s="2">
        <v>94081.07</v>
      </c>
      <c r="J905" s="2">
        <v>88975.66</v>
      </c>
      <c r="K905" s="2">
        <f>Table1[[#This Row],[Salary_after]]-Table1[[#This Row],[Salary_before]]</f>
        <v>-5105.4100000000035</v>
      </c>
      <c r="L905" s="11">
        <v>-5.4299999999999994E-2</v>
      </c>
      <c r="M905" s="11">
        <v>9.1999999999999998E-3</v>
      </c>
      <c r="N905">
        <v>75.2</v>
      </c>
      <c r="O905">
        <v>4.2</v>
      </c>
      <c r="P905">
        <v>2</v>
      </c>
      <c r="Q905" t="s">
        <v>21</v>
      </c>
      <c r="R905">
        <v>13.994999999999999</v>
      </c>
      <c r="S905">
        <v>5.43</v>
      </c>
      <c r="T905" s="4">
        <v>12.122999999999999</v>
      </c>
      <c r="U905" s="4">
        <v>0.88073999999999997</v>
      </c>
      <c r="V905" t="str">
        <f>IF(Table1[[#This Row],[ai_disruption_intensity]]&gt;70,"High",
IF(Table1[[#This Row],[ai_disruption_intensity]]&gt;40,"Medium","Low"))</f>
        <v>Low</v>
      </c>
      <c r="W905" t="str">
        <f>IF(Table1[[#This Row],[skill_gap_index]]&gt;70,"Large Gap",
IF(Table1[[#This Row],[skill_gap_index]]&gt;40,"Medium Gap","Small Gap"))</f>
        <v>Small Gap</v>
      </c>
      <c r="X905" s="3" t="str">
        <f>IF(Table1[[#This Row],[automation_risk_percent]]&gt;0.7,"Highly Automatable",
IF(Table1[[#This Row],[automation_risk_percent]]&gt;0.4,"Moderate Risk","Safe Job"))</f>
        <v>Safe Job</v>
      </c>
    </row>
    <row r="906" spans="1:24" x14ac:dyDescent="0.3">
      <c r="A906">
        <v>3199</v>
      </c>
      <c r="B906" t="s">
        <v>22</v>
      </c>
      <c r="C906" t="s">
        <v>38</v>
      </c>
      <c r="D906" t="s">
        <v>31</v>
      </c>
      <c r="E906" s="1">
        <v>2025</v>
      </c>
      <c r="F906" s="11">
        <v>0.33539999999999998</v>
      </c>
      <c r="G906">
        <v>29.36</v>
      </c>
      <c r="H906">
        <v>25.56</v>
      </c>
      <c r="I906" s="2">
        <v>93981.31</v>
      </c>
      <c r="J906" s="2">
        <v>97142.44</v>
      </c>
      <c r="K906" s="2">
        <f>Table1[[#This Row],[Salary_after]]-Table1[[#This Row],[Salary_before]]</f>
        <v>3161.1300000000047</v>
      </c>
      <c r="L906" s="11">
        <v>3.3599999999999998E-2</v>
      </c>
      <c r="M906" s="11">
        <v>-0.12619999999999998</v>
      </c>
      <c r="N906">
        <v>73.7</v>
      </c>
      <c r="O906">
        <v>73.44</v>
      </c>
      <c r="P906">
        <v>3</v>
      </c>
      <c r="Q906" t="s">
        <v>25</v>
      </c>
      <c r="R906">
        <v>29.549999999999901</v>
      </c>
      <c r="S906">
        <v>3.36</v>
      </c>
      <c r="T906" s="4">
        <v>22.091999999999999</v>
      </c>
      <c r="U906" s="4">
        <v>24.631775999999999</v>
      </c>
      <c r="V906" t="str">
        <f>IF(Table1[[#This Row],[ai_disruption_intensity]]&gt;70,"High",
IF(Table1[[#This Row],[ai_disruption_intensity]]&gt;40,"Medium","Low"))</f>
        <v>Low</v>
      </c>
      <c r="W906" t="str">
        <f>IF(Table1[[#This Row],[skill_gap_index]]&gt;70,"Large Gap",
IF(Table1[[#This Row],[skill_gap_index]]&gt;40,"Medium Gap","Small Gap"))</f>
        <v>Small Gap</v>
      </c>
      <c r="X906" s="3" t="str">
        <f>IF(Table1[[#This Row],[automation_risk_percent]]&gt;0.7,"Highly Automatable",
IF(Table1[[#This Row],[automation_risk_percent]]&gt;0.4,"Moderate Risk","Safe Job"))</f>
        <v>Safe Job</v>
      </c>
    </row>
    <row r="907" spans="1:24" x14ac:dyDescent="0.3">
      <c r="A907">
        <v>3206</v>
      </c>
      <c r="B907" t="s">
        <v>39</v>
      </c>
      <c r="C907" t="s">
        <v>34</v>
      </c>
      <c r="D907" t="s">
        <v>42</v>
      </c>
      <c r="E907" s="1">
        <v>2025</v>
      </c>
      <c r="F907" s="11">
        <v>0.49109999999999998</v>
      </c>
      <c r="G907">
        <v>44.3</v>
      </c>
      <c r="H907">
        <v>3.12</v>
      </c>
      <c r="I907" s="2">
        <v>70356.210000000006</v>
      </c>
      <c r="J907" s="2">
        <v>66508.87</v>
      </c>
      <c r="K907" s="2">
        <f>Table1[[#This Row],[Salary_after]]-Table1[[#This Row],[Salary_before]]</f>
        <v>-3847.3400000000111</v>
      </c>
      <c r="L907" s="11">
        <v>-5.4699999999999999E-2</v>
      </c>
      <c r="M907" s="11">
        <v>5.8700000000000002E-2</v>
      </c>
      <c r="N907">
        <v>64.88</v>
      </c>
      <c r="O907">
        <v>52.34</v>
      </c>
      <c r="P907">
        <v>4</v>
      </c>
      <c r="Q907" t="s">
        <v>25</v>
      </c>
      <c r="R907">
        <v>26.114999999999998</v>
      </c>
      <c r="S907">
        <v>5.47</v>
      </c>
      <c r="T907" s="4">
        <v>22.221</v>
      </c>
      <c r="U907" s="4">
        <v>25.704173999999998</v>
      </c>
      <c r="V907" t="str">
        <f>IF(Table1[[#This Row],[ai_disruption_intensity]]&gt;70,"High",
IF(Table1[[#This Row],[ai_disruption_intensity]]&gt;40,"Medium","Low"))</f>
        <v>Low</v>
      </c>
      <c r="W907" t="str">
        <f>IF(Table1[[#This Row],[skill_gap_index]]&gt;70,"Large Gap",
IF(Table1[[#This Row],[skill_gap_index]]&gt;40,"Medium Gap","Small Gap"))</f>
        <v>Small Gap</v>
      </c>
      <c r="X907" s="3" t="str">
        <f>IF(Table1[[#This Row],[automation_risk_percent]]&gt;0.7,"Highly Automatable",
IF(Table1[[#This Row],[automation_risk_percent]]&gt;0.4,"Moderate Risk","Safe Job"))</f>
        <v>Moderate Risk</v>
      </c>
    </row>
    <row r="908" spans="1:24" x14ac:dyDescent="0.3">
      <c r="A908">
        <v>3211</v>
      </c>
      <c r="B908" t="s">
        <v>22</v>
      </c>
      <c r="C908" t="s">
        <v>40</v>
      </c>
      <c r="D908" t="s">
        <v>36</v>
      </c>
      <c r="E908" s="1">
        <v>2025</v>
      </c>
      <c r="F908" s="11">
        <v>0.1065</v>
      </c>
      <c r="G908">
        <v>9.35</v>
      </c>
      <c r="H908">
        <v>10.95</v>
      </c>
      <c r="I908" s="2">
        <v>68279.25</v>
      </c>
      <c r="J908" s="2">
        <v>71587.91</v>
      </c>
      <c r="K908" s="2">
        <f>Table1[[#This Row],[Salary_after]]-Table1[[#This Row],[Salary_before]]</f>
        <v>3308.6600000000035</v>
      </c>
      <c r="L908" s="11">
        <v>4.8499999999999995E-2</v>
      </c>
      <c r="M908" s="11">
        <v>0.1542</v>
      </c>
      <c r="N908">
        <v>25.21</v>
      </c>
      <c r="O908">
        <v>78.88</v>
      </c>
      <c r="P908">
        <v>5</v>
      </c>
      <c r="Q908" t="s">
        <v>21</v>
      </c>
      <c r="R908">
        <v>10.8</v>
      </c>
      <c r="S908">
        <v>4.8499999999999996</v>
      </c>
      <c r="T908" s="4">
        <v>9</v>
      </c>
      <c r="U908" s="4">
        <v>8.4007199999999997</v>
      </c>
      <c r="V908" t="str">
        <f>IF(Table1[[#This Row],[ai_disruption_intensity]]&gt;70,"High",
IF(Table1[[#This Row],[ai_disruption_intensity]]&gt;40,"Medium","Low"))</f>
        <v>Low</v>
      </c>
      <c r="W908" t="str">
        <f>IF(Table1[[#This Row],[skill_gap_index]]&gt;70,"Large Gap",
IF(Table1[[#This Row],[skill_gap_index]]&gt;40,"Medium Gap","Small Gap"))</f>
        <v>Small Gap</v>
      </c>
      <c r="X908" s="3" t="str">
        <f>IF(Table1[[#This Row],[automation_risk_percent]]&gt;0.7,"Highly Automatable",
IF(Table1[[#This Row],[automation_risk_percent]]&gt;0.4,"Moderate Risk","Safe Job"))</f>
        <v>Safe Job</v>
      </c>
    </row>
    <row r="909" spans="1:24" x14ac:dyDescent="0.3">
      <c r="A909">
        <v>3214</v>
      </c>
      <c r="B909" t="s">
        <v>43</v>
      </c>
      <c r="C909" t="s">
        <v>33</v>
      </c>
      <c r="D909" t="s">
        <v>35</v>
      </c>
      <c r="E909" s="1">
        <v>2026</v>
      </c>
      <c r="F909" s="11">
        <v>0.24399999999999999</v>
      </c>
      <c r="G909">
        <v>25.15</v>
      </c>
      <c r="H909">
        <v>0.53</v>
      </c>
      <c r="I909" s="2">
        <v>115566.53</v>
      </c>
      <c r="J909" s="2">
        <v>100616.55</v>
      </c>
      <c r="K909" s="2">
        <f>Table1[[#This Row],[Salary_after]]-Table1[[#This Row],[Salary_before]]</f>
        <v>-14949.979999999996</v>
      </c>
      <c r="L909" s="11">
        <v>-0.12939999999999999</v>
      </c>
      <c r="M909" s="11">
        <v>1.38E-2</v>
      </c>
      <c r="N909">
        <v>77.7</v>
      </c>
      <c r="O909">
        <v>81.06</v>
      </c>
      <c r="P909">
        <v>1</v>
      </c>
      <c r="Q909" t="s">
        <v>21</v>
      </c>
      <c r="R909">
        <v>12.465</v>
      </c>
      <c r="S909">
        <v>12.94</v>
      </c>
      <c r="T909" s="4">
        <v>13.801</v>
      </c>
      <c r="U909" s="4">
        <v>19.778639999999999</v>
      </c>
      <c r="V909" t="str">
        <f>IF(Table1[[#This Row],[ai_disruption_intensity]]&gt;70,"High",
IF(Table1[[#This Row],[ai_disruption_intensity]]&gt;40,"Medium","Low"))</f>
        <v>Low</v>
      </c>
      <c r="W909" t="str">
        <f>IF(Table1[[#This Row],[skill_gap_index]]&gt;70,"Large Gap",
IF(Table1[[#This Row],[skill_gap_index]]&gt;40,"Medium Gap","Small Gap"))</f>
        <v>Small Gap</v>
      </c>
      <c r="X909" s="3" t="str">
        <f>IF(Table1[[#This Row],[automation_risk_percent]]&gt;0.7,"Highly Automatable",
IF(Table1[[#This Row],[automation_risk_percent]]&gt;0.4,"Moderate Risk","Safe Job"))</f>
        <v>Safe Job</v>
      </c>
    </row>
    <row r="910" spans="1:24" x14ac:dyDescent="0.3">
      <c r="A910">
        <v>3217</v>
      </c>
      <c r="B910" t="s">
        <v>46</v>
      </c>
      <c r="C910" t="s">
        <v>30</v>
      </c>
      <c r="D910" t="s">
        <v>31</v>
      </c>
      <c r="E910" s="1">
        <v>2025</v>
      </c>
      <c r="F910" s="11">
        <v>0.28820000000000001</v>
      </c>
      <c r="G910">
        <v>27.07</v>
      </c>
      <c r="H910">
        <v>98.13</v>
      </c>
      <c r="I910" s="2">
        <v>141216.4</v>
      </c>
      <c r="J910" s="2">
        <v>136720.01999999999</v>
      </c>
      <c r="K910" s="2">
        <f>Table1[[#This Row],[Salary_after]]-Table1[[#This Row],[Salary_before]]</f>
        <v>-4496.3800000000047</v>
      </c>
      <c r="L910" s="11">
        <v>-3.1800000000000002E-2</v>
      </c>
      <c r="M910" s="11">
        <v>0.12269999999999999</v>
      </c>
      <c r="N910">
        <v>11.14</v>
      </c>
      <c r="O910">
        <v>39.130000000000003</v>
      </c>
      <c r="P910">
        <v>2</v>
      </c>
      <c r="Q910" t="s">
        <v>21</v>
      </c>
      <c r="R910">
        <v>63.474999999999902</v>
      </c>
      <c r="S910">
        <v>3.18</v>
      </c>
      <c r="T910" s="4">
        <v>41.920999999999999</v>
      </c>
      <c r="U910" s="4">
        <v>11.277265999999999</v>
      </c>
      <c r="V910" t="str">
        <f>IF(Table1[[#This Row],[ai_disruption_intensity]]&gt;70,"High",
IF(Table1[[#This Row],[ai_disruption_intensity]]&gt;40,"Medium","Low"))</f>
        <v>Low</v>
      </c>
      <c r="W910" t="str">
        <f>IF(Table1[[#This Row],[skill_gap_index]]&gt;70,"Large Gap",
IF(Table1[[#This Row],[skill_gap_index]]&gt;40,"Medium Gap","Small Gap"))</f>
        <v>Large Gap</v>
      </c>
      <c r="X910" s="3" t="str">
        <f>IF(Table1[[#This Row],[automation_risk_percent]]&gt;0.7,"Highly Automatable",
IF(Table1[[#This Row],[automation_risk_percent]]&gt;0.4,"Moderate Risk","Safe Job"))</f>
        <v>Safe Job</v>
      </c>
    </row>
    <row r="911" spans="1:24" x14ac:dyDescent="0.3">
      <c r="A911">
        <v>3222</v>
      </c>
      <c r="B911" t="s">
        <v>18</v>
      </c>
      <c r="C911" t="s">
        <v>33</v>
      </c>
      <c r="D911" t="s">
        <v>31</v>
      </c>
      <c r="E911" s="1">
        <v>2026</v>
      </c>
      <c r="F911" s="11">
        <v>0.6028</v>
      </c>
      <c r="G911">
        <v>65.569999999999993</v>
      </c>
      <c r="H911">
        <v>47.96</v>
      </c>
      <c r="I911" s="2">
        <v>92778.35</v>
      </c>
      <c r="J911" s="2">
        <v>99744.44</v>
      </c>
      <c r="K911" s="2">
        <f>Table1[[#This Row],[Salary_after]]-Table1[[#This Row],[Salary_before]]</f>
        <v>6966.0899999999965</v>
      </c>
      <c r="L911" s="11">
        <v>7.51E-2</v>
      </c>
      <c r="M911" s="11">
        <v>-0.1469</v>
      </c>
      <c r="N911">
        <v>60.25</v>
      </c>
      <c r="O911">
        <v>70.989999999999995</v>
      </c>
      <c r="P911">
        <v>3</v>
      </c>
      <c r="Q911" t="s">
        <v>37</v>
      </c>
      <c r="R911">
        <v>54.12</v>
      </c>
      <c r="S911">
        <v>7.51</v>
      </c>
      <c r="T911" s="4">
        <v>40.753</v>
      </c>
      <c r="U911" s="4">
        <v>42.7927719999999</v>
      </c>
      <c r="V911" t="str">
        <f>IF(Table1[[#This Row],[ai_disruption_intensity]]&gt;70,"High",
IF(Table1[[#This Row],[ai_disruption_intensity]]&gt;40,"Medium","Low"))</f>
        <v>Medium</v>
      </c>
      <c r="W911" t="str">
        <f>IF(Table1[[#This Row],[skill_gap_index]]&gt;70,"Large Gap",
IF(Table1[[#This Row],[skill_gap_index]]&gt;40,"Medium Gap","Small Gap"))</f>
        <v>Medium Gap</v>
      </c>
      <c r="X911" s="3" t="str">
        <f>IF(Table1[[#This Row],[automation_risk_percent]]&gt;0.7,"Highly Automatable",
IF(Table1[[#This Row],[automation_risk_percent]]&gt;0.4,"Moderate Risk","Safe Job"))</f>
        <v>Moderate Risk</v>
      </c>
    </row>
    <row r="912" spans="1:24" x14ac:dyDescent="0.3">
      <c r="A912">
        <v>3223</v>
      </c>
      <c r="B912" t="s">
        <v>22</v>
      </c>
      <c r="C912" t="s">
        <v>40</v>
      </c>
      <c r="D912" t="s">
        <v>24</v>
      </c>
      <c r="E912" s="1">
        <v>2026</v>
      </c>
      <c r="F912" s="11">
        <v>0.60189999999999999</v>
      </c>
      <c r="G912">
        <v>53.82</v>
      </c>
      <c r="H912">
        <v>77.02</v>
      </c>
      <c r="I912" s="2">
        <v>32352.43</v>
      </c>
      <c r="J912" s="2">
        <v>30563.19</v>
      </c>
      <c r="K912" s="2">
        <f>Table1[[#This Row],[Salary_after]]-Table1[[#This Row],[Salary_before]]</f>
        <v>-1789.2400000000016</v>
      </c>
      <c r="L912" s="11">
        <v>-5.5300000000000002E-2</v>
      </c>
      <c r="M912" s="11">
        <v>0.08</v>
      </c>
      <c r="N912">
        <v>75.67</v>
      </c>
      <c r="O912">
        <v>52.71</v>
      </c>
      <c r="P912">
        <v>3</v>
      </c>
      <c r="Q912" t="s">
        <v>37</v>
      </c>
      <c r="R912">
        <v>68.604999999999905</v>
      </c>
      <c r="S912">
        <v>5.53</v>
      </c>
      <c r="T912" s="4">
        <v>48.841000000000001</v>
      </c>
      <c r="U912" s="4">
        <v>31.726148999999999</v>
      </c>
      <c r="V912" t="str">
        <f>IF(Table1[[#This Row],[ai_disruption_intensity]]&gt;70,"High",
IF(Table1[[#This Row],[ai_disruption_intensity]]&gt;40,"Medium","Low"))</f>
        <v>Low</v>
      </c>
      <c r="W912" t="str">
        <f>IF(Table1[[#This Row],[skill_gap_index]]&gt;70,"Large Gap",
IF(Table1[[#This Row],[skill_gap_index]]&gt;40,"Medium Gap","Small Gap"))</f>
        <v>Large Gap</v>
      </c>
      <c r="X912" s="3" t="str">
        <f>IF(Table1[[#This Row],[automation_risk_percent]]&gt;0.7,"Highly Automatable",
IF(Table1[[#This Row],[automation_risk_percent]]&gt;0.4,"Moderate Risk","Safe Job"))</f>
        <v>Moderate Risk</v>
      </c>
    </row>
    <row r="913" spans="1:24" x14ac:dyDescent="0.3">
      <c r="A913">
        <v>3227</v>
      </c>
      <c r="B913" t="s">
        <v>18</v>
      </c>
      <c r="C913" t="s">
        <v>23</v>
      </c>
      <c r="D913" t="s">
        <v>42</v>
      </c>
      <c r="E913" s="1">
        <v>2026</v>
      </c>
      <c r="F913" s="11">
        <v>0.23680000000000001</v>
      </c>
      <c r="G913">
        <v>27.79</v>
      </c>
      <c r="H913">
        <v>31.58</v>
      </c>
      <c r="I913" s="2">
        <v>113062.35</v>
      </c>
      <c r="J913" s="2">
        <v>119509.77</v>
      </c>
      <c r="K913" s="2">
        <f>Table1[[#This Row],[Salary_after]]-Table1[[#This Row],[Salary_before]]</f>
        <v>6447.4199999999983</v>
      </c>
      <c r="L913" s="11">
        <v>5.7000000000000002E-2</v>
      </c>
      <c r="M913" s="11">
        <v>0.1255</v>
      </c>
      <c r="N913">
        <v>92.58</v>
      </c>
      <c r="O913">
        <v>86.43</v>
      </c>
      <c r="P913">
        <v>4</v>
      </c>
      <c r="Q913" t="s">
        <v>21</v>
      </c>
      <c r="R913">
        <v>27.63</v>
      </c>
      <c r="S913">
        <v>5.7</v>
      </c>
      <c r="T913" s="4">
        <v>20.655999999999999</v>
      </c>
      <c r="U913" s="4">
        <v>20.466623999999999</v>
      </c>
      <c r="V913" t="str">
        <f>IF(Table1[[#This Row],[ai_disruption_intensity]]&gt;70,"High",
IF(Table1[[#This Row],[ai_disruption_intensity]]&gt;40,"Medium","Low"))</f>
        <v>Low</v>
      </c>
      <c r="W913" t="str">
        <f>IF(Table1[[#This Row],[skill_gap_index]]&gt;70,"Large Gap",
IF(Table1[[#This Row],[skill_gap_index]]&gt;40,"Medium Gap","Small Gap"))</f>
        <v>Small Gap</v>
      </c>
      <c r="X913" s="3" t="str">
        <f>IF(Table1[[#This Row],[automation_risk_percent]]&gt;0.7,"Highly Automatable",
IF(Table1[[#This Row],[automation_risk_percent]]&gt;0.4,"Moderate Risk","Safe Job"))</f>
        <v>Safe Job</v>
      </c>
    </row>
    <row r="914" spans="1:24" x14ac:dyDescent="0.3">
      <c r="A914">
        <v>3228</v>
      </c>
      <c r="B914" t="s">
        <v>45</v>
      </c>
      <c r="C914" t="s">
        <v>27</v>
      </c>
      <c r="D914" t="s">
        <v>47</v>
      </c>
      <c r="E914" s="1">
        <v>2025</v>
      </c>
      <c r="F914" s="11">
        <v>0.79620000000000002</v>
      </c>
      <c r="G914">
        <v>69.510000000000005</v>
      </c>
      <c r="H914">
        <v>30.48</v>
      </c>
      <c r="I914" s="2">
        <v>106347.1</v>
      </c>
      <c r="J914" s="2">
        <v>109057.03</v>
      </c>
      <c r="K914" s="2">
        <f>Table1[[#This Row],[Salary_after]]-Table1[[#This Row],[Salary_before]]</f>
        <v>2709.929999999993</v>
      </c>
      <c r="L914" s="11">
        <v>2.5499999999999998E-2</v>
      </c>
      <c r="M914" s="11">
        <v>0.22159999999999999</v>
      </c>
      <c r="N914">
        <v>16.649999999999999</v>
      </c>
      <c r="O914">
        <v>84.16</v>
      </c>
      <c r="P914">
        <v>3</v>
      </c>
      <c r="Q914" t="s">
        <v>37</v>
      </c>
      <c r="R914">
        <v>55.05</v>
      </c>
      <c r="S914">
        <v>2.5499999999999998</v>
      </c>
      <c r="T914" s="4">
        <v>41.756999999999998</v>
      </c>
      <c r="U914" s="4">
        <v>67.008191999999994</v>
      </c>
      <c r="V914" t="str">
        <f>IF(Table1[[#This Row],[ai_disruption_intensity]]&gt;70,"High",
IF(Table1[[#This Row],[ai_disruption_intensity]]&gt;40,"Medium","Low"))</f>
        <v>Medium</v>
      </c>
      <c r="W914" t="str">
        <f>IF(Table1[[#This Row],[skill_gap_index]]&gt;70,"Large Gap",
IF(Table1[[#This Row],[skill_gap_index]]&gt;40,"Medium Gap","Small Gap"))</f>
        <v>Small Gap</v>
      </c>
      <c r="X914" s="3" t="str">
        <f>IF(Table1[[#This Row],[automation_risk_percent]]&gt;0.7,"Highly Automatable",
IF(Table1[[#This Row],[automation_risk_percent]]&gt;0.4,"Moderate Risk","Safe Job"))</f>
        <v>Highly Automatable</v>
      </c>
    </row>
    <row r="915" spans="1:24" x14ac:dyDescent="0.3">
      <c r="A915">
        <v>3229</v>
      </c>
      <c r="B915" t="s">
        <v>45</v>
      </c>
      <c r="C915" t="s">
        <v>27</v>
      </c>
      <c r="D915" t="s">
        <v>47</v>
      </c>
      <c r="E915" s="1">
        <v>2025</v>
      </c>
      <c r="F915" s="11">
        <v>0.77260000000000006</v>
      </c>
      <c r="G915">
        <v>74.34</v>
      </c>
      <c r="H915">
        <v>22.48</v>
      </c>
      <c r="I915" s="2">
        <v>32317.65</v>
      </c>
      <c r="J915" s="2">
        <v>34839.71</v>
      </c>
      <c r="K915" s="2">
        <f>Table1[[#This Row],[Salary_after]]-Table1[[#This Row],[Salary_before]]</f>
        <v>2522.0599999999977</v>
      </c>
      <c r="L915" s="11">
        <v>7.8E-2</v>
      </c>
      <c r="M915" s="11">
        <v>-5.2499999999999998E-2</v>
      </c>
      <c r="N915">
        <v>92.04</v>
      </c>
      <c r="O915">
        <v>9.35</v>
      </c>
      <c r="P915">
        <v>3</v>
      </c>
      <c r="Q915" t="s">
        <v>37</v>
      </c>
      <c r="R915">
        <v>49.87</v>
      </c>
      <c r="S915">
        <v>7.8</v>
      </c>
      <c r="T915" s="4">
        <v>39.988</v>
      </c>
      <c r="U915" s="4">
        <v>7.2238099999999896</v>
      </c>
      <c r="V915" t="str">
        <f>IF(Table1[[#This Row],[ai_disruption_intensity]]&gt;70,"High",
IF(Table1[[#This Row],[ai_disruption_intensity]]&gt;40,"Medium","Low"))</f>
        <v>Low</v>
      </c>
      <c r="W915" t="str">
        <f>IF(Table1[[#This Row],[skill_gap_index]]&gt;70,"Large Gap",
IF(Table1[[#This Row],[skill_gap_index]]&gt;40,"Medium Gap","Small Gap"))</f>
        <v>Small Gap</v>
      </c>
      <c r="X915" s="3" t="str">
        <f>IF(Table1[[#This Row],[automation_risk_percent]]&gt;0.7,"Highly Automatable",
IF(Table1[[#This Row],[automation_risk_percent]]&gt;0.4,"Moderate Risk","Safe Job"))</f>
        <v>Highly Automatable</v>
      </c>
    </row>
    <row r="916" spans="1:24" x14ac:dyDescent="0.3">
      <c r="A916">
        <v>3231</v>
      </c>
      <c r="B916" t="s">
        <v>39</v>
      </c>
      <c r="C916" t="s">
        <v>19</v>
      </c>
      <c r="D916" t="s">
        <v>32</v>
      </c>
      <c r="E916" s="1">
        <v>2026</v>
      </c>
      <c r="F916" s="11">
        <v>0.31120000000000003</v>
      </c>
      <c r="G916">
        <v>27.55</v>
      </c>
      <c r="H916">
        <v>18.73</v>
      </c>
      <c r="I916" s="2">
        <v>73064.73</v>
      </c>
      <c r="J916" s="2">
        <v>82491.25</v>
      </c>
      <c r="K916" s="2">
        <f>Table1[[#This Row],[Salary_after]]-Table1[[#This Row],[Salary_before]]</f>
        <v>9426.5200000000041</v>
      </c>
      <c r="L916" s="11">
        <v>0.129</v>
      </c>
      <c r="M916" s="11">
        <v>0.18280000000000002</v>
      </c>
      <c r="N916">
        <v>16.62</v>
      </c>
      <c r="O916">
        <v>28.74</v>
      </c>
      <c r="P916">
        <v>4</v>
      </c>
      <c r="Q916" t="s">
        <v>25</v>
      </c>
      <c r="R916">
        <v>24.925000000000001</v>
      </c>
      <c r="S916">
        <v>12.9</v>
      </c>
      <c r="T916" s="4">
        <v>21.937000000000001</v>
      </c>
      <c r="U916" s="4">
        <v>8.9438879999999994</v>
      </c>
      <c r="V916" t="str">
        <f>IF(Table1[[#This Row],[ai_disruption_intensity]]&gt;70,"High",
IF(Table1[[#This Row],[ai_disruption_intensity]]&gt;40,"Medium","Low"))</f>
        <v>Low</v>
      </c>
      <c r="W916" t="str">
        <f>IF(Table1[[#This Row],[skill_gap_index]]&gt;70,"Large Gap",
IF(Table1[[#This Row],[skill_gap_index]]&gt;40,"Medium Gap","Small Gap"))</f>
        <v>Small Gap</v>
      </c>
      <c r="X916" s="3" t="str">
        <f>IF(Table1[[#This Row],[automation_risk_percent]]&gt;0.7,"Highly Automatable",
IF(Table1[[#This Row],[automation_risk_percent]]&gt;0.4,"Moderate Risk","Safe Job"))</f>
        <v>Safe Job</v>
      </c>
    </row>
    <row r="917" spans="1:24" x14ac:dyDescent="0.3">
      <c r="A917">
        <v>3234</v>
      </c>
      <c r="B917" t="s">
        <v>41</v>
      </c>
      <c r="C917" t="s">
        <v>40</v>
      </c>
      <c r="D917" t="s">
        <v>28</v>
      </c>
      <c r="E917" s="1">
        <v>2026</v>
      </c>
      <c r="F917" s="11">
        <v>0.33200000000000002</v>
      </c>
      <c r="G917">
        <v>29.98</v>
      </c>
      <c r="H917">
        <v>38.729999999999997</v>
      </c>
      <c r="I917" s="2">
        <v>36264.57</v>
      </c>
      <c r="J917" s="2">
        <v>42437.19</v>
      </c>
      <c r="K917" s="2">
        <f>Table1[[#This Row],[Salary_after]]-Table1[[#This Row],[Salary_before]]</f>
        <v>6172.6200000000026</v>
      </c>
      <c r="L917" s="11">
        <v>0.17019999999999999</v>
      </c>
      <c r="M917" s="11">
        <v>3.49E-2</v>
      </c>
      <c r="N917">
        <v>56.24</v>
      </c>
      <c r="O917">
        <v>7.19</v>
      </c>
      <c r="P917">
        <v>2</v>
      </c>
      <c r="Q917" t="s">
        <v>25</v>
      </c>
      <c r="R917">
        <v>35.965000000000003</v>
      </c>
      <c r="S917">
        <v>17.02</v>
      </c>
      <c r="T917" s="4">
        <v>30.004999999999999</v>
      </c>
      <c r="U917" s="4">
        <v>2.3870800000000001</v>
      </c>
      <c r="V917" t="str">
        <f>IF(Table1[[#This Row],[ai_disruption_intensity]]&gt;70,"High",
IF(Table1[[#This Row],[ai_disruption_intensity]]&gt;40,"Medium","Low"))</f>
        <v>Low</v>
      </c>
      <c r="W917" t="str">
        <f>IF(Table1[[#This Row],[skill_gap_index]]&gt;70,"Large Gap",
IF(Table1[[#This Row],[skill_gap_index]]&gt;40,"Medium Gap","Small Gap"))</f>
        <v>Small Gap</v>
      </c>
      <c r="X917" s="3" t="str">
        <f>IF(Table1[[#This Row],[automation_risk_percent]]&gt;0.7,"Highly Automatable",
IF(Table1[[#This Row],[automation_risk_percent]]&gt;0.4,"Moderate Risk","Safe Job"))</f>
        <v>Safe Job</v>
      </c>
    </row>
    <row r="918" spans="1:24" x14ac:dyDescent="0.3">
      <c r="A918">
        <v>3235</v>
      </c>
      <c r="B918" t="s">
        <v>46</v>
      </c>
      <c r="C918" t="s">
        <v>23</v>
      </c>
      <c r="D918" t="s">
        <v>28</v>
      </c>
      <c r="E918" s="1">
        <v>2026</v>
      </c>
      <c r="F918" s="11">
        <v>0.30809999999999998</v>
      </c>
      <c r="G918">
        <v>33.39</v>
      </c>
      <c r="H918">
        <v>5.81</v>
      </c>
      <c r="I918" s="2">
        <v>37181.660000000003</v>
      </c>
      <c r="J918" s="2">
        <v>32790.49</v>
      </c>
      <c r="K918" s="2">
        <f>Table1[[#This Row],[Salary_after]]-Table1[[#This Row],[Salary_before]]</f>
        <v>-4391.1700000000055</v>
      </c>
      <c r="L918" s="11">
        <v>-0.11810000000000001</v>
      </c>
      <c r="M918" s="11">
        <v>-1E-4</v>
      </c>
      <c r="N918">
        <v>94.13</v>
      </c>
      <c r="O918">
        <v>58.13</v>
      </c>
      <c r="P918">
        <v>2</v>
      </c>
      <c r="Q918" t="s">
        <v>25</v>
      </c>
      <c r="R918">
        <v>18.309999999999999</v>
      </c>
      <c r="S918">
        <v>11.81</v>
      </c>
      <c r="T918" s="4">
        <v>17.61</v>
      </c>
      <c r="U918" s="4">
        <v>17.909852999999998</v>
      </c>
      <c r="V918" t="str">
        <f>IF(Table1[[#This Row],[ai_disruption_intensity]]&gt;70,"High",
IF(Table1[[#This Row],[ai_disruption_intensity]]&gt;40,"Medium","Low"))</f>
        <v>Low</v>
      </c>
      <c r="W918" t="str">
        <f>IF(Table1[[#This Row],[skill_gap_index]]&gt;70,"Large Gap",
IF(Table1[[#This Row],[skill_gap_index]]&gt;40,"Medium Gap","Small Gap"))</f>
        <v>Small Gap</v>
      </c>
      <c r="X918" s="3" t="str">
        <f>IF(Table1[[#This Row],[automation_risk_percent]]&gt;0.7,"Highly Automatable",
IF(Table1[[#This Row],[automation_risk_percent]]&gt;0.4,"Moderate Risk","Safe Job"))</f>
        <v>Safe Job</v>
      </c>
    </row>
    <row r="919" spans="1:24" x14ac:dyDescent="0.3">
      <c r="A919">
        <v>3236</v>
      </c>
      <c r="B919" t="s">
        <v>18</v>
      </c>
      <c r="C919" t="s">
        <v>23</v>
      </c>
      <c r="D919" t="s">
        <v>28</v>
      </c>
      <c r="E919" s="1">
        <v>2025</v>
      </c>
      <c r="F919" s="11">
        <v>0.30109999999999998</v>
      </c>
      <c r="G919">
        <v>32.58</v>
      </c>
      <c r="H919">
        <v>37.49</v>
      </c>
      <c r="I919" s="2">
        <v>45853.88</v>
      </c>
      <c r="J919" s="2">
        <v>48992.54</v>
      </c>
      <c r="K919" s="2">
        <f>Table1[[#This Row],[Salary_after]]-Table1[[#This Row],[Salary_before]]</f>
        <v>3138.6600000000035</v>
      </c>
      <c r="L919" s="11">
        <v>6.8400000000000002E-2</v>
      </c>
      <c r="M919" s="11">
        <v>-7.5999999999999998E-2</v>
      </c>
      <c r="N919">
        <v>14.67</v>
      </c>
      <c r="O919">
        <v>27.27</v>
      </c>
      <c r="P919">
        <v>2</v>
      </c>
      <c r="Q919" t="s">
        <v>25</v>
      </c>
      <c r="R919">
        <v>33.799999999999997</v>
      </c>
      <c r="S919">
        <v>6.84</v>
      </c>
      <c r="T919" s="4">
        <v>25.343</v>
      </c>
      <c r="U919" s="4">
        <v>8.2109969999999901</v>
      </c>
      <c r="V919" t="str">
        <f>IF(Table1[[#This Row],[ai_disruption_intensity]]&gt;70,"High",
IF(Table1[[#This Row],[ai_disruption_intensity]]&gt;40,"Medium","Low"))</f>
        <v>Low</v>
      </c>
      <c r="W919" t="str">
        <f>IF(Table1[[#This Row],[skill_gap_index]]&gt;70,"Large Gap",
IF(Table1[[#This Row],[skill_gap_index]]&gt;40,"Medium Gap","Small Gap"))</f>
        <v>Small Gap</v>
      </c>
      <c r="X919" s="3" t="str">
        <f>IF(Table1[[#This Row],[automation_risk_percent]]&gt;0.7,"Highly Automatable",
IF(Table1[[#This Row],[automation_risk_percent]]&gt;0.4,"Moderate Risk","Safe Job"))</f>
        <v>Safe Job</v>
      </c>
    </row>
    <row r="920" spans="1:24" x14ac:dyDescent="0.3">
      <c r="A920">
        <v>3237</v>
      </c>
      <c r="B920" t="s">
        <v>18</v>
      </c>
      <c r="C920" t="s">
        <v>27</v>
      </c>
      <c r="D920" t="s">
        <v>24</v>
      </c>
      <c r="E920" s="1">
        <v>2026</v>
      </c>
      <c r="F920" s="11">
        <v>0.24579999999999999</v>
      </c>
      <c r="G920">
        <v>21.64</v>
      </c>
      <c r="H920">
        <v>68.28</v>
      </c>
      <c r="I920" s="2">
        <v>129098.03</v>
      </c>
      <c r="J920" s="2">
        <v>140764.85999999999</v>
      </c>
      <c r="K920" s="2">
        <f>Table1[[#This Row],[Salary_after]]-Table1[[#This Row],[Salary_before]]</f>
        <v>11666.829999999987</v>
      </c>
      <c r="L920" s="11">
        <v>9.0399999999999994E-2</v>
      </c>
      <c r="M920" s="11">
        <v>0.18390000000000001</v>
      </c>
      <c r="N920">
        <v>92.48</v>
      </c>
      <c r="O920">
        <v>5.84</v>
      </c>
      <c r="P920">
        <v>4</v>
      </c>
      <c r="Q920" t="s">
        <v>21</v>
      </c>
      <c r="R920">
        <v>46.43</v>
      </c>
      <c r="S920">
        <v>9.0399999999999991</v>
      </c>
      <c r="T920" s="4">
        <v>33.027999999999999</v>
      </c>
      <c r="U920" s="4">
        <v>1.4354719999999901</v>
      </c>
      <c r="V920" t="str">
        <f>IF(Table1[[#This Row],[ai_disruption_intensity]]&gt;70,"High",
IF(Table1[[#This Row],[ai_disruption_intensity]]&gt;40,"Medium","Low"))</f>
        <v>Low</v>
      </c>
      <c r="W920" t="str">
        <f>IF(Table1[[#This Row],[skill_gap_index]]&gt;70,"Large Gap",
IF(Table1[[#This Row],[skill_gap_index]]&gt;40,"Medium Gap","Small Gap"))</f>
        <v>Medium Gap</v>
      </c>
      <c r="X920" s="3" t="str">
        <f>IF(Table1[[#This Row],[automation_risk_percent]]&gt;0.7,"Highly Automatable",
IF(Table1[[#This Row],[automation_risk_percent]]&gt;0.4,"Moderate Risk","Safe Job"))</f>
        <v>Safe Job</v>
      </c>
    </row>
    <row r="921" spans="1:24" x14ac:dyDescent="0.3">
      <c r="A921">
        <v>3242</v>
      </c>
      <c r="B921" t="s">
        <v>43</v>
      </c>
      <c r="C921" t="s">
        <v>34</v>
      </c>
      <c r="D921" t="s">
        <v>47</v>
      </c>
      <c r="E921" s="1">
        <v>2025</v>
      </c>
      <c r="F921" s="11">
        <v>0.48320000000000002</v>
      </c>
      <c r="G921">
        <v>39.24</v>
      </c>
      <c r="H921">
        <v>64.66</v>
      </c>
      <c r="I921" s="2">
        <v>106198.45</v>
      </c>
      <c r="J921" s="2">
        <v>101991.56</v>
      </c>
      <c r="K921" s="2">
        <f>Table1[[#This Row],[Salary_after]]-Table1[[#This Row],[Salary_before]]</f>
        <v>-4206.8899999999994</v>
      </c>
      <c r="L921" s="11">
        <v>-3.9599999999999996E-2</v>
      </c>
      <c r="M921" s="11">
        <v>-4.3400000000000001E-2</v>
      </c>
      <c r="N921">
        <v>62.73</v>
      </c>
      <c r="O921">
        <v>13.88</v>
      </c>
      <c r="P921">
        <v>4</v>
      </c>
      <c r="Q921" t="s">
        <v>25</v>
      </c>
      <c r="R921">
        <v>56.489999999999903</v>
      </c>
      <c r="S921">
        <v>3.96</v>
      </c>
      <c r="T921" s="4">
        <v>39.914000000000001</v>
      </c>
      <c r="U921" s="4">
        <v>6.7068159999999999</v>
      </c>
      <c r="V921" t="str">
        <f>IF(Table1[[#This Row],[ai_disruption_intensity]]&gt;70,"High",
IF(Table1[[#This Row],[ai_disruption_intensity]]&gt;40,"Medium","Low"))</f>
        <v>Low</v>
      </c>
      <c r="W921" t="str">
        <f>IF(Table1[[#This Row],[skill_gap_index]]&gt;70,"Large Gap",
IF(Table1[[#This Row],[skill_gap_index]]&gt;40,"Medium Gap","Small Gap"))</f>
        <v>Medium Gap</v>
      </c>
      <c r="X921" s="3" t="str">
        <f>IF(Table1[[#This Row],[automation_risk_percent]]&gt;0.7,"Highly Automatable",
IF(Table1[[#This Row],[automation_risk_percent]]&gt;0.4,"Moderate Risk","Safe Job"))</f>
        <v>Moderate Risk</v>
      </c>
    </row>
    <row r="922" spans="1:24" x14ac:dyDescent="0.3">
      <c r="A922">
        <v>3251</v>
      </c>
      <c r="B922" t="s">
        <v>22</v>
      </c>
      <c r="C922" t="s">
        <v>38</v>
      </c>
      <c r="D922" t="s">
        <v>42</v>
      </c>
      <c r="E922" s="1">
        <v>2025</v>
      </c>
      <c r="F922" s="11">
        <v>0.52029999999999998</v>
      </c>
      <c r="G922">
        <v>56.85</v>
      </c>
      <c r="H922">
        <v>5.66</v>
      </c>
      <c r="I922" s="2">
        <v>97230.65</v>
      </c>
      <c r="J922" s="2">
        <v>97028.54</v>
      </c>
      <c r="K922" s="2">
        <f>Table1[[#This Row],[Salary_after]]-Table1[[#This Row],[Salary_before]]</f>
        <v>-202.11000000000058</v>
      </c>
      <c r="L922" s="11">
        <v>-2.0999999999999999E-3</v>
      </c>
      <c r="M922" s="11">
        <v>0.21390000000000001</v>
      </c>
      <c r="N922">
        <v>63.42</v>
      </c>
      <c r="O922">
        <v>89.89</v>
      </c>
      <c r="P922">
        <v>5</v>
      </c>
      <c r="Q922" t="s">
        <v>25</v>
      </c>
      <c r="R922">
        <v>28.844999999999999</v>
      </c>
      <c r="S922">
        <v>0.21</v>
      </c>
      <c r="T922" s="4">
        <v>22.573</v>
      </c>
      <c r="U922" s="4">
        <v>46.769767000000002</v>
      </c>
      <c r="V922" t="str">
        <f>IF(Table1[[#This Row],[ai_disruption_intensity]]&gt;70,"High",
IF(Table1[[#This Row],[ai_disruption_intensity]]&gt;40,"Medium","Low"))</f>
        <v>Medium</v>
      </c>
      <c r="W922" t="str">
        <f>IF(Table1[[#This Row],[skill_gap_index]]&gt;70,"Large Gap",
IF(Table1[[#This Row],[skill_gap_index]]&gt;40,"Medium Gap","Small Gap"))</f>
        <v>Small Gap</v>
      </c>
      <c r="X922" s="3" t="str">
        <f>IF(Table1[[#This Row],[automation_risk_percent]]&gt;0.7,"Highly Automatable",
IF(Table1[[#This Row],[automation_risk_percent]]&gt;0.4,"Moderate Risk","Safe Job"))</f>
        <v>Moderate Risk</v>
      </c>
    </row>
    <row r="923" spans="1:24" x14ac:dyDescent="0.3">
      <c r="A923">
        <v>3254</v>
      </c>
      <c r="B923" t="s">
        <v>43</v>
      </c>
      <c r="C923" t="s">
        <v>30</v>
      </c>
      <c r="D923" t="s">
        <v>36</v>
      </c>
      <c r="E923" s="1">
        <v>2025</v>
      </c>
      <c r="F923" s="11">
        <v>0.30570000000000003</v>
      </c>
      <c r="G923">
        <v>24.7</v>
      </c>
      <c r="H923">
        <v>47.29</v>
      </c>
      <c r="I923" s="2">
        <v>122230.92</v>
      </c>
      <c r="J923" s="2">
        <v>125186.05</v>
      </c>
      <c r="K923" s="2">
        <f>Table1[[#This Row],[Salary_after]]-Table1[[#This Row],[Salary_before]]</f>
        <v>2955.1300000000047</v>
      </c>
      <c r="L923" s="11">
        <v>2.4199999999999999E-2</v>
      </c>
      <c r="M923" s="11">
        <v>7.7300000000000008E-2</v>
      </c>
      <c r="N923">
        <v>47.48</v>
      </c>
      <c r="O923">
        <v>73.040000000000006</v>
      </c>
      <c r="P923">
        <v>5</v>
      </c>
      <c r="Q923" t="s">
        <v>25</v>
      </c>
      <c r="R923">
        <v>38.93</v>
      </c>
      <c r="S923">
        <v>2.42</v>
      </c>
      <c r="T923" s="4">
        <v>27.140999999999998</v>
      </c>
      <c r="U923" s="4">
        <v>22.328327999999999</v>
      </c>
      <c r="V923" t="str">
        <f>IF(Table1[[#This Row],[ai_disruption_intensity]]&gt;70,"High",
IF(Table1[[#This Row],[ai_disruption_intensity]]&gt;40,"Medium","Low"))</f>
        <v>Low</v>
      </c>
      <c r="W923" t="str">
        <f>IF(Table1[[#This Row],[skill_gap_index]]&gt;70,"Large Gap",
IF(Table1[[#This Row],[skill_gap_index]]&gt;40,"Medium Gap","Small Gap"))</f>
        <v>Medium Gap</v>
      </c>
      <c r="X923" s="3" t="str">
        <f>IF(Table1[[#This Row],[automation_risk_percent]]&gt;0.7,"Highly Automatable",
IF(Table1[[#This Row],[automation_risk_percent]]&gt;0.4,"Moderate Risk","Safe Job"))</f>
        <v>Safe Job</v>
      </c>
    </row>
    <row r="924" spans="1:24" x14ac:dyDescent="0.3">
      <c r="A924">
        <v>3266</v>
      </c>
      <c r="B924" t="s">
        <v>43</v>
      </c>
      <c r="C924" t="s">
        <v>30</v>
      </c>
      <c r="D924" t="s">
        <v>32</v>
      </c>
      <c r="E924" s="1">
        <v>2026</v>
      </c>
      <c r="F924" s="11">
        <v>0.50309999999999999</v>
      </c>
      <c r="G924">
        <v>52.79</v>
      </c>
      <c r="H924">
        <v>82.27</v>
      </c>
      <c r="I924" s="2">
        <v>118374.21</v>
      </c>
      <c r="J924" s="2">
        <v>140349.39000000001</v>
      </c>
      <c r="K924" s="2">
        <f>Table1[[#This Row],[Salary_after]]-Table1[[#This Row],[Salary_before]]</f>
        <v>21975.180000000008</v>
      </c>
      <c r="L924" s="11">
        <v>0.18559999999999999</v>
      </c>
      <c r="M924" s="11">
        <v>0.126</v>
      </c>
      <c r="N924">
        <v>77.13</v>
      </c>
      <c r="O924">
        <v>13.31</v>
      </c>
      <c r="P924">
        <v>1</v>
      </c>
      <c r="Q924" t="s">
        <v>25</v>
      </c>
      <c r="R924">
        <v>66.289999999999907</v>
      </c>
      <c r="S924">
        <v>18.559999999999999</v>
      </c>
      <c r="T924" s="4">
        <v>50.372999999999998</v>
      </c>
      <c r="U924" s="4">
        <v>6.6962609999999998</v>
      </c>
      <c r="V924" t="str">
        <f>IF(Table1[[#This Row],[ai_disruption_intensity]]&gt;70,"High",
IF(Table1[[#This Row],[ai_disruption_intensity]]&gt;40,"Medium","Low"))</f>
        <v>Low</v>
      </c>
      <c r="W924" t="str">
        <f>IF(Table1[[#This Row],[skill_gap_index]]&gt;70,"Large Gap",
IF(Table1[[#This Row],[skill_gap_index]]&gt;40,"Medium Gap","Small Gap"))</f>
        <v>Large Gap</v>
      </c>
      <c r="X924" s="3" t="str">
        <f>IF(Table1[[#This Row],[automation_risk_percent]]&gt;0.7,"Highly Automatable",
IF(Table1[[#This Row],[automation_risk_percent]]&gt;0.4,"Moderate Risk","Safe Job"))</f>
        <v>Moderate Risk</v>
      </c>
    </row>
    <row r="925" spans="1:24" x14ac:dyDescent="0.3">
      <c r="A925">
        <v>3269</v>
      </c>
      <c r="B925" t="s">
        <v>44</v>
      </c>
      <c r="C925" t="s">
        <v>34</v>
      </c>
      <c r="D925" t="s">
        <v>47</v>
      </c>
      <c r="E925" s="1">
        <v>2026</v>
      </c>
      <c r="F925" s="11">
        <v>0.62950000000000006</v>
      </c>
      <c r="G925">
        <v>56.79</v>
      </c>
      <c r="H925">
        <v>17.53</v>
      </c>
      <c r="I925" s="2">
        <v>102134.69</v>
      </c>
      <c r="J925" s="2">
        <v>93955.32</v>
      </c>
      <c r="K925" s="2">
        <f>Table1[[#This Row],[Salary_after]]-Table1[[#This Row],[Salary_before]]</f>
        <v>-8179.3699999999953</v>
      </c>
      <c r="L925" s="11">
        <v>-8.0100000000000005E-2</v>
      </c>
      <c r="M925" s="11">
        <v>0.20649999999999999</v>
      </c>
      <c r="N925">
        <v>13.53</v>
      </c>
      <c r="O925">
        <v>90.87</v>
      </c>
      <c r="P925">
        <v>5</v>
      </c>
      <c r="Q925" t="s">
        <v>37</v>
      </c>
      <c r="R925">
        <v>40.24</v>
      </c>
      <c r="S925">
        <v>8.01</v>
      </c>
      <c r="T925" s="4">
        <v>32.841999999999999</v>
      </c>
      <c r="U925" s="4">
        <v>57.202665000000003</v>
      </c>
      <c r="V925" t="str">
        <f>IF(Table1[[#This Row],[ai_disruption_intensity]]&gt;70,"High",
IF(Table1[[#This Row],[ai_disruption_intensity]]&gt;40,"Medium","Low"))</f>
        <v>Medium</v>
      </c>
      <c r="W925" t="str">
        <f>IF(Table1[[#This Row],[skill_gap_index]]&gt;70,"Large Gap",
IF(Table1[[#This Row],[skill_gap_index]]&gt;40,"Medium Gap","Small Gap"))</f>
        <v>Small Gap</v>
      </c>
      <c r="X925" s="3" t="str">
        <f>IF(Table1[[#This Row],[automation_risk_percent]]&gt;0.7,"Highly Automatable",
IF(Table1[[#This Row],[automation_risk_percent]]&gt;0.4,"Moderate Risk","Safe Job"))</f>
        <v>Moderate Risk</v>
      </c>
    </row>
    <row r="926" spans="1:24" x14ac:dyDescent="0.3">
      <c r="A926">
        <v>3270</v>
      </c>
      <c r="B926" t="s">
        <v>41</v>
      </c>
      <c r="C926" t="s">
        <v>34</v>
      </c>
      <c r="D926" t="s">
        <v>42</v>
      </c>
      <c r="E926" s="1">
        <v>2026</v>
      </c>
      <c r="F926" s="11">
        <v>0.76150000000000007</v>
      </c>
      <c r="G926">
        <v>69.2</v>
      </c>
      <c r="H926">
        <v>49.69</v>
      </c>
      <c r="I926" s="2">
        <v>33335.129999999997</v>
      </c>
      <c r="J926" s="2">
        <v>34317.160000000003</v>
      </c>
      <c r="K926" s="2">
        <f>Table1[[#This Row],[Salary_after]]-Table1[[#This Row],[Salary_before]]</f>
        <v>982.03000000000611</v>
      </c>
      <c r="L926" s="11">
        <v>2.9500000000000002E-2</v>
      </c>
      <c r="M926" s="11">
        <v>-0.16010000000000002</v>
      </c>
      <c r="N926">
        <v>56.55</v>
      </c>
      <c r="O926">
        <v>20.82</v>
      </c>
      <c r="P926">
        <v>1</v>
      </c>
      <c r="Q926" t="s">
        <v>37</v>
      </c>
      <c r="R926">
        <v>62.92</v>
      </c>
      <c r="S926">
        <v>2.95</v>
      </c>
      <c r="T926" s="4">
        <v>46.252000000000002</v>
      </c>
      <c r="U926" s="4">
        <v>15.854430000000001</v>
      </c>
      <c r="V926" t="str">
        <f>IF(Table1[[#This Row],[ai_disruption_intensity]]&gt;70,"High",
IF(Table1[[#This Row],[ai_disruption_intensity]]&gt;40,"Medium","Low"))</f>
        <v>Low</v>
      </c>
      <c r="W926" t="str">
        <f>IF(Table1[[#This Row],[skill_gap_index]]&gt;70,"Large Gap",
IF(Table1[[#This Row],[skill_gap_index]]&gt;40,"Medium Gap","Small Gap"))</f>
        <v>Medium Gap</v>
      </c>
      <c r="X926" s="3" t="str">
        <f>IF(Table1[[#This Row],[automation_risk_percent]]&gt;0.7,"Highly Automatable",
IF(Table1[[#This Row],[automation_risk_percent]]&gt;0.4,"Moderate Risk","Safe Job"))</f>
        <v>Highly Automatable</v>
      </c>
    </row>
    <row r="927" spans="1:24" x14ac:dyDescent="0.3">
      <c r="A927">
        <v>3273</v>
      </c>
      <c r="B927" t="s">
        <v>43</v>
      </c>
      <c r="C927" t="s">
        <v>33</v>
      </c>
      <c r="D927" t="s">
        <v>28</v>
      </c>
      <c r="E927" s="1">
        <v>2025</v>
      </c>
      <c r="F927" s="11">
        <v>0.47009999999999996</v>
      </c>
      <c r="G927">
        <v>52.42</v>
      </c>
      <c r="H927">
        <v>75.3</v>
      </c>
      <c r="I927" s="2">
        <v>140614.93</v>
      </c>
      <c r="J927" s="2">
        <v>148540.47</v>
      </c>
      <c r="K927" s="2">
        <f>Table1[[#This Row],[Salary_after]]-Table1[[#This Row],[Salary_before]]</f>
        <v>7925.5400000000081</v>
      </c>
      <c r="L927" s="11">
        <v>5.6399999999999999E-2</v>
      </c>
      <c r="M927" s="11">
        <v>8.0000000000000004E-4</v>
      </c>
      <c r="N927">
        <v>91.5</v>
      </c>
      <c r="O927">
        <v>39.28</v>
      </c>
      <c r="P927">
        <v>3</v>
      </c>
      <c r="Q927" t="s">
        <v>25</v>
      </c>
      <c r="R927">
        <v>61.155000000000001</v>
      </c>
      <c r="S927">
        <v>5.64</v>
      </c>
      <c r="T927" s="4">
        <v>43.085999999999999</v>
      </c>
      <c r="U927" s="4">
        <v>18.465527999999999</v>
      </c>
      <c r="V927" t="str">
        <f>IF(Table1[[#This Row],[ai_disruption_intensity]]&gt;70,"High",
IF(Table1[[#This Row],[ai_disruption_intensity]]&gt;40,"Medium","Low"))</f>
        <v>Low</v>
      </c>
      <c r="W927" t="str">
        <f>IF(Table1[[#This Row],[skill_gap_index]]&gt;70,"Large Gap",
IF(Table1[[#This Row],[skill_gap_index]]&gt;40,"Medium Gap","Small Gap"))</f>
        <v>Large Gap</v>
      </c>
      <c r="X927" s="3" t="str">
        <f>IF(Table1[[#This Row],[automation_risk_percent]]&gt;0.7,"Highly Automatable",
IF(Table1[[#This Row],[automation_risk_percent]]&gt;0.4,"Moderate Risk","Safe Job"))</f>
        <v>Moderate Risk</v>
      </c>
    </row>
    <row r="928" spans="1:24" x14ac:dyDescent="0.3">
      <c r="A928">
        <v>3275</v>
      </c>
      <c r="B928" t="s">
        <v>22</v>
      </c>
      <c r="C928" t="s">
        <v>38</v>
      </c>
      <c r="D928" t="s">
        <v>28</v>
      </c>
      <c r="E928" s="1">
        <v>2025</v>
      </c>
      <c r="F928" s="11">
        <v>0.49630000000000002</v>
      </c>
      <c r="G928">
        <v>56.1</v>
      </c>
      <c r="H928">
        <v>45.7</v>
      </c>
      <c r="I928" s="2">
        <v>127750.38</v>
      </c>
      <c r="J928" s="2">
        <v>136744.67000000001</v>
      </c>
      <c r="K928" s="2">
        <f>Table1[[#This Row],[Salary_after]]-Table1[[#This Row],[Salary_before]]</f>
        <v>8994.2900000000081</v>
      </c>
      <c r="L928" s="11">
        <v>7.0400000000000004E-2</v>
      </c>
      <c r="M928" s="11">
        <v>-0.1263</v>
      </c>
      <c r="N928">
        <v>28.76</v>
      </c>
      <c r="O928">
        <v>38.54</v>
      </c>
      <c r="P928">
        <v>4</v>
      </c>
      <c r="Q928" t="s">
        <v>25</v>
      </c>
      <c r="R928">
        <v>47.664999999999999</v>
      </c>
      <c r="S928">
        <v>7.04</v>
      </c>
      <c r="T928" s="4">
        <v>35.673999999999999</v>
      </c>
      <c r="U928" s="4">
        <v>19.127402</v>
      </c>
      <c r="V928" t="str">
        <f>IF(Table1[[#This Row],[ai_disruption_intensity]]&gt;70,"High",
IF(Table1[[#This Row],[ai_disruption_intensity]]&gt;40,"Medium","Low"))</f>
        <v>Low</v>
      </c>
      <c r="W928" t="str">
        <f>IF(Table1[[#This Row],[skill_gap_index]]&gt;70,"Large Gap",
IF(Table1[[#This Row],[skill_gap_index]]&gt;40,"Medium Gap","Small Gap"))</f>
        <v>Medium Gap</v>
      </c>
      <c r="X928" s="3" t="str">
        <f>IF(Table1[[#This Row],[automation_risk_percent]]&gt;0.7,"Highly Automatable",
IF(Table1[[#This Row],[automation_risk_percent]]&gt;0.4,"Moderate Risk","Safe Job"))</f>
        <v>Moderate Risk</v>
      </c>
    </row>
    <row r="929" spans="1:24" x14ac:dyDescent="0.3">
      <c r="A929">
        <v>3279</v>
      </c>
      <c r="B929" t="s">
        <v>44</v>
      </c>
      <c r="C929" t="s">
        <v>34</v>
      </c>
      <c r="D929" t="s">
        <v>42</v>
      </c>
      <c r="E929" s="1">
        <v>2025</v>
      </c>
      <c r="F929" s="11">
        <v>0.41110000000000002</v>
      </c>
      <c r="G929">
        <v>47.68</v>
      </c>
      <c r="H929">
        <v>35.85</v>
      </c>
      <c r="I929" s="2">
        <v>87661.56</v>
      </c>
      <c r="J929" s="2">
        <v>80841.41</v>
      </c>
      <c r="K929" s="2">
        <f>Table1[[#This Row],[Salary_after]]-Table1[[#This Row],[Salary_before]]</f>
        <v>-6820.1499999999942</v>
      </c>
      <c r="L929" s="11">
        <v>-7.7800000000000008E-2</v>
      </c>
      <c r="M929" s="11">
        <v>-6.3899999999999998E-2</v>
      </c>
      <c r="N929">
        <v>41.77</v>
      </c>
      <c r="O929">
        <v>91.27</v>
      </c>
      <c r="P929">
        <v>5</v>
      </c>
      <c r="Q929" t="s">
        <v>25</v>
      </c>
      <c r="R929">
        <v>38.479999999999997</v>
      </c>
      <c r="S929">
        <v>7.78</v>
      </c>
      <c r="T929" s="4">
        <v>29.532999999999902</v>
      </c>
      <c r="U929" s="4">
        <v>37.521096999999997</v>
      </c>
      <c r="V929" t="str">
        <f>IF(Table1[[#This Row],[ai_disruption_intensity]]&gt;70,"High",
IF(Table1[[#This Row],[ai_disruption_intensity]]&gt;40,"Medium","Low"))</f>
        <v>Low</v>
      </c>
      <c r="W929" t="str">
        <f>IF(Table1[[#This Row],[skill_gap_index]]&gt;70,"Large Gap",
IF(Table1[[#This Row],[skill_gap_index]]&gt;40,"Medium Gap","Small Gap"))</f>
        <v>Small Gap</v>
      </c>
      <c r="X929" s="3" t="str">
        <f>IF(Table1[[#This Row],[automation_risk_percent]]&gt;0.7,"Highly Automatable",
IF(Table1[[#This Row],[automation_risk_percent]]&gt;0.4,"Moderate Risk","Safe Job"))</f>
        <v>Moderate Risk</v>
      </c>
    </row>
    <row r="930" spans="1:24" x14ac:dyDescent="0.3">
      <c r="A930">
        <v>3284</v>
      </c>
      <c r="B930" t="s">
        <v>46</v>
      </c>
      <c r="C930" t="s">
        <v>30</v>
      </c>
      <c r="D930" t="s">
        <v>28</v>
      </c>
      <c r="E930" s="1">
        <v>2025</v>
      </c>
      <c r="F930" s="11">
        <v>0.38200000000000001</v>
      </c>
      <c r="G930">
        <v>34.01</v>
      </c>
      <c r="H930">
        <v>82.14</v>
      </c>
      <c r="I930" s="2">
        <v>35147.51</v>
      </c>
      <c r="J930" s="2">
        <v>35319.14</v>
      </c>
      <c r="K930" s="2">
        <f>Table1[[#This Row],[Salary_after]]-Table1[[#This Row],[Salary_before]]</f>
        <v>171.62999999999738</v>
      </c>
      <c r="L930" s="11">
        <v>4.8999999999999998E-3</v>
      </c>
      <c r="M930" s="11">
        <v>-4.3299999999999998E-2</v>
      </c>
      <c r="N930">
        <v>63</v>
      </c>
      <c r="O930">
        <v>72.989999999999995</v>
      </c>
      <c r="P930">
        <v>3</v>
      </c>
      <c r="Q930" t="s">
        <v>25</v>
      </c>
      <c r="R930">
        <v>60.17</v>
      </c>
      <c r="S930">
        <v>0.49</v>
      </c>
      <c r="T930" s="4">
        <v>40.068999999999903</v>
      </c>
      <c r="U930" s="4">
        <v>27.882179999999899</v>
      </c>
      <c r="V930" t="str">
        <f>IF(Table1[[#This Row],[ai_disruption_intensity]]&gt;70,"High",
IF(Table1[[#This Row],[ai_disruption_intensity]]&gt;40,"Medium","Low"))</f>
        <v>Low</v>
      </c>
      <c r="W930" t="str">
        <f>IF(Table1[[#This Row],[skill_gap_index]]&gt;70,"Large Gap",
IF(Table1[[#This Row],[skill_gap_index]]&gt;40,"Medium Gap","Small Gap"))</f>
        <v>Large Gap</v>
      </c>
      <c r="X930" s="3" t="str">
        <f>IF(Table1[[#This Row],[automation_risk_percent]]&gt;0.7,"Highly Automatable",
IF(Table1[[#This Row],[automation_risk_percent]]&gt;0.4,"Moderate Risk","Safe Job"))</f>
        <v>Safe Job</v>
      </c>
    </row>
    <row r="931" spans="1:24" x14ac:dyDescent="0.3">
      <c r="A931">
        <v>3285</v>
      </c>
      <c r="B931" t="s">
        <v>18</v>
      </c>
      <c r="C931" t="s">
        <v>33</v>
      </c>
      <c r="D931" t="s">
        <v>35</v>
      </c>
      <c r="E931" s="1">
        <v>2026</v>
      </c>
      <c r="F931" s="11">
        <v>0.28149999999999997</v>
      </c>
      <c r="G931">
        <v>32</v>
      </c>
      <c r="H931">
        <v>95.31</v>
      </c>
      <c r="I931" s="2">
        <v>89884.72</v>
      </c>
      <c r="J931" s="2">
        <v>91258</v>
      </c>
      <c r="K931" s="2">
        <f>Table1[[#This Row],[Salary_after]]-Table1[[#This Row],[Salary_before]]</f>
        <v>1373.2799999999988</v>
      </c>
      <c r="L931" s="11">
        <v>1.5300000000000001E-2</v>
      </c>
      <c r="M931" s="11">
        <v>0.2102</v>
      </c>
      <c r="N931">
        <v>16.25</v>
      </c>
      <c r="O931">
        <v>32.61</v>
      </c>
      <c r="P931">
        <v>2</v>
      </c>
      <c r="Q931" t="s">
        <v>21</v>
      </c>
      <c r="R931">
        <v>61.73</v>
      </c>
      <c r="S931">
        <v>1.53</v>
      </c>
      <c r="T931" s="4">
        <v>40.311999999999998</v>
      </c>
      <c r="U931" s="4">
        <v>9.1797149999999998</v>
      </c>
      <c r="V931" t="str">
        <f>IF(Table1[[#This Row],[ai_disruption_intensity]]&gt;70,"High",
IF(Table1[[#This Row],[ai_disruption_intensity]]&gt;40,"Medium","Low"))</f>
        <v>Low</v>
      </c>
      <c r="W931" t="str">
        <f>IF(Table1[[#This Row],[skill_gap_index]]&gt;70,"Large Gap",
IF(Table1[[#This Row],[skill_gap_index]]&gt;40,"Medium Gap","Small Gap"))</f>
        <v>Large Gap</v>
      </c>
      <c r="X931" s="3" t="str">
        <f>IF(Table1[[#This Row],[automation_risk_percent]]&gt;0.7,"Highly Automatable",
IF(Table1[[#This Row],[automation_risk_percent]]&gt;0.4,"Moderate Risk","Safe Job"))</f>
        <v>Safe Job</v>
      </c>
    </row>
    <row r="932" spans="1:24" x14ac:dyDescent="0.3">
      <c r="A932">
        <v>3286</v>
      </c>
      <c r="B932" t="s">
        <v>39</v>
      </c>
      <c r="C932" t="s">
        <v>34</v>
      </c>
      <c r="D932" t="s">
        <v>42</v>
      </c>
      <c r="E932" s="1">
        <v>2026</v>
      </c>
      <c r="F932" s="11">
        <v>0.16120000000000001</v>
      </c>
      <c r="G932">
        <v>19.28</v>
      </c>
      <c r="H932">
        <v>22.9</v>
      </c>
      <c r="I932" s="2">
        <v>106308.05</v>
      </c>
      <c r="J932" s="2">
        <v>116134.07</v>
      </c>
      <c r="K932" s="2">
        <f>Table1[[#This Row],[Salary_after]]-Table1[[#This Row],[Salary_before]]</f>
        <v>9826.0200000000041</v>
      </c>
      <c r="L932" s="11">
        <v>9.2399999999999996E-2</v>
      </c>
      <c r="M932" s="11">
        <v>-8.0100000000000005E-2</v>
      </c>
      <c r="N932">
        <v>28.94</v>
      </c>
      <c r="O932">
        <v>78.53</v>
      </c>
      <c r="P932">
        <v>2</v>
      </c>
      <c r="Q932" t="s">
        <v>21</v>
      </c>
      <c r="R932">
        <v>19.509999999999899</v>
      </c>
      <c r="S932">
        <v>9.24</v>
      </c>
      <c r="T932" s="4">
        <v>16.09</v>
      </c>
      <c r="U932" s="4">
        <v>12.659036</v>
      </c>
      <c r="V932" t="str">
        <f>IF(Table1[[#This Row],[ai_disruption_intensity]]&gt;70,"High",
IF(Table1[[#This Row],[ai_disruption_intensity]]&gt;40,"Medium","Low"))</f>
        <v>Low</v>
      </c>
      <c r="W932" t="str">
        <f>IF(Table1[[#This Row],[skill_gap_index]]&gt;70,"Large Gap",
IF(Table1[[#This Row],[skill_gap_index]]&gt;40,"Medium Gap","Small Gap"))</f>
        <v>Small Gap</v>
      </c>
      <c r="X932" s="3" t="str">
        <f>IF(Table1[[#This Row],[automation_risk_percent]]&gt;0.7,"Highly Automatable",
IF(Table1[[#This Row],[automation_risk_percent]]&gt;0.4,"Moderate Risk","Safe Job"))</f>
        <v>Safe Job</v>
      </c>
    </row>
    <row r="933" spans="1:24" x14ac:dyDescent="0.3">
      <c r="A933">
        <v>3289</v>
      </c>
      <c r="B933" t="s">
        <v>26</v>
      </c>
      <c r="C933" t="s">
        <v>27</v>
      </c>
      <c r="D933" t="s">
        <v>32</v>
      </c>
      <c r="E933" s="1">
        <v>2026</v>
      </c>
      <c r="F933" s="11">
        <v>0.30549999999999999</v>
      </c>
      <c r="G933">
        <v>29.41</v>
      </c>
      <c r="H933">
        <v>23.23</v>
      </c>
      <c r="I933" s="2">
        <v>33651.120000000003</v>
      </c>
      <c r="J933" s="2">
        <v>32141.9</v>
      </c>
      <c r="K933" s="2">
        <f>Table1[[#This Row],[Salary_after]]-Table1[[#This Row],[Salary_before]]</f>
        <v>-1509.2200000000012</v>
      </c>
      <c r="L933" s="11">
        <v>-4.4800000000000006E-2</v>
      </c>
      <c r="M933" s="11">
        <v>0.13980000000000001</v>
      </c>
      <c r="N933">
        <v>71.3</v>
      </c>
      <c r="O933">
        <v>94.76</v>
      </c>
      <c r="P933">
        <v>5</v>
      </c>
      <c r="Q933" t="s">
        <v>25</v>
      </c>
      <c r="R933">
        <v>26.89</v>
      </c>
      <c r="S933">
        <v>4.4800000000000004</v>
      </c>
      <c r="T933" s="4">
        <v>20.533000000000001</v>
      </c>
      <c r="U933" s="4">
        <v>28.949179999999998</v>
      </c>
      <c r="V933" t="str">
        <f>IF(Table1[[#This Row],[ai_disruption_intensity]]&gt;70,"High",
IF(Table1[[#This Row],[ai_disruption_intensity]]&gt;40,"Medium","Low"))</f>
        <v>Low</v>
      </c>
      <c r="W933" t="str">
        <f>IF(Table1[[#This Row],[skill_gap_index]]&gt;70,"Large Gap",
IF(Table1[[#This Row],[skill_gap_index]]&gt;40,"Medium Gap","Small Gap"))</f>
        <v>Small Gap</v>
      </c>
      <c r="X933" s="3" t="str">
        <f>IF(Table1[[#This Row],[automation_risk_percent]]&gt;0.7,"Highly Automatable",
IF(Table1[[#This Row],[automation_risk_percent]]&gt;0.4,"Moderate Risk","Safe Job"))</f>
        <v>Safe Job</v>
      </c>
    </row>
    <row r="934" spans="1:24" x14ac:dyDescent="0.3">
      <c r="A934">
        <v>3291</v>
      </c>
      <c r="B934" t="s">
        <v>18</v>
      </c>
      <c r="C934" t="s">
        <v>27</v>
      </c>
      <c r="D934" t="s">
        <v>24</v>
      </c>
      <c r="E934" s="1">
        <v>2025</v>
      </c>
      <c r="F934" s="11">
        <v>0.59960000000000002</v>
      </c>
      <c r="G934">
        <v>54.76</v>
      </c>
      <c r="H934">
        <v>59.96</v>
      </c>
      <c r="I934" s="2">
        <v>81623.27</v>
      </c>
      <c r="J934" s="2">
        <v>81851.820000000007</v>
      </c>
      <c r="K934" s="2">
        <f>Table1[[#This Row],[Salary_after]]-Table1[[#This Row],[Salary_before]]</f>
        <v>228.55000000000291</v>
      </c>
      <c r="L934" s="11">
        <v>2.8000000000000004E-3</v>
      </c>
      <c r="M934" s="11">
        <v>-5.6100000000000004E-2</v>
      </c>
      <c r="N934">
        <v>40.26</v>
      </c>
      <c r="O934">
        <v>34.21</v>
      </c>
      <c r="P934">
        <v>4</v>
      </c>
      <c r="Q934" t="s">
        <v>25</v>
      </c>
      <c r="R934">
        <v>59.96</v>
      </c>
      <c r="S934">
        <v>0.28000000000000003</v>
      </c>
      <c r="T934" s="4">
        <v>42.055999999999997</v>
      </c>
      <c r="U934" s="4">
        <v>20.512315999999998</v>
      </c>
      <c r="V934" t="str">
        <f>IF(Table1[[#This Row],[ai_disruption_intensity]]&gt;70,"High",
IF(Table1[[#This Row],[ai_disruption_intensity]]&gt;40,"Medium","Low"))</f>
        <v>Low</v>
      </c>
      <c r="W934" t="str">
        <f>IF(Table1[[#This Row],[skill_gap_index]]&gt;70,"Large Gap",
IF(Table1[[#This Row],[skill_gap_index]]&gt;40,"Medium Gap","Small Gap"))</f>
        <v>Medium Gap</v>
      </c>
      <c r="X934" s="3" t="str">
        <f>IF(Table1[[#This Row],[automation_risk_percent]]&gt;0.7,"Highly Automatable",
IF(Table1[[#This Row],[automation_risk_percent]]&gt;0.4,"Moderate Risk","Safe Job"))</f>
        <v>Moderate Risk</v>
      </c>
    </row>
    <row r="935" spans="1:24" x14ac:dyDescent="0.3">
      <c r="A935">
        <v>3293</v>
      </c>
      <c r="B935" t="s">
        <v>43</v>
      </c>
      <c r="C935" t="s">
        <v>33</v>
      </c>
      <c r="D935" t="s">
        <v>47</v>
      </c>
      <c r="E935" s="1">
        <v>2026</v>
      </c>
      <c r="F935" s="11">
        <v>0.11599999999999999</v>
      </c>
      <c r="G935">
        <v>11.28</v>
      </c>
      <c r="H935">
        <v>42.67</v>
      </c>
      <c r="I935" s="2">
        <v>52265.45</v>
      </c>
      <c r="J935" s="2">
        <v>50097.85</v>
      </c>
      <c r="K935" s="2">
        <f>Table1[[#This Row],[Salary_after]]-Table1[[#This Row],[Salary_before]]</f>
        <v>-2167.5999999999985</v>
      </c>
      <c r="L935" s="11">
        <v>-4.1500000000000002E-2</v>
      </c>
      <c r="M935" s="11">
        <v>8.1799999999999998E-2</v>
      </c>
      <c r="N935">
        <v>92.38</v>
      </c>
      <c r="O935">
        <v>58.76</v>
      </c>
      <c r="P935">
        <v>4</v>
      </c>
      <c r="Q935" t="s">
        <v>21</v>
      </c>
      <c r="R935">
        <v>27.135000000000002</v>
      </c>
      <c r="S935">
        <v>4.1500000000000004</v>
      </c>
      <c r="T935" s="4">
        <v>18.686</v>
      </c>
      <c r="U935" s="4">
        <v>6.81616</v>
      </c>
      <c r="V935" t="str">
        <f>IF(Table1[[#This Row],[ai_disruption_intensity]]&gt;70,"High",
IF(Table1[[#This Row],[ai_disruption_intensity]]&gt;40,"Medium","Low"))</f>
        <v>Low</v>
      </c>
      <c r="W935" t="str">
        <f>IF(Table1[[#This Row],[skill_gap_index]]&gt;70,"Large Gap",
IF(Table1[[#This Row],[skill_gap_index]]&gt;40,"Medium Gap","Small Gap"))</f>
        <v>Medium Gap</v>
      </c>
      <c r="X935" s="3" t="str">
        <f>IF(Table1[[#This Row],[automation_risk_percent]]&gt;0.7,"Highly Automatable",
IF(Table1[[#This Row],[automation_risk_percent]]&gt;0.4,"Moderate Risk","Safe Job"))</f>
        <v>Safe Job</v>
      </c>
    </row>
    <row r="936" spans="1:24" x14ac:dyDescent="0.3">
      <c r="A936">
        <v>3297</v>
      </c>
      <c r="B936" t="s">
        <v>45</v>
      </c>
      <c r="C936" t="s">
        <v>19</v>
      </c>
      <c r="D936" t="s">
        <v>42</v>
      </c>
      <c r="E936" s="1">
        <v>2026</v>
      </c>
      <c r="F936" s="11">
        <v>0.26450000000000001</v>
      </c>
      <c r="G936">
        <v>28.24</v>
      </c>
      <c r="H936">
        <v>84.16</v>
      </c>
      <c r="I936" s="2">
        <v>58041.63</v>
      </c>
      <c r="J936" s="2">
        <v>63121.91</v>
      </c>
      <c r="K936" s="2">
        <f>Table1[[#This Row],[Salary_after]]-Table1[[#This Row],[Salary_before]]</f>
        <v>5080.2800000000061</v>
      </c>
      <c r="L936" s="11">
        <v>8.7499999999999994E-2</v>
      </c>
      <c r="M936" s="11">
        <v>3.0699999999999998E-2</v>
      </c>
      <c r="N936">
        <v>91.27</v>
      </c>
      <c r="O936">
        <v>12.77</v>
      </c>
      <c r="P936">
        <v>1</v>
      </c>
      <c r="Q936" t="s">
        <v>21</v>
      </c>
      <c r="R936">
        <v>55.305</v>
      </c>
      <c r="S936">
        <v>8.75</v>
      </c>
      <c r="T936" s="4">
        <v>38.452999999999903</v>
      </c>
      <c r="U936" s="4">
        <v>3.3776649999999999</v>
      </c>
      <c r="V936" t="str">
        <f>IF(Table1[[#This Row],[ai_disruption_intensity]]&gt;70,"High",
IF(Table1[[#This Row],[ai_disruption_intensity]]&gt;40,"Medium","Low"))</f>
        <v>Low</v>
      </c>
      <c r="W936" t="str">
        <f>IF(Table1[[#This Row],[skill_gap_index]]&gt;70,"Large Gap",
IF(Table1[[#This Row],[skill_gap_index]]&gt;40,"Medium Gap","Small Gap"))</f>
        <v>Large Gap</v>
      </c>
      <c r="X936" s="3" t="str">
        <f>IF(Table1[[#This Row],[automation_risk_percent]]&gt;0.7,"Highly Automatable",
IF(Table1[[#This Row],[automation_risk_percent]]&gt;0.4,"Moderate Risk","Safe Job"))</f>
        <v>Safe Job</v>
      </c>
    </row>
    <row r="937" spans="1:24" x14ac:dyDescent="0.3">
      <c r="A937">
        <v>3300</v>
      </c>
      <c r="B937" t="s">
        <v>43</v>
      </c>
      <c r="C937" t="s">
        <v>19</v>
      </c>
      <c r="D937" t="s">
        <v>42</v>
      </c>
      <c r="E937" s="1">
        <v>2025</v>
      </c>
      <c r="F937" s="11">
        <v>0.37280000000000002</v>
      </c>
      <c r="G937">
        <v>37.53</v>
      </c>
      <c r="H937">
        <v>1.0900000000000001</v>
      </c>
      <c r="I937" s="2">
        <v>124746.07</v>
      </c>
      <c r="J937" s="2">
        <v>134258.09</v>
      </c>
      <c r="K937" s="2">
        <f>Table1[[#This Row],[Salary_after]]-Table1[[#This Row],[Salary_before]]</f>
        <v>9512.0199999999895</v>
      </c>
      <c r="L937" s="11">
        <v>7.6299999999999993E-2</v>
      </c>
      <c r="M937" s="11">
        <v>-7.9000000000000008E-3</v>
      </c>
      <c r="N937">
        <v>33.909999999999997</v>
      </c>
      <c r="O937">
        <v>1.08</v>
      </c>
      <c r="P937">
        <v>3</v>
      </c>
      <c r="Q937" t="s">
        <v>25</v>
      </c>
      <c r="R937">
        <v>19.184999999999999</v>
      </c>
      <c r="S937">
        <v>7.63</v>
      </c>
      <c r="T937" s="4">
        <v>17.527999999999999</v>
      </c>
      <c r="U937" s="4">
        <v>0.40262399999999998</v>
      </c>
      <c r="V937" t="str">
        <f>IF(Table1[[#This Row],[ai_disruption_intensity]]&gt;70,"High",
IF(Table1[[#This Row],[ai_disruption_intensity]]&gt;40,"Medium","Low"))</f>
        <v>Low</v>
      </c>
      <c r="W937" t="str">
        <f>IF(Table1[[#This Row],[skill_gap_index]]&gt;70,"Large Gap",
IF(Table1[[#This Row],[skill_gap_index]]&gt;40,"Medium Gap","Small Gap"))</f>
        <v>Small Gap</v>
      </c>
      <c r="X937" s="3" t="str">
        <f>IF(Table1[[#This Row],[automation_risk_percent]]&gt;0.7,"Highly Automatable",
IF(Table1[[#This Row],[automation_risk_percent]]&gt;0.4,"Moderate Risk","Safe Job"))</f>
        <v>Safe Job</v>
      </c>
    </row>
    <row r="938" spans="1:24" x14ac:dyDescent="0.3">
      <c r="A938">
        <v>3301</v>
      </c>
      <c r="B938" t="s">
        <v>22</v>
      </c>
      <c r="C938" t="s">
        <v>23</v>
      </c>
      <c r="D938" t="s">
        <v>35</v>
      </c>
      <c r="E938" s="1">
        <v>2026</v>
      </c>
      <c r="F938" s="11">
        <v>0.2084</v>
      </c>
      <c r="G938">
        <v>24.89</v>
      </c>
      <c r="H938">
        <v>31.98</v>
      </c>
      <c r="I938" s="2">
        <v>43058.87</v>
      </c>
      <c r="J938" s="2">
        <v>41521.65</v>
      </c>
      <c r="K938" s="2">
        <f>Table1[[#This Row],[Salary_after]]-Table1[[#This Row],[Salary_before]]</f>
        <v>-1537.2200000000012</v>
      </c>
      <c r="L938" s="11">
        <v>-3.5699999999999996E-2</v>
      </c>
      <c r="M938" s="11">
        <v>-2.18E-2</v>
      </c>
      <c r="N938">
        <v>13.39</v>
      </c>
      <c r="O938">
        <v>51.15</v>
      </c>
      <c r="P938">
        <v>4</v>
      </c>
      <c r="Q938" t="s">
        <v>21</v>
      </c>
      <c r="R938">
        <v>26.41</v>
      </c>
      <c r="S938">
        <v>3.57</v>
      </c>
      <c r="T938" s="4">
        <v>19.001000000000001</v>
      </c>
      <c r="U938" s="4">
        <v>10.659659999999899</v>
      </c>
      <c r="V938" t="str">
        <f>IF(Table1[[#This Row],[ai_disruption_intensity]]&gt;70,"High",
IF(Table1[[#This Row],[ai_disruption_intensity]]&gt;40,"Medium","Low"))</f>
        <v>Low</v>
      </c>
      <c r="W938" t="str">
        <f>IF(Table1[[#This Row],[skill_gap_index]]&gt;70,"Large Gap",
IF(Table1[[#This Row],[skill_gap_index]]&gt;40,"Medium Gap","Small Gap"))</f>
        <v>Small Gap</v>
      </c>
      <c r="X938" s="3" t="str">
        <f>IF(Table1[[#This Row],[automation_risk_percent]]&gt;0.7,"Highly Automatable",
IF(Table1[[#This Row],[automation_risk_percent]]&gt;0.4,"Moderate Risk","Safe Job"))</f>
        <v>Safe Job</v>
      </c>
    </row>
    <row r="939" spans="1:24" x14ac:dyDescent="0.3">
      <c r="A939">
        <v>3302</v>
      </c>
      <c r="B939" t="s">
        <v>45</v>
      </c>
      <c r="C939" t="s">
        <v>40</v>
      </c>
      <c r="D939" t="s">
        <v>36</v>
      </c>
      <c r="E939" s="1">
        <v>2026</v>
      </c>
      <c r="F939" s="11">
        <v>0.24960000000000002</v>
      </c>
      <c r="G939">
        <v>25.15</v>
      </c>
      <c r="H939">
        <v>14.08</v>
      </c>
      <c r="I939" s="2">
        <v>81582.87</v>
      </c>
      <c r="J939" s="2">
        <v>76349.740000000005</v>
      </c>
      <c r="K939" s="2">
        <f>Table1[[#This Row],[Salary_after]]-Table1[[#This Row],[Salary_before]]</f>
        <v>-5233.1299999999901</v>
      </c>
      <c r="L939" s="11">
        <v>-6.4100000000000004E-2</v>
      </c>
      <c r="M939" s="11">
        <v>6.4299999999999996E-2</v>
      </c>
      <c r="N939">
        <v>45.89</v>
      </c>
      <c r="O939">
        <v>30.25</v>
      </c>
      <c r="P939">
        <v>5</v>
      </c>
      <c r="Q939" t="s">
        <v>21</v>
      </c>
      <c r="R939">
        <v>19.52</v>
      </c>
      <c r="S939">
        <v>6.41</v>
      </c>
      <c r="T939" s="4">
        <v>16.131</v>
      </c>
      <c r="U939" s="4">
        <v>7.5503999999999998</v>
      </c>
      <c r="V939" t="str">
        <f>IF(Table1[[#This Row],[ai_disruption_intensity]]&gt;70,"High",
IF(Table1[[#This Row],[ai_disruption_intensity]]&gt;40,"Medium","Low"))</f>
        <v>Low</v>
      </c>
      <c r="W939" t="str">
        <f>IF(Table1[[#This Row],[skill_gap_index]]&gt;70,"Large Gap",
IF(Table1[[#This Row],[skill_gap_index]]&gt;40,"Medium Gap","Small Gap"))</f>
        <v>Small Gap</v>
      </c>
      <c r="X939" s="3" t="str">
        <f>IF(Table1[[#This Row],[automation_risk_percent]]&gt;0.7,"Highly Automatable",
IF(Table1[[#This Row],[automation_risk_percent]]&gt;0.4,"Moderate Risk","Safe Job"))</f>
        <v>Safe Job</v>
      </c>
    </row>
    <row r="940" spans="1:24" x14ac:dyDescent="0.3">
      <c r="A940">
        <v>3309</v>
      </c>
      <c r="B940" t="s">
        <v>43</v>
      </c>
      <c r="C940" t="s">
        <v>34</v>
      </c>
      <c r="D940" t="s">
        <v>32</v>
      </c>
      <c r="E940" s="1">
        <v>2026</v>
      </c>
      <c r="F940" s="11">
        <v>0.54789999999999994</v>
      </c>
      <c r="G940">
        <v>45.9</v>
      </c>
      <c r="H940">
        <v>62.01</v>
      </c>
      <c r="I940" s="2">
        <v>91608.81</v>
      </c>
      <c r="J940" s="2">
        <v>94478.47</v>
      </c>
      <c r="K940" s="2">
        <f>Table1[[#This Row],[Salary_after]]-Table1[[#This Row],[Salary_before]]</f>
        <v>2869.6600000000035</v>
      </c>
      <c r="L940" s="11">
        <v>3.1300000000000001E-2</v>
      </c>
      <c r="M940" s="11">
        <v>-3.1099999999999999E-2</v>
      </c>
      <c r="N940">
        <v>50.19</v>
      </c>
      <c r="O940">
        <v>21.71</v>
      </c>
      <c r="P940">
        <v>3</v>
      </c>
      <c r="Q940" t="s">
        <v>25</v>
      </c>
      <c r="R940">
        <v>58.4</v>
      </c>
      <c r="S940">
        <v>3.13</v>
      </c>
      <c r="T940" s="4">
        <v>41.457999999999998</v>
      </c>
      <c r="U940" s="4">
        <v>11.894909</v>
      </c>
      <c r="V940" t="str">
        <f>IF(Table1[[#This Row],[ai_disruption_intensity]]&gt;70,"High",
IF(Table1[[#This Row],[ai_disruption_intensity]]&gt;40,"Medium","Low"))</f>
        <v>Low</v>
      </c>
      <c r="W940" t="str">
        <f>IF(Table1[[#This Row],[skill_gap_index]]&gt;70,"Large Gap",
IF(Table1[[#This Row],[skill_gap_index]]&gt;40,"Medium Gap","Small Gap"))</f>
        <v>Medium Gap</v>
      </c>
      <c r="X940" s="3" t="str">
        <f>IF(Table1[[#This Row],[automation_risk_percent]]&gt;0.7,"Highly Automatable",
IF(Table1[[#This Row],[automation_risk_percent]]&gt;0.4,"Moderate Risk","Safe Job"))</f>
        <v>Moderate Risk</v>
      </c>
    </row>
    <row r="941" spans="1:24" x14ac:dyDescent="0.3">
      <c r="A941">
        <v>3328</v>
      </c>
      <c r="B941" t="s">
        <v>39</v>
      </c>
      <c r="C941" t="s">
        <v>34</v>
      </c>
      <c r="D941" t="s">
        <v>32</v>
      </c>
      <c r="E941" s="1">
        <v>2026</v>
      </c>
      <c r="F941" s="11">
        <v>0.50130000000000008</v>
      </c>
      <c r="G941">
        <v>59.47</v>
      </c>
      <c r="H941">
        <v>10.33</v>
      </c>
      <c r="I941" s="2">
        <v>85221.05</v>
      </c>
      <c r="J941" s="2">
        <v>100664.3</v>
      </c>
      <c r="K941" s="2">
        <f>Table1[[#This Row],[Salary_after]]-Table1[[#This Row],[Salary_before]]</f>
        <v>15443.25</v>
      </c>
      <c r="L941" s="11">
        <v>0.1812</v>
      </c>
      <c r="M941" s="11">
        <v>-9.6300000000000011E-2</v>
      </c>
      <c r="N941">
        <v>83.08</v>
      </c>
      <c r="O941">
        <v>84.14</v>
      </c>
      <c r="P941">
        <v>4</v>
      </c>
      <c r="Q941" t="s">
        <v>25</v>
      </c>
      <c r="R941">
        <v>30.23</v>
      </c>
      <c r="S941">
        <v>18.12</v>
      </c>
      <c r="T941" s="4">
        <v>28.587</v>
      </c>
      <c r="U941" s="4">
        <v>42.179381999999997</v>
      </c>
      <c r="V941" t="str">
        <f>IF(Table1[[#This Row],[ai_disruption_intensity]]&gt;70,"High",
IF(Table1[[#This Row],[ai_disruption_intensity]]&gt;40,"Medium","Low"))</f>
        <v>Medium</v>
      </c>
      <c r="W941" t="str">
        <f>IF(Table1[[#This Row],[skill_gap_index]]&gt;70,"Large Gap",
IF(Table1[[#This Row],[skill_gap_index]]&gt;40,"Medium Gap","Small Gap"))</f>
        <v>Small Gap</v>
      </c>
      <c r="X941" s="3" t="str">
        <f>IF(Table1[[#This Row],[automation_risk_percent]]&gt;0.7,"Highly Automatable",
IF(Table1[[#This Row],[automation_risk_percent]]&gt;0.4,"Moderate Risk","Safe Job"))</f>
        <v>Moderate Risk</v>
      </c>
    </row>
    <row r="942" spans="1:24" x14ac:dyDescent="0.3">
      <c r="A942">
        <v>3333</v>
      </c>
      <c r="B942" t="s">
        <v>26</v>
      </c>
      <c r="C942" t="s">
        <v>33</v>
      </c>
      <c r="D942" t="s">
        <v>24</v>
      </c>
      <c r="E942" s="1">
        <v>2025</v>
      </c>
      <c r="F942" s="11">
        <v>0.42599999999999999</v>
      </c>
      <c r="G942">
        <v>35.28</v>
      </c>
      <c r="H942">
        <v>6.5</v>
      </c>
      <c r="I942" s="2">
        <v>145830.94</v>
      </c>
      <c r="J942" s="2">
        <v>138998.47</v>
      </c>
      <c r="K942" s="2">
        <f>Table1[[#This Row],[Salary_after]]-Table1[[#This Row],[Salary_before]]</f>
        <v>-6832.4700000000012</v>
      </c>
      <c r="L942" s="11">
        <v>-4.6900000000000004E-2</v>
      </c>
      <c r="M942" s="11">
        <v>-2.9399999999999999E-2</v>
      </c>
      <c r="N942">
        <v>79.09</v>
      </c>
      <c r="O942">
        <v>40.97</v>
      </c>
      <c r="P942">
        <v>3</v>
      </c>
      <c r="Q942" t="s">
        <v>25</v>
      </c>
      <c r="R942">
        <v>24.55</v>
      </c>
      <c r="S942">
        <v>4.6900000000000004</v>
      </c>
      <c r="T942" s="4">
        <v>20.396999999999998</v>
      </c>
      <c r="U942" s="4">
        <v>17.453220000000002</v>
      </c>
      <c r="V942" t="str">
        <f>IF(Table1[[#This Row],[ai_disruption_intensity]]&gt;70,"High",
IF(Table1[[#This Row],[ai_disruption_intensity]]&gt;40,"Medium","Low"))</f>
        <v>Low</v>
      </c>
      <c r="W942" t="str">
        <f>IF(Table1[[#This Row],[skill_gap_index]]&gt;70,"Large Gap",
IF(Table1[[#This Row],[skill_gap_index]]&gt;40,"Medium Gap","Small Gap"))</f>
        <v>Small Gap</v>
      </c>
      <c r="X942" s="3" t="str">
        <f>IF(Table1[[#This Row],[automation_risk_percent]]&gt;0.7,"Highly Automatable",
IF(Table1[[#This Row],[automation_risk_percent]]&gt;0.4,"Moderate Risk","Safe Job"))</f>
        <v>Moderate Risk</v>
      </c>
    </row>
    <row r="943" spans="1:24" x14ac:dyDescent="0.3">
      <c r="A943">
        <v>3335</v>
      </c>
      <c r="B943" t="s">
        <v>26</v>
      </c>
      <c r="C943" t="s">
        <v>30</v>
      </c>
      <c r="D943" t="s">
        <v>36</v>
      </c>
      <c r="E943" s="1">
        <v>2025</v>
      </c>
      <c r="F943" s="11">
        <v>0.27460000000000001</v>
      </c>
      <c r="G943">
        <v>30.11</v>
      </c>
      <c r="H943">
        <v>22.48</v>
      </c>
      <c r="I943" s="2">
        <v>100772.53</v>
      </c>
      <c r="J943" s="2">
        <v>121157.46</v>
      </c>
      <c r="K943" s="2">
        <f>Table1[[#This Row],[Salary_after]]-Table1[[#This Row],[Salary_before]]</f>
        <v>20384.930000000008</v>
      </c>
      <c r="L943" s="11">
        <v>0.20230000000000001</v>
      </c>
      <c r="M943" s="11">
        <v>7.690000000000001E-2</v>
      </c>
      <c r="N943">
        <v>20.2</v>
      </c>
      <c r="O943">
        <v>91.78</v>
      </c>
      <c r="P943">
        <v>4</v>
      </c>
      <c r="Q943" t="s">
        <v>21</v>
      </c>
      <c r="R943">
        <v>24.97</v>
      </c>
      <c r="S943">
        <v>20.23</v>
      </c>
      <c r="T943" s="4">
        <v>23.797000000000001</v>
      </c>
      <c r="U943" s="4">
        <v>25.202788000000002</v>
      </c>
      <c r="V943" t="str">
        <f>IF(Table1[[#This Row],[ai_disruption_intensity]]&gt;70,"High",
IF(Table1[[#This Row],[ai_disruption_intensity]]&gt;40,"Medium","Low"))</f>
        <v>Low</v>
      </c>
      <c r="W943" t="str">
        <f>IF(Table1[[#This Row],[skill_gap_index]]&gt;70,"Large Gap",
IF(Table1[[#This Row],[skill_gap_index]]&gt;40,"Medium Gap","Small Gap"))</f>
        <v>Small Gap</v>
      </c>
      <c r="X943" s="3" t="str">
        <f>IF(Table1[[#This Row],[automation_risk_percent]]&gt;0.7,"Highly Automatable",
IF(Table1[[#This Row],[automation_risk_percent]]&gt;0.4,"Moderate Risk","Safe Job"))</f>
        <v>Safe Job</v>
      </c>
    </row>
    <row r="944" spans="1:24" x14ac:dyDescent="0.3">
      <c r="A944">
        <v>3336</v>
      </c>
      <c r="B944" t="s">
        <v>41</v>
      </c>
      <c r="C944" t="s">
        <v>27</v>
      </c>
      <c r="D944" t="s">
        <v>36</v>
      </c>
      <c r="E944" s="1">
        <v>2026</v>
      </c>
      <c r="F944" s="11">
        <v>0.40799999999999997</v>
      </c>
      <c r="G944">
        <v>34.6</v>
      </c>
      <c r="H944">
        <v>20.27</v>
      </c>
      <c r="I944" s="2">
        <v>50348.69</v>
      </c>
      <c r="J944" s="2">
        <v>38025.879999999997</v>
      </c>
      <c r="K944" s="2">
        <f>Table1[[#This Row],[Salary_after]]-Table1[[#This Row],[Salary_before]]</f>
        <v>-12322.810000000005</v>
      </c>
      <c r="L944" s="11">
        <v>-0.2447</v>
      </c>
      <c r="M944" s="11">
        <v>4.0199999999999993E-2</v>
      </c>
      <c r="N944">
        <v>95.56</v>
      </c>
      <c r="O944">
        <v>37.1</v>
      </c>
      <c r="P944">
        <v>5</v>
      </c>
      <c r="Q944" t="s">
        <v>25</v>
      </c>
      <c r="R944">
        <v>30.534999999999901</v>
      </c>
      <c r="S944">
        <v>24.47</v>
      </c>
      <c r="T944" s="4">
        <v>29.741999999999901</v>
      </c>
      <c r="U944" s="4">
        <v>15.136799999999999</v>
      </c>
      <c r="V944" t="str">
        <f>IF(Table1[[#This Row],[ai_disruption_intensity]]&gt;70,"High",
IF(Table1[[#This Row],[ai_disruption_intensity]]&gt;40,"Medium","Low"))</f>
        <v>Low</v>
      </c>
      <c r="W944" t="str">
        <f>IF(Table1[[#This Row],[skill_gap_index]]&gt;70,"Large Gap",
IF(Table1[[#This Row],[skill_gap_index]]&gt;40,"Medium Gap","Small Gap"))</f>
        <v>Small Gap</v>
      </c>
      <c r="X944" s="3" t="str">
        <f>IF(Table1[[#This Row],[automation_risk_percent]]&gt;0.7,"Highly Automatable",
IF(Table1[[#This Row],[automation_risk_percent]]&gt;0.4,"Moderate Risk","Safe Job"))</f>
        <v>Moderate Risk</v>
      </c>
    </row>
    <row r="945" spans="1:24" x14ac:dyDescent="0.3">
      <c r="A945">
        <v>3337</v>
      </c>
      <c r="B945" t="s">
        <v>43</v>
      </c>
      <c r="C945" t="s">
        <v>33</v>
      </c>
      <c r="D945" t="s">
        <v>28</v>
      </c>
      <c r="E945" s="1">
        <v>2026</v>
      </c>
      <c r="F945" s="11">
        <v>0.21690000000000001</v>
      </c>
      <c r="G945">
        <v>19.73</v>
      </c>
      <c r="H945">
        <v>23.9</v>
      </c>
      <c r="I945" s="2">
        <v>89848.95</v>
      </c>
      <c r="J945" s="2">
        <v>91137.600000000006</v>
      </c>
      <c r="K945" s="2">
        <f>Table1[[#This Row],[Salary_after]]-Table1[[#This Row],[Salary_before]]</f>
        <v>1288.6500000000087</v>
      </c>
      <c r="L945" s="11">
        <v>1.43E-2</v>
      </c>
      <c r="M945" s="11">
        <v>-0.13619999999999999</v>
      </c>
      <c r="N945">
        <v>70.239999999999995</v>
      </c>
      <c r="O945">
        <v>77.73</v>
      </c>
      <c r="P945">
        <v>3</v>
      </c>
      <c r="Q945" t="s">
        <v>21</v>
      </c>
      <c r="R945">
        <v>22.795000000000002</v>
      </c>
      <c r="S945">
        <v>1.43</v>
      </c>
      <c r="T945" s="4">
        <v>16.274999999999999</v>
      </c>
      <c r="U945" s="4">
        <v>16.859636999999999</v>
      </c>
      <c r="V945" t="str">
        <f>IF(Table1[[#This Row],[ai_disruption_intensity]]&gt;70,"High",
IF(Table1[[#This Row],[ai_disruption_intensity]]&gt;40,"Medium","Low"))</f>
        <v>Low</v>
      </c>
      <c r="W945" t="str">
        <f>IF(Table1[[#This Row],[skill_gap_index]]&gt;70,"Large Gap",
IF(Table1[[#This Row],[skill_gap_index]]&gt;40,"Medium Gap","Small Gap"))</f>
        <v>Small Gap</v>
      </c>
      <c r="X945" s="3" t="str">
        <f>IF(Table1[[#This Row],[automation_risk_percent]]&gt;0.7,"Highly Automatable",
IF(Table1[[#This Row],[automation_risk_percent]]&gt;0.4,"Moderate Risk","Safe Job"))</f>
        <v>Safe Job</v>
      </c>
    </row>
    <row r="946" spans="1:24" x14ac:dyDescent="0.3">
      <c r="A946">
        <v>3338</v>
      </c>
      <c r="B946" t="s">
        <v>29</v>
      </c>
      <c r="C946" t="s">
        <v>40</v>
      </c>
      <c r="D946" t="s">
        <v>36</v>
      </c>
      <c r="E946" s="1">
        <v>2026</v>
      </c>
      <c r="F946" s="11">
        <v>0.74709999999999999</v>
      </c>
      <c r="G946">
        <v>65.91</v>
      </c>
      <c r="H946">
        <v>11.59</v>
      </c>
      <c r="I946" s="2">
        <v>95094.02</v>
      </c>
      <c r="J946" s="2">
        <v>75857.679999999993</v>
      </c>
      <c r="K946" s="2">
        <f>Table1[[#This Row],[Salary_after]]-Table1[[#This Row],[Salary_before]]</f>
        <v>-19236.340000000011</v>
      </c>
      <c r="L946" s="11">
        <v>-0.20230000000000001</v>
      </c>
      <c r="M946" s="11">
        <v>8.1600000000000006E-2</v>
      </c>
      <c r="N946">
        <v>78.05</v>
      </c>
      <c r="O946">
        <v>31.42</v>
      </c>
      <c r="P946">
        <v>5</v>
      </c>
      <c r="Q946" t="s">
        <v>37</v>
      </c>
      <c r="R946">
        <v>43.15</v>
      </c>
      <c r="S946">
        <v>20.23</v>
      </c>
      <c r="T946" s="4">
        <v>39.43</v>
      </c>
      <c r="U946" s="4">
        <v>23.473882</v>
      </c>
      <c r="V946" t="str">
        <f>IF(Table1[[#This Row],[ai_disruption_intensity]]&gt;70,"High",
IF(Table1[[#This Row],[ai_disruption_intensity]]&gt;40,"Medium","Low"))</f>
        <v>Low</v>
      </c>
      <c r="W946" t="str">
        <f>IF(Table1[[#This Row],[skill_gap_index]]&gt;70,"Large Gap",
IF(Table1[[#This Row],[skill_gap_index]]&gt;40,"Medium Gap","Small Gap"))</f>
        <v>Small Gap</v>
      </c>
      <c r="X946" s="3" t="str">
        <f>IF(Table1[[#This Row],[automation_risk_percent]]&gt;0.7,"Highly Automatable",
IF(Table1[[#This Row],[automation_risk_percent]]&gt;0.4,"Moderate Risk","Safe Job"))</f>
        <v>Highly Automatable</v>
      </c>
    </row>
    <row r="947" spans="1:24" x14ac:dyDescent="0.3">
      <c r="A947">
        <v>3345</v>
      </c>
      <c r="B947" t="s">
        <v>29</v>
      </c>
      <c r="C947" t="s">
        <v>30</v>
      </c>
      <c r="D947" t="s">
        <v>42</v>
      </c>
      <c r="E947" s="1">
        <v>2025</v>
      </c>
      <c r="F947" s="11">
        <v>0.87230000000000008</v>
      </c>
      <c r="G947">
        <v>98.33</v>
      </c>
      <c r="H947">
        <v>57.49</v>
      </c>
      <c r="I947" s="2">
        <v>85958.7</v>
      </c>
      <c r="J947" s="2">
        <v>81752.460000000006</v>
      </c>
      <c r="K947" s="2">
        <f>Table1[[#This Row],[Salary_after]]-Table1[[#This Row],[Salary_before]]</f>
        <v>-4206.2399999999907</v>
      </c>
      <c r="L947" s="11">
        <v>-4.8899999999999999E-2</v>
      </c>
      <c r="M947" s="11">
        <v>0.26329999999999998</v>
      </c>
      <c r="N947">
        <v>67.989999999999995</v>
      </c>
      <c r="O947">
        <v>30.74</v>
      </c>
      <c r="P947">
        <v>1</v>
      </c>
      <c r="Q947" t="s">
        <v>37</v>
      </c>
      <c r="R947">
        <v>72.36</v>
      </c>
      <c r="S947">
        <v>4.8899999999999997</v>
      </c>
      <c r="T947" s="4">
        <v>53.606000000000002</v>
      </c>
      <c r="U947" s="4">
        <v>26.814501999999901</v>
      </c>
      <c r="V947" t="str">
        <f>IF(Table1[[#This Row],[ai_disruption_intensity]]&gt;70,"High",
IF(Table1[[#This Row],[ai_disruption_intensity]]&gt;40,"Medium","Low"))</f>
        <v>Low</v>
      </c>
      <c r="W947" t="str">
        <f>IF(Table1[[#This Row],[skill_gap_index]]&gt;70,"Large Gap",
IF(Table1[[#This Row],[skill_gap_index]]&gt;40,"Medium Gap","Small Gap"))</f>
        <v>Medium Gap</v>
      </c>
      <c r="X947" s="3" t="str">
        <f>IF(Table1[[#This Row],[automation_risk_percent]]&gt;0.7,"Highly Automatable",
IF(Table1[[#This Row],[automation_risk_percent]]&gt;0.4,"Moderate Risk","Safe Job"))</f>
        <v>Highly Automatable</v>
      </c>
    </row>
    <row r="948" spans="1:24" x14ac:dyDescent="0.3">
      <c r="A948">
        <v>3351</v>
      </c>
      <c r="B948" t="s">
        <v>46</v>
      </c>
      <c r="C948" t="s">
        <v>34</v>
      </c>
      <c r="D948" t="s">
        <v>31</v>
      </c>
      <c r="E948" s="1">
        <v>2025</v>
      </c>
      <c r="F948" s="11">
        <v>0.42299999999999999</v>
      </c>
      <c r="G948">
        <v>41.17</v>
      </c>
      <c r="H948">
        <v>38.28</v>
      </c>
      <c r="I948" s="2">
        <v>42805.63</v>
      </c>
      <c r="J948" s="2">
        <v>43229.34</v>
      </c>
      <c r="K948" s="2">
        <f>Table1[[#This Row],[Salary_after]]-Table1[[#This Row],[Salary_before]]</f>
        <v>423.70999999999913</v>
      </c>
      <c r="L948" s="11">
        <v>9.8999999999999991E-3</v>
      </c>
      <c r="M948" s="11">
        <v>3.9300000000000002E-2</v>
      </c>
      <c r="N948">
        <v>77.48</v>
      </c>
      <c r="O948">
        <v>38.229999999999997</v>
      </c>
      <c r="P948">
        <v>2</v>
      </c>
      <c r="Q948" t="s">
        <v>25</v>
      </c>
      <c r="R948">
        <v>40.29</v>
      </c>
      <c r="S948">
        <v>0.99</v>
      </c>
      <c r="T948" s="4">
        <v>28.700999999999901</v>
      </c>
      <c r="U948" s="4">
        <v>16.1712899999999</v>
      </c>
      <c r="V948" t="str">
        <f>IF(Table1[[#This Row],[ai_disruption_intensity]]&gt;70,"High",
IF(Table1[[#This Row],[ai_disruption_intensity]]&gt;40,"Medium","Low"))</f>
        <v>Low</v>
      </c>
      <c r="W948" t="str">
        <f>IF(Table1[[#This Row],[skill_gap_index]]&gt;70,"Large Gap",
IF(Table1[[#This Row],[skill_gap_index]]&gt;40,"Medium Gap","Small Gap"))</f>
        <v>Small Gap</v>
      </c>
      <c r="X948" s="3" t="str">
        <f>IF(Table1[[#This Row],[automation_risk_percent]]&gt;0.7,"Highly Automatable",
IF(Table1[[#This Row],[automation_risk_percent]]&gt;0.4,"Moderate Risk","Safe Job"))</f>
        <v>Moderate Risk</v>
      </c>
    </row>
    <row r="949" spans="1:24" x14ac:dyDescent="0.3">
      <c r="A949">
        <v>3358</v>
      </c>
      <c r="B949" t="s">
        <v>29</v>
      </c>
      <c r="C949" t="s">
        <v>30</v>
      </c>
      <c r="D949" t="s">
        <v>31</v>
      </c>
      <c r="E949" s="1">
        <v>2026</v>
      </c>
      <c r="F949" s="11">
        <v>0.59970000000000001</v>
      </c>
      <c r="G949">
        <v>66.94</v>
      </c>
      <c r="H949">
        <v>44.33</v>
      </c>
      <c r="I949" s="2">
        <v>49896.54</v>
      </c>
      <c r="J949" s="2">
        <v>44757.53</v>
      </c>
      <c r="K949" s="2">
        <f>Table1[[#This Row],[Salary_after]]-Table1[[#This Row],[Salary_before]]</f>
        <v>-5139.010000000002</v>
      </c>
      <c r="L949" s="11">
        <v>-0.10300000000000001</v>
      </c>
      <c r="M949" s="11">
        <v>-1.6899999999999998E-2</v>
      </c>
      <c r="N949">
        <v>21.32</v>
      </c>
      <c r="O949">
        <v>37.76</v>
      </c>
      <c r="P949">
        <v>1</v>
      </c>
      <c r="Q949" t="s">
        <v>25</v>
      </c>
      <c r="R949">
        <v>52.15</v>
      </c>
      <c r="S949">
        <v>10.3</v>
      </c>
      <c r="T949" s="4">
        <v>40.377000000000002</v>
      </c>
      <c r="U949" s="4">
        <v>22.644672</v>
      </c>
      <c r="V949" t="str">
        <f>IF(Table1[[#This Row],[ai_disruption_intensity]]&gt;70,"High",
IF(Table1[[#This Row],[ai_disruption_intensity]]&gt;40,"Medium","Low"))</f>
        <v>Low</v>
      </c>
      <c r="W949" t="str">
        <f>IF(Table1[[#This Row],[skill_gap_index]]&gt;70,"Large Gap",
IF(Table1[[#This Row],[skill_gap_index]]&gt;40,"Medium Gap","Small Gap"))</f>
        <v>Medium Gap</v>
      </c>
      <c r="X949" s="3" t="str">
        <f>IF(Table1[[#This Row],[automation_risk_percent]]&gt;0.7,"Highly Automatable",
IF(Table1[[#This Row],[automation_risk_percent]]&gt;0.4,"Moderate Risk","Safe Job"))</f>
        <v>Moderate Risk</v>
      </c>
    </row>
    <row r="950" spans="1:24" x14ac:dyDescent="0.3">
      <c r="A950">
        <v>3364</v>
      </c>
      <c r="B950" t="s">
        <v>44</v>
      </c>
      <c r="C950" t="s">
        <v>27</v>
      </c>
      <c r="D950" t="s">
        <v>24</v>
      </c>
      <c r="E950" s="1">
        <v>2026</v>
      </c>
      <c r="F950" s="11">
        <v>0.35749999999999998</v>
      </c>
      <c r="G950">
        <v>35.83</v>
      </c>
      <c r="H950">
        <v>62.08</v>
      </c>
      <c r="I950" s="2">
        <v>137231.98000000001</v>
      </c>
      <c r="J950" s="2">
        <v>118771.09</v>
      </c>
      <c r="K950" s="2">
        <f>Table1[[#This Row],[Salary_after]]-Table1[[#This Row],[Salary_before]]</f>
        <v>-18460.890000000014</v>
      </c>
      <c r="L950" s="11">
        <v>-0.13449999999999998</v>
      </c>
      <c r="M950" s="11">
        <v>0.21160000000000001</v>
      </c>
      <c r="N950">
        <v>24.66</v>
      </c>
      <c r="O950">
        <v>11.71</v>
      </c>
      <c r="P950">
        <v>5</v>
      </c>
      <c r="Q950" t="s">
        <v>25</v>
      </c>
      <c r="R950">
        <v>48.914999999999999</v>
      </c>
      <c r="S950">
        <v>13.45</v>
      </c>
      <c r="T950" s="4">
        <v>36.958999999999897</v>
      </c>
      <c r="U950" s="4">
        <v>4.1863250000000001</v>
      </c>
      <c r="V950" t="str">
        <f>IF(Table1[[#This Row],[ai_disruption_intensity]]&gt;70,"High",
IF(Table1[[#This Row],[ai_disruption_intensity]]&gt;40,"Medium","Low"))</f>
        <v>Low</v>
      </c>
      <c r="W950" t="str">
        <f>IF(Table1[[#This Row],[skill_gap_index]]&gt;70,"Large Gap",
IF(Table1[[#This Row],[skill_gap_index]]&gt;40,"Medium Gap","Small Gap"))</f>
        <v>Medium Gap</v>
      </c>
      <c r="X950" s="3" t="str">
        <f>IF(Table1[[#This Row],[automation_risk_percent]]&gt;0.7,"Highly Automatable",
IF(Table1[[#This Row],[automation_risk_percent]]&gt;0.4,"Moderate Risk","Safe Job"))</f>
        <v>Safe Job</v>
      </c>
    </row>
    <row r="951" spans="1:24" x14ac:dyDescent="0.3">
      <c r="A951">
        <v>3368</v>
      </c>
      <c r="B951" t="s">
        <v>22</v>
      </c>
      <c r="C951" t="s">
        <v>40</v>
      </c>
      <c r="D951" t="s">
        <v>28</v>
      </c>
      <c r="E951" s="1">
        <v>2026</v>
      </c>
      <c r="F951" s="11">
        <v>0.53060000000000007</v>
      </c>
      <c r="G951">
        <v>47.27</v>
      </c>
      <c r="H951">
        <v>87.18</v>
      </c>
      <c r="I951" s="2">
        <v>126085.45</v>
      </c>
      <c r="J951" s="2">
        <v>133976.35999999999</v>
      </c>
      <c r="K951" s="2">
        <f>Table1[[#This Row],[Salary_after]]-Table1[[#This Row],[Salary_before]]</f>
        <v>7890.9099999999889</v>
      </c>
      <c r="L951" s="11">
        <v>6.2600000000000003E-2</v>
      </c>
      <c r="M951" s="11">
        <v>9.5700000000000007E-2</v>
      </c>
      <c r="N951">
        <v>65.77</v>
      </c>
      <c r="O951">
        <v>50.14</v>
      </c>
      <c r="P951">
        <v>4</v>
      </c>
      <c r="Q951" t="s">
        <v>25</v>
      </c>
      <c r="R951">
        <v>70.12</v>
      </c>
      <c r="S951">
        <v>6.26</v>
      </c>
      <c r="T951" s="4">
        <v>49.256</v>
      </c>
      <c r="U951" s="4">
        <v>26.604284</v>
      </c>
      <c r="V951" t="str">
        <f>IF(Table1[[#This Row],[ai_disruption_intensity]]&gt;70,"High",
IF(Table1[[#This Row],[ai_disruption_intensity]]&gt;40,"Medium","Low"))</f>
        <v>Low</v>
      </c>
      <c r="W951" t="str">
        <f>IF(Table1[[#This Row],[skill_gap_index]]&gt;70,"Large Gap",
IF(Table1[[#This Row],[skill_gap_index]]&gt;40,"Medium Gap","Small Gap"))</f>
        <v>Large Gap</v>
      </c>
      <c r="X951" s="3" t="str">
        <f>IF(Table1[[#This Row],[automation_risk_percent]]&gt;0.7,"Highly Automatable",
IF(Table1[[#This Row],[automation_risk_percent]]&gt;0.4,"Moderate Risk","Safe Job"))</f>
        <v>Moderate Risk</v>
      </c>
    </row>
    <row r="952" spans="1:24" x14ac:dyDescent="0.3">
      <c r="A952">
        <v>3371</v>
      </c>
      <c r="B952" t="s">
        <v>44</v>
      </c>
      <c r="C952" t="s">
        <v>40</v>
      </c>
      <c r="D952" t="s">
        <v>32</v>
      </c>
      <c r="E952" s="1">
        <v>2026</v>
      </c>
      <c r="F952" s="11">
        <v>0.64739999999999998</v>
      </c>
      <c r="G952">
        <v>71.09</v>
      </c>
      <c r="H952">
        <v>90.52</v>
      </c>
      <c r="I952" s="2">
        <v>77458.5</v>
      </c>
      <c r="J952" s="2">
        <v>84780.35</v>
      </c>
      <c r="K952" s="2">
        <f>Table1[[#This Row],[Salary_after]]-Table1[[#This Row],[Salary_before]]</f>
        <v>7321.8500000000058</v>
      </c>
      <c r="L952" s="11">
        <v>9.4499999999999987E-2</v>
      </c>
      <c r="M952" s="11">
        <v>6.5500000000000003E-2</v>
      </c>
      <c r="N952">
        <v>99.45</v>
      </c>
      <c r="O952">
        <v>96.93</v>
      </c>
      <c r="P952">
        <v>1</v>
      </c>
      <c r="Q952" t="s">
        <v>37</v>
      </c>
      <c r="R952">
        <v>77.63</v>
      </c>
      <c r="S952">
        <v>9.4499999999999993</v>
      </c>
      <c r="T952" s="4">
        <v>55.887</v>
      </c>
      <c r="U952" s="4">
        <v>62.752482000000001</v>
      </c>
      <c r="V952" t="str">
        <f>IF(Table1[[#This Row],[ai_disruption_intensity]]&gt;70,"High",
IF(Table1[[#This Row],[ai_disruption_intensity]]&gt;40,"Medium","Low"))</f>
        <v>Medium</v>
      </c>
      <c r="W952" t="str">
        <f>IF(Table1[[#This Row],[skill_gap_index]]&gt;70,"Large Gap",
IF(Table1[[#This Row],[skill_gap_index]]&gt;40,"Medium Gap","Small Gap"))</f>
        <v>Large Gap</v>
      </c>
      <c r="X952" s="3" t="str">
        <f>IF(Table1[[#This Row],[automation_risk_percent]]&gt;0.7,"Highly Automatable",
IF(Table1[[#This Row],[automation_risk_percent]]&gt;0.4,"Moderate Risk","Safe Job"))</f>
        <v>Moderate Risk</v>
      </c>
    </row>
    <row r="953" spans="1:24" x14ac:dyDescent="0.3">
      <c r="A953">
        <v>3372</v>
      </c>
      <c r="B953" t="s">
        <v>29</v>
      </c>
      <c r="C953" t="s">
        <v>30</v>
      </c>
      <c r="D953" t="s">
        <v>47</v>
      </c>
      <c r="E953" s="1">
        <v>2026</v>
      </c>
      <c r="F953" s="11">
        <v>0.75249999999999995</v>
      </c>
      <c r="G953">
        <v>64.510000000000005</v>
      </c>
      <c r="H953">
        <v>2.3199999999999998</v>
      </c>
      <c r="I953" s="2">
        <v>129026.2</v>
      </c>
      <c r="J953" s="2">
        <v>135309.57999999999</v>
      </c>
      <c r="K953" s="2">
        <f>Table1[[#This Row],[Salary_after]]-Table1[[#This Row],[Salary_before]]</f>
        <v>6283.3799999999901</v>
      </c>
      <c r="L953" s="11">
        <v>4.87E-2</v>
      </c>
      <c r="M953" s="11">
        <v>0.1174</v>
      </c>
      <c r="N953">
        <v>35.19</v>
      </c>
      <c r="O953">
        <v>63.98</v>
      </c>
      <c r="P953">
        <v>3</v>
      </c>
      <c r="Q953" t="s">
        <v>37</v>
      </c>
      <c r="R953">
        <v>38.784999999999997</v>
      </c>
      <c r="S953">
        <v>4.87</v>
      </c>
      <c r="T953" s="4">
        <v>32.256999999999998</v>
      </c>
      <c r="U953" s="4">
        <v>48.144950000000001</v>
      </c>
      <c r="V953" t="str">
        <f>IF(Table1[[#This Row],[ai_disruption_intensity]]&gt;70,"High",
IF(Table1[[#This Row],[ai_disruption_intensity]]&gt;40,"Medium","Low"))</f>
        <v>Medium</v>
      </c>
      <c r="W953" t="str">
        <f>IF(Table1[[#This Row],[skill_gap_index]]&gt;70,"Large Gap",
IF(Table1[[#This Row],[skill_gap_index]]&gt;40,"Medium Gap","Small Gap"))</f>
        <v>Small Gap</v>
      </c>
      <c r="X953" s="3" t="str">
        <f>IF(Table1[[#This Row],[automation_risk_percent]]&gt;0.7,"Highly Automatable",
IF(Table1[[#This Row],[automation_risk_percent]]&gt;0.4,"Moderate Risk","Safe Job"))</f>
        <v>Highly Automatable</v>
      </c>
    </row>
    <row r="954" spans="1:24" x14ac:dyDescent="0.3">
      <c r="A954">
        <v>3375</v>
      </c>
      <c r="B954" t="s">
        <v>46</v>
      </c>
      <c r="C954" t="s">
        <v>34</v>
      </c>
      <c r="D954" t="s">
        <v>36</v>
      </c>
      <c r="E954" s="1">
        <v>2026</v>
      </c>
      <c r="F954" s="11">
        <v>0.45649999999999996</v>
      </c>
      <c r="G954">
        <v>37.340000000000003</v>
      </c>
      <c r="H954">
        <v>29.16</v>
      </c>
      <c r="I954" s="2">
        <v>127130.7</v>
      </c>
      <c r="J954" s="2">
        <v>120293.91</v>
      </c>
      <c r="K954" s="2">
        <f>Table1[[#This Row],[Salary_after]]-Table1[[#This Row],[Salary_before]]</f>
        <v>-6836.7899999999936</v>
      </c>
      <c r="L954" s="11">
        <v>-5.3800000000000001E-2</v>
      </c>
      <c r="M954" s="11">
        <v>5.2300000000000006E-2</v>
      </c>
      <c r="N954">
        <v>35.380000000000003</v>
      </c>
      <c r="O954">
        <v>63.91</v>
      </c>
      <c r="P954">
        <v>2</v>
      </c>
      <c r="Q954" t="s">
        <v>25</v>
      </c>
      <c r="R954">
        <v>37.405000000000001</v>
      </c>
      <c r="S954">
        <v>5.38</v>
      </c>
      <c r="T954" s="4">
        <v>28.622</v>
      </c>
      <c r="U954" s="4">
        <v>29.174914999999899</v>
      </c>
      <c r="V954" t="str">
        <f>IF(Table1[[#This Row],[ai_disruption_intensity]]&gt;70,"High",
IF(Table1[[#This Row],[ai_disruption_intensity]]&gt;40,"Medium","Low"))</f>
        <v>Low</v>
      </c>
      <c r="W954" t="str">
        <f>IF(Table1[[#This Row],[skill_gap_index]]&gt;70,"Large Gap",
IF(Table1[[#This Row],[skill_gap_index]]&gt;40,"Medium Gap","Small Gap"))</f>
        <v>Small Gap</v>
      </c>
      <c r="X954" s="3" t="str">
        <f>IF(Table1[[#This Row],[automation_risk_percent]]&gt;0.7,"Highly Automatable",
IF(Table1[[#This Row],[automation_risk_percent]]&gt;0.4,"Moderate Risk","Safe Job"))</f>
        <v>Moderate Risk</v>
      </c>
    </row>
    <row r="955" spans="1:24" x14ac:dyDescent="0.3">
      <c r="A955">
        <v>3378</v>
      </c>
      <c r="B955" t="s">
        <v>41</v>
      </c>
      <c r="C955" t="s">
        <v>38</v>
      </c>
      <c r="D955" t="s">
        <v>42</v>
      </c>
      <c r="E955" s="1">
        <v>2025</v>
      </c>
      <c r="F955" s="11">
        <v>0.52849999999999997</v>
      </c>
      <c r="G955">
        <v>50</v>
      </c>
      <c r="H955">
        <v>28.35</v>
      </c>
      <c r="I955" s="2">
        <v>40283.599999999999</v>
      </c>
      <c r="J955" s="2">
        <v>36683.269999999997</v>
      </c>
      <c r="K955" s="2">
        <f>Table1[[#This Row],[Salary_after]]-Table1[[#This Row],[Salary_before]]</f>
        <v>-3600.3300000000017</v>
      </c>
      <c r="L955" s="11">
        <v>-8.9399999999999993E-2</v>
      </c>
      <c r="M955" s="11">
        <v>-6.59E-2</v>
      </c>
      <c r="N955">
        <v>59.29</v>
      </c>
      <c r="O955">
        <v>77.38</v>
      </c>
      <c r="P955">
        <v>4</v>
      </c>
      <c r="Q955" t="s">
        <v>25</v>
      </c>
      <c r="R955">
        <v>40.6</v>
      </c>
      <c r="S955">
        <v>8.94</v>
      </c>
      <c r="T955" s="4">
        <v>32.326999999999998</v>
      </c>
      <c r="U955" s="4">
        <v>40.895330000000001</v>
      </c>
      <c r="V955" t="str">
        <f>IF(Table1[[#This Row],[ai_disruption_intensity]]&gt;70,"High",
IF(Table1[[#This Row],[ai_disruption_intensity]]&gt;40,"Medium","Low"))</f>
        <v>Medium</v>
      </c>
      <c r="W955" t="str">
        <f>IF(Table1[[#This Row],[skill_gap_index]]&gt;70,"Large Gap",
IF(Table1[[#This Row],[skill_gap_index]]&gt;40,"Medium Gap","Small Gap"))</f>
        <v>Small Gap</v>
      </c>
      <c r="X955" s="3" t="str">
        <f>IF(Table1[[#This Row],[automation_risk_percent]]&gt;0.7,"Highly Automatable",
IF(Table1[[#This Row],[automation_risk_percent]]&gt;0.4,"Moderate Risk","Safe Job"))</f>
        <v>Moderate Risk</v>
      </c>
    </row>
    <row r="956" spans="1:24" x14ac:dyDescent="0.3">
      <c r="A956">
        <v>3380</v>
      </c>
      <c r="B956" t="s">
        <v>46</v>
      </c>
      <c r="C956" t="s">
        <v>34</v>
      </c>
      <c r="D956" t="s">
        <v>32</v>
      </c>
      <c r="E956" s="1">
        <v>2025</v>
      </c>
      <c r="F956" s="11">
        <v>0.50570000000000004</v>
      </c>
      <c r="G956">
        <v>52.59</v>
      </c>
      <c r="H956">
        <v>50.69</v>
      </c>
      <c r="I956" s="2">
        <v>113194.42</v>
      </c>
      <c r="J956" s="2">
        <v>126083.18</v>
      </c>
      <c r="K956" s="2">
        <f>Table1[[#This Row],[Salary_after]]-Table1[[#This Row],[Salary_before]]</f>
        <v>12888.759999999995</v>
      </c>
      <c r="L956" s="11">
        <v>0.1139</v>
      </c>
      <c r="M956" s="11">
        <v>-0.217</v>
      </c>
      <c r="N956">
        <v>45.85</v>
      </c>
      <c r="O956">
        <v>71.739999999999995</v>
      </c>
      <c r="P956">
        <v>1</v>
      </c>
      <c r="Q956" t="s">
        <v>25</v>
      </c>
      <c r="R956">
        <v>50.629999999999903</v>
      </c>
      <c r="S956">
        <v>11.39</v>
      </c>
      <c r="T956" s="4">
        <v>38.851999999999997</v>
      </c>
      <c r="U956" s="4">
        <v>36.278917999999997</v>
      </c>
      <c r="V956" t="str">
        <f>IF(Table1[[#This Row],[ai_disruption_intensity]]&gt;70,"High",
IF(Table1[[#This Row],[ai_disruption_intensity]]&gt;40,"Medium","Low"))</f>
        <v>Low</v>
      </c>
      <c r="W956" t="str">
        <f>IF(Table1[[#This Row],[skill_gap_index]]&gt;70,"Large Gap",
IF(Table1[[#This Row],[skill_gap_index]]&gt;40,"Medium Gap","Small Gap"))</f>
        <v>Medium Gap</v>
      </c>
      <c r="X956" s="3" t="str">
        <f>IF(Table1[[#This Row],[automation_risk_percent]]&gt;0.7,"Highly Automatable",
IF(Table1[[#This Row],[automation_risk_percent]]&gt;0.4,"Moderate Risk","Safe Job"))</f>
        <v>Moderate Risk</v>
      </c>
    </row>
    <row r="957" spans="1:24" x14ac:dyDescent="0.3">
      <c r="A957">
        <v>3383</v>
      </c>
      <c r="B957" t="s">
        <v>39</v>
      </c>
      <c r="C957" t="s">
        <v>40</v>
      </c>
      <c r="D957" t="s">
        <v>20</v>
      </c>
      <c r="E957" s="1">
        <v>2026</v>
      </c>
      <c r="F957" s="11">
        <v>0.24299999999999999</v>
      </c>
      <c r="G957">
        <v>26.18</v>
      </c>
      <c r="H957">
        <v>0.31</v>
      </c>
      <c r="I957" s="2">
        <v>95852.7</v>
      </c>
      <c r="J957" s="2">
        <v>80346.960000000006</v>
      </c>
      <c r="K957" s="2">
        <f>Table1[[#This Row],[Salary_after]]-Table1[[#This Row],[Salary_before]]</f>
        <v>-15505.739999999991</v>
      </c>
      <c r="L957" s="11">
        <v>-0.1618</v>
      </c>
      <c r="M957" s="11">
        <v>-3.1300000000000001E-2</v>
      </c>
      <c r="N957">
        <v>56.41</v>
      </c>
      <c r="O957">
        <v>64.53</v>
      </c>
      <c r="P957">
        <v>4</v>
      </c>
      <c r="Q957" t="s">
        <v>21</v>
      </c>
      <c r="R957">
        <v>12.305</v>
      </c>
      <c r="S957">
        <v>16.18</v>
      </c>
      <c r="T957" s="4">
        <v>14.667</v>
      </c>
      <c r="U957" s="4">
        <v>15.68079</v>
      </c>
      <c r="V957" t="str">
        <f>IF(Table1[[#This Row],[ai_disruption_intensity]]&gt;70,"High",
IF(Table1[[#This Row],[ai_disruption_intensity]]&gt;40,"Medium","Low"))</f>
        <v>Low</v>
      </c>
      <c r="W957" t="str">
        <f>IF(Table1[[#This Row],[skill_gap_index]]&gt;70,"Large Gap",
IF(Table1[[#This Row],[skill_gap_index]]&gt;40,"Medium Gap","Small Gap"))</f>
        <v>Small Gap</v>
      </c>
      <c r="X957" s="3" t="str">
        <f>IF(Table1[[#This Row],[automation_risk_percent]]&gt;0.7,"Highly Automatable",
IF(Table1[[#This Row],[automation_risk_percent]]&gt;0.4,"Moderate Risk","Safe Job"))</f>
        <v>Safe Job</v>
      </c>
    </row>
    <row r="958" spans="1:24" x14ac:dyDescent="0.3">
      <c r="A958">
        <v>3389</v>
      </c>
      <c r="B958" t="s">
        <v>22</v>
      </c>
      <c r="C958" t="s">
        <v>23</v>
      </c>
      <c r="D958" t="s">
        <v>20</v>
      </c>
      <c r="E958" s="1">
        <v>2026</v>
      </c>
      <c r="F958" s="11">
        <v>0.49149999999999999</v>
      </c>
      <c r="G958">
        <v>45.35</v>
      </c>
      <c r="H958">
        <v>9.75</v>
      </c>
      <c r="I958" s="2">
        <v>137613.88</v>
      </c>
      <c r="J958" s="2">
        <v>159776.39000000001</v>
      </c>
      <c r="K958" s="2">
        <f>Table1[[#This Row],[Salary_after]]-Table1[[#This Row],[Salary_before]]</f>
        <v>22162.510000000009</v>
      </c>
      <c r="L958" s="11">
        <v>0.161</v>
      </c>
      <c r="M958" s="11">
        <v>0.13140000000000002</v>
      </c>
      <c r="N958">
        <v>51.76</v>
      </c>
      <c r="O958">
        <v>75.650000000000006</v>
      </c>
      <c r="P958">
        <v>5</v>
      </c>
      <c r="Q958" t="s">
        <v>25</v>
      </c>
      <c r="R958">
        <v>29.45</v>
      </c>
      <c r="S958">
        <v>16.100000000000001</v>
      </c>
      <c r="T958" s="4">
        <v>27.414999999999999</v>
      </c>
      <c r="U958" s="4">
        <v>37.181975000000001</v>
      </c>
      <c r="V958" t="str">
        <f>IF(Table1[[#This Row],[ai_disruption_intensity]]&gt;70,"High",
IF(Table1[[#This Row],[ai_disruption_intensity]]&gt;40,"Medium","Low"))</f>
        <v>Low</v>
      </c>
      <c r="W958" t="str">
        <f>IF(Table1[[#This Row],[skill_gap_index]]&gt;70,"Large Gap",
IF(Table1[[#This Row],[skill_gap_index]]&gt;40,"Medium Gap","Small Gap"))</f>
        <v>Small Gap</v>
      </c>
      <c r="X958" s="3" t="str">
        <f>IF(Table1[[#This Row],[automation_risk_percent]]&gt;0.7,"Highly Automatable",
IF(Table1[[#This Row],[automation_risk_percent]]&gt;0.4,"Moderate Risk","Safe Job"))</f>
        <v>Moderate Risk</v>
      </c>
    </row>
    <row r="959" spans="1:24" x14ac:dyDescent="0.3">
      <c r="A959">
        <v>3390</v>
      </c>
      <c r="B959" t="s">
        <v>18</v>
      </c>
      <c r="C959" t="s">
        <v>30</v>
      </c>
      <c r="D959" t="s">
        <v>42</v>
      </c>
      <c r="E959" s="1">
        <v>2026</v>
      </c>
      <c r="F959" s="11">
        <v>0.5091</v>
      </c>
      <c r="G959">
        <v>41.83</v>
      </c>
      <c r="H959">
        <v>89.01</v>
      </c>
      <c r="I959" s="2">
        <v>66664.34</v>
      </c>
      <c r="J959" s="2">
        <v>73129.23</v>
      </c>
      <c r="K959" s="2">
        <f>Table1[[#This Row],[Salary_after]]-Table1[[#This Row],[Salary_before]]</f>
        <v>6464.8899999999994</v>
      </c>
      <c r="L959" s="11">
        <v>9.6999999999999989E-2</v>
      </c>
      <c r="M959" s="11">
        <v>0.15479999999999999</v>
      </c>
      <c r="N959">
        <v>73.010000000000005</v>
      </c>
      <c r="O959">
        <v>91.58</v>
      </c>
      <c r="P959">
        <v>4</v>
      </c>
      <c r="Q959" t="s">
        <v>25</v>
      </c>
      <c r="R959">
        <v>69.959999999999994</v>
      </c>
      <c r="S959">
        <v>9.6999999999999993</v>
      </c>
      <c r="T959" s="4">
        <v>49.976999999999997</v>
      </c>
      <c r="U959" s="4">
        <v>46.623377999999903</v>
      </c>
      <c r="V959" t="str">
        <f>IF(Table1[[#This Row],[ai_disruption_intensity]]&gt;70,"High",
IF(Table1[[#This Row],[ai_disruption_intensity]]&gt;40,"Medium","Low"))</f>
        <v>Medium</v>
      </c>
      <c r="W959" t="str">
        <f>IF(Table1[[#This Row],[skill_gap_index]]&gt;70,"Large Gap",
IF(Table1[[#This Row],[skill_gap_index]]&gt;40,"Medium Gap","Small Gap"))</f>
        <v>Large Gap</v>
      </c>
      <c r="X959" s="3" t="str">
        <f>IF(Table1[[#This Row],[automation_risk_percent]]&gt;0.7,"Highly Automatable",
IF(Table1[[#This Row],[automation_risk_percent]]&gt;0.4,"Moderate Risk","Safe Job"))</f>
        <v>Moderate Risk</v>
      </c>
    </row>
    <row r="960" spans="1:24" x14ac:dyDescent="0.3">
      <c r="A960">
        <v>3391</v>
      </c>
      <c r="B960" t="s">
        <v>43</v>
      </c>
      <c r="C960" t="s">
        <v>33</v>
      </c>
      <c r="D960" t="s">
        <v>28</v>
      </c>
      <c r="E960" s="1">
        <v>2025</v>
      </c>
      <c r="F960" s="11">
        <v>0.34429999999999999</v>
      </c>
      <c r="G960">
        <v>35.270000000000003</v>
      </c>
      <c r="H960">
        <v>61.95</v>
      </c>
      <c r="I960" s="2">
        <v>147537.82</v>
      </c>
      <c r="J960" s="2">
        <v>150681.56</v>
      </c>
      <c r="K960" s="2">
        <f>Table1[[#This Row],[Salary_after]]-Table1[[#This Row],[Salary_before]]</f>
        <v>3143.7399999999907</v>
      </c>
      <c r="L960" s="11">
        <v>2.1299999999999999E-2</v>
      </c>
      <c r="M960" s="11">
        <v>4.1200000000000001E-2</v>
      </c>
      <c r="N960">
        <v>23.39</v>
      </c>
      <c r="O960">
        <v>76.400000000000006</v>
      </c>
      <c r="P960">
        <v>5</v>
      </c>
      <c r="Q960" t="s">
        <v>25</v>
      </c>
      <c r="R960">
        <v>48.19</v>
      </c>
      <c r="S960">
        <v>2.13</v>
      </c>
      <c r="T960" s="4">
        <v>32.996000000000002</v>
      </c>
      <c r="U960" s="4">
        <v>26.30452</v>
      </c>
      <c r="V960" t="str">
        <f>IF(Table1[[#This Row],[ai_disruption_intensity]]&gt;70,"High",
IF(Table1[[#This Row],[ai_disruption_intensity]]&gt;40,"Medium","Low"))</f>
        <v>Low</v>
      </c>
      <c r="W960" t="str">
        <f>IF(Table1[[#This Row],[skill_gap_index]]&gt;70,"Large Gap",
IF(Table1[[#This Row],[skill_gap_index]]&gt;40,"Medium Gap","Small Gap"))</f>
        <v>Medium Gap</v>
      </c>
      <c r="X960" s="3" t="str">
        <f>IF(Table1[[#This Row],[automation_risk_percent]]&gt;0.7,"Highly Automatable",
IF(Table1[[#This Row],[automation_risk_percent]]&gt;0.4,"Moderate Risk","Safe Job"))</f>
        <v>Safe Job</v>
      </c>
    </row>
    <row r="961" spans="1:24" x14ac:dyDescent="0.3">
      <c r="A961">
        <v>3392</v>
      </c>
      <c r="B961" t="s">
        <v>45</v>
      </c>
      <c r="C961" t="s">
        <v>30</v>
      </c>
      <c r="D961" t="s">
        <v>32</v>
      </c>
      <c r="E961" s="1">
        <v>2026</v>
      </c>
      <c r="F961" s="11">
        <v>0.54299999999999993</v>
      </c>
      <c r="G961">
        <v>61.19</v>
      </c>
      <c r="H961">
        <v>2.87</v>
      </c>
      <c r="I961" s="2">
        <v>39375.730000000003</v>
      </c>
      <c r="J961" s="2">
        <v>39969.06</v>
      </c>
      <c r="K961" s="2">
        <f>Table1[[#This Row],[Salary_after]]-Table1[[#This Row],[Salary_before]]</f>
        <v>593.32999999999447</v>
      </c>
      <c r="L961" s="11">
        <v>1.5100000000000001E-2</v>
      </c>
      <c r="M961" s="11">
        <v>-1.9799999999999998E-2</v>
      </c>
      <c r="N961">
        <v>64.260000000000005</v>
      </c>
      <c r="O961">
        <v>90.61</v>
      </c>
      <c r="P961">
        <v>4</v>
      </c>
      <c r="Q961" t="s">
        <v>25</v>
      </c>
      <c r="R961">
        <v>28.584999999999901</v>
      </c>
      <c r="S961">
        <v>1.51</v>
      </c>
      <c r="T961" s="4">
        <v>23.033999999999999</v>
      </c>
      <c r="U961" s="4">
        <v>49.201229999999903</v>
      </c>
      <c r="V961" t="str">
        <f>IF(Table1[[#This Row],[ai_disruption_intensity]]&gt;70,"High",
IF(Table1[[#This Row],[ai_disruption_intensity]]&gt;40,"Medium","Low"))</f>
        <v>Medium</v>
      </c>
      <c r="W961" t="str">
        <f>IF(Table1[[#This Row],[skill_gap_index]]&gt;70,"Large Gap",
IF(Table1[[#This Row],[skill_gap_index]]&gt;40,"Medium Gap","Small Gap"))</f>
        <v>Small Gap</v>
      </c>
      <c r="X961" s="3" t="str">
        <f>IF(Table1[[#This Row],[automation_risk_percent]]&gt;0.7,"Highly Automatable",
IF(Table1[[#This Row],[automation_risk_percent]]&gt;0.4,"Moderate Risk","Safe Job"))</f>
        <v>Moderate Risk</v>
      </c>
    </row>
    <row r="962" spans="1:24" x14ac:dyDescent="0.3">
      <c r="A962">
        <v>3399</v>
      </c>
      <c r="B962" t="s">
        <v>46</v>
      </c>
      <c r="C962" t="s">
        <v>19</v>
      </c>
      <c r="D962" t="s">
        <v>42</v>
      </c>
      <c r="E962" s="1">
        <v>2026</v>
      </c>
      <c r="F962" s="11">
        <v>0.3281</v>
      </c>
      <c r="G962">
        <v>34.83</v>
      </c>
      <c r="H962">
        <v>53.95</v>
      </c>
      <c r="I962" s="2">
        <v>102999.4</v>
      </c>
      <c r="J962" s="2">
        <v>88651.25</v>
      </c>
      <c r="K962" s="2">
        <f>Table1[[#This Row],[Salary_after]]-Table1[[#This Row],[Salary_before]]</f>
        <v>-14348.149999999994</v>
      </c>
      <c r="L962" s="11">
        <v>-0.13930000000000001</v>
      </c>
      <c r="M962" s="11">
        <v>7.1399999999999991E-2</v>
      </c>
      <c r="N962">
        <v>46.92</v>
      </c>
      <c r="O962">
        <v>53.2</v>
      </c>
      <c r="P962">
        <v>1</v>
      </c>
      <c r="Q962" t="s">
        <v>25</v>
      </c>
      <c r="R962">
        <v>43.38</v>
      </c>
      <c r="S962">
        <v>13.93</v>
      </c>
      <c r="T962" s="4">
        <v>33.488</v>
      </c>
      <c r="U962" s="4">
        <v>17.454920000000001</v>
      </c>
      <c r="V962" t="str">
        <f>IF(Table1[[#This Row],[ai_disruption_intensity]]&gt;70,"High",
IF(Table1[[#This Row],[ai_disruption_intensity]]&gt;40,"Medium","Low"))</f>
        <v>Low</v>
      </c>
      <c r="W962" t="str">
        <f>IF(Table1[[#This Row],[skill_gap_index]]&gt;70,"Large Gap",
IF(Table1[[#This Row],[skill_gap_index]]&gt;40,"Medium Gap","Small Gap"))</f>
        <v>Medium Gap</v>
      </c>
      <c r="X962" s="3" t="str">
        <f>IF(Table1[[#This Row],[automation_risk_percent]]&gt;0.7,"Highly Automatable",
IF(Table1[[#This Row],[automation_risk_percent]]&gt;0.4,"Moderate Risk","Safe Job"))</f>
        <v>Safe Job</v>
      </c>
    </row>
    <row r="963" spans="1:24" x14ac:dyDescent="0.3">
      <c r="A963">
        <v>3400</v>
      </c>
      <c r="B963" t="s">
        <v>29</v>
      </c>
      <c r="C963" t="s">
        <v>40</v>
      </c>
      <c r="D963" t="s">
        <v>32</v>
      </c>
      <c r="E963" s="1">
        <v>2025</v>
      </c>
      <c r="F963" s="11">
        <v>0.79599999999999993</v>
      </c>
      <c r="G963">
        <v>84.5</v>
      </c>
      <c r="H963">
        <v>42.66</v>
      </c>
      <c r="I963" s="2">
        <v>146927.98000000001</v>
      </c>
      <c r="J963" s="2">
        <v>144387.20000000001</v>
      </c>
      <c r="K963" s="2">
        <f>Table1[[#This Row],[Salary_after]]-Table1[[#This Row],[Salary_before]]</f>
        <v>-2540.7799999999988</v>
      </c>
      <c r="L963" s="11">
        <v>-1.7299999999999999E-2</v>
      </c>
      <c r="M963" s="11">
        <v>2.69E-2</v>
      </c>
      <c r="N963">
        <v>40.72</v>
      </c>
      <c r="O963">
        <v>22.86</v>
      </c>
      <c r="P963">
        <v>4</v>
      </c>
      <c r="Q963" t="s">
        <v>37</v>
      </c>
      <c r="R963">
        <v>61.129999999999903</v>
      </c>
      <c r="S963">
        <v>1.73</v>
      </c>
      <c r="T963" s="4">
        <v>45.156999999999996</v>
      </c>
      <c r="U963" s="4">
        <v>18.196559999999899</v>
      </c>
      <c r="V963" t="str">
        <f>IF(Table1[[#This Row],[ai_disruption_intensity]]&gt;70,"High",
IF(Table1[[#This Row],[ai_disruption_intensity]]&gt;40,"Medium","Low"))</f>
        <v>Low</v>
      </c>
      <c r="W963" t="str">
        <f>IF(Table1[[#This Row],[skill_gap_index]]&gt;70,"Large Gap",
IF(Table1[[#This Row],[skill_gap_index]]&gt;40,"Medium Gap","Small Gap"))</f>
        <v>Medium Gap</v>
      </c>
      <c r="X963" s="3" t="str">
        <f>IF(Table1[[#This Row],[automation_risk_percent]]&gt;0.7,"Highly Automatable",
IF(Table1[[#This Row],[automation_risk_percent]]&gt;0.4,"Moderate Risk","Safe Job"))</f>
        <v>Highly Automatable</v>
      </c>
    </row>
    <row r="964" spans="1:24" x14ac:dyDescent="0.3">
      <c r="A964">
        <v>3401</v>
      </c>
      <c r="B964" t="s">
        <v>26</v>
      </c>
      <c r="C964" t="s">
        <v>30</v>
      </c>
      <c r="D964" t="s">
        <v>42</v>
      </c>
      <c r="E964" s="1">
        <v>2026</v>
      </c>
      <c r="F964" s="11">
        <v>0.43780000000000002</v>
      </c>
      <c r="G964">
        <v>35.72</v>
      </c>
      <c r="H964">
        <v>17.739999999999998</v>
      </c>
      <c r="I964" s="2">
        <v>65201.67</v>
      </c>
      <c r="J964" s="2">
        <v>70155.5</v>
      </c>
      <c r="K964" s="2">
        <f>Table1[[#This Row],[Salary_after]]-Table1[[#This Row],[Salary_before]]</f>
        <v>4953.8300000000017</v>
      </c>
      <c r="L964" s="11">
        <v>7.5999999999999998E-2</v>
      </c>
      <c r="M964" s="11">
        <v>8.7100000000000011E-2</v>
      </c>
      <c r="N964">
        <v>81.86</v>
      </c>
      <c r="O964">
        <v>18.21</v>
      </c>
      <c r="P964">
        <v>3</v>
      </c>
      <c r="Q964" t="s">
        <v>25</v>
      </c>
      <c r="R964">
        <v>30.759999999999899</v>
      </c>
      <c r="S964">
        <v>7.6</v>
      </c>
      <c r="T964" s="4">
        <v>25.114000000000001</v>
      </c>
      <c r="U964" s="4">
        <v>7.9723379999999997</v>
      </c>
      <c r="V964" t="str">
        <f>IF(Table1[[#This Row],[ai_disruption_intensity]]&gt;70,"High",
IF(Table1[[#This Row],[ai_disruption_intensity]]&gt;40,"Medium","Low"))</f>
        <v>Low</v>
      </c>
      <c r="W964" t="str">
        <f>IF(Table1[[#This Row],[skill_gap_index]]&gt;70,"Large Gap",
IF(Table1[[#This Row],[skill_gap_index]]&gt;40,"Medium Gap","Small Gap"))</f>
        <v>Small Gap</v>
      </c>
      <c r="X964" s="3" t="str">
        <f>IF(Table1[[#This Row],[automation_risk_percent]]&gt;0.7,"Highly Automatable",
IF(Table1[[#This Row],[automation_risk_percent]]&gt;0.4,"Moderate Risk","Safe Job"))</f>
        <v>Moderate Risk</v>
      </c>
    </row>
    <row r="965" spans="1:24" x14ac:dyDescent="0.3">
      <c r="A965">
        <v>3407</v>
      </c>
      <c r="B965" t="s">
        <v>22</v>
      </c>
      <c r="C965" t="s">
        <v>19</v>
      </c>
      <c r="D965" t="s">
        <v>31</v>
      </c>
      <c r="E965" s="1">
        <v>2026</v>
      </c>
      <c r="F965" s="11">
        <v>0.76450000000000007</v>
      </c>
      <c r="G965">
        <v>76.739999999999995</v>
      </c>
      <c r="H965">
        <v>18.59</v>
      </c>
      <c r="I965" s="2">
        <v>88558.84</v>
      </c>
      <c r="J965" s="2">
        <v>93655.55</v>
      </c>
      <c r="K965" s="2">
        <f>Table1[[#This Row],[Salary_after]]-Table1[[#This Row],[Salary_before]]</f>
        <v>5096.7100000000064</v>
      </c>
      <c r="L965" s="11">
        <v>5.7599999999999998E-2</v>
      </c>
      <c r="M965" s="11">
        <v>9.9900000000000003E-2</v>
      </c>
      <c r="N965">
        <v>87.76</v>
      </c>
      <c r="O965">
        <v>56.96</v>
      </c>
      <c r="P965">
        <v>2</v>
      </c>
      <c r="Q965" t="s">
        <v>37</v>
      </c>
      <c r="R965">
        <v>47.52</v>
      </c>
      <c r="S965">
        <v>5.76</v>
      </c>
      <c r="T965" s="4">
        <v>37.884999999999998</v>
      </c>
      <c r="U965" s="4">
        <v>43.545920000000002</v>
      </c>
      <c r="V965" t="str">
        <f>IF(Table1[[#This Row],[ai_disruption_intensity]]&gt;70,"High",
IF(Table1[[#This Row],[ai_disruption_intensity]]&gt;40,"Medium","Low"))</f>
        <v>Medium</v>
      </c>
      <c r="W965" t="str">
        <f>IF(Table1[[#This Row],[skill_gap_index]]&gt;70,"Large Gap",
IF(Table1[[#This Row],[skill_gap_index]]&gt;40,"Medium Gap","Small Gap"))</f>
        <v>Small Gap</v>
      </c>
      <c r="X965" s="3" t="str">
        <f>IF(Table1[[#This Row],[automation_risk_percent]]&gt;0.7,"Highly Automatable",
IF(Table1[[#This Row],[automation_risk_percent]]&gt;0.4,"Moderate Risk","Safe Job"))</f>
        <v>Highly Automatable</v>
      </c>
    </row>
    <row r="966" spans="1:24" x14ac:dyDescent="0.3">
      <c r="A966">
        <v>3416</v>
      </c>
      <c r="B966" t="s">
        <v>29</v>
      </c>
      <c r="C966" t="s">
        <v>38</v>
      </c>
      <c r="D966" t="s">
        <v>36</v>
      </c>
      <c r="E966" s="1">
        <v>2026</v>
      </c>
      <c r="F966" s="11">
        <v>0.50029999999999997</v>
      </c>
      <c r="G966">
        <v>49.32</v>
      </c>
      <c r="H966">
        <v>55.5</v>
      </c>
      <c r="I966" s="2">
        <v>126222.29</v>
      </c>
      <c r="J966" s="2">
        <v>120372.73</v>
      </c>
      <c r="K966" s="2">
        <f>Table1[[#This Row],[Salary_after]]-Table1[[#This Row],[Salary_before]]</f>
        <v>-5849.5599999999977</v>
      </c>
      <c r="L966" s="11">
        <v>-4.6300000000000001E-2</v>
      </c>
      <c r="M966" s="11">
        <v>-8.2200000000000009E-2</v>
      </c>
      <c r="N966">
        <v>21.71</v>
      </c>
      <c r="O966">
        <v>7.58</v>
      </c>
      <c r="P966">
        <v>2</v>
      </c>
      <c r="Q966" t="s">
        <v>25</v>
      </c>
      <c r="R966">
        <v>52.765000000000001</v>
      </c>
      <c r="S966">
        <v>4.63</v>
      </c>
      <c r="T966" s="4">
        <v>38.051000000000002</v>
      </c>
      <c r="U966" s="4">
        <v>3.7922739999999999</v>
      </c>
      <c r="V966" t="str">
        <f>IF(Table1[[#This Row],[ai_disruption_intensity]]&gt;70,"High",
IF(Table1[[#This Row],[ai_disruption_intensity]]&gt;40,"Medium","Low"))</f>
        <v>Low</v>
      </c>
      <c r="W966" t="str">
        <f>IF(Table1[[#This Row],[skill_gap_index]]&gt;70,"Large Gap",
IF(Table1[[#This Row],[skill_gap_index]]&gt;40,"Medium Gap","Small Gap"))</f>
        <v>Medium Gap</v>
      </c>
      <c r="X966" s="3" t="str">
        <f>IF(Table1[[#This Row],[automation_risk_percent]]&gt;0.7,"Highly Automatable",
IF(Table1[[#This Row],[automation_risk_percent]]&gt;0.4,"Moderate Risk","Safe Job"))</f>
        <v>Moderate Risk</v>
      </c>
    </row>
    <row r="967" spans="1:24" x14ac:dyDescent="0.3">
      <c r="A967">
        <v>3418</v>
      </c>
      <c r="B967" t="s">
        <v>18</v>
      </c>
      <c r="C967" t="s">
        <v>23</v>
      </c>
      <c r="D967" t="s">
        <v>36</v>
      </c>
      <c r="E967" s="1">
        <v>2026</v>
      </c>
      <c r="F967" s="11">
        <v>0.4299</v>
      </c>
      <c r="G967">
        <v>45.89</v>
      </c>
      <c r="H967">
        <v>64.13</v>
      </c>
      <c r="I967" s="2">
        <v>47330.77</v>
      </c>
      <c r="J967" s="2">
        <v>41529</v>
      </c>
      <c r="K967" s="2">
        <f>Table1[[#This Row],[Salary_after]]-Table1[[#This Row],[Salary_before]]</f>
        <v>-5801.7699999999968</v>
      </c>
      <c r="L967" s="11">
        <v>-0.1226</v>
      </c>
      <c r="M967" s="11">
        <v>0.222</v>
      </c>
      <c r="N967">
        <v>51.83</v>
      </c>
      <c r="O967">
        <v>80.14</v>
      </c>
      <c r="P967">
        <v>1</v>
      </c>
      <c r="Q967" t="s">
        <v>25</v>
      </c>
      <c r="R967">
        <v>53.56</v>
      </c>
      <c r="S967">
        <v>12.26</v>
      </c>
      <c r="T967" s="4">
        <v>40.113</v>
      </c>
      <c r="U967" s="4">
        <v>34.452185999999998</v>
      </c>
      <c r="V967" t="str">
        <f>IF(Table1[[#This Row],[ai_disruption_intensity]]&gt;70,"High",
IF(Table1[[#This Row],[ai_disruption_intensity]]&gt;40,"Medium","Low"))</f>
        <v>Low</v>
      </c>
      <c r="W967" t="str">
        <f>IF(Table1[[#This Row],[skill_gap_index]]&gt;70,"Large Gap",
IF(Table1[[#This Row],[skill_gap_index]]&gt;40,"Medium Gap","Small Gap"))</f>
        <v>Medium Gap</v>
      </c>
      <c r="X967" s="3" t="str">
        <f>IF(Table1[[#This Row],[automation_risk_percent]]&gt;0.7,"Highly Automatable",
IF(Table1[[#This Row],[automation_risk_percent]]&gt;0.4,"Moderate Risk","Safe Job"))</f>
        <v>Moderate Risk</v>
      </c>
    </row>
    <row r="968" spans="1:24" x14ac:dyDescent="0.3">
      <c r="A968">
        <v>3419</v>
      </c>
      <c r="B968" t="s">
        <v>26</v>
      </c>
      <c r="C968" t="s">
        <v>30</v>
      </c>
      <c r="D968" t="s">
        <v>31</v>
      </c>
      <c r="E968" s="1">
        <v>2026</v>
      </c>
      <c r="F968" s="11">
        <v>0.23269999999999999</v>
      </c>
      <c r="G968">
        <v>19.989999999999998</v>
      </c>
      <c r="H968">
        <v>87.35</v>
      </c>
      <c r="I968" s="2">
        <v>55455.67</v>
      </c>
      <c r="J968" s="2">
        <v>61221.02</v>
      </c>
      <c r="K968" s="2">
        <f>Table1[[#This Row],[Salary_after]]-Table1[[#This Row],[Salary_before]]</f>
        <v>5765.3499999999985</v>
      </c>
      <c r="L968" s="11">
        <v>0.10400000000000001</v>
      </c>
      <c r="M968" s="11">
        <v>-5.3699999999999998E-2</v>
      </c>
      <c r="N968">
        <v>71.52</v>
      </c>
      <c r="O968">
        <v>80.040000000000006</v>
      </c>
      <c r="P968">
        <v>1</v>
      </c>
      <c r="Q968" t="s">
        <v>21</v>
      </c>
      <c r="R968">
        <v>55.309999999999903</v>
      </c>
      <c r="S968">
        <v>10.4</v>
      </c>
      <c r="T968" s="4">
        <v>38.632999999999903</v>
      </c>
      <c r="U968" s="4">
        <v>18.625308</v>
      </c>
      <c r="V968" t="str">
        <f>IF(Table1[[#This Row],[ai_disruption_intensity]]&gt;70,"High",
IF(Table1[[#This Row],[ai_disruption_intensity]]&gt;40,"Medium","Low"))</f>
        <v>Low</v>
      </c>
      <c r="W968" t="str">
        <f>IF(Table1[[#This Row],[skill_gap_index]]&gt;70,"Large Gap",
IF(Table1[[#This Row],[skill_gap_index]]&gt;40,"Medium Gap","Small Gap"))</f>
        <v>Large Gap</v>
      </c>
      <c r="X968" s="3" t="str">
        <f>IF(Table1[[#This Row],[automation_risk_percent]]&gt;0.7,"Highly Automatable",
IF(Table1[[#This Row],[automation_risk_percent]]&gt;0.4,"Moderate Risk","Safe Job"))</f>
        <v>Safe Job</v>
      </c>
    </row>
    <row r="969" spans="1:24" x14ac:dyDescent="0.3">
      <c r="A969">
        <v>3422</v>
      </c>
      <c r="B969" t="s">
        <v>44</v>
      </c>
      <c r="C969" t="s">
        <v>19</v>
      </c>
      <c r="D969" t="s">
        <v>47</v>
      </c>
      <c r="E969" s="1">
        <v>2025</v>
      </c>
      <c r="F969" s="11">
        <v>0.1946</v>
      </c>
      <c r="G969">
        <v>17.899999999999999</v>
      </c>
      <c r="H969">
        <v>5.62</v>
      </c>
      <c r="I969" s="2">
        <v>86996.04</v>
      </c>
      <c r="J969" s="2">
        <v>71614.44</v>
      </c>
      <c r="K969" s="2">
        <f>Table1[[#This Row],[Salary_after]]-Table1[[#This Row],[Salary_before]]</f>
        <v>-15381.599999999991</v>
      </c>
      <c r="L969" s="11">
        <v>-0.17679999999999998</v>
      </c>
      <c r="M969" s="11">
        <v>-5.5500000000000001E-2</v>
      </c>
      <c r="N969">
        <v>58.38</v>
      </c>
      <c r="O969">
        <v>74.900000000000006</v>
      </c>
      <c r="P969">
        <v>3</v>
      </c>
      <c r="Q969" t="s">
        <v>21</v>
      </c>
      <c r="R969">
        <v>12.54</v>
      </c>
      <c r="S969">
        <v>17.68</v>
      </c>
      <c r="T969" s="4">
        <v>14.773999999999999</v>
      </c>
      <c r="U969" s="4">
        <v>14.57554</v>
      </c>
      <c r="V969" t="str">
        <f>IF(Table1[[#This Row],[ai_disruption_intensity]]&gt;70,"High",
IF(Table1[[#This Row],[ai_disruption_intensity]]&gt;40,"Medium","Low"))</f>
        <v>Low</v>
      </c>
      <c r="W969" t="str">
        <f>IF(Table1[[#This Row],[skill_gap_index]]&gt;70,"Large Gap",
IF(Table1[[#This Row],[skill_gap_index]]&gt;40,"Medium Gap","Small Gap"))</f>
        <v>Small Gap</v>
      </c>
      <c r="X969" s="3" t="str">
        <f>IF(Table1[[#This Row],[automation_risk_percent]]&gt;0.7,"Highly Automatable",
IF(Table1[[#This Row],[automation_risk_percent]]&gt;0.4,"Moderate Risk","Safe Job"))</f>
        <v>Safe Job</v>
      </c>
    </row>
    <row r="970" spans="1:24" x14ac:dyDescent="0.3">
      <c r="A970">
        <v>3425</v>
      </c>
      <c r="B970" t="s">
        <v>46</v>
      </c>
      <c r="C970" t="s">
        <v>33</v>
      </c>
      <c r="D970" t="s">
        <v>24</v>
      </c>
      <c r="E970" s="1">
        <v>2026</v>
      </c>
      <c r="F970" s="11">
        <v>5.5E-2</v>
      </c>
      <c r="G970">
        <v>6.35</v>
      </c>
      <c r="H970">
        <v>61.64</v>
      </c>
      <c r="I970" s="2">
        <v>67932.850000000006</v>
      </c>
      <c r="J970" s="2">
        <v>68823.8</v>
      </c>
      <c r="K970" s="2">
        <f>Table1[[#This Row],[Salary_after]]-Table1[[#This Row],[Salary_before]]</f>
        <v>890.94999999999709</v>
      </c>
      <c r="L970" s="11">
        <v>1.3100000000000001E-2</v>
      </c>
      <c r="M970" s="11">
        <v>4.8999999999999998E-3</v>
      </c>
      <c r="N970">
        <v>43.61</v>
      </c>
      <c r="O970">
        <v>90.76</v>
      </c>
      <c r="P970">
        <v>2</v>
      </c>
      <c r="Q970" t="s">
        <v>21</v>
      </c>
      <c r="R970">
        <v>33.57</v>
      </c>
      <c r="S970">
        <v>1.31</v>
      </c>
      <c r="T970" s="4">
        <v>21.085000000000001</v>
      </c>
      <c r="U970" s="4">
        <v>4.9917999999999996</v>
      </c>
      <c r="V970" t="str">
        <f>IF(Table1[[#This Row],[ai_disruption_intensity]]&gt;70,"High",
IF(Table1[[#This Row],[ai_disruption_intensity]]&gt;40,"Medium","Low"))</f>
        <v>Low</v>
      </c>
      <c r="W970" t="str">
        <f>IF(Table1[[#This Row],[skill_gap_index]]&gt;70,"Large Gap",
IF(Table1[[#This Row],[skill_gap_index]]&gt;40,"Medium Gap","Small Gap"))</f>
        <v>Medium Gap</v>
      </c>
      <c r="X970" s="3" t="str">
        <f>IF(Table1[[#This Row],[automation_risk_percent]]&gt;0.7,"Highly Automatable",
IF(Table1[[#This Row],[automation_risk_percent]]&gt;0.4,"Moderate Risk","Safe Job"))</f>
        <v>Safe Job</v>
      </c>
    </row>
    <row r="971" spans="1:24" x14ac:dyDescent="0.3">
      <c r="A971">
        <v>3428</v>
      </c>
      <c r="B971" t="s">
        <v>41</v>
      </c>
      <c r="C971" t="s">
        <v>19</v>
      </c>
      <c r="D971" t="s">
        <v>32</v>
      </c>
      <c r="E971" s="1">
        <v>2025</v>
      </c>
      <c r="F971" s="11">
        <v>0.59650000000000003</v>
      </c>
      <c r="G971">
        <v>57.96</v>
      </c>
      <c r="H971">
        <v>1.1599999999999999</v>
      </c>
      <c r="I971" s="2">
        <v>98164.74</v>
      </c>
      <c r="J971" s="2">
        <v>101466.4</v>
      </c>
      <c r="K971" s="2">
        <f>Table1[[#This Row],[Salary_after]]-Table1[[#This Row],[Salary_before]]</f>
        <v>3301.6599999999889</v>
      </c>
      <c r="L971" s="11">
        <v>3.3599999999999998E-2</v>
      </c>
      <c r="M971" s="11">
        <v>2.3E-3</v>
      </c>
      <c r="N971">
        <v>33.200000000000003</v>
      </c>
      <c r="O971">
        <v>67.42</v>
      </c>
      <c r="P971">
        <v>5</v>
      </c>
      <c r="Q971" t="s">
        <v>25</v>
      </c>
      <c r="R971">
        <v>30.404999999999902</v>
      </c>
      <c r="S971">
        <v>3.36</v>
      </c>
      <c r="T971" s="4">
        <v>25.215999999999902</v>
      </c>
      <c r="U971" s="4">
        <v>40.216030000000003</v>
      </c>
      <c r="V971" t="str">
        <f>IF(Table1[[#This Row],[ai_disruption_intensity]]&gt;70,"High",
IF(Table1[[#This Row],[ai_disruption_intensity]]&gt;40,"Medium","Low"))</f>
        <v>Medium</v>
      </c>
      <c r="W971" t="str">
        <f>IF(Table1[[#This Row],[skill_gap_index]]&gt;70,"Large Gap",
IF(Table1[[#This Row],[skill_gap_index]]&gt;40,"Medium Gap","Small Gap"))</f>
        <v>Small Gap</v>
      </c>
      <c r="X971" s="3" t="str">
        <f>IF(Table1[[#This Row],[automation_risk_percent]]&gt;0.7,"Highly Automatable",
IF(Table1[[#This Row],[automation_risk_percent]]&gt;0.4,"Moderate Risk","Safe Job"))</f>
        <v>Moderate Risk</v>
      </c>
    </row>
    <row r="972" spans="1:24" x14ac:dyDescent="0.3">
      <c r="A972">
        <v>3429</v>
      </c>
      <c r="B972" t="s">
        <v>26</v>
      </c>
      <c r="C972" t="s">
        <v>40</v>
      </c>
      <c r="D972" t="s">
        <v>24</v>
      </c>
      <c r="E972" s="1">
        <v>2025</v>
      </c>
      <c r="F972" s="11">
        <v>0.45240000000000002</v>
      </c>
      <c r="G972">
        <v>47.35</v>
      </c>
      <c r="H972">
        <v>26.7</v>
      </c>
      <c r="I972" s="2">
        <v>62050.77</v>
      </c>
      <c r="J972" s="2">
        <v>64599.17</v>
      </c>
      <c r="K972" s="2">
        <f>Table1[[#This Row],[Salary_after]]-Table1[[#This Row],[Salary_before]]</f>
        <v>2548.4000000000015</v>
      </c>
      <c r="L972" s="11">
        <v>4.1100000000000005E-2</v>
      </c>
      <c r="M972" s="11">
        <v>-6.8699999999999997E-2</v>
      </c>
      <c r="N972">
        <v>83.53</v>
      </c>
      <c r="O972">
        <v>35.83</v>
      </c>
      <c r="P972">
        <v>3</v>
      </c>
      <c r="Q972" t="s">
        <v>25</v>
      </c>
      <c r="R972">
        <v>35.97</v>
      </c>
      <c r="S972">
        <v>4.1100000000000003</v>
      </c>
      <c r="T972" s="4">
        <v>27.338999999999999</v>
      </c>
      <c r="U972" s="4">
        <v>16.209492000000001</v>
      </c>
      <c r="V972" t="str">
        <f>IF(Table1[[#This Row],[ai_disruption_intensity]]&gt;70,"High",
IF(Table1[[#This Row],[ai_disruption_intensity]]&gt;40,"Medium","Low"))</f>
        <v>Low</v>
      </c>
      <c r="W972" t="str">
        <f>IF(Table1[[#This Row],[skill_gap_index]]&gt;70,"Large Gap",
IF(Table1[[#This Row],[skill_gap_index]]&gt;40,"Medium Gap","Small Gap"))</f>
        <v>Small Gap</v>
      </c>
      <c r="X972" s="3" t="str">
        <f>IF(Table1[[#This Row],[automation_risk_percent]]&gt;0.7,"Highly Automatable",
IF(Table1[[#This Row],[automation_risk_percent]]&gt;0.4,"Moderate Risk","Safe Job"))</f>
        <v>Moderate Risk</v>
      </c>
    </row>
    <row r="973" spans="1:24" x14ac:dyDescent="0.3">
      <c r="A973">
        <v>3430</v>
      </c>
      <c r="B973" t="s">
        <v>46</v>
      </c>
      <c r="C973" t="s">
        <v>38</v>
      </c>
      <c r="D973" t="s">
        <v>47</v>
      </c>
      <c r="E973" s="1">
        <v>2025</v>
      </c>
      <c r="F973" s="11">
        <v>0.45740000000000003</v>
      </c>
      <c r="G973">
        <v>46.79</v>
      </c>
      <c r="H973">
        <v>6.45</v>
      </c>
      <c r="I973" s="2">
        <v>104610.02</v>
      </c>
      <c r="J973" s="2">
        <v>105146.08</v>
      </c>
      <c r="K973" s="2">
        <f>Table1[[#This Row],[Salary_after]]-Table1[[#This Row],[Salary_before]]</f>
        <v>536.05999999999767</v>
      </c>
      <c r="L973" s="11">
        <v>5.1000000000000004E-3</v>
      </c>
      <c r="M973" s="11">
        <v>3.49E-2</v>
      </c>
      <c r="N973">
        <v>47.31</v>
      </c>
      <c r="O973">
        <v>0.98</v>
      </c>
      <c r="P973">
        <v>2</v>
      </c>
      <c r="Q973" t="s">
        <v>25</v>
      </c>
      <c r="R973">
        <v>26.094999999999999</v>
      </c>
      <c r="S973">
        <v>0.51</v>
      </c>
      <c r="T973" s="4">
        <v>20.384</v>
      </c>
      <c r="U973" s="4">
        <v>0.44825199999999998</v>
      </c>
      <c r="V973" t="str">
        <f>IF(Table1[[#This Row],[ai_disruption_intensity]]&gt;70,"High",
IF(Table1[[#This Row],[ai_disruption_intensity]]&gt;40,"Medium","Low"))</f>
        <v>Low</v>
      </c>
      <c r="W973" t="str">
        <f>IF(Table1[[#This Row],[skill_gap_index]]&gt;70,"Large Gap",
IF(Table1[[#This Row],[skill_gap_index]]&gt;40,"Medium Gap","Small Gap"))</f>
        <v>Small Gap</v>
      </c>
      <c r="X973" s="3" t="str">
        <f>IF(Table1[[#This Row],[automation_risk_percent]]&gt;0.7,"Highly Automatable",
IF(Table1[[#This Row],[automation_risk_percent]]&gt;0.4,"Moderate Risk","Safe Job"))</f>
        <v>Moderate Risk</v>
      </c>
    </row>
    <row r="974" spans="1:24" x14ac:dyDescent="0.3">
      <c r="A974">
        <v>3432</v>
      </c>
      <c r="B974" t="s">
        <v>22</v>
      </c>
      <c r="C974" t="s">
        <v>38</v>
      </c>
      <c r="D974" t="s">
        <v>36</v>
      </c>
      <c r="E974" s="1">
        <v>2026</v>
      </c>
      <c r="F974" s="11">
        <v>0.2671</v>
      </c>
      <c r="G974">
        <v>28.15</v>
      </c>
      <c r="H974">
        <v>85.38</v>
      </c>
      <c r="I974" s="2">
        <v>56888.05</v>
      </c>
      <c r="J974" s="2">
        <v>69392.83</v>
      </c>
      <c r="K974" s="2">
        <f>Table1[[#This Row],[Salary_after]]-Table1[[#This Row],[Salary_before]]</f>
        <v>12504.779999999999</v>
      </c>
      <c r="L974" s="11">
        <v>0.2198</v>
      </c>
      <c r="M974" s="11">
        <v>6.1600000000000002E-2</v>
      </c>
      <c r="N974">
        <v>60.82</v>
      </c>
      <c r="O974">
        <v>36.56</v>
      </c>
      <c r="P974">
        <v>2</v>
      </c>
      <c r="Q974" t="s">
        <v>21</v>
      </c>
      <c r="R974">
        <v>56.045000000000002</v>
      </c>
      <c r="S974">
        <v>21.98</v>
      </c>
      <c r="T974" s="4">
        <v>42.892000000000003</v>
      </c>
      <c r="U974" s="4">
        <v>9.7651760000000003</v>
      </c>
      <c r="V974" t="str">
        <f>IF(Table1[[#This Row],[ai_disruption_intensity]]&gt;70,"High",
IF(Table1[[#This Row],[ai_disruption_intensity]]&gt;40,"Medium","Low"))</f>
        <v>Low</v>
      </c>
      <c r="W974" t="str">
        <f>IF(Table1[[#This Row],[skill_gap_index]]&gt;70,"Large Gap",
IF(Table1[[#This Row],[skill_gap_index]]&gt;40,"Medium Gap","Small Gap"))</f>
        <v>Large Gap</v>
      </c>
      <c r="X974" s="3" t="str">
        <f>IF(Table1[[#This Row],[automation_risk_percent]]&gt;0.7,"Highly Automatable",
IF(Table1[[#This Row],[automation_risk_percent]]&gt;0.4,"Moderate Risk","Safe Job"))</f>
        <v>Safe Job</v>
      </c>
    </row>
    <row r="975" spans="1:24" x14ac:dyDescent="0.3">
      <c r="A975">
        <v>3440</v>
      </c>
      <c r="B975" t="s">
        <v>26</v>
      </c>
      <c r="C975" t="s">
        <v>33</v>
      </c>
      <c r="D975" t="s">
        <v>20</v>
      </c>
      <c r="E975" s="1">
        <v>2026</v>
      </c>
      <c r="F975" s="11">
        <v>9.1199999999999989E-2</v>
      </c>
      <c r="G975">
        <v>10.43</v>
      </c>
      <c r="H975">
        <v>66.48</v>
      </c>
      <c r="I975" s="2">
        <v>115288.22</v>
      </c>
      <c r="J975" s="2">
        <v>112195.85</v>
      </c>
      <c r="K975" s="2">
        <f>Table1[[#This Row],[Salary_after]]-Table1[[#This Row],[Salary_before]]</f>
        <v>-3092.3699999999953</v>
      </c>
      <c r="L975" s="11">
        <v>-2.6800000000000001E-2</v>
      </c>
      <c r="M975" s="11">
        <v>0.34990000000000004</v>
      </c>
      <c r="N975">
        <v>40.18</v>
      </c>
      <c r="O975">
        <v>71.56</v>
      </c>
      <c r="P975">
        <v>3</v>
      </c>
      <c r="Q975" t="s">
        <v>21</v>
      </c>
      <c r="R975">
        <v>37.799999999999997</v>
      </c>
      <c r="S975">
        <v>2.68</v>
      </c>
      <c r="T975" s="4">
        <v>24.395999999999901</v>
      </c>
      <c r="U975" s="4">
        <v>6.5262719999999996</v>
      </c>
      <c r="V975" t="str">
        <f>IF(Table1[[#This Row],[ai_disruption_intensity]]&gt;70,"High",
IF(Table1[[#This Row],[ai_disruption_intensity]]&gt;40,"Medium","Low"))</f>
        <v>Low</v>
      </c>
      <c r="W975" t="str">
        <f>IF(Table1[[#This Row],[skill_gap_index]]&gt;70,"Large Gap",
IF(Table1[[#This Row],[skill_gap_index]]&gt;40,"Medium Gap","Small Gap"))</f>
        <v>Medium Gap</v>
      </c>
      <c r="X975" s="3" t="str">
        <f>IF(Table1[[#This Row],[automation_risk_percent]]&gt;0.7,"Highly Automatable",
IF(Table1[[#This Row],[automation_risk_percent]]&gt;0.4,"Moderate Risk","Safe Job"))</f>
        <v>Safe Job</v>
      </c>
    </row>
    <row r="976" spans="1:24" x14ac:dyDescent="0.3">
      <c r="A976">
        <v>3442</v>
      </c>
      <c r="B976" t="s">
        <v>39</v>
      </c>
      <c r="C976" t="s">
        <v>40</v>
      </c>
      <c r="D976" t="s">
        <v>32</v>
      </c>
      <c r="E976" s="1">
        <v>2026</v>
      </c>
      <c r="F976" s="11">
        <v>0.39929999999999999</v>
      </c>
      <c r="G976">
        <v>33.11</v>
      </c>
      <c r="H976">
        <v>41.08</v>
      </c>
      <c r="I976" s="2">
        <v>91605.36</v>
      </c>
      <c r="J976" s="2">
        <v>91760.35</v>
      </c>
      <c r="K976" s="2">
        <f>Table1[[#This Row],[Salary_after]]-Table1[[#This Row],[Salary_before]]</f>
        <v>154.99000000000524</v>
      </c>
      <c r="L976" s="11">
        <v>1.7000000000000001E-3</v>
      </c>
      <c r="M976" s="11">
        <v>-2.46E-2</v>
      </c>
      <c r="N976">
        <v>96.33</v>
      </c>
      <c r="O976">
        <v>97.89</v>
      </c>
      <c r="P976">
        <v>3</v>
      </c>
      <c r="Q976" t="s">
        <v>25</v>
      </c>
      <c r="R976">
        <v>40.504999999999903</v>
      </c>
      <c r="S976">
        <v>0.17</v>
      </c>
      <c r="T976" s="4">
        <v>28.346999999999898</v>
      </c>
      <c r="U976" s="4">
        <v>39.087477</v>
      </c>
      <c r="V976" t="str">
        <f>IF(Table1[[#This Row],[ai_disruption_intensity]]&gt;70,"High",
IF(Table1[[#This Row],[ai_disruption_intensity]]&gt;40,"Medium","Low"))</f>
        <v>Low</v>
      </c>
      <c r="W976" t="str">
        <f>IF(Table1[[#This Row],[skill_gap_index]]&gt;70,"Large Gap",
IF(Table1[[#This Row],[skill_gap_index]]&gt;40,"Medium Gap","Small Gap"))</f>
        <v>Medium Gap</v>
      </c>
      <c r="X976" s="3" t="str">
        <f>IF(Table1[[#This Row],[automation_risk_percent]]&gt;0.7,"Highly Automatable",
IF(Table1[[#This Row],[automation_risk_percent]]&gt;0.4,"Moderate Risk","Safe Job"))</f>
        <v>Safe Job</v>
      </c>
    </row>
    <row r="977" spans="1:24" x14ac:dyDescent="0.3">
      <c r="A977">
        <v>3447</v>
      </c>
      <c r="B977" t="s">
        <v>43</v>
      </c>
      <c r="C977" t="s">
        <v>33</v>
      </c>
      <c r="D977" t="s">
        <v>20</v>
      </c>
      <c r="E977" s="1">
        <v>2025</v>
      </c>
      <c r="F977" s="11">
        <v>0.36820000000000003</v>
      </c>
      <c r="G977">
        <v>35.94</v>
      </c>
      <c r="H977">
        <v>42.27</v>
      </c>
      <c r="I977" s="2">
        <v>109693.07</v>
      </c>
      <c r="J977" s="2">
        <v>101771.48</v>
      </c>
      <c r="K977" s="2">
        <f>Table1[[#This Row],[Salary_after]]-Table1[[#This Row],[Salary_before]]</f>
        <v>-7921.5900000000111</v>
      </c>
      <c r="L977" s="11">
        <v>-7.22E-2</v>
      </c>
      <c r="M977" s="11">
        <v>0.16350000000000001</v>
      </c>
      <c r="N977">
        <v>93.19</v>
      </c>
      <c r="O977">
        <v>93.85</v>
      </c>
      <c r="P977">
        <v>3</v>
      </c>
      <c r="Q977" t="s">
        <v>25</v>
      </c>
      <c r="R977">
        <v>39.545000000000002</v>
      </c>
      <c r="S977">
        <v>7.22</v>
      </c>
      <c r="T977" s="4">
        <v>29.574999999999999</v>
      </c>
      <c r="U977" s="4">
        <v>34.555569999999904</v>
      </c>
      <c r="V977" t="str">
        <f>IF(Table1[[#This Row],[ai_disruption_intensity]]&gt;70,"High",
IF(Table1[[#This Row],[ai_disruption_intensity]]&gt;40,"Medium","Low"))</f>
        <v>Low</v>
      </c>
      <c r="W977" t="str">
        <f>IF(Table1[[#This Row],[skill_gap_index]]&gt;70,"Large Gap",
IF(Table1[[#This Row],[skill_gap_index]]&gt;40,"Medium Gap","Small Gap"))</f>
        <v>Medium Gap</v>
      </c>
      <c r="X977" s="3" t="str">
        <f>IF(Table1[[#This Row],[automation_risk_percent]]&gt;0.7,"Highly Automatable",
IF(Table1[[#This Row],[automation_risk_percent]]&gt;0.4,"Moderate Risk","Safe Job"))</f>
        <v>Safe Job</v>
      </c>
    </row>
    <row r="978" spans="1:24" x14ac:dyDescent="0.3">
      <c r="A978">
        <v>3451</v>
      </c>
      <c r="B978" t="s">
        <v>18</v>
      </c>
      <c r="C978" t="s">
        <v>34</v>
      </c>
      <c r="D978" t="s">
        <v>36</v>
      </c>
      <c r="E978" s="1">
        <v>2026</v>
      </c>
      <c r="F978" s="11">
        <v>0.1014</v>
      </c>
      <c r="G978">
        <v>9.51</v>
      </c>
      <c r="H978">
        <v>49.46</v>
      </c>
      <c r="I978" s="2">
        <v>128237.06</v>
      </c>
      <c r="J978" s="2">
        <v>134695.99</v>
      </c>
      <c r="K978" s="2">
        <f>Table1[[#This Row],[Salary_after]]-Table1[[#This Row],[Salary_before]]</f>
        <v>6458.929999999993</v>
      </c>
      <c r="L978" s="11">
        <v>5.04E-2</v>
      </c>
      <c r="M978" s="11">
        <v>0.1258</v>
      </c>
      <c r="N978">
        <v>32.25</v>
      </c>
      <c r="O978">
        <v>72.02</v>
      </c>
      <c r="P978">
        <v>1</v>
      </c>
      <c r="Q978" t="s">
        <v>21</v>
      </c>
      <c r="R978">
        <v>29.8</v>
      </c>
      <c r="S978">
        <v>5.04</v>
      </c>
      <c r="T978" s="4">
        <v>20.405999999999999</v>
      </c>
      <c r="U978" s="4">
        <v>7.3028279999999999</v>
      </c>
      <c r="V978" t="str">
        <f>IF(Table1[[#This Row],[ai_disruption_intensity]]&gt;70,"High",
IF(Table1[[#This Row],[ai_disruption_intensity]]&gt;40,"Medium","Low"))</f>
        <v>Low</v>
      </c>
      <c r="W978" t="str">
        <f>IF(Table1[[#This Row],[skill_gap_index]]&gt;70,"Large Gap",
IF(Table1[[#This Row],[skill_gap_index]]&gt;40,"Medium Gap","Small Gap"))</f>
        <v>Medium Gap</v>
      </c>
      <c r="X978" s="3" t="str">
        <f>IF(Table1[[#This Row],[automation_risk_percent]]&gt;0.7,"Highly Automatable",
IF(Table1[[#This Row],[automation_risk_percent]]&gt;0.4,"Moderate Risk","Safe Job"))</f>
        <v>Safe Job</v>
      </c>
    </row>
    <row r="979" spans="1:24" x14ac:dyDescent="0.3">
      <c r="A979">
        <v>3452</v>
      </c>
      <c r="B979" t="s">
        <v>41</v>
      </c>
      <c r="C979" t="s">
        <v>19</v>
      </c>
      <c r="D979" t="s">
        <v>28</v>
      </c>
      <c r="E979" s="1">
        <v>2026</v>
      </c>
      <c r="F979" s="11">
        <v>0.42259999999999998</v>
      </c>
      <c r="G979">
        <v>37.43</v>
      </c>
      <c r="H979">
        <v>54.71</v>
      </c>
      <c r="I979" s="2">
        <v>111462.53</v>
      </c>
      <c r="J979" s="2">
        <v>116626.77</v>
      </c>
      <c r="K979" s="2">
        <f>Table1[[#This Row],[Salary_after]]-Table1[[#This Row],[Salary_before]]</f>
        <v>5164.2400000000052</v>
      </c>
      <c r="L979" s="11">
        <v>4.6300000000000001E-2</v>
      </c>
      <c r="M979" s="11">
        <v>8.6599999999999996E-2</v>
      </c>
      <c r="N979">
        <v>64.400000000000006</v>
      </c>
      <c r="O979">
        <v>42.88</v>
      </c>
      <c r="P979">
        <v>4</v>
      </c>
      <c r="Q979" t="s">
        <v>25</v>
      </c>
      <c r="R979">
        <v>48.484999999999999</v>
      </c>
      <c r="S979">
        <v>4.63</v>
      </c>
      <c r="T979" s="4">
        <v>34.706000000000003</v>
      </c>
      <c r="U979" s="4">
        <v>18.121088</v>
      </c>
      <c r="V979" t="str">
        <f>IF(Table1[[#This Row],[ai_disruption_intensity]]&gt;70,"High",
IF(Table1[[#This Row],[ai_disruption_intensity]]&gt;40,"Medium","Low"))</f>
        <v>Low</v>
      </c>
      <c r="W979" t="str">
        <f>IF(Table1[[#This Row],[skill_gap_index]]&gt;70,"Large Gap",
IF(Table1[[#This Row],[skill_gap_index]]&gt;40,"Medium Gap","Small Gap"))</f>
        <v>Medium Gap</v>
      </c>
      <c r="X979" s="3" t="str">
        <f>IF(Table1[[#This Row],[automation_risk_percent]]&gt;0.7,"Highly Automatable",
IF(Table1[[#This Row],[automation_risk_percent]]&gt;0.4,"Moderate Risk","Safe Job"))</f>
        <v>Moderate Risk</v>
      </c>
    </row>
    <row r="980" spans="1:24" x14ac:dyDescent="0.3">
      <c r="A980">
        <v>3454</v>
      </c>
      <c r="B980" t="s">
        <v>18</v>
      </c>
      <c r="C980" t="s">
        <v>30</v>
      </c>
      <c r="D980" t="s">
        <v>42</v>
      </c>
      <c r="E980" s="1">
        <v>2026</v>
      </c>
      <c r="F980" s="11">
        <v>0.46090000000000003</v>
      </c>
      <c r="G980">
        <v>39.99</v>
      </c>
      <c r="H980">
        <v>80.62</v>
      </c>
      <c r="I980" s="2">
        <v>47463.54</v>
      </c>
      <c r="J980" s="2">
        <v>55418.31</v>
      </c>
      <c r="K980" s="2">
        <f>Table1[[#This Row],[Salary_after]]-Table1[[#This Row],[Salary_before]]</f>
        <v>7954.7699999999968</v>
      </c>
      <c r="L980" s="11">
        <v>0.16760000000000003</v>
      </c>
      <c r="M980" s="11">
        <v>3.7000000000000005E-2</v>
      </c>
      <c r="N980">
        <v>53.65</v>
      </c>
      <c r="O980">
        <v>36.1</v>
      </c>
      <c r="P980">
        <v>4</v>
      </c>
      <c r="Q980" t="s">
        <v>25</v>
      </c>
      <c r="R980">
        <v>63.354999999999997</v>
      </c>
      <c r="S980">
        <v>16.760000000000002</v>
      </c>
      <c r="T980" s="4">
        <v>47.65</v>
      </c>
      <c r="U980" s="4">
        <v>16.638490000000001</v>
      </c>
      <c r="V980" t="str">
        <f>IF(Table1[[#This Row],[ai_disruption_intensity]]&gt;70,"High",
IF(Table1[[#This Row],[ai_disruption_intensity]]&gt;40,"Medium","Low"))</f>
        <v>Low</v>
      </c>
      <c r="W980" t="str">
        <f>IF(Table1[[#This Row],[skill_gap_index]]&gt;70,"Large Gap",
IF(Table1[[#This Row],[skill_gap_index]]&gt;40,"Medium Gap","Small Gap"))</f>
        <v>Large Gap</v>
      </c>
      <c r="X980" s="3" t="str">
        <f>IF(Table1[[#This Row],[automation_risk_percent]]&gt;0.7,"Highly Automatable",
IF(Table1[[#This Row],[automation_risk_percent]]&gt;0.4,"Moderate Risk","Safe Job"))</f>
        <v>Moderate Risk</v>
      </c>
    </row>
    <row r="981" spans="1:24" x14ac:dyDescent="0.3">
      <c r="A981">
        <v>3455</v>
      </c>
      <c r="B981" t="s">
        <v>41</v>
      </c>
      <c r="C981" t="s">
        <v>34</v>
      </c>
      <c r="D981" t="s">
        <v>47</v>
      </c>
      <c r="E981" s="1">
        <v>2026</v>
      </c>
      <c r="F981" s="11">
        <v>0.58240000000000003</v>
      </c>
      <c r="G981">
        <v>66.37</v>
      </c>
      <c r="H981">
        <v>99.04</v>
      </c>
      <c r="I981" s="2">
        <v>105737.19</v>
      </c>
      <c r="J981" s="2">
        <v>121907.91</v>
      </c>
      <c r="K981" s="2">
        <f>Table1[[#This Row],[Salary_after]]-Table1[[#This Row],[Salary_before]]</f>
        <v>16170.720000000001</v>
      </c>
      <c r="L981" s="11">
        <v>0.15289999999999998</v>
      </c>
      <c r="M981" s="11">
        <v>9.5299999999999996E-2</v>
      </c>
      <c r="N981">
        <v>56.15</v>
      </c>
      <c r="O981">
        <v>28.62</v>
      </c>
      <c r="P981">
        <v>5</v>
      </c>
      <c r="Q981" t="s">
        <v>25</v>
      </c>
      <c r="R981">
        <v>78.64</v>
      </c>
      <c r="S981">
        <v>15.29</v>
      </c>
      <c r="T981" s="4">
        <v>57.594999999999999</v>
      </c>
      <c r="U981" s="4">
        <v>16.668288</v>
      </c>
      <c r="V981" t="str">
        <f>IF(Table1[[#This Row],[ai_disruption_intensity]]&gt;70,"High",
IF(Table1[[#This Row],[ai_disruption_intensity]]&gt;40,"Medium","Low"))</f>
        <v>Low</v>
      </c>
      <c r="W981" t="str">
        <f>IF(Table1[[#This Row],[skill_gap_index]]&gt;70,"Large Gap",
IF(Table1[[#This Row],[skill_gap_index]]&gt;40,"Medium Gap","Small Gap"))</f>
        <v>Large Gap</v>
      </c>
      <c r="X981" s="3" t="str">
        <f>IF(Table1[[#This Row],[automation_risk_percent]]&gt;0.7,"Highly Automatable",
IF(Table1[[#This Row],[automation_risk_percent]]&gt;0.4,"Moderate Risk","Safe Job"))</f>
        <v>Moderate Risk</v>
      </c>
    </row>
    <row r="982" spans="1:24" x14ac:dyDescent="0.3">
      <c r="A982">
        <v>3460</v>
      </c>
      <c r="B982" t="s">
        <v>26</v>
      </c>
      <c r="C982" t="s">
        <v>19</v>
      </c>
      <c r="D982" t="s">
        <v>28</v>
      </c>
      <c r="E982" s="1">
        <v>2026</v>
      </c>
      <c r="F982" s="11">
        <v>0.15789999999999998</v>
      </c>
      <c r="G982">
        <v>16.41</v>
      </c>
      <c r="H982">
        <v>12.5</v>
      </c>
      <c r="I982" s="2">
        <v>147414.38</v>
      </c>
      <c r="J982" s="2">
        <v>166551.17000000001</v>
      </c>
      <c r="K982" s="2">
        <f>Table1[[#This Row],[Salary_after]]-Table1[[#This Row],[Salary_before]]</f>
        <v>19136.790000000008</v>
      </c>
      <c r="L982" s="11">
        <v>0.1298</v>
      </c>
      <c r="M982" s="11">
        <v>3.1699999999999999E-2</v>
      </c>
      <c r="N982">
        <v>79.180000000000007</v>
      </c>
      <c r="O982">
        <v>71.37</v>
      </c>
      <c r="P982">
        <v>5</v>
      </c>
      <c r="Q982" t="s">
        <v>21</v>
      </c>
      <c r="R982">
        <v>14.145</v>
      </c>
      <c r="S982">
        <v>12.98</v>
      </c>
      <c r="T982" s="4">
        <v>13.9599999999999</v>
      </c>
      <c r="U982" s="4">
        <v>11.269323</v>
      </c>
      <c r="V982" t="str">
        <f>IF(Table1[[#This Row],[ai_disruption_intensity]]&gt;70,"High",
IF(Table1[[#This Row],[ai_disruption_intensity]]&gt;40,"Medium","Low"))</f>
        <v>Low</v>
      </c>
      <c r="W982" t="str">
        <f>IF(Table1[[#This Row],[skill_gap_index]]&gt;70,"Large Gap",
IF(Table1[[#This Row],[skill_gap_index]]&gt;40,"Medium Gap","Small Gap"))</f>
        <v>Small Gap</v>
      </c>
      <c r="X982" s="3" t="str">
        <f>IF(Table1[[#This Row],[automation_risk_percent]]&gt;0.7,"Highly Automatable",
IF(Table1[[#This Row],[automation_risk_percent]]&gt;0.4,"Moderate Risk","Safe Job"))</f>
        <v>Safe Job</v>
      </c>
    </row>
    <row r="983" spans="1:24" x14ac:dyDescent="0.3">
      <c r="A983">
        <v>3461</v>
      </c>
      <c r="B983" t="s">
        <v>43</v>
      </c>
      <c r="C983" t="s">
        <v>33</v>
      </c>
      <c r="D983" t="s">
        <v>28</v>
      </c>
      <c r="E983" s="1">
        <v>2026</v>
      </c>
      <c r="F983" s="11">
        <v>0.67920000000000003</v>
      </c>
      <c r="G983">
        <v>57.06</v>
      </c>
      <c r="H983">
        <v>67.849999999999994</v>
      </c>
      <c r="I983" s="2">
        <v>61899.27</v>
      </c>
      <c r="J983" s="2">
        <v>53078.21</v>
      </c>
      <c r="K983" s="2">
        <f>Table1[[#This Row],[Salary_after]]-Table1[[#This Row],[Salary_before]]</f>
        <v>-8821.0599999999977</v>
      </c>
      <c r="L983" s="11">
        <v>-0.14249999999999999</v>
      </c>
      <c r="M983" s="11">
        <v>-8.6999999999999994E-2</v>
      </c>
      <c r="N983">
        <v>21.01</v>
      </c>
      <c r="O983">
        <v>9.81</v>
      </c>
      <c r="P983">
        <v>3</v>
      </c>
      <c r="Q983" t="s">
        <v>37</v>
      </c>
      <c r="R983">
        <v>67.884999999999906</v>
      </c>
      <c r="S983">
        <v>14.25</v>
      </c>
      <c r="T983" s="4">
        <v>51.797999999999902</v>
      </c>
      <c r="U983" s="4">
        <v>6.6629519999999998</v>
      </c>
      <c r="V983" t="str">
        <f>IF(Table1[[#This Row],[ai_disruption_intensity]]&gt;70,"High",
IF(Table1[[#This Row],[ai_disruption_intensity]]&gt;40,"Medium","Low"))</f>
        <v>Low</v>
      </c>
      <c r="W983" t="str">
        <f>IF(Table1[[#This Row],[skill_gap_index]]&gt;70,"Large Gap",
IF(Table1[[#This Row],[skill_gap_index]]&gt;40,"Medium Gap","Small Gap"))</f>
        <v>Medium Gap</v>
      </c>
      <c r="X983" s="3" t="str">
        <f>IF(Table1[[#This Row],[automation_risk_percent]]&gt;0.7,"Highly Automatable",
IF(Table1[[#This Row],[automation_risk_percent]]&gt;0.4,"Moderate Risk","Safe Job"))</f>
        <v>Moderate Risk</v>
      </c>
    </row>
    <row r="984" spans="1:24" x14ac:dyDescent="0.3">
      <c r="A984">
        <v>3463</v>
      </c>
      <c r="B984" t="s">
        <v>45</v>
      </c>
      <c r="C984" t="s">
        <v>19</v>
      </c>
      <c r="D984" t="s">
        <v>31</v>
      </c>
      <c r="E984" s="1">
        <v>2026</v>
      </c>
      <c r="F984" s="11">
        <v>0.14550000000000002</v>
      </c>
      <c r="G984">
        <v>14.51</v>
      </c>
      <c r="H984">
        <v>99.28</v>
      </c>
      <c r="I984" s="2">
        <v>76488.33</v>
      </c>
      <c r="J984" s="2">
        <v>69634.320000000007</v>
      </c>
      <c r="K984" s="2">
        <f>Table1[[#This Row],[Salary_after]]-Table1[[#This Row],[Salary_before]]</f>
        <v>-6854.0099999999948</v>
      </c>
      <c r="L984" s="11">
        <v>-8.9600000000000013E-2</v>
      </c>
      <c r="M984" s="11">
        <v>7.1399999999999991E-2</v>
      </c>
      <c r="N984">
        <v>22.71</v>
      </c>
      <c r="O984">
        <v>87.47</v>
      </c>
      <c r="P984">
        <v>2</v>
      </c>
      <c r="Q984" t="s">
        <v>21</v>
      </c>
      <c r="R984">
        <v>56.914999999999999</v>
      </c>
      <c r="S984">
        <v>8.9600000000000009</v>
      </c>
      <c r="T984" s="4">
        <v>38.292000000000002</v>
      </c>
      <c r="U984" s="4">
        <v>12.726884999999999</v>
      </c>
      <c r="V984" t="str">
        <f>IF(Table1[[#This Row],[ai_disruption_intensity]]&gt;70,"High",
IF(Table1[[#This Row],[ai_disruption_intensity]]&gt;40,"Medium","Low"))</f>
        <v>Low</v>
      </c>
      <c r="W984" t="str">
        <f>IF(Table1[[#This Row],[skill_gap_index]]&gt;70,"Large Gap",
IF(Table1[[#This Row],[skill_gap_index]]&gt;40,"Medium Gap","Small Gap"))</f>
        <v>Large Gap</v>
      </c>
      <c r="X984" s="3" t="str">
        <f>IF(Table1[[#This Row],[automation_risk_percent]]&gt;0.7,"Highly Automatable",
IF(Table1[[#This Row],[automation_risk_percent]]&gt;0.4,"Moderate Risk","Safe Job"))</f>
        <v>Safe Job</v>
      </c>
    </row>
    <row r="985" spans="1:24" x14ac:dyDescent="0.3">
      <c r="A985">
        <v>3469</v>
      </c>
      <c r="B985" t="s">
        <v>22</v>
      </c>
      <c r="C985" t="s">
        <v>19</v>
      </c>
      <c r="D985" t="s">
        <v>28</v>
      </c>
      <c r="E985" s="1">
        <v>2025</v>
      </c>
      <c r="F985" s="11">
        <v>0.29649999999999999</v>
      </c>
      <c r="G985">
        <v>34.049999999999997</v>
      </c>
      <c r="H985">
        <v>89.63</v>
      </c>
      <c r="I985" s="2">
        <v>108074.32</v>
      </c>
      <c r="J985" s="2">
        <v>114073.36</v>
      </c>
      <c r="K985" s="2">
        <f>Table1[[#This Row],[Salary_after]]-Table1[[#This Row],[Salary_before]]</f>
        <v>5999.0399999999936</v>
      </c>
      <c r="L985" s="11">
        <v>5.5500000000000001E-2</v>
      </c>
      <c r="M985" s="11">
        <v>0.18410000000000001</v>
      </c>
      <c r="N985">
        <v>57.27</v>
      </c>
      <c r="O985">
        <v>96.67</v>
      </c>
      <c r="P985">
        <v>5</v>
      </c>
      <c r="Q985" t="s">
        <v>21</v>
      </c>
      <c r="R985">
        <v>59.64</v>
      </c>
      <c r="S985">
        <v>5.55</v>
      </c>
      <c r="T985" s="4">
        <v>40.413999999999902</v>
      </c>
      <c r="U985" s="4">
        <v>28.662655000000001</v>
      </c>
      <c r="V985" t="str">
        <f>IF(Table1[[#This Row],[ai_disruption_intensity]]&gt;70,"High",
IF(Table1[[#This Row],[ai_disruption_intensity]]&gt;40,"Medium","Low"))</f>
        <v>Low</v>
      </c>
      <c r="W985" t="str">
        <f>IF(Table1[[#This Row],[skill_gap_index]]&gt;70,"Large Gap",
IF(Table1[[#This Row],[skill_gap_index]]&gt;40,"Medium Gap","Small Gap"))</f>
        <v>Large Gap</v>
      </c>
      <c r="X985" s="3" t="str">
        <f>IF(Table1[[#This Row],[automation_risk_percent]]&gt;0.7,"Highly Automatable",
IF(Table1[[#This Row],[automation_risk_percent]]&gt;0.4,"Moderate Risk","Safe Job"))</f>
        <v>Safe Job</v>
      </c>
    </row>
    <row r="986" spans="1:24" x14ac:dyDescent="0.3">
      <c r="A986">
        <v>3470</v>
      </c>
      <c r="B986" t="s">
        <v>26</v>
      </c>
      <c r="C986" t="s">
        <v>30</v>
      </c>
      <c r="D986" t="s">
        <v>32</v>
      </c>
      <c r="E986" s="1">
        <v>2026</v>
      </c>
      <c r="F986" s="11">
        <v>0.19789999999999999</v>
      </c>
      <c r="G986">
        <v>17.05</v>
      </c>
      <c r="H986">
        <v>28.75</v>
      </c>
      <c r="I986" s="2">
        <v>103755.07</v>
      </c>
      <c r="J986" s="2">
        <v>115228.38</v>
      </c>
      <c r="K986" s="2">
        <f>Table1[[#This Row],[Salary_after]]-Table1[[#This Row],[Salary_before]]</f>
        <v>11473.309999999998</v>
      </c>
      <c r="L986" s="11">
        <v>0.1106</v>
      </c>
      <c r="M986" s="11">
        <v>2.1899999999999999E-2</v>
      </c>
      <c r="N986">
        <v>32.43</v>
      </c>
      <c r="O986">
        <v>31.32</v>
      </c>
      <c r="P986">
        <v>1</v>
      </c>
      <c r="Q986" t="s">
        <v>21</v>
      </c>
      <c r="R986">
        <v>24.27</v>
      </c>
      <c r="S986">
        <v>11.06</v>
      </c>
      <c r="T986" s="4">
        <v>19.859000000000002</v>
      </c>
      <c r="U986" s="4">
        <v>6.1982280000000003</v>
      </c>
      <c r="V986" t="str">
        <f>IF(Table1[[#This Row],[ai_disruption_intensity]]&gt;70,"High",
IF(Table1[[#This Row],[ai_disruption_intensity]]&gt;40,"Medium","Low"))</f>
        <v>Low</v>
      </c>
      <c r="W986" t="str">
        <f>IF(Table1[[#This Row],[skill_gap_index]]&gt;70,"Large Gap",
IF(Table1[[#This Row],[skill_gap_index]]&gt;40,"Medium Gap","Small Gap"))</f>
        <v>Small Gap</v>
      </c>
      <c r="X986" s="3" t="str">
        <f>IF(Table1[[#This Row],[automation_risk_percent]]&gt;0.7,"Highly Automatable",
IF(Table1[[#This Row],[automation_risk_percent]]&gt;0.4,"Moderate Risk","Safe Job"))</f>
        <v>Safe Job</v>
      </c>
    </row>
    <row r="987" spans="1:24" x14ac:dyDescent="0.3">
      <c r="A987">
        <v>3471</v>
      </c>
      <c r="B987" t="s">
        <v>46</v>
      </c>
      <c r="C987" t="s">
        <v>34</v>
      </c>
      <c r="D987" t="s">
        <v>31</v>
      </c>
      <c r="E987" s="1">
        <v>2026</v>
      </c>
      <c r="F987" s="11">
        <v>0.05</v>
      </c>
      <c r="G987">
        <v>4.5199999999999996</v>
      </c>
      <c r="H987">
        <v>49.03</v>
      </c>
      <c r="I987" s="2">
        <v>143536.43</v>
      </c>
      <c r="J987" s="2">
        <v>166341</v>
      </c>
      <c r="K987" s="2">
        <f>Table1[[#This Row],[Salary_after]]-Table1[[#This Row],[Salary_before]]</f>
        <v>22804.570000000007</v>
      </c>
      <c r="L987" s="11">
        <v>0.15890000000000001</v>
      </c>
      <c r="M987" s="11">
        <v>-7.6299999999999993E-2</v>
      </c>
      <c r="N987">
        <v>48.49</v>
      </c>
      <c r="O987">
        <v>4.68</v>
      </c>
      <c r="P987">
        <v>3</v>
      </c>
      <c r="Q987" t="s">
        <v>21</v>
      </c>
      <c r="R987">
        <v>27.015000000000001</v>
      </c>
      <c r="S987">
        <v>15.89</v>
      </c>
      <c r="T987" s="4">
        <v>21.475999999999999</v>
      </c>
      <c r="U987" s="4">
        <v>0.23399999999999899</v>
      </c>
      <c r="V987" t="str">
        <f>IF(Table1[[#This Row],[ai_disruption_intensity]]&gt;70,"High",
IF(Table1[[#This Row],[ai_disruption_intensity]]&gt;40,"Medium","Low"))</f>
        <v>Low</v>
      </c>
      <c r="W987" t="str">
        <f>IF(Table1[[#This Row],[skill_gap_index]]&gt;70,"Large Gap",
IF(Table1[[#This Row],[skill_gap_index]]&gt;40,"Medium Gap","Small Gap"))</f>
        <v>Medium Gap</v>
      </c>
      <c r="X987" s="3" t="str">
        <f>IF(Table1[[#This Row],[automation_risk_percent]]&gt;0.7,"Highly Automatable",
IF(Table1[[#This Row],[automation_risk_percent]]&gt;0.4,"Moderate Risk","Safe Job"))</f>
        <v>Safe Job</v>
      </c>
    </row>
    <row r="988" spans="1:24" x14ac:dyDescent="0.3">
      <c r="A988">
        <v>3475</v>
      </c>
      <c r="B988" t="s">
        <v>39</v>
      </c>
      <c r="C988" t="s">
        <v>27</v>
      </c>
      <c r="D988" t="s">
        <v>36</v>
      </c>
      <c r="E988" s="1">
        <v>2026</v>
      </c>
      <c r="F988" s="11">
        <v>0.69030000000000002</v>
      </c>
      <c r="G988">
        <v>69.81</v>
      </c>
      <c r="H988">
        <v>12.34</v>
      </c>
      <c r="I988" s="2">
        <v>60213.11</v>
      </c>
      <c r="J988" s="2">
        <v>72242.759999999995</v>
      </c>
      <c r="K988" s="2">
        <f>Table1[[#This Row],[Salary_after]]-Table1[[#This Row],[Salary_before]]</f>
        <v>12029.649999999994</v>
      </c>
      <c r="L988" s="11">
        <v>0.19980000000000001</v>
      </c>
      <c r="M988" s="11">
        <v>0.20100000000000001</v>
      </c>
      <c r="N988">
        <v>61.92</v>
      </c>
      <c r="O988">
        <v>7.7</v>
      </c>
      <c r="P988">
        <v>2</v>
      </c>
      <c r="Q988" t="s">
        <v>37</v>
      </c>
      <c r="R988">
        <v>40.685000000000002</v>
      </c>
      <c r="S988">
        <v>19.98</v>
      </c>
      <c r="T988" s="4">
        <v>37.308</v>
      </c>
      <c r="U988" s="4">
        <v>5.3153100000000002</v>
      </c>
      <c r="V988" t="str">
        <f>IF(Table1[[#This Row],[ai_disruption_intensity]]&gt;70,"High",
IF(Table1[[#This Row],[ai_disruption_intensity]]&gt;40,"Medium","Low"))</f>
        <v>Low</v>
      </c>
      <c r="W988" t="str">
        <f>IF(Table1[[#This Row],[skill_gap_index]]&gt;70,"Large Gap",
IF(Table1[[#This Row],[skill_gap_index]]&gt;40,"Medium Gap","Small Gap"))</f>
        <v>Small Gap</v>
      </c>
      <c r="X988" s="3" t="str">
        <f>IF(Table1[[#This Row],[automation_risk_percent]]&gt;0.7,"Highly Automatable",
IF(Table1[[#This Row],[automation_risk_percent]]&gt;0.4,"Moderate Risk","Safe Job"))</f>
        <v>Moderate Risk</v>
      </c>
    </row>
    <row r="989" spans="1:24" x14ac:dyDescent="0.3">
      <c r="A989">
        <v>3478</v>
      </c>
      <c r="B989" t="s">
        <v>45</v>
      </c>
      <c r="C989" t="s">
        <v>34</v>
      </c>
      <c r="D989" t="s">
        <v>42</v>
      </c>
      <c r="E989" s="1">
        <v>2026</v>
      </c>
      <c r="F989" s="11">
        <v>0.38130000000000003</v>
      </c>
      <c r="G989">
        <v>43.29</v>
      </c>
      <c r="H989">
        <v>48.23</v>
      </c>
      <c r="I989" s="2">
        <v>138145.60000000001</v>
      </c>
      <c r="J989" s="2">
        <v>167529.24</v>
      </c>
      <c r="K989" s="2">
        <f>Table1[[#This Row],[Salary_after]]-Table1[[#This Row],[Salary_before]]</f>
        <v>29383.639999999985</v>
      </c>
      <c r="L989" s="11">
        <v>0.2127</v>
      </c>
      <c r="M989" s="11">
        <v>6.3E-2</v>
      </c>
      <c r="N989">
        <v>99.8</v>
      </c>
      <c r="O989">
        <v>14.7</v>
      </c>
      <c r="P989">
        <v>3</v>
      </c>
      <c r="Q989" t="s">
        <v>25</v>
      </c>
      <c r="R989">
        <v>43.18</v>
      </c>
      <c r="S989">
        <v>21.27</v>
      </c>
      <c r="T989" s="4">
        <v>36.101999999999997</v>
      </c>
      <c r="U989" s="4">
        <v>5.6051099999999998</v>
      </c>
      <c r="V989" t="str">
        <f>IF(Table1[[#This Row],[ai_disruption_intensity]]&gt;70,"High",
IF(Table1[[#This Row],[ai_disruption_intensity]]&gt;40,"Medium","Low"))</f>
        <v>Low</v>
      </c>
      <c r="W989" t="str">
        <f>IF(Table1[[#This Row],[skill_gap_index]]&gt;70,"Large Gap",
IF(Table1[[#This Row],[skill_gap_index]]&gt;40,"Medium Gap","Small Gap"))</f>
        <v>Medium Gap</v>
      </c>
      <c r="X989" s="3" t="str">
        <f>IF(Table1[[#This Row],[automation_risk_percent]]&gt;0.7,"Highly Automatable",
IF(Table1[[#This Row],[automation_risk_percent]]&gt;0.4,"Moderate Risk","Safe Job"))</f>
        <v>Safe Job</v>
      </c>
    </row>
    <row r="990" spans="1:24" x14ac:dyDescent="0.3">
      <c r="A990">
        <v>3479</v>
      </c>
      <c r="B990" t="s">
        <v>46</v>
      </c>
      <c r="C990" t="s">
        <v>23</v>
      </c>
      <c r="D990" t="s">
        <v>36</v>
      </c>
      <c r="E990" s="1">
        <v>2026</v>
      </c>
      <c r="F990" s="11">
        <v>0.51570000000000005</v>
      </c>
      <c r="G990">
        <v>44.12</v>
      </c>
      <c r="H990">
        <v>83.89</v>
      </c>
      <c r="I990" s="2">
        <v>101574.41</v>
      </c>
      <c r="J990" s="2">
        <v>106125.48</v>
      </c>
      <c r="K990" s="2">
        <f>Table1[[#This Row],[Salary_after]]-Table1[[#This Row],[Salary_before]]</f>
        <v>4551.0699999999924</v>
      </c>
      <c r="L990" s="11">
        <v>4.4800000000000006E-2</v>
      </c>
      <c r="M990" s="11">
        <v>0.29749999999999999</v>
      </c>
      <c r="N990">
        <v>25.17</v>
      </c>
      <c r="O990">
        <v>12.94</v>
      </c>
      <c r="P990">
        <v>4</v>
      </c>
      <c r="Q990" t="s">
        <v>25</v>
      </c>
      <c r="R990">
        <v>67.73</v>
      </c>
      <c r="S990">
        <v>4.4800000000000004</v>
      </c>
      <c r="T990" s="4">
        <v>47.139000000000003</v>
      </c>
      <c r="U990" s="4">
        <v>6.6731579999999999</v>
      </c>
      <c r="V990" t="str">
        <f>IF(Table1[[#This Row],[ai_disruption_intensity]]&gt;70,"High",
IF(Table1[[#This Row],[ai_disruption_intensity]]&gt;40,"Medium","Low"))</f>
        <v>Low</v>
      </c>
      <c r="W990" t="str">
        <f>IF(Table1[[#This Row],[skill_gap_index]]&gt;70,"Large Gap",
IF(Table1[[#This Row],[skill_gap_index]]&gt;40,"Medium Gap","Small Gap"))</f>
        <v>Large Gap</v>
      </c>
      <c r="X990" s="3" t="str">
        <f>IF(Table1[[#This Row],[automation_risk_percent]]&gt;0.7,"Highly Automatable",
IF(Table1[[#This Row],[automation_risk_percent]]&gt;0.4,"Moderate Risk","Safe Job"))</f>
        <v>Moderate Risk</v>
      </c>
    </row>
    <row r="991" spans="1:24" x14ac:dyDescent="0.3">
      <c r="A991">
        <v>3481</v>
      </c>
      <c r="B991" t="s">
        <v>18</v>
      </c>
      <c r="C991" t="s">
        <v>40</v>
      </c>
      <c r="D991" t="s">
        <v>31</v>
      </c>
      <c r="E991" s="1">
        <v>2025</v>
      </c>
      <c r="F991" s="11">
        <v>0.34110000000000001</v>
      </c>
      <c r="G991">
        <v>29.12</v>
      </c>
      <c r="H991">
        <v>67.430000000000007</v>
      </c>
      <c r="I991" s="2">
        <v>107601.2</v>
      </c>
      <c r="J991" s="2">
        <v>106773.06</v>
      </c>
      <c r="K991" s="2">
        <f>Table1[[#This Row],[Salary_after]]-Table1[[#This Row],[Salary_before]]</f>
        <v>-828.13999999999942</v>
      </c>
      <c r="L991" s="11">
        <v>-7.7000000000000002E-3</v>
      </c>
      <c r="M991" s="11">
        <v>-4.4199999999999996E-2</v>
      </c>
      <c r="N991">
        <v>70.040000000000006</v>
      </c>
      <c r="O991">
        <v>49.35</v>
      </c>
      <c r="P991">
        <v>2</v>
      </c>
      <c r="Q991" t="s">
        <v>25</v>
      </c>
      <c r="R991">
        <v>50.77</v>
      </c>
      <c r="S991">
        <v>0.77</v>
      </c>
      <c r="T991" s="4">
        <v>34.103999999999999</v>
      </c>
      <c r="U991" s="4">
        <v>16.833285</v>
      </c>
      <c r="V991" t="str">
        <f>IF(Table1[[#This Row],[ai_disruption_intensity]]&gt;70,"High",
IF(Table1[[#This Row],[ai_disruption_intensity]]&gt;40,"Medium","Low"))</f>
        <v>Low</v>
      </c>
      <c r="W991" t="str">
        <f>IF(Table1[[#This Row],[skill_gap_index]]&gt;70,"Large Gap",
IF(Table1[[#This Row],[skill_gap_index]]&gt;40,"Medium Gap","Small Gap"))</f>
        <v>Medium Gap</v>
      </c>
      <c r="X991" s="3" t="str">
        <f>IF(Table1[[#This Row],[automation_risk_percent]]&gt;0.7,"Highly Automatable",
IF(Table1[[#This Row],[automation_risk_percent]]&gt;0.4,"Moderate Risk","Safe Job"))</f>
        <v>Safe Job</v>
      </c>
    </row>
    <row r="992" spans="1:24" x14ac:dyDescent="0.3">
      <c r="A992">
        <v>3484</v>
      </c>
      <c r="B992" t="s">
        <v>46</v>
      </c>
      <c r="C992" t="s">
        <v>23</v>
      </c>
      <c r="D992" t="s">
        <v>20</v>
      </c>
      <c r="E992" s="1">
        <v>2025</v>
      </c>
      <c r="F992" s="11">
        <v>0.185</v>
      </c>
      <c r="G992">
        <v>15.18</v>
      </c>
      <c r="H992">
        <v>94.05</v>
      </c>
      <c r="I992" s="2">
        <v>84723.520000000004</v>
      </c>
      <c r="J992" s="2">
        <v>94851.42</v>
      </c>
      <c r="K992" s="2">
        <f>Table1[[#This Row],[Salary_after]]-Table1[[#This Row],[Salary_before]]</f>
        <v>10127.899999999994</v>
      </c>
      <c r="L992" s="11">
        <v>0.1195</v>
      </c>
      <c r="M992" s="11">
        <v>0.16149999999999998</v>
      </c>
      <c r="N992">
        <v>88.71</v>
      </c>
      <c r="O992">
        <v>66.489999999999995</v>
      </c>
      <c r="P992">
        <v>3</v>
      </c>
      <c r="Q992" t="s">
        <v>21</v>
      </c>
      <c r="R992">
        <v>56.274999999999999</v>
      </c>
      <c r="S992">
        <v>11.95</v>
      </c>
      <c r="T992" s="4">
        <v>39.200000000000003</v>
      </c>
      <c r="U992" s="4">
        <v>12.3006499999999</v>
      </c>
      <c r="V992" t="str">
        <f>IF(Table1[[#This Row],[ai_disruption_intensity]]&gt;70,"High",
IF(Table1[[#This Row],[ai_disruption_intensity]]&gt;40,"Medium","Low"))</f>
        <v>Low</v>
      </c>
      <c r="W992" t="str">
        <f>IF(Table1[[#This Row],[skill_gap_index]]&gt;70,"Large Gap",
IF(Table1[[#This Row],[skill_gap_index]]&gt;40,"Medium Gap","Small Gap"))</f>
        <v>Large Gap</v>
      </c>
      <c r="X992" s="3" t="str">
        <f>IF(Table1[[#This Row],[automation_risk_percent]]&gt;0.7,"Highly Automatable",
IF(Table1[[#This Row],[automation_risk_percent]]&gt;0.4,"Moderate Risk","Safe Job"))</f>
        <v>Safe Job</v>
      </c>
    </row>
    <row r="993" spans="1:24" x14ac:dyDescent="0.3">
      <c r="A993">
        <v>3493</v>
      </c>
      <c r="B993" t="s">
        <v>26</v>
      </c>
      <c r="C993" t="s">
        <v>40</v>
      </c>
      <c r="D993" t="s">
        <v>35</v>
      </c>
      <c r="E993" s="1">
        <v>2025</v>
      </c>
      <c r="F993" s="11">
        <v>0.184</v>
      </c>
      <c r="G993">
        <v>17.649999999999999</v>
      </c>
      <c r="H993">
        <v>38.229999999999997</v>
      </c>
      <c r="I993" s="2">
        <v>58943.8</v>
      </c>
      <c r="J993" s="2">
        <v>54824.2</v>
      </c>
      <c r="K993" s="2">
        <f>Table1[[#This Row],[Salary_after]]-Table1[[#This Row],[Salary_before]]</f>
        <v>-4119.6000000000058</v>
      </c>
      <c r="L993" s="11">
        <v>-6.9900000000000004E-2</v>
      </c>
      <c r="M993" s="11">
        <v>-4.99E-2</v>
      </c>
      <c r="N993">
        <v>87.78</v>
      </c>
      <c r="O993">
        <v>76.709999999999994</v>
      </c>
      <c r="P993">
        <v>3</v>
      </c>
      <c r="Q993" t="s">
        <v>21</v>
      </c>
      <c r="R993">
        <v>28.314999999999898</v>
      </c>
      <c r="S993">
        <v>6.99</v>
      </c>
      <c r="T993" s="4">
        <v>20.925999999999998</v>
      </c>
      <c r="U993" s="4">
        <v>14.1146399999999</v>
      </c>
      <c r="V993" t="str">
        <f>IF(Table1[[#This Row],[ai_disruption_intensity]]&gt;70,"High",
IF(Table1[[#This Row],[ai_disruption_intensity]]&gt;40,"Medium","Low"))</f>
        <v>Low</v>
      </c>
      <c r="W993" t="str">
        <f>IF(Table1[[#This Row],[skill_gap_index]]&gt;70,"Large Gap",
IF(Table1[[#This Row],[skill_gap_index]]&gt;40,"Medium Gap","Small Gap"))</f>
        <v>Small Gap</v>
      </c>
      <c r="X993" s="3" t="str">
        <f>IF(Table1[[#This Row],[automation_risk_percent]]&gt;0.7,"Highly Automatable",
IF(Table1[[#This Row],[automation_risk_percent]]&gt;0.4,"Moderate Risk","Safe Job"))</f>
        <v>Safe Job</v>
      </c>
    </row>
    <row r="994" spans="1:24" x14ac:dyDescent="0.3">
      <c r="A994">
        <v>3499</v>
      </c>
      <c r="B994" t="s">
        <v>22</v>
      </c>
      <c r="C994" t="s">
        <v>19</v>
      </c>
      <c r="D994" t="s">
        <v>28</v>
      </c>
      <c r="E994" s="1">
        <v>2026</v>
      </c>
      <c r="F994" s="11">
        <v>0.61409999999999998</v>
      </c>
      <c r="G994">
        <v>73.680000000000007</v>
      </c>
      <c r="H994">
        <v>40.590000000000003</v>
      </c>
      <c r="I994" s="2">
        <v>148262.22</v>
      </c>
      <c r="J994" s="2">
        <v>141820.96</v>
      </c>
      <c r="K994" s="2">
        <f>Table1[[#This Row],[Salary_after]]-Table1[[#This Row],[Salary_before]]</f>
        <v>-6441.2600000000093</v>
      </c>
      <c r="L994" s="11">
        <v>-4.3400000000000001E-2</v>
      </c>
      <c r="M994" s="11">
        <v>-2.6499999999999999E-2</v>
      </c>
      <c r="N994">
        <v>25.37</v>
      </c>
      <c r="O994">
        <v>47.52</v>
      </c>
      <c r="P994">
        <v>5</v>
      </c>
      <c r="Q994" t="s">
        <v>37</v>
      </c>
      <c r="R994">
        <v>51</v>
      </c>
      <c r="S994">
        <v>4.34</v>
      </c>
      <c r="T994" s="4">
        <v>38.042999999999999</v>
      </c>
      <c r="U994" s="4">
        <v>29.182032</v>
      </c>
      <c r="V994" t="str">
        <f>IF(Table1[[#This Row],[ai_disruption_intensity]]&gt;70,"High",
IF(Table1[[#This Row],[ai_disruption_intensity]]&gt;40,"Medium","Low"))</f>
        <v>Low</v>
      </c>
      <c r="W994" t="str">
        <f>IF(Table1[[#This Row],[skill_gap_index]]&gt;70,"Large Gap",
IF(Table1[[#This Row],[skill_gap_index]]&gt;40,"Medium Gap","Small Gap"))</f>
        <v>Medium Gap</v>
      </c>
      <c r="X994" s="3" t="str">
        <f>IF(Table1[[#This Row],[automation_risk_percent]]&gt;0.7,"Highly Automatable",
IF(Table1[[#This Row],[automation_risk_percent]]&gt;0.4,"Moderate Risk","Safe Job"))</f>
        <v>Moderate Risk</v>
      </c>
    </row>
    <row r="995" spans="1:24" x14ac:dyDescent="0.3">
      <c r="A995">
        <v>3500</v>
      </c>
      <c r="B995" t="s">
        <v>26</v>
      </c>
      <c r="C995" t="s">
        <v>19</v>
      </c>
      <c r="D995" t="s">
        <v>28</v>
      </c>
      <c r="E995" s="1">
        <v>2025</v>
      </c>
      <c r="F995" s="11">
        <v>0.55789999999999995</v>
      </c>
      <c r="G995">
        <v>52.23</v>
      </c>
      <c r="H995">
        <v>90.62</v>
      </c>
      <c r="I995" s="2">
        <v>95379.65</v>
      </c>
      <c r="J995" s="2">
        <v>109397.06</v>
      </c>
      <c r="K995" s="2">
        <f>Table1[[#This Row],[Salary_after]]-Table1[[#This Row],[Salary_before]]</f>
        <v>14017.410000000003</v>
      </c>
      <c r="L995" s="11">
        <v>0.14699999999999999</v>
      </c>
      <c r="M995" s="11">
        <v>3.2300000000000002E-2</v>
      </c>
      <c r="N995">
        <v>19.13</v>
      </c>
      <c r="O995">
        <v>77.38</v>
      </c>
      <c r="P995">
        <v>3</v>
      </c>
      <c r="Q995" t="s">
        <v>25</v>
      </c>
      <c r="R995">
        <v>73.204999999999998</v>
      </c>
      <c r="S995">
        <v>14.7</v>
      </c>
      <c r="T995" s="4">
        <v>53.911999999999999</v>
      </c>
      <c r="U995" s="4">
        <v>43.1703019999999</v>
      </c>
      <c r="V995" t="str">
        <f>IF(Table1[[#This Row],[ai_disruption_intensity]]&gt;70,"High",
IF(Table1[[#This Row],[ai_disruption_intensity]]&gt;40,"Medium","Low"))</f>
        <v>Medium</v>
      </c>
      <c r="W995" t="str">
        <f>IF(Table1[[#This Row],[skill_gap_index]]&gt;70,"Large Gap",
IF(Table1[[#This Row],[skill_gap_index]]&gt;40,"Medium Gap","Small Gap"))</f>
        <v>Large Gap</v>
      </c>
      <c r="X995" s="3" t="str">
        <f>IF(Table1[[#This Row],[automation_risk_percent]]&gt;0.7,"Highly Automatable",
IF(Table1[[#This Row],[automation_risk_percent]]&gt;0.4,"Moderate Risk","Safe Job"))</f>
        <v>Moderate Risk</v>
      </c>
    </row>
    <row r="996" spans="1:24" x14ac:dyDescent="0.3">
      <c r="A996">
        <v>3502</v>
      </c>
      <c r="B996" t="s">
        <v>26</v>
      </c>
      <c r="C996" t="s">
        <v>23</v>
      </c>
      <c r="D996" t="s">
        <v>35</v>
      </c>
      <c r="E996" s="1">
        <v>2025</v>
      </c>
      <c r="F996" s="11">
        <v>0.57909999999999995</v>
      </c>
      <c r="G996">
        <v>56.01</v>
      </c>
      <c r="H996">
        <v>17.57</v>
      </c>
      <c r="I996" s="2">
        <v>72014.17</v>
      </c>
      <c r="J996" s="2">
        <v>66283.61</v>
      </c>
      <c r="K996" s="2">
        <f>Table1[[#This Row],[Salary_after]]-Table1[[#This Row],[Salary_before]]</f>
        <v>-5730.5599999999977</v>
      </c>
      <c r="L996" s="11">
        <v>-7.9600000000000004E-2</v>
      </c>
      <c r="M996" s="11">
        <v>-2.4500000000000001E-2</v>
      </c>
      <c r="N996">
        <v>35.43</v>
      </c>
      <c r="O996">
        <v>18.09</v>
      </c>
      <c r="P996">
        <v>1</v>
      </c>
      <c r="Q996" t="s">
        <v>25</v>
      </c>
      <c r="R996">
        <v>37.739999999999903</v>
      </c>
      <c r="S996">
        <v>7.96</v>
      </c>
      <c r="T996" s="4">
        <v>30.823</v>
      </c>
      <c r="U996" s="4">
        <v>10.475918999999999</v>
      </c>
      <c r="V996" t="str">
        <f>IF(Table1[[#This Row],[ai_disruption_intensity]]&gt;70,"High",
IF(Table1[[#This Row],[ai_disruption_intensity]]&gt;40,"Medium","Low"))</f>
        <v>Low</v>
      </c>
      <c r="W996" t="str">
        <f>IF(Table1[[#This Row],[skill_gap_index]]&gt;70,"Large Gap",
IF(Table1[[#This Row],[skill_gap_index]]&gt;40,"Medium Gap","Small Gap"))</f>
        <v>Small Gap</v>
      </c>
      <c r="X996" s="3" t="str">
        <f>IF(Table1[[#This Row],[automation_risk_percent]]&gt;0.7,"Highly Automatable",
IF(Table1[[#This Row],[automation_risk_percent]]&gt;0.4,"Moderate Risk","Safe Job"))</f>
        <v>Moderate Risk</v>
      </c>
    </row>
    <row r="997" spans="1:24" x14ac:dyDescent="0.3">
      <c r="A997">
        <v>3513</v>
      </c>
      <c r="B997" t="s">
        <v>22</v>
      </c>
      <c r="C997" t="s">
        <v>34</v>
      </c>
      <c r="D997" t="s">
        <v>31</v>
      </c>
      <c r="E997" s="1">
        <v>2025</v>
      </c>
      <c r="F997" s="11">
        <v>0.28850000000000003</v>
      </c>
      <c r="G997">
        <v>34.07</v>
      </c>
      <c r="H997">
        <v>74.78</v>
      </c>
      <c r="I997" s="2">
        <v>32334.7</v>
      </c>
      <c r="J997" s="2">
        <v>27521.54</v>
      </c>
      <c r="K997" s="2">
        <f>Table1[[#This Row],[Salary_after]]-Table1[[#This Row],[Salary_before]]</f>
        <v>-4813.16</v>
      </c>
      <c r="L997" s="11">
        <v>-0.1489</v>
      </c>
      <c r="M997" s="11">
        <v>-1.0700000000000001E-2</v>
      </c>
      <c r="N997">
        <v>67.430000000000007</v>
      </c>
      <c r="O997">
        <v>45.93</v>
      </c>
      <c r="P997">
        <v>4</v>
      </c>
      <c r="Q997" t="s">
        <v>21</v>
      </c>
      <c r="R997">
        <v>51.814999999999998</v>
      </c>
      <c r="S997">
        <v>14.89</v>
      </c>
      <c r="T997" s="4">
        <v>38.441000000000003</v>
      </c>
      <c r="U997" s="4">
        <v>13.250805</v>
      </c>
      <c r="V997" t="str">
        <f>IF(Table1[[#This Row],[ai_disruption_intensity]]&gt;70,"High",
IF(Table1[[#This Row],[ai_disruption_intensity]]&gt;40,"Medium","Low"))</f>
        <v>Low</v>
      </c>
      <c r="W997" t="str">
        <f>IF(Table1[[#This Row],[skill_gap_index]]&gt;70,"Large Gap",
IF(Table1[[#This Row],[skill_gap_index]]&gt;40,"Medium Gap","Small Gap"))</f>
        <v>Large Gap</v>
      </c>
      <c r="X997" s="3" t="str">
        <f>IF(Table1[[#This Row],[automation_risk_percent]]&gt;0.7,"Highly Automatable",
IF(Table1[[#This Row],[automation_risk_percent]]&gt;0.4,"Moderate Risk","Safe Job"))</f>
        <v>Safe Job</v>
      </c>
    </row>
    <row r="998" spans="1:24" x14ac:dyDescent="0.3">
      <c r="A998">
        <v>3515</v>
      </c>
      <c r="B998" t="s">
        <v>18</v>
      </c>
      <c r="C998" t="s">
        <v>34</v>
      </c>
      <c r="D998" t="s">
        <v>35</v>
      </c>
      <c r="E998" s="1">
        <v>2025</v>
      </c>
      <c r="F998" s="11">
        <v>0.40479999999999999</v>
      </c>
      <c r="G998">
        <v>46.89</v>
      </c>
      <c r="H998">
        <v>94.99</v>
      </c>
      <c r="I998" s="2">
        <v>116258.08</v>
      </c>
      <c r="J998" s="2">
        <v>129502.04</v>
      </c>
      <c r="K998" s="2">
        <f>Table1[[#This Row],[Salary_after]]-Table1[[#This Row],[Salary_before]]</f>
        <v>13243.959999999992</v>
      </c>
      <c r="L998" s="11">
        <v>0.1139</v>
      </c>
      <c r="M998" s="11">
        <v>5.3E-3</v>
      </c>
      <c r="N998">
        <v>12.33</v>
      </c>
      <c r="O998">
        <v>10.27</v>
      </c>
      <c r="P998">
        <v>2</v>
      </c>
      <c r="Q998" t="s">
        <v>25</v>
      </c>
      <c r="R998">
        <v>67.734999999999999</v>
      </c>
      <c r="S998">
        <v>11.39</v>
      </c>
      <c r="T998" s="4">
        <v>48.105999999999902</v>
      </c>
      <c r="U998" s="4">
        <v>4.1572959999999997</v>
      </c>
      <c r="V998" t="str">
        <f>IF(Table1[[#This Row],[ai_disruption_intensity]]&gt;70,"High",
IF(Table1[[#This Row],[ai_disruption_intensity]]&gt;40,"Medium","Low"))</f>
        <v>Low</v>
      </c>
      <c r="W998" t="str">
        <f>IF(Table1[[#This Row],[skill_gap_index]]&gt;70,"Large Gap",
IF(Table1[[#This Row],[skill_gap_index]]&gt;40,"Medium Gap","Small Gap"))</f>
        <v>Large Gap</v>
      </c>
      <c r="X998" s="3" t="str">
        <f>IF(Table1[[#This Row],[automation_risk_percent]]&gt;0.7,"Highly Automatable",
IF(Table1[[#This Row],[automation_risk_percent]]&gt;0.4,"Moderate Risk","Safe Job"))</f>
        <v>Moderate Risk</v>
      </c>
    </row>
    <row r="999" spans="1:24" x14ac:dyDescent="0.3">
      <c r="A999">
        <v>3516</v>
      </c>
      <c r="B999" t="s">
        <v>18</v>
      </c>
      <c r="C999" t="s">
        <v>27</v>
      </c>
      <c r="D999" t="s">
        <v>31</v>
      </c>
      <c r="E999" s="1">
        <v>2025</v>
      </c>
      <c r="F999" s="11">
        <v>0.56299999999999994</v>
      </c>
      <c r="G999">
        <v>51.6</v>
      </c>
      <c r="H999">
        <v>95.14</v>
      </c>
      <c r="I999" s="2">
        <v>82327.27</v>
      </c>
      <c r="J999" s="2">
        <v>97318.14</v>
      </c>
      <c r="K999" s="2">
        <f>Table1[[#This Row],[Salary_after]]-Table1[[#This Row],[Salary_before]]</f>
        <v>14990.869999999995</v>
      </c>
      <c r="L999" s="11">
        <v>0.18210000000000001</v>
      </c>
      <c r="M999" s="11">
        <v>-2.2200000000000001E-2</v>
      </c>
      <c r="N999">
        <v>79.08</v>
      </c>
      <c r="O999">
        <v>47.56</v>
      </c>
      <c r="P999">
        <v>2</v>
      </c>
      <c r="Q999" t="s">
        <v>25</v>
      </c>
      <c r="R999">
        <v>75.72</v>
      </c>
      <c r="S999">
        <v>18.21</v>
      </c>
      <c r="T999" s="4">
        <v>56.524999999999999</v>
      </c>
      <c r="U999" s="4">
        <v>26.77628</v>
      </c>
      <c r="V999" t="str">
        <f>IF(Table1[[#This Row],[ai_disruption_intensity]]&gt;70,"High",
IF(Table1[[#This Row],[ai_disruption_intensity]]&gt;40,"Medium","Low"))</f>
        <v>Low</v>
      </c>
      <c r="W999" t="str">
        <f>IF(Table1[[#This Row],[skill_gap_index]]&gt;70,"Large Gap",
IF(Table1[[#This Row],[skill_gap_index]]&gt;40,"Medium Gap","Small Gap"))</f>
        <v>Large Gap</v>
      </c>
      <c r="X999" s="3" t="str">
        <f>IF(Table1[[#This Row],[automation_risk_percent]]&gt;0.7,"Highly Automatable",
IF(Table1[[#This Row],[automation_risk_percent]]&gt;0.4,"Moderate Risk","Safe Job"))</f>
        <v>Moderate Risk</v>
      </c>
    </row>
    <row r="1000" spans="1:24" x14ac:dyDescent="0.3">
      <c r="A1000">
        <v>3519</v>
      </c>
      <c r="B1000" t="s">
        <v>26</v>
      </c>
      <c r="C1000" t="s">
        <v>33</v>
      </c>
      <c r="D1000" t="s">
        <v>24</v>
      </c>
      <c r="E1000" s="1">
        <v>2025</v>
      </c>
      <c r="F1000" s="11">
        <v>0.2349</v>
      </c>
      <c r="G1000">
        <v>24.77</v>
      </c>
      <c r="H1000">
        <v>16.309999999999999</v>
      </c>
      <c r="I1000" s="2">
        <v>121986.4</v>
      </c>
      <c r="J1000" s="2">
        <v>131775.82999999999</v>
      </c>
      <c r="K1000" s="2">
        <f>Table1[[#This Row],[Salary_after]]-Table1[[#This Row],[Salary_before]]</f>
        <v>9789.429999999993</v>
      </c>
      <c r="L1000" s="11">
        <v>8.0299999999999996E-2</v>
      </c>
      <c r="M1000" s="11">
        <v>6.59E-2</v>
      </c>
      <c r="N1000">
        <v>42.84</v>
      </c>
      <c r="O1000">
        <v>98.27</v>
      </c>
      <c r="P1000">
        <v>1</v>
      </c>
      <c r="Q1000" t="s">
        <v>21</v>
      </c>
      <c r="R1000">
        <v>19.899999999999999</v>
      </c>
      <c r="S1000">
        <v>8.0299999999999994</v>
      </c>
      <c r="T1000" s="4">
        <v>16.697999999999901</v>
      </c>
      <c r="U1000" s="4">
        <v>23.083622999999999</v>
      </c>
      <c r="V1000" t="str">
        <f>IF(Table1[[#This Row],[ai_disruption_intensity]]&gt;70,"High",
IF(Table1[[#This Row],[ai_disruption_intensity]]&gt;40,"Medium","Low"))</f>
        <v>Low</v>
      </c>
      <c r="W1000" t="str">
        <f>IF(Table1[[#This Row],[skill_gap_index]]&gt;70,"Large Gap",
IF(Table1[[#This Row],[skill_gap_index]]&gt;40,"Medium Gap","Small Gap"))</f>
        <v>Small Gap</v>
      </c>
      <c r="X1000" s="3" t="str">
        <f>IF(Table1[[#This Row],[automation_risk_percent]]&gt;0.7,"Highly Automatable",
IF(Table1[[#This Row],[automation_risk_percent]]&gt;0.4,"Moderate Risk","Safe Job"))</f>
        <v>Safe Job</v>
      </c>
    </row>
    <row r="1001" spans="1:24" x14ac:dyDescent="0.3">
      <c r="A1001">
        <v>3521</v>
      </c>
      <c r="B1001" t="s">
        <v>41</v>
      </c>
      <c r="C1001" t="s">
        <v>27</v>
      </c>
      <c r="D1001" t="s">
        <v>32</v>
      </c>
      <c r="E1001" s="1">
        <v>2025</v>
      </c>
      <c r="F1001" s="11">
        <v>0.73540000000000005</v>
      </c>
      <c r="G1001">
        <v>60.62</v>
      </c>
      <c r="H1001">
        <v>81.75</v>
      </c>
      <c r="I1001" s="2">
        <v>35164.1</v>
      </c>
      <c r="J1001" s="2">
        <v>33688.019999999997</v>
      </c>
      <c r="K1001" s="2">
        <f>Table1[[#This Row],[Salary_after]]-Table1[[#This Row],[Salary_before]]</f>
        <v>-1476.0800000000017</v>
      </c>
      <c r="L1001" s="11">
        <v>-4.2000000000000003E-2</v>
      </c>
      <c r="M1001" s="11">
        <v>-1.77E-2</v>
      </c>
      <c r="N1001">
        <v>67</v>
      </c>
      <c r="O1001">
        <v>97.64</v>
      </c>
      <c r="P1001">
        <v>1</v>
      </c>
      <c r="Q1001" t="s">
        <v>37</v>
      </c>
      <c r="R1001">
        <v>77.644999999999996</v>
      </c>
      <c r="S1001">
        <v>4.2</v>
      </c>
      <c r="T1001" s="4">
        <v>55.201000000000001</v>
      </c>
      <c r="U1001" s="4">
        <v>71.804456000000002</v>
      </c>
      <c r="V1001" t="str">
        <f>IF(Table1[[#This Row],[ai_disruption_intensity]]&gt;70,"High",
IF(Table1[[#This Row],[ai_disruption_intensity]]&gt;40,"Medium","Low"))</f>
        <v>High</v>
      </c>
      <c r="W1001" t="str">
        <f>IF(Table1[[#This Row],[skill_gap_index]]&gt;70,"Large Gap",
IF(Table1[[#This Row],[skill_gap_index]]&gt;40,"Medium Gap","Small Gap"))</f>
        <v>Large Gap</v>
      </c>
      <c r="X1001" s="3" t="str">
        <f>IF(Table1[[#This Row],[automation_risk_percent]]&gt;0.7,"Highly Automatable",
IF(Table1[[#This Row],[automation_risk_percent]]&gt;0.4,"Moderate Risk","Safe Job"))</f>
        <v>Highly Automatable</v>
      </c>
    </row>
    <row r="1002" spans="1:24" x14ac:dyDescent="0.3">
      <c r="A1002">
        <v>3523</v>
      </c>
      <c r="B1002" t="s">
        <v>22</v>
      </c>
      <c r="C1002" t="s">
        <v>40</v>
      </c>
      <c r="D1002" t="s">
        <v>24</v>
      </c>
      <c r="E1002" s="1">
        <v>2026</v>
      </c>
      <c r="F1002" s="11">
        <v>0.38079999999999997</v>
      </c>
      <c r="G1002">
        <v>35.53</v>
      </c>
      <c r="H1002">
        <v>80.41</v>
      </c>
      <c r="I1002" s="2">
        <v>140910.69</v>
      </c>
      <c r="J1002" s="2">
        <v>135805.01</v>
      </c>
      <c r="K1002" s="2">
        <f>Table1[[#This Row],[Salary_after]]-Table1[[#This Row],[Salary_before]]</f>
        <v>-5105.679999999993</v>
      </c>
      <c r="L1002" s="11">
        <v>-3.6200000000000003E-2</v>
      </c>
      <c r="M1002" s="11">
        <v>0.20440000000000003</v>
      </c>
      <c r="N1002">
        <v>55.39</v>
      </c>
      <c r="O1002">
        <v>12.51</v>
      </c>
      <c r="P1002">
        <v>2</v>
      </c>
      <c r="Q1002" t="s">
        <v>25</v>
      </c>
      <c r="R1002">
        <v>59.244999999999997</v>
      </c>
      <c r="S1002">
        <v>3.62</v>
      </c>
      <c r="T1002" s="4">
        <v>40.440999999999903</v>
      </c>
      <c r="U1002" s="4">
        <v>4.763808</v>
      </c>
      <c r="V1002" t="str">
        <f>IF(Table1[[#This Row],[ai_disruption_intensity]]&gt;70,"High",
IF(Table1[[#This Row],[ai_disruption_intensity]]&gt;40,"Medium","Low"))</f>
        <v>Low</v>
      </c>
      <c r="W1002" t="str">
        <f>IF(Table1[[#This Row],[skill_gap_index]]&gt;70,"Large Gap",
IF(Table1[[#This Row],[skill_gap_index]]&gt;40,"Medium Gap","Small Gap"))</f>
        <v>Large Gap</v>
      </c>
      <c r="X1002" s="3" t="str">
        <f>IF(Table1[[#This Row],[automation_risk_percent]]&gt;0.7,"Highly Automatable",
IF(Table1[[#This Row],[automation_risk_percent]]&gt;0.4,"Moderate Risk","Safe Job"))</f>
        <v>Safe Job</v>
      </c>
    </row>
    <row r="1003" spans="1:24" x14ac:dyDescent="0.3">
      <c r="A1003">
        <v>3531</v>
      </c>
      <c r="B1003" t="s">
        <v>29</v>
      </c>
      <c r="C1003" t="s">
        <v>40</v>
      </c>
      <c r="D1003" t="s">
        <v>24</v>
      </c>
      <c r="E1003" s="1">
        <v>2025</v>
      </c>
      <c r="F1003" s="11">
        <v>0.77769999999999995</v>
      </c>
      <c r="G1003">
        <v>64.510000000000005</v>
      </c>
      <c r="H1003">
        <v>52.35</v>
      </c>
      <c r="I1003" s="2">
        <v>44677.62</v>
      </c>
      <c r="J1003" s="2">
        <v>40107.93</v>
      </c>
      <c r="K1003" s="2">
        <f>Table1[[#This Row],[Salary_after]]-Table1[[#This Row],[Salary_before]]</f>
        <v>-4569.6900000000023</v>
      </c>
      <c r="L1003" s="11">
        <v>-0.1023</v>
      </c>
      <c r="M1003" s="11">
        <v>-3.7599999999999995E-2</v>
      </c>
      <c r="N1003">
        <v>85.5</v>
      </c>
      <c r="O1003">
        <v>19.350000000000001</v>
      </c>
      <c r="P1003">
        <v>3</v>
      </c>
      <c r="Q1003" t="s">
        <v>37</v>
      </c>
      <c r="R1003">
        <v>65.06</v>
      </c>
      <c r="S1003">
        <v>10.23</v>
      </c>
      <c r="T1003" s="4">
        <v>49.881999999999998</v>
      </c>
      <c r="U1003" s="4">
        <v>15.048495000000001</v>
      </c>
      <c r="V1003" t="str">
        <f>IF(Table1[[#This Row],[ai_disruption_intensity]]&gt;70,"High",
IF(Table1[[#This Row],[ai_disruption_intensity]]&gt;40,"Medium","Low"))</f>
        <v>Low</v>
      </c>
      <c r="W1003" t="str">
        <f>IF(Table1[[#This Row],[skill_gap_index]]&gt;70,"Large Gap",
IF(Table1[[#This Row],[skill_gap_index]]&gt;40,"Medium Gap","Small Gap"))</f>
        <v>Medium Gap</v>
      </c>
      <c r="X1003" s="3" t="str">
        <f>IF(Table1[[#This Row],[automation_risk_percent]]&gt;0.7,"Highly Automatable",
IF(Table1[[#This Row],[automation_risk_percent]]&gt;0.4,"Moderate Risk","Safe Job"))</f>
        <v>Highly Automatable</v>
      </c>
    </row>
    <row r="1004" spans="1:24" x14ac:dyDescent="0.3">
      <c r="A1004">
        <v>3535</v>
      </c>
      <c r="B1004" t="s">
        <v>44</v>
      </c>
      <c r="C1004" t="s">
        <v>30</v>
      </c>
      <c r="D1004" t="s">
        <v>35</v>
      </c>
      <c r="E1004" s="1">
        <v>2025</v>
      </c>
      <c r="F1004" s="11">
        <v>0.1671</v>
      </c>
      <c r="G1004">
        <v>18.690000000000001</v>
      </c>
      <c r="H1004">
        <v>17.489999999999998</v>
      </c>
      <c r="I1004" s="2">
        <v>43747.45</v>
      </c>
      <c r="J1004" s="2">
        <v>37800.9</v>
      </c>
      <c r="K1004" s="2">
        <f>Table1[[#This Row],[Salary_after]]-Table1[[#This Row],[Salary_before]]</f>
        <v>-5946.5499999999956</v>
      </c>
      <c r="L1004" s="11">
        <v>-0.13589999999999999</v>
      </c>
      <c r="M1004" s="11">
        <v>0.21510000000000001</v>
      </c>
      <c r="N1004">
        <v>15.38</v>
      </c>
      <c r="O1004">
        <v>35.56</v>
      </c>
      <c r="P1004">
        <v>3</v>
      </c>
      <c r="Q1004" t="s">
        <v>21</v>
      </c>
      <c r="R1004">
        <v>17.100000000000001</v>
      </c>
      <c r="S1004">
        <v>13.59</v>
      </c>
      <c r="T1004" s="4">
        <v>16.007999999999999</v>
      </c>
      <c r="U1004" s="4">
        <v>5.9420760000000001</v>
      </c>
      <c r="V1004" t="str">
        <f>IF(Table1[[#This Row],[ai_disruption_intensity]]&gt;70,"High",
IF(Table1[[#This Row],[ai_disruption_intensity]]&gt;40,"Medium","Low"))</f>
        <v>Low</v>
      </c>
      <c r="W1004" t="str">
        <f>IF(Table1[[#This Row],[skill_gap_index]]&gt;70,"Large Gap",
IF(Table1[[#This Row],[skill_gap_index]]&gt;40,"Medium Gap","Small Gap"))</f>
        <v>Small Gap</v>
      </c>
      <c r="X1004" s="3" t="str">
        <f>IF(Table1[[#This Row],[automation_risk_percent]]&gt;0.7,"Highly Automatable",
IF(Table1[[#This Row],[automation_risk_percent]]&gt;0.4,"Moderate Risk","Safe Job"))</f>
        <v>Safe Job</v>
      </c>
    </row>
    <row r="1005" spans="1:24" x14ac:dyDescent="0.3">
      <c r="A1005">
        <v>3540</v>
      </c>
      <c r="B1005" t="s">
        <v>44</v>
      </c>
      <c r="C1005" t="s">
        <v>33</v>
      </c>
      <c r="D1005" t="s">
        <v>47</v>
      </c>
      <c r="E1005" s="1">
        <v>2026</v>
      </c>
      <c r="F1005" s="11">
        <v>0.63479999999999992</v>
      </c>
      <c r="G1005">
        <v>52.56</v>
      </c>
      <c r="H1005">
        <v>48.52</v>
      </c>
      <c r="I1005" s="2">
        <v>68853.070000000007</v>
      </c>
      <c r="J1005" s="2">
        <v>72042.899999999994</v>
      </c>
      <c r="K1005" s="2">
        <f>Table1[[#This Row],[Salary_after]]-Table1[[#This Row],[Salary_before]]</f>
        <v>3189.8299999999872</v>
      </c>
      <c r="L1005" s="11">
        <v>4.6300000000000001E-2</v>
      </c>
      <c r="M1005" s="11">
        <v>0.128</v>
      </c>
      <c r="N1005">
        <v>88.23</v>
      </c>
      <c r="O1005">
        <v>4.6399999999999997</v>
      </c>
      <c r="P1005">
        <v>5</v>
      </c>
      <c r="Q1005" t="s">
        <v>37</v>
      </c>
      <c r="R1005">
        <v>56</v>
      </c>
      <c r="S1005">
        <v>4.63</v>
      </c>
      <c r="T1005" s="4">
        <v>41.337000000000003</v>
      </c>
      <c r="U1005" s="4">
        <v>2.9454719999999899</v>
      </c>
      <c r="V1005" t="str">
        <f>IF(Table1[[#This Row],[ai_disruption_intensity]]&gt;70,"High",
IF(Table1[[#This Row],[ai_disruption_intensity]]&gt;40,"Medium","Low"))</f>
        <v>Low</v>
      </c>
      <c r="W1005" t="str">
        <f>IF(Table1[[#This Row],[skill_gap_index]]&gt;70,"Large Gap",
IF(Table1[[#This Row],[skill_gap_index]]&gt;40,"Medium Gap","Small Gap"))</f>
        <v>Medium Gap</v>
      </c>
      <c r="X1005" s="3" t="str">
        <f>IF(Table1[[#This Row],[automation_risk_percent]]&gt;0.7,"Highly Automatable",
IF(Table1[[#This Row],[automation_risk_percent]]&gt;0.4,"Moderate Risk","Safe Job"))</f>
        <v>Moderate Risk</v>
      </c>
    </row>
    <row r="1006" spans="1:24" x14ac:dyDescent="0.3">
      <c r="A1006">
        <v>3542</v>
      </c>
      <c r="B1006" t="s">
        <v>44</v>
      </c>
      <c r="C1006" t="s">
        <v>30</v>
      </c>
      <c r="D1006" t="s">
        <v>35</v>
      </c>
      <c r="E1006" s="1">
        <v>2025</v>
      </c>
      <c r="F1006" s="11">
        <v>0.11380000000000001</v>
      </c>
      <c r="G1006">
        <v>9.41</v>
      </c>
      <c r="H1006">
        <v>95.73</v>
      </c>
      <c r="I1006" s="2">
        <v>71529.27</v>
      </c>
      <c r="J1006" s="2">
        <v>69287.77</v>
      </c>
      <c r="K1006" s="2">
        <f>Table1[[#This Row],[Salary_after]]-Table1[[#This Row],[Salary_before]]</f>
        <v>-2241.5</v>
      </c>
      <c r="L1006" s="11">
        <v>-3.1300000000000001E-2</v>
      </c>
      <c r="M1006" s="11">
        <v>0.10859999999999999</v>
      </c>
      <c r="N1006">
        <v>23.63</v>
      </c>
      <c r="O1006">
        <v>63.93</v>
      </c>
      <c r="P1006">
        <v>4</v>
      </c>
      <c r="Q1006" t="s">
        <v>21</v>
      </c>
      <c r="R1006">
        <v>53.555</v>
      </c>
      <c r="S1006">
        <v>3.13</v>
      </c>
      <c r="T1006" s="4">
        <v>34.21</v>
      </c>
      <c r="U1006" s="4">
        <v>7.2752340000000002</v>
      </c>
      <c r="V1006" t="str">
        <f>IF(Table1[[#This Row],[ai_disruption_intensity]]&gt;70,"High",
IF(Table1[[#This Row],[ai_disruption_intensity]]&gt;40,"Medium","Low"))</f>
        <v>Low</v>
      </c>
      <c r="W1006" t="str">
        <f>IF(Table1[[#This Row],[skill_gap_index]]&gt;70,"Large Gap",
IF(Table1[[#This Row],[skill_gap_index]]&gt;40,"Medium Gap","Small Gap"))</f>
        <v>Large Gap</v>
      </c>
      <c r="X1006" s="3" t="str">
        <f>IF(Table1[[#This Row],[automation_risk_percent]]&gt;0.7,"Highly Automatable",
IF(Table1[[#This Row],[automation_risk_percent]]&gt;0.4,"Moderate Risk","Safe Job"))</f>
        <v>Safe Job</v>
      </c>
    </row>
    <row r="1007" spans="1:24" x14ac:dyDescent="0.3">
      <c r="A1007">
        <v>3543</v>
      </c>
      <c r="B1007" t="s">
        <v>22</v>
      </c>
      <c r="C1007" t="s">
        <v>19</v>
      </c>
      <c r="D1007" t="s">
        <v>24</v>
      </c>
      <c r="E1007" s="1">
        <v>2025</v>
      </c>
      <c r="F1007" s="11">
        <v>0.44170000000000004</v>
      </c>
      <c r="G1007">
        <v>37.08</v>
      </c>
      <c r="H1007">
        <v>67.75</v>
      </c>
      <c r="I1007" s="2">
        <v>97543.2</v>
      </c>
      <c r="J1007" s="2">
        <v>100498.67</v>
      </c>
      <c r="K1007" s="2">
        <f>Table1[[#This Row],[Salary_after]]-Table1[[#This Row],[Salary_before]]</f>
        <v>2955.4700000000012</v>
      </c>
      <c r="L1007" s="11">
        <v>3.0299999999999997E-2</v>
      </c>
      <c r="M1007" s="11">
        <v>0.15079999999999999</v>
      </c>
      <c r="N1007">
        <v>61.66</v>
      </c>
      <c r="O1007">
        <v>44.08</v>
      </c>
      <c r="P1007">
        <v>4</v>
      </c>
      <c r="Q1007" t="s">
        <v>25</v>
      </c>
      <c r="R1007">
        <v>55.96</v>
      </c>
      <c r="S1007">
        <v>3.03</v>
      </c>
      <c r="T1007" s="4">
        <v>38.902000000000001</v>
      </c>
      <c r="U1007" s="4">
        <v>19.470136</v>
      </c>
      <c r="V1007" t="str">
        <f>IF(Table1[[#This Row],[ai_disruption_intensity]]&gt;70,"High",
IF(Table1[[#This Row],[ai_disruption_intensity]]&gt;40,"Medium","Low"))</f>
        <v>Low</v>
      </c>
      <c r="W1007" t="str">
        <f>IF(Table1[[#This Row],[skill_gap_index]]&gt;70,"Large Gap",
IF(Table1[[#This Row],[skill_gap_index]]&gt;40,"Medium Gap","Small Gap"))</f>
        <v>Medium Gap</v>
      </c>
      <c r="X1007" s="3" t="str">
        <f>IF(Table1[[#This Row],[automation_risk_percent]]&gt;0.7,"Highly Automatable",
IF(Table1[[#This Row],[automation_risk_percent]]&gt;0.4,"Moderate Risk","Safe Job"))</f>
        <v>Moderate Risk</v>
      </c>
    </row>
    <row r="1008" spans="1:24" x14ac:dyDescent="0.3">
      <c r="A1008">
        <v>3546</v>
      </c>
      <c r="B1008" t="s">
        <v>39</v>
      </c>
      <c r="C1008" t="s">
        <v>23</v>
      </c>
      <c r="D1008" t="s">
        <v>42</v>
      </c>
      <c r="E1008" s="1">
        <v>2026</v>
      </c>
      <c r="F1008" s="11">
        <v>0.38569999999999999</v>
      </c>
      <c r="G1008">
        <v>45.99</v>
      </c>
      <c r="H1008">
        <v>34.75</v>
      </c>
      <c r="I1008" s="2">
        <v>130362.73</v>
      </c>
      <c r="J1008" s="2">
        <v>126971.25</v>
      </c>
      <c r="K1008" s="2">
        <f>Table1[[#This Row],[Salary_after]]-Table1[[#This Row],[Salary_before]]</f>
        <v>-3391.4799999999959</v>
      </c>
      <c r="L1008" s="11">
        <v>-2.6000000000000002E-2</v>
      </c>
      <c r="M1008" s="11">
        <v>3.5000000000000003E-2</v>
      </c>
      <c r="N1008">
        <v>12.86</v>
      </c>
      <c r="O1008">
        <v>60.62</v>
      </c>
      <c r="P1008">
        <v>2</v>
      </c>
      <c r="Q1008" t="s">
        <v>25</v>
      </c>
      <c r="R1008">
        <v>36.659999999999997</v>
      </c>
      <c r="S1008">
        <v>2.6</v>
      </c>
      <c r="T1008" s="4">
        <v>26.632999999999999</v>
      </c>
      <c r="U1008" s="4">
        <v>23.3811339999999</v>
      </c>
      <c r="V1008" t="str">
        <f>IF(Table1[[#This Row],[ai_disruption_intensity]]&gt;70,"High",
IF(Table1[[#This Row],[ai_disruption_intensity]]&gt;40,"Medium","Low"))</f>
        <v>Low</v>
      </c>
      <c r="W1008" t="str">
        <f>IF(Table1[[#This Row],[skill_gap_index]]&gt;70,"Large Gap",
IF(Table1[[#This Row],[skill_gap_index]]&gt;40,"Medium Gap","Small Gap"))</f>
        <v>Small Gap</v>
      </c>
      <c r="X1008" s="3" t="str">
        <f>IF(Table1[[#This Row],[automation_risk_percent]]&gt;0.7,"Highly Automatable",
IF(Table1[[#This Row],[automation_risk_percent]]&gt;0.4,"Moderate Risk","Safe Job"))</f>
        <v>Safe Job</v>
      </c>
    </row>
    <row r="1009" spans="1:24" x14ac:dyDescent="0.3">
      <c r="A1009">
        <v>3549</v>
      </c>
      <c r="B1009" t="s">
        <v>44</v>
      </c>
      <c r="C1009" t="s">
        <v>34</v>
      </c>
      <c r="D1009" t="s">
        <v>36</v>
      </c>
      <c r="E1009" s="1">
        <v>2026</v>
      </c>
      <c r="F1009" s="11">
        <v>0.68099999999999994</v>
      </c>
      <c r="G1009">
        <v>59.31</v>
      </c>
      <c r="H1009">
        <v>22.03</v>
      </c>
      <c r="I1009" s="2">
        <v>67767.39</v>
      </c>
      <c r="J1009" s="2">
        <v>64044.41</v>
      </c>
      <c r="K1009" s="2">
        <f>Table1[[#This Row],[Salary_after]]-Table1[[#This Row],[Salary_before]]</f>
        <v>-3722.9799999999959</v>
      </c>
      <c r="L1009" s="11">
        <v>-5.4900000000000004E-2</v>
      </c>
      <c r="M1009" s="11">
        <v>0.17430000000000001</v>
      </c>
      <c r="N1009">
        <v>42.24</v>
      </c>
      <c r="O1009">
        <v>99.88</v>
      </c>
      <c r="P1009">
        <v>1</v>
      </c>
      <c r="Q1009" t="s">
        <v>37</v>
      </c>
      <c r="R1009">
        <v>45.064999999999998</v>
      </c>
      <c r="S1009">
        <v>5.49</v>
      </c>
      <c r="T1009" s="4">
        <v>35.495999999999903</v>
      </c>
      <c r="U1009" s="4">
        <v>68.018279999999905</v>
      </c>
      <c r="V1009" t="str">
        <f>IF(Table1[[#This Row],[ai_disruption_intensity]]&gt;70,"High",
IF(Table1[[#This Row],[ai_disruption_intensity]]&gt;40,"Medium","Low"))</f>
        <v>Medium</v>
      </c>
      <c r="W1009" t="str">
        <f>IF(Table1[[#This Row],[skill_gap_index]]&gt;70,"Large Gap",
IF(Table1[[#This Row],[skill_gap_index]]&gt;40,"Medium Gap","Small Gap"))</f>
        <v>Small Gap</v>
      </c>
      <c r="X1009" s="3" t="str">
        <f>IF(Table1[[#This Row],[automation_risk_percent]]&gt;0.7,"Highly Automatable",
IF(Table1[[#This Row],[automation_risk_percent]]&gt;0.4,"Moderate Risk","Safe Job"))</f>
        <v>Moderate Risk</v>
      </c>
    </row>
    <row r="1010" spans="1:24" x14ac:dyDescent="0.3">
      <c r="A1010">
        <v>3555</v>
      </c>
      <c r="B1010" t="s">
        <v>18</v>
      </c>
      <c r="C1010" t="s">
        <v>30</v>
      </c>
      <c r="D1010" t="s">
        <v>31</v>
      </c>
      <c r="E1010" s="1">
        <v>2026</v>
      </c>
      <c r="F1010" s="11">
        <v>0.47100000000000003</v>
      </c>
      <c r="G1010">
        <v>50.63</v>
      </c>
      <c r="H1010">
        <v>22.45</v>
      </c>
      <c r="I1010" s="2">
        <v>109061.15</v>
      </c>
      <c r="J1010" s="2">
        <v>116593.1</v>
      </c>
      <c r="K1010" s="2">
        <f>Table1[[#This Row],[Salary_after]]-Table1[[#This Row],[Salary_before]]</f>
        <v>7531.9500000000116</v>
      </c>
      <c r="L1010" s="11">
        <v>6.9099999999999995E-2</v>
      </c>
      <c r="M1010" s="11">
        <v>0.159</v>
      </c>
      <c r="N1010">
        <v>53.36</v>
      </c>
      <c r="O1010">
        <v>99.17</v>
      </c>
      <c r="P1010">
        <v>3</v>
      </c>
      <c r="Q1010" t="s">
        <v>25</v>
      </c>
      <c r="R1010">
        <v>34.774999999999999</v>
      </c>
      <c r="S1010">
        <v>6.91</v>
      </c>
      <c r="T1010" s="4">
        <v>27.648</v>
      </c>
      <c r="U1010" s="4">
        <v>46.709069999999997</v>
      </c>
      <c r="V1010" t="str">
        <f>IF(Table1[[#This Row],[ai_disruption_intensity]]&gt;70,"High",
IF(Table1[[#This Row],[ai_disruption_intensity]]&gt;40,"Medium","Low"))</f>
        <v>Medium</v>
      </c>
      <c r="W1010" t="str">
        <f>IF(Table1[[#This Row],[skill_gap_index]]&gt;70,"Large Gap",
IF(Table1[[#This Row],[skill_gap_index]]&gt;40,"Medium Gap","Small Gap"))</f>
        <v>Small Gap</v>
      </c>
      <c r="X1010" s="3" t="str">
        <f>IF(Table1[[#This Row],[automation_risk_percent]]&gt;0.7,"Highly Automatable",
IF(Table1[[#This Row],[automation_risk_percent]]&gt;0.4,"Moderate Risk","Safe Job"))</f>
        <v>Moderate Risk</v>
      </c>
    </row>
    <row r="1011" spans="1:24" x14ac:dyDescent="0.3">
      <c r="A1011">
        <v>3557</v>
      </c>
      <c r="B1011" t="s">
        <v>45</v>
      </c>
      <c r="C1011" t="s">
        <v>27</v>
      </c>
      <c r="D1011" t="s">
        <v>20</v>
      </c>
      <c r="E1011" s="1">
        <v>2026</v>
      </c>
      <c r="F1011" s="11">
        <v>0.3639</v>
      </c>
      <c r="G1011">
        <v>30.66</v>
      </c>
      <c r="H1011">
        <v>19.77</v>
      </c>
      <c r="I1011" s="2">
        <v>121755.15</v>
      </c>
      <c r="J1011" s="2">
        <v>129675.77</v>
      </c>
      <c r="K1011" s="2">
        <f>Table1[[#This Row],[Salary_after]]-Table1[[#This Row],[Salary_before]]</f>
        <v>7920.6200000000099</v>
      </c>
      <c r="L1011" s="11">
        <v>6.5099999999999991E-2</v>
      </c>
      <c r="M1011" s="11">
        <v>0.10529999999999999</v>
      </c>
      <c r="N1011">
        <v>85.7</v>
      </c>
      <c r="O1011">
        <v>42.04</v>
      </c>
      <c r="P1011">
        <v>4</v>
      </c>
      <c r="Q1011" t="s">
        <v>25</v>
      </c>
      <c r="R1011">
        <v>28.08</v>
      </c>
      <c r="S1011">
        <v>6.51</v>
      </c>
      <c r="T1011" s="4">
        <v>22.44</v>
      </c>
      <c r="U1011" s="4">
        <v>15.298355999999901</v>
      </c>
      <c r="V1011" t="str">
        <f>IF(Table1[[#This Row],[ai_disruption_intensity]]&gt;70,"High",
IF(Table1[[#This Row],[ai_disruption_intensity]]&gt;40,"Medium","Low"))</f>
        <v>Low</v>
      </c>
      <c r="W1011" t="str">
        <f>IF(Table1[[#This Row],[skill_gap_index]]&gt;70,"Large Gap",
IF(Table1[[#This Row],[skill_gap_index]]&gt;40,"Medium Gap","Small Gap"))</f>
        <v>Small Gap</v>
      </c>
      <c r="X1011" s="3" t="str">
        <f>IF(Table1[[#This Row],[automation_risk_percent]]&gt;0.7,"Highly Automatable",
IF(Table1[[#This Row],[automation_risk_percent]]&gt;0.4,"Moderate Risk","Safe Job"))</f>
        <v>Safe Job</v>
      </c>
    </row>
    <row r="1012" spans="1:24" x14ac:dyDescent="0.3">
      <c r="A1012">
        <v>3561</v>
      </c>
      <c r="B1012" t="s">
        <v>46</v>
      </c>
      <c r="C1012" t="s">
        <v>30</v>
      </c>
      <c r="D1012" t="s">
        <v>20</v>
      </c>
      <c r="E1012" s="1">
        <v>2025</v>
      </c>
      <c r="F1012" s="11">
        <v>0.58509999999999995</v>
      </c>
      <c r="G1012">
        <v>60.61</v>
      </c>
      <c r="H1012">
        <v>63.25</v>
      </c>
      <c r="I1012" s="2">
        <v>140625.10999999999</v>
      </c>
      <c r="J1012" s="2">
        <v>143517.13</v>
      </c>
      <c r="K1012" s="2">
        <f>Table1[[#This Row],[Salary_after]]-Table1[[#This Row],[Salary_before]]</f>
        <v>2892.0200000000186</v>
      </c>
      <c r="L1012" s="11">
        <v>2.06E-2</v>
      </c>
      <c r="M1012" s="11">
        <v>0.1038</v>
      </c>
      <c r="N1012">
        <v>10.7</v>
      </c>
      <c r="O1012">
        <v>10.44</v>
      </c>
      <c r="P1012">
        <v>3</v>
      </c>
      <c r="Q1012" t="s">
        <v>25</v>
      </c>
      <c r="R1012">
        <v>60.879999999999903</v>
      </c>
      <c r="S1012">
        <v>2.06</v>
      </c>
      <c r="T1012" s="4">
        <v>42.997</v>
      </c>
      <c r="U1012" s="4">
        <v>6.1084439999999898</v>
      </c>
      <c r="V1012" t="str">
        <f>IF(Table1[[#This Row],[ai_disruption_intensity]]&gt;70,"High",
IF(Table1[[#This Row],[ai_disruption_intensity]]&gt;40,"Medium","Low"))</f>
        <v>Low</v>
      </c>
      <c r="W1012" t="str">
        <f>IF(Table1[[#This Row],[skill_gap_index]]&gt;70,"Large Gap",
IF(Table1[[#This Row],[skill_gap_index]]&gt;40,"Medium Gap","Small Gap"))</f>
        <v>Medium Gap</v>
      </c>
      <c r="X1012" s="3" t="str">
        <f>IF(Table1[[#This Row],[automation_risk_percent]]&gt;0.7,"Highly Automatable",
IF(Table1[[#This Row],[automation_risk_percent]]&gt;0.4,"Moderate Risk","Safe Job"))</f>
        <v>Moderate Risk</v>
      </c>
    </row>
    <row r="1013" spans="1:24" x14ac:dyDescent="0.3">
      <c r="A1013">
        <v>3564</v>
      </c>
      <c r="B1013" t="s">
        <v>22</v>
      </c>
      <c r="C1013" t="s">
        <v>40</v>
      </c>
      <c r="D1013" t="s">
        <v>20</v>
      </c>
      <c r="E1013" s="1">
        <v>2025</v>
      </c>
      <c r="F1013" s="11">
        <v>0.72120000000000006</v>
      </c>
      <c r="G1013">
        <v>63.97</v>
      </c>
      <c r="H1013">
        <v>10.73</v>
      </c>
      <c r="I1013" s="2">
        <v>103843.56</v>
      </c>
      <c r="J1013" s="2">
        <v>107115.57</v>
      </c>
      <c r="K1013" s="2">
        <f>Table1[[#This Row],[Salary_after]]-Table1[[#This Row],[Salary_before]]</f>
        <v>3272.0100000000093</v>
      </c>
      <c r="L1013" s="11">
        <v>3.15E-2</v>
      </c>
      <c r="M1013" s="11">
        <v>0.17379999999999998</v>
      </c>
      <c r="N1013">
        <v>96.67</v>
      </c>
      <c r="O1013">
        <v>79.56</v>
      </c>
      <c r="P1013">
        <v>4</v>
      </c>
      <c r="Q1013" t="s">
        <v>37</v>
      </c>
      <c r="R1013">
        <v>41.424999999999997</v>
      </c>
      <c r="S1013">
        <v>3.15</v>
      </c>
      <c r="T1013" s="4">
        <v>33.012</v>
      </c>
      <c r="U1013" s="4">
        <v>57.378672000000002</v>
      </c>
      <c r="V1013" t="str">
        <f>IF(Table1[[#This Row],[ai_disruption_intensity]]&gt;70,"High",
IF(Table1[[#This Row],[ai_disruption_intensity]]&gt;40,"Medium","Low"))</f>
        <v>Medium</v>
      </c>
      <c r="W1013" t="str">
        <f>IF(Table1[[#This Row],[skill_gap_index]]&gt;70,"Large Gap",
IF(Table1[[#This Row],[skill_gap_index]]&gt;40,"Medium Gap","Small Gap"))</f>
        <v>Small Gap</v>
      </c>
      <c r="X1013" s="3" t="str">
        <f>IF(Table1[[#This Row],[automation_risk_percent]]&gt;0.7,"Highly Automatable",
IF(Table1[[#This Row],[automation_risk_percent]]&gt;0.4,"Moderate Risk","Safe Job"))</f>
        <v>Highly Automatable</v>
      </c>
    </row>
    <row r="1014" spans="1:24" x14ac:dyDescent="0.3">
      <c r="A1014">
        <v>3571</v>
      </c>
      <c r="B1014" t="s">
        <v>44</v>
      </c>
      <c r="C1014" t="s">
        <v>19</v>
      </c>
      <c r="D1014" t="s">
        <v>28</v>
      </c>
      <c r="E1014" s="1">
        <v>2025</v>
      </c>
      <c r="F1014" s="11">
        <v>0.69510000000000005</v>
      </c>
      <c r="G1014">
        <v>78.67</v>
      </c>
      <c r="H1014">
        <v>47.25</v>
      </c>
      <c r="I1014" s="2">
        <v>97250.7</v>
      </c>
      <c r="J1014" s="2">
        <v>106782.16</v>
      </c>
      <c r="K1014" s="2">
        <f>Table1[[#This Row],[Salary_after]]-Table1[[#This Row],[Salary_before]]</f>
        <v>9531.4600000000064</v>
      </c>
      <c r="L1014" s="11">
        <v>9.8000000000000004E-2</v>
      </c>
      <c r="M1014" s="11">
        <v>0.16829999999999998</v>
      </c>
      <c r="N1014">
        <v>11.49</v>
      </c>
      <c r="O1014">
        <v>12.24</v>
      </c>
      <c r="P1014">
        <v>5</v>
      </c>
      <c r="Q1014" t="s">
        <v>37</v>
      </c>
      <c r="R1014">
        <v>58.38</v>
      </c>
      <c r="S1014">
        <v>9.8000000000000007</v>
      </c>
      <c r="T1014" s="4">
        <v>44.918999999999997</v>
      </c>
      <c r="U1014" s="4">
        <v>8.5080240000000007</v>
      </c>
      <c r="V1014" t="str">
        <f>IF(Table1[[#This Row],[ai_disruption_intensity]]&gt;70,"High",
IF(Table1[[#This Row],[ai_disruption_intensity]]&gt;40,"Medium","Low"))</f>
        <v>Low</v>
      </c>
      <c r="W1014" t="str">
        <f>IF(Table1[[#This Row],[skill_gap_index]]&gt;70,"Large Gap",
IF(Table1[[#This Row],[skill_gap_index]]&gt;40,"Medium Gap","Small Gap"))</f>
        <v>Medium Gap</v>
      </c>
      <c r="X1014" s="3" t="str">
        <f>IF(Table1[[#This Row],[automation_risk_percent]]&gt;0.7,"Highly Automatable",
IF(Table1[[#This Row],[automation_risk_percent]]&gt;0.4,"Moderate Risk","Safe Job"))</f>
        <v>Moderate Risk</v>
      </c>
    </row>
    <row r="1015" spans="1:24" x14ac:dyDescent="0.3">
      <c r="A1015">
        <v>3588</v>
      </c>
      <c r="B1015" t="s">
        <v>39</v>
      </c>
      <c r="C1015" t="s">
        <v>33</v>
      </c>
      <c r="D1015" t="s">
        <v>20</v>
      </c>
      <c r="E1015" s="1">
        <v>2026</v>
      </c>
      <c r="F1015" s="11">
        <v>0.46549999999999997</v>
      </c>
      <c r="G1015">
        <v>46.77</v>
      </c>
      <c r="H1015">
        <v>60.39</v>
      </c>
      <c r="I1015" s="2">
        <v>69292.09</v>
      </c>
      <c r="J1015" s="2">
        <v>68209.41</v>
      </c>
      <c r="K1015" s="2">
        <f>Table1[[#This Row],[Salary_after]]-Table1[[#This Row],[Salary_before]]</f>
        <v>-1082.679999999993</v>
      </c>
      <c r="L1015" s="11">
        <v>-1.5600000000000001E-2</v>
      </c>
      <c r="M1015" s="11">
        <v>0.15479999999999999</v>
      </c>
      <c r="N1015">
        <v>73.010000000000005</v>
      </c>
      <c r="O1015">
        <v>63.59</v>
      </c>
      <c r="P1015">
        <v>1</v>
      </c>
      <c r="Q1015" t="s">
        <v>25</v>
      </c>
      <c r="R1015">
        <v>53.47</v>
      </c>
      <c r="S1015">
        <v>1.56</v>
      </c>
      <c r="T1015" s="4">
        <v>37.204999999999998</v>
      </c>
      <c r="U1015" s="4">
        <v>29.601144999999999</v>
      </c>
      <c r="V1015" t="str">
        <f>IF(Table1[[#This Row],[ai_disruption_intensity]]&gt;70,"High",
IF(Table1[[#This Row],[ai_disruption_intensity]]&gt;40,"Medium","Low"))</f>
        <v>Low</v>
      </c>
      <c r="W1015" t="str">
        <f>IF(Table1[[#This Row],[skill_gap_index]]&gt;70,"Large Gap",
IF(Table1[[#This Row],[skill_gap_index]]&gt;40,"Medium Gap","Small Gap"))</f>
        <v>Medium Gap</v>
      </c>
      <c r="X1015" s="3" t="str">
        <f>IF(Table1[[#This Row],[automation_risk_percent]]&gt;0.7,"Highly Automatable",
IF(Table1[[#This Row],[automation_risk_percent]]&gt;0.4,"Moderate Risk","Safe Job"))</f>
        <v>Moderate Risk</v>
      </c>
    </row>
    <row r="1016" spans="1:24" x14ac:dyDescent="0.3">
      <c r="A1016">
        <v>3590</v>
      </c>
      <c r="B1016" t="s">
        <v>44</v>
      </c>
      <c r="C1016" t="s">
        <v>30</v>
      </c>
      <c r="D1016" t="s">
        <v>31</v>
      </c>
      <c r="E1016" s="1">
        <v>2025</v>
      </c>
      <c r="F1016" s="11">
        <v>0.57100000000000006</v>
      </c>
      <c r="G1016">
        <v>59.58</v>
      </c>
      <c r="H1016">
        <v>64.66</v>
      </c>
      <c r="I1016" s="2">
        <v>56194.31</v>
      </c>
      <c r="J1016" s="2">
        <v>54101.7</v>
      </c>
      <c r="K1016" s="2">
        <f>Table1[[#This Row],[Salary_after]]-Table1[[#This Row],[Salary_before]]</f>
        <v>-2092.6100000000006</v>
      </c>
      <c r="L1016" s="11">
        <v>-3.7200000000000004E-2</v>
      </c>
      <c r="M1016" s="11">
        <v>-9.6699999999999994E-2</v>
      </c>
      <c r="N1016">
        <v>18.63</v>
      </c>
      <c r="O1016">
        <v>7.46</v>
      </c>
      <c r="P1016">
        <v>2</v>
      </c>
      <c r="Q1016" t="s">
        <v>25</v>
      </c>
      <c r="R1016">
        <v>60.879999999999903</v>
      </c>
      <c r="S1016">
        <v>3.72</v>
      </c>
      <c r="T1016" s="4">
        <v>43.353999999999999</v>
      </c>
      <c r="U1016" s="4">
        <v>4.2596600000000002</v>
      </c>
      <c r="V1016" t="str">
        <f>IF(Table1[[#This Row],[ai_disruption_intensity]]&gt;70,"High",
IF(Table1[[#This Row],[ai_disruption_intensity]]&gt;40,"Medium","Low"))</f>
        <v>Low</v>
      </c>
      <c r="W1016" t="str">
        <f>IF(Table1[[#This Row],[skill_gap_index]]&gt;70,"Large Gap",
IF(Table1[[#This Row],[skill_gap_index]]&gt;40,"Medium Gap","Small Gap"))</f>
        <v>Medium Gap</v>
      </c>
      <c r="X1016" s="3" t="str">
        <f>IF(Table1[[#This Row],[automation_risk_percent]]&gt;0.7,"Highly Automatable",
IF(Table1[[#This Row],[automation_risk_percent]]&gt;0.4,"Moderate Risk","Safe Job"))</f>
        <v>Moderate Risk</v>
      </c>
    </row>
    <row r="1017" spans="1:24" x14ac:dyDescent="0.3">
      <c r="A1017">
        <v>3591</v>
      </c>
      <c r="B1017" t="s">
        <v>41</v>
      </c>
      <c r="C1017" t="s">
        <v>30</v>
      </c>
      <c r="D1017" t="s">
        <v>42</v>
      </c>
      <c r="E1017" s="1">
        <v>2026</v>
      </c>
      <c r="F1017" s="11">
        <v>0.31190000000000001</v>
      </c>
      <c r="G1017">
        <v>32.1</v>
      </c>
      <c r="H1017">
        <v>39.770000000000003</v>
      </c>
      <c r="I1017" s="2">
        <v>65234.01</v>
      </c>
      <c r="J1017" s="2">
        <v>58529.43</v>
      </c>
      <c r="K1017" s="2">
        <f>Table1[[#This Row],[Salary_after]]-Table1[[#This Row],[Salary_before]]</f>
        <v>-6704.5800000000017</v>
      </c>
      <c r="L1017" s="11">
        <v>-0.10279999999999999</v>
      </c>
      <c r="M1017" s="11">
        <v>-1.47E-2</v>
      </c>
      <c r="N1017">
        <v>47.04</v>
      </c>
      <c r="O1017">
        <v>20.309999999999999</v>
      </c>
      <c r="P1017">
        <v>5</v>
      </c>
      <c r="Q1017" t="s">
        <v>25</v>
      </c>
      <c r="R1017">
        <v>35.479999999999997</v>
      </c>
      <c r="S1017">
        <v>10.28</v>
      </c>
      <c r="T1017" s="4">
        <v>27.491</v>
      </c>
      <c r="U1017" s="4">
        <v>6.334689</v>
      </c>
      <c r="V1017" t="str">
        <f>IF(Table1[[#This Row],[ai_disruption_intensity]]&gt;70,"High",
IF(Table1[[#This Row],[ai_disruption_intensity]]&gt;40,"Medium","Low"))</f>
        <v>Low</v>
      </c>
      <c r="W1017" t="str">
        <f>IF(Table1[[#This Row],[skill_gap_index]]&gt;70,"Large Gap",
IF(Table1[[#This Row],[skill_gap_index]]&gt;40,"Medium Gap","Small Gap"))</f>
        <v>Small Gap</v>
      </c>
      <c r="X1017" s="3" t="str">
        <f>IF(Table1[[#This Row],[automation_risk_percent]]&gt;0.7,"Highly Automatable",
IF(Table1[[#This Row],[automation_risk_percent]]&gt;0.4,"Moderate Risk","Safe Job"))</f>
        <v>Safe Job</v>
      </c>
    </row>
    <row r="1018" spans="1:24" x14ac:dyDescent="0.3">
      <c r="A1018">
        <v>3592</v>
      </c>
      <c r="B1018" t="s">
        <v>39</v>
      </c>
      <c r="C1018" t="s">
        <v>33</v>
      </c>
      <c r="D1018" t="s">
        <v>20</v>
      </c>
      <c r="E1018" s="1">
        <v>2025</v>
      </c>
      <c r="F1018" s="11">
        <v>0.58860000000000001</v>
      </c>
      <c r="G1018">
        <v>50.01</v>
      </c>
      <c r="H1018">
        <v>94.82</v>
      </c>
      <c r="I1018" s="2">
        <v>40778.269999999997</v>
      </c>
      <c r="J1018" s="2">
        <v>43198.62</v>
      </c>
      <c r="K1018" s="2">
        <f>Table1[[#This Row],[Salary_after]]-Table1[[#This Row],[Salary_before]]</f>
        <v>2420.3500000000058</v>
      </c>
      <c r="L1018" s="11">
        <v>5.9400000000000001E-2</v>
      </c>
      <c r="M1018" s="11">
        <v>7.5999999999999998E-2</v>
      </c>
      <c r="N1018">
        <v>22.53</v>
      </c>
      <c r="O1018">
        <v>17.63</v>
      </c>
      <c r="P1018">
        <v>2</v>
      </c>
      <c r="Q1018" t="s">
        <v>25</v>
      </c>
      <c r="R1018">
        <v>76.84</v>
      </c>
      <c r="S1018">
        <v>5.94</v>
      </c>
      <c r="T1018" s="4">
        <v>53.771999999999899</v>
      </c>
      <c r="U1018" s="4">
        <v>10.3770179999999</v>
      </c>
      <c r="V1018" t="str">
        <f>IF(Table1[[#This Row],[ai_disruption_intensity]]&gt;70,"High",
IF(Table1[[#This Row],[ai_disruption_intensity]]&gt;40,"Medium","Low"))</f>
        <v>Low</v>
      </c>
      <c r="W1018" t="str">
        <f>IF(Table1[[#This Row],[skill_gap_index]]&gt;70,"Large Gap",
IF(Table1[[#This Row],[skill_gap_index]]&gt;40,"Medium Gap","Small Gap"))</f>
        <v>Large Gap</v>
      </c>
      <c r="X1018" s="3" t="str">
        <f>IF(Table1[[#This Row],[automation_risk_percent]]&gt;0.7,"Highly Automatable",
IF(Table1[[#This Row],[automation_risk_percent]]&gt;0.4,"Moderate Risk","Safe Job"))</f>
        <v>Moderate Risk</v>
      </c>
    </row>
    <row r="1019" spans="1:24" x14ac:dyDescent="0.3">
      <c r="A1019">
        <v>3593</v>
      </c>
      <c r="B1019" t="s">
        <v>39</v>
      </c>
      <c r="C1019" t="s">
        <v>23</v>
      </c>
      <c r="D1019" t="s">
        <v>36</v>
      </c>
      <c r="E1019" s="1">
        <v>2025</v>
      </c>
      <c r="F1019" s="11">
        <v>0.27649999999999997</v>
      </c>
      <c r="G1019">
        <v>24.83</v>
      </c>
      <c r="H1019">
        <v>31.08</v>
      </c>
      <c r="I1019" s="2">
        <v>99075.71</v>
      </c>
      <c r="J1019" s="2">
        <v>98275.92</v>
      </c>
      <c r="K1019" s="2">
        <f>Table1[[#This Row],[Salary_after]]-Table1[[#This Row],[Salary_before]]</f>
        <v>-799.79000000000815</v>
      </c>
      <c r="L1019" s="11">
        <v>-8.1000000000000013E-3</v>
      </c>
      <c r="M1019" s="11">
        <v>1.7600000000000001E-2</v>
      </c>
      <c r="N1019">
        <v>32.17</v>
      </c>
      <c r="O1019">
        <v>60.66</v>
      </c>
      <c r="P1019">
        <v>1</v>
      </c>
      <c r="Q1019" t="s">
        <v>21</v>
      </c>
      <c r="R1019">
        <v>29.364999999999998</v>
      </c>
      <c r="S1019">
        <v>0.81</v>
      </c>
      <c r="T1019" s="4">
        <v>20.626999999999999</v>
      </c>
      <c r="U1019" s="4">
        <v>16.772489999999902</v>
      </c>
      <c r="V1019" t="str">
        <f>IF(Table1[[#This Row],[ai_disruption_intensity]]&gt;70,"High",
IF(Table1[[#This Row],[ai_disruption_intensity]]&gt;40,"Medium","Low"))</f>
        <v>Low</v>
      </c>
      <c r="W1019" t="str">
        <f>IF(Table1[[#This Row],[skill_gap_index]]&gt;70,"Large Gap",
IF(Table1[[#This Row],[skill_gap_index]]&gt;40,"Medium Gap","Small Gap"))</f>
        <v>Small Gap</v>
      </c>
      <c r="X1019" s="3" t="str">
        <f>IF(Table1[[#This Row],[automation_risk_percent]]&gt;0.7,"Highly Automatable",
IF(Table1[[#This Row],[automation_risk_percent]]&gt;0.4,"Moderate Risk","Safe Job"))</f>
        <v>Safe Job</v>
      </c>
    </row>
    <row r="1020" spans="1:24" x14ac:dyDescent="0.3">
      <c r="A1020">
        <v>3599</v>
      </c>
      <c r="B1020" t="s">
        <v>18</v>
      </c>
      <c r="C1020" t="s">
        <v>33</v>
      </c>
      <c r="D1020" t="s">
        <v>20</v>
      </c>
      <c r="E1020" s="1">
        <v>2025</v>
      </c>
      <c r="F1020" s="11">
        <v>0.76549999999999996</v>
      </c>
      <c r="G1020">
        <v>84.56</v>
      </c>
      <c r="H1020">
        <v>57.27</v>
      </c>
      <c r="I1020" s="2">
        <v>56639.69</v>
      </c>
      <c r="J1020" s="2">
        <v>64857.97</v>
      </c>
      <c r="K1020" s="2">
        <f>Table1[[#This Row],[Salary_after]]-Table1[[#This Row],[Salary_before]]</f>
        <v>8218.2799999999988</v>
      </c>
      <c r="L1020" s="11">
        <v>0.14510000000000001</v>
      </c>
      <c r="M1020" s="11">
        <v>1.0500000000000001E-2</v>
      </c>
      <c r="N1020">
        <v>83.85</v>
      </c>
      <c r="O1020">
        <v>24.46</v>
      </c>
      <c r="P1020">
        <v>3</v>
      </c>
      <c r="Q1020" t="s">
        <v>37</v>
      </c>
      <c r="R1020">
        <v>66.91</v>
      </c>
      <c r="S1020">
        <v>14.51</v>
      </c>
      <c r="T1020" s="4">
        <v>52.154000000000003</v>
      </c>
      <c r="U1020" s="4">
        <v>18.724129999999999</v>
      </c>
      <c r="V1020" t="str">
        <f>IF(Table1[[#This Row],[ai_disruption_intensity]]&gt;70,"High",
IF(Table1[[#This Row],[ai_disruption_intensity]]&gt;40,"Medium","Low"))</f>
        <v>Low</v>
      </c>
      <c r="W1020" t="str">
        <f>IF(Table1[[#This Row],[skill_gap_index]]&gt;70,"Large Gap",
IF(Table1[[#This Row],[skill_gap_index]]&gt;40,"Medium Gap","Small Gap"))</f>
        <v>Medium Gap</v>
      </c>
      <c r="X1020" s="3" t="str">
        <f>IF(Table1[[#This Row],[automation_risk_percent]]&gt;0.7,"Highly Automatable",
IF(Table1[[#This Row],[automation_risk_percent]]&gt;0.4,"Moderate Risk","Safe Job"))</f>
        <v>Highly Automatable</v>
      </c>
    </row>
    <row r="1021" spans="1:24" x14ac:dyDescent="0.3">
      <c r="A1021">
        <v>3600</v>
      </c>
      <c r="B1021" t="s">
        <v>29</v>
      </c>
      <c r="C1021" t="s">
        <v>38</v>
      </c>
      <c r="D1021" t="s">
        <v>47</v>
      </c>
      <c r="E1021" s="1">
        <v>2025</v>
      </c>
      <c r="F1021" s="11">
        <v>0.71340000000000003</v>
      </c>
      <c r="G1021">
        <v>59.79</v>
      </c>
      <c r="H1021">
        <v>2.3199999999999998</v>
      </c>
      <c r="I1021" s="2">
        <v>95840.87</v>
      </c>
      <c r="J1021" s="2">
        <v>95691.95</v>
      </c>
      <c r="K1021" s="2">
        <f>Table1[[#This Row],[Salary_after]]-Table1[[#This Row],[Salary_before]]</f>
        <v>-148.91999999999825</v>
      </c>
      <c r="L1021" s="11">
        <v>-1.6000000000000001E-3</v>
      </c>
      <c r="M1021" s="11">
        <v>0.2263</v>
      </c>
      <c r="N1021">
        <v>81.66</v>
      </c>
      <c r="O1021">
        <v>66.39</v>
      </c>
      <c r="P1021">
        <v>3</v>
      </c>
      <c r="Q1021" t="s">
        <v>37</v>
      </c>
      <c r="R1021">
        <v>36.83</v>
      </c>
      <c r="S1021">
        <v>0.16</v>
      </c>
      <c r="T1021" s="4">
        <v>29.28</v>
      </c>
      <c r="U1021" s="4">
        <v>47.362625999999999</v>
      </c>
      <c r="V1021" t="str">
        <f>IF(Table1[[#This Row],[ai_disruption_intensity]]&gt;70,"High",
IF(Table1[[#This Row],[ai_disruption_intensity]]&gt;40,"Medium","Low"))</f>
        <v>Medium</v>
      </c>
      <c r="W1021" t="str">
        <f>IF(Table1[[#This Row],[skill_gap_index]]&gt;70,"Large Gap",
IF(Table1[[#This Row],[skill_gap_index]]&gt;40,"Medium Gap","Small Gap"))</f>
        <v>Small Gap</v>
      </c>
      <c r="X1021" s="3" t="str">
        <f>IF(Table1[[#This Row],[automation_risk_percent]]&gt;0.7,"Highly Automatable",
IF(Table1[[#This Row],[automation_risk_percent]]&gt;0.4,"Moderate Risk","Safe Job"))</f>
        <v>Highly Automatable</v>
      </c>
    </row>
    <row r="1022" spans="1:24" x14ac:dyDescent="0.3">
      <c r="A1022">
        <v>3603</v>
      </c>
      <c r="B1022" t="s">
        <v>29</v>
      </c>
      <c r="C1022" t="s">
        <v>38</v>
      </c>
      <c r="D1022" t="s">
        <v>32</v>
      </c>
      <c r="E1022" s="1">
        <v>2026</v>
      </c>
      <c r="F1022" s="11">
        <v>0.60509999999999997</v>
      </c>
      <c r="G1022">
        <v>70.510000000000005</v>
      </c>
      <c r="H1022">
        <v>76.87</v>
      </c>
      <c r="I1022" s="2">
        <v>148057.23000000001</v>
      </c>
      <c r="J1022" s="2">
        <v>135406.24</v>
      </c>
      <c r="K1022" s="2">
        <f>Table1[[#This Row],[Salary_after]]-Table1[[#This Row],[Salary_before]]</f>
        <v>-12650.99000000002</v>
      </c>
      <c r="L1022" s="11">
        <v>-8.539999999999999E-2</v>
      </c>
      <c r="M1022" s="11">
        <v>4.5199999999999997E-2</v>
      </c>
      <c r="N1022">
        <v>96</v>
      </c>
      <c r="O1022">
        <v>0.41</v>
      </c>
      <c r="P1022">
        <v>3</v>
      </c>
      <c r="Q1022" t="s">
        <v>37</v>
      </c>
      <c r="R1022">
        <v>68.69</v>
      </c>
      <c r="S1022">
        <v>8.5399999999999991</v>
      </c>
      <c r="T1022" s="4">
        <v>49.826999999999998</v>
      </c>
      <c r="U1022" s="4">
        <v>0.24809099999999901</v>
      </c>
      <c r="V1022" t="str">
        <f>IF(Table1[[#This Row],[ai_disruption_intensity]]&gt;70,"High",
IF(Table1[[#This Row],[ai_disruption_intensity]]&gt;40,"Medium","Low"))</f>
        <v>Low</v>
      </c>
      <c r="W1022" t="str">
        <f>IF(Table1[[#This Row],[skill_gap_index]]&gt;70,"Large Gap",
IF(Table1[[#This Row],[skill_gap_index]]&gt;40,"Medium Gap","Small Gap"))</f>
        <v>Large Gap</v>
      </c>
      <c r="X1022" s="3" t="str">
        <f>IF(Table1[[#This Row],[automation_risk_percent]]&gt;0.7,"Highly Automatable",
IF(Table1[[#This Row],[automation_risk_percent]]&gt;0.4,"Moderate Risk","Safe Job"))</f>
        <v>Moderate Risk</v>
      </c>
    </row>
    <row r="1023" spans="1:24" x14ac:dyDescent="0.3">
      <c r="A1023">
        <v>3605</v>
      </c>
      <c r="B1023" t="s">
        <v>39</v>
      </c>
      <c r="C1023" t="s">
        <v>19</v>
      </c>
      <c r="D1023" t="s">
        <v>32</v>
      </c>
      <c r="E1023" s="1">
        <v>2026</v>
      </c>
      <c r="F1023" s="11">
        <v>0.21960000000000002</v>
      </c>
      <c r="G1023">
        <v>23.48</v>
      </c>
      <c r="H1023">
        <v>36.840000000000003</v>
      </c>
      <c r="I1023" s="2">
        <v>68773.14</v>
      </c>
      <c r="J1023" s="2">
        <v>83737.86</v>
      </c>
      <c r="K1023" s="2">
        <f>Table1[[#This Row],[Salary_after]]-Table1[[#This Row],[Salary_before]]</f>
        <v>14964.720000000001</v>
      </c>
      <c r="L1023" s="11">
        <v>0.21760000000000002</v>
      </c>
      <c r="M1023" s="11">
        <v>-0.14779999999999999</v>
      </c>
      <c r="N1023">
        <v>22.77</v>
      </c>
      <c r="O1023">
        <v>70.78</v>
      </c>
      <c r="P1023">
        <v>5</v>
      </c>
      <c r="Q1023" t="s">
        <v>21</v>
      </c>
      <c r="R1023">
        <v>29.4</v>
      </c>
      <c r="S1023">
        <v>21.76</v>
      </c>
      <c r="T1023" s="4">
        <v>26.364000000000001</v>
      </c>
      <c r="U1023" s="4">
        <v>15.543288</v>
      </c>
      <c r="V1023" t="str">
        <f>IF(Table1[[#This Row],[ai_disruption_intensity]]&gt;70,"High",
IF(Table1[[#This Row],[ai_disruption_intensity]]&gt;40,"Medium","Low"))</f>
        <v>Low</v>
      </c>
      <c r="W1023" t="str">
        <f>IF(Table1[[#This Row],[skill_gap_index]]&gt;70,"Large Gap",
IF(Table1[[#This Row],[skill_gap_index]]&gt;40,"Medium Gap","Small Gap"))</f>
        <v>Small Gap</v>
      </c>
      <c r="X1023" s="3" t="str">
        <f>IF(Table1[[#This Row],[automation_risk_percent]]&gt;0.7,"Highly Automatable",
IF(Table1[[#This Row],[automation_risk_percent]]&gt;0.4,"Moderate Risk","Safe Job"))</f>
        <v>Safe Job</v>
      </c>
    </row>
    <row r="1024" spans="1:24" x14ac:dyDescent="0.3">
      <c r="A1024">
        <v>3606</v>
      </c>
      <c r="B1024" t="s">
        <v>43</v>
      </c>
      <c r="C1024" t="s">
        <v>33</v>
      </c>
      <c r="D1024" t="s">
        <v>28</v>
      </c>
      <c r="E1024" s="1">
        <v>2025</v>
      </c>
      <c r="F1024" s="11">
        <v>0.71810000000000007</v>
      </c>
      <c r="G1024">
        <v>65.430000000000007</v>
      </c>
      <c r="H1024">
        <v>18.04</v>
      </c>
      <c r="I1024" s="2">
        <v>121260.65</v>
      </c>
      <c r="J1024" s="2">
        <v>104795.59</v>
      </c>
      <c r="K1024" s="2">
        <f>Table1[[#This Row],[Salary_after]]-Table1[[#This Row],[Salary_before]]</f>
        <v>-16465.059999999998</v>
      </c>
      <c r="L1024" s="11">
        <v>-0.1358</v>
      </c>
      <c r="M1024" s="11">
        <v>0.11220000000000001</v>
      </c>
      <c r="N1024">
        <v>25.46</v>
      </c>
      <c r="O1024">
        <v>98.16</v>
      </c>
      <c r="P1024">
        <v>1</v>
      </c>
      <c r="Q1024" t="s">
        <v>37</v>
      </c>
      <c r="R1024">
        <v>44.924999999999997</v>
      </c>
      <c r="S1024">
        <v>13.58</v>
      </c>
      <c r="T1024" s="4">
        <v>38.21</v>
      </c>
      <c r="U1024" s="4">
        <v>70.488696000000004</v>
      </c>
      <c r="V1024" t="str">
        <f>IF(Table1[[#This Row],[ai_disruption_intensity]]&gt;70,"High",
IF(Table1[[#This Row],[ai_disruption_intensity]]&gt;40,"Medium","Low"))</f>
        <v>High</v>
      </c>
      <c r="W1024" t="str">
        <f>IF(Table1[[#This Row],[skill_gap_index]]&gt;70,"Large Gap",
IF(Table1[[#This Row],[skill_gap_index]]&gt;40,"Medium Gap","Small Gap"))</f>
        <v>Small Gap</v>
      </c>
      <c r="X1024" s="3" t="str">
        <f>IF(Table1[[#This Row],[automation_risk_percent]]&gt;0.7,"Highly Automatable",
IF(Table1[[#This Row],[automation_risk_percent]]&gt;0.4,"Moderate Risk","Safe Job"))</f>
        <v>Highly Automatable</v>
      </c>
    </row>
    <row r="1025" spans="1:24" x14ac:dyDescent="0.3">
      <c r="A1025">
        <v>3608</v>
      </c>
      <c r="B1025" t="s">
        <v>43</v>
      </c>
      <c r="C1025" t="s">
        <v>40</v>
      </c>
      <c r="D1025" t="s">
        <v>47</v>
      </c>
      <c r="E1025" s="1">
        <v>2026</v>
      </c>
      <c r="F1025" s="11">
        <v>0.21410000000000001</v>
      </c>
      <c r="G1025">
        <v>23.34</v>
      </c>
      <c r="H1025">
        <v>44.51</v>
      </c>
      <c r="I1025" s="2">
        <v>120464.45</v>
      </c>
      <c r="J1025" s="2">
        <v>119031.94</v>
      </c>
      <c r="K1025" s="2">
        <f>Table1[[#This Row],[Salary_after]]-Table1[[#This Row],[Salary_before]]</f>
        <v>-1432.5099999999948</v>
      </c>
      <c r="L1025" s="11">
        <v>-1.1899999999999999E-2</v>
      </c>
      <c r="M1025" s="11">
        <v>-8.1900000000000001E-2</v>
      </c>
      <c r="N1025">
        <v>94.02</v>
      </c>
      <c r="O1025">
        <v>34.21</v>
      </c>
      <c r="P1025">
        <v>1</v>
      </c>
      <c r="Q1025" t="s">
        <v>21</v>
      </c>
      <c r="R1025">
        <v>32.96</v>
      </c>
      <c r="S1025">
        <v>1.19</v>
      </c>
      <c r="T1025" s="4">
        <v>22.274000000000001</v>
      </c>
      <c r="U1025" s="4">
        <v>7.3243609999999997</v>
      </c>
      <c r="V1025" t="str">
        <f>IF(Table1[[#This Row],[ai_disruption_intensity]]&gt;70,"High",
IF(Table1[[#This Row],[ai_disruption_intensity]]&gt;40,"Medium","Low"))</f>
        <v>Low</v>
      </c>
      <c r="W1025" t="str">
        <f>IF(Table1[[#This Row],[skill_gap_index]]&gt;70,"Large Gap",
IF(Table1[[#This Row],[skill_gap_index]]&gt;40,"Medium Gap","Small Gap"))</f>
        <v>Medium Gap</v>
      </c>
      <c r="X1025" s="3" t="str">
        <f>IF(Table1[[#This Row],[automation_risk_percent]]&gt;0.7,"Highly Automatable",
IF(Table1[[#This Row],[automation_risk_percent]]&gt;0.4,"Moderate Risk","Safe Job"))</f>
        <v>Safe Job</v>
      </c>
    </row>
    <row r="1026" spans="1:24" x14ac:dyDescent="0.3">
      <c r="A1026">
        <v>3610</v>
      </c>
      <c r="B1026" t="s">
        <v>22</v>
      </c>
      <c r="C1026" t="s">
        <v>33</v>
      </c>
      <c r="D1026" t="s">
        <v>31</v>
      </c>
      <c r="E1026" s="1">
        <v>2026</v>
      </c>
      <c r="F1026" s="11">
        <v>0.79700000000000004</v>
      </c>
      <c r="G1026">
        <v>68.75</v>
      </c>
      <c r="H1026">
        <v>72.06</v>
      </c>
      <c r="I1026" s="2">
        <v>117009.11</v>
      </c>
      <c r="J1026" s="2">
        <v>104407.08</v>
      </c>
      <c r="K1026" s="2">
        <f>Table1[[#This Row],[Salary_after]]-Table1[[#This Row],[Salary_before]]</f>
        <v>-12602.029999999999</v>
      </c>
      <c r="L1026" s="11">
        <v>-0.10769999999999999</v>
      </c>
      <c r="M1026" s="11">
        <v>0.12230000000000001</v>
      </c>
      <c r="N1026">
        <v>29.36</v>
      </c>
      <c r="O1026">
        <v>66.63</v>
      </c>
      <c r="P1026">
        <v>4</v>
      </c>
      <c r="Q1026" t="s">
        <v>37</v>
      </c>
      <c r="R1026">
        <v>75.88</v>
      </c>
      <c r="S1026">
        <v>10.77</v>
      </c>
      <c r="T1026" s="4">
        <v>56.728999999999999</v>
      </c>
      <c r="U1026" s="4">
        <v>53.104109999999999</v>
      </c>
      <c r="V1026" t="str">
        <f>IF(Table1[[#This Row],[ai_disruption_intensity]]&gt;70,"High",
IF(Table1[[#This Row],[ai_disruption_intensity]]&gt;40,"Medium","Low"))</f>
        <v>Medium</v>
      </c>
      <c r="W1026" t="str">
        <f>IF(Table1[[#This Row],[skill_gap_index]]&gt;70,"Large Gap",
IF(Table1[[#This Row],[skill_gap_index]]&gt;40,"Medium Gap","Small Gap"))</f>
        <v>Large Gap</v>
      </c>
      <c r="X1026" s="3" t="str">
        <f>IF(Table1[[#This Row],[automation_risk_percent]]&gt;0.7,"Highly Automatable",
IF(Table1[[#This Row],[automation_risk_percent]]&gt;0.4,"Moderate Risk","Safe Job"))</f>
        <v>Highly Automatable</v>
      </c>
    </row>
    <row r="1027" spans="1:24" x14ac:dyDescent="0.3">
      <c r="A1027">
        <v>3615</v>
      </c>
      <c r="B1027" t="s">
        <v>44</v>
      </c>
      <c r="C1027" t="s">
        <v>30</v>
      </c>
      <c r="D1027" t="s">
        <v>32</v>
      </c>
      <c r="E1027" s="1">
        <v>2025</v>
      </c>
      <c r="F1027" s="11">
        <v>0.5252</v>
      </c>
      <c r="G1027">
        <v>53.3</v>
      </c>
      <c r="H1027">
        <v>16.420000000000002</v>
      </c>
      <c r="I1027" s="2">
        <v>58574.28</v>
      </c>
      <c r="J1027" s="2">
        <v>51740.46</v>
      </c>
      <c r="K1027" s="2">
        <f>Table1[[#This Row],[Salary_after]]-Table1[[#This Row],[Salary_before]]</f>
        <v>-6833.82</v>
      </c>
      <c r="L1027" s="11">
        <v>-0.1167</v>
      </c>
      <c r="M1027" s="11">
        <v>0.1641</v>
      </c>
      <c r="N1027">
        <v>40.85</v>
      </c>
      <c r="O1027">
        <v>13.19</v>
      </c>
      <c r="P1027">
        <v>4</v>
      </c>
      <c r="Q1027" t="s">
        <v>25</v>
      </c>
      <c r="R1027">
        <v>34.47</v>
      </c>
      <c r="S1027">
        <v>11.67</v>
      </c>
      <c r="T1027" s="4">
        <v>29.434999999999999</v>
      </c>
      <c r="U1027" s="4">
        <v>6.9273879999999997</v>
      </c>
      <c r="V1027" t="str">
        <f>IF(Table1[[#This Row],[ai_disruption_intensity]]&gt;70,"High",
IF(Table1[[#This Row],[ai_disruption_intensity]]&gt;40,"Medium","Low"))</f>
        <v>Low</v>
      </c>
      <c r="W1027" t="str">
        <f>IF(Table1[[#This Row],[skill_gap_index]]&gt;70,"Large Gap",
IF(Table1[[#This Row],[skill_gap_index]]&gt;40,"Medium Gap","Small Gap"))</f>
        <v>Small Gap</v>
      </c>
      <c r="X1027" s="3" t="str">
        <f>IF(Table1[[#This Row],[automation_risk_percent]]&gt;0.7,"Highly Automatable",
IF(Table1[[#This Row],[automation_risk_percent]]&gt;0.4,"Moderate Risk","Safe Job"))</f>
        <v>Moderate Risk</v>
      </c>
    </row>
    <row r="1028" spans="1:24" x14ac:dyDescent="0.3">
      <c r="A1028">
        <v>3620</v>
      </c>
      <c r="B1028" t="s">
        <v>26</v>
      </c>
      <c r="C1028" t="s">
        <v>40</v>
      </c>
      <c r="D1028" t="s">
        <v>20</v>
      </c>
      <c r="E1028" s="1">
        <v>2026</v>
      </c>
      <c r="F1028" s="11">
        <v>0.6381</v>
      </c>
      <c r="G1028">
        <v>71.03</v>
      </c>
      <c r="H1028">
        <v>20.96</v>
      </c>
      <c r="I1028" s="2">
        <v>117633.94</v>
      </c>
      <c r="J1028" s="2">
        <v>122644.94</v>
      </c>
      <c r="K1028" s="2">
        <f>Table1[[#This Row],[Salary_after]]-Table1[[#This Row],[Salary_before]]</f>
        <v>5011</v>
      </c>
      <c r="L1028" s="11">
        <v>4.2599999999999999E-2</v>
      </c>
      <c r="M1028" s="11">
        <v>-4.2099999999999999E-2</v>
      </c>
      <c r="N1028">
        <v>64.92</v>
      </c>
      <c r="O1028">
        <v>77.69</v>
      </c>
      <c r="P1028">
        <v>4</v>
      </c>
      <c r="Q1028" t="s">
        <v>37</v>
      </c>
      <c r="R1028">
        <v>42.384999999999998</v>
      </c>
      <c r="S1028">
        <v>4.26</v>
      </c>
      <c r="T1028" s="4">
        <v>33.090000000000003</v>
      </c>
      <c r="U1028" s="4">
        <v>49.573988999999997</v>
      </c>
      <c r="V1028" t="str">
        <f>IF(Table1[[#This Row],[ai_disruption_intensity]]&gt;70,"High",
IF(Table1[[#This Row],[ai_disruption_intensity]]&gt;40,"Medium","Low"))</f>
        <v>Medium</v>
      </c>
      <c r="W1028" t="str">
        <f>IF(Table1[[#This Row],[skill_gap_index]]&gt;70,"Large Gap",
IF(Table1[[#This Row],[skill_gap_index]]&gt;40,"Medium Gap","Small Gap"))</f>
        <v>Small Gap</v>
      </c>
      <c r="X1028" s="3" t="str">
        <f>IF(Table1[[#This Row],[automation_risk_percent]]&gt;0.7,"Highly Automatable",
IF(Table1[[#This Row],[automation_risk_percent]]&gt;0.4,"Moderate Risk","Safe Job"))</f>
        <v>Moderate Risk</v>
      </c>
    </row>
    <row r="1029" spans="1:24" x14ac:dyDescent="0.3">
      <c r="A1029">
        <v>3623</v>
      </c>
      <c r="B1029" t="s">
        <v>39</v>
      </c>
      <c r="C1029" t="s">
        <v>23</v>
      </c>
      <c r="D1029" t="s">
        <v>28</v>
      </c>
      <c r="E1029" s="1">
        <v>2025</v>
      </c>
      <c r="F1029" s="11">
        <v>0.77839999999999998</v>
      </c>
      <c r="G1029">
        <v>63.28</v>
      </c>
      <c r="H1029">
        <v>33.53</v>
      </c>
      <c r="I1029" s="2">
        <v>88345.56</v>
      </c>
      <c r="J1029" s="2">
        <v>79590.36</v>
      </c>
      <c r="K1029" s="2">
        <f>Table1[[#This Row],[Salary_after]]-Table1[[#This Row],[Salary_before]]</f>
        <v>-8755.1999999999971</v>
      </c>
      <c r="L1029" s="11">
        <v>-9.9100000000000008E-2</v>
      </c>
      <c r="M1029" s="11">
        <v>-3.7400000000000003E-2</v>
      </c>
      <c r="N1029">
        <v>83.83</v>
      </c>
      <c r="O1029">
        <v>27.8</v>
      </c>
      <c r="P1029">
        <v>2</v>
      </c>
      <c r="Q1029" t="s">
        <v>37</v>
      </c>
      <c r="R1029">
        <v>55.685000000000002</v>
      </c>
      <c r="S1029">
        <v>9.91</v>
      </c>
      <c r="T1029" s="4">
        <v>44.167999999999999</v>
      </c>
      <c r="U1029" s="4">
        <v>21.639520000000001</v>
      </c>
      <c r="V1029" t="str">
        <f>IF(Table1[[#This Row],[ai_disruption_intensity]]&gt;70,"High",
IF(Table1[[#This Row],[ai_disruption_intensity]]&gt;40,"Medium","Low"))</f>
        <v>Low</v>
      </c>
      <c r="W1029" t="str">
        <f>IF(Table1[[#This Row],[skill_gap_index]]&gt;70,"Large Gap",
IF(Table1[[#This Row],[skill_gap_index]]&gt;40,"Medium Gap","Small Gap"))</f>
        <v>Small Gap</v>
      </c>
      <c r="X1029" s="3" t="str">
        <f>IF(Table1[[#This Row],[automation_risk_percent]]&gt;0.7,"Highly Automatable",
IF(Table1[[#This Row],[automation_risk_percent]]&gt;0.4,"Moderate Risk","Safe Job"))</f>
        <v>Highly Automatable</v>
      </c>
    </row>
    <row r="1030" spans="1:24" x14ac:dyDescent="0.3">
      <c r="A1030">
        <v>3624</v>
      </c>
      <c r="B1030" t="s">
        <v>22</v>
      </c>
      <c r="C1030" t="s">
        <v>34</v>
      </c>
      <c r="D1030" t="s">
        <v>20</v>
      </c>
      <c r="E1030" s="1">
        <v>2025</v>
      </c>
      <c r="F1030" s="11">
        <v>0.56030000000000002</v>
      </c>
      <c r="G1030">
        <v>63.24</v>
      </c>
      <c r="H1030">
        <v>79.25</v>
      </c>
      <c r="I1030" s="2">
        <v>123834.09</v>
      </c>
      <c r="J1030" s="2">
        <v>92914.82</v>
      </c>
      <c r="K1030" s="2">
        <f>Table1[[#This Row],[Salary_after]]-Table1[[#This Row],[Salary_before]]</f>
        <v>-30919.26999999999</v>
      </c>
      <c r="L1030" s="11">
        <v>-0.24969999999999998</v>
      </c>
      <c r="M1030" s="11">
        <v>5.0999999999999997E-2</v>
      </c>
      <c r="N1030">
        <v>60.13</v>
      </c>
      <c r="O1030">
        <v>29.88</v>
      </c>
      <c r="P1030">
        <v>1</v>
      </c>
      <c r="Q1030" t="s">
        <v>25</v>
      </c>
      <c r="R1030">
        <v>67.64</v>
      </c>
      <c r="S1030">
        <v>24.97</v>
      </c>
      <c r="T1030" s="4">
        <v>53.677999999999997</v>
      </c>
      <c r="U1030" s="4">
        <v>16.741764</v>
      </c>
      <c r="V1030" t="str">
        <f>IF(Table1[[#This Row],[ai_disruption_intensity]]&gt;70,"High",
IF(Table1[[#This Row],[ai_disruption_intensity]]&gt;40,"Medium","Low"))</f>
        <v>Low</v>
      </c>
      <c r="W1030" t="str">
        <f>IF(Table1[[#This Row],[skill_gap_index]]&gt;70,"Large Gap",
IF(Table1[[#This Row],[skill_gap_index]]&gt;40,"Medium Gap","Small Gap"))</f>
        <v>Large Gap</v>
      </c>
      <c r="X1030" s="3" t="str">
        <f>IF(Table1[[#This Row],[automation_risk_percent]]&gt;0.7,"Highly Automatable",
IF(Table1[[#This Row],[automation_risk_percent]]&gt;0.4,"Moderate Risk","Safe Job"))</f>
        <v>Moderate Risk</v>
      </c>
    </row>
    <row r="1031" spans="1:24" x14ac:dyDescent="0.3">
      <c r="A1031">
        <v>3626</v>
      </c>
      <c r="B1031" t="s">
        <v>22</v>
      </c>
      <c r="C1031" t="s">
        <v>33</v>
      </c>
      <c r="D1031" t="s">
        <v>24</v>
      </c>
      <c r="E1031" s="1">
        <v>2025</v>
      </c>
      <c r="F1031" s="11">
        <v>0.58119999999999994</v>
      </c>
      <c r="G1031">
        <v>47.82</v>
      </c>
      <c r="H1031">
        <v>10.98</v>
      </c>
      <c r="I1031" s="2">
        <v>127507.53</v>
      </c>
      <c r="J1031" s="2">
        <v>118938.62</v>
      </c>
      <c r="K1031" s="2">
        <f>Table1[[#This Row],[Salary_after]]-Table1[[#This Row],[Salary_before]]</f>
        <v>-8568.9100000000035</v>
      </c>
      <c r="L1031" s="11">
        <v>-6.7199999999999996E-2</v>
      </c>
      <c r="M1031" s="11">
        <v>-7.4299999999999991E-2</v>
      </c>
      <c r="N1031">
        <v>23.08</v>
      </c>
      <c r="O1031">
        <v>19.52</v>
      </c>
      <c r="P1031">
        <v>1</v>
      </c>
      <c r="Q1031" t="s">
        <v>25</v>
      </c>
      <c r="R1031">
        <v>34.549999999999997</v>
      </c>
      <c r="S1031">
        <v>6.72</v>
      </c>
      <c r="T1031" s="4">
        <v>28.558</v>
      </c>
      <c r="U1031" s="4">
        <v>11.345023999999899</v>
      </c>
      <c r="V1031" t="str">
        <f>IF(Table1[[#This Row],[ai_disruption_intensity]]&gt;70,"High",
IF(Table1[[#This Row],[ai_disruption_intensity]]&gt;40,"Medium","Low"))</f>
        <v>Low</v>
      </c>
      <c r="W1031" t="str">
        <f>IF(Table1[[#This Row],[skill_gap_index]]&gt;70,"Large Gap",
IF(Table1[[#This Row],[skill_gap_index]]&gt;40,"Medium Gap","Small Gap"))</f>
        <v>Small Gap</v>
      </c>
      <c r="X1031" s="3" t="str">
        <f>IF(Table1[[#This Row],[automation_risk_percent]]&gt;0.7,"Highly Automatable",
IF(Table1[[#This Row],[automation_risk_percent]]&gt;0.4,"Moderate Risk","Safe Job"))</f>
        <v>Moderate Risk</v>
      </c>
    </row>
    <row r="1032" spans="1:24" x14ac:dyDescent="0.3">
      <c r="A1032">
        <v>3627</v>
      </c>
      <c r="B1032" t="s">
        <v>39</v>
      </c>
      <c r="C1032" t="s">
        <v>34</v>
      </c>
      <c r="D1032" t="s">
        <v>28</v>
      </c>
      <c r="E1032" s="1">
        <v>2025</v>
      </c>
      <c r="F1032" s="11">
        <v>0.64280000000000004</v>
      </c>
      <c r="G1032">
        <v>58.16</v>
      </c>
      <c r="H1032">
        <v>44.9</v>
      </c>
      <c r="I1032" s="2">
        <v>48200.56</v>
      </c>
      <c r="J1032" s="2">
        <v>53822.39</v>
      </c>
      <c r="K1032" s="2">
        <f>Table1[[#This Row],[Salary_after]]-Table1[[#This Row],[Salary_before]]</f>
        <v>5621.8300000000017</v>
      </c>
      <c r="L1032" s="11">
        <v>0.1166</v>
      </c>
      <c r="M1032" s="11">
        <v>0.1409</v>
      </c>
      <c r="N1032">
        <v>42.55</v>
      </c>
      <c r="O1032">
        <v>78.47</v>
      </c>
      <c r="P1032">
        <v>5</v>
      </c>
      <c r="Q1032" t="s">
        <v>37</v>
      </c>
      <c r="R1032">
        <v>54.59</v>
      </c>
      <c r="S1032">
        <v>11.66</v>
      </c>
      <c r="T1032" s="4">
        <v>42.68</v>
      </c>
      <c r="U1032" s="4">
        <v>50.440515999999903</v>
      </c>
      <c r="V1032" t="str">
        <f>IF(Table1[[#This Row],[ai_disruption_intensity]]&gt;70,"High",
IF(Table1[[#This Row],[ai_disruption_intensity]]&gt;40,"Medium","Low"))</f>
        <v>Medium</v>
      </c>
      <c r="W1032" t="str">
        <f>IF(Table1[[#This Row],[skill_gap_index]]&gt;70,"Large Gap",
IF(Table1[[#This Row],[skill_gap_index]]&gt;40,"Medium Gap","Small Gap"))</f>
        <v>Medium Gap</v>
      </c>
      <c r="X1032" s="3" t="str">
        <f>IF(Table1[[#This Row],[automation_risk_percent]]&gt;0.7,"Highly Automatable",
IF(Table1[[#This Row],[automation_risk_percent]]&gt;0.4,"Moderate Risk","Safe Job"))</f>
        <v>Moderate Risk</v>
      </c>
    </row>
    <row r="1033" spans="1:24" x14ac:dyDescent="0.3">
      <c r="A1033">
        <v>3631</v>
      </c>
      <c r="B1033" t="s">
        <v>29</v>
      </c>
      <c r="C1033" t="s">
        <v>23</v>
      </c>
      <c r="D1033" t="s">
        <v>24</v>
      </c>
      <c r="E1033" s="1">
        <v>2026</v>
      </c>
      <c r="F1033" s="11">
        <v>0.82040000000000002</v>
      </c>
      <c r="G1033">
        <v>68.11</v>
      </c>
      <c r="H1033">
        <v>62.12</v>
      </c>
      <c r="I1033" s="2">
        <v>59724.71</v>
      </c>
      <c r="J1033" s="2">
        <v>66454.03</v>
      </c>
      <c r="K1033" s="2">
        <f>Table1[[#This Row],[Salary_after]]-Table1[[#This Row],[Salary_before]]</f>
        <v>6729.32</v>
      </c>
      <c r="L1033" s="11">
        <v>0.11269999999999999</v>
      </c>
      <c r="M1033" s="11">
        <v>-9.8699999999999996E-2</v>
      </c>
      <c r="N1033">
        <v>21.86</v>
      </c>
      <c r="O1033">
        <v>43.73</v>
      </c>
      <c r="P1033">
        <v>5</v>
      </c>
      <c r="Q1033" t="s">
        <v>37</v>
      </c>
      <c r="R1033">
        <v>72.08</v>
      </c>
      <c r="S1033">
        <v>11.27</v>
      </c>
      <c r="T1033" s="4">
        <v>54.832999999999998</v>
      </c>
      <c r="U1033" s="4">
        <v>35.876092</v>
      </c>
      <c r="V1033" t="str">
        <f>IF(Table1[[#This Row],[ai_disruption_intensity]]&gt;70,"High",
IF(Table1[[#This Row],[ai_disruption_intensity]]&gt;40,"Medium","Low"))</f>
        <v>Low</v>
      </c>
      <c r="W1033" t="str">
        <f>IF(Table1[[#This Row],[skill_gap_index]]&gt;70,"Large Gap",
IF(Table1[[#This Row],[skill_gap_index]]&gt;40,"Medium Gap","Small Gap"))</f>
        <v>Medium Gap</v>
      </c>
      <c r="X1033" s="3" t="str">
        <f>IF(Table1[[#This Row],[automation_risk_percent]]&gt;0.7,"Highly Automatable",
IF(Table1[[#This Row],[automation_risk_percent]]&gt;0.4,"Moderate Risk","Safe Job"))</f>
        <v>Highly Automatable</v>
      </c>
    </row>
    <row r="1034" spans="1:24" x14ac:dyDescent="0.3">
      <c r="A1034">
        <v>3643</v>
      </c>
      <c r="B1034" t="s">
        <v>43</v>
      </c>
      <c r="C1034" t="s">
        <v>23</v>
      </c>
      <c r="D1034" t="s">
        <v>42</v>
      </c>
      <c r="E1034" s="1">
        <v>2025</v>
      </c>
      <c r="F1034" s="11">
        <v>0.51429999999999998</v>
      </c>
      <c r="G1034">
        <v>56.07</v>
      </c>
      <c r="H1034">
        <v>7.99</v>
      </c>
      <c r="I1034" s="2">
        <v>121942.52</v>
      </c>
      <c r="J1034" s="2">
        <v>133867.38</v>
      </c>
      <c r="K1034" s="2">
        <f>Table1[[#This Row],[Salary_after]]-Table1[[#This Row],[Salary_before]]</f>
        <v>11924.86</v>
      </c>
      <c r="L1034" s="11">
        <v>9.7799999999999998E-2</v>
      </c>
      <c r="M1034" s="11">
        <v>-1.06E-2</v>
      </c>
      <c r="N1034">
        <v>55.82</v>
      </c>
      <c r="O1034">
        <v>27.46</v>
      </c>
      <c r="P1034">
        <v>4</v>
      </c>
      <c r="Q1034" t="s">
        <v>25</v>
      </c>
      <c r="R1034">
        <v>29.71</v>
      </c>
      <c r="S1034">
        <v>9.7799999999999994</v>
      </c>
      <c r="T1034" s="4">
        <v>25.902999999999999</v>
      </c>
      <c r="U1034" s="4">
        <v>14.122678000000001</v>
      </c>
      <c r="V1034" t="str">
        <f>IF(Table1[[#This Row],[ai_disruption_intensity]]&gt;70,"High",
IF(Table1[[#This Row],[ai_disruption_intensity]]&gt;40,"Medium","Low"))</f>
        <v>Low</v>
      </c>
      <c r="W1034" t="str">
        <f>IF(Table1[[#This Row],[skill_gap_index]]&gt;70,"Large Gap",
IF(Table1[[#This Row],[skill_gap_index]]&gt;40,"Medium Gap","Small Gap"))</f>
        <v>Small Gap</v>
      </c>
      <c r="X1034" s="3" t="str">
        <f>IF(Table1[[#This Row],[automation_risk_percent]]&gt;0.7,"Highly Automatable",
IF(Table1[[#This Row],[automation_risk_percent]]&gt;0.4,"Moderate Risk","Safe Job"))</f>
        <v>Moderate Risk</v>
      </c>
    </row>
    <row r="1035" spans="1:24" x14ac:dyDescent="0.3">
      <c r="A1035">
        <v>3644</v>
      </c>
      <c r="B1035" t="s">
        <v>22</v>
      </c>
      <c r="C1035" t="s">
        <v>19</v>
      </c>
      <c r="D1035" t="s">
        <v>31</v>
      </c>
      <c r="E1035" s="1">
        <v>2025</v>
      </c>
      <c r="F1035" s="11">
        <v>0.76690000000000003</v>
      </c>
      <c r="G1035">
        <v>84.82</v>
      </c>
      <c r="H1035">
        <v>98.57</v>
      </c>
      <c r="I1035" s="2">
        <v>73736.39</v>
      </c>
      <c r="J1035" s="2">
        <v>82511.05</v>
      </c>
      <c r="K1035" s="2">
        <f>Table1[[#This Row],[Salary_after]]-Table1[[#This Row],[Salary_before]]</f>
        <v>8774.6600000000035</v>
      </c>
      <c r="L1035" s="11">
        <v>0.11900000000000001</v>
      </c>
      <c r="M1035" s="11">
        <v>0.20910000000000001</v>
      </c>
      <c r="N1035">
        <v>71.88</v>
      </c>
      <c r="O1035">
        <v>3.83</v>
      </c>
      <c r="P1035">
        <v>4</v>
      </c>
      <c r="Q1035" t="s">
        <v>37</v>
      </c>
      <c r="R1035">
        <v>87.63</v>
      </c>
      <c r="S1035">
        <v>11.9</v>
      </c>
      <c r="T1035" s="4">
        <v>63.817</v>
      </c>
      <c r="U1035" s="4">
        <v>2.9372269999999898</v>
      </c>
      <c r="V1035" t="str">
        <f>IF(Table1[[#This Row],[ai_disruption_intensity]]&gt;70,"High",
IF(Table1[[#This Row],[ai_disruption_intensity]]&gt;40,"Medium","Low"))</f>
        <v>Low</v>
      </c>
      <c r="W1035" t="str">
        <f>IF(Table1[[#This Row],[skill_gap_index]]&gt;70,"Large Gap",
IF(Table1[[#This Row],[skill_gap_index]]&gt;40,"Medium Gap","Small Gap"))</f>
        <v>Large Gap</v>
      </c>
      <c r="X1035" s="3" t="str">
        <f>IF(Table1[[#This Row],[automation_risk_percent]]&gt;0.7,"Highly Automatable",
IF(Table1[[#This Row],[automation_risk_percent]]&gt;0.4,"Moderate Risk","Safe Job"))</f>
        <v>Highly Automatable</v>
      </c>
    </row>
    <row r="1036" spans="1:24" x14ac:dyDescent="0.3">
      <c r="A1036">
        <v>3647</v>
      </c>
      <c r="B1036" t="s">
        <v>18</v>
      </c>
      <c r="C1036" t="s">
        <v>30</v>
      </c>
      <c r="D1036" t="s">
        <v>31</v>
      </c>
      <c r="E1036" s="1">
        <v>2026</v>
      </c>
      <c r="F1036" s="11">
        <v>0.74829999999999997</v>
      </c>
      <c r="G1036">
        <v>89.29</v>
      </c>
      <c r="H1036">
        <v>35.42</v>
      </c>
      <c r="I1036" s="2">
        <v>42848.86</v>
      </c>
      <c r="J1036" s="2">
        <v>42138.43</v>
      </c>
      <c r="K1036" s="2">
        <f>Table1[[#This Row],[Salary_after]]-Table1[[#This Row],[Salary_before]]</f>
        <v>-710.43000000000029</v>
      </c>
      <c r="L1036" s="11">
        <v>-1.66E-2</v>
      </c>
      <c r="M1036" s="11">
        <v>5.5599999999999997E-2</v>
      </c>
      <c r="N1036">
        <v>53.42</v>
      </c>
      <c r="O1036">
        <v>27.18</v>
      </c>
      <c r="P1036">
        <v>5</v>
      </c>
      <c r="Q1036" t="s">
        <v>37</v>
      </c>
      <c r="R1036">
        <v>55.125</v>
      </c>
      <c r="S1036">
        <v>1.66</v>
      </c>
      <c r="T1036" s="4">
        <v>41.055999999999997</v>
      </c>
      <c r="U1036" s="4">
        <v>20.338794</v>
      </c>
      <c r="V1036" t="str">
        <f>IF(Table1[[#This Row],[ai_disruption_intensity]]&gt;70,"High",
IF(Table1[[#This Row],[ai_disruption_intensity]]&gt;40,"Medium","Low"))</f>
        <v>Low</v>
      </c>
      <c r="W1036" t="str">
        <f>IF(Table1[[#This Row],[skill_gap_index]]&gt;70,"Large Gap",
IF(Table1[[#This Row],[skill_gap_index]]&gt;40,"Medium Gap","Small Gap"))</f>
        <v>Small Gap</v>
      </c>
      <c r="X1036" s="3" t="str">
        <f>IF(Table1[[#This Row],[automation_risk_percent]]&gt;0.7,"Highly Automatable",
IF(Table1[[#This Row],[automation_risk_percent]]&gt;0.4,"Moderate Risk","Safe Job"))</f>
        <v>Highly Automatable</v>
      </c>
    </row>
    <row r="1037" spans="1:24" x14ac:dyDescent="0.3">
      <c r="A1037">
        <v>3650</v>
      </c>
      <c r="B1037" t="s">
        <v>39</v>
      </c>
      <c r="C1037" t="s">
        <v>33</v>
      </c>
      <c r="D1037" t="s">
        <v>32</v>
      </c>
      <c r="E1037" s="1">
        <v>2026</v>
      </c>
      <c r="F1037" s="11">
        <v>0.30099999999999999</v>
      </c>
      <c r="G1037">
        <v>35.909999999999997</v>
      </c>
      <c r="H1037">
        <v>68.45</v>
      </c>
      <c r="I1037" s="2">
        <v>74737.64</v>
      </c>
      <c r="J1037" s="2">
        <v>63556.18</v>
      </c>
      <c r="K1037" s="2">
        <f>Table1[[#This Row],[Salary_after]]-Table1[[#This Row],[Salary_before]]</f>
        <v>-11181.46</v>
      </c>
      <c r="L1037" s="11">
        <v>-0.14960000000000001</v>
      </c>
      <c r="M1037" s="11">
        <v>-0.29949999999999999</v>
      </c>
      <c r="N1037">
        <v>79.09</v>
      </c>
      <c r="O1037">
        <v>72.62</v>
      </c>
      <c r="P1037">
        <v>4</v>
      </c>
      <c r="Q1037" t="s">
        <v>25</v>
      </c>
      <c r="R1037">
        <v>49.274999999999999</v>
      </c>
      <c r="S1037">
        <v>14.96</v>
      </c>
      <c r="T1037" s="4">
        <v>37.063000000000002</v>
      </c>
      <c r="U1037" s="4">
        <v>21.858619999999998</v>
      </c>
      <c r="V1037" t="str">
        <f>IF(Table1[[#This Row],[ai_disruption_intensity]]&gt;70,"High",
IF(Table1[[#This Row],[ai_disruption_intensity]]&gt;40,"Medium","Low"))</f>
        <v>Low</v>
      </c>
      <c r="W1037" t="str">
        <f>IF(Table1[[#This Row],[skill_gap_index]]&gt;70,"Large Gap",
IF(Table1[[#This Row],[skill_gap_index]]&gt;40,"Medium Gap","Small Gap"))</f>
        <v>Medium Gap</v>
      </c>
      <c r="X1037" s="3" t="str">
        <f>IF(Table1[[#This Row],[automation_risk_percent]]&gt;0.7,"Highly Automatable",
IF(Table1[[#This Row],[automation_risk_percent]]&gt;0.4,"Moderate Risk","Safe Job"))</f>
        <v>Safe Job</v>
      </c>
    </row>
    <row r="1038" spans="1:24" x14ac:dyDescent="0.3">
      <c r="A1038">
        <v>3654</v>
      </c>
      <c r="B1038" t="s">
        <v>26</v>
      </c>
      <c r="C1038" t="s">
        <v>19</v>
      </c>
      <c r="D1038" t="s">
        <v>20</v>
      </c>
      <c r="E1038" s="1">
        <v>2025</v>
      </c>
      <c r="F1038" s="11">
        <v>0.40210000000000001</v>
      </c>
      <c r="G1038">
        <v>45.73</v>
      </c>
      <c r="H1038">
        <v>26.15</v>
      </c>
      <c r="I1038" s="2">
        <v>79924.44</v>
      </c>
      <c r="J1038" s="2">
        <v>80610.25</v>
      </c>
      <c r="K1038" s="2">
        <f>Table1[[#This Row],[Salary_after]]-Table1[[#This Row],[Salary_before]]</f>
        <v>685.80999999999767</v>
      </c>
      <c r="L1038" s="11">
        <v>8.6E-3</v>
      </c>
      <c r="M1038" s="11">
        <v>-8.4900000000000003E-2</v>
      </c>
      <c r="N1038">
        <v>54.64</v>
      </c>
      <c r="O1038">
        <v>21.28</v>
      </c>
      <c r="P1038">
        <v>3</v>
      </c>
      <c r="Q1038" t="s">
        <v>25</v>
      </c>
      <c r="R1038">
        <v>33.18</v>
      </c>
      <c r="S1038">
        <v>0.86</v>
      </c>
      <c r="T1038" s="4">
        <v>24.186999999999902</v>
      </c>
      <c r="U1038" s="4">
        <v>8.5566879999999994</v>
      </c>
      <c r="V1038" t="str">
        <f>IF(Table1[[#This Row],[ai_disruption_intensity]]&gt;70,"High",
IF(Table1[[#This Row],[ai_disruption_intensity]]&gt;40,"Medium","Low"))</f>
        <v>Low</v>
      </c>
      <c r="W1038" t="str">
        <f>IF(Table1[[#This Row],[skill_gap_index]]&gt;70,"Large Gap",
IF(Table1[[#This Row],[skill_gap_index]]&gt;40,"Medium Gap","Small Gap"))</f>
        <v>Small Gap</v>
      </c>
      <c r="X1038" s="3" t="str">
        <f>IF(Table1[[#This Row],[automation_risk_percent]]&gt;0.7,"Highly Automatable",
IF(Table1[[#This Row],[automation_risk_percent]]&gt;0.4,"Moderate Risk","Safe Job"))</f>
        <v>Moderate Risk</v>
      </c>
    </row>
    <row r="1039" spans="1:24" x14ac:dyDescent="0.3">
      <c r="A1039">
        <v>3655</v>
      </c>
      <c r="B1039" t="s">
        <v>44</v>
      </c>
      <c r="C1039" t="s">
        <v>38</v>
      </c>
      <c r="D1039" t="s">
        <v>20</v>
      </c>
      <c r="E1039" s="1">
        <v>2026</v>
      </c>
      <c r="F1039" s="11">
        <v>0.57100000000000006</v>
      </c>
      <c r="G1039">
        <v>48.37</v>
      </c>
      <c r="H1039">
        <v>6.17</v>
      </c>
      <c r="I1039" s="2">
        <v>76188.600000000006</v>
      </c>
      <c r="J1039" s="2">
        <v>63199.09</v>
      </c>
      <c r="K1039" s="2">
        <f>Table1[[#This Row],[Salary_after]]-Table1[[#This Row],[Salary_before]]</f>
        <v>-12989.510000000009</v>
      </c>
      <c r="L1039" s="11">
        <v>-0.17050000000000001</v>
      </c>
      <c r="M1039" s="11">
        <v>-3.5299999999999998E-2</v>
      </c>
      <c r="N1039">
        <v>33.22</v>
      </c>
      <c r="O1039">
        <v>33.880000000000003</v>
      </c>
      <c r="P1039">
        <v>3</v>
      </c>
      <c r="Q1039" t="s">
        <v>25</v>
      </c>
      <c r="R1039">
        <v>31.635000000000002</v>
      </c>
      <c r="S1039">
        <v>17.05</v>
      </c>
      <c r="T1039" s="4">
        <v>29.806000000000001</v>
      </c>
      <c r="U1039" s="4">
        <v>19.345479999999998</v>
      </c>
      <c r="V1039" t="str">
        <f>IF(Table1[[#This Row],[ai_disruption_intensity]]&gt;70,"High",
IF(Table1[[#This Row],[ai_disruption_intensity]]&gt;40,"Medium","Low"))</f>
        <v>Low</v>
      </c>
      <c r="W1039" t="str">
        <f>IF(Table1[[#This Row],[skill_gap_index]]&gt;70,"Large Gap",
IF(Table1[[#This Row],[skill_gap_index]]&gt;40,"Medium Gap","Small Gap"))</f>
        <v>Small Gap</v>
      </c>
      <c r="X1039" s="3" t="str">
        <f>IF(Table1[[#This Row],[automation_risk_percent]]&gt;0.7,"Highly Automatable",
IF(Table1[[#This Row],[automation_risk_percent]]&gt;0.4,"Moderate Risk","Safe Job"))</f>
        <v>Moderate Risk</v>
      </c>
    </row>
    <row r="1040" spans="1:24" x14ac:dyDescent="0.3">
      <c r="A1040">
        <v>3658</v>
      </c>
      <c r="B1040" t="s">
        <v>26</v>
      </c>
      <c r="C1040" t="s">
        <v>27</v>
      </c>
      <c r="D1040" t="s">
        <v>36</v>
      </c>
      <c r="E1040" s="1">
        <v>2026</v>
      </c>
      <c r="F1040" s="11">
        <v>6.4899999999999999E-2</v>
      </c>
      <c r="G1040">
        <v>6.8</v>
      </c>
      <c r="H1040">
        <v>34.68</v>
      </c>
      <c r="I1040" s="2">
        <v>105496.15</v>
      </c>
      <c r="J1040" s="2">
        <v>110626.99</v>
      </c>
      <c r="K1040" s="2">
        <f>Table1[[#This Row],[Salary_after]]-Table1[[#This Row],[Salary_before]]</f>
        <v>5130.8400000000111</v>
      </c>
      <c r="L1040" s="11">
        <v>4.8600000000000004E-2</v>
      </c>
      <c r="M1040" s="11">
        <v>-5.0599999999999999E-2</v>
      </c>
      <c r="N1040">
        <v>74.42</v>
      </c>
      <c r="O1040">
        <v>17.16</v>
      </c>
      <c r="P1040">
        <v>1</v>
      </c>
      <c r="Q1040" t="s">
        <v>21</v>
      </c>
      <c r="R1040">
        <v>20.585000000000001</v>
      </c>
      <c r="S1040">
        <v>4.8600000000000003</v>
      </c>
      <c r="T1040" s="4">
        <v>14.458</v>
      </c>
      <c r="U1040" s="4">
        <v>1.1136839999999999</v>
      </c>
      <c r="V1040" t="str">
        <f>IF(Table1[[#This Row],[ai_disruption_intensity]]&gt;70,"High",
IF(Table1[[#This Row],[ai_disruption_intensity]]&gt;40,"Medium","Low"))</f>
        <v>Low</v>
      </c>
      <c r="W1040" t="str">
        <f>IF(Table1[[#This Row],[skill_gap_index]]&gt;70,"Large Gap",
IF(Table1[[#This Row],[skill_gap_index]]&gt;40,"Medium Gap","Small Gap"))</f>
        <v>Small Gap</v>
      </c>
      <c r="X1040" s="3" t="str">
        <f>IF(Table1[[#This Row],[automation_risk_percent]]&gt;0.7,"Highly Automatable",
IF(Table1[[#This Row],[automation_risk_percent]]&gt;0.4,"Moderate Risk","Safe Job"))</f>
        <v>Safe Job</v>
      </c>
    </row>
    <row r="1041" spans="1:24" x14ac:dyDescent="0.3">
      <c r="A1041">
        <v>3661</v>
      </c>
      <c r="B1041" t="s">
        <v>46</v>
      </c>
      <c r="C1041" t="s">
        <v>38</v>
      </c>
      <c r="D1041" t="s">
        <v>32</v>
      </c>
      <c r="E1041" s="1">
        <v>2025</v>
      </c>
      <c r="F1041" s="11">
        <v>0.38650000000000001</v>
      </c>
      <c r="G1041">
        <v>45.65</v>
      </c>
      <c r="H1041">
        <v>50.72</v>
      </c>
      <c r="I1041" s="2">
        <v>83929.44</v>
      </c>
      <c r="J1041" s="2">
        <v>80645.03</v>
      </c>
      <c r="K1041" s="2">
        <f>Table1[[#This Row],[Salary_after]]-Table1[[#This Row],[Salary_before]]</f>
        <v>-3284.4100000000035</v>
      </c>
      <c r="L1041" s="11">
        <v>-3.9100000000000003E-2</v>
      </c>
      <c r="M1041" s="11">
        <v>2.5399999999999999E-2</v>
      </c>
      <c r="N1041">
        <v>59.33</v>
      </c>
      <c r="O1041">
        <v>31.49</v>
      </c>
      <c r="P1041">
        <v>4</v>
      </c>
      <c r="Q1041" t="s">
        <v>25</v>
      </c>
      <c r="R1041">
        <v>44.685000000000002</v>
      </c>
      <c r="S1041">
        <v>3.91</v>
      </c>
      <c r="T1041" s="4">
        <v>31.849</v>
      </c>
      <c r="U1041" s="4">
        <v>12.170884999999901</v>
      </c>
      <c r="V1041" t="str">
        <f>IF(Table1[[#This Row],[ai_disruption_intensity]]&gt;70,"High",
IF(Table1[[#This Row],[ai_disruption_intensity]]&gt;40,"Medium","Low"))</f>
        <v>Low</v>
      </c>
      <c r="W1041" t="str">
        <f>IF(Table1[[#This Row],[skill_gap_index]]&gt;70,"Large Gap",
IF(Table1[[#This Row],[skill_gap_index]]&gt;40,"Medium Gap","Small Gap"))</f>
        <v>Medium Gap</v>
      </c>
      <c r="X1041" s="3" t="str">
        <f>IF(Table1[[#This Row],[automation_risk_percent]]&gt;0.7,"Highly Automatable",
IF(Table1[[#This Row],[automation_risk_percent]]&gt;0.4,"Moderate Risk","Safe Job"))</f>
        <v>Safe Job</v>
      </c>
    </row>
    <row r="1042" spans="1:24" x14ac:dyDescent="0.3">
      <c r="A1042">
        <v>3665</v>
      </c>
      <c r="B1042" t="s">
        <v>41</v>
      </c>
      <c r="C1042" t="s">
        <v>40</v>
      </c>
      <c r="D1042" t="s">
        <v>36</v>
      </c>
      <c r="E1042" s="1">
        <v>2026</v>
      </c>
      <c r="F1042" s="11">
        <v>0.68079999999999996</v>
      </c>
      <c r="G1042">
        <v>76.150000000000006</v>
      </c>
      <c r="H1042">
        <v>37.15</v>
      </c>
      <c r="I1042" s="2">
        <v>79228.320000000007</v>
      </c>
      <c r="J1042" s="2">
        <v>74276.22</v>
      </c>
      <c r="K1042" s="2">
        <f>Table1[[#This Row],[Salary_after]]-Table1[[#This Row],[Salary_before]]</f>
        <v>-4952.1000000000058</v>
      </c>
      <c r="L1042" s="11">
        <v>-6.25E-2</v>
      </c>
      <c r="M1042" s="11">
        <v>-0.1351</v>
      </c>
      <c r="N1042">
        <v>64.930000000000007</v>
      </c>
      <c r="O1042">
        <v>49.3</v>
      </c>
      <c r="P1042">
        <v>5</v>
      </c>
      <c r="Q1042" t="s">
        <v>37</v>
      </c>
      <c r="R1042">
        <v>52.614999999999903</v>
      </c>
      <c r="S1042">
        <v>6.25</v>
      </c>
      <c r="T1042" s="4">
        <v>40.251999999999903</v>
      </c>
      <c r="U1042" s="4">
        <v>33.5634399999999</v>
      </c>
      <c r="V1042" t="str">
        <f>IF(Table1[[#This Row],[ai_disruption_intensity]]&gt;70,"High",
IF(Table1[[#This Row],[ai_disruption_intensity]]&gt;40,"Medium","Low"))</f>
        <v>Low</v>
      </c>
      <c r="W1042" t="str">
        <f>IF(Table1[[#This Row],[skill_gap_index]]&gt;70,"Large Gap",
IF(Table1[[#This Row],[skill_gap_index]]&gt;40,"Medium Gap","Small Gap"))</f>
        <v>Small Gap</v>
      </c>
      <c r="X1042" s="3" t="str">
        <f>IF(Table1[[#This Row],[automation_risk_percent]]&gt;0.7,"Highly Automatable",
IF(Table1[[#This Row],[automation_risk_percent]]&gt;0.4,"Moderate Risk","Safe Job"))</f>
        <v>Moderate Risk</v>
      </c>
    </row>
    <row r="1043" spans="1:24" x14ac:dyDescent="0.3">
      <c r="A1043">
        <v>3666</v>
      </c>
      <c r="B1043" t="s">
        <v>44</v>
      </c>
      <c r="C1043" t="s">
        <v>34</v>
      </c>
      <c r="D1043" t="s">
        <v>28</v>
      </c>
      <c r="E1043" s="1">
        <v>2026</v>
      </c>
      <c r="F1043" s="11">
        <v>0.68650000000000011</v>
      </c>
      <c r="G1043">
        <v>79.64</v>
      </c>
      <c r="H1043">
        <v>46.97</v>
      </c>
      <c r="I1043" s="2">
        <v>58769.760000000002</v>
      </c>
      <c r="J1043" s="2">
        <v>66479.92</v>
      </c>
      <c r="K1043" s="2">
        <f>Table1[[#This Row],[Salary_after]]-Table1[[#This Row],[Salary_before]]</f>
        <v>7710.1599999999962</v>
      </c>
      <c r="L1043" s="11">
        <v>0.13119999999999998</v>
      </c>
      <c r="M1043" s="11">
        <v>0.1249</v>
      </c>
      <c r="N1043">
        <v>16.84</v>
      </c>
      <c r="O1043">
        <v>6.76</v>
      </c>
      <c r="P1043">
        <v>3</v>
      </c>
      <c r="Q1043" t="s">
        <v>37</v>
      </c>
      <c r="R1043">
        <v>57.81</v>
      </c>
      <c r="S1043">
        <v>13.12</v>
      </c>
      <c r="T1043" s="4">
        <v>45.487000000000002</v>
      </c>
      <c r="U1043" s="4">
        <v>4.6407400000000001</v>
      </c>
      <c r="V1043" t="str">
        <f>IF(Table1[[#This Row],[ai_disruption_intensity]]&gt;70,"High",
IF(Table1[[#This Row],[ai_disruption_intensity]]&gt;40,"Medium","Low"))</f>
        <v>Low</v>
      </c>
      <c r="W1043" t="str">
        <f>IF(Table1[[#This Row],[skill_gap_index]]&gt;70,"Large Gap",
IF(Table1[[#This Row],[skill_gap_index]]&gt;40,"Medium Gap","Small Gap"))</f>
        <v>Medium Gap</v>
      </c>
      <c r="X1043" s="3" t="str">
        <f>IF(Table1[[#This Row],[automation_risk_percent]]&gt;0.7,"Highly Automatable",
IF(Table1[[#This Row],[automation_risk_percent]]&gt;0.4,"Moderate Risk","Safe Job"))</f>
        <v>Moderate Risk</v>
      </c>
    </row>
    <row r="1044" spans="1:24" x14ac:dyDescent="0.3">
      <c r="A1044">
        <v>3673</v>
      </c>
      <c r="B1044" t="s">
        <v>45</v>
      </c>
      <c r="C1044" t="s">
        <v>23</v>
      </c>
      <c r="D1044" t="s">
        <v>31</v>
      </c>
      <c r="E1044" s="1">
        <v>2026</v>
      </c>
      <c r="F1044" s="11">
        <v>0.22940000000000002</v>
      </c>
      <c r="G1044">
        <v>19.309999999999999</v>
      </c>
      <c r="H1044">
        <v>7.45</v>
      </c>
      <c r="I1044" s="2">
        <v>90836.11</v>
      </c>
      <c r="J1044" s="2">
        <v>96969.47</v>
      </c>
      <c r="K1044" s="2">
        <f>Table1[[#This Row],[Salary_after]]-Table1[[#This Row],[Salary_before]]</f>
        <v>6133.3600000000006</v>
      </c>
      <c r="L1044" s="11">
        <v>6.7500000000000004E-2</v>
      </c>
      <c r="M1044" s="11">
        <v>-5.0499999999999996E-2</v>
      </c>
      <c r="N1044">
        <v>84.33</v>
      </c>
      <c r="O1044">
        <v>80.739999999999995</v>
      </c>
      <c r="P1044">
        <v>3</v>
      </c>
      <c r="Q1044" t="s">
        <v>21</v>
      </c>
      <c r="R1044">
        <v>15.195</v>
      </c>
      <c r="S1044">
        <v>6.75</v>
      </c>
      <c r="T1044" s="4">
        <v>13.436</v>
      </c>
      <c r="U1044" s="4">
        <v>18.521756</v>
      </c>
      <c r="V1044" t="str">
        <f>IF(Table1[[#This Row],[ai_disruption_intensity]]&gt;70,"High",
IF(Table1[[#This Row],[ai_disruption_intensity]]&gt;40,"Medium","Low"))</f>
        <v>Low</v>
      </c>
      <c r="W1044" t="str">
        <f>IF(Table1[[#This Row],[skill_gap_index]]&gt;70,"Large Gap",
IF(Table1[[#This Row],[skill_gap_index]]&gt;40,"Medium Gap","Small Gap"))</f>
        <v>Small Gap</v>
      </c>
      <c r="X1044" s="3" t="str">
        <f>IF(Table1[[#This Row],[automation_risk_percent]]&gt;0.7,"Highly Automatable",
IF(Table1[[#This Row],[automation_risk_percent]]&gt;0.4,"Moderate Risk","Safe Job"))</f>
        <v>Safe Job</v>
      </c>
    </row>
    <row r="1045" spans="1:24" x14ac:dyDescent="0.3">
      <c r="A1045">
        <v>3674</v>
      </c>
      <c r="B1045" t="s">
        <v>22</v>
      </c>
      <c r="C1045" t="s">
        <v>27</v>
      </c>
      <c r="D1045" t="s">
        <v>20</v>
      </c>
      <c r="E1045" s="1">
        <v>2025</v>
      </c>
      <c r="F1045" s="11">
        <v>0.64950000000000008</v>
      </c>
      <c r="G1045">
        <v>55.34</v>
      </c>
      <c r="H1045">
        <v>39.72</v>
      </c>
      <c r="I1045" s="2">
        <v>148169.35999999999</v>
      </c>
      <c r="J1045" s="2">
        <v>148361.15</v>
      </c>
      <c r="K1045" s="2">
        <f>Table1[[#This Row],[Salary_after]]-Table1[[#This Row],[Salary_before]]</f>
        <v>191.79000000000815</v>
      </c>
      <c r="L1045" s="11">
        <v>1.2999999999999999E-3</v>
      </c>
      <c r="M1045" s="11">
        <v>5.62E-2</v>
      </c>
      <c r="N1045">
        <v>73.83</v>
      </c>
      <c r="O1045">
        <v>95.13</v>
      </c>
      <c r="P1045">
        <v>4</v>
      </c>
      <c r="Q1045" t="s">
        <v>37</v>
      </c>
      <c r="R1045">
        <v>52.335000000000001</v>
      </c>
      <c r="S1045">
        <v>0.13</v>
      </c>
      <c r="T1045" s="4">
        <v>37.935000000000002</v>
      </c>
      <c r="U1045" s="4">
        <v>61.786935</v>
      </c>
      <c r="V1045" t="str">
        <f>IF(Table1[[#This Row],[ai_disruption_intensity]]&gt;70,"High",
IF(Table1[[#This Row],[ai_disruption_intensity]]&gt;40,"Medium","Low"))</f>
        <v>Medium</v>
      </c>
      <c r="W1045" t="str">
        <f>IF(Table1[[#This Row],[skill_gap_index]]&gt;70,"Large Gap",
IF(Table1[[#This Row],[skill_gap_index]]&gt;40,"Medium Gap","Small Gap"))</f>
        <v>Small Gap</v>
      </c>
      <c r="X1045" s="3" t="str">
        <f>IF(Table1[[#This Row],[automation_risk_percent]]&gt;0.7,"Highly Automatable",
IF(Table1[[#This Row],[automation_risk_percent]]&gt;0.4,"Moderate Risk","Safe Job"))</f>
        <v>Moderate Risk</v>
      </c>
    </row>
    <row r="1046" spans="1:24" x14ac:dyDescent="0.3">
      <c r="A1046">
        <v>3675</v>
      </c>
      <c r="B1046" t="s">
        <v>22</v>
      </c>
      <c r="C1046" t="s">
        <v>27</v>
      </c>
      <c r="D1046" t="s">
        <v>36</v>
      </c>
      <c r="E1046" s="1">
        <v>2026</v>
      </c>
      <c r="F1046" s="11">
        <v>0.41490000000000005</v>
      </c>
      <c r="G1046">
        <v>35.47</v>
      </c>
      <c r="H1046">
        <v>66.89</v>
      </c>
      <c r="I1046" s="2">
        <v>145212.28</v>
      </c>
      <c r="J1046" s="2">
        <v>159061.9</v>
      </c>
      <c r="K1046" s="2">
        <f>Table1[[#This Row],[Salary_after]]-Table1[[#This Row],[Salary_before]]</f>
        <v>13849.619999999995</v>
      </c>
      <c r="L1046" s="11">
        <v>9.5399999999999985E-2</v>
      </c>
      <c r="M1046" s="11">
        <v>0.11199999999999999</v>
      </c>
      <c r="N1046">
        <v>48.05</v>
      </c>
      <c r="O1046">
        <v>9.65</v>
      </c>
      <c r="P1046">
        <v>5</v>
      </c>
      <c r="Q1046" t="s">
        <v>25</v>
      </c>
      <c r="R1046">
        <v>54.19</v>
      </c>
      <c r="S1046">
        <v>9.5399999999999991</v>
      </c>
      <c r="T1046" s="4">
        <v>39.524999999999999</v>
      </c>
      <c r="U1046" s="4">
        <v>4.0037849999999997</v>
      </c>
      <c r="V1046" t="str">
        <f>IF(Table1[[#This Row],[ai_disruption_intensity]]&gt;70,"High",
IF(Table1[[#This Row],[ai_disruption_intensity]]&gt;40,"Medium","Low"))</f>
        <v>Low</v>
      </c>
      <c r="W1046" t="str">
        <f>IF(Table1[[#This Row],[skill_gap_index]]&gt;70,"Large Gap",
IF(Table1[[#This Row],[skill_gap_index]]&gt;40,"Medium Gap","Small Gap"))</f>
        <v>Medium Gap</v>
      </c>
      <c r="X1046" s="3" t="str">
        <f>IF(Table1[[#This Row],[automation_risk_percent]]&gt;0.7,"Highly Automatable",
IF(Table1[[#This Row],[automation_risk_percent]]&gt;0.4,"Moderate Risk","Safe Job"))</f>
        <v>Moderate Risk</v>
      </c>
    </row>
    <row r="1047" spans="1:24" x14ac:dyDescent="0.3">
      <c r="A1047">
        <v>3676</v>
      </c>
      <c r="B1047" t="s">
        <v>18</v>
      </c>
      <c r="C1047" t="s">
        <v>38</v>
      </c>
      <c r="D1047" t="s">
        <v>36</v>
      </c>
      <c r="E1047" s="1">
        <v>2026</v>
      </c>
      <c r="F1047" s="11">
        <v>0.21820000000000001</v>
      </c>
      <c r="G1047">
        <v>26.03</v>
      </c>
      <c r="H1047">
        <v>49.32</v>
      </c>
      <c r="I1047" s="2">
        <v>31442.47</v>
      </c>
      <c r="J1047" s="2">
        <v>31433.1</v>
      </c>
      <c r="K1047" s="2">
        <f>Table1[[#This Row],[Salary_after]]-Table1[[#This Row],[Salary_before]]</f>
        <v>-9.3700000000026193</v>
      </c>
      <c r="L1047" s="11">
        <v>-2.9999999999999997E-4</v>
      </c>
      <c r="M1047" s="11">
        <v>0.11119999999999999</v>
      </c>
      <c r="N1047">
        <v>85.26</v>
      </c>
      <c r="O1047">
        <v>54.85</v>
      </c>
      <c r="P1047">
        <v>3</v>
      </c>
      <c r="Q1047" t="s">
        <v>21</v>
      </c>
      <c r="R1047">
        <v>35.57</v>
      </c>
      <c r="S1047">
        <v>0.03</v>
      </c>
      <c r="T1047" s="4">
        <v>23.533000000000001</v>
      </c>
      <c r="U1047" s="4">
        <v>11.96827</v>
      </c>
      <c r="V1047" t="str">
        <f>IF(Table1[[#This Row],[ai_disruption_intensity]]&gt;70,"High",
IF(Table1[[#This Row],[ai_disruption_intensity]]&gt;40,"Medium","Low"))</f>
        <v>Low</v>
      </c>
      <c r="W1047" t="str">
        <f>IF(Table1[[#This Row],[skill_gap_index]]&gt;70,"Large Gap",
IF(Table1[[#This Row],[skill_gap_index]]&gt;40,"Medium Gap","Small Gap"))</f>
        <v>Medium Gap</v>
      </c>
      <c r="X1047" s="3" t="str">
        <f>IF(Table1[[#This Row],[automation_risk_percent]]&gt;0.7,"Highly Automatable",
IF(Table1[[#This Row],[automation_risk_percent]]&gt;0.4,"Moderate Risk","Safe Job"))</f>
        <v>Safe Job</v>
      </c>
    </row>
    <row r="1048" spans="1:24" x14ac:dyDescent="0.3">
      <c r="A1048">
        <v>3678</v>
      </c>
      <c r="B1048" t="s">
        <v>44</v>
      </c>
      <c r="C1048" t="s">
        <v>23</v>
      </c>
      <c r="D1048" t="s">
        <v>36</v>
      </c>
      <c r="E1048" s="1">
        <v>2025</v>
      </c>
      <c r="F1048" s="11">
        <v>0.72920000000000007</v>
      </c>
      <c r="G1048">
        <v>73.05</v>
      </c>
      <c r="H1048">
        <v>44.72</v>
      </c>
      <c r="I1048" s="2">
        <v>128163.01</v>
      </c>
      <c r="J1048" s="2">
        <v>141758.91</v>
      </c>
      <c r="K1048" s="2">
        <f>Table1[[#This Row],[Salary_after]]-Table1[[#This Row],[Salary_before]]</f>
        <v>13595.900000000009</v>
      </c>
      <c r="L1048" s="11">
        <v>0.1061</v>
      </c>
      <c r="M1048" s="11">
        <v>5.7200000000000001E-2</v>
      </c>
      <c r="N1048">
        <v>54.87</v>
      </c>
      <c r="O1048">
        <v>22.18</v>
      </c>
      <c r="P1048">
        <v>5</v>
      </c>
      <c r="Q1048" t="s">
        <v>37</v>
      </c>
      <c r="R1048">
        <v>58.82</v>
      </c>
      <c r="S1048">
        <v>10.61</v>
      </c>
      <c r="T1048" s="4">
        <v>45.767000000000003</v>
      </c>
      <c r="U1048" s="4">
        <v>16.173656000000001</v>
      </c>
      <c r="V1048" t="str">
        <f>IF(Table1[[#This Row],[ai_disruption_intensity]]&gt;70,"High",
IF(Table1[[#This Row],[ai_disruption_intensity]]&gt;40,"Medium","Low"))</f>
        <v>Low</v>
      </c>
      <c r="W1048" t="str">
        <f>IF(Table1[[#This Row],[skill_gap_index]]&gt;70,"Large Gap",
IF(Table1[[#This Row],[skill_gap_index]]&gt;40,"Medium Gap","Small Gap"))</f>
        <v>Medium Gap</v>
      </c>
      <c r="X1048" s="3" t="str">
        <f>IF(Table1[[#This Row],[automation_risk_percent]]&gt;0.7,"Highly Automatable",
IF(Table1[[#This Row],[automation_risk_percent]]&gt;0.4,"Moderate Risk","Safe Job"))</f>
        <v>Highly Automatable</v>
      </c>
    </row>
    <row r="1049" spans="1:24" x14ac:dyDescent="0.3">
      <c r="A1049">
        <v>3682</v>
      </c>
      <c r="B1049" t="s">
        <v>44</v>
      </c>
      <c r="C1049" t="s">
        <v>34</v>
      </c>
      <c r="D1049" t="s">
        <v>35</v>
      </c>
      <c r="E1049" s="1">
        <v>2026</v>
      </c>
      <c r="F1049" s="11">
        <v>0.16510000000000002</v>
      </c>
      <c r="G1049">
        <v>19.45</v>
      </c>
      <c r="H1049">
        <v>74.3</v>
      </c>
      <c r="I1049" s="2">
        <v>67556.039999999994</v>
      </c>
      <c r="J1049" s="2">
        <v>71649.47</v>
      </c>
      <c r="K1049" s="2">
        <f>Table1[[#This Row],[Salary_after]]-Table1[[#This Row],[Salary_before]]</f>
        <v>4093.4300000000076</v>
      </c>
      <c r="L1049" s="11">
        <v>6.0599999999999994E-2</v>
      </c>
      <c r="M1049" s="11">
        <v>1.8600000000000002E-2</v>
      </c>
      <c r="N1049">
        <v>25.98</v>
      </c>
      <c r="O1049">
        <v>53.5</v>
      </c>
      <c r="P1049">
        <v>2</v>
      </c>
      <c r="Q1049" t="s">
        <v>21</v>
      </c>
      <c r="R1049">
        <v>45.405000000000001</v>
      </c>
      <c r="S1049">
        <v>6.06</v>
      </c>
      <c r="T1049" s="4">
        <v>30.712</v>
      </c>
      <c r="U1049" s="4">
        <v>8.8328500000000005</v>
      </c>
      <c r="V1049" t="str">
        <f>IF(Table1[[#This Row],[ai_disruption_intensity]]&gt;70,"High",
IF(Table1[[#This Row],[ai_disruption_intensity]]&gt;40,"Medium","Low"))</f>
        <v>Low</v>
      </c>
      <c r="W1049" t="str">
        <f>IF(Table1[[#This Row],[skill_gap_index]]&gt;70,"Large Gap",
IF(Table1[[#This Row],[skill_gap_index]]&gt;40,"Medium Gap","Small Gap"))</f>
        <v>Large Gap</v>
      </c>
      <c r="X1049" s="3" t="str">
        <f>IF(Table1[[#This Row],[automation_risk_percent]]&gt;0.7,"Highly Automatable",
IF(Table1[[#This Row],[automation_risk_percent]]&gt;0.4,"Moderate Risk","Safe Job"))</f>
        <v>Safe Job</v>
      </c>
    </row>
    <row r="1050" spans="1:24" x14ac:dyDescent="0.3">
      <c r="A1050">
        <v>3685</v>
      </c>
      <c r="B1050" t="s">
        <v>43</v>
      </c>
      <c r="C1050" t="s">
        <v>30</v>
      </c>
      <c r="D1050" t="s">
        <v>42</v>
      </c>
      <c r="E1050" s="1">
        <v>2026</v>
      </c>
      <c r="F1050" s="11">
        <v>0.22829999999999998</v>
      </c>
      <c r="G1050">
        <v>21.32</v>
      </c>
      <c r="H1050">
        <v>68.64</v>
      </c>
      <c r="I1050" s="2">
        <v>59602.06</v>
      </c>
      <c r="J1050" s="2">
        <v>62660.91</v>
      </c>
      <c r="K1050" s="2">
        <f>Table1[[#This Row],[Salary_after]]-Table1[[#This Row],[Salary_before]]</f>
        <v>3058.8500000000058</v>
      </c>
      <c r="L1050" s="11">
        <v>5.1299999999999998E-2</v>
      </c>
      <c r="M1050" s="11">
        <v>4.3299999999999998E-2</v>
      </c>
      <c r="N1050">
        <v>66.33</v>
      </c>
      <c r="O1050">
        <v>94.91</v>
      </c>
      <c r="P1050">
        <v>4</v>
      </c>
      <c r="Q1050" t="s">
        <v>21</v>
      </c>
      <c r="R1050">
        <v>45.734999999999999</v>
      </c>
      <c r="S1050">
        <v>5.13</v>
      </c>
      <c r="T1050" s="4">
        <v>31.262999999999899</v>
      </c>
      <c r="U1050" s="4">
        <v>21.667952999999901</v>
      </c>
      <c r="V1050" t="str">
        <f>IF(Table1[[#This Row],[ai_disruption_intensity]]&gt;70,"High",
IF(Table1[[#This Row],[ai_disruption_intensity]]&gt;40,"Medium","Low"))</f>
        <v>Low</v>
      </c>
      <c r="W1050" t="str">
        <f>IF(Table1[[#This Row],[skill_gap_index]]&gt;70,"Large Gap",
IF(Table1[[#This Row],[skill_gap_index]]&gt;40,"Medium Gap","Small Gap"))</f>
        <v>Medium Gap</v>
      </c>
      <c r="X1050" s="3" t="str">
        <f>IF(Table1[[#This Row],[automation_risk_percent]]&gt;0.7,"Highly Automatable",
IF(Table1[[#This Row],[automation_risk_percent]]&gt;0.4,"Moderate Risk","Safe Job"))</f>
        <v>Safe Job</v>
      </c>
    </row>
    <row r="1051" spans="1:24" x14ac:dyDescent="0.3">
      <c r="A1051">
        <v>3686</v>
      </c>
      <c r="B1051" t="s">
        <v>46</v>
      </c>
      <c r="C1051" t="s">
        <v>40</v>
      </c>
      <c r="D1051" t="s">
        <v>32</v>
      </c>
      <c r="E1051" s="1">
        <v>2025</v>
      </c>
      <c r="F1051" s="11">
        <v>0.50570000000000004</v>
      </c>
      <c r="G1051">
        <v>55.12</v>
      </c>
      <c r="H1051">
        <v>59.19</v>
      </c>
      <c r="I1051" s="2">
        <v>47065.03</v>
      </c>
      <c r="J1051" s="2">
        <v>39210.5</v>
      </c>
      <c r="K1051" s="2">
        <f>Table1[[#This Row],[Salary_after]]-Table1[[#This Row],[Salary_before]]</f>
        <v>-7854.5299999999988</v>
      </c>
      <c r="L1051" s="11">
        <v>-0.16690000000000002</v>
      </c>
      <c r="M1051" s="11">
        <v>6.3299999999999995E-2</v>
      </c>
      <c r="N1051">
        <v>99.88</v>
      </c>
      <c r="O1051">
        <v>26.7</v>
      </c>
      <c r="P1051">
        <v>2</v>
      </c>
      <c r="Q1051" t="s">
        <v>25</v>
      </c>
      <c r="R1051">
        <v>54.879999999999903</v>
      </c>
      <c r="S1051">
        <v>16.690000000000001</v>
      </c>
      <c r="T1051" s="4">
        <v>42.991999999999997</v>
      </c>
      <c r="U1051" s="4">
        <v>13.502190000000001</v>
      </c>
      <c r="V1051" t="str">
        <f>IF(Table1[[#This Row],[ai_disruption_intensity]]&gt;70,"High",
IF(Table1[[#This Row],[ai_disruption_intensity]]&gt;40,"Medium","Low"))</f>
        <v>Low</v>
      </c>
      <c r="W1051" t="str">
        <f>IF(Table1[[#This Row],[skill_gap_index]]&gt;70,"Large Gap",
IF(Table1[[#This Row],[skill_gap_index]]&gt;40,"Medium Gap","Small Gap"))</f>
        <v>Medium Gap</v>
      </c>
      <c r="X1051" s="3" t="str">
        <f>IF(Table1[[#This Row],[automation_risk_percent]]&gt;0.7,"Highly Automatable",
IF(Table1[[#This Row],[automation_risk_percent]]&gt;0.4,"Moderate Risk","Safe Job"))</f>
        <v>Moderate Risk</v>
      </c>
    </row>
    <row r="1052" spans="1:24" x14ac:dyDescent="0.3">
      <c r="A1052">
        <v>3689</v>
      </c>
      <c r="B1052" t="s">
        <v>45</v>
      </c>
      <c r="C1052" t="s">
        <v>33</v>
      </c>
      <c r="D1052" t="s">
        <v>35</v>
      </c>
      <c r="E1052" s="1">
        <v>2026</v>
      </c>
      <c r="F1052" s="11">
        <v>0.27810000000000001</v>
      </c>
      <c r="G1052">
        <v>26.8</v>
      </c>
      <c r="H1052">
        <v>86.23</v>
      </c>
      <c r="I1052" s="2">
        <v>72889.62</v>
      </c>
      <c r="J1052" s="2">
        <v>82084.36</v>
      </c>
      <c r="K1052" s="2">
        <f>Table1[[#This Row],[Salary_after]]-Table1[[#This Row],[Salary_before]]</f>
        <v>9194.7400000000052</v>
      </c>
      <c r="L1052" s="11">
        <v>0.12609999999999999</v>
      </c>
      <c r="M1052" s="11">
        <v>0.29389999999999999</v>
      </c>
      <c r="N1052">
        <v>46.12</v>
      </c>
      <c r="O1052">
        <v>63.95</v>
      </c>
      <c r="P1052">
        <v>1</v>
      </c>
      <c r="Q1052" t="s">
        <v>21</v>
      </c>
      <c r="R1052">
        <v>57.02</v>
      </c>
      <c r="S1052">
        <v>12.61</v>
      </c>
      <c r="T1052" s="4">
        <v>40.776000000000003</v>
      </c>
      <c r="U1052" s="4">
        <v>17.784495</v>
      </c>
      <c r="V1052" t="str">
        <f>IF(Table1[[#This Row],[ai_disruption_intensity]]&gt;70,"High",
IF(Table1[[#This Row],[ai_disruption_intensity]]&gt;40,"Medium","Low"))</f>
        <v>Low</v>
      </c>
      <c r="W1052" t="str">
        <f>IF(Table1[[#This Row],[skill_gap_index]]&gt;70,"Large Gap",
IF(Table1[[#This Row],[skill_gap_index]]&gt;40,"Medium Gap","Small Gap"))</f>
        <v>Large Gap</v>
      </c>
      <c r="X1052" s="3" t="str">
        <f>IF(Table1[[#This Row],[automation_risk_percent]]&gt;0.7,"Highly Automatable",
IF(Table1[[#This Row],[automation_risk_percent]]&gt;0.4,"Moderate Risk","Safe Job"))</f>
        <v>Safe Job</v>
      </c>
    </row>
    <row r="1053" spans="1:24" x14ac:dyDescent="0.3">
      <c r="A1053">
        <v>3693</v>
      </c>
      <c r="B1053" t="s">
        <v>43</v>
      </c>
      <c r="C1053" t="s">
        <v>19</v>
      </c>
      <c r="D1053" t="s">
        <v>31</v>
      </c>
      <c r="E1053" s="1">
        <v>2026</v>
      </c>
      <c r="F1053" s="11">
        <v>0.38420000000000004</v>
      </c>
      <c r="G1053">
        <v>33.76</v>
      </c>
      <c r="H1053">
        <v>61.47</v>
      </c>
      <c r="I1053" s="2">
        <v>149243.06</v>
      </c>
      <c r="J1053" s="2">
        <v>161293.39000000001</v>
      </c>
      <c r="K1053" s="2">
        <f>Table1[[#This Row],[Salary_after]]-Table1[[#This Row],[Salary_before]]</f>
        <v>12050.330000000016</v>
      </c>
      <c r="L1053" s="11">
        <v>8.0700000000000008E-2</v>
      </c>
      <c r="M1053" s="11">
        <v>-0.15770000000000001</v>
      </c>
      <c r="N1053">
        <v>39.51</v>
      </c>
      <c r="O1053">
        <v>87.69</v>
      </c>
      <c r="P1053">
        <v>5</v>
      </c>
      <c r="Q1053" t="s">
        <v>25</v>
      </c>
      <c r="R1053">
        <v>49.945</v>
      </c>
      <c r="S1053">
        <v>8.07</v>
      </c>
      <c r="T1053" s="4">
        <v>36.229999999999997</v>
      </c>
      <c r="U1053" s="4">
        <v>33.690497999999998</v>
      </c>
      <c r="V1053" t="str">
        <f>IF(Table1[[#This Row],[ai_disruption_intensity]]&gt;70,"High",
IF(Table1[[#This Row],[ai_disruption_intensity]]&gt;40,"Medium","Low"))</f>
        <v>Low</v>
      </c>
      <c r="W1053" t="str">
        <f>IF(Table1[[#This Row],[skill_gap_index]]&gt;70,"Large Gap",
IF(Table1[[#This Row],[skill_gap_index]]&gt;40,"Medium Gap","Small Gap"))</f>
        <v>Medium Gap</v>
      </c>
      <c r="X1053" s="3" t="str">
        <f>IF(Table1[[#This Row],[automation_risk_percent]]&gt;0.7,"Highly Automatable",
IF(Table1[[#This Row],[automation_risk_percent]]&gt;0.4,"Moderate Risk","Safe Job"))</f>
        <v>Safe Job</v>
      </c>
    </row>
    <row r="1054" spans="1:24" x14ac:dyDescent="0.3">
      <c r="A1054">
        <v>3696</v>
      </c>
      <c r="B1054" t="s">
        <v>26</v>
      </c>
      <c r="C1054" t="s">
        <v>27</v>
      </c>
      <c r="D1054" t="s">
        <v>24</v>
      </c>
      <c r="E1054" s="1">
        <v>2026</v>
      </c>
      <c r="F1054" s="11">
        <v>0.59860000000000002</v>
      </c>
      <c r="G1054">
        <v>60.01</v>
      </c>
      <c r="H1054">
        <v>95.66</v>
      </c>
      <c r="I1054" s="2">
        <v>46351.040000000001</v>
      </c>
      <c r="J1054" s="2">
        <v>46104.160000000003</v>
      </c>
      <c r="K1054" s="2">
        <f>Table1[[#This Row],[Salary_after]]-Table1[[#This Row],[Salary_before]]</f>
        <v>-246.87999999999738</v>
      </c>
      <c r="L1054" s="11">
        <v>-5.3E-3</v>
      </c>
      <c r="M1054" s="11">
        <v>9.2699999999999991E-2</v>
      </c>
      <c r="N1054">
        <v>95.76</v>
      </c>
      <c r="O1054">
        <v>45.87</v>
      </c>
      <c r="P1054">
        <v>5</v>
      </c>
      <c r="Q1054" t="s">
        <v>25</v>
      </c>
      <c r="R1054">
        <v>77.759999999999906</v>
      </c>
      <c r="S1054">
        <v>0.53</v>
      </c>
      <c r="T1054" s="4">
        <v>52.800999999999902</v>
      </c>
      <c r="U1054" s="4">
        <v>27.457781999999899</v>
      </c>
      <c r="V1054" t="str">
        <f>IF(Table1[[#This Row],[ai_disruption_intensity]]&gt;70,"High",
IF(Table1[[#This Row],[ai_disruption_intensity]]&gt;40,"Medium","Low"))</f>
        <v>Low</v>
      </c>
      <c r="W1054" t="str">
        <f>IF(Table1[[#This Row],[skill_gap_index]]&gt;70,"Large Gap",
IF(Table1[[#This Row],[skill_gap_index]]&gt;40,"Medium Gap","Small Gap"))</f>
        <v>Large Gap</v>
      </c>
      <c r="X1054" s="3" t="str">
        <f>IF(Table1[[#This Row],[automation_risk_percent]]&gt;0.7,"Highly Automatable",
IF(Table1[[#This Row],[automation_risk_percent]]&gt;0.4,"Moderate Risk","Safe Job"))</f>
        <v>Moderate Risk</v>
      </c>
    </row>
    <row r="1055" spans="1:24" x14ac:dyDescent="0.3">
      <c r="A1055">
        <v>3700</v>
      </c>
      <c r="B1055" t="s">
        <v>46</v>
      </c>
      <c r="C1055" t="s">
        <v>27</v>
      </c>
      <c r="D1055" t="s">
        <v>42</v>
      </c>
      <c r="E1055" s="1">
        <v>2026</v>
      </c>
      <c r="F1055" s="11">
        <v>0.21780000000000002</v>
      </c>
      <c r="G1055">
        <v>24.14</v>
      </c>
      <c r="H1055">
        <v>87.74</v>
      </c>
      <c r="I1055" s="2">
        <v>139548.44</v>
      </c>
      <c r="J1055" s="2">
        <v>118866.97</v>
      </c>
      <c r="K1055" s="2">
        <f>Table1[[#This Row],[Salary_after]]-Table1[[#This Row],[Salary_before]]</f>
        <v>-20681.47</v>
      </c>
      <c r="L1055" s="11">
        <v>-0.1482</v>
      </c>
      <c r="M1055" s="11">
        <v>-9.0800000000000006E-2</v>
      </c>
      <c r="N1055">
        <v>46.6</v>
      </c>
      <c r="O1055">
        <v>37.58</v>
      </c>
      <c r="P1055">
        <v>2</v>
      </c>
      <c r="Q1055" t="s">
        <v>21</v>
      </c>
      <c r="R1055">
        <v>54.76</v>
      </c>
      <c r="S1055">
        <v>14.82</v>
      </c>
      <c r="T1055" s="4">
        <v>39.479999999999997</v>
      </c>
      <c r="U1055" s="4">
        <v>8.1849240000000005</v>
      </c>
      <c r="V1055" t="str">
        <f>IF(Table1[[#This Row],[ai_disruption_intensity]]&gt;70,"High",
IF(Table1[[#This Row],[ai_disruption_intensity]]&gt;40,"Medium","Low"))</f>
        <v>Low</v>
      </c>
      <c r="W1055" t="str">
        <f>IF(Table1[[#This Row],[skill_gap_index]]&gt;70,"Large Gap",
IF(Table1[[#This Row],[skill_gap_index]]&gt;40,"Medium Gap","Small Gap"))</f>
        <v>Large Gap</v>
      </c>
      <c r="X1055" s="3" t="str">
        <f>IF(Table1[[#This Row],[automation_risk_percent]]&gt;0.7,"Highly Automatable",
IF(Table1[[#This Row],[automation_risk_percent]]&gt;0.4,"Moderate Risk","Safe Job"))</f>
        <v>Safe Job</v>
      </c>
    </row>
    <row r="1056" spans="1:24" x14ac:dyDescent="0.3">
      <c r="A1056">
        <v>3711</v>
      </c>
      <c r="B1056" t="s">
        <v>46</v>
      </c>
      <c r="C1056" t="s">
        <v>40</v>
      </c>
      <c r="D1056" t="s">
        <v>32</v>
      </c>
      <c r="E1056" s="1">
        <v>2025</v>
      </c>
      <c r="F1056" s="11">
        <v>0.1174</v>
      </c>
      <c r="G1056">
        <v>9.81</v>
      </c>
      <c r="H1056">
        <v>20.23</v>
      </c>
      <c r="I1056" s="2">
        <v>42318.36</v>
      </c>
      <c r="J1056" s="2">
        <v>43598.79</v>
      </c>
      <c r="K1056" s="2">
        <f>Table1[[#This Row],[Salary_after]]-Table1[[#This Row],[Salary_before]]</f>
        <v>1280.4300000000003</v>
      </c>
      <c r="L1056" s="11">
        <v>3.0299999999999997E-2</v>
      </c>
      <c r="M1056" s="11">
        <v>5.1299999999999998E-2</v>
      </c>
      <c r="N1056">
        <v>13.09</v>
      </c>
      <c r="O1056">
        <v>46.11</v>
      </c>
      <c r="P1056">
        <v>4</v>
      </c>
      <c r="Q1056" t="s">
        <v>21</v>
      </c>
      <c r="R1056">
        <v>15.984999999999999</v>
      </c>
      <c r="S1056">
        <v>3.03</v>
      </c>
      <c r="T1056" s="4">
        <v>11.673999999999999</v>
      </c>
      <c r="U1056" s="4">
        <v>5.4133139999999997</v>
      </c>
      <c r="V1056" t="str">
        <f>IF(Table1[[#This Row],[ai_disruption_intensity]]&gt;70,"High",
IF(Table1[[#This Row],[ai_disruption_intensity]]&gt;40,"Medium","Low"))</f>
        <v>Low</v>
      </c>
      <c r="W1056" t="str">
        <f>IF(Table1[[#This Row],[skill_gap_index]]&gt;70,"Large Gap",
IF(Table1[[#This Row],[skill_gap_index]]&gt;40,"Medium Gap","Small Gap"))</f>
        <v>Small Gap</v>
      </c>
      <c r="X1056" s="3" t="str">
        <f>IF(Table1[[#This Row],[automation_risk_percent]]&gt;0.7,"Highly Automatable",
IF(Table1[[#This Row],[automation_risk_percent]]&gt;0.4,"Moderate Risk","Safe Job"))</f>
        <v>Safe Job</v>
      </c>
    </row>
    <row r="1057" spans="1:24" x14ac:dyDescent="0.3">
      <c r="A1057">
        <v>3713</v>
      </c>
      <c r="B1057" t="s">
        <v>45</v>
      </c>
      <c r="C1057" t="s">
        <v>30</v>
      </c>
      <c r="D1057" t="s">
        <v>42</v>
      </c>
      <c r="E1057" s="1">
        <v>2025</v>
      </c>
      <c r="F1057" s="11">
        <v>0.16550000000000001</v>
      </c>
      <c r="G1057">
        <v>14</v>
      </c>
      <c r="H1057">
        <v>29.81</v>
      </c>
      <c r="I1057" s="2">
        <v>128617.09</v>
      </c>
      <c r="J1057" s="2">
        <v>133768.01</v>
      </c>
      <c r="K1057" s="2">
        <f>Table1[[#This Row],[Salary_after]]-Table1[[#This Row],[Salary_before]]</f>
        <v>5150.9200000000128</v>
      </c>
      <c r="L1057" s="11">
        <v>0.04</v>
      </c>
      <c r="M1057" s="11">
        <v>-1.03E-2</v>
      </c>
      <c r="N1057">
        <v>36</v>
      </c>
      <c r="O1057">
        <v>88.35</v>
      </c>
      <c r="P1057">
        <v>4</v>
      </c>
      <c r="Q1057" t="s">
        <v>21</v>
      </c>
      <c r="R1057">
        <v>23.18</v>
      </c>
      <c r="S1057">
        <v>4</v>
      </c>
      <c r="T1057" s="4">
        <v>16.763000000000002</v>
      </c>
      <c r="U1057" s="4">
        <v>14.621924999999999</v>
      </c>
      <c r="V1057" t="str">
        <f>IF(Table1[[#This Row],[ai_disruption_intensity]]&gt;70,"High",
IF(Table1[[#This Row],[ai_disruption_intensity]]&gt;40,"Medium","Low"))</f>
        <v>Low</v>
      </c>
      <c r="W1057" t="str">
        <f>IF(Table1[[#This Row],[skill_gap_index]]&gt;70,"Large Gap",
IF(Table1[[#This Row],[skill_gap_index]]&gt;40,"Medium Gap","Small Gap"))</f>
        <v>Small Gap</v>
      </c>
      <c r="X1057" s="3" t="str">
        <f>IF(Table1[[#This Row],[automation_risk_percent]]&gt;0.7,"Highly Automatable",
IF(Table1[[#This Row],[automation_risk_percent]]&gt;0.4,"Moderate Risk","Safe Job"))</f>
        <v>Safe Job</v>
      </c>
    </row>
    <row r="1058" spans="1:24" x14ac:dyDescent="0.3">
      <c r="A1058">
        <v>3720</v>
      </c>
      <c r="B1058" t="s">
        <v>41</v>
      </c>
      <c r="C1058" t="s">
        <v>33</v>
      </c>
      <c r="D1058" t="s">
        <v>24</v>
      </c>
      <c r="E1058" s="1">
        <v>2026</v>
      </c>
      <c r="F1058" s="11">
        <v>0.31670000000000004</v>
      </c>
      <c r="G1058">
        <v>27.71</v>
      </c>
      <c r="H1058">
        <v>66.349999999999994</v>
      </c>
      <c r="I1058" s="2">
        <v>87200.46</v>
      </c>
      <c r="J1058" s="2">
        <v>79341.08</v>
      </c>
      <c r="K1058" s="2">
        <f>Table1[[#This Row],[Salary_after]]-Table1[[#This Row],[Salary_before]]</f>
        <v>-7859.3800000000047</v>
      </c>
      <c r="L1058" s="11">
        <v>-9.01E-2</v>
      </c>
      <c r="M1058" s="11">
        <v>0.1472</v>
      </c>
      <c r="N1058">
        <v>69.209999999999994</v>
      </c>
      <c r="O1058">
        <v>17.7</v>
      </c>
      <c r="P1058">
        <v>2</v>
      </c>
      <c r="Q1058" t="s">
        <v>25</v>
      </c>
      <c r="R1058">
        <v>49.01</v>
      </c>
      <c r="S1058">
        <v>9.01</v>
      </c>
      <c r="T1058" s="4">
        <v>35.276000000000003</v>
      </c>
      <c r="U1058" s="4">
        <v>5.6055899999999896</v>
      </c>
      <c r="V1058" t="str">
        <f>IF(Table1[[#This Row],[ai_disruption_intensity]]&gt;70,"High",
IF(Table1[[#This Row],[ai_disruption_intensity]]&gt;40,"Medium","Low"))</f>
        <v>Low</v>
      </c>
      <c r="W1058" t="str">
        <f>IF(Table1[[#This Row],[skill_gap_index]]&gt;70,"Large Gap",
IF(Table1[[#This Row],[skill_gap_index]]&gt;40,"Medium Gap","Small Gap"))</f>
        <v>Medium Gap</v>
      </c>
      <c r="X1058" s="3" t="str">
        <f>IF(Table1[[#This Row],[automation_risk_percent]]&gt;0.7,"Highly Automatable",
IF(Table1[[#This Row],[automation_risk_percent]]&gt;0.4,"Moderate Risk","Safe Job"))</f>
        <v>Safe Job</v>
      </c>
    </row>
    <row r="1059" spans="1:24" x14ac:dyDescent="0.3">
      <c r="A1059">
        <v>3725</v>
      </c>
      <c r="B1059" t="s">
        <v>29</v>
      </c>
      <c r="C1059" t="s">
        <v>40</v>
      </c>
      <c r="D1059" t="s">
        <v>31</v>
      </c>
      <c r="E1059" s="1">
        <v>2025</v>
      </c>
      <c r="F1059" s="11">
        <v>0.47450000000000003</v>
      </c>
      <c r="G1059">
        <v>53.59</v>
      </c>
      <c r="H1059">
        <v>35.17</v>
      </c>
      <c r="I1059" s="2">
        <v>116821.36</v>
      </c>
      <c r="J1059" s="2">
        <v>116897.86</v>
      </c>
      <c r="K1059" s="2">
        <f>Table1[[#This Row],[Salary_after]]-Table1[[#This Row],[Salary_before]]</f>
        <v>76.5</v>
      </c>
      <c r="L1059" s="11">
        <v>7.000000000000001E-4</v>
      </c>
      <c r="M1059" s="11">
        <v>0.20350000000000001</v>
      </c>
      <c r="N1059">
        <v>80.489999999999995</v>
      </c>
      <c r="O1059">
        <v>31.69</v>
      </c>
      <c r="P1059">
        <v>5</v>
      </c>
      <c r="Q1059" t="s">
        <v>25</v>
      </c>
      <c r="R1059">
        <v>41.31</v>
      </c>
      <c r="S1059">
        <v>7.0000000000000007E-2</v>
      </c>
      <c r="T1059" s="4">
        <v>29.552</v>
      </c>
      <c r="U1059" s="4">
        <v>15.036905000000001</v>
      </c>
      <c r="V1059" t="str">
        <f>IF(Table1[[#This Row],[ai_disruption_intensity]]&gt;70,"High",
IF(Table1[[#This Row],[ai_disruption_intensity]]&gt;40,"Medium","Low"))</f>
        <v>Low</v>
      </c>
      <c r="W1059" t="str">
        <f>IF(Table1[[#This Row],[skill_gap_index]]&gt;70,"Large Gap",
IF(Table1[[#This Row],[skill_gap_index]]&gt;40,"Medium Gap","Small Gap"))</f>
        <v>Small Gap</v>
      </c>
      <c r="X1059" s="3" t="str">
        <f>IF(Table1[[#This Row],[automation_risk_percent]]&gt;0.7,"Highly Automatable",
IF(Table1[[#This Row],[automation_risk_percent]]&gt;0.4,"Moderate Risk","Safe Job"))</f>
        <v>Moderate Risk</v>
      </c>
    </row>
    <row r="1060" spans="1:24" x14ac:dyDescent="0.3">
      <c r="A1060">
        <v>3731</v>
      </c>
      <c r="B1060" t="s">
        <v>26</v>
      </c>
      <c r="C1060" t="s">
        <v>27</v>
      </c>
      <c r="D1060" t="s">
        <v>42</v>
      </c>
      <c r="E1060" s="1">
        <v>2025</v>
      </c>
      <c r="F1060" s="11">
        <v>6.1699999999999998E-2</v>
      </c>
      <c r="G1060">
        <v>6.92</v>
      </c>
      <c r="H1060">
        <v>48.14</v>
      </c>
      <c r="I1060" s="2">
        <v>128508.7</v>
      </c>
      <c r="J1060" s="2">
        <v>121666.06</v>
      </c>
      <c r="K1060" s="2">
        <f>Table1[[#This Row],[Salary_after]]-Table1[[#This Row],[Salary_before]]</f>
        <v>-6842.6399999999994</v>
      </c>
      <c r="L1060" s="11">
        <v>-5.3200000000000004E-2</v>
      </c>
      <c r="M1060" s="11">
        <v>0.14449999999999999</v>
      </c>
      <c r="N1060">
        <v>10.39</v>
      </c>
      <c r="O1060">
        <v>91.12</v>
      </c>
      <c r="P1060">
        <v>4</v>
      </c>
      <c r="Q1060" t="s">
        <v>21</v>
      </c>
      <c r="R1060">
        <v>27.155000000000001</v>
      </c>
      <c r="S1060">
        <v>5.32</v>
      </c>
      <c r="T1060" s="4">
        <v>18.506</v>
      </c>
      <c r="U1060" s="4">
        <v>5.6221040000000002</v>
      </c>
      <c r="V1060" t="str">
        <f>IF(Table1[[#This Row],[ai_disruption_intensity]]&gt;70,"High",
IF(Table1[[#This Row],[ai_disruption_intensity]]&gt;40,"Medium","Low"))</f>
        <v>Low</v>
      </c>
      <c r="W1060" t="str">
        <f>IF(Table1[[#This Row],[skill_gap_index]]&gt;70,"Large Gap",
IF(Table1[[#This Row],[skill_gap_index]]&gt;40,"Medium Gap","Small Gap"))</f>
        <v>Medium Gap</v>
      </c>
      <c r="X1060" s="3" t="str">
        <f>IF(Table1[[#This Row],[automation_risk_percent]]&gt;0.7,"Highly Automatable",
IF(Table1[[#This Row],[automation_risk_percent]]&gt;0.4,"Moderate Risk","Safe Job"))</f>
        <v>Safe Job</v>
      </c>
    </row>
    <row r="1061" spans="1:24" x14ac:dyDescent="0.3">
      <c r="A1061">
        <v>3733</v>
      </c>
      <c r="B1061" t="s">
        <v>44</v>
      </c>
      <c r="C1061" t="s">
        <v>30</v>
      </c>
      <c r="D1061" t="s">
        <v>42</v>
      </c>
      <c r="E1061" s="1">
        <v>2026</v>
      </c>
      <c r="F1061" s="11">
        <v>0.7256999999999999</v>
      </c>
      <c r="G1061">
        <v>76.92</v>
      </c>
      <c r="H1061">
        <v>6.37</v>
      </c>
      <c r="I1061" s="2">
        <v>68980.23</v>
      </c>
      <c r="J1061" s="2">
        <v>66617.570000000007</v>
      </c>
      <c r="K1061" s="2">
        <f>Table1[[#This Row],[Salary_after]]-Table1[[#This Row],[Salary_before]]</f>
        <v>-2362.6599999999889</v>
      </c>
      <c r="L1061" s="11">
        <v>-3.4300000000000004E-2</v>
      </c>
      <c r="M1061" s="11">
        <v>-0.17980000000000002</v>
      </c>
      <c r="N1061">
        <v>25.2</v>
      </c>
      <c r="O1061">
        <v>57.75</v>
      </c>
      <c r="P1061">
        <v>5</v>
      </c>
      <c r="Q1061" t="s">
        <v>37</v>
      </c>
      <c r="R1061">
        <v>39.47</v>
      </c>
      <c r="S1061">
        <v>3.43</v>
      </c>
      <c r="T1061" s="4">
        <v>31.968</v>
      </c>
      <c r="U1061" s="4">
        <v>41.909174999999998</v>
      </c>
      <c r="V1061" t="str">
        <f>IF(Table1[[#This Row],[ai_disruption_intensity]]&gt;70,"High",
IF(Table1[[#This Row],[ai_disruption_intensity]]&gt;40,"Medium","Low"))</f>
        <v>Medium</v>
      </c>
      <c r="W1061" t="str">
        <f>IF(Table1[[#This Row],[skill_gap_index]]&gt;70,"Large Gap",
IF(Table1[[#This Row],[skill_gap_index]]&gt;40,"Medium Gap","Small Gap"))</f>
        <v>Small Gap</v>
      </c>
      <c r="X1061" s="3" t="str">
        <f>IF(Table1[[#This Row],[automation_risk_percent]]&gt;0.7,"Highly Automatable",
IF(Table1[[#This Row],[automation_risk_percent]]&gt;0.4,"Moderate Risk","Safe Job"))</f>
        <v>Highly Automatable</v>
      </c>
    </row>
    <row r="1062" spans="1:24" x14ac:dyDescent="0.3">
      <c r="A1062">
        <v>3734</v>
      </c>
      <c r="B1062" t="s">
        <v>45</v>
      </c>
      <c r="C1062" t="s">
        <v>27</v>
      </c>
      <c r="D1062" t="s">
        <v>31</v>
      </c>
      <c r="E1062" s="1">
        <v>2025</v>
      </c>
      <c r="F1062" s="11">
        <v>0.40500000000000003</v>
      </c>
      <c r="G1062">
        <v>47.75</v>
      </c>
      <c r="H1062">
        <v>93.62</v>
      </c>
      <c r="I1062" s="2">
        <v>97856.87</v>
      </c>
      <c r="J1062" s="2">
        <v>88790.2</v>
      </c>
      <c r="K1062" s="2">
        <f>Table1[[#This Row],[Salary_after]]-Table1[[#This Row],[Salary_before]]</f>
        <v>-9066.6699999999983</v>
      </c>
      <c r="L1062" s="11">
        <v>-9.2699999999999991E-2</v>
      </c>
      <c r="M1062" s="11">
        <v>8.6899999999999991E-2</v>
      </c>
      <c r="N1062">
        <v>30.1</v>
      </c>
      <c r="O1062">
        <v>90.07</v>
      </c>
      <c r="P1062">
        <v>2</v>
      </c>
      <c r="Q1062" t="s">
        <v>25</v>
      </c>
      <c r="R1062">
        <v>67.06</v>
      </c>
      <c r="S1062">
        <v>9.27</v>
      </c>
      <c r="T1062" s="4">
        <v>47.067</v>
      </c>
      <c r="U1062" s="4">
        <v>36.478349999999999</v>
      </c>
      <c r="V1062" t="str">
        <f>IF(Table1[[#This Row],[ai_disruption_intensity]]&gt;70,"High",
IF(Table1[[#This Row],[ai_disruption_intensity]]&gt;40,"Medium","Low"))</f>
        <v>Low</v>
      </c>
      <c r="W1062" t="str">
        <f>IF(Table1[[#This Row],[skill_gap_index]]&gt;70,"Large Gap",
IF(Table1[[#This Row],[skill_gap_index]]&gt;40,"Medium Gap","Small Gap"))</f>
        <v>Large Gap</v>
      </c>
      <c r="X1062" s="3" t="str">
        <f>IF(Table1[[#This Row],[automation_risk_percent]]&gt;0.7,"Highly Automatable",
IF(Table1[[#This Row],[automation_risk_percent]]&gt;0.4,"Moderate Risk","Safe Job"))</f>
        <v>Moderate Risk</v>
      </c>
    </row>
    <row r="1063" spans="1:24" x14ac:dyDescent="0.3">
      <c r="A1063">
        <v>3737</v>
      </c>
      <c r="B1063" t="s">
        <v>29</v>
      </c>
      <c r="C1063" t="s">
        <v>34</v>
      </c>
      <c r="D1063" t="s">
        <v>31</v>
      </c>
      <c r="E1063" s="1">
        <v>2026</v>
      </c>
      <c r="F1063" s="11">
        <v>0.34990000000000004</v>
      </c>
      <c r="G1063">
        <v>33.5</v>
      </c>
      <c r="H1063">
        <v>9.91</v>
      </c>
      <c r="I1063" s="2">
        <v>144895.74</v>
      </c>
      <c r="J1063" s="2">
        <v>143186.44</v>
      </c>
      <c r="K1063" s="2">
        <f>Table1[[#This Row],[Salary_after]]-Table1[[#This Row],[Salary_before]]</f>
        <v>-1709.2999999999884</v>
      </c>
      <c r="L1063" s="11">
        <v>-1.18E-2</v>
      </c>
      <c r="M1063" s="11">
        <v>-4.0999999999999995E-3</v>
      </c>
      <c r="N1063">
        <v>24.64</v>
      </c>
      <c r="O1063">
        <v>68.88</v>
      </c>
      <c r="P1063">
        <v>5</v>
      </c>
      <c r="Q1063" t="s">
        <v>25</v>
      </c>
      <c r="R1063">
        <v>22.45</v>
      </c>
      <c r="S1063">
        <v>1.18</v>
      </c>
      <c r="T1063" s="4">
        <v>17.323</v>
      </c>
      <c r="U1063" s="4">
        <v>24.101111999999901</v>
      </c>
      <c r="V1063" t="str">
        <f>IF(Table1[[#This Row],[ai_disruption_intensity]]&gt;70,"High",
IF(Table1[[#This Row],[ai_disruption_intensity]]&gt;40,"Medium","Low"))</f>
        <v>Low</v>
      </c>
      <c r="W1063" t="str">
        <f>IF(Table1[[#This Row],[skill_gap_index]]&gt;70,"Large Gap",
IF(Table1[[#This Row],[skill_gap_index]]&gt;40,"Medium Gap","Small Gap"))</f>
        <v>Small Gap</v>
      </c>
      <c r="X1063" s="3" t="str">
        <f>IF(Table1[[#This Row],[automation_risk_percent]]&gt;0.7,"Highly Automatable",
IF(Table1[[#This Row],[automation_risk_percent]]&gt;0.4,"Moderate Risk","Safe Job"))</f>
        <v>Safe Job</v>
      </c>
    </row>
    <row r="1064" spans="1:24" x14ac:dyDescent="0.3">
      <c r="A1064">
        <v>3740</v>
      </c>
      <c r="B1064" t="s">
        <v>45</v>
      </c>
      <c r="C1064" t="s">
        <v>38</v>
      </c>
      <c r="D1064" t="s">
        <v>36</v>
      </c>
      <c r="E1064" s="1">
        <v>2025</v>
      </c>
      <c r="F1064" s="11">
        <v>0.29570000000000002</v>
      </c>
      <c r="G1064">
        <v>30.64</v>
      </c>
      <c r="H1064">
        <v>28.21</v>
      </c>
      <c r="I1064" s="2">
        <v>43448.53</v>
      </c>
      <c r="J1064" s="2">
        <v>35058.35</v>
      </c>
      <c r="K1064" s="2">
        <f>Table1[[#This Row],[Salary_after]]-Table1[[#This Row],[Salary_before]]</f>
        <v>-8390.18</v>
      </c>
      <c r="L1064" s="11">
        <v>-0.19309999999999999</v>
      </c>
      <c r="M1064" s="11">
        <v>0.13900000000000001</v>
      </c>
      <c r="N1064">
        <v>62.49</v>
      </c>
      <c r="O1064">
        <v>55.87</v>
      </c>
      <c r="P1064">
        <v>1</v>
      </c>
      <c r="Q1064" t="s">
        <v>21</v>
      </c>
      <c r="R1064">
        <v>28.89</v>
      </c>
      <c r="S1064">
        <v>19.309999999999999</v>
      </c>
      <c r="T1064" s="4">
        <v>26.084</v>
      </c>
      <c r="U1064" s="4">
        <v>16.520759000000002</v>
      </c>
      <c r="V1064" t="str">
        <f>IF(Table1[[#This Row],[ai_disruption_intensity]]&gt;70,"High",
IF(Table1[[#This Row],[ai_disruption_intensity]]&gt;40,"Medium","Low"))</f>
        <v>Low</v>
      </c>
      <c r="W1064" t="str">
        <f>IF(Table1[[#This Row],[skill_gap_index]]&gt;70,"Large Gap",
IF(Table1[[#This Row],[skill_gap_index]]&gt;40,"Medium Gap","Small Gap"))</f>
        <v>Small Gap</v>
      </c>
      <c r="X1064" s="3" t="str">
        <f>IF(Table1[[#This Row],[automation_risk_percent]]&gt;0.7,"Highly Automatable",
IF(Table1[[#This Row],[automation_risk_percent]]&gt;0.4,"Moderate Risk","Safe Job"))</f>
        <v>Safe Job</v>
      </c>
    </row>
    <row r="1065" spans="1:24" x14ac:dyDescent="0.3">
      <c r="A1065">
        <v>3742</v>
      </c>
      <c r="B1065" t="s">
        <v>29</v>
      </c>
      <c r="C1065" t="s">
        <v>38</v>
      </c>
      <c r="D1065" t="s">
        <v>28</v>
      </c>
      <c r="E1065" s="1">
        <v>2026</v>
      </c>
      <c r="F1065" s="11">
        <v>0.70889999999999997</v>
      </c>
      <c r="G1065">
        <v>59.56</v>
      </c>
      <c r="H1065">
        <v>86.52</v>
      </c>
      <c r="I1065" s="2">
        <v>129847.92</v>
      </c>
      <c r="J1065" s="2">
        <v>127028.94</v>
      </c>
      <c r="K1065" s="2">
        <f>Table1[[#This Row],[Salary_after]]-Table1[[#This Row],[Salary_before]]</f>
        <v>-2818.9799999999959</v>
      </c>
      <c r="L1065" s="11">
        <v>-2.1700000000000001E-2</v>
      </c>
      <c r="M1065" s="11">
        <v>0.2122</v>
      </c>
      <c r="N1065">
        <v>78.180000000000007</v>
      </c>
      <c r="O1065">
        <v>47.87</v>
      </c>
      <c r="P1065">
        <v>2</v>
      </c>
      <c r="Q1065" t="s">
        <v>37</v>
      </c>
      <c r="R1065">
        <v>78.704999999999998</v>
      </c>
      <c r="S1065">
        <v>2.17</v>
      </c>
      <c r="T1065" s="4">
        <v>54.963000000000001</v>
      </c>
      <c r="U1065" s="4">
        <v>33.935043</v>
      </c>
      <c r="V1065" t="str">
        <f>IF(Table1[[#This Row],[ai_disruption_intensity]]&gt;70,"High",
IF(Table1[[#This Row],[ai_disruption_intensity]]&gt;40,"Medium","Low"))</f>
        <v>Low</v>
      </c>
      <c r="W1065" t="str">
        <f>IF(Table1[[#This Row],[skill_gap_index]]&gt;70,"Large Gap",
IF(Table1[[#This Row],[skill_gap_index]]&gt;40,"Medium Gap","Small Gap"))</f>
        <v>Large Gap</v>
      </c>
      <c r="X1065" s="3" t="str">
        <f>IF(Table1[[#This Row],[automation_risk_percent]]&gt;0.7,"Highly Automatable",
IF(Table1[[#This Row],[automation_risk_percent]]&gt;0.4,"Moderate Risk","Safe Job"))</f>
        <v>Highly Automatable</v>
      </c>
    </row>
    <row r="1066" spans="1:24" x14ac:dyDescent="0.3">
      <c r="A1066">
        <v>3749</v>
      </c>
      <c r="B1066" t="s">
        <v>39</v>
      </c>
      <c r="C1066" t="s">
        <v>38</v>
      </c>
      <c r="D1066" t="s">
        <v>42</v>
      </c>
      <c r="E1066" s="1">
        <v>2026</v>
      </c>
      <c r="F1066" s="11">
        <v>0.69769999999999999</v>
      </c>
      <c r="G1066">
        <v>68.45</v>
      </c>
      <c r="H1066">
        <v>99.84</v>
      </c>
      <c r="I1066" s="2">
        <v>30047.96</v>
      </c>
      <c r="J1066" s="2">
        <v>29057.73</v>
      </c>
      <c r="K1066" s="2">
        <f>Table1[[#This Row],[Salary_after]]-Table1[[#This Row],[Salary_before]]</f>
        <v>-990.22999999999956</v>
      </c>
      <c r="L1066" s="11">
        <v>-3.3000000000000002E-2</v>
      </c>
      <c r="M1066" s="11">
        <v>-1.49E-2</v>
      </c>
      <c r="N1066">
        <v>12.3</v>
      </c>
      <c r="O1066">
        <v>78.23</v>
      </c>
      <c r="P1066">
        <v>5</v>
      </c>
      <c r="Q1066" t="s">
        <v>37</v>
      </c>
      <c r="R1066">
        <v>84.805000000000007</v>
      </c>
      <c r="S1066">
        <v>3.3</v>
      </c>
      <c r="T1066" s="4">
        <v>58.85</v>
      </c>
      <c r="U1066" s="4">
        <v>54.581071000000001</v>
      </c>
      <c r="V1066" t="str">
        <f>IF(Table1[[#This Row],[ai_disruption_intensity]]&gt;70,"High",
IF(Table1[[#This Row],[ai_disruption_intensity]]&gt;40,"Medium","Low"))</f>
        <v>Medium</v>
      </c>
      <c r="W1066" t="str">
        <f>IF(Table1[[#This Row],[skill_gap_index]]&gt;70,"Large Gap",
IF(Table1[[#This Row],[skill_gap_index]]&gt;40,"Medium Gap","Small Gap"))</f>
        <v>Large Gap</v>
      </c>
      <c r="X1066" s="3" t="str">
        <f>IF(Table1[[#This Row],[automation_risk_percent]]&gt;0.7,"Highly Automatable",
IF(Table1[[#This Row],[automation_risk_percent]]&gt;0.4,"Moderate Risk","Safe Job"))</f>
        <v>Moderate Risk</v>
      </c>
    </row>
    <row r="1067" spans="1:24" x14ac:dyDescent="0.3">
      <c r="A1067">
        <v>3751</v>
      </c>
      <c r="B1067" t="s">
        <v>18</v>
      </c>
      <c r="C1067" t="s">
        <v>19</v>
      </c>
      <c r="D1067" t="s">
        <v>28</v>
      </c>
      <c r="E1067" s="1">
        <v>2026</v>
      </c>
      <c r="F1067" s="11">
        <v>0.66200000000000003</v>
      </c>
      <c r="G1067">
        <v>60.78</v>
      </c>
      <c r="H1067">
        <v>26.58</v>
      </c>
      <c r="I1067" s="2">
        <v>108785.72</v>
      </c>
      <c r="J1067" s="2">
        <v>97881.17</v>
      </c>
      <c r="K1067" s="2">
        <f>Table1[[#This Row],[Salary_after]]-Table1[[#This Row],[Salary_before]]</f>
        <v>-10904.550000000003</v>
      </c>
      <c r="L1067" s="11">
        <v>-0.1002</v>
      </c>
      <c r="M1067" s="11">
        <v>1.9799999999999998E-2</v>
      </c>
      <c r="N1067">
        <v>16.03</v>
      </c>
      <c r="O1067">
        <v>78.78</v>
      </c>
      <c r="P1067">
        <v>1</v>
      </c>
      <c r="Q1067" t="s">
        <v>37</v>
      </c>
      <c r="R1067">
        <v>46.39</v>
      </c>
      <c r="S1067">
        <v>10.02</v>
      </c>
      <c r="T1067" s="4">
        <v>37.46</v>
      </c>
      <c r="U1067" s="4">
        <v>52.152360000000002</v>
      </c>
      <c r="V1067" t="str">
        <f>IF(Table1[[#This Row],[ai_disruption_intensity]]&gt;70,"High",
IF(Table1[[#This Row],[ai_disruption_intensity]]&gt;40,"Medium","Low"))</f>
        <v>Medium</v>
      </c>
      <c r="W1067" t="str">
        <f>IF(Table1[[#This Row],[skill_gap_index]]&gt;70,"Large Gap",
IF(Table1[[#This Row],[skill_gap_index]]&gt;40,"Medium Gap","Small Gap"))</f>
        <v>Small Gap</v>
      </c>
      <c r="X1067" s="3" t="str">
        <f>IF(Table1[[#This Row],[automation_risk_percent]]&gt;0.7,"Highly Automatable",
IF(Table1[[#This Row],[automation_risk_percent]]&gt;0.4,"Moderate Risk","Safe Job"))</f>
        <v>Moderate Risk</v>
      </c>
    </row>
    <row r="1068" spans="1:24" x14ac:dyDescent="0.3">
      <c r="A1068">
        <v>3752</v>
      </c>
      <c r="B1068" t="s">
        <v>44</v>
      </c>
      <c r="C1068" t="s">
        <v>27</v>
      </c>
      <c r="D1068" t="s">
        <v>20</v>
      </c>
      <c r="E1068" s="1">
        <v>2026</v>
      </c>
      <c r="F1068" s="11">
        <v>0.57310000000000005</v>
      </c>
      <c r="G1068">
        <v>55.29</v>
      </c>
      <c r="H1068">
        <v>89.62</v>
      </c>
      <c r="I1068" s="2">
        <v>79302.81</v>
      </c>
      <c r="J1068" s="2">
        <v>83376.100000000006</v>
      </c>
      <c r="K1068" s="2">
        <f>Table1[[#This Row],[Salary_after]]-Table1[[#This Row],[Salary_before]]</f>
        <v>4073.2900000000081</v>
      </c>
      <c r="L1068" s="11">
        <v>5.1399999999999994E-2</v>
      </c>
      <c r="M1068" s="11">
        <v>7.6399999999999996E-2</v>
      </c>
      <c r="N1068">
        <v>85.66</v>
      </c>
      <c r="O1068">
        <v>51.11</v>
      </c>
      <c r="P1068">
        <v>3</v>
      </c>
      <c r="Q1068" t="s">
        <v>25</v>
      </c>
      <c r="R1068">
        <v>73.465000000000003</v>
      </c>
      <c r="S1068">
        <v>5.14</v>
      </c>
      <c r="T1068" s="4">
        <v>51.351999999999997</v>
      </c>
      <c r="U1068" s="4">
        <v>29.291141</v>
      </c>
      <c r="V1068" t="str">
        <f>IF(Table1[[#This Row],[ai_disruption_intensity]]&gt;70,"High",
IF(Table1[[#This Row],[ai_disruption_intensity]]&gt;40,"Medium","Low"))</f>
        <v>Low</v>
      </c>
      <c r="W1068" t="str">
        <f>IF(Table1[[#This Row],[skill_gap_index]]&gt;70,"Large Gap",
IF(Table1[[#This Row],[skill_gap_index]]&gt;40,"Medium Gap","Small Gap"))</f>
        <v>Large Gap</v>
      </c>
      <c r="X1068" s="3" t="str">
        <f>IF(Table1[[#This Row],[automation_risk_percent]]&gt;0.7,"Highly Automatable",
IF(Table1[[#This Row],[automation_risk_percent]]&gt;0.4,"Moderate Risk","Safe Job"))</f>
        <v>Moderate Risk</v>
      </c>
    </row>
    <row r="1069" spans="1:24" x14ac:dyDescent="0.3">
      <c r="A1069">
        <v>3756</v>
      </c>
      <c r="B1069" t="s">
        <v>41</v>
      </c>
      <c r="C1069" t="s">
        <v>40</v>
      </c>
      <c r="D1069" t="s">
        <v>20</v>
      </c>
      <c r="E1069" s="1">
        <v>2025</v>
      </c>
      <c r="F1069" s="11">
        <v>0.4511</v>
      </c>
      <c r="G1069">
        <v>44.89</v>
      </c>
      <c r="H1069">
        <v>39.99</v>
      </c>
      <c r="I1069" s="2">
        <v>137687.6</v>
      </c>
      <c r="J1069" s="2">
        <v>139280.10999999999</v>
      </c>
      <c r="K1069" s="2">
        <f>Table1[[#This Row],[Salary_after]]-Table1[[#This Row],[Salary_before]]</f>
        <v>1592.5099999999802</v>
      </c>
      <c r="L1069" s="11">
        <v>1.1599999999999999E-2</v>
      </c>
      <c r="M1069" s="11">
        <v>-2.4900000000000002E-2</v>
      </c>
      <c r="N1069">
        <v>86.15</v>
      </c>
      <c r="O1069">
        <v>98.81</v>
      </c>
      <c r="P1069">
        <v>4</v>
      </c>
      <c r="Q1069" t="s">
        <v>25</v>
      </c>
      <c r="R1069">
        <v>42.55</v>
      </c>
      <c r="S1069">
        <v>1.1599999999999999</v>
      </c>
      <c r="T1069" s="4">
        <v>30.388999999999999</v>
      </c>
      <c r="U1069" s="4">
        <v>44.573190999999902</v>
      </c>
      <c r="V1069" t="str">
        <f>IF(Table1[[#This Row],[ai_disruption_intensity]]&gt;70,"High",
IF(Table1[[#This Row],[ai_disruption_intensity]]&gt;40,"Medium","Low"))</f>
        <v>Medium</v>
      </c>
      <c r="W1069" t="str">
        <f>IF(Table1[[#This Row],[skill_gap_index]]&gt;70,"Large Gap",
IF(Table1[[#This Row],[skill_gap_index]]&gt;40,"Medium Gap","Small Gap"))</f>
        <v>Small Gap</v>
      </c>
      <c r="X1069" s="3" t="str">
        <f>IF(Table1[[#This Row],[automation_risk_percent]]&gt;0.7,"Highly Automatable",
IF(Table1[[#This Row],[automation_risk_percent]]&gt;0.4,"Moderate Risk","Safe Job"))</f>
        <v>Moderate Risk</v>
      </c>
    </row>
    <row r="1070" spans="1:24" x14ac:dyDescent="0.3">
      <c r="A1070">
        <v>3764</v>
      </c>
      <c r="B1070" t="s">
        <v>29</v>
      </c>
      <c r="C1070" t="s">
        <v>40</v>
      </c>
      <c r="D1070" t="s">
        <v>20</v>
      </c>
      <c r="E1070" s="1">
        <v>2026</v>
      </c>
      <c r="F1070" s="11">
        <v>0.9265000000000001</v>
      </c>
      <c r="G1070">
        <v>86.77</v>
      </c>
      <c r="H1070">
        <v>69.52</v>
      </c>
      <c r="I1070" s="2">
        <v>127243.54</v>
      </c>
      <c r="J1070" s="2">
        <v>139390.07999999999</v>
      </c>
      <c r="K1070" s="2">
        <f>Table1[[#This Row],[Salary_after]]-Table1[[#This Row],[Salary_before]]</f>
        <v>12146.539999999994</v>
      </c>
      <c r="L1070" s="11">
        <v>9.5500000000000002E-2</v>
      </c>
      <c r="M1070" s="11">
        <v>-3.4799999999999998E-2</v>
      </c>
      <c r="N1070">
        <v>84.92</v>
      </c>
      <c r="O1070">
        <v>24.13</v>
      </c>
      <c r="P1070">
        <v>5</v>
      </c>
      <c r="Q1070" t="s">
        <v>37</v>
      </c>
      <c r="R1070">
        <v>81.084999999999994</v>
      </c>
      <c r="S1070">
        <v>9.5500000000000007</v>
      </c>
      <c r="T1070" s="4">
        <v>60.780999999999999</v>
      </c>
      <c r="U1070" s="4">
        <v>22.356444999999901</v>
      </c>
      <c r="V1070" t="str">
        <f>IF(Table1[[#This Row],[ai_disruption_intensity]]&gt;70,"High",
IF(Table1[[#This Row],[ai_disruption_intensity]]&gt;40,"Medium","Low"))</f>
        <v>Low</v>
      </c>
      <c r="W1070" t="str">
        <f>IF(Table1[[#This Row],[skill_gap_index]]&gt;70,"Large Gap",
IF(Table1[[#This Row],[skill_gap_index]]&gt;40,"Medium Gap","Small Gap"))</f>
        <v>Medium Gap</v>
      </c>
      <c r="X1070" s="3" t="str">
        <f>IF(Table1[[#This Row],[automation_risk_percent]]&gt;0.7,"Highly Automatable",
IF(Table1[[#This Row],[automation_risk_percent]]&gt;0.4,"Moderate Risk","Safe Job"))</f>
        <v>Highly Automatable</v>
      </c>
    </row>
    <row r="1071" spans="1:24" x14ac:dyDescent="0.3">
      <c r="A1071">
        <v>3765</v>
      </c>
      <c r="B1071" t="s">
        <v>39</v>
      </c>
      <c r="C1071" t="s">
        <v>33</v>
      </c>
      <c r="D1071" t="s">
        <v>36</v>
      </c>
      <c r="E1071" s="1">
        <v>2025</v>
      </c>
      <c r="F1071" s="11">
        <v>0.79469999999999996</v>
      </c>
      <c r="G1071">
        <v>64.239999999999995</v>
      </c>
      <c r="H1071">
        <v>21.7</v>
      </c>
      <c r="I1071" s="2">
        <v>123602.49</v>
      </c>
      <c r="J1071" s="2">
        <v>131161.82</v>
      </c>
      <c r="K1071" s="2">
        <f>Table1[[#This Row],[Salary_after]]-Table1[[#This Row],[Salary_before]]</f>
        <v>7559.3300000000017</v>
      </c>
      <c r="L1071" s="11">
        <v>6.1200000000000004E-2</v>
      </c>
      <c r="M1071" s="11">
        <v>-4.4400000000000002E-2</v>
      </c>
      <c r="N1071">
        <v>87</v>
      </c>
      <c r="O1071">
        <v>95.92</v>
      </c>
      <c r="P1071">
        <v>2</v>
      </c>
      <c r="Q1071" t="s">
        <v>37</v>
      </c>
      <c r="R1071">
        <v>50.585000000000001</v>
      </c>
      <c r="S1071">
        <v>6.12</v>
      </c>
      <c r="T1071" s="4">
        <v>40.134</v>
      </c>
      <c r="U1071" s="4">
        <v>76.227623999999906</v>
      </c>
      <c r="V1071" t="str">
        <f>IF(Table1[[#This Row],[ai_disruption_intensity]]&gt;70,"High",
IF(Table1[[#This Row],[ai_disruption_intensity]]&gt;40,"Medium","Low"))</f>
        <v>High</v>
      </c>
      <c r="W1071" t="str">
        <f>IF(Table1[[#This Row],[skill_gap_index]]&gt;70,"Large Gap",
IF(Table1[[#This Row],[skill_gap_index]]&gt;40,"Medium Gap","Small Gap"))</f>
        <v>Small Gap</v>
      </c>
      <c r="X1071" s="3" t="str">
        <f>IF(Table1[[#This Row],[automation_risk_percent]]&gt;0.7,"Highly Automatable",
IF(Table1[[#This Row],[automation_risk_percent]]&gt;0.4,"Moderate Risk","Safe Job"))</f>
        <v>Highly Automatable</v>
      </c>
    </row>
    <row r="1072" spans="1:24" x14ac:dyDescent="0.3">
      <c r="A1072">
        <v>3766</v>
      </c>
      <c r="B1072" t="s">
        <v>29</v>
      </c>
      <c r="C1072" t="s">
        <v>23</v>
      </c>
      <c r="D1072" t="s">
        <v>20</v>
      </c>
      <c r="E1072" s="1">
        <v>2025</v>
      </c>
      <c r="F1072" s="11">
        <v>0.58200000000000007</v>
      </c>
      <c r="G1072">
        <v>69.16</v>
      </c>
      <c r="H1072">
        <v>41.16</v>
      </c>
      <c r="I1072" s="2">
        <v>56175.360000000001</v>
      </c>
      <c r="J1072" s="2">
        <v>68434.33</v>
      </c>
      <c r="K1072" s="2">
        <f>Table1[[#This Row],[Salary_after]]-Table1[[#This Row],[Salary_before]]</f>
        <v>12258.970000000001</v>
      </c>
      <c r="L1072" s="11">
        <v>0.21820000000000001</v>
      </c>
      <c r="M1072" s="11">
        <v>7.0300000000000001E-2</v>
      </c>
      <c r="N1072">
        <v>51.22</v>
      </c>
      <c r="O1072">
        <v>56.7</v>
      </c>
      <c r="P1072">
        <v>3</v>
      </c>
      <c r="Q1072" t="s">
        <v>25</v>
      </c>
      <c r="R1072">
        <v>49.68</v>
      </c>
      <c r="S1072">
        <v>21.82</v>
      </c>
      <c r="T1072" s="4">
        <v>42.173999999999999</v>
      </c>
      <c r="U1072" s="4">
        <v>32.999400000000001</v>
      </c>
      <c r="V1072" t="str">
        <f>IF(Table1[[#This Row],[ai_disruption_intensity]]&gt;70,"High",
IF(Table1[[#This Row],[ai_disruption_intensity]]&gt;40,"Medium","Low"))</f>
        <v>Low</v>
      </c>
      <c r="W1072" t="str">
        <f>IF(Table1[[#This Row],[skill_gap_index]]&gt;70,"Large Gap",
IF(Table1[[#This Row],[skill_gap_index]]&gt;40,"Medium Gap","Small Gap"))</f>
        <v>Medium Gap</v>
      </c>
      <c r="X1072" s="3" t="str">
        <f>IF(Table1[[#This Row],[automation_risk_percent]]&gt;0.7,"Highly Automatable",
IF(Table1[[#This Row],[automation_risk_percent]]&gt;0.4,"Moderate Risk","Safe Job"))</f>
        <v>Moderate Risk</v>
      </c>
    </row>
    <row r="1073" spans="1:24" x14ac:dyDescent="0.3">
      <c r="A1073">
        <v>3772</v>
      </c>
      <c r="B1073" t="s">
        <v>39</v>
      </c>
      <c r="C1073" t="s">
        <v>19</v>
      </c>
      <c r="D1073" t="s">
        <v>32</v>
      </c>
      <c r="E1073" s="1">
        <v>2025</v>
      </c>
      <c r="F1073" s="11">
        <v>0.72219999999999995</v>
      </c>
      <c r="G1073">
        <v>63.52</v>
      </c>
      <c r="H1073">
        <v>22.14</v>
      </c>
      <c r="I1073" s="2">
        <v>131542.97</v>
      </c>
      <c r="J1073" s="2">
        <v>129355.18</v>
      </c>
      <c r="K1073" s="2">
        <f>Table1[[#This Row],[Salary_after]]-Table1[[#This Row],[Salary_before]]</f>
        <v>-2187.7900000000081</v>
      </c>
      <c r="L1073" s="11">
        <v>-1.66E-2</v>
      </c>
      <c r="M1073" s="11">
        <v>7.4200000000000002E-2</v>
      </c>
      <c r="N1073">
        <v>15.34</v>
      </c>
      <c r="O1073">
        <v>9.0299999999999994</v>
      </c>
      <c r="P1073">
        <v>2</v>
      </c>
      <c r="Q1073" t="s">
        <v>37</v>
      </c>
      <c r="R1073">
        <v>47.18</v>
      </c>
      <c r="S1073">
        <v>1.66</v>
      </c>
      <c r="T1073" s="4">
        <v>36.027999999999999</v>
      </c>
      <c r="U1073" s="4">
        <v>6.5214659999999904</v>
      </c>
      <c r="V1073" t="str">
        <f>IF(Table1[[#This Row],[ai_disruption_intensity]]&gt;70,"High",
IF(Table1[[#This Row],[ai_disruption_intensity]]&gt;40,"Medium","Low"))</f>
        <v>Low</v>
      </c>
      <c r="W1073" t="str">
        <f>IF(Table1[[#This Row],[skill_gap_index]]&gt;70,"Large Gap",
IF(Table1[[#This Row],[skill_gap_index]]&gt;40,"Medium Gap","Small Gap"))</f>
        <v>Small Gap</v>
      </c>
      <c r="X1073" s="3" t="str">
        <f>IF(Table1[[#This Row],[automation_risk_percent]]&gt;0.7,"Highly Automatable",
IF(Table1[[#This Row],[automation_risk_percent]]&gt;0.4,"Moderate Risk","Safe Job"))</f>
        <v>Highly Automatable</v>
      </c>
    </row>
    <row r="1074" spans="1:24" x14ac:dyDescent="0.3">
      <c r="A1074">
        <v>3773</v>
      </c>
      <c r="B1074" t="s">
        <v>44</v>
      </c>
      <c r="C1074" t="s">
        <v>19</v>
      </c>
      <c r="D1074" t="s">
        <v>36</v>
      </c>
      <c r="E1074" s="1">
        <v>2026</v>
      </c>
      <c r="F1074" s="11">
        <v>0.28300000000000003</v>
      </c>
      <c r="G1074">
        <v>31.26</v>
      </c>
      <c r="H1074">
        <v>51</v>
      </c>
      <c r="I1074" s="2">
        <v>84670.66</v>
      </c>
      <c r="J1074" s="2">
        <v>92525.69</v>
      </c>
      <c r="K1074" s="2">
        <f>Table1[[#This Row],[Salary_after]]-Table1[[#This Row],[Salary_before]]</f>
        <v>7855.0299999999988</v>
      </c>
      <c r="L1074" s="11">
        <v>9.2799999999999994E-2</v>
      </c>
      <c r="M1074" s="11">
        <v>7.0000000000000007E-2</v>
      </c>
      <c r="N1074">
        <v>18.14</v>
      </c>
      <c r="O1074">
        <v>69.47</v>
      </c>
      <c r="P1074">
        <v>2</v>
      </c>
      <c r="Q1074" t="s">
        <v>21</v>
      </c>
      <c r="R1074">
        <v>39.65</v>
      </c>
      <c r="S1074">
        <v>9.2799999999999994</v>
      </c>
      <c r="T1074" s="4">
        <v>29.4039999999999</v>
      </c>
      <c r="U1074" s="4">
        <v>19.66001</v>
      </c>
      <c r="V1074" t="str">
        <f>IF(Table1[[#This Row],[ai_disruption_intensity]]&gt;70,"High",
IF(Table1[[#This Row],[ai_disruption_intensity]]&gt;40,"Medium","Low"))</f>
        <v>Low</v>
      </c>
      <c r="W1074" t="str">
        <f>IF(Table1[[#This Row],[skill_gap_index]]&gt;70,"Large Gap",
IF(Table1[[#This Row],[skill_gap_index]]&gt;40,"Medium Gap","Small Gap"))</f>
        <v>Medium Gap</v>
      </c>
      <c r="X1074" s="3" t="str">
        <f>IF(Table1[[#This Row],[automation_risk_percent]]&gt;0.7,"Highly Automatable",
IF(Table1[[#This Row],[automation_risk_percent]]&gt;0.4,"Moderate Risk","Safe Job"))</f>
        <v>Safe Job</v>
      </c>
    </row>
    <row r="1075" spans="1:24" x14ac:dyDescent="0.3">
      <c r="A1075">
        <v>3781</v>
      </c>
      <c r="B1075" t="s">
        <v>45</v>
      </c>
      <c r="C1075" t="s">
        <v>19</v>
      </c>
      <c r="D1075" t="s">
        <v>36</v>
      </c>
      <c r="E1075" s="1">
        <v>2026</v>
      </c>
      <c r="F1075" s="11">
        <v>0.22510000000000002</v>
      </c>
      <c r="G1075">
        <v>20.99</v>
      </c>
      <c r="H1075">
        <v>95.13</v>
      </c>
      <c r="I1075" s="2">
        <v>111998.26</v>
      </c>
      <c r="J1075" s="2">
        <v>114247.63</v>
      </c>
      <c r="K1075" s="2">
        <f>Table1[[#This Row],[Salary_after]]-Table1[[#This Row],[Salary_before]]</f>
        <v>2249.3700000000099</v>
      </c>
      <c r="L1075" s="11">
        <v>2.0099999999999996E-2</v>
      </c>
      <c r="M1075" s="11">
        <v>4.8799999999999996E-2</v>
      </c>
      <c r="N1075">
        <v>76.02</v>
      </c>
      <c r="O1075">
        <v>51.79</v>
      </c>
      <c r="P1075">
        <v>5</v>
      </c>
      <c r="Q1075" t="s">
        <v>21</v>
      </c>
      <c r="R1075">
        <v>58.82</v>
      </c>
      <c r="S1075">
        <v>2.0099999999999998</v>
      </c>
      <c r="T1075" s="4">
        <v>38.146000000000001</v>
      </c>
      <c r="U1075" s="4">
        <v>11.657928999999999</v>
      </c>
      <c r="V1075" t="str">
        <f>IF(Table1[[#This Row],[ai_disruption_intensity]]&gt;70,"High",
IF(Table1[[#This Row],[ai_disruption_intensity]]&gt;40,"Medium","Low"))</f>
        <v>Low</v>
      </c>
      <c r="W1075" t="str">
        <f>IF(Table1[[#This Row],[skill_gap_index]]&gt;70,"Large Gap",
IF(Table1[[#This Row],[skill_gap_index]]&gt;40,"Medium Gap","Small Gap"))</f>
        <v>Large Gap</v>
      </c>
      <c r="X1075" s="3" t="str">
        <f>IF(Table1[[#This Row],[automation_risk_percent]]&gt;0.7,"Highly Automatable",
IF(Table1[[#This Row],[automation_risk_percent]]&gt;0.4,"Moderate Risk","Safe Job"))</f>
        <v>Safe Job</v>
      </c>
    </row>
    <row r="1076" spans="1:24" x14ac:dyDescent="0.3">
      <c r="A1076">
        <v>3782</v>
      </c>
      <c r="B1076" t="s">
        <v>39</v>
      </c>
      <c r="C1076" t="s">
        <v>33</v>
      </c>
      <c r="D1076" t="s">
        <v>47</v>
      </c>
      <c r="E1076" s="1">
        <v>2026</v>
      </c>
      <c r="F1076" s="11">
        <v>0.6633</v>
      </c>
      <c r="G1076">
        <v>71.760000000000005</v>
      </c>
      <c r="H1076">
        <v>24.38</v>
      </c>
      <c r="I1076" s="2">
        <v>93630.99</v>
      </c>
      <c r="J1076" s="2">
        <v>76647.429999999993</v>
      </c>
      <c r="K1076" s="2">
        <f>Table1[[#This Row],[Salary_after]]-Table1[[#This Row],[Salary_before]]</f>
        <v>-16983.560000000012</v>
      </c>
      <c r="L1076" s="11">
        <v>-0.18140000000000001</v>
      </c>
      <c r="M1076" s="11">
        <v>0.25829999999999997</v>
      </c>
      <c r="N1076">
        <v>26.13</v>
      </c>
      <c r="O1076">
        <v>22.34</v>
      </c>
      <c r="P1076">
        <v>4</v>
      </c>
      <c r="Q1076" t="s">
        <v>37</v>
      </c>
      <c r="R1076">
        <v>45.354999999999997</v>
      </c>
      <c r="S1076">
        <v>18.14</v>
      </c>
      <c r="T1076" s="4">
        <v>39.287999999999997</v>
      </c>
      <c r="U1076" s="4">
        <v>14.818121999999899</v>
      </c>
      <c r="V1076" t="str">
        <f>IF(Table1[[#This Row],[ai_disruption_intensity]]&gt;70,"High",
IF(Table1[[#This Row],[ai_disruption_intensity]]&gt;40,"Medium","Low"))</f>
        <v>Low</v>
      </c>
      <c r="W1076" t="str">
        <f>IF(Table1[[#This Row],[skill_gap_index]]&gt;70,"Large Gap",
IF(Table1[[#This Row],[skill_gap_index]]&gt;40,"Medium Gap","Small Gap"))</f>
        <v>Small Gap</v>
      </c>
      <c r="X1076" s="3" t="str">
        <f>IF(Table1[[#This Row],[automation_risk_percent]]&gt;0.7,"Highly Automatable",
IF(Table1[[#This Row],[automation_risk_percent]]&gt;0.4,"Moderate Risk","Safe Job"))</f>
        <v>Moderate Risk</v>
      </c>
    </row>
    <row r="1077" spans="1:24" x14ac:dyDescent="0.3">
      <c r="A1077">
        <v>3784</v>
      </c>
      <c r="B1077" t="s">
        <v>22</v>
      </c>
      <c r="C1077" t="s">
        <v>30</v>
      </c>
      <c r="D1077" t="s">
        <v>28</v>
      </c>
      <c r="E1077" s="1">
        <v>2026</v>
      </c>
      <c r="F1077" s="11">
        <v>0.36959999999999998</v>
      </c>
      <c r="G1077">
        <v>40.1</v>
      </c>
      <c r="H1077">
        <v>35.950000000000003</v>
      </c>
      <c r="I1077" s="2">
        <v>132514.66</v>
      </c>
      <c r="J1077" s="2">
        <v>130692.46</v>
      </c>
      <c r="K1077" s="2">
        <f>Table1[[#This Row],[Salary_after]]-Table1[[#This Row],[Salary_before]]</f>
        <v>-1822.1999999999971</v>
      </c>
      <c r="L1077" s="11">
        <v>-1.38E-2</v>
      </c>
      <c r="M1077" s="11">
        <v>-5.9400000000000001E-2</v>
      </c>
      <c r="N1077">
        <v>54.59</v>
      </c>
      <c r="O1077">
        <v>25.59</v>
      </c>
      <c r="P1077">
        <v>5</v>
      </c>
      <c r="Q1077" t="s">
        <v>25</v>
      </c>
      <c r="R1077">
        <v>36.454999999999998</v>
      </c>
      <c r="S1077">
        <v>1.38</v>
      </c>
      <c r="T1077" s="4">
        <v>25.983000000000001</v>
      </c>
      <c r="U1077" s="4">
        <v>9.4580640000000002</v>
      </c>
      <c r="V1077" t="str">
        <f>IF(Table1[[#This Row],[ai_disruption_intensity]]&gt;70,"High",
IF(Table1[[#This Row],[ai_disruption_intensity]]&gt;40,"Medium","Low"))</f>
        <v>Low</v>
      </c>
      <c r="W1077" t="str">
        <f>IF(Table1[[#This Row],[skill_gap_index]]&gt;70,"Large Gap",
IF(Table1[[#This Row],[skill_gap_index]]&gt;40,"Medium Gap","Small Gap"))</f>
        <v>Small Gap</v>
      </c>
      <c r="X1077" s="3" t="str">
        <f>IF(Table1[[#This Row],[automation_risk_percent]]&gt;0.7,"Highly Automatable",
IF(Table1[[#This Row],[automation_risk_percent]]&gt;0.4,"Moderate Risk","Safe Job"))</f>
        <v>Safe Job</v>
      </c>
    </row>
    <row r="1078" spans="1:24" x14ac:dyDescent="0.3">
      <c r="A1078">
        <v>3787</v>
      </c>
      <c r="B1078" t="s">
        <v>18</v>
      </c>
      <c r="C1078" t="s">
        <v>34</v>
      </c>
      <c r="D1078" t="s">
        <v>35</v>
      </c>
      <c r="E1078" s="1">
        <v>2026</v>
      </c>
      <c r="F1078" s="11">
        <v>0.69530000000000003</v>
      </c>
      <c r="G1078">
        <v>78.47</v>
      </c>
      <c r="H1078">
        <v>46.94</v>
      </c>
      <c r="I1078" s="2">
        <v>55443.73</v>
      </c>
      <c r="J1078" s="2">
        <v>56821.36</v>
      </c>
      <c r="K1078" s="2">
        <f>Table1[[#This Row],[Salary_after]]-Table1[[#This Row],[Salary_before]]</f>
        <v>1377.6299999999974</v>
      </c>
      <c r="L1078" s="11">
        <v>2.4799999999999999E-2</v>
      </c>
      <c r="M1078" s="11">
        <v>9.5899999999999999E-2</v>
      </c>
      <c r="N1078">
        <v>35.36</v>
      </c>
      <c r="O1078">
        <v>34.1</v>
      </c>
      <c r="P1078">
        <v>1</v>
      </c>
      <c r="Q1078" t="s">
        <v>37</v>
      </c>
      <c r="R1078">
        <v>58.234999999999999</v>
      </c>
      <c r="S1078">
        <v>2.48</v>
      </c>
      <c r="T1078" s="4">
        <v>42.637999999999998</v>
      </c>
      <c r="U1078" s="4">
        <v>23.70973</v>
      </c>
      <c r="V1078" t="str">
        <f>IF(Table1[[#This Row],[ai_disruption_intensity]]&gt;70,"High",
IF(Table1[[#This Row],[ai_disruption_intensity]]&gt;40,"Medium","Low"))</f>
        <v>Low</v>
      </c>
      <c r="W1078" t="str">
        <f>IF(Table1[[#This Row],[skill_gap_index]]&gt;70,"Large Gap",
IF(Table1[[#This Row],[skill_gap_index]]&gt;40,"Medium Gap","Small Gap"))</f>
        <v>Medium Gap</v>
      </c>
      <c r="X1078" s="3" t="str">
        <f>IF(Table1[[#This Row],[automation_risk_percent]]&gt;0.7,"Highly Automatable",
IF(Table1[[#This Row],[automation_risk_percent]]&gt;0.4,"Moderate Risk","Safe Job"))</f>
        <v>Moderate Risk</v>
      </c>
    </row>
    <row r="1079" spans="1:24" x14ac:dyDescent="0.3">
      <c r="A1079">
        <v>3791</v>
      </c>
      <c r="B1079" t="s">
        <v>44</v>
      </c>
      <c r="C1079" t="s">
        <v>23</v>
      </c>
      <c r="D1079" t="s">
        <v>24</v>
      </c>
      <c r="E1079" s="1">
        <v>2026</v>
      </c>
      <c r="F1079" s="11">
        <v>0.18579999999999999</v>
      </c>
      <c r="G1079">
        <v>21.47</v>
      </c>
      <c r="H1079">
        <v>62</v>
      </c>
      <c r="I1079" s="2">
        <v>101670.21</v>
      </c>
      <c r="J1079" s="2">
        <v>99803.72</v>
      </c>
      <c r="K1079" s="2">
        <f>Table1[[#This Row],[Salary_after]]-Table1[[#This Row],[Salary_before]]</f>
        <v>-1866.4900000000052</v>
      </c>
      <c r="L1079" s="11">
        <v>-1.84E-2</v>
      </c>
      <c r="M1079" s="11">
        <v>8.6800000000000002E-2</v>
      </c>
      <c r="N1079">
        <v>31.61</v>
      </c>
      <c r="O1079">
        <v>51.65</v>
      </c>
      <c r="P1079">
        <v>4</v>
      </c>
      <c r="Q1079" t="s">
        <v>21</v>
      </c>
      <c r="R1079">
        <v>40.29</v>
      </c>
      <c r="S1079">
        <v>1.84</v>
      </c>
      <c r="T1079" s="4">
        <v>26.5839999999999</v>
      </c>
      <c r="U1079" s="4">
        <v>9.5965699999999998</v>
      </c>
      <c r="V1079" t="str">
        <f>IF(Table1[[#This Row],[ai_disruption_intensity]]&gt;70,"High",
IF(Table1[[#This Row],[ai_disruption_intensity]]&gt;40,"Medium","Low"))</f>
        <v>Low</v>
      </c>
      <c r="W1079" t="str">
        <f>IF(Table1[[#This Row],[skill_gap_index]]&gt;70,"Large Gap",
IF(Table1[[#This Row],[skill_gap_index]]&gt;40,"Medium Gap","Small Gap"))</f>
        <v>Medium Gap</v>
      </c>
      <c r="X1079" s="3" t="str">
        <f>IF(Table1[[#This Row],[automation_risk_percent]]&gt;0.7,"Highly Automatable",
IF(Table1[[#This Row],[automation_risk_percent]]&gt;0.4,"Moderate Risk","Safe Job"))</f>
        <v>Safe Job</v>
      </c>
    </row>
    <row r="1080" spans="1:24" x14ac:dyDescent="0.3">
      <c r="A1080">
        <v>3792</v>
      </c>
      <c r="B1080" t="s">
        <v>41</v>
      </c>
      <c r="C1080" t="s">
        <v>30</v>
      </c>
      <c r="D1080" t="s">
        <v>24</v>
      </c>
      <c r="E1080" s="1">
        <v>2026</v>
      </c>
      <c r="F1080" s="11">
        <v>0.60599999999999998</v>
      </c>
      <c r="G1080">
        <v>53.97</v>
      </c>
      <c r="H1080">
        <v>69.97</v>
      </c>
      <c r="I1080" s="2">
        <v>33556.06</v>
      </c>
      <c r="J1080" s="2">
        <v>32130.22</v>
      </c>
      <c r="K1080" s="2">
        <f>Table1[[#This Row],[Salary_after]]-Table1[[#This Row],[Salary_before]]</f>
        <v>-1425.8399999999965</v>
      </c>
      <c r="L1080" s="11">
        <v>-4.2500000000000003E-2</v>
      </c>
      <c r="M1080" s="11">
        <v>0.23920000000000002</v>
      </c>
      <c r="N1080">
        <v>72.010000000000005</v>
      </c>
      <c r="O1080">
        <v>47.71</v>
      </c>
      <c r="P1080">
        <v>4</v>
      </c>
      <c r="Q1080" t="s">
        <v>37</v>
      </c>
      <c r="R1080">
        <v>65.284999999999997</v>
      </c>
      <c r="S1080">
        <v>4.25</v>
      </c>
      <c r="T1080" s="4">
        <v>46.506</v>
      </c>
      <c r="U1080" s="4">
        <v>28.91226</v>
      </c>
      <c r="V1080" t="str">
        <f>IF(Table1[[#This Row],[ai_disruption_intensity]]&gt;70,"High",
IF(Table1[[#This Row],[ai_disruption_intensity]]&gt;40,"Medium","Low"))</f>
        <v>Low</v>
      </c>
      <c r="W1080" t="str">
        <f>IF(Table1[[#This Row],[skill_gap_index]]&gt;70,"Large Gap",
IF(Table1[[#This Row],[skill_gap_index]]&gt;40,"Medium Gap","Small Gap"))</f>
        <v>Medium Gap</v>
      </c>
      <c r="X1080" s="3" t="str">
        <f>IF(Table1[[#This Row],[automation_risk_percent]]&gt;0.7,"Highly Automatable",
IF(Table1[[#This Row],[automation_risk_percent]]&gt;0.4,"Moderate Risk","Safe Job"))</f>
        <v>Moderate Risk</v>
      </c>
    </row>
    <row r="1081" spans="1:24" x14ac:dyDescent="0.3">
      <c r="A1081">
        <v>3798</v>
      </c>
      <c r="B1081" t="s">
        <v>39</v>
      </c>
      <c r="C1081" t="s">
        <v>27</v>
      </c>
      <c r="D1081" t="s">
        <v>24</v>
      </c>
      <c r="E1081" s="1">
        <v>2026</v>
      </c>
      <c r="F1081" s="11">
        <v>0.68849999999999989</v>
      </c>
      <c r="G1081">
        <v>62.99</v>
      </c>
      <c r="H1081">
        <v>63.71</v>
      </c>
      <c r="I1081" s="2">
        <v>100872.42</v>
      </c>
      <c r="J1081" s="2">
        <v>89718.15</v>
      </c>
      <c r="K1081" s="2">
        <f>Table1[[#This Row],[Salary_after]]-Table1[[#This Row],[Salary_before]]</f>
        <v>-11154.270000000004</v>
      </c>
      <c r="L1081" s="11">
        <v>-0.1106</v>
      </c>
      <c r="M1081" s="11">
        <v>9.0899999999999995E-2</v>
      </c>
      <c r="N1081">
        <v>34.950000000000003</v>
      </c>
      <c r="O1081">
        <v>28.67</v>
      </c>
      <c r="P1081">
        <v>5</v>
      </c>
      <c r="Q1081" t="s">
        <v>37</v>
      </c>
      <c r="R1081">
        <v>66.28</v>
      </c>
      <c r="S1081">
        <v>11.06</v>
      </c>
      <c r="T1081" s="4">
        <v>49.970999999999997</v>
      </c>
      <c r="U1081" s="4">
        <v>19.739294999999998</v>
      </c>
      <c r="V1081" t="str">
        <f>IF(Table1[[#This Row],[ai_disruption_intensity]]&gt;70,"High",
IF(Table1[[#This Row],[ai_disruption_intensity]]&gt;40,"Medium","Low"))</f>
        <v>Low</v>
      </c>
      <c r="W1081" t="str">
        <f>IF(Table1[[#This Row],[skill_gap_index]]&gt;70,"Large Gap",
IF(Table1[[#This Row],[skill_gap_index]]&gt;40,"Medium Gap","Small Gap"))</f>
        <v>Medium Gap</v>
      </c>
      <c r="X1081" s="3" t="str">
        <f>IF(Table1[[#This Row],[automation_risk_percent]]&gt;0.7,"Highly Automatable",
IF(Table1[[#This Row],[automation_risk_percent]]&gt;0.4,"Moderate Risk","Safe Job"))</f>
        <v>Moderate Risk</v>
      </c>
    </row>
    <row r="1082" spans="1:24" x14ac:dyDescent="0.3">
      <c r="A1082">
        <v>3804</v>
      </c>
      <c r="B1082" t="s">
        <v>18</v>
      </c>
      <c r="C1082" t="s">
        <v>38</v>
      </c>
      <c r="D1082" t="s">
        <v>47</v>
      </c>
      <c r="E1082" s="1">
        <v>2026</v>
      </c>
      <c r="F1082" s="11">
        <v>0.1462</v>
      </c>
      <c r="G1082">
        <v>17.18</v>
      </c>
      <c r="H1082">
        <v>2.82</v>
      </c>
      <c r="I1082" s="2">
        <v>122517.52</v>
      </c>
      <c r="J1082" s="2">
        <v>129023.03999999999</v>
      </c>
      <c r="K1082" s="2">
        <f>Table1[[#This Row],[Salary_after]]-Table1[[#This Row],[Salary_before]]</f>
        <v>6505.5199999999895</v>
      </c>
      <c r="L1082" s="11">
        <v>5.3099999999999994E-2</v>
      </c>
      <c r="M1082" s="11">
        <v>0.3715</v>
      </c>
      <c r="N1082">
        <v>16.55</v>
      </c>
      <c r="O1082">
        <v>23.87</v>
      </c>
      <c r="P1082">
        <v>3</v>
      </c>
      <c r="Q1082" t="s">
        <v>21</v>
      </c>
      <c r="R1082">
        <v>8.71999999999999</v>
      </c>
      <c r="S1082">
        <v>5.31</v>
      </c>
      <c r="T1082" s="4">
        <v>8.2869999999999902</v>
      </c>
      <c r="U1082" s="4">
        <v>3.4897939999999998</v>
      </c>
      <c r="V1082" t="str">
        <f>IF(Table1[[#This Row],[ai_disruption_intensity]]&gt;70,"High",
IF(Table1[[#This Row],[ai_disruption_intensity]]&gt;40,"Medium","Low"))</f>
        <v>Low</v>
      </c>
      <c r="W1082" t="str">
        <f>IF(Table1[[#This Row],[skill_gap_index]]&gt;70,"Large Gap",
IF(Table1[[#This Row],[skill_gap_index]]&gt;40,"Medium Gap","Small Gap"))</f>
        <v>Small Gap</v>
      </c>
      <c r="X1082" s="3" t="str">
        <f>IF(Table1[[#This Row],[automation_risk_percent]]&gt;0.7,"Highly Automatable",
IF(Table1[[#This Row],[automation_risk_percent]]&gt;0.4,"Moderate Risk","Safe Job"))</f>
        <v>Safe Job</v>
      </c>
    </row>
    <row r="1083" spans="1:24" x14ac:dyDescent="0.3">
      <c r="A1083">
        <v>3806</v>
      </c>
      <c r="B1083" t="s">
        <v>22</v>
      </c>
      <c r="C1083" t="s">
        <v>30</v>
      </c>
      <c r="D1083" t="s">
        <v>31</v>
      </c>
      <c r="E1083" s="1">
        <v>2026</v>
      </c>
      <c r="F1083" s="11">
        <v>0.56610000000000005</v>
      </c>
      <c r="G1083">
        <v>56.29</v>
      </c>
      <c r="H1083">
        <v>1.2</v>
      </c>
      <c r="I1083" s="2">
        <v>43310.879999999997</v>
      </c>
      <c r="J1083" s="2">
        <v>41704.65</v>
      </c>
      <c r="K1083" s="2">
        <f>Table1[[#This Row],[Salary_after]]-Table1[[#This Row],[Salary_before]]</f>
        <v>-1606.2299999999959</v>
      </c>
      <c r="L1083" s="11">
        <v>-3.7100000000000001E-2</v>
      </c>
      <c r="M1083" s="11">
        <v>6.6900000000000001E-2</v>
      </c>
      <c r="N1083">
        <v>87.94</v>
      </c>
      <c r="O1083">
        <v>31.13</v>
      </c>
      <c r="P1083">
        <v>4</v>
      </c>
      <c r="Q1083" t="s">
        <v>25</v>
      </c>
      <c r="R1083">
        <v>28.905000000000001</v>
      </c>
      <c r="S1083">
        <v>3.71</v>
      </c>
      <c r="T1083" s="4">
        <v>24.117000000000001</v>
      </c>
      <c r="U1083" s="4">
        <v>17.622692999999899</v>
      </c>
      <c r="V1083" t="str">
        <f>IF(Table1[[#This Row],[ai_disruption_intensity]]&gt;70,"High",
IF(Table1[[#This Row],[ai_disruption_intensity]]&gt;40,"Medium","Low"))</f>
        <v>Low</v>
      </c>
      <c r="W1083" t="str">
        <f>IF(Table1[[#This Row],[skill_gap_index]]&gt;70,"Large Gap",
IF(Table1[[#This Row],[skill_gap_index]]&gt;40,"Medium Gap","Small Gap"))</f>
        <v>Small Gap</v>
      </c>
      <c r="X1083" s="3" t="str">
        <f>IF(Table1[[#This Row],[automation_risk_percent]]&gt;0.7,"Highly Automatable",
IF(Table1[[#This Row],[automation_risk_percent]]&gt;0.4,"Moderate Risk","Safe Job"))</f>
        <v>Moderate Risk</v>
      </c>
    </row>
    <row r="1084" spans="1:24" x14ac:dyDescent="0.3">
      <c r="A1084">
        <v>3807</v>
      </c>
      <c r="B1084" t="s">
        <v>39</v>
      </c>
      <c r="C1084" t="s">
        <v>33</v>
      </c>
      <c r="D1084" t="s">
        <v>32</v>
      </c>
      <c r="E1084" s="1">
        <v>2026</v>
      </c>
      <c r="F1084" s="11">
        <v>0.16210000000000002</v>
      </c>
      <c r="G1084">
        <v>17.89</v>
      </c>
      <c r="H1084">
        <v>52.44</v>
      </c>
      <c r="I1084" s="2">
        <v>66796.800000000003</v>
      </c>
      <c r="J1084" s="2">
        <v>64728.93</v>
      </c>
      <c r="K1084" s="2">
        <f>Table1[[#This Row],[Salary_after]]-Table1[[#This Row],[Salary_before]]</f>
        <v>-2067.8700000000026</v>
      </c>
      <c r="L1084" s="11">
        <v>-3.1E-2</v>
      </c>
      <c r="M1084" s="11">
        <v>4.3899999999999995E-2</v>
      </c>
      <c r="N1084">
        <v>69.64</v>
      </c>
      <c r="O1084">
        <v>36.58</v>
      </c>
      <c r="P1084">
        <v>1</v>
      </c>
      <c r="Q1084" t="s">
        <v>21</v>
      </c>
      <c r="R1084">
        <v>34.325000000000003</v>
      </c>
      <c r="S1084">
        <v>3.1</v>
      </c>
      <c r="T1084" s="4">
        <v>23.146000000000001</v>
      </c>
      <c r="U1084" s="4">
        <v>5.9296179999999996</v>
      </c>
      <c r="V1084" t="str">
        <f>IF(Table1[[#This Row],[ai_disruption_intensity]]&gt;70,"High",
IF(Table1[[#This Row],[ai_disruption_intensity]]&gt;40,"Medium","Low"))</f>
        <v>Low</v>
      </c>
      <c r="W1084" t="str">
        <f>IF(Table1[[#This Row],[skill_gap_index]]&gt;70,"Large Gap",
IF(Table1[[#This Row],[skill_gap_index]]&gt;40,"Medium Gap","Small Gap"))</f>
        <v>Medium Gap</v>
      </c>
      <c r="X1084" s="3" t="str">
        <f>IF(Table1[[#This Row],[automation_risk_percent]]&gt;0.7,"Highly Automatable",
IF(Table1[[#This Row],[automation_risk_percent]]&gt;0.4,"Moderate Risk","Safe Job"))</f>
        <v>Safe Job</v>
      </c>
    </row>
    <row r="1085" spans="1:24" x14ac:dyDescent="0.3">
      <c r="A1085">
        <v>3808</v>
      </c>
      <c r="B1085" t="s">
        <v>46</v>
      </c>
      <c r="C1085" t="s">
        <v>33</v>
      </c>
      <c r="D1085" t="s">
        <v>32</v>
      </c>
      <c r="E1085" s="1">
        <v>2026</v>
      </c>
      <c r="F1085" s="11">
        <v>0.49979999999999997</v>
      </c>
      <c r="G1085">
        <v>52.55</v>
      </c>
      <c r="H1085">
        <v>65.13</v>
      </c>
      <c r="I1085" s="2">
        <v>125147.13</v>
      </c>
      <c r="J1085" s="2">
        <v>110851.79</v>
      </c>
      <c r="K1085" s="2">
        <f>Table1[[#This Row],[Salary_after]]-Table1[[#This Row],[Salary_before]]</f>
        <v>-14295.340000000011</v>
      </c>
      <c r="L1085" s="11">
        <v>-0.1142</v>
      </c>
      <c r="M1085" s="11">
        <v>0.23430000000000001</v>
      </c>
      <c r="N1085">
        <v>45.09</v>
      </c>
      <c r="O1085">
        <v>11.96</v>
      </c>
      <c r="P1085">
        <v>3</v>
      </c>
      <c r="Q1085" t="s">
        <v>25</v>
      </c>
      <c r="R1085">
        <v>57.5549999999999</v>
      </c>
      <c r="S1085">
        <v>11.42</v>
      </c>
      <c r="T1085" s="4">
        <v>42.957000000000001</v>
      </c>
      <c r="U1085" s="4">
        <v>5.977608</v>
      </c>
      <c r="V1085" t="str">
        <f>IF(Table1[[#This Row],[ai_disruption_intensity]]&gt;70,"High",
IF(Table1[[#This Row],[ai_disruption_intensity]]&gt;40,"Medium","Low"))</f>
        <v>Low</v>
      </c>
      <c r="W1085" t="str">
        <f>IF(Table1[[#This Row],[skill_gap_index]]&gt;70,"Large Gap",
IF(Table1[[#This Row],[skill_gap_index]]&gt;40,"Medium Gap","Small Gap"))</f>
        <v>Medium Gap</v>
      </c>
      <c r="X1085" s="3" t="str">
        <f>IF(Table1[[#This Row],[automation_risk_percent]]&gt;0.7,"Highly Automatable",
IF(Table1[[#This Row],[automation_risk_percent]]&gt;0.4,"Moderate Risk","Safe Job"))</f>
        <v>Moderate Risk</v>
      </c>
    </row>
    <row r="1086" spans="1:24" x14ac:dyDescent="0.3">
      <c r="A1086">
        <v>3810</v>
      </c>
      <c r="B1086" t="s">
        <v>44</v>
      </c>
      <c r="C1086" t="s">
        <v>30</v>
      </c>
      <c r="D1086" t="s">
        <v>47</v>
      </c>
      <c r="E1086" s="1">
        <v>2026</v>
      </c>
      <c r="F1086" s="11">
        <v>0.54849999999999999</v>
      </c>
      <c r="G1086">
        <v>45.85</v>
      </c>
      <c r="H1086">
        <v>45.96</v>
      </c>
      <c r="I1086" s="2">
        <v>149212.31</v>
      </c>
      <c r="J1086" s="2">
        <v>154908.15</v>
      </c>
      <c r="K1086" s="2">
        <f>Table1[[#This Row],[Salary_after]]-Table1[[#This Row],[Salary_before]]</f>
        <v>5695.8399999999965</v>
      </c>
      <c r="L1086" s="11">
        <v>3.8199999999999998E-2</v>
      </c>
      <c r="M1086" s="11">
        <v>0.22640000000000002</v>
      </c>
      <c r="N1086">
        <v>57.97</v>
      </c>
      <c r="O1086">
        <v>4.38</v>
      </c>
      <c r="P1086">
        <v>3</v>
      </c>
      <c r="Q1086" t="s">
        <v>25</v>
      </c>
      <c r="R1086">
        <v>50.405000000000001</v>
      </c>
      <c r="S1086">
        <v>3.82</v>
      </c>
      <c r="T1086" s="4">
        <v>36.874000000000002</v>
      </c>
      <c r="U1086" s="4">
        <v>2.4024299999999998</v>
      </c>
      <c r="V1086" t="str">
        <f>IF(Table1[[#This Row],[ai_disruption_intensity]]&gt;70,"High",
IF(Table1[[#This Row],[ai_disruption_intensity]]&gt;40,"Medium","Low"))</f>
        <v>Low</v>
      </c>
      <c r="W1086" t="str">
        <f>IF(Table1[[#This Row],[skill_gap_index]]&gt;70,"Large Gap",
IF(Table1[[#This Row],[skill_gap_index]]&gt;40,"Medium Gap","Small Gap"))</f>
        <v>Medium Gap</v>
      </c>
      <c r="X1086" s="3" t="str">
        <f>IF(Table1[[#This Row],[automation_risk_percent]]&gt;0.7,"Highly Automatable",
IF(Table1[[#This Row],[automation_risk_percent]]&gt;0.4,"Moderate Risk","Safe Job"))</f>
        <v>Moderate Risk</v>
      </c>
    </row>
    <row r="1087" spans="1:24" x14ac:dyDescent="0.3">
      <c r="A1087">
        <v>3815</v>
      </c>
      <c r="B1087" t="s">
        <v>41</v>
      </c>
      <c r="C1087" t="s">
        <v>27</v>
      </c>
      <c r="D1087" t="s">
        <v>42</v>
      </c>
      <c r="E1087" s="1">
        <v>2026</v>
      </c>
      <c r="F1087" s="11">
        <v>0.29199999999999998</v>
      </c>
      <c r="G1087">
        <v>33.36</v>
      </c>
      <c r="H1087">
        <v>76.819999999999993</v>
      </c>
      <c r="I1087" s="2">
        <v>75104.05</v>
      </c>
      <c r="J1087" s="2">
        <v>74879.16</v>
      </c>
      <c r="K1087" s="2">
        <f>Table1[[#This Row],[Salary_after]]-Table1[[#This Row],[Salary_before]]</f>
        <v>-224.88999999999942</v>
      </c>
      <c r="L1087" s="11">
        <v>-3.0000000000000001E-3</v>
      </c>
      <c r="M1087" s="11">
        <v>-9.4700000000000006E-2</v>
      </c>
      <c r="N1087">
        <v>51.21</v>
      </c>
      <c r="O1087">
        <v>58.53</v>
      </c>
      <c r="P1087">
        <v>2</v>
      </c>
      <c r="Q1087" t="s">
        <v>21</v>
      </c>
      <c r="R1087">
        <v>53.01</v>
      </c>
      <c r="S1087">
        <v>0.3</v>
      </c>
      <c r="T1087" s="4">
        <v>34.816000000000003</v>
      </c>
      <c r="U1087" s="4">
        <v>17.09076</v>
      </c>
      <c r="V1087" t="str">
        <f>IF(Table1[[#This Row],[ai_disruption_intensity]]&gt;70,"High",
IF(Table1[[#This Row],[ai_disruption_intensity]]&gt;40,"Medium","Low"))</f>
        <v>Low</v>
      </c>
      <c r="W1087" t="str">
        <f>IF(Table1[[#This Row],[skill_gap_index]]&gt;70,"Large Gap",
IF(Table1[[#This Row],[skill_gap_index]]&gt;40,"Medium Gap","Small Gap"))</f>
        <v>Large Gap</v>
      </c>
      <c r="X1087" s="3" t="str">
        <f>IF(Table1[[#This Row],[automation_risk_percent]]&gt;0.7,"Highly Automatable",
IF(Table1[[#This Row],[automation_risk_percent]]&gt;0.4,"Moderate Risk","Safe Job"))</f>
        <v>Safe Job</v>
      </c>
    </row>
    <row r="1088" spans="1:24" x14ac:dyDescent="0.3">
      <c r="A1088">
        <v>3816</v>
      </c>
      <c r="B1088" t="s">
        <v>43</v>
      </c>
      <c r="C1088" t="s">
        <v>40</v>
      </c>
      <c r="D1088" t="s">
        <v>42</v>
      </c>
      <c r="E1088" s="1">
        <v>2025</v>
      </c>
      <c r="F1088" s="11">
        <v>0.64040000000000008</v>
      </c>
      <c r="G1088">
        <v>60.9</v>
      </c>
      <c r="H1088">
        <v>16.04</v>
      </c>
      <c r="I1088" s="2">
        <v>126005.87</v>
      </c>
      <c r="J1088" s="2">
        <v>110489.92</v>
      </c>
      <c r="K1088" s="2">
        <f>Table1[[#This Row],[Salary_after]]-Table1[[#This Row],[Salary_before]]</f>
        <v>-15515.949999999997</v>
      </c>
      <c r="L1088" s="11">
        <v>-0.1231</v>
      </c>
      <c r="M1088" s="11">
        <v>-4.6699999999999998E-2</v>
      </c>
      <c r="N1088">
        <v>78.790000000000006</v>
      </c>
      <c r="O1088">
        <v>93.41</v>
      </c>
      <c r="P1088">
        <v>3</v>
      </c>
      <c r="Q1088" t="s">
        <v>37</v>
      </c>
      <c r="R1088">
        <v>40.04</v>
      </c>
      <c r="S1088">
        <v>12.31</v>
      </c>
      <c r="T1088" s="4">
        <v>34.121000000000002</v>
      </c>
      <c r="U1088" s="4">
        <v>59.819763999999999</v>
      </c>
      <c r="V1088" t="str">
        <f>IF(Table1[[#This Row],[ai_disruption_intensity]]&gt;70,"High",
IF(Table1[[#This Row],[ai_disruption_intensity]]&gt;40,"Medium","Low"))</f>
        <v>Medium</v>
      </c>
      <c r="W1088" t="str">
        <f>IF(Table1[[#This Row],[skill_gap_index]]&gt;70,"Large Gap",
IF(Table1[[#This Row],[skill_gap_index]]&gt;40,"Medium Gap","Small Gap"))</f>
        <v>Small Gap</v>
      </c>
      <c r="X1088" s="3" t="str">
        <f>IF(Table1[[#This Row],[automation_risk_percent]]&gt;0.7,"Highly Automatable",
IF(Table1[[#This Row],[automation_risk_percent]]&gt;0.4,"Moderate Risk","Safe Job"))</f>
        <v>Moderate Risk</v>
      </c>
    </row>
    <row r="1089" spans="1:24" x14ac:dyDescent="0.3">
      <c r="A1089">
        <v>3819</v>
      </c>
      <c r="B1089" t="s">
        <v>26</v>
      </c>
      <c r="C1089" t="s">
        <v>34</v>
      </c>
      <c r="D1089" t="s">
        <v>32</v>
      </c>
      <c r="E1089" s="1">
        <v>2025</v>
      </c>
      <c r="F1089" s="11">
        <v>0.49409999999999998</v>
      </c>
      <c r="G1089">
        <v>46.9</v>
      </c>
      <c r="H1089">
        <v>53.25</v>
      </c>
      <c r="I1089" s="2">
        <v>147252.38</v>
      </c>
      <c r="J1089" s="2">
        <v>165117.60999999999</v>
      </c>
      <c r="K1089" s="2">
        <f>Table1[[#This Row],[Salary_after]]-Table1[[#This Row],[Salary_before]]</f>
        <v>17865.229999999981</v>
      </c>
      <c r="L1089" s="11">
        <v>0.12130000000000001</v>
      </c>
      <c r="M1089" s="11">
        <v>-6.8199999999999997E-2</v>
      </c>
      <c r="N1089">
        <v>25.53</v>
      </c>
      <c r="O1089">
        <v>12.17</v>
      </c>
      <c r="P1089">
        <v>5</v>
      </c>
      <c r="Q1089" t="s">
        <v>25</v>
      </c>
      <c r="R1089">
        <v>51.33</v>
      </c>
      <c r="S1089">
        <v>12.13</v>
      </c>
      <c r="T1089" s="4">
        <v>39.378</v>
      </c>
      <c r="U1089" s="4">
        <v>6.0131969999999999</v>
      </c>
      <c r="V1089" t="str">
        <f>IF(Table1[[#This Row],[ai_disruption_intensity]]&gt;70,"High",
IF(Table1[[#This Row],[ai_disruption_intensity]]&gt;40,"Medium","Low"))</f>
        <v>Low</v>
      </c>
      <c r="W1089" t="str">
        <f>IF(Table1[[#This Row],[skill_gap_index]]&gt;70,"Large Gap",
IF(Table1[[#This Row],[skill_gap_index]]&gt;40,"Medium Gap","Small Gap"))</f>
        <v>Medium Gap</v>
      </c>
      <c r="X1089" s="3" t="str">
        <f>IF(Table1[[#This Row],[automation_risk_percent]]&gt;0.7,"Highly Automatable",
IF(Table1[[#This Row],[automation_risk_percent]]&gt;0.4,"Moderate Risk","Safe Job"))</f>
        <v>Moderate Risk</v>
      </c>
    </row>
    <row r="1090" spans="1:24" x14ac:dyDescent="0.3">
      <c r="A1090">
        <v>3820</v>
      </c>
      <c r="B1090" t="s">
        <v>26</v>
      </c>
      <c r="C1090" t="s">
        <v>27</v>
      </c>
      <c r="D1090" t="s">
        <v>24</v>
      </c>
      <c r="E1090" s="1">
        <v>2026</v>
      </c>
      <c r="F1090" s="11">
        <v>0.54849999999999999</v>
      </c>
      <c r="G1090">
        <v>62.41</v>
      </c>
      <c r="H1090">
        <v>66.83</v>
      </c>
      <c r="I1090" s="2">
        <v>48983.5</v>
      </c>
      <c r="J1090" s="2">
        <v>50371.23</v>
      </c>
      <c r="K1090" s="2">
        <f>Table1[[#This Row],[Salary_after]]-Table1[[#This Row],[Salary_before]]</f>
        <v>1387.7300000000032</v>
      </c>
      <c r="L1090" s="11">
        <v>2.8300000000000002E-2</v>
      </c>
      <c r="M1090" s="11">
        <v>3.2099999999999997E-2</v>
      </c>
      <c r="N1090">
        <v>35.979999999999997</v>
      </c>
      <c r="O1090">
        <v>81.89</v>
      </c>
      <c r="P1090">
        <v>1</v>
      </c>
      <c r="Q1090" t="s">
        <v>25</v>
      </c>
      <c r="R1090">
        <v>60.84</v>
      </c>
      <c r="S1090">
        <v>2.83</v>
      </c>
      <c r="T1090" s="4">
        <v>42.838000000000001</v>
      </c>
      <c r="U1090" s="4">
        <v>44.916665000000002</v>
      </c>
      <c r="V1090" t="str">
        <f>IF(Table1[[#This Row],[ai_disruption_intensity]]&gt;70,"High",
IF(Table1[[#This Row],[ai_disruption_intensity]]&gt;40,"Medium","Low"))</f>
        <v>Medium</v>
      </c>
      <c r="W1090" t="str">
        <f>IF(Table1[[#This Row],[skill_gap_index]]&gt;70,"Large Gap",
IF(Table1[[#This Row],[skill_gap_index]]&gt;40,"Medium Gap","Small Gap"))</f>
        <v>Medium Gap</v>
      </c>
      <c r="X1090" s="3" t="str">
        <f>IF(Table1[[#This Row],[automation_risk_percent]]&gt;0.7,"Highly Automatable",
IF(Table1[[#This Row],[automation_risk_percent]]&gt;0.4,"Moderate Risk","Safe Job"))</f>
        <v>Moderate Risk</v>
      </c>
    </row>
    <row r="1091" spans="1:24" x14ac:dyDescent="0.3">
      <c r="A1091">
        <v>3821</v>
      </c>
      <c r="B1091" t="s">
        <v>44</v>
      </c>
      <c r="C1091" t="s">
        <v>34</v>
      </c>
      <c r="D1091" t="s">
        <v>32</v>
      </c>
      <c r="E1091" s="1">
        <v>2026</v>
      </c>
      <c r="F1091" s="11">
        <v>0.30020000000000002</v>
      </c>
      <c r="G1091">
        <v>35.29</v>
      </c>
      <c r="H1091">
        <v>91.45</v>
      </c>
      <c r="I1091" s="2">
        <v>35191.58</v>
      </c>
      <c r="J1091" s="2">
        <v>33028.370000000003</v>
      </c>
      <c r="K1091" s="2">
        <f>Table1[[#This Row],[Salary_after]]-Table1[[#This Row],[Salary_before]]</f>
        <v>-2163.2099999999991</v>
      </c>
      <c r="L1091" s="11">
        <v>-6.1500000000000006E-2</v>
      </c>
      <c r="M1091" s="11">
        <v>0.1003</v>
      </c>
      <c r="N1091">
        <v>29.37</v>
      </c>
      <c r="O1091">
        <v>45.98</v>
      </c>
      <c r="P1091">
        <v>1</v>
      </c>
      <c r="Q1091" t="s">
        <v>25</v>
      </c>
      <c r="R1091">
        <v>60.734999999999999</v>
      </c>
      <c r="S1091">
        <v>6.15</v>
      </c>
      <c r="T1091" s="4">
        <v>41.287999999999997</v>
      </c>
      <c r="U1091" s="4">
        <v>13.8031959999999</v>
      </c>
      <c r="V1091" t="str">
        <f>IF(Table1[[#This Row],[ai_disruption_intensity]]&gt;70,"High",
IF(Table1[[#This Row],[ai_disruption_intensity]]&gt;40,"Medium","Low"))</f>
        <v>Low</v>
      </c>
      <c r="W1091" t="str">
        <f>IF(Table1[[#This Row],[skill_gap_index]]&gt;70,"Large Gap",
IF(Table1[[#This Row],[skill_gap_index]]&gt;40,"Medium Gap","Small Gap"))</f>
        <v>Large Gap</v>
      </c>
      <c r="X1091" s="3" t="str">
        <f>IF(Table1[[#This Row],[automation_risk_percent]]&gt;0.7,"Highly Automatable",
IF(Table1[[#This Row],[automation_risk_percent]]&gt;0.4,"Moderate Risk","Safe Job"))</f>
        <v>Safe Job</v>
      </c>
    </row>
    <row r="1092" spans="1:24" x14ac:dyDescent="0.3">
      <c r="A1092">
        <v>3826</v>
      </c>
      <c r="B1092" t="s">
        <v>26</v>
      </c>
      <c r="C1092" t="s">
        <v>40</v>
      </c>
      <c r="D1092" t="s">
        <v>32</v>
      </c>
      <c r="E1092" s="1">
        <v>2026</v>
      </c>
      <c r="F1092" s="11">
        <v>0.41499999999999998</v>
      </c>
      <c r="G1092">
        <v>44.36</v>
      </c>
      <c r="H1092">
        <v>64.52</v>
      </c>
      <c r="I1092" s="2">
        <v>133591.87</v>
      </c>
      <c r="J1092" s="2">
        <v>141595.38</v>
      </c>
      <c r="K1092" s="2">
        <f>Table1[[#This Row],[Salary_after]]-Table1[[#This Row],[Salary_before]]</f>
        <v>8003.5100000000093</v>
      </c>
      <c r="L1092" s="11">
        <v>5.9900000000000002E-2</v>
      </c>
      <c r="M1092" s="11">
        <v>-7.3200000000000001E-2</v>
      </c>
      <c r="N1092">
        <v>19.100000000000001</v>
      </c>
      <c r="O1092">
        <v>54.79</v>
      </c>
      <c r="P1092">
        <v>2</v>
      </c>
      <c r="Q1092" t="s">
        <v>25</v>
      </c>
      <c r="R1092">
        <v>53.01</v>
      </c>
      <c r="S1092">
        <v>5.99</v>
      </c>
      <c r="T1092" s="4">
        <v>37.753</v>
      </c>
      <c r="U1092" s="4">
        <v>22.737849999999899</v>
      </c>
      <c r="V1092" t="str">
        <f>IF(Table1[[#This Row],[ai_disruption_intensity]]&gt;70,"High",
IF(Table1[[#This Row],[ai_disruption_intensity]]&gt;40,"Medium","Low"))</f>
        <v>Low</v>
      </c>
      <c r="W1092" t="str">
        <f>IF(Table1[[#This Row],[skill_gap_index]]&gt;70,"Large Gap",
IF(Table1[[#This Row],[skill_gap_index]]&gt;40,"Medium Gap","Small Gap"))</f>
        <v>Medium Gap</v>
      </c>
      <c r="X1092" s="3" t="str">
        <f>IF(Table1[[#This Row],[automation_risk_percent]]&gt;0.7,"Highly Automatable",
IF(Table1[[#This Row],[automation_risk_percent]]&gt;0.4,"Moderate Risk","Safe Job"))</f>
        <v>Moderate Risk</v>
      </c>
    </row>
    <row r="1093" spans="1:24" x14ac:dyDescent="0.3">
      <c r="A1093">
        <v>3830</v>
      </c>
      <c r="B1093" t="s">
        <v>26</v>
      </c>
      <c r="C1093" t="s">
        <v>40</v>
      </c>
      <c r="D1093" t="s">
        <v>36</v>
      </c>
      <c r="E1093" s="1">
        <v>2025</v>
      </c>
      <c r="F1093" s="11">
        <v>0.25319999999999998</v>
      </c>
      <c r="G1093">
        <v>23.81</v>
      </c>
      <c r="H1093">
        <v>68.77</v>
      </c>
      <c r="I1093" s="2">
        <v>85636.72</v>
      </c>
      <c r="J1093" s="2">
        <v>80629.87</v>
      </c>
      <c r="K1093" s="2">
        <f>Table1[[#This Row],[Salary_after]]-Table1[[#This Row],[Salary_before]]</f>
        <v>-5006.8500000000058</v>
      </c>
      <c r="L1093" s="11">
        <v>-5.8499999999999996E-2</v>
      </c>
      <c r="M1093" s="11">
        <v>0.19469999999999998</v>
      </c>
      <c r="N1093">
        <v>23.58</v>
      </c>
      <c r="O1093">
        <v>46.13</v>
      </c>
      <c r="P1093">
        <v>5</v>
      </c>
      <c r="Q1093" t="s">
        <v>21</v>
      </c>
      <c r="R1093">
        <v>47.045000000000002</v>
      </c>
      <c r="S1093">
        <v>5.85</v>
      </c>
      <c r="T1093" s="4">
        <v>32.513999999999903</v>
      </c>
      <c r="U1093" s="4">
        <v>11.680116</v>
      </c>
      <c r="V1093" t="str">
        <f>IF(Table1[[#This Row],[ai_disruption_intensity]]&gt;70,"High",
IF(Table1[[#This Row],[ai_disruption_intensity]]&gt;40,"Medium","Low"))</f>
        <v>Low</v>
      </c>
      <c r="W1093" t="str">
        <f>IF(Table1[[#This Row],[skill_gap_index]]&gt;70,"Large Gap",
IF(Table1[[#This Row],[skill_gap_index]]&gt;40,"Medium Gap","Small Gap"))</f>
        <v>Medium Gap</v>
      </c>
      <c r="X1093" s="3" t="str">
        <f>IF(Table1[[#This Row],[automation_risk_percent]]&gt;0.7,"Highly Automatable",
IF(Table1[[#This Row],[automation_risk_percent]]&gt;0.4,"Moderate Risk","Safe Job"))</f>
        <v>Safe Job</v>
      </c>
    </row>
    <row r="1094" spans="1:24" x14ac:dyDescent="0.3">
      <c r="A1094">
        <v>3832</v>
      </c>
      <c r="B1094" t="s">
        <v>44</v>
      </c>
      <c r="C1094" t="s">
        <v>40</v>
      </c>
      <c r="D1094" t="s">
        <v>31</v>
      </c>
      <c r="E1094" s="1">
        <v>2025</v>
      </c>
      <c r="F1094" s="11">
        <v>0.15590000000000001</v>
      </c>
      <c r="G1094">
        <v>16.399999999999999</v>
      </c>
      <c r="H1094">
        <v>9.91</v>
      </c>
      <c r="I1094" s="2">
        <v>102769.79</v>
      </c>
      <c r="J1094" s="2">
        <v>75319.34</v>
      </c>
      <c r="K1094" s="2">
        <f>Table1[[#This Row],[Salary_after]]-Table1[[#This Row],[Salary_before]]</f>
        <v>-27450.449999999997</v>
      </c>
      <c r="L1094" s="11">
        <v>-0.2671</v>
      </c>
      <c r="M1094" s="11">
        <v>0.34570000000000001</v>
      </c>
      <c r="N1094">
        <v>16.07</v>
      </c>
      <c r="O1094">
        <v>63.92</v>
      </c>
      <c r="P1094">
        <v>4</v>
      </c>
      <c r="Q1094" t="s">
        <v>21</v>
      </c>
      <c r="R1094">
        <v>12.75</v>
      </c>
      <c r="S1094">
        <v>26.71</v>
      </c>
      <c r="T1094" s="4">
        <v>17.222000000000001</v>
      </c>
      <c r="U1094" s="4">
        <v>9.965128</v>
      </c>
      <c r="V1094" t="str">
        <f>IF(Table1[[#This Row],[ai_disruption_intensity]]&gt;70,"High",
IF(Table1[[#This Row],[ai_disruption_intensity]]&gt;40,"Medium","Low"))</f>
        <v>Low</v>
      </c>
      <c r="W1094" t="str">
        <f>IF(Table1[[#This Row],[skill_gap_index]]&gt;70,"Large Gap",
IF(Table1[[#This Row],[skill_gap_index]]&gt;40,"Medium Gap","Small Gap"))</f>
        <v>Small Gap</v>
      </c>
      <c r="X1094" s="3" t="str">
        <f>IF(Table1[[#This Row],[automation_risk_percent]]&gt;0.7,"Highly Automatable",
IF(Table1[[#This Row],[automation_risk_percent]]&gt;0.4,"Moderate Risk","Safe Job"))</f>
        <v>Safe Job</v>
      </c>
    </row>
    <row r="1095" spans="1:24" x14ac:dyDescent="0.3">
      <c r="A1095">
        <v>3833</v>
      </c>
      <c r="B1095" t="s">
        <v>44</v>
      </c>
      <c r="C1095" t="s">
        <v>30</v>
      </c>
      <c r="D1095" t="s">
        <v>42</v>
      </c>
      <c r="E1095" s="1">
        <v>2025</v>
      </c>
      <c r="F1095" s="11">
        <v>0.40189999999999998</v>
      </c>
      <c r="G1095">
        <v>38.76</v>
      </c>
      <c r="H1095">
        <v>59.65</v>
      </c>
      <c r="I1095" s="2">
        <v>102749.77</v>
      </c>
      <c r="J1095" s="2">
        <v>110489.03</v>
      </c>
      <c r="K1095" s="2">
        <f>Table1[[#This Row],[Salary_after]]-Table1[[#This Row],[Salary_before]]</f>
        <v>7739.2599999999948</v>
      </c>
      <c r="L1095" s="11">
        <v>7.5300000000000006E-2</v>
      </c>
      <c r="M1095" s="11">
        <v>-6.1500000000000006E-2</v>
      </c>
      <c r="N1095">
        <v>61.91</v>
      </c>
      <c r="O1095">
        <v>75.760000000000005</v>
      </c>
      <c r="P1095">
        <v>2</v>
      </c>
      <c r="Q1095" t="s">
        <v>25</v>
      </c>
      <c r="R1095">
        <v>49.92</v>
      </c>
      <c r="S1095">
        <v>7.53</v>
      </c>
      <c r="T1095" s="4">
        <v>36.229999999999997</v>
      </c>
      <c r="U1095" s="4">
        <v>30.447944</v>
      </c>
      <c r="V1095" t="str">
        <f>IF(Table1[[#This Row],[ai_disruption_intensity]]&gt;70,"High",
IF(Table1[[#This Row],[ai_disruption_intensity]]&gt;40,"Medium","Low"))</f>
        <v>Low</v>
      </c>
      <c r="W1095" t="str">
        <f>IF(Table1[[#This Row],[skill_gap_index]]&gt;70,"Large Gap",
IF(Table1[[#This Row],[skill_gap_index]]&gt;40,"Medium Gap","Small Gap"))</f>
        <v>Medium Gap</v>
      </c>
      <c r="X1095" s="3" t="str">
        <f>IF(Table1[[#This Row],[automation_risk_percent]]&gt;0.7,"Highly Automatable",
IF(Table1[[#This Row],[automation_risk_percent]]&gt;0.4,"Moderate Risk","Safe Job"))</f>
        <v>Moderate Risk</v>
      </c>
    </row>
    <row r="1096" spans="1:24" x14ac:dyDescent="0.3">
      <c r="A1096">
        <v>3837</v>
      </c>
      <c r="B1096" t="s">
        <v>43</v>
      </c>
      <c r="C1096" t="s">
        <v>23</v>
      </c>
      <c r="D1096" t="s">
        <v>31</v>
      </c>
      <c r="E1096" s="1">
        <v>2025</v>
      </c>
      <c r="F1096" s="11">
        <v>0.24129999999999999</v>
      </c>
      <c r="G1096">
        <v>25.19</v>
      </c>
      <c r="H1096">
        <v>9.09</v>
      </c>
      <c r="I1096" s="2">
        <v>113486.76</v>
      </c>
      <c r="J1096" s="2">
        <v>100898.1</v>
      </c>
      <c r="K1096" s="2">
        <f>Table1[[#This Row],[Salary_after]]-Table1[[#This Row],[Salary_before]]</f>
        <v>-12588.659999999989</v>
      </c>
      <c r="L1096" s="11">
        <v>-0.1109</v>
      </c>
      <c r="M1096" s="11">
        <v>2.1000000000000001E-2</v>
      </c>
      <c r="N1096">
        <v>98.13</v>
      </c>
      <c r="O1096">
        <v>90.11</v>
      </c>
      <c r="P1096">
        <v>3</v>
      </c>
      <c r="Q1096" t="s">
        <v>21</v>
      </c>
      <c r="R1096">
        <v>16.61</v>
      </c>
      <c r="S1096">
        <v>11.09</v>
      </c>
      <c r="T1096" s="4">
        <v>15.706</v>
      </c>
      <c r="U1096" s="4">
        <v>21.743542999999999</v>
      </c>
      <c r="V1096" t="str">
        <f>IF(Table1[[#This Row],[ai_disruption_intensity]]&gt;70,"High",
IF(Table1[[#This Row],[ai_disruption_intensity]]&gt;40,"Medium","Low"))</f>
        <v>Low</v>
      </c>
      <c r="W1096" t="str">
        <f>IF(Table1[[#This Row],[skill_gap_index]]&gt;70,"Large Gap",
IF(Table1[[#This Row],[skill_gap_index]]&gt;40,"Medium Gap","Small Gap"))</f>
        <v>Small Gap</v>
      </c>
      <c r="X1096" s="3" t="str">
        <f>IF(Table1[[#This Row],[automation_risk_percent]]&gt;0.7,"Highly Automatable",
IF(Table1[[#This Row],[automation_risk_percent]]&gt;0.4,"Moderate Risk","Safe Job"))</f>
        <v>Safe Job</v>
      </c>
    </row>
    <row r="1097" spans="1:24" x14ac:dyDescent="0.3">
      <c r="A1097">
        <v>3847</v>
      </c>
      <c r="B1097" t="s">
        <v>39</v>
      </c>
      <c r="C1097" t="s">
        <v>34</v>
      </c>
      <c r="D1097" t="s">
        <v>42</v>
      </c>
      <c r="E1097" s="1">
        <v>2026</v>
      </c>
      <c r="F1097" s="11">
        <v>0.47100000000000003</v>
      </c>
      <c r="G1097">
        <v>51</v>
      </c>
      <c r="H1097">
        <v>32.340000000000003</v>
      </c>
      <c r="I1097" s="2">
        <v>34429.49</v>
      </c>
      <c r="J1097" s="2">
        <v>31871.42</v>
      </c>
      <c r="K1097" s="2">
        <f>Table1[[#This Row],[Salary_after]]-Table1[[#This Row],[Salary_before]]</f>
        <v>-2558.0699999999997</v>
      </c>
      <c r="L1097" s="11">
        <v>-7.4299999999999991E-2</v>
      </c>
      <c r="M1097" s="11">
        <v>-2.6600000000000002E-2</v>
      </c>
      <c r="N1097">
        <v>40.21</v>
      </c>
      <c r="O1097">
        <v>94.35</v>
      </c>
      <c r="P1097">
        <v>5</v>
      </c>
      <c r="Q1097" t="s">
        <v>25</v>
      </c>
      <c r="R1097">
        <v>39.72</v>
      </c>
      <c r="S1097">
        <v>7.43</v>
      </c>
      <c r="T1097" s="4">
        <v>30.771000000000001</v>
      </c>
      <c r="U1097" s="4">
        <v>44.438850000000002</v>
      </c>
      <c r="V1097" t="str">
        <f>IF(Table1[[#This Row],[ai_disruption_intensity]]&gt;70,"High",
IF(Table1[[#This Row],[ai_disruption_intensity]]&gt;40,"Medium","Low"))</f>
        <v>Medium</v>
      </c>
      <c r="W1097" t="str">
        <f>IF(Table1[[#This Row],[skill_gap_index]]&gt;70,"Large Gap",
IF(Table1[[#This Row],[skill_gap_index]]&gt;40,"Medium Gap","Small Gap"))</f>
        <v>Small Gap</v>
      </c>
      <c r="X1097" s="3" t="str">
        <f>IF(Table1[[#This Row],[automation_risk_percent]]&gt;0.7,"Highly Automatable",
IF(Table1[[#This Row],[automation_risk_percent]]&gt;0.4,"Moderate Risk","Safe Job"))</f>
        <v>Moderate Risk</v>
      </c>
    </row>
    <row r="1098" spans="1:24" x14ac:dyDescent="0.3">
      <c r="A1098">
        <v>3853</v>
      </c>
      <c r="B1098" t="s">
        <v>45</v>
      </c>
      <c r="C1098" t="s">
        <v>40</v>
      </c>
      <c r="D1098" t="s">
        <v>47</v>
      </c>
      <c r="E1098" s="1">
        <v>2025</v>
      </c>
      <c r="F1098" s="11">
        <v>0.19370000000000001</v>
      </c>
      <c r="G1098">
        <v>19.18</v>
      </c>
      <c r="H1098">
        <v>31.82</v>
      </c>
      <c r="I1098" s="2">
        <v>147352.6</v>
      </c>
      <c r="J1098" s="2">
        <v>164052.76999999999</v>
      </c>
      <c r="K1098" s="2">
        <f>Table1[[#This Row],[Salary_after]]-Table1[[#This Row],[Salary_before]]</f>
        <v>16700.169999999984</v>
      </c>
      <c r="L1098" s="11">
        <v>0.1133</v>
      </c>
      <c r="M1098" s="11">
        <v>-0.1186</v>
      </c>
      <c r="N1098">
        <v>53.14</v>
      </c>
      <c r="O1098">
        <v>21.31</v>
      </c>
      <c r="P1098">
        <v>2</v>
      </c>
      <c r="Q1098" t="s">
        <v>21</v>
      </c>
      <c r="R1098">
        <v>25.594999999999999</v>
      </c>
      <c r="S1098">
        <v>11.33</v>
      </c>
      <c r="T1098" s="4">
        <v>20.693000000000001</v>
      </c>
      <c r="U1098" s="4">
        <v>4.1277470000000003</v>
      </c>
      <c r="V1098" t="str">
        <f>IF(Table1[[#This Row],[ai_disruption_intensity]]&gt;70,"High",
IF(Table1[[#This Row],[ai_disruption_intensity]]&gt;40,"Medium","Low"))</f>
        <v>Low</v>
      </c>
      <c r="W1098" t="str">
        <f>IF(Table1[[#This Row],[skill_gap_index]]&gt;70,"Large Gap",
IF(Table1[[#This Row],[skill_gap_index]]&gt;40,"Medium Gap","Small Gap"))</f>
        <v>Small Gap</v>
      </c>
      <c r="X1098" s="3" t="str">
        <f>IF(Table1[[#This Row],[automation_risk_percent]]&gt;0.7,"Highly Automatable",
IF(Table1[[#This Row],[automation_risk_percent]]&gt;0.4,"Moderate Risk","Safe Job"))</f>
        <v>Safe Job</v>
      </c>
    </row>
    <row r="1099" spans="1:24" x14ac:dyDescent="0.3">
      <c r="A1099">
        <v>3858</v>
      </c>
      <c r="B1099" t="s">
        <v>39</v>
      </c>
      <c r="C1099" t="s">
        <v>27</v>
      </c>
      <c r="D1099" t="s">
        <v>24</v>
      </c>
      <c r="E1099" s="1">
        <v>2026</v>
      </c>
      <c r="F1099" s="11">
        <v>0.46020000000000005</v>
      </c>
      <c r="G1099">
        <v>52.1</v>
      </c>
      <c r="H1099">
        <v>95.2</v>
      </c>
      <c r="I1099" s="2">
        <v>90149.22</v>
      </c>
      <c r="J1099" s="2">
        <v>104359.96</v>
      </c>
      <c r="K1099" s="2">
        <f>Table1[[#This Row],[Salary_after]]-Table1[[#This Row],[Salary_before]]</f>
        <v>14210.740000000005</v>
      </c>
      <c r="L1099" s="11">
        <v>0.15759999999999999</v>
      </c>
      <c r="M1099" s="11">
        <v>0.20120000000000002</v>
      </c>
      <c r="N1099">
        <v>80.33</v>
      </c>
      <c r="O1099">
        <v>82.3</v>
      </c>
      <c r="P1099">
        <v>5</v>
      </c>
      <c r="Q1099" t="s">
        <v>25</v>
      </c>
      <c r="R1099">
        <v>70.61</v>
      </c>
      <c r="S1099">
        <v>15.76</v>
      </c>
      <c r="T1099" s="4">
        <v>51.695999999999998</v>
      </c>
      <c r="U1099" s="4">
        <v>37.874459999999999</v>
      </c>
      <c r="V1099" t="str">
        <f>IF(Table1[[#This Row],[ai_disruption_intensity]]&gt;70,"High",
IF(Table1[[#This Row],[ai_disruption_intensity]]&gt;40,"Medium","Low"))</f>
        <v>Low</v>
      </c>
      <c r="W1099" t="str">
        <f>IF(Table1[[#This Row],[skill_gap_index]]&gt;70,"Large Gap",
IF(Table1[[#This Row],[skill_gap_index]]&gt;40,"Medium Gap","Small Gap"))</f>
        <v>Large Gap</v>
      </c>
      <c r="X1099" s="3" t="str">
        <f>IF(Table1[[#This Row],[automation_risk_percent]]&gt;0.7,"Highly Automatable",
IF(Table1[[#This Row],[automation_risk_percent]]&gt;0.4,"Moderate Risk","Safe Job"))</f>
        <v>Moderate Risk</v>
      </c>
    </row>
    <row r="1100" spans="1:24" x14ac:dyDescent="0.3">
      <c r="A1100">
        <v>3859</v>
      </c>
      <c r="B1100" t="s">
        <v>26</v>
      </c>
      <c r="C1100" t="s">
        <v>33</v>
      </c>
      <c r="D1100" t="s">
        <v>32</v>
      </c>
      <c r="E1100" s="1">
        <v>2025</v>
      </c>
      <c r="F1100" s="11">
        <v>0.05</v>
      </c>
      <c r="G1100">
        <v>5.47</v>
      </c>
      <c r="H1100">
        <v>78.38</v>
      </c>
      <c r="I1100" s="2">
        <v>114051.53</v>
      </c>
      <c r="J1100" s="2">
        <v>128863.77</v>
      </c>
      <c r="K1100" s="2">
        <f>Table1[[#This Row],[Salary_after]]-Table1[[#This Row],[Salary_before]]</f>
        <v>14812.240000000005</v>
      </c>
      <c r="L1100" s="11">
        <v>0.12990000000000002</v>
      </c>
      <c r="M1100" s="11">
        <v>2.63E-2</v>
      </c>
      <c r="N1100">
        <v>94.06</v>
      </c>
      <c r="O1100">
        <v>22.95</v>
      </c>
      <c r="P1100">
        <v>5</v>
      </c>
      <c r="Q1100" t="s">
        <v>21</v>
      </c>
      <c r="R1100">
        <v>41.69</v>
      </c>
      <c r="S1100">
        <v>12.99</v>
      </c>
      <c r="T1100" s="4">
        <v>29.410999999999898</v>
      </c>
      <c r="U1100" s="4">
        <v>1.1475</v>
      </c>
      <c r="V1100" t="str">
        <f>IF(Table1[[#This Row],[ai_disruption_intensity]]&gt;70,"High",
IF(Table1[[#This Row],[ai_disruption_intensity]]&gt;40,"Medium","Low"))</f>
        <v>Low</v>
      </c>
      <c r="W1100" t="str">
        <f>IF(Table1[[#This Row],[skill_gap_index]]&gt;70,"Large Gap",
IF(Table1[[#This Row],[skill_gap_index]]&gt;40,"Medium Gap","Small Gap"))</f>
        <v>Large Gap</v>
      </c>
      <c r="X1100" s="3" t="str">
        <f>IF(Table1[[#This Row],[automation_risk_percent]]&gt;0.7,"Highly Automatable",
IF(Table1[[#This Row],[automation_risk_percent]]&gt;0.4,"Moderate Risk","Safe Job"))</f>
        <v>Safe Job</v>
      </c>
    </row>
    <row r="1101" spans="1:24" x14ac:dyDescent="0.3">
      <c r="A1101">
        <v>3861</v>
      </c>
      <c r="B1101" t="s">
        <v>29</v>
      </c>
      <c r="C1101" t="s">
        <v>40</v>
      </c>
      <c r="D1101" t="s">
        <v>35</v>
      </c>
      <c r="E1101" s="1">
        <v>2025</v>
      </c>
      <c r="F1101" s="11">
        <v>0.9456</v>
      </c>
      <c r="G1101">
        <v>104.81</v>
      </c>
      <c r="H1101">
        <v>57.87</v>
      </c>
      <c r="I1101" s="2">
        <v>142102.95000000001</v>
      </c>
      <c r="J1101" s="2">
        <v>157749.54</v>
      </c>
      <c r="K1101" s="2">
        <f>Table1[[#This Row],[Salary_after]]-Table1[[#This Row],[Salary_before]]</f>
        <v>15646.589999999997</v>
      </c>
      <c r="L1101" s="11">
        <v>0.1101</v>
      </c>
      <c r="M1101" s="11">
        <v>0.30879999999999996</v>
      </c>
      <c r="N1101">
        <v>39.58</v>
      </c>
      <c r="O1101">
        <v>25.09</v>
      </c>
      <c r="P1101">
        <v>5</v>
      </c>
      <c r="Q1101" t="s">
        <v>37</v>
      </c>
      <c r="R1101">
        <v>76.215000000000003</v>
      </c>
      <c r="S1101">
        <v>11.01</v>
      </c>
      <c r="T1101" s="4">
        <v>58.488</v>
      </c>
      <c r="U1101" s="4">
        <v>23.725104000000002</v>
      </c>
      <c r="V1101" t="str">
        <f>IF(Table1[[#This Row],[ai_disruption_intensity]]&gt;70,"High",
IF(Table1[[#This Row],[ai_disruption_intensity]]&gt;40,"Medium","Low"))</f>
        <v>Low</v>
      </c>
      <c r="W1101" t="str">
        <f>IF(Table1[[#This Row],[skill_gap_index]]&gt;70,"Large Gap",
IF(Table1[[#This Row],[skill_gap_index]]&gt;40,"Medium Gap","Small Gap"))</f>
        <v>Medium Gap</v>
      </c>
      <c r="X1101" s="3" t="str">
        <f>IF(Table1[[#This Row],[automation_risk_percent]]&gt;0.7,"Highly Automatable",
IF(Table1[[#This Row],[automation_risk_percent]]&gt;0.4,"Moderate Risk","Safe Job"))</f>
        <v>Highly Automatable</v>
      </c>
    </row>
    <row r="1102" spans="1:24" x14ac:dyDescent="0.3">
      <c r="A1102">
        <v>3870</v>
      </c>
      <c r="B1102" t="s">
        <v>46</v>
      </c>
      <c r="C1102" t="s">
        <v>40</v>
      </c>
      <c r="D1102" t="s">
        <v>32</v>
      </c>
      <c r="E1102" s="1">
        <v>2025</v>
      </c>
      <c r="F1102" s="11">
        <v>0.63950000000000007</v>
      </c>
      <c r="G1102">
        <v>53.04</v>
      </c>
      <c r="H1102">
        <v>69.98</v>
      </c>
      <c r="I1102" s="2">
        <v>117619.32</v>
      </c>
      <c r="J1102" s="2">
        <v>119793.31</v>
      </c>
      <c r="K1102" s="2">
        <f>Table1[[#This Row],[Salary_after]]-Table1[[#This Row],[Salary_before]]</f>
        <v>2173.9899999999907</v>
      </c>
      <c r="L1102" s="11">
        <v>1.8500000000000003E-2</v>
      </c>
      <c r="M1102" s="11">
        <v>0.1691</v>
      </c>
      <c r="N1102">
        <v>75.27</v>
      </c>
      <c r="O1102">
        <v>30.27</v>
      </c>
      <c r="P1102">
        <v>3</v>
      </c>
      <c r="Q1102" t="s">
        <v>37</v>
      </c>
      <c r="R1102">
        <v>66.965000000000003</v>
      </c>
      <c r="S1102">
        <v>1.85</v>
      </c>
      <c r="T1102" s="4">
        <v>47.128999999999998</v>
      </c>
      <c r="U1102" s="4">
        <v>19.357665000000001</v>
      </c>
      <c r="V1102" t="str">
        <f>IF(Table1[[#This Row],[ai_disruption_intensity]]&gt;70,"High",
IF(Table1[[#This Row],[ai_disruption_intensity]]&gt;40,"Medium","Low"))</f>
        <v>Low</v>
      </c>
      <c r="W1102" t="str">
        <f>IF(Table1[[#This Row],[skill_gap_index]]&gt;70,"Large Gap",
IF(Table1[[#This Row],[skill_gap_index]]&gt;40,"Medium Gap","Small Gap"))</f>
        <v>Medium Gap</v>
      </c>
      <c r="X1102" s="3" t="str">
        <f>IF(Table1[[#This Row],[automation_risk_percent]]&gt;0.7,"Highly Automatable",
IF(Table1[[#This Row],[automation_risk_percent]]&gt;0.4,"Moderate Risk","Safe Job"))</f>
        <v>Moderate Risk</v>
      </c>
    </row>
    <row r="1103" spans="1:24" x14ac:dyDescent="0.3">
      <c r="A1103">
        <v>3874</v>
      </c>
      <c r="B1103" t="s">
        <v>46</v>
      </c>
      <c r="C1103" t="s">
        <v>27</v>
      </c>
      <c r="D1103" t="s">
        <v>42</v>
      </c>
      <c r="E1103" s="1">
        <v>2025</v>
      </c>
      <c r="F1103" s="11">
        <v>0.33409999999999995</v>
      </c>
      <c r="G1103">
        <v>31.9</v>
      </c>
      <c r="H1103">
        <v>17.829999999999998</v>
      </c>
      <c r="I1103" s="2">
        <v>83985.61</v>
      </c>
      <c r="J1103" s="2">
        <v>75247.03</v>
      </c>
      <c r="K1103" s="2">
        <f>Table1[[#This Row],[Salary_after]]-Table1[[#This Row],[Salary_before]]</f>
        <v>-8738.5800000000017</v>
      </c>
      <c r="L1103" s="11">
        <v>-0.10400000000000001</v>
      </c>
      <c r="M1103" s="11">
        <v>2.7900000000000001E-2</v>
      </c>
      <c r="N1103">
        <v>21.81</v>
      </c>
      <c r="O1103">
        <v>64.75</v>
      </c>
      <c r="P1103">
        <v>3</v>
      </c>
      <c r="Q1103" t="s">
        <v>25</v>
      </c>
      <c r="R1103">
        <v>25.619999999999902</v>
      </c>
      <c r="S1103">
        <v>10.4</v>
      </c>
      <c r="T1103" s="4">
        <v>21.832999999999998</v>
      </c>
      <c r="U1103" s="4">
        <v>21.632974999999998</v>
      </c>
      <c r="V1103" t="str">
        <f>IF(Table1[[#This Row],[ai_disruption_intensity]]&gt;70,"High",
IF(Table1[[#This Row],[ai_disruption_intensity]]&gt;40,"Medium","Low"))</f>
        <v>Low</v>
      </c>
      <c r="W1103" t="str">
        <f>IF(Table1[[#This Row],[skill_gap_index]]&gt;70,"Large Gap",
IF(Table1[[#This Row],[skill_gap_index]]&gt;40,"Medium Gap","Small Gap"))</f>
        <v>Small Gap</v>
      </c>
      <c r="X1103" s="3" t="str">
        <f>IF(Table1[[#This Row],[automation_risk_percent]]&gt;0.7,"Highly Automatable",
IF(Table1[[#This Row],[automation_risk_percent]]&gt;0.4,"Moderate Risk","Safe Job"))</f>
        <v>Safe Job</v>
      </c>
    </row>
    <row r="1104" spans="1:24" x14ac:dyDescent="0.3">
      <c r="A1104">
        <v>3875</v>
      </c>
      <c r="B1104" t="s">
        <v>45</v>
      </c>
      <c r="C1104" t="s">
        <v>30</v>
      </c>
      <c r="D1104" t="s">
        <v>32</v>
      </c>
      <c r="E1104" s="1">
        <v>2026</v>
      </c>
      <c r="F1104" s="11">
        <v>0.59460000000000002</v>
      </c>
      <c r="G1104">
        <v>69.95</v>
      </c>
      <c r="H1104">
        <v>8.6999999999999993</v>
      </c>
      <c r="I1104" s="2">
        <v>44143.38</v>
      </c>
      <c r="J1104" s="2">
        <v>44350.35</v>
      </c>
      <c r="K1104" s="2">
        <f>Table1[[#This Row],[Salary_after]]-Table1[[#This Row],[Salary_before]]</f>
        <v>206.97000000000116</v>
      </c>
      <c r="L1104" s="11">
        <v>4.6999999999999993E-3</v>
      </c>
      <c r="M1104" s="11">
        <v>-1.52E-2</v>
      </c>
      <c r="N1104">
        <v>66.05</v>
      </c>
      <c r="O1104">
        <v>40.35</v>
      </c>
      <c r="P1104">
        <v>3</v>
      </c>
      <c r="Q1104" t="s">
        <v>25</v>
      </c>
      <c r="R1104">
        <v>34.08</v>
      </c>
      <c r="S1104">
        <v>0.47</v>
      </c>
      <c r="T1104" s="4">
        <v>26.535</v>
      </c>
      <c r="U1104" s="4">
        <v>23.99211</v>
      </c>
      <c r="V1104" t="str">
        <f>IF(Table1[[#This Row],[ai_disruption_intensity]]&gt;70,"High",
IF(Table1[[#This Row],[ai_disruption_intensity]]&gt;40,"Medium","Low"))</f>
        <v>Low</v>
      </c>
      <c r="W1104" t="str">
        <f>IF(Table1[[#This Row],[skill_gap_index]]&gt;70,"Large Gap",
IF(Table1[[#This Row],[skill_gap_index]]&gt;40,"Medium Gap","Small Gap"))</f>
        <v>Small Gap</v>
      </c>
      <c r="X1104" s="3" t="str">
        <f>IF(Table1[[#This Row],[automation_risk_percent]]&gt;0.7,"Highly Automatable",
IF(Table1[[#This Row],[automation_risk_percent]]&gt;0.4,"Moderate Risk","Safe Job"))</f>
        <v>Moderate Risk</v>
      </c>
    </row>
    <row r="1105" spans="1:24" x14ac:dyDescent="0.3">
      <c r="A1105">
        <v>3880</v>
      </c>
      <c r="B1105" t="s">
        <v>29</v>
      </c>
      <c r="C1105" t="s">
        <v>23</v>
      </c>
      <c r="D1105" t="s">
        <v>47</v>
      </c>
      <c r="E1105" s="1">
        <v>2025</v>
      </c>
      <c r="F1105" s="11">
        <v>0.32549999999999996</v>
      </c>
      <c r="G1105">
        <v>33.31</v>
      </c>
      <c r="H1105">
        <v>9.7100000000000009</v>
      </c>
      <c r="I1105" s="2">
        <v>98641.94</v>
      </c>
      <c r="J1105" s="2">
        <v>100227.07</v>
      </c>
      <c r="K1105" s="2">
        <f>Table1[[#This Row],[Salary_after]]-Table1[[#This Row],[Salary_before]]</f>
        <v>1585.1300000000047</v>
      </c>
      <c r="L1105" s="11">
        <v>1.61E-2</v>
      </c>
      <c r="M1105" s="11">
        <v>0.18390000000000001</v>
      </c>
      <c r="N1105">
        <v>88.48</v>
      </c>
      <c r="O1105">
        <v>80.17</v>
      </c>
      <c r="P1105">
        <v>4</v>
      </c>
      <c r="Q1105" t="s">
        <v>25</v>
      </c>
      <c r="R1105">
        <v>21.13</v>
      </c>
      <c r="S1105">
        <v>1.61</v>
      </c>
      <c r="T1105" s="4">
        <v>16.416</v>
      </c>
      <c r="U1105" s="4">
        <v>26.095334999999999</v>
      </c>
      <c r="V1105" t="str">
        <f>IF(Table1[[#This Row],[ai_disruption_intensity]]&gt;70,"High",
IF(Table1[[#This Row],[ai_disruption_intensity]]&gt;40,"Medium","Low"))</f>
        <v>Low</v>
      </c>
      <c r="W1105" t="str">
        <f>IF(Table1[[#This Row],[skill_gap_index]]&gt;70,"Large Gap",
IF(Table1[[#This Row],[skill_gap_index]]&gt;40,"Medium Gap","Small Gap"))</f>
        <v>Small Gap</v>
      </c>
      <c r="X1105" s="3" t="str">
        <f>IF(Table1[[#This Row],[automation_risk_percent]]&gt;0.7,"Highly Automatable",
IF(Table1[[#This Row],[automation_risk_percent]]&gt;0.4,"Moderate Risk","Safe Job"))</f>
        <v>Safe Job</v>
      </c>
    </row>
    <row r="1106" spans="1:24" x14ac:dyDescent="0.3">
      <c r="A1106">
        <v>3881</v>
      </c>
      <c r="B1106" t="s">
        <v>26</v>
      </c>
      <c r="C1106" t="s">
        <v>33</v>
      </c>
      <c r="D1106" t="s">
        <v>24</v>
      </c>
      <c r="E1106" s="1">
        <v>2025</v>
      </c>
      <c r="F1106" s="11">
        <v>0.19359999999999999</v>
      </c>
      <c r="G1106">
        <v>20.37</v>
      </c>
      <c r="H1106">
        <v>0.74</v>
      </c>
      <c r="I1106" s="2">
        <v>77525.03</v>
      </c>
      <c r="J1106" s="2">
        <v>90850.97</v>
      </c>
      <c r="K1106" s="2">
        <f>Table1[[#This Row],[Salary_after]]-Table1[[#This Row],[Salary_before]]</f>
        <v>13325.940000000002</v>
      </c>
      <c r="L1106" s="11">
        <v>0.17190000000000003</v>
      </c>
      <c r="M1106" s="11">
        <v>-5.5599999999999997E-2</v>
      </c>
      <c r="N1106">
        <v>75.88</v>
      </c>
      <c r="O1106">
        <v>77.319999999999993</v>
      </c>
      <c r="P1106">
        <v>5</v>
      </c>
      <c r="Q1106" t="s">
        <v>21</v>
      </c>
      <c r="R1106">
        <v>10.049999999999899</v>
      </c>
      <c r="S1106">
        <v>17.190000000000001</v>
      </c>
      <c r="T1106" s="4">
        <v>13.122999999999999</v>
      </c>
      <c r="U1106" s="4">
        <v>14.969151999999999</v>
      </c>
      <c r="V1106" t="str">
        <f>IF(Table1[[#This Row],[ai_disruption_intensity]]&gt;70,"High",
IF(Table1[[#This Row],[ai_disruption_intensity]]&gt;40,"Medium","Low"))</f>
        <v>Low</v>
      </c>
      <c r="W1106" t="str">
        <f>IF(Table1[[#This Row],[skill_gap_index]]&gt;70,"Large Gap",
IF(Table1[[#This Row],[skill_gap_index]]&gt;40,"Medium Gap","Small Gap"))</f>
        <v>Small Gap</v>
      </c>
      <c r="X1106" s="3" t="str">
        <f>IF(Table1[[#This Row],[automation_risk_percent]]&gt;0.7,"Highly Automatable",
IF(Table1[[#This Row],[automation_risk_percent]]&gt;0.4,"Moderate Risk","Safe Job"))</f>
        <v>Safe Job</v>
      </c>
    </row>
    <row r="1107" spans="1:24" x14ac:dyDescent="0.3">
      <c r="A1107">
        <v>3882</v>
      </c>
      <c r="B1107" t="s">
        <v>18</v>
      </c>
      <c r="C1107" t="s">
        <v>23</v>
      </c>
      <c r="D1107" t="s">
        <v>32</v>
      </c>
      <c r="E1107" s="1">
        <v>2026</v>
      </c>
      <c r="F1107" s="11">
        <v>0.61499999999999999</v>
      </c>
      <c r="G1107">
        <v>56.32</v>
      </c>
      <c r="H1107">
        <v>68.61</v>
      </c>
      <c r="I1107" s="2">
        <v>95881.14</v>
      </c>
      <c r="J1107" s="2">
        <v>97735.28</v>
      </c>
      <c r="K1107" s="2">
        <f>Table1[[#This Row],[Salary_after]]-Table1[[#This Row],[Salary_before]]</f>
        <v>1854.1399999999994</v>
      </c>
      <c r="L1107" s="11">
        <v>1.9299999999999998E-2</v>
      </c>
      <c r="M1107" s="11">
        <v>3.9100000000000003E-2</v>
      </c>
      <c r="N1107">
        <v>36.11</v>
      </c>
      <c r="O1107">
        <v>43.8</v>
      </c>
      <c r="P1107">
        <v>5</v>
      </c>
      <c r="Q1107" t="s">
        <v>37</v>
      </c>
      <c r="R1107">
        <v>65.055000000000007</v>
      </c>
      <c r="S1107">
        <v>1.93</v>
      </c>
      <c r="T1107" s="4">
        <v>45.762</v>
      </c>
      <c r="U1107" s="4">
        <v>26.936999999999902</v>
      </c>
      <c r="V1107" t="str">
        <f>IF(Table1[[#This Row],[ai_disruption_intensity]]&gt;70,"High",
IF(Table1[[#This Row],[ai_disruption_intensity]]&gt;40,"Medium","Low"))</f>
        <v>Low</v>
      </c>
      <c r="W1107" t="str">
        <f>IF(Table1[[#This Row],[skill_gap_index]]&gt;70,"Large Gap",
IF(Table1[[#This Row],[skill_gap_index]]&gt;40,"Medium Gap","Small Gap"))</f>
        <v>Medium Gap</v>
      </c>
      <c r="X1107" s="3" t="str">
        <f>IF(Table1[[#This Row],[automation_risk_percent]]&gt;0.7,"Highly Automatable",
IF(Table1[[#This Row],[automation_risk_percent]]&gt;0.4,"Moderate Risk","Safe Job"))</f>
        <v>Moderate Risk</v>
      </c>
    </row>
    <row r="1108" spans="1:24" x14ac:dyDescent="0.3">
      <c r="A1108">
        <v>3886</v>
      </c>
      <c r="B1108" t="s">
        <v>22</v>
      </c>
      <c r="C1108" t="s">
        <v>27</v>
      </c>
      <c r="D1108" t="s">
        <v>24</v>
      </c>
      <c r="E1108" s="1">
        <v>2026</v>
      </c>
      <c r="F1108" s="11">
        <v>0.64659999999999995</v>
      </c>
      <c r="G1108">
        <v>56.85</v>
      </c>
      <c r="H1108">
        <v>72.8</v>
      </c>
      <c r="I1108" s="2">
        <v>31904.19</v>
      </c>
      <c r="J1108" s="2">
        <v>29404.53</v>
      </c>
      <c r="K1108" s="2">
        <f>Table1[[#This Row],[Salary_after]]-Table1[[#This Row],[Salary_before]]</f>
        <v>-2499.66</v>
      </c>
      <c r="L1108" s="11">
        <v>-7.8299999999999995E-2</v>
      </c>
      <c r="M1108" s="11">
        <v>-3.9300000000000002E-2</v>
      </c>
      <c r="N1108">
        <v>24.18</v>
      </c>
      <c r="O1108">
        <v>48.11</v>
      </c>
      <c r="P1108">
        <v>1</v>
      </c>
      <c r="Q1108" t="s">
        <v>37</v>
      </c>
      <c r="R1108">
        <v>68.729999999999905</v>
      </c>
      <c r="S1108">
        <v>7.83</v>
      </c>
      <c r="T1108" s="4">
        <v>50.052999999999997</v>
      </c>
      <c r="U1108" s="4">
        <v>31.107925999999999</v>
      </c>
      <c r="V1108" t="str">
        <f>IF(Table1[[#This Row],[ai_disruption_intensity]]&gt;70,"High",
IF(Table1[[#This Row],[ai_disruption_intensity]]&gt;40,"Medium","Low"))</f>
        <v>Low</v>
      </c>
      <c r="W1108" t="str">
        <f>IF(Table1[[#This Row],[skill_gap_index]]&gt;70,"Large Gap",
IF(Table1[[#This Row],[skill_gap_index]]&gt;40,"Medium Gap","Small Gap"))</f>
        <v>Large Gap</v>
      </c>
      <c r="X1108" s="3" t="str">
        <f>IF(Table1[[#This Row],[automation_risk_percent]]&gt;0.7,"Highly Automatable",
IF(Table1[[#This Row],[automation_risk_percent]]&gt;0.4,"Moderate Risk","Safe Job"))</f>
        <v>Moderate Risk</v>
      </c>
    </row>
    <row r="1109" spans="1:24" x14ac:dyDescent="0.3">
      <c r="A1109">
        <v>3891</v>
      </c>
      <c r="B1109" t="s">
        <v>18</v>
      </c>
      <c r="C1109" t="s">
        <v>33</v>
      </c>
      <c r="D1109" t="s">
        <v>42</v>
      </c>
      <c r="E1109" s="1">
        <v>2025</v>
      </c>
      <c r="F1109" s="11">
        <v>0.25379999999999997</v>
      </c>
      <c r="G1109">
        <v>20.41</v>
      </c>
      <c r="H1109">
        <v>50.81</v>
      </c>
      <c r="I1109" s="2">
        <v>117175.39</v>
      </c>
      <c r="J1109" s="2">
        <v>131943.92000000001</v>
      </c>
      <c r="K1109" s="2">
        <f>Table1[[#This Row],[Salary_after]]-Table1[[#This Row],[Salary_before]]</f>
        <v>14768.530000000013</v>
      </c>
      <c r="L1109" s="11">
        <v>0.126</v>
      </c>
      <c r="M1109" s="11">
        <v>-2.6099999999999998E-2</v>
      </c>
      <c r="N1109">
        <v>49.46</v>
      </c>
      <c r="O1109">
        <v>17.170000000000002</v>
      </c>
      <c r="P1109">
        <v>1</v>
      </c>
      <c r="Q1109" t="s">
        <v>21</v>
      </c>
      <c r="R1109">
        <v>38.094999999999999</v>
      </c>
      <c r="S1109">
        <v>12.6</v>
      </c>
      <c r="T1109" s="4">
        <v>29.175000000000001</v>
      </c>
      <c r="U1109" s="4">
        <v>4.3577459999999997</v>
      </c>
      <c r="V1109" t="str">
        <f>IF(Table1[[#This Row],[ai_disruption_intensity]]&gt;70,"High",
IF(Table1[[#This Row],[ai_disruption_intensity]]&gt;40,"Medium","Low"))</f>
        <v>Low</v>
      </c>
      <c r="W1109" t="str">
        <f>IF(Table1[[#This Row],[skill_gap_index]]&gt;70,"Large Gap",
IF(Table1[[#This Row],[skill_gap_index]]&gt;40,"Medium Gap","Small Gap"))</f>
        <v>Medium Gap</v>
      </c>
      <c r="X1109" s="3" t="str">
        <f>IF(Table1[[#This Row],[automation_risk_percent]]&gt;0.7,"Highly Automatable",
IF(Table1[[#This Row],[automation_risk_percent]]&gt;0.4,"Moderate Risk","Safe Job"))</f>
        <v>Safe Job</v>
      </c>
    </row>
    <row r="1110" spans="1:24" x14ac:dyDescent="0.3">
      <c r="A1110">
        <v>3894</v>
      </c>
      <c r="B1110" t="s">
        <v>39</v>
      </c>
      <c r="C1110" t="s">
        <v>23</v>
      </c>
      <c r="D1110" t="s">
        <v>35</v>
      </c>
      <c r="E1110" s="1">
        <v>2026</v>
      </c>
      <c r="F1110" s="11">
        <v>0.77480000000000004</v>
      </c>
      <c r="G1110">
        <v>82.23</v>
      </c>
      <c r="H1110">
        <v>78.290000000000006</v>
      </c>
      <c r="I1110" s="2">
        <v>69061.19</v>
      </c>
      <c r="J1110" s="2">
        <v>66049.56</v>
      </c>
      <c r="K1110" s="2">
        <f>Table1[[#This Row],[Salary_after]]-Table1[[#This Row],[Salary_before]]</f>
        <v>-3011.6300000000047</v>
      </c>
      <c r="L1110" s="11">
        <v>-4.36E-2</v>
      </c>
      <c r="M1110" s="11">
        <v>-1.37E-2</v>
      </c>
      <c r="N1110">
        <v>33.08</v>
      </c>
      <c r="O1110">
        <v>58.31</v>
      </c>
      <c r="P1110">
        <v>2</v>
      </c>
      <c r="Q1110" t="s">
        <v>37</v>
      </c>
      <c r="R1110">
        <v>77.885000000000005</v>
      </c>
      <c r="S1110">
        <v>4.3600000000000003</v>
      </c>
      <c r="T1110" s="4">
        <v>55.786999999999999</v>
      </c>
      <c r="U1110" s="4">
        <v>45.178587999999998</v>
      </c>
      <c r="V1110" t="str">
        <f>IF(Table1[[#This Row],[ai_disruption_intensity]]&gt;70,"High",
IF(Table1[[#This Row],[ai_disruption_intensity]]&gt;40,"Medium","Low"))</f>
        <v>Medium</v>
      </c>
      <c r="W1110" t="str">
        <f>IF(Table1[[#This Row],[skill_gap_index]]&gt;70,"Large Gap",
IF(Table1[[#This Row],[skill_gap_index]]&gt;40,"Medium Gap","Small Gap"))</f>
        <v>Large Gap</v>
      </c>
      <c r="X1110" s="3" t="str">
        <f>IF(Table1[[#This Row],[automation_risk_percent]]&gt;0.7,"Highly Automatable",
IF(Table1[[#This Row],[automation_risk_percent]]&gt;0.4,"Moderate Risk","Safe Job"))</f>
        <v>Highly Automatable</v>
      </c>
    </row>
    <row r="1111" spans="1:24" x14ac:dyDescent="0.3">
      <c r="A1111">
        <v>3900</v>
      </c>
      <c r="B1111" t="s">
        <v>29</v>
      </c>
      <c r="C1111" t="s">
        <v>19</v>
      </c>
      <c r="D1111" t="s">
        <v>42</v>
      </c>
      <c r="E1111" s="1">
        <v>2026</v>
      </c>
      <c r="F1111" s="11">
        <v>0.90560000000000007</v>
      </c>
      <c r="G1111">
        <v>89.22</v>
      </c>
      <c r="H1111">
        <v>20.43</v>
      </c>
      <c r="I1111" s="2">
        <v>48167.22</v>
      </c>
      <c r="J1111" s="2">
        <v>51067.14</v>
      </c>
      <c r="K1111" s="2">
        <f>Table1[[#This Row],[Salary_after]]-Table1[[#This Row],[Salary_before]]</f>
        <v>2899.9199999999983</v>
      </c>
      <c r="L1111" s="11">
        <v>6.0199999999999997E-2</v>
      </c>
      <c r="M1111" s="11">
        <v>1.6799999999999999E-2</v>
      </c>
      <c r="N1111">
        <v>58.06</v>
      </c>
      <c r="O1111">
        <v>63.24</v>
      </c>
      <c r="P1111">
        <v>1</v>
      </c>
      <c r="Q1111" t="s">
        <v>37</v>
      </c>
      <c r="R1111">
        <v>55.494999999999997</v>
      </c>
      <c r="S1111">
        <v>6.02</v>
      </c>
      <c r="T1111" s="4">
        <v>44.158999999999999</v>
      </c>
      <c r="U1111" s="4">
        <v>57.270144000000002</v>
      </c>
      <c r="V1111" t="str">
        <f>IF(Table1[[#This Row],[ai_disruption_intensity]]&gt;70,"High",
IF(Table1[[#This Row],[ai_disruption_intensity]]&gt;40,"Medium","Low"))</f>
        <v>Medium</v>
      </c>
      <c r="W1111" t="str">
        <f>IF(Table1[[#This Row],[skill_gap_index]]&gt;70,"Large Gap",
IF(Table1[[#This Row],[skill_gap_index]]&gt;40,"Medium Gap","Small Gap"))</f>
        <v>Small Gap</v>
      </c>
      <c r="X1111" s="3" t="str">
        <f>IF(Table1[[#This Row],[automation_risk_percent]]&gt;0.7,"Highly Automatable",
IF(Table1[[#This Row],[automation_risk_percent]]&gt;0.4,"Moderate Risk","Safe Job"))</f>
        <v>Highly Automatable</v>
      </c>
    </row>
    <row r="1112" spans="1:24" x14ac:dyDescent="0.3">
      <c r="A1112">
        <v>3915</v>
      </c>
      <c r="B1112" t="s">
        <v>44</v>
      </c>
      <c r="C1112" t="s">
        <v>23</v>
      </c>
      <c r="D1112" t="s">
        <v>28</v>
      </c>
      <c r="E1112" s="1">
        <v>2026</v>
      </c>
      <c r="F1112" s="11">
        <v>0.753</v>
      </c>
      <c r="G1112">
        <v>76.17</v>
      </c>
      <c r="H1112">
        <v>27.63</v>
      </c>
      <c r="I1112" s="2">
        <v>142213.07999999999</v>
      </c>
      <c r="J1112" s="2">
        <v>137914.14000000001</v>
      </c>
      <c r="K1112" s="2">
        <f>Table1[[#This Row],[Salary_after]]-Table1[[#This Row],[Salary_before]]</f>
        <v>-4298.9399999999732</v>
      </c>
      <c r="L1112" s="11">
        <v>-3.0200000000000001E-2</v>
      </c>
      <c r="M1112" s="11">
        <v>0.28249999999999997</v>
      </c>
      <c r="N1112">
        <v>62.21</v>
      </c>
      <c r="O1112">
        <v>74.83</v>
      </c>
      <c r="P1112">
        <v>5</v>
      </c>
      <c r="Q1112" t="s">
        <v>37</v>
      </c>
      <c r="R1112">
        <v>51.464999999999897</v>
      </c>
      <c r="S1112">
        <v>3.02</v>
      </c>
      <c r="T1112" s="4">
        <v>39.314999999999998</v>
      </c>
      <c r="U1112" s="4">
        <v>56.346989999999998</v>
      </c>
      <c r="V1112" t="str">
        <f>IF(Table1[[#This Row],[ai_disruption_intensity]]&gt;70,"High",
IF(Table1[[#This Row],[ai_disruption_intensity]]&gt;40,"Medium","Low"))</f>
        <v>Medium</v>
      </c>
      <c r="W1112" t="str">
        <f>IF(Table1[[#This Row],[skill_gap_index]]&gt;70,"Large Gap",
IF(Table1[[#This Row],[skill_gap_index]]&gt;40,"Medium Gap","Small Gap"))</f>
        <v>Small Gap</v>
      </c>
      <c r="X1112" s="3" t="str">
        <f>IF(Table1[[#This Row],[automation_risk_percent]]&gt;0.7,"Highly Automatable",
IF(Table1[[#This Row],[automation_risk_percent]]&gt;0.4,"Moderate Risk","Safe Job"))</f>
        <v>Highly Automatable</v>
      </c>
    </row>
    <row r="1113" spans="1:24" x14ac:dyDescent="0.3">
      <c r="A1113">
        <v>3916</v>
      </c>
      <c r="B1113" t="s">
        <v>39</v>
      </c>
      <c r="C1113" t="s">
        <v>40</v>
      </c>
      <c r="D1113" t="s">
        <v>36</v>
      </c>
      <c r="E1113" s="1">
        <v>2025</v>
      </c>
      <c r="F1113" s="11">
        <v>0.2082</v>
      </c>
      <c r="G1113">
        <v>23.86</v>
      </c>
      <c r="H1113">
        <v>95.95</v>
      </c>
      <c r="I1113" s="2">
        <v>98039.96</v>
      </c>
      <c r="J1113" s="2">
        <v>106146.24000000001</v>
      </c>
      <c r="K1113" s="2">
        <f>Table1[[#This Row],[Salary_after]]-Table1[[#This Row],[Salary_before]]</f>
        <v>8106.2799999999988</v>
      </c>
      <c r="L1113" s="11">
        <v>8.2699999999999996E-2</v>
      </c>
      <c r="M1113" s="11">
        <v>9.1899999999999996E-2</v>
      </c>
      <c r="N1113">
        <v>43.73</v>
      </c>
      <c r="O1113">
        <v>99.28</v>
      </c>
      <c r="P1113">
        <v>4</v>
      </c>
      <c r="Q1113" t="s">
        <v>21</v>
      </c>
      <c r="R1113">
        <v>58.384999999999998</v>
      </c>
      <c r="S1113">
        <v>8.27</v>
      </c>
      <c r="T1113" s="4">
        <v>39.594000000000001</v>
      </c>
      <c r="U1113" s="4">
        <v>20.670095999999901</v>
      </c>
      <c r="V1113" t="str">
        <f>IF(Table1[[#This Row],[ai_disruption_intensity]]&gt;70,"High",
IF(Table1[[#This Row],[ai_disruption_intensity]]&gt;40,"Medium","Low"))</f>
        <v>Low</v>
      </c>
      <c r="W1113" t="str">
        <f>IF(Table1[[#This Row],[skill_gap_index]]&gt;70,"Large Gap",
IF(Table1[[#This Row],[skill_gap_index]]&gt;40,"Medium Gap","Small Gap"))</f>
        <v>Large Gap</v>
      </c>
      <c r="X1113" s="3" t="str">
        <f>IF(Table1[[#This Row],[automation_risk_percent]]&gt;0.7,"Highly Automatable",
IF(Table1[[#This Row],[automation_risk_percent]]&gt;0.4,"Moderate Risk","Safe Job"))</f>
        <v>Safe Job</v>
      </c>
    </row>
    <row r="1114" spans="1:24" x14ac:dyDescent="0.3">
      <c r="A1114">
        <v>3919</v>
      </c>
      <c r="B1114" t="s">
        <v>18</v>
      </c>
      <c r="C1114" t="s">
        <v>38</v>
      </c>
      <c r="D1114" t="s">
        <v>32</v>
      </c>
      <c r="E1114" s="1">
        <v>2026</v>
      </c>
      <c r="F1114" s="11">
        <v>0.17710000000000001</v>
      </c>
      <c r="G1114">
        <v>20.239999999999998</v>
      </c>
      <c r="H1114">
        <v>10.83</v>
      </c>
      <c r="I1114" s="2">
        <v>46573.38</v>
      </c>
      <c r="J1114" s="2">
        <v>48618.11</v>
      </c>
      <c r="K1114" s="2">
        <f>Table1[[#This Row],[Salary_after]]-Table1[[#This Row],[Salary_before]]</f>
        <v>2044.7300000000032</v>
      </c>
      <c r="L1114" s="11">
        <v>4.3899999999999995E-2</v>
      </c>
      <c r="M1114" s="11">
        <v>-0.10349999999999999</v>
      </c>
      <c r="N1114">
        <v>89.22</v>
      </c>
      <c r="O1114">
        <v>41.82</v>
      </c>
      <c r="P1114">
        <v>4</v>
      </c>
      <c r="Q1114" t="s">
        <v>21</v>
      </c>
      <c r="R1114">
        <v>14.27</v>
      </c>
      <c r="S1114">
        <v>4.3899999999999997</v>
      </c>
      <c r="T1114" s="4">
        <v>11.65</v>
      </c>
      <c r="U1114" s="4">
        <v>7.4063220000000003</v>
      </c>
      <c r="V1114" t="str">
        <f>IF(Table1[[#This Row],[ai_disruption_intensity]]&gt;70,"High",
IF(Table1[[#This Row],[ai_disruption_intensity]]&gt;40,"Medium","Low"))</f>
        <v>Low</v>
      </c>
      <c r="W1114" t="str">
        <f>IF(Table1[[#This Row],[skill_gap_index]]&gt;70,"Large Gap",
IF(Table1[[#This Row],[skill_gap_index]]&gt;40,"Medium Gap","Small Gap"))</f>
        <v>Small Gap</v>
      </c>
      <c r="X1114" s="3" t="str">
        <f>IF(Table1[[#This Row],[automation_risk_percent]]&gt;0.7,"Highly Automatable",
IF(Table1[[#This Row],[automation_risk_percent]]&gt;0.4,"Moderate Risk","Safe Job"))</f>
        <v>Safe Job</v>
      </c>
    </row>
    <row r="1115" spans="1:24" x14ac:dyDescent="0.3">
      <c r="A1115">
        <v>3924</v>
      </c>
      <c r="B1115" t="s">
        <v>22</v>
      </c>
      <c r="C1115" t="s">
        <v>23</v>
      </c>
      <c r="D1115" t="s">
        <v>20</v>
      </c>
      <c r="E1115" s="1">
        <v>2026</v>
      </c>
      <c r="F1115" s="11">
        <v>0.75249999999999995</v>
      </c>
      <c r="G1115">
        <v>63.23</v>
      </c>
      <c r="H1115">
        <v>44.09</v>
      </c>
      <c r="I1115" s="2">
        <v>32684.98</v>
      </c>
      <c r="J1115" s="2">
        <v>34806.04</v>
      </c>
      <c r="K1115" s="2">
        <f>Table1[[#This Row],[Salary_after]]-Table1[[#This Row],[Salary_before]]</f>
        <v>2121.0600000000013</v>
      </c>
      <c r="L1115" s="11">
        <v>6.4899999999999999E-2</v>
      </c>
      <c r="M1115" s="11">
        <v>0.17449999999999999</v>
      </c>
      <c r="N1115">
        <v>72.97</v>
      </c>
      <c r="O1115">
        <v>47.23</v>
      </c>
      <c r="P1115">
        <v>1</v>
      </c>
      <c r="Q1115" t="s">
        <v>37</v>
      </c>
      <c r="R1115">
        <v>59.67</v>
      </c>
      <c r="S1115">
        <v>6.49</v>
      </c>
      <c r="T1115" s="4">
        <v>45.274000000000001</v>
      </c>
      <c r="U1115" s="4">
        <v>35.540574999999997</v>
      </c>
      <c r="V1115" t="str">
        <f>IF(Table1[[#This Row],[ai_disruption_intensity]]&gt;70,"High",
IF(Table1[[#This Row],[ai_disruption_intensity]]&gt;40,"Medium","Low"))</f>
        <v>Low</v>
      </c>
      <c r="W1115" t="str">
        <f>IF(Table1[[#This Row],[skill_gap_index]]&gt;70,"Large Gap",
IF(Table1[[#This Row],[skill_gap_index]]&gt;40,"Medium Gap","Small Gap"))</f>
        <v>Medium Gap</v>
      </c>
      <c r="X1115" s="3" t="str">
        <f>IF(Table1[[#This Row],[automation_risk_percent]]&gt;0.7,"Highly Automatable",
IF(Table1[[#This Row],[automation_risk_percent]]&gt;0.4,"Moderate Risk","Safe Job"))</f>
        <v>Highly Automatable</v>
      </c>
    </row>
    <row r="1116" spans="1:24" x14ac:dyDescent="0.3">
      <c r="A1116">
        <v>3927</v>
      </c>
      <c r="B1116" t="s">
        <v>22</v>
      </c>
      <c r="C1116" t="s">
        <v>34</v>
      </c>
      <c r="D1116" t="s">
        <v>28</v>
      </c>
      <c r="E1116" s="1">
        <v>2026</v>
      </c>
      <c r="F1116" s="11">
        <v>0.58440000000000003</v>
      </c>
      <c r="G1116">
        <v>49.21</v>
      </c>
      <c r="H1116">
        <v>40.81</v>
      </c>
      <c r="I1116" s="2">
        <v>110890.75</v>
      </c>
      <c r="J1116" s="2">
        <v>132089.34</v>
      </c>
      <c r="K1116" s="2">
        <f>Table1[[#This Row],[Salary_after]]-Table1[[#This Row],[Salary_before]]</f>
        <v>21198.589999999997</v>
      </c>
      <c r="L1116" s="11">
        <v>0.19120000000000001</v>
      </c>
      <c r="M1116" s="11">
        <v>0.1699</v>
      </c>
      <c r="N1116">
        <v>61.04</v>
      </c>
      <c r="O1116">
        <v>79.81</v>
      </c>
      <c r="P1116">
        <v>5</v>
      </c>
      <c r="Q1116" t="s">
        <v>25</v>
      </c>
      <c r="R1116">
        <v>49.625</v>
      </c>
      <c r="S1116">
        <v>19.12</v>
      </c>
      <c r="T1116" s="4">
        <v>41.354999999999997</v>
      </c>
      <c r="U1116" s="4">
        <v>46.640963999999997</v>
      </c>
      <c r="V1116" t="str">
        <f>IF(Table1[[#This Row],[ai_disruption_intensity]]&gt;70,"High",
IF(Table1[[#This Row],[ai_disruption_intensity]]&gt;40,"Medium","Low"))</f>
        <v>Medium</v>
      </c>
      <c r="W1116" t="str">
        <f>IF(Table1[[#This Row],[skill_gap_index]]&gt;70,"Large Gap",
IF(Table1[[#This Row],[skill_gap_index]]&gt;40,"Medium Gap","Small Gap"))</f>
        <v>Medium Gap</v>
      </c>
      <c r="X1116" s="3" t="str">
        <f>IF(Table1[[#This Row],[automation_risk_percent]]&gt;0.7,"Highly Automatable",
IF(Table1[[#This Row],[automation_risk_percent]]&gt;0.4,"Moderate Risk","Safe Job"))</f>
        <v>Moderate Risk</v>
      </c>
    </row>
    <row r="1117" spans="1:24" x14ac:dyDescent="0.3">
      <c r="A1117">
        <v>3930</v>
      </c>
      <c r="B1117" t="s">
        <v>18</v>
      </c>
      <c r="C1117" t="s">
        <v>33</v>
      </c>
      <c r="D1117" t="s">
        <v>35</v>
      </c>
      <c r="E1117" s="1">
        <v>2025</v>
      </c>
      <c r="F1117" s="11">
        <v>0.46700000000000003</v>
      </c>
      <c r="G1117">
        <v>47.86</v>
      </c>
      <c r="H1117">
        <v>60.15</v>
      </c>
      <c r="I1117" s="2">
        <v>95839.44</v>
      </c>
      <c r="J1117" s="2">
        <v>103527.6</v>
      </c>
      <c r="K1117" s="2">
        <f>Table1[[#This Row],[Salary_after]]-Table1[[#This Row],[Salary_before]]</f>
        <v>7688.1600000000035</v>
      </c>
      <c r="L1117" s="11">
        <v>8.0199999999999994E-2</v>
      </c>
      <c r="M1117" s="11">
        <v>-2.7099999999999999E-2</v>
      </c>
      <c r="N1117">
        <v>17.899999999999999</v>
      </c>
      <c r="O1117">
        <v>19.84</v>
      </c>
      <c r="P1117">
        <v>5</v>
      </c>
      <c r="Q1117" t="s">
        <v>25</v>
      </c>
      <c r="R1117">
        <v>53.424999999999997</v>
      </c>
      <c r="S1117">
        <v>8.02</v>
      </c>
      <c r="T1117" s="4">
        <v>39.131</v>
      </c>
      <c r="U1117" s="4">
        <v>9.2652800000000006</v>
      </c>
      <c r="V1117" t="str">
        <f>IF(Table1[[#This Row],[ai_disruption_intensity]]&gt;70,"High",
IF(Table1[[#This Row],[ai_disruption_intensity]]&gt;40,"Medium","Low"))</f>
        <v>Low</v>
      </c>
      <c r="W1117" t="str">
        <f>IF(Table1[[#This Row],[skill_gap_index]]&gt;70,"Large Gap",
IF(Table1[[#This Row],[skill_gap_index]]&gt;40,"Medium Gap","Small Gap"))</f>
        <v>Medium Gap</v>
      </c>
      <c r="X1117" s="3" t="str">
        <f>IF(Table1[[#This Row],[automation_risk_percent]]&gt;0.7,"Highly Automatable",
IF(Table1[[#This Row],[automation_risk_percent]]&gt;0.4,"Moderate Risk","Safe Job"))</f>
        <v>Moderate Risk</v>
      </c>
    </row>
    <row r="1118" spans="1:24" x14ac:dyDescent="0.3">
      <c r="A1118">
        <v>3941</v>
      </c>
      <c r="B1118" t="s">
        <v>45</v>
      </c>
      <c r="C1118" t="s">
        <v>40</v>
      </c>
      <c r="D1118" t="s">
        <v>28</v>
      </c>
      <c r="E1118" s="1">
        <v>2026</v>
      </c>
      <c r="F1118" s="11">
        <v>0.4551</v>
      </c>
      <c r="G1118">
        <v>52.87</v>
      </c>
      <c r="H1118">
        <v>5.64</v>
      </c>
      <c r="I1118" s="2">
        <v>127581.5</v>
      </c>
      <c r="J1118" s="2">
        <v>122757.33</v>
      </c>
      <c r="K1118" s="2">
        <f>Table1[[#This Row],[Salary_after]]-Table1[[#This Row],[Salary_before]]</f>
        <v>-4824.1699999999983</v>
      </c>
      <c r="L1118" s="11">
        <v>-3.78E-2</v>
      </c>
      <c r="M1118" s="11">
        <v>-6.4899999999999999E-2</v>
      </c>
      <c r="N1118">
        <v>27.28</v>
      </c>
      <c r="O1118">
        <v>70.260000000000005</v>
      </c>
      <c r="P1118">
        <v>2</v>
      </c>
      <c r="Q1118" t="s">
        <v>25</v>
      </c>
      <c r="R1118">
        <v>25.574999999999999</v>
      </c>
      <c r="S1118">
        <v>3.78</v>
      </c>
      <c r="T1118" s="4">
        <v>21.03</v>
      </c>
      <c r="U1118" s="4">
        <v>31.975325999999999</v>
      </c>
      <c r="V1118" t="str">
        <f>IF(Table1[[#This Row],[ai_disruption_intensity]]&gt;70,"High",
IF(Table1[[#This Row],[ai_disruption_intensity]]&gt;40,"Medium","Low"))</f>
        <v>Low</v>
      </c>
      <c r="W1118" t="str">
        <f>IF(Table1[[#This Row],[skill_gap_index]]&gt;70,"Large Gap",
IF(Table1[[#This Row],[skill_gap_index]]&gt;40,"Medium Gap","Small Gap"))</f>
        <v>Small Gap</v>
      </c>
      <c r="X1118" s="3" t="str">
        <f>IF(Table1[[#This Row],[automation_risk_percent]]&gt;0.7,"Highly Automatable",
IF(Table1[[#This Row],[automation_risk_percent]]&gt;0.4,"Moderate Risk","Safe Job"))</f>
        <v>Moderate Risk</v>
      </c>
    </row>
    <row r="1119" spans="1:24" x14ac:dyDescent="0.3">
      <c r="A1119">
        <v>3943</v>
      </c>
      <c r="B1119" t="s">
        <v>46</v>
      </c>
      <c r="C1119" t="s">
        <v>19</v>
      </c>
      <c r="D1119" t="s">
        <v>31</v>
      </c>
      <c r="E1119" s="1">
        <v>2026</v>
      </c>
      <c r="F1119" s="11">
        <v>0.30070000000000002</v>
      </c>
      <c r="G1119">
        <v>32.5</v>
      </c>
      <c r="H1119">
        <v>69.14</v>
      </c>
      <c r="I1119" s="2">
        <v>115131.23</v>
      </c>
      <c r="J1119" s="2">
        <v>127504.86</v>
      </c>
      <c r="K1119" s="2">
        <f>Table1[[#This Row],[Salary_after]]-Table1[[#This Row],[Salary_before]]</f>
        <v>12373.630000000005</v>
      </c>
      <c r="L1119" s="11">
        <v>0.1075</v>
      </c>
      <c r="M1119" s="11">
        <v>-7.6700000000000004E-2</v>
      </c>
      <c r="N1119">
        <v>43.07</v>
      </c>
      <c r="O1119">
        <v>94.45</v>
      </c>
      <c r="P1119">
        <v>5</v>
      </c>
      <c r="Q1119" t="s">
        <v>25</v>
      </c>
      <c r="R1119">
        <v>49.604999999999997</v>
      </c>
      <c r="S1119">
        <v>10.75</v>
      </c>
      <c r="T1119" s="4">
        <v>35.994999999999997</v>
      </c>
      <c r="U1119" s="4">
        <v>28.401115000000001</v>
      </c>
      <c r="V1119" t="str">
        <f>IF(Table1[[#This Row],[ai_disruption_intensity]]&gt;70,"High",
IF(Table1[[#This Row],[ai_disruption_intensity]]&gt;40,"Medium","Low"))</f>
        <v>Low</v>
      </c>
      <c r="W1119" t="str">
        <f>IF(Table1[[#This Row],[skill_gap_index]]&gt;70,"Large Gap",
IF(Table1[[#This Row],[skill_gap_index]]&gt;40,"Medium Gap","Small Gap"))</f>
        <v>Medium Gap</v>
      </c>
      <c r="X1119" s="3" t="str">
        <f>IF(Table1[[#This Row],[automation_risk_percent]]&gt;0.7,"Highly Automatable",
IF(Table1[[#This Row],[automation_risk_percent]]&gt;0.4,"Moderate Risk","Safe Job"))</f>
        <v>Safe Job</v>
      </c>
    </row>
    <row r="1120" spans="1:24" x14ac:dyDescent="0.3">
      <c r="A1120">
        <v>3944</v>
      </c>
      <c r="B1120" t="s">
        <v>26</v>
      </c>
      <c r="C1120" t="s">
        <v>34</v>
      </c>
      <c r="D1120" t="s">
        <v>47</v>
      </c>
      <c r="E1120" s="1">
        <v>2025</v>
      </c>
      <c r="F1120" s="11">
        <v>0.2404</v>
      </c>
      <c r="G1120">
        <v>25.03</v>
      </c>
      <c r="H1120">
        <v>75.010000000000005</v>
      </c>
      <c r="I1120" s="2">
        <v>138768.89000000001</v>
      </c>
      <c r="J1120" s="2">
        <v>111152.26</v>
      </c>
      <c r="K1120" s="2">
        <f>Table1[[#This Row],[Salary_after]]-Table1[[#This Row],[Salary_before]]</f>
        <v>-27616.630000000019</v>
      </c>
      <c r="L1120" s="11">
        <v>-0.19899999999999998</v>
      </c>
      <c r="M1120" s="11">
        <v>-3.85E-2</v>
      </c>
      <c r="N1120">
        <v>48.7</v>
      </c>
      <c r="O1120">
        <v>32.369999999999997</v>
      </c>
      <c r="P1120">
        <v>5</v>
      </c>
      <c r="Q1120" t="s">
        <v>21</v>
      </c>
      <c r="R1120">
        <v>49.524999999999999</v>
      </c>
      <c r="S1120">
        <v>19.899999999999999</v>
      </c>
      <c r="T1120" s="4">
        <v>38.088999999999999</v>
      </c>
      <c r="U1120" s="4">
        <v>7.7817479999999897</v>
      </c>
      <c r="V1120" t="str">
        <f>IF(Table1[[#This Row],[ai_disruption_intensity]]&gt;70,"High",
IF(Table1[[#This Row],[ai_disruption_intensity]]&gt;40,"Medium","Low"))</f>
        <v>Low</v>
      </c>
      <c r="W1120" t="str">
        <f>IF(Table1[[#This Row],[skill_gap_index]]&gt;70,"Large Gap",
IF(Table1[[#This Row],[skill_gap_index]]&gt;40,"Medium Gap","Small Gap"))</f>
        <v>Large Gap</v>
      </c>
      <c r="X1120" s="3" t="str">
        <f>IF(Table1[[#This Row],[automation_risk_percent]]&gt;0.7,"Highly Automatable",
IF(Table1[[#This Row],[automation_risk_percent]]&gt;0.4,"Moderate Risk","Safe Job"))</f>
        <v>Safe Job</v>
      </c>
    </row>
    <row r="1121" spans="1:24" x14ac:dyDescent="0.3">
      <c r="A1121">
        <v>3951</v>
      </c>
      <c r="B1121" t="s">
        <v>46</v>
      </c>
      <c r="C1121" t="s">
        <v>27</v>
      </c>
      <c r="D1121" t="s">
        <v>20</v>
      </c>
      <c r="E1121" s="1">
        <v>2026</v>
      </c>
      <c r="F1121" s="11">
        <v>0.40289999999999998</v>
      </c>
      <c r="G1121">
        <v>44.18</v>
      </c>
      <c r="H1121">
        <v>6.34</v>
      </c>
      <c r="I1121" s="2">
        <v>145763.71</v>
      </c>
      <c r="J1121" s="2">
        <v>141727.79999999999</v>
      </c>
      <c r="K1121" s="2">
        <f>Table1[[#This Row],[Salary_after]]-Table1[[#This Row],[Salary_before]]</f>
        <v>-4035.9100000000035</v>
      </c>
      <c r="L1121" s="11">
        <v>-2.7699999999999999E-2</v>
      </c>
      <c r="M1121" s="11">
        <v>6.0899999999999996E-2</v>
      </c>
      <c r="N1121">
        <v>17.5</v>
      </c>
      <c r="O1121">
        <v>7.67</v>
      </c>
      <c r="P1121">
        <v>1</v>
      </c>
      <c r="Q1121" t="s">
        <v>25</v>
      </c>
      <c r="R1121">
        <v>23.314999999999898</v>
      </c>
      <c r="S1121">
        <v>2.77</v>
      </c>
      <c r="T1121" s="4">
        <v>18.849</v>
      </c>
      <c r="U1121" s="4">
        <v>3.0902429999999899</v>
      </c>
      <c r="V1121" t="str">
        <f>IF(Table1[[#This Row],[ai_disruption_intensity]]&gt;70,"High",
IF(Table1[[#This Row],[ai_disruption_intensity]]&gt;40,"Medium","Low"))</f>
        <v>Low</v>
      </c>
      <c r="W1121" t="str">
        <f>IF(Table1[[#This Row],[skill_gap_index]]&gt;70,"Large Gap",
IF(Table1[[#This Row],[skill_gap_index]]&gt;40,"Medium Gap","Small Gap"))</f>
        <v>Small Gap</v>
      </c>
      <c r="X1121" s="3" t="str">
        <f>IF(Table1[[#This Row],[automation_risk_percent]]&gt;0.7,"Highly Automatable",
IF(Table1[[#This Row],[automation_risk_percent]]&gt;0.4,"Moderate Risk","Safe Job"))</f>
        <v>Moderate Risk</v>
      </c>
    </row>
    <row r="1122" spans="1:24" x14ac:dyDescent="0.3">
      <c r="A1122">
        <v>3953</v>
      </c>
      <c r="B1122" t="s">
        <v>41</v>
      </c>
      <c r="C1122" t="s">
        <v>30</v>
      </c>
      <c r="D1122" t="s">
        <v>32</v>
      </c>
      <c r="E1122" s="1">
        <v>2026</v>
      </c>
      <c r="F1122" s="11">
        <v>0.7641</v>
      </c>
      <c r="G1122">
        <v>71.849999999999994</v>
      </c>
      <c r="H1122">
        <v>30.49</v>
      </c>
      <c r="I1122" s="2">
        <v>54216.49</v>
      </c>
      <c r="J1122" s="2">
        <v>51167.9</v>
      </c>
      <c r="K1122" s="2">
        <f>Table1[[#This Row],[Salary_after]]-Table1[[#This Row],[Salary_before]]</f>
        <v>-3048.5899999999965</v>
      </c>
      <c r="L1122" s="11">
        <v>-5.62E-2</v>
      </c>
      <c r="M1122" s="11">
        <v>0.1244</v>
      </c>
      <c r="N1122">
        <v>35.479999999999997</v>
      </c>
      <c r="O1122">
        <v>99.9</v>
      </c>
      <c r="P1122">
        <v>2</v>
      </c>
      <c r="Q1122" t="s">
        <v>37</v>
      </c>
      <c r="R1122">
        <v>53.449999999999903</v>
      </c>
      <c r="S1122">
        <v>5.62</v>
      </c>
      <c r="T1122" s="4">
        <v>41.396999999999998</v>
      </c>
      <c r="U1122" s="4">
        <v>76.333590000000001</v>
      </c>
      <c r="V1122" t="str">
        <f>IF(Table1[[#This Row],[ai_disruption_intensity]]&gt;70,"High",
IF(Table1[[#This Row],[ai_disruption_intensity]]&gt;40,"Medium","Low"))</f>
        <v>High</v>
      </c>
      <c r="W1122" t="str">
        <f>IF(Table1[[#This Row],[skill_gap_index]]&gt;70,"Large Gap",
IF(Table1[[#This Row],[skill_gap_index]]&gt;40,"Medium Gap","Small Gap"))</f>
        <v>Small Gap</v>
      </c>
      <c r="X1122" s="3" t="str">
        <f>IF(Table1[[#This Row],[automation_risk_percent]]&gt;0.7,"Highly Automatable",
IF(Table1[[#This Row],[automation_risk_percent]]&gt;0.4,"Moderate Risk","Safe Job"))</f>
        <v>Highly Automatable</v>
      </c>
    </row>
    <row r="1123" spans="1:24" x14ac:dyDescent="0.3">
      <c r="A1123">
        <v>3957</v>
      </c>
      <c r="B1123" t="s">
        <v>45</v>
      </c>
      <c r="C1123" t="s">
        <v>27</v>
      </c>
      <c r="D1123" t="s">
        <v>42</v>
      </c>
      <c r="E1123" s="1">
        <v>2025</v>
      </c>
      <c r="F1123" s="11">
        <v>0.78749999999999998</v>
      </c>
      <c r="G1123">
        <v>65.34</v>
      </c>
      <c r="H1123">
        <v>49.04</v>
      </c>
      <c r="I1123" s="2">
        <v>117964.59</v>
      </c>
      <c r="J1123" s="2">
        <v>112884.14</v>
      </c>
      <c r="K1123" s="2">
        <f>Table1[[#This Row],[Salary_after]]-Table1[[#This Row],[Salary_before]]</f>
        <v>-5080.4499999999971</v>
      </c>
      <c r="L1123" s="11">
        <v>-4.3099999999999999E-2</v>
      </c>
      <c r="M1123" s="11">
        <v>0.1643</v>
      </c>
      <c r="N1123">
        <v>22.97</v>
      </c>
      <c r="O1123">
        <v>49.32</v>
      </c>
      <c r="P1123">
        <v>4</v>
      </c>
      <c r="Q1123" t="s">
        <v>37</v>
      </c>
      <c r="R1123">
        <v>63.894999999999897</v>
      </c>
      <c r="S1123">
        <v>4.3099999999999996</v>
      </c>
      <c r="T1123" s="4">
        <v>47.505000000000003</v>
      </c>
      <c r="U1123" s="4">
        <v>38.839500000000001</v>
      </c>
      <c r="V1123" t="str">
        <f>IF(Table1[[#This Row],[ai_disruption_intensity]]&gt;70,"High",
IF(Table1[[#This Row],[ai_disruption_intensity]]&gt;40,"Medium","Low"))</f>
        <v>Low</v>
      </c>
      <c r="W1123" t="str">
        <f>IF(Table1[[#This Row],[skill_gap_index]]&gt;70,"Large Gap",
IF(Table1[[#This Row],[skill_gap_index]]&gt;40,"Medium Gap","Small Gap"))</f>
        <v>Medium Gap</v>
      </c>
      <c r="X1123" s="3" t="str">
        <f>IF(Table1[[#This Row],[automation_risk_percent]]&gt;0.7,"Highly Automatable",
IF(Table1[[#This Row],[automation_risk_percent]]&gt;0.4,"Moderate Risk","Safe Job"))</f>
        <v>Highly Automatable</v>
      </c>
    </row>
    <row r="1124" spans="1:24" x14ac:dyDescent="0.3">
      <c r="A1124">
        <v>3959</v>
      </c>
      <c r="B1124" t="s">
        <v>18</v>
      </c>
      <c r="C1124" t="s">
        <v>23</v>
      </c>
      <c r="D1124" t="s">
        <v>24</v>
      </c>
      <c r="E1124" s="1">
        <v>2025</v>
      </c>
      <c r="F1124" s="11">
        <v>0.2273</v>
      </c>
      <c r="G1124">
        <v>24.87</v>
      </c>
      <c r="H1124">
        <v>19.899999999999999</v>
      </c>
      <c r="I1124" s="2">
        <v>104010.4</v>
      </c>
      <c r="J1124" s="2">
        <v>113467.22</v>
      </c>
      <c r="K1124" s="2">
        <f>Table1[[#This Row],[Salary_after]]-Table1[[#This Row],[Salary_before]]</f>
        <v>9456.820000000007</v>
      </c>
      <c r="L1124" s="11">
        <v>9.0899999999999995E-2</v>
      </c>
      <c r="M1124" s="11">
        <v>-7.7600000000000002E-2</v>
      </c>
      <c r="N1124">
        <v>58.64</v>
      </c>
      <c r="O1124">
        <v>42.34</v>
      </c>
      <c r="P1124">
        <v>1</v>
      </c>
      <c r="Q1124" t="s">
        <v>21</v>
      </c>
      <c r="R1124">
        <v>21.314999999999898</v>
      </c>
      <c r="S1124">
        <v>9.09</v>
      </c>
      <c r="T1124" s="4">
        <v>17.789000000000001</v>
      </c>
      <c r="U1124" s="4">
        <v>9.623882</v>
      </c>
      <c r="V1124" t="str">
        <f>IF(Table1[[#This Row],[ai_disruption_intensity]]&gt;70,"High",
IF(Table1[[#This Row],[ai_disruption_intensity]]&gt;40,"Medium","Low"))</f>
        <v>Low</v>
      </c>
      <c r="W1124" t="str">
        <f>IF(Table1[[#This Row],[skill_gap_index]]&gt;70,"Large Gap",
IF(Table1[[#This Row],[skill_gap_index]]&gt;40,"Medium Gap","Small Gap"))</f>
        <v>Small Gap</v>
      </c>
      <c r="X1124" s="3" t="str">
        <f>IF(Table1[[#This Row],[automation_risk_percent]]&gt;0.7,"Highly Automatable",
IF(Table1[[#This Row],[automation_risk_percent]]&gt;0.4,"Moderate Risk","Safe Job"))</f>
        <v>Safe Job</v>
      </c>
    </row>
    <row r="1125" spans="1:24" x14ac:dyDescent="0.3">
      <c r="A1125">
        <v>3962</v>
      </c>
      <c r="B1125" t="s">
        <v>44</v>
      </c>
      <c r="C1125" t="s">
        <v>40</v>
      </c>
      <c r="D1125" t="s">
        <v>35</v>
      </c>
      <c r="E1125" s="1">
        <v>2025</v>
      </c>
      <c r="F1125" s="11">
        <v>0.17649999999999999</v>
      </c>
      <c r="G1125">
        <v>15.47</v>
      </c>
      <c r="H1125">
        <v>63.05</v>
      </c>
      <c r="I1125" s="2">
        <v>78980.69</v>
      </c>
      <c r="J1125" s="2">
        <v>75149.98</v>
      </c>
      <c r="K1125" s="2">
        <f>Table1[[#This Row],[Salary_after]]-Table1[[#This Row],[Salary_before]]</f>
        <v>-3830.7100000000064</v>
      </c>
      <c r="L1125" s="11">
        <v>-4.8499999999999995E-2</v>
      </c>
      <c r="M1125" s="11">
        <v>8.4000000000000005E-2</v>
      </c>
      <c r="N1125">
        <v>27.24</v>
      </c>
      <c r="O1125">
        <v>55.85</v>
      </c>
      <c r="P1125">
        <v>5</v>
      </c>
      <c r="Q1125" t="s">
        <v>21</v>
      </c>
      <c r="R1125">
        <v>40.349999999999902</v>
      </c>
      <c r="S1125">
        <v>4.8499999999999996</v>
      </c>
      <c r="T1125" s="4">
        <v>27.4299999999999</v>
      </c>
      <c r="U1125" s="4">
        <v>9.8575249999999901</v>
      </c>
      <c r="V1125" t="str">
        <f>IF(Table1[[#This Row],[ai_disruption_intensity]]&gt;70,"High",
IF(Table1[[#This Row],[ai_disruption_intensity]]&gt;40,"Medium","Low"))</f>
        <v>Low</v>
      </c>
      <c r="W1125" t="str">
        <f>IF(Table1[[#This Row],[skill_gap_index]]&gt;70,"Large Gap",
IF(Table1[[#This Row],[skill_gap_index]]&gt;40,"Medium Gap","Small Gap"))</f>
        <v>Medium Gap</v>
      </c>
      <c r="X1125" s="3" t="str">
        <f>IF(Table1[[#This Row],[automation_risk_percent]]&gt;0.7,"Highly Automatable",
IF(Table1[[#This Row],[automation_risk_percent]]&gt;0.4,"Moderate Risk","Safe Job"))</f>
        <v>Safe Job</v>
      </c>
    </row>
    <row r="1126" spans="1:24" x14ac:dyDescent="0.3">
      <c r="A1126">
        <v>3963</v>
      </c>
      <c r="B1126" t="s">
        <v>45</v>
      </c>
      <c r="C1126" t="s">
        <v>34</v>
      </c>
      <c r="D1126" t="s">
        <v>47</v>
      </c>
      <c r="E1126" s="1">
        <v>2025</v>
      </c>
      <c r="F1126" s="11">
        <v>0.45049999999999996</v>
      </c>
      <c r="G1126">
        <v>40.840000000000003</v>
      </c>
      <c r="H1126">
        <v>40.83</v>
      </c>
      <c r="I1126" s="2">
        <v>34197.75</v>
      </c>
      <c r="J1126" s="2">
        <v>37841.24</v>
      </c>
      <c r="K1126" s="2">
        <f>Table1[[#This Row],[Salary_after]]-Table1[[#This Row],[Salary_before]]</f>
        <v>3643.489999999998</v>
      </c>
      <c r="L1126" s="11">
        <v>0.1065</v>
      </c>
      <c r="M1126" s="11">
        <v>7.2499999999999995E-2</v>
      </c>
      <c r="N1126">
        <v>33.42</v>
      </c>
      <c r="O1126">
        <v>3.39</v>
      </c>
      <c r="P1126">
        <v>4</v>
      </c>
      <c r="Q1126" t="s">
        <v>25</v>
      </c>
      <c r="R1126">
        <v>42.94</v>
      </c>
      <c r="S1126">
        <v>10.65</v>
      </c>
      <c r="T1126" s="4">
        <v>33.463999999999999</v>
      </c>
      <c r="U1126" s="4">
        <v>1.5271949999999901</v>
      </c>
      <c r="V1126" t="str">
        <f>IF(Table1[[#This Row],[ai_disruption_intensity]]&gt;70,"High",
IF(Table1[[#This Row],[ai_disruption_intensity]]&gt;40,"Medium","Low"))</f>
        <v>Low</v>
      </c>
      <c r="W1126" t="str">
        <f>IF(Table1[[#This Row],[skill_gap_index]]&gt;70,"Large Gap",
IF(Table1[[#This Row],[skill_gap_index]]&gt;40,"Medium Gap","Small Gap"))</f>
        <v>Medium Gap</v>
      </c>
      <c r="X1126" s="3" t="str">
        <f>IF(Table1[[#This Row],[automation_risk_percent]]&gt;0.7,"Highly Automatable",
IF(Table1[[#This Row],[automation_risk_percent]]&gt;0.4,"Moderate Risk","Safe Job"))</f>
        <v>Moderate Risk</v>
      </c>
    </row>
    <row r="1127" spans="1:24" x14ac:dyDescent="0.3">
      <c r="A1127">
        <v>3973</v>
      </c>
      <c r="B1127" t="s">
        <v>22</v>
      </c>
      <c r="C1127" t="s">
        <v>38</v>
      </c>
      <c r="D1127" t="s">
        <v>28</v>
      </c>
      <c r="E1127" s="1">
        <v>2025</v>
      </c>
      <c r="F1127" s="11">
        <v>0.68129999999999991</v>
      </c>
      <c r="G1127">
        <v>63.55</v>
      </c>
      <c r="H1127">
        <v>79.430000000000007</v>
      </c>
      <c r="I1127" s="2">
        <v>38379.58</v>
      </c>
      <c r="J1127" s="2">
        <v>43388.01</v>
      </c>
      <c r="K1127" s="2">
        <f>Table1[[#This Row],[Salary_after]]-Table1[[#This Row],[Salary_before]]</f>
        <v>5008.43</v>
      </c>
      <c r="L1127" s="11">
        <v>0.1305</v>
      </c>
      <c r="M1127" s="11">
        <v>0.16440000000000002</v>
      </c>
      <c r="N1127">
        <v>54.23</v>
      </c>
      <c r="O1127">
        <v>68.709999999999994</v>
      </c>
      <c r="P1127">
        <v>5</v>
      </c>
      <c r="Q1127" t="s">
        <v>37</v>
      </c>
      <c r="R1127">
        <v>73.78</v>
      </c>
      <c r="S1127">
        <v>13.05</v>
      </c>
      <c r="T1127" s="4">
        <v>54.996000000000002</v>
      </c>
      <c r="U1127" s="4">
        <v>46.8121229999999</v>
      </c>
      <c r="V1127" t="str">
        <f>IF(Table1[[#This Row],[ai_disruption_intensity]]&gt;70,"High",
IF(Table1[[#This Row],[ai_disruption_intensity]]&gt;40,"Medium","Low"))</f>
        <v>Medium</v>
      </c>
      <c r="W1127" t="str">
        <f>IF(Table1[[#This Row],[skill_gap_index]]&gt;70,"Large Gap",
IF(Table1[[#This Row],[skill_gap_index]]&gt;40,"Medium Gap","Small Gap"))</f>
        <v>Large Gap</v>
      </c>
      <c r="X1127" s="3" t="str">
        <f>IF(Table1[[#This Row],[automation_risk_percent]]&gt;0.7,"Highly Automatable",
IF(Table1[[#This Row],[automation_risk_percent]]&gt;0.4,"Moderate Risk","Safe Job"))</f>
        <v>Moderate Risk</v>
      </c>
    </row>
    <row r="1128" spans="1:24" x14ac:dyDescent="0.3">
      <c r="A1128">
        <v>3975</v>
      </c>
      <c r="B1128" t="s">
        <v>43</v>
      </c>
      <c r="C1128" t="s">
        <v>40</v>
      </c>
      <c r="D1128" t="s">
        <v>32</v>
      </c>
      <c r="E1128" s="1">
        <v>2026</v>
      </c>
      <c r="F1128" s="11">
        <v>0.35100000000000003</v>
      </c>
      <c r="G1128">
        <v>32.26</v>
      </c>
      <c r="H1128">
        <v>38.65</v>
      </c>
      <c r="I1128" s="2">
        <v>140126.14000000001</v>
      </c>
      <c r="J1128" s="2">
        <v>149901.54999999999</v>
      </c>
      <c r="K1128" s="2">
        <f>Table1[[#This Row],[Salary_after]]-Table1[[#This Row],[Salary_before]]</f>
        <v>9775.4099999999744</v>
      </c>
      <c r="L1128" s="11">
        <v>6.9800000000000001E-2</v>
      </c>
      <c r="M1128" s="11">
        <v>2.7900000000000001E-2</v>
      </c>
      <c r="N1128">
        <v>48.1</v>
      </c>
      <c r="O1128">
        <v>85.48</v>
      </c>
      <c r="P1128">
        <v>5</v>
      </c>
      <c r="Q1128" t="s">
        <v>25</v>
      </c>
      <c r="R1128">
        <v>36.875</v>
      </c>
      <c r="S1128">
        <v>6.98</v>
      </c>
      <c r="T1128" s="4">
        <v>27.728999999999999</v>
      </c>
      <c r="U1128" s="4">
        <v>30.00348</v>
      </c>
      <c r="V1128" t="str">
        <f>IF(Table1[[#This Row],[ai_disruption_intensity]]&gt;70,"High",
IF(Table1[[#This Row],[ai_disruption_intensity]]&gt;40,"Medium","Low"))</f>
        <v>Low</v>
      </c>
      <c r="W1128" t="str">
        <f>IF(Table1[[#This Row],[skill_gap_index]]&gt;70,"Large Gap",
IF(Table1[[#This Row],[skill_gap_index]]&gt;40,"Medium Gap","Small Gap"))</f>
        <v>Small Gap</v>
      </c>
      <c r="X1128" s="3" t="str">
        <f>IF(Table1[[#This Row],[automation_risk_percent]]&gt;0.7,"Highly Automatable",
IF(Table1[[#This Row],[automation_risk_percent]]&gt;0.4,"Moderate Risk","Safe Job"))</f>
        <v>Safe Job</v>
      </c>
    </row>
    <row r="1129" spans="1:24" x14ac:dyDescent="0.3">
      <c r="A1129">
        <v>3978</v>
      </c>
      <c r="B1129" t="s">
        <v>26</v>
      </c>
      <c r="C1129" t="s">
        <v>34</v>
      </c>
      <c r="D1129" t="s">
        <v>47</v>
      </c>
      <c r="E1129" s="1">
        <v>2025</v>
      </c>
      <c r="F1129" s="11">
        <v>0.50880000000000003</v>
      </c>
      <c r="G1129">
        <v>45.13</v>
      </c>
      <c r="H1129">
        <v>18.21</v>
      </c>
      <c r="I1129" s="2">
        <v>75164.98</v>
      </c>
      <c r="J1129" s="2">
        <v>78519.25</v>
      </c>
      <c r="K1129" s="2">
        <f>Table1[[#This Row],[Salary_after]]-Table1[[#This Row],[Salary_before]]</f>
        <v>3354.2700000000041</v>
      </c>
      <c r="L1129" s="11">
        <v>4.4600000000000001E-2</v>
      </c>
      <c r="M1129" s="11">
        <v>0.16500000000000001</v>
      </c>
      <c r="N1129">
        <v>96.18</v>
      </c>
      <c r="O1129">
        <v>90.45</v>
      </c>
      <c r="P1129">
        <v>5</v>
      </c>
      <c r="Q1129" t="s">
        <v>25</v>
      </c>
      <c r="R1129">
        <v>34.545000000000002</v>
      </c>
      <c r="S1129">
        <v>4.46</v>
      </c>
      <c r="T1129" s="4">
        <v>27.152999999999999</v>
      </c>
      <c r="U1129" s="4">
        <v>46.020960000000002</v>
      </c>
      <c r="V1129" t="str">
        <f>IF(Table1[[#This Row],[ai_disruption_intensity]]&gt;70,"High",
IF(Table1[[#This Row],[ai_disruption_intensity]]&gt;40,"Medium","Low"))</f>
        <v>Medium</v>
      </c>
      <c r="W1129" t="str">
        <f>IF(Table1[[#This Row],[skill_gap_index]]&gt;70,"Large Gap",
IF(Table1[[#This Row],[skill_gap_index]]&gt;40,"Medium Gap","Small Gap"))</f>
        <v>Small Gap</v>
      </c>
      <c r="X1129" s="3" t="str">
        <f>IF(Table1[[#This Row],[automation_risk_percent]]&gt;0.7,"Highly Automatable",
IF(Table1[[#This Row],[automation_risk_percent]]&gt;0.4,"Moderate Risk","Safe Job"))</f>
        <v>Moderate Risk</v>
      </c>
    </row>
    <row r="1130" spans="1:24" x14ac:dyDescent="0.3">
      <c r="A1130">
        <v>3983</v>
      </c>
      <c r="B1130" t="s">
        <v>44</v>
      </c>
      <c r="C1130" t="s">
        <v>23</v>
      </c>
      <c r="D1130" t="s">
        <v>35</v>
      </c>
      <c r="E1130" s="1">
        <v>2026</v>
      </c>
      <c r="F1130" s="11">
        <v>0.63180000000000003</v>
      </c>
      <c r="G1130">
        <v>71.19</v>
      </c>
      <c r="H1130">
        <v>33.72</v>
      </c>
      <c r="I1130" s="2">
        <v>126187.47</v>
      </c>
      <c r="J1130" s="2">
        <v>118996.94</v>
      </c>
      <c r="K1130" s="2">
        <f>Table1[[#This Row],[Salary_after]]-Table1[[#This Row],[Salary_before]]</f>
        <v>-7190.5299999999988</v>
      </c>
      <c r="L1130" s="11">
        <v>-5.7000000000000002E-2</v>
      </c>
      <c r="M1130" s="11">
        <v>0.1173</v>
      </c>
      <c r="N1130">
        <v>74.53</v>
      </c>
      <c r="O1130">
        <v>18.649999999999999</v>
      </c>
      <c r="P1130">
        <v>3</v>
      </c>
      <c r="Q1130" t="s">
        <v>37</v>
      </c>
      <c r="R1130">
        <v>48.45</v>
      </c>
      <c r="S1130">
        <v>5.7</v>
      </c>
      <c r="T1130" s="4">
        <v>37.097999999999999</v>
      </c>
      <c r="U1130" s="4">
        <v>11.78307</v>
      </c>
      <c r="V1130" t="str">
        <f>IF(Table1[[#This Row],[ai_disruption_intensity]]&gt;70,"High",
IF(Table1[[#This Row],[ai_disruption_intensity]]&gt;40,"Medium","Low"))</f>
        <v>Low</v>
      </c>
      <c r="W1130" t="str">
        <f>IF(Table1[[#This Row],[skill_gap_index]]&gt;70,"Large Gap",
IF(Table1[[#This Row],[skill_gap_index]]&gt;40,"Medium Gap","Small Gap"))</f>
        <v>Small Gap</v>
      </c>
      <c r="X1130" s="3" t="str">
        <f>IF(Table1[[#This Row],[automation_risk_percent]]&gt;0.7,"Highly Automatable",
IF(Table1[[#This Row],[automation_risk_percent]]&gt;0.4,"Moderate Risk","Safe Job"))</f>
        <v>Moderate Risk</v>
      </c>
    </row>
    <row r="1131" spans="1:24" x14ac:dyDescent="0.3">
      <c r="A1131">
        <v>3985</v>
      </c>
      <c r="B1131" t="s">
        <v>26</v>
      </c>
      <c r="C1131" t="s">
        <v>38</v>
      </c>
      <c r="D1131" t="s">
        <v>47</v>
      </c>
      <c r="E1131" s="1">
        <v>2025</v>
      </c>
      <c r="F1131" s="11">
        <v>0.61270000000000002</v>
      </c>
      <c r="G1131">
        <v>67.86</v>
      </c>
      <c r="H1131">
        <v>84.3</v>
      </c>
      <c r="I1131" s="2">
        <v>51123.02</v>
      </c>
      <c r="J1131" s="2">
        <v>45759.86</v>
      </c>
      <c r="K1131" s="2">
        <f>Table1[[#This Row],[Salary_after]]-Table1[[#This Row],[Salary_before]]</f>
        <v>-5363.1599999999962</v>
      </c>
      <c r="L1131" s="11">
        <v>-0.10490000000000001</v>
      </c>
      <c r="M1131" s="11">
        <v>-2.9900000000000003E-2</v>
      </c>
      <c r="N1131">
        <v>76.819999999999993</v>
      </c>
      <c r="O1131">
        <v>15.36</v>
      </c>
      <c r="P1131">
        <v>1</v>
      </c>
      <c r="Q1131" t="s">
        <v>37</v>
      </c>
      <c r="R1131">
        <v>72.784999999999997</v>
      </c>
      <c r="S1131">
        <v>10.49</v>
      </c>
      <c r="T1131" s="4">
        <v>52.945</v>
      </c>
      <c r="U1131" s="4">
        <v>9.4110720000000008</v>
      </c>
      <c r="V1131" t="str">
        <f>IF(Table1[[#This Row],[ai_disruption_intensity]]&gt;70,"High",
IF(Table1[[#This Row],[ai_disruption_intensity]]&gt;40,"Medium","Low"))</f>
        <v>Low</v>
      </c>
      <c r="W1131" t="str">
        <f>IF(Table1[[#This Row],[skill_gap_index]]&gt;70,"Large Gap",
IF(Table1[[#This Row],[skill_gap_index]]&gt;40,"Medium Gap","Small Gap"))</f>
        <v>Large Gap</v>
      </c>
      <c r="X1131" s="3" t="str">
        <f>IF(Table1[[#This Row],[automation_risk_percent]]&gt;0.7,"Highly Automatable",
IF(Table1[[#This Row],[automation_risk_percent]]&gt;0.4,"Moderate Risk","Safe Job"))</f>
        <v>Moderate Risk</v>
      </c>
    </row>
    <row r="1132" spans="1:24" x14ac:dyDescent="0.3">
      <c r="A1132">
        <v>3992</v>
      </c>
      <c r="B1132" t="s">
        <v>45</v>
      </c>
      <c r="C1132" t="s">
        <v>30</v>
      </c>
      <c r="D1132" t="s">
        <v>24</v>
      </c>
      <c r="E1132" s="1">
        <v>2026</v>
      </c>
      <c r="F1132" s="11">
        <v>0.3826</v>
      </c>
      <c r="G1132">
        <v>33</v>
      </c>
      <c r="H1132">
        <v>49.67</v>
      </c>
      <c r="I1132" s="2">
        <v>94850.64</v>
      </c>
      <c r="J1132" s="2">
        <v>93695.52</v>
      </c>
      <c r="K1132" s="2">
        <f>Table1[[#This Row],[Salary_after]]-Table1[[#This Row],[Salary_before]]</f>
        <v>-1155.1199999999953</v>
      </c>
      <c r="L1132" s="11">
        <v>-1.2199999999999999E-2</v>
      </c>
      <c r="M1132" s="11">
        <v>0.1118</v>
      </c>
      <c r="N1132">
        <v>61.03</v>
      </c>
      <c r="O1132">
        <v>88.53</v>
      </c>
      <c r="P1132">
        <v>3</v>
      </c>
      <c r="Q1132" t="s">
        <v>25</v>
      </c>
      <c r="R1132">
        <v>43.965000000000003</v>
      </c>
      <c r="S1132">
        <v>1.22</v>
      </c>
      <c r="T1132" s="4">
        <v>30.570999999999898</v>
      </c>
      <c r="U1132" s="4">
        <v>33.871578</v>
      </c>
      <c r="V1132" t="str">
        <f>IF(Table1[[#This Row],[ai_disruption_intensity]]&gt;70,"High",
IF(Table1[[#This Row],[ai_disruption_intensity]]&gt;40,"Medium","Low"))</f>
        <v>Low</v>
      </c>
      <c r="W1132" t="str">
        <f>IF(Table1[[#This Row],[skill_gap_index]]&gt;70,"Large Gap",
IF(Table1[[#This Row],[skill_gap_index]]&gt;40,"Medium Gap","Small Gap"))</f>
        <v>Medium Gap</v>
      </c>
      <c r="X1132" s="3" t="str">
        <f>IF(Table1[[#This Row],[automation_risk_percent]]&gt;0.7,"Highly Automatable",
IF(Table1[[#This Row],[automation_risk_percent]]&gt;0.4,"Moderate Risk","Safe Job"))</f>
        <v>Safe Job</v>
      </c>
    </row>
    <row r="1133" spans="1:24" x14ac:dyDescent="0.3">
      <c r="A1133">
        <v>3993</v>
      </c>
      <c r="B1133" t="s">
        <v>18</v>
      </c>
      <c r="C1133" t="s">
        <v>27</v>
      </c>
      <c r="D1133" t="s">
        <v>36</v>
      </c>
      <c r="E1133" s="1">
        <v>2025</v>
      </c>
      <c r="F1133" s="11">
        <v>0.32500000000000001</v>
      </c>
      <c r="G1133">
        <v>34.76</v>
      </c>
      <c r="H1133">
        <v>75.72</v>
      </c>
      <c r="I1133" s="2">
        <v>69663.39</v>
      </c>
      <c r="J1133" s="2">
        <v>69739.62</v>
      </c>
      <c r="K1133" s="2">
        <f>Table1[[#This Row],[Salary_after]]-Table1[[#This Row],[Salary_before]]</f>
        <v>76.229999999995925</v>
      </c>
      <c r="L1133" s="11">
        <v>1.1000000000000001E-3</v>
      </c>
      <c r="M1133" s="11">
        <v>-7.6200000000000004E-2</v>
      </c>
      <c r="N1133">
        <v>42.11</v>
      </c>
      <c r="O1133">
        <v>26.65</v>
      </c>
      <c r="P1133">
        <v>4</v>
      </c>
      <c r="Q1133" t="s">
        <v>25</v>
      </c>
      <c r="R1133">
        <v>54.11</v>
      </c>
      <c r="S1133">
        <v>0.11</v>
      </c>
      <c r="T1133" s="4">
        <v>35.748999999999903</v>
      </c>
      <c r="U1133" s="4">
        <v>8.6612500000000008</v>
      </c>
      <c r="V1133" t="str">
        <f>IF(Table1[[#This Row],[ai_disruption_intensity]]&gt;70,"High",
IF(Table1[[#This Row],[ai_disruption_intensity]]&gt;40,"Medium","Low"))</f>
        <v>Low</v>
      </c>
      <c r="W1133" t="str">
        <f>IF(Table1[[#This Row],[skill_gap_index]]&gt;70,"Large Gap",
IF(Table1[[#This Row],[skill_gap_index]]&gt;40,"Medium Gap","Small Gap"))</f>
        <v>Large Gap</v>
      </c>
      <c r="X1133" s="3" t="str">
        <f>IF(Table1[[#This Row],[automation_risk_percent]]&gt;0.7,"Highly Automatable",
IF(Table1[[#This Row],[automation_risk_percent]]&gt;0.4,"Moderate Risk","Safe Job"))</f>
        <v>Safe Job</v>
      </c>
    </row>
    <row r="1134" spans="1:24" x14ac:dyDescent="0.3">
      <c r="A1134">
        <v>3996</v>
      </c>
      <c r="B1134" t="s">
        <v>45</v>
      </c>
      <c r="C1134" t="s">
        <v>38</v>
      </c>
      <c r="D1134" t="s">
        <v>35</v>
      </c>
      <c r="E1134" s="1">
        <v>2025</v>
      </c>
      <c r="F1134" s="11">
        <v>0.48399999999999999</v>
      </c>
      <c r="G1134">
        <v>54.54</v>
      </c>
      <c r="H1134">
        <v>81.48</v>
      </c>
      <c r="I1134" s="2">
        <v>40407.519999999997</v>
      </c>
      <c r="J1134" s="2">
        <v>38852.629999999997</v>
      </c>
      <c r="K1134" s="2">
        <f>Table1[[#This Row],[Salary_after]]-Table1[[#This Row],[Salary_before]]</f>
        <v>-1554.8899999999994</v>
      </c>
      <c r="L1134" s="11">
        <v>-3.85E-2</v>
      </c>
      <c r="M1134" s="11">
        <v>0.29430000000000001</v>
      </c>
      <c r="N1134">
        <v>95.15</v>
      </c>
      <c r="O1134">
        <v>29.66</v>
      </c>
      <c r="P1134">
        <v>1</v>
      </c>
      <c r="Q1134" t="s">
        <v>25</v>
      </c>
      <c r="R1134">
        <v>64.94</v>
      </c>
      <c r="S1134">
        <v>3.85</v>
      </c>
      <c r="T1134" s="4">
        <v>44.959000000000003</v>
      </c>
      <c r="U1134" s="4">
        <v>14.3554399999999</v>
      </c>
      <c r="V1134" t="str">
        <f>IF(Table1[[#This Row],[ai_disruption_intensity]]&gt;70,"High",
IF(Table1[[#This Row],[ai_disruption_intensity]]&gt;40,"Medium","Low"))</f>
        <v>Low</v>
      </c>
      <c r="W1134" t="str">
        <f>IF(Table1[[#This Row],[skill_gap_index]]&gt;70,"Large Gap",
IF(Table1[[#This Row],[skill_gap_index]]&gt;40,"Medium Gap","Small Gap"))</f>
        <v>Large Gap</v>
      </c>
      <c r="X1134" s="3" t="str">
        <f>IF(Table1[[#This Row],[automation_risk_percent]]&gt;0.7,"Highly Automatable",
IF(Table1[[#This Row],[automation_risk_percent]]&gt;0.4,"Moderate Risk","Safe Job"))</f>
        <v>Moderate Risk</v>
      </c>
    </row>
    <row r="1135" spans="1:24" x14ac:dyDescent="0.3">
      <c r="A1135">
        <v>3998</v>
      </c>
      <c r="B1135" t="s">
        <v>26</v>
      </c>
      <c r="C1135" t="s">
        <v>30</v>
      </c>
      <c r="D1135" t="s">
        <v>32</v>
      </c>
      <c r="E1135" s="1">
        <v>2025</v>
      </c>
      <c r="F1135" s="11">
        <v>0.6825</v>
      </c>
      <c r="G1135">
        <v>58.2</v>
      </c>
      <c r="H1135">
        <v>39.14</v>
      </c>
      <c r="I1135" s="2">
        <v>81647.44</v>
      </c>
      <c r="J1135" s="2">
        <v>71593.240000000005</v>
      </c>
      <c r="K1135" s="2">
        <f>Table1[[#This Row],[Salary_after]]-Table1[[#This Row],[Salary_before]]</f>
        <v>-10054.199999999997</v>
      </c>
      <c r="L1135" s="11">
        <v>-0.1231</v>
      </c>
      <c r="M1135" s="11">
        <v>0.22399999999999998</v>
      </c>
      <c r="N1135">
        <v>18.73</v>
      </c>
      <c r="O1135">
        <v>94.74</v>
      </c>
      <c r="P1135">
        <v>5</v>
      </c>
      <c r="Q1135" t="s">
        <v>37</v>
      </c>
      <c r="R1135">
        <v>53.695</v>
      </c>
      <c r="S1135">
        <v>12.31</v>
      </c>
      <c r="T1135" s="4">
        <v>42.734999999999999</v>
      </c>
      <c r="U1135" s="4">
        <v>64.660049999999998</v>
      </c>
      <c r="V1135" t="str">
        <f>IF(Table1[[#This Row],[ai_disruption_intensity]]&gt;70,"High",
IF(Table1[[#This Row],[ai_disruption_intensity]]&gt;40,"Medium","Low"))</f>
        <v>Medium</v>
      </c>
      <c r="W1135" t="str">
        <f>IF(Table1[[#This Row],[skill_gap_index]]&gt;70,"Large Gap",
IF(Table1[[#This Row],[skill_gap_index]]&gt;40,"Medium Gap","Small Gap"))</f>
        <v>Small Gap</v>
      </c>
      <c r="X1135" s="3" t="str">
        <f>IF(Table1[[#This Row],[automation_risk_percent]]&gt;0.7,"Highly Automatable",
IF(Table1[[#This Row],[automation_risk_percent]]&gt;0.4,"Moderate Risk","Safe Job"))</f>
        <v>Moderate Risk</v>
      </c>
    </row>
    <row r="1136" spans="1:24" x14ac:dyDescent="0.3">
      <c r="A1136">
        <v>4001</v>
      </c>
      <c r="B1136" t="s">
        <v>41</v>
      </c>
      <c r="C1136" t="s">
        <v>30</v>
      </c>
      <c r="D1136" t="s">
        <v>36</v>
      </c>
      <c r="E1136" s="1">
        <v>2025</v>
      </c>
      <c r="F1136" s="11">
        <v>0.82189999999999996</v>
      </c>
      <c r="G1136">
        <v>71.06</v>
      </c>
      <c r="H1136">
        <v>32.6</v>
      </c>
      <c r="I1136" s="2">
        <v>88900.18</v>
      </c>
      <c r="J1136" s="2">
        <v>100511.42</v>
      </c>
      <c r="K1136" s="2">
        <f>Table1[[#This Row],[Salary_after]]-Table1[[#This Row],[Salary_before]]</f>
        <v>11611.240000000005</v>
      </c>
      <c r="L1136" s="11">
        <v>0.13059999999999999</v>
      </c>
      <c r="M1136" s="11">
        <v>0.25700000000000001</v>
      </c>
      <c r="N1136">
        <v>19.190000000000001</v>
      </c>
      <c r="O1136">
        <v>42.17</v>
      </c>
      <c r="P1136">
        <v>1</v>
      </c>
      <c r="Q1136" t="s">
        <v>37</v>
      </c>
      <c r="R1136">
        <v>57.394999999999897</v>
      </c>
      <c r="S1136">
        <v>13.06</v>
      </c>
      <c r="T1136" s="4">
        <v>46.573999999999998</v>
      </c>
      <c r="U1136" s="4">
        <v>34.659523</v>
      </c>
      <c r="V1136" t="str">
        <f>IF(Table1[[#This Row],[ai_disruption_intensity]]&gt;70,"High",
IF(Table1[[#This Row],[ai_disruption_intensity]]&gt;40,"Medium","Low"))</f>
        <v>Low</v>
      </c>
      <c r="W1136" t="str">
        <f>IF(Table1[[#This Row],[skill_gap_index]]&gt;70,"Large Gap",
IF(Table1[[#This Row],[skill_gap_index]]&gt;40,"Medium Gap","Small Gap"))</f>
        <v>Small Gap</v>
      </c>
      <c r="X1136" s="3" t="str">
        <f>IF(Table1[[#This Row],[automation_risk_percent]]&gt;0.7,"Highly Automatable",
IF(Table1[[#This Row],[automation_risk_percent]]&gt;0.4,"Moderate Risk","Safe Job"))</f>
        <v>Highly Automatable</v>
      </c>
    </row>
    <row r="1137" spans="1:24" x14ac:dyDescent="0.3">
      <c r="A1137">
        <v>4008</v>
      </c>
      <c r="B1137" t="s">
        <v>43</v>
      </c>
      <c r="C1137" t="s">
        <v>38</v>
      </c>
      <c r="D1137" t="s">
        <v>35</v>
      </c>
      <c r="E1137" s="1">
        <v>2026</v>
      </c>
      <c r="F1137" s="11">
        <v>0.2918</v>
      </c>
      <c r="G1137">
        <v>23.66</v>
      </c>
      <c r="H1137">
        <v>36.520000000000003</v>
      </c>
      <c r="I1137" s="2">
        <v>35423.54</v>
      </c>
      <c r="J1137" s="2">
        <v>38628.53</v>
      </c>
      <c r="K1137" s="2">
        <f>Table1[[#This Row],[Salary_after]]-Table1[[#This Row],[Salary_before]]</f>
        <v>3204.989999999998</v>
      </c>
      <c r="L1137" s="11">
        <v>9.0500000000000011E-2</v>
      </c>
      <c r="M1137" s="11">
        <v>0.1439</v>
      </c>
      <c r="N1137">
        <v>31.68</v>
      </c>
      <c r="O1137">
        <v>7.39</v>
      </c>
      <c r="P1137">
        <v>5</v>
      </c>
      <c r="Q1137" t="s">
        <v>21</v>
      </c>
      <c r="R1137">
        <v>32.85</v>
      </c>
      <c r="S1137">
        <v>9.0500000000000007</v>
      </c>
      <c r="T1137" s="4">
        <v>25.343</v>
      </c>
      <c r="U1137" s="4">
        <v>2.1564019999999999</v>
      </c>
      <c r="V1137" t="str">
        <f>IF(Table1[[#This Row],[ai_disruption_intensity]]&gt;70,"High",
IF(Table1[[#This Row],[ai_disruption_intensity]]&gt;40,"Medium","Low"))</f>
        <v>Low</v>
      </c>
      <c r="W1137" t="str">
        <f>IF(Table1[[#This Row],[skill_gap_index]]&gt;70,"Large Gap",
IF(Table1[[#This Row],[skill_gap_index]]&gt;40,"Medium Gap","Small Gap"))</f>
        <v>Small Gap</v>
      </c>
      <c r="X1137" s="3" t="str">
        <f>IF(Table1[[#This Row],[automation_risk_percent]]&gt;0.7,"Highly Automatable",
IF(Table1[[#This Row],[automation_risk_percent]]&gt;0.4,"Moderate Risk","Safe Job"))</f>
        <v>Safe Job</v>
      </c>
    </row>
    <row r="1138" spans="1:24" x14ac:dyDescent="0.3">
      <c r="A1138">
        <v>4013</v>
      </c>
      <c r="B1138" t="s">
        <v>18</v>
      </c>
      <c r="C1138" t="s">
        <v>40</v>
      </c>
      <c r="D1138" t="s">
        <v>35</v>
      </c>
      <c r="E1138" s="1">
        <v>2026</v>
      </c>
      <c r="F1138" s="11">
        <v>0.38100000000000001</v>
      </c>
      <c r="G1138">
        <v>43.03</v>
      </c>
      <c r="H1138">
        <v>24.99</v>
      </c>
      <c r="I1138" s="2">
        <v>46808.22</v>
      </c>
      <c r="J1138" s="2">
        <v>41620.99</v>
      </c>
      <c r="K1138" s="2">
        <f>Table1[[#This Row],[Salary_after]]-Table1[[#This Row],[Salary_before]]</f>
        <v>-5187.2300000000032</v>
      </c>
      <c r="L1138" s="11">
        <v>-0.1108</v>
      </c>
      <c r="M1138" s="11">
        <v>-7.8899999999999998E-2</v>
      </c>
      <c r="N1138">
        <v>45.76</v>
      </c>
      <c r="O1138">
        <v>37.299999999999997</v>
      </c>
      <c r="P1138">
        <v>3</v>
      </c>
      <c r="Q1138" t="s">
        <v>25</v>
      </c>
      <c r="R1138">
        <v>31.545000000000002</v>
      </c>
      <c r="S1138">
        <v>11.08</v>
      </c>
      <c r="T1138" s="4">
        <v>26.061</v>
      </c>
      <c r="U1138" s="4">
        <v>14.2113</v>
      </c>
      <c r="V1138" t="str">
        <f>IF(Table1[[#This Row],[ai_disruption_intensity]]&gt;70,"High",
IF(Table1[[#This Row],[ai_disruption_intensity]]&gt;40,"Medium","Low"))</f>
        <v>Low</v>
      </c>
      <c r="W1138" t="str">
        <f>IF(Table1[[#This Row],[skill_gap_index]]&gt;70,"Large Gap",
IF(Table1[[#This Row],[skill_gap_index]]&gt;40,"Medium Gap","Small Gap"))</f>
        <v>Small Gap</v>
      </c>
      <c r="X1138" s="3" t="str">
        <f>IF(Table1[[#This Row],[automation_risk_percent]]&gt;0.7,"Highly Automatable",
IF(Table1[[#This Row],[automation_risk_percent]]&gt;0.4,"Moderate Risk","Safe Job"))</f>
        <v>Safe Job</v>
      </c>
    </row>
    <row r="1139" spans="1:24" x14ac:dyDescent="0.3">
      <c r="A1139">
        <v>4014</v>
      </c>
      <c r="B1139" t="s">
        <v>29</v>
      </c>
      <c r="C1139" t="s">
        <v>34</v>
      </c>
      <c r="D1139" t="s">
        <v>28</v>
      </c>
      <c r="E1139" s="1">
        <v>2026</v>
      </c>
      <c r="F1139" s="11">
        <v>0.53780000000000006</v>
      </c>
      <c r="G1139">
        <v>58.3</v>
      </c>
      <c r="H1139">
        <v>24.56</v>
      </c>
      <c r="I1139" s="2">
        <v>32229.07</v>
      </c>
      <c r="J1139" s="2">
        <v>22748.48</v>
      </c>
      <c r="K1139" s="2">
        <f>Table1[[#This Row],[Salary_after]]-Table1[[#This Row],[Salary_before]]</f>
        <v>-9480.59</v>
      </c>
      <c r="L1139" s="11">
        <v>-0.29420000000000002</v>
      </c>
      <c r="M1139" s="11">
        <v>-8.6999999999999994E-3</v>
      </c>
      <c r="N1139">
        <v>15.41</v>
      </c>
      <c r="O1139">
        <v>13.38</v>
      </c>
      <c r="P1139">
        <v>5</v>
      </c>
      <c r="Q1139" t="s">
        <v>25</v>
      </c>
      <c r="R1139">
        <v>39.17</v>
      </c>
      <c r="S1139">
        <v>29.42</v>
      </c>
      <c r="T1139" s="4">
        <v>37.706000000000003</v>
      </c>
      <c r="U1139" s="4">
        <v>7.1957639999999996</v>
      </c>
      <c r="V1139" t="str">
        <f>IF(Table1[[#This Row],[ai_disruption_intensity]]&gt;70,"High",
IF(Table1[[#This Row],[ai_disruption_intensity]]&gt;40,"Medium","Low"))</f>
        <v>Low</v>
      </c>
      <c r="W1139" t="str">
        <f>IF(Table1[[#This Row],[skill_gap_index]]&gt;70,"Large Gap",
IF(Table1[[#This Row],[skill_gap_index]]&gt;40,"Medium Gap","Small Gap"))</f>
        <v>Small Gap</v>
      </c>
      <c r="X1139" s="3" t="str">
        <f>IF(Table1[[#This Row],[automation_risk_percent]]&gt;0.7,"Highly Automatable",
IF(Table1[[#This Row],[automation_risk_percent]]&gt;0.4,"Moderate Risk","Safe Job"))</f>
        <v>Moderate Risk</v>
      </c>
    </row>
    <row r="1140" spans="1:24" x14ac:dyDescent="0.3">
      <c r="A1140">
        <v>4016</v>
      </c>
      <c r="B1140" t="s">
        <v>22</v>
      </c>
      <c r="C1140" t="s">
        <v>38</v>
      </c>
      <c r="D1140" t="s">
        <v>36</v>
      </c>
      <c r="E1140" s="1">
        <v>2026</v>
      </c>
      <c r="F1140" s="11">
        <v>0.3478</v>
      </c>
      <c r="G1140">
        <v>28.06</v>
      </c>
      <c r="H1140">
        <v>48.49</v>
      </c>
      <c r="I1140" s="2">
        <v>54775.92</v>
      </c>
      <c r="J1140" s="2">
        <v>60357.17</v>
      </c>
      <c r="K1140" s="2">
        <f>Table1[[#This Row],[Salary_after]]-Table1[[#This Row],[Salary_before]]</f>
        <v>5581.25</v>
      </c>
      <c r="L1140" s="11">
        <v>0.10189999999999999</v>
      </c>
      <c r="M1140" s="11">
        <v>0.23139999999999999</v>
      </c>
      <c r="N1140">
        <v>33.869999999999997</v>
      </c>
      <c r="O1140">
        <v>6.89</v>
      </c>
      <c r="P1140">
        <v>2</v>
      </c>
      <c r="Q1140" t="s">
        <v>25</v>
      </c>
      <c r="R1140">
        <v>41.634999999999998</v>
      </c>
      <c r="S1140">
        <v>10.19</v>
      </c>
      <c r="T1140" s="4">
        <v>31.515999999999998</v>
      </c>
      <c r="U1140" s="4">
        <v>2.39634199999999</v>
      </c>
      <c r="V1140" t="str">
        <f>IF(Table1[[#This Row],[ai_disruption_intensity]]&gt;70,"High",
IF(Table1[[#This Row],[ai_disruption_intensity]]&gt;40,"Medium","Low"))</f>
        <v>Low</v>
      </c>
      <c r="W1140" t="str">
        <f>IF(Table1[[#This Row],[skill_gap_index]]&gt;70,"Large Gap",
IF(Table1[[#This Row],[skill_gap_index]]&gt;40,"Medium Gap","Small Gap"))</f>
        <v>Medium Gap</v>
      </c>
      <c r="X1140" s="3" t="str">
        <f>IF(Table1[[#This Row],[automation_risk_percent]]&gt;0.7,"Highly Automatable",
IF(Table1[[#This Row],[automation_risk_percent]]&gt;0.4,"Moderate Risk","Safe Job"))</f>
        <v>Safe Job</v>
      </c>
    </row>
    <row r="1141" spans="1:24" x14ac:dyDescent="0.3">
      <c r="A1141">
        <v>4017</v>
      </c>
      <c r="B1141" t="s">
        <v>44</v>
      </c>
      <c r="C1141" t="s">
        <v>38</v>
      </c>
      <c r="D1141" t="s">
        <v>47</v>
      </c>
      <c r="E1141" s="1">
        <v>2025</v>
      </c>
      <c r="F1141" s="11">
        <v>0.62850000000000006</v>
      </c>
      <c r="G1141">
        <v>65</v>
      </c>
      <c r="H1141">
        <v>84.21</v>
      </c>
      <c r="I1141" s="2">
        <v>61176</v>
      </c>
      <c r="J1141" s="2">
        <v>56142.32</v>
      </c>
      <c r="K1141" s="2">
        <f>Table1[[#This Row],[Salary_after]]-Table1[[#This Row],[Salary_before]]</f>
        <v>-5033.68</v>
      </c>
      <c r="L1141" s="11">
        <v>-8.2299999999999998E-2</v>
      </c>
      <c r="M1141" s="11">
        <v>8.3000000000000004E-2</v>
      </c>
      <c r="N1141">
        <v>36.26</v>
      </c>
      <c r="O1141">
        <v>65.650000000000006</v>
      </c>
      <c r="P1141">
        <v>3</v>
      </c>
      <c r="Q1141" t="s">
        <v>37</v>
      </c>
      <c r="R1141">
        <v>73.53</v>
      </c>
      <c r="S1141">
        <v>8.23</v>
      </c>
      <c r="T1141" s="4">
        <v>52.872</v>
      </c>
      <c r="U1141" s="4">
        <v>41.261024999999997</v>
      </c>
      <c r="V1141" t="str">
        <f>IF(Table1[[#This Row],[ai_disruption_intensity]]&gt;70,"High",
IF(Table1[[#This Row],[ai_disruption_intensity]]&gt;40,"Medium","Low"))</f>
        <v>Medium</v>
      </c>
      <c r="W1141" t="str">
        <f>IF(Table1[[#This Row],[skill_gap_index]]&gt;70,"Large Gap",
IF(Table1[[#This Row],[skill_gap_index]]&gt;40,"Medium Gap","Small Gap"))</f>
        <v>Large Gap</v>
      </c>
      <c r="X1141" s="3" t="str">
        <f>IF(Table1[[#This Row],[automation_risk_percent]]&gt;0.7,"Highly Automatable",
IF(Table1[[#This Row],[automation_risk_percent]]&gt;0.4,"Moderate Risk","Safe Job"))</f>
        <v>Moderate Risk</v>
      </c>
    </row>
    <row r="1142" spans="1:24" x14ac:dyDescent="0.3">
      <c r="A1142">
        <v>4018</v>
      </c>
      <c r="B1142" t="s">
        <v>46</v>
      </c>
      <c r="C1142" t="s">
        <v>30</v>
      </c>
      <c r="D1142" t="s">
        <v>36</v>
      </c>
      <c r="E1142" s="1">
        <v>2025</v>
      </c>
      <c r="F1142" s="11">
        <v>0.57789999999999997</v>
      </c>
      <c r="G1142">
        <v>53.65</v>
      </c>
      <c r="H1142">
        <v>79.89</v>
      </c>
      <c r="I1142" s="2">
        <v>111330.3</v>
      </c>
      <c r="J1142" s="2">
        <v>120776</v>
      </c>
      <c r="K1142" s="2">
        <f>Table1[[#This Row],[Salary_after]]-Table1[[#This Row],[Salary_before]]</f>
        <v>9445.6999999999971</v>
      </c>
      <c r="L1142" s="11">
        <v>8.48E-2</v>
      </c>
      <c r="M1142" s="11">
        <v>1.5900000000000001E-2</v>
      </c>
      <c r="N1142">
        <v>55.83</v>
      </c>
      <c r="O1142">
        <v>64.819999999999993</v>
      </c>
      <c r="P1142">
        <v>3</v>
      </c>
      <c r="Q1142" t="s">
        <v>25</v>
      </c>
      <c r="R1142">
        <v>68.84</v>
      </c>
      <c r="S1142">
        <v>8.48</v>
      </c>
      <c r="T1142" s="4">
        <v>49.626999999999903</v>
      </c>
      <c r="U1142" s="4">
        <v>37.459477999999997</v>
      </c>
      <c r="V1142" t="str">
        <f>IF(Table1[[#This Row],[ai_disruption_intensity]]&gt;70,"High",
IF(Table1[[#This Row],[ai_disruption_intensity]]&gt;40,"Medium","Low"))</f>
        <v>Low</v>
      </c>
      <c r="W1142" t="str">
        <f>IF(Table1[[#This Row],[skill_gap_index]]&gt;70,"Large Gap",
IF(Table1[[#This Row],[skill_gap_index]]&gt;40,"Medium Gap","Small Gap"))</f>
        <v>Large Gap</v>
      </c>
      <c r="X1142" s="3" t="str">
        <f>IF(Table1[[#This Row],[automation_risk_percent]]&gt;0.7,"Highly Automatable",
IF(Table1[[#This Row],[automation_risk_percent]]&gt;0.4,"Moderate Risk","Safe Job"))</f>
        <v>Moderate Risk</v>
      </c>
    </row>
    <row r="1143" spans="1:24" x14ac:dyDescent="0.3">
      <c r="A1143">
        <v>4021</v>
      </c>
      <c r="B1143" t="s">
        <v>44</v>
      </c>
      <c r="C1143" t="s">
        <v>19</v>
      </c>
      <c r="D1143" t="s">
        <v>32</v>
      </c>
      <c r="E1143" s="1">
        <v>2026</v>
      </c>
      <c r="F1143" s="11">
        <v>0.2225</v>
      </c>
      <c r="G1143">
        <v>18.7</v>
      </c>
      <c r="H1143">
        <v>31.33</v>
      </c>
      <c r="I1143" s="2">
        <v>85824.8</v>
      </c>
      <c r="J1143" s="2">
        <v>94543.11</v>
      </c>
      <c r="K1143" s="2">
        <f>Table1[[#This Row],[Salary_after]]-Table1[[#This Row],[Salary_before]]</f>
        <v>8718.3099999999977</v>
      </c>
      <c r="L1143" s="11">
        <v>0.1016</v>
      </c>
      <c r="M1143" s="11">
        <v>0.15079999999999999</v>
      </c>
      <c r="N1143">
        <v>50.01</v>
      </c>
      <c r="O1143">
        <v>34.340000000000003</v>
      </c>
      <c r="P1143">
        <v>4</v>
      </c>
      <c r="Q1143" t="s">
        <v>21</v>
      </c>
      <c r="R1143">
        <v>26.79</v>
      </c>
      <c r="S1143">
        <v>10.16</v>
      </c>
      <c r="T1143" s="4">
        <v>21.347000000000001</v>
      </c>
      <c r="U1143" s="4">
        <v>7.6406499999999999</v>
      </c>
      <c r="V1143" t="str">
        <f>IF(Table1[[#This Row],[ai_disruption_intensity]]&gt;70,"High",
IF(Table1[[#This Row],[ai_disruption_intensity]]&gt;40,"Medium","Low"))</f>
        <v>Low</v>
      </c>
      <c r="W1143" t="str">
        <f>IF(Table1[[#This Row],[skill_gap_index]]&gt;70,"Large Gap",
IF(Table1[[#This Row],[skill_gap_index]]&gt;40,"Medium Gap","Small Gap"))</f>
        <v>Small Gap</v>
      </c>
      <c r="X1143" s="3" t="str">
        <f>IF(Table1[[#This Row],[automation_risk_percent]]&gt;0.7,"Highly Automatable",
IF(Table1[[#This Row],[automation_risk_percent]]&gt;0.4,"Moderate Risk","Safe Job"))</f>
        <v>Safe Job</v>
      </c>
    </row>
    <row r="1144" spans="1:24" x14ac:dyDescent="0.3">
      <c r="A1144">
        <v>4025</v>
      </c>
      <c r="B1144" t="s">
        <v>26</v>
      </c>
      <c r="C1144" t="s">
        <v>23</v>
      </c>
      <c r="D1144" t="s">
        <v>28</v>
      </c>
      <c r="E1144" s="1">
        <v>2026</v>
      </c>
      <c r="F1144" s="11">
        <v>0.41070000000000001</v>
      </c>
      <c r="G1144">
        <v>42.81</v>
      </c>
      <c r="H1144">
        <v>74.55</v>
      </c>
      <c r="I1144" s="2">
        <v>136707.66</v>
      </c>
      <c r="J1144" s="2">
        <v>110047.33</v>
      </c>
      <c r="K1144" s="2">
        <f>Table1[[#This Row],[Salary_after]]-Table1[[#This Row],[Salary_before]]</f>
        <v>-26660.33</v>
      </c>
      <c r="L1144" s="11">
        <v>-0.19500000000000001</v>
      </c>
      <c r="M1144" s="11">
        <v>-2.41E-2</v>
      </c>
      <c r="N1144">
        <v>19.21</v>
      </c>
      <c r="O1144">
        <v>33.68</v>
      </c>
      <c r="P1144">
        <v>3</v>
      </c>
      <c r="Q1144" t="s">
        <v>25</v>
      </c>
      <c r="R1144">
        <v>57.81</v>
      </c>
      <c r="S1144">
        <v>19.5</v>
      </c>
      <c r="T1144" s="4">
        <v>44.643000000000001</v>
      </c>
      <c r="U1144" s="4">
        <v>13.832376</v>
      </c>
      <c r="V1144" t="str">
        <f>IF(Table1[[#This Row],[ai_disruption_intensity]]&gt;70,"High",
IF(Table1[[#This Row],[ai_disruption_intensity]]&gt;40,"Medium","Low"))</f>
        <v>Low</v>
      </c>
      <c r="W1144" t="str">
        <f>IF(Table1[[#This Row],[skill_gap_index]]&gt;70,"Large Gap",
IF(Table1[[#This Row],[skill_gap_index]]&gt;40,"Medium Gap","Small Gap"))</f>
        <v>Large Gap</v>
      </c>
      <c r="X1144" s="3" t="str">
        <f>IF(Table1[[#This Row],[automation_risk_percent]]&gt;0.7,"Highly Automatable",
IF(Table1[[#This Row],[automation_risk_percent]]&gt;0.4,"Moderate Risk","Safe Job"))</f>
        <v>Moderate Risk</v>
      </c>
    </row>
    <row r="1145" spans="1:24" x14ac:dyDescent="0.3">
      <c r="A1145">
        <v>4030</v>
      </c>
      <c r="B1145" t="s">
        <v>39</v>
      </c>
      <c r="C1145" t="s">
        <v>40</v>
      </c>
      <c r="D1145" t="s">
        <v>20</v>
      </c>
      <c r="E1145" s="1">
        <v>2026</v>
      </c>
      <c r="F1145" s="11">
        <v>0.26050000000000001</v>
      </c>
      <c r="G1145">
        <v>28.35</v>
      </c>
      <c r="H1145">
        <v>97.02</v>
      </c>
      <c r="I1145" s="2">
        <v>127843.14</v>
      </c>
      <c r="J1145" s="2">
        <v>127571.08</v>
      </c>
      <c r="K1145" s="2">
        <f>Table1[[#This Row],[Salary_after]]-Table1[[#This Row],[Salary_before]]</f>
        <v>-272.05999999999767</v>
      </c>
      <c r="L1145" s="11">
        <v>-2.0999999999999999E-3</v>
      </c>
      <c r="M1145" s="11">
        <v>4.4600000000000001E-2</v>
      </c>
      <c r="N1145">
        <v>12.57</v>
      </c>
      <c r="O1145">
        <v>4.0199999999999996</v>
      </c>
      <c r="P1145">
        <v>3</v>
      </c>
      <c r="Q1145" t="s">
        <v>21</v>
      </c>
      <c r="R1145">
        <v>61.534999999999997</v>
      </c>
      <c r="S1145">
        <v>0.21</v>
      </c>
      <c r="T1145" s="4">
        <v>39.588999999999999</v>
      </c>
      <c r="U1145" s="4">
        <v>1.04721</v>
      </c>
      <c r="V1145" t="str">
        <f>IF(Table1[[#This Row],[ai_disruption_intensity]]&gt;70,"High",
IF(Table1[[#This Row],[ai_disruption_intensity]]&gt;40,"Medium","Low"))</f>
        <v>Low</v>
      </c>
      <c r="W1145" t="str">
        <f>IF(Table1[[#This Row],[skill_gap_index]]&gt;70,"Large Gap",
IF(Table1[[#This Row],[skill_gap_index]]&gt;40,"Medium Gap","Small Gap"))</f>
        <v>Large Gap</v>
      </c>
      <c r="X1145" s="3" t="str">
        <f>IF(Table1[[#This Row],[automation_risk_percent]]&gt;0.7,"Highly Automatable",
IF(Table1[[#This Row],[automation_risk_percent]]&gt;0.4,"Moderate Risk","Safe Job"))</f>
        <v>Safe Job</v>
      </c>
    </row>
    <row r="1146" spans="1:24" x14ac:dyDescent="0.3">
      <c r="A1146">
        <v>4031</v>
      </c>
      <c r="B1146" t="s">
        <v>41</v>
      </c>
      <c r="C1146" t="s">
        <v>27</v>
      </c>
      <c r="D1146" t="s">
        <v>36</v>
      </c>
      <c r="E1146" s="1">
        <v>2026</v>
      </c>
      <c r="F1146" s="11">
        <v>0.30570000000000003</v>
      </c>
      <c r="G1146">
        <v>27.83</v>
      </c>
      <c r="H1146">
        <v>30.42</v>
      </c>
      <c r="I1146" s="2">
        <v>78054.42</v>
      </c>
      <c r="J1146" s="2">
        <v>89011.74</v>
      </c>
      <c r="K1146" s="2">
        <f>Table1[[#This Row],[Salary_after]]-Table1[[#This Row],[Salary_before]]</f>
        <v>10957.320000000007</v>
      </c>
      <c r="L1146" s="11">
        <v>0.1404</v>
      </c>
      <c r="M1146" s="11">
        <v>8.0000000000000004E-4</v>
      </c>
      <c r="N1146">
        <v>22.73</v>
      </c>
      <c r="O1146">
        <v>15.77</v>
      </c>
      <c r="P1146">
        <v>3</v>
      </c>
      <c r="Q1146" t="s">
        <v>25</v>
      </c>
      <c r="R1146">
        <v>30.495000000000001</v>
      </c>
      <c r="S1146">
        <v>14.04</v>
      </c>
      <c r="T1146" s="4">
        <v>25.565999999999999</v>
      </c>
      <c r="U1146" s="4">
        <v>4.8208889999999904</v>
      </c>
      <c r="V1146" t="str">
        <f>IF(Table1[[#This Row],[ai_disruption_intensity]]&gt;70,"High",
IF(Table1[[#This Row],[ai_disruption_intensity]]&gt;40,"Medium","Low"))</f>
        <v>Low</v>
      </c>
      <c r="W1146" t="str">
        <f>IF(Table1[[#This Row],[skill_gap_index]]&gt;70,"Large Gap",
IF(Table1[[#This Row],[skill_gap_index]]&gt;40,"Medium Gap","Small Gap"))</f>
        <v>Small Gap</v>
      </c>
      <c r="X1146" s="3" t="str">
        <f>IF(Table1[[#This Row],[automation_risk_percent]]&gt;0.7,"Highly Automatable",
IF(Table1[[#This Row],[automation_risk_percent]]&gt;0.4,"Moderate Risk","Safe Job"))</f>
        <v>Safe Job</v>
      </c>
    </row>
    <row r="1147" spans="1:24" x14ac:dyDescent="0.3">
      <c r="A1147">
        <v>4041</v>
      </c>
      <c r="B1147" t="s">
        <v>39</v>
      </c>
      <c r="C1147" t="s">
        <v>27</v>
      </c>
      <c r="D1147" t="s">
        <v>24</v>
      </c>
      <c r="E1147" s="1">
        <v>2026</v>
      </c>
      <c r="F1147" s="11">
        <v>0.44920000000000004</v>
      </c>
      <c r="G1147">
        <v>39.729999999999997</v>
      </c>
      <c r="H1147">
        <v>34.14</v>
      </c>
      <c r="I1147" s="2">
        <v>98919.66</v>
      </c>
      <c r="J1147" s="2">
        <v>98282.69</v>
      </c>
      <c r="K1147" s="2">
        <f>Table1[[#This Row],[Salary_after]]-Table1[[#This Row],[Salary_before]]</f>
        <v>-636.97000000000116</v>
      </c>
      <c r="L1147" s="11">
        <v>-6.4000000000000003E-3</v>
      </c>
      <c r="M1147" s="11">
        <v>-7.1599999999999997E-2</v>
      </c>
      <c r="N1147">
        <v>46.81</v>
      </c>
      <c r="O1147">
        <v>47.67</v>
      </c>
      <c r="P1147">
        <v>1</v>
      </c>
      <c r="Q1147" t="s">
        <v>25</v>
      </c>
      <c r="R1147">
        <v>39.53</v>
      </c>
      <c r="S1147">
        <v>0.64</v>
      </c>
      <c r="T1147" s="4">
        <v>28.402000000000001</v>
      </c>
      <c r="U1147" s="4">
        <v>21.413364000000001</v>
      </c>
      <c r="V1147" t="str">
        <f>IF(Table1[[#This Row],[ai_disruption_intensity]]&gt;70,"High",
IF(Table1[[#This Row],[ai_disruption_intensity]]&gt;40,"Medium","Low"))</f>
        <v>Low</v>
      </c>
      <c r="W1147" t="str">
        <f>IF(Table1[[#This Row],[skill_gap_index]]&gt;70,"Large Gap",
IF(Table1[[#This Row],[skill_gap_index]]&gt;40,"Medium Gap","Small Gap"))</f>
        <v>Small Gap</v>
      </c>
      <c r="X1147" s="3" t="str">
        <f>IF(Table1[[#This Row],[automation_risk_percent]]&gt;0.7,"Highly Automatable",
IF(Table1[[#This Row],[automation_risk_percent]]&gt;0.4,"Moderate Risk","Safe Job"))</f>
        <v>Moderate Risk</v>
      </c>
    </row>
    <row r="1148" spans="1:24" x14ac:dyDescent="0.3">
      <c r="A1148">
        <v>4044</v>
      </c>
      <c r="B1148" t="s">
        <v>43</v>
      </c>
      <c r="C1148" t="s">
        <v>34</v>
      </c>
      <c r="D1148" t="s">
        <v>24</v>
      </c>
      <c r="E1148" s="1">
        <v>2025</v>
      </c>
      <c r="F1148" s="11">
        <v>0.5827</v>
      </c>
      <c r="G1148">
        <v>55.63</v>
      </c>
      <c r="H1148">
        <v>84.83</v>
      </c>
      <c r="I1148" s="2">
        <v>145267.99</v>
      </c>
      <c r="J1148" s="2">
        <v>124541.23</v>
      </c>
      <c r="K1148" s="2">
        <f>Table1[[#This Row],[Salary_after]]-Table1[[#This Row],[Salary_before]]</f>
        <v>-20726.759999999995</v>
      </c>
      <c r="L1148" s="11">
        <v>-0.14269999999999999</v>
      </c>
      <c r="M1148" s="11">
        <v>0.27810000000000001</v>
      </c>
      <c r="N1148">
        <v>85.86</v>
      </c>
      <c r="O1148">
        <v>2.4300000000000002</v>
      </c>
      <c r="P1148">
        <v>3</v>
      </c>
      <c r="Q1148" t="s">
        <v>25</v>
      </c>
      <c r="R1148">
        <v>71.55</v>
      </c>
      <c r="S1148">
        <v>14.27</v>
      </c>
      <c r="T1148" s="4">
        <v>53.037999999999997</v>
      </c>
      <c r="U1148" s="4">
        <v>1.415961</v>
      </c>
      <c r="V1148" t="str">
        <f>IF(Table1[[#This Row],[ai_disruption_intensity]]&gt;70,"High",
IF(Table1[[#This Row],[ai_disruption_intensity]]&gt;40,"Medium","Low"))</f>
        <v>Low</v>
      </c>
      <c r="W1148" t="str">
        <f>IF(Table1[[#This Row],[skill_gap_index]]&gt;70,"Large Gap",
IF(Table1[[#This Row],[skill_gap_index]]&gt;40,"Medium Gap","Small Gap"))</f>
        <v>Large Gap</v>
      </c>
      <c r="X1148" s="3" t="str">
        <f>IF(Table1[[#This Row],[automation_risk_percent]]&gt;0.7,"Highly Automatable",
IF(Table1[[#This Row],[automation_risk_percent]]&gt;0.4,"Moderate Risk","Safe Job"))</f>
        <v>Moderate Risk</v>
      </c>
    </row>
    <row r="1149" spans="1:24" x14ac:dyDescent="0.3">
      <c r="A1149">
        <v>4046</v>
      </c>
      <c r="B1149" t="s">
        <v>45</v>
      </c>
      <c r="C1149" t="s">
        <v>38</v>
      </c>
      <c r="D1149" t="s">
        <v>32</v>
      </c>
      <c r="E1149" s="1">
        <v>2026</v>
      </c>
      <c r="F1149" s="11">
        <v>0.22899999999999998</v>
      </c>
      <c r="G1149">
        <v>20.93</v>
      </c>
      <c r="H1149">
        <v>91.6</v>
      </c>
      <c r="I1149" s="2">
        <v>52009.78</v>
      </c>
      <c r="J1149" s="2">
        <v>51587.4</v>
      </c>
      <c r="K1149" s="2">
        <f>Table1[[#This Row],[Salary_after]]-Table1[[#This Row],[Salary_before]]</f>
        <v>-422.37999999999738</v>
      </c>
      <c r="L1149" s="11">
        <v>-8.1000000000000013E-3</v>
      </c>
      <c r="M1149" s="11">
        <v>-0.08</v>
      </c>
      <c r="N1149">
        <v>18.3</v>
      </c>
      <c r="O1149">
        <v>89.46</v>
      </c>
      <c r="P1149">
        <v>1</v>
      </c>
      <c r="Q1149" t="s">
        <v>21</v>
      </c>
      <c r="R1149">
        <v>57.25</v>
      </c>
      <c r="S1149">
        <v>0.81</v>
      </c>
      <c r="T1149" s="4">
        <v>36.883000000000003</v>
      </c>
      <c r="U1149" s="4">
        <v>20.486339999999899</v>
      </c>
      <c r="V1149" t="str">
        <f>IF(Table1[[#This Row],[ai_disruption_intensity]]&gt;70,"High",
IF(Table1[[#This Row],[ai_disruption_intensity]]&gt;40,"Medium","Low"))</f>
        <v>Low</v>
      </c>
      <c r="W1149" t="str">
        <f>IF(Table1[[#This Row],[skill_gap_index]]&gt;70,"Large Gap",
IF(Table1[[#This Row],[skill_gap_index]]&gt;40,"Medium Gap","Small Gap"))</f>
        <v>Large Gap</v>
      </c>
      <c r="X1149" s="3" t="str">
        <f>IF(Table1[[#This Row],[automation_risk_percent]]&gt;0.7,"Highly Automatable",
IF(Table1[[#This Row],[automation_risk_percent]]&gt;0.4,"Moderate Risk","Safe Job"))</f>
        <v>Safe Job</v>
      </c>
    </row>
    <row r="1150" spans="1:24" x14ac:dyDescent="0.3">
      <c r="A1150">
        <v>4047</v>
      </c>
      <c r="B1150" t="s">
        <v>41</v>
      </c>
      <c r="C1150" t="s">
        <v>23</v>
      </c>
      <c r="D1150" t="s">
        <v>20</v>
      </c>
      <c r="E1150" s="1">
        <v>2025</v>
      </c>
      <c r="F1150" s="11">
        <v>0.3201</v>
      </c>
      <c r="G1150">
        <v>33.5</v>
      </c>
      <c r="H1150">
        <v>33.979999999999997</v>
      </c>
      <c r="I1150" s="2">
        <v>126512.75</v>
      </c>
      <c r="J1150" s="2">
        <v>104470.95</v>
      </c>
      <c r="K1150" s="2">
        <f>Table1[[#This Row],[Salary_after]]-Table1[[#This Row],[Salary_before]]</f>
        <v>-22041.800000000003</v>
      </c>
      <c r="L1150" s="11">
        <v>-0.17420000000000002</v>
      </c>
      <c r="M1150" s="11">
        <v>0.19010000000000002</v>
      </c>
      <c r="N1150">
        <v>98.55</v>
      </c>
      <c r="O1150">
        <v>6.62</v>
      </c>
      <c r="P1150">
        <v>5</v>
      </c>
      <c r="Q1150" t="s">
        <v>25</v>
      </c>
      <c r="R1150">
        <v>32.994999999999997</v>
      </c>
      <c r="S1150">
        <v>17.420000000000002</v>
      </c>
      <c r="T1150" s="4">
        <v>28.223999999999901</v>
      </c>
      <c r="U1150" s="4">
        <v>2.119062</v>
      </c>
      <c r="V1150" t="str">
        <f>IF(Table1[[#This Row],[ai_disruption_intensity]]&gt;70,"High",
IF(Table1[[#This Row],[ai_disruption_intensity]]&gt;40,"Medium","Low"))</f>
        <v>Low</v>
      </c>
      <c r="W1150" t="str">
        <f>IF(Table1[[#This Row],[skill_gap_index]]&gt;70,"Large Gap",
IF(Table1[[#This Row],[skill_gap_index]]&gt;40,"Medium Gap","Small Gap"))</f>
        <v>Small Gap</v>
      </c>
      <c r="X1150" s="3" t="str">
        <f>IF(Table1[[#This Row],[automation_risk_percent]]&gt;0.7,"Highly Automatable",
IF(Table1[[#This Row],[automation_risk_percent]]&gt;0.4,"Moderate Risk","Safe Job"))</f>
        <v>Safe Job</v>
      </c>
    </row>
    <row r="1151" spans="1:24" x14ac:dyDescent="0.3">
      <c r="A1151">
        <v>4050</v>
      </c>
      <c r="B1151" t="s">
        <v>18</v>
      </c>
      <c r="C1151" t="s">
        <v>34</v>
      </c>
      <c r="D1151" t="s">
        <v>47</v>
      </c>
      <c r="E1151" s="1">
        <v>2025</v>
      </c>
      <c r="F1151" s="11">
        <v>0.2979</v>
      </c>
      <c r="G1151">
        <v>31.93</v>
      </c>
      <c r="H1151">
        <v>95.93</v>
      </c>
      <c r="I1151" s="2">
        <v>99726.57</v>
      </c>
      <c r="J1151" s="2">
        <v>104142.99</v>
      </c>
      <c r="K1151" s="2">
        <f>Table1[[#This Row],[Salary_after]]-Table1[[#This Row],[Salary_before]]</f>
        <v>4416.4199999999983</v>
      </c>
      <c r="L1151" s="11">
        <v>4.4299999999999999E-2</v>
      </c>
      <c r="M1151" s="11">
        <v>8.6899999999999991E-2</v>
      </c>
      <c r="N1151">
        <v>66.790000000000006</v>
      </c>
      <c r="O1151">
        <v>93.41</v>
      </c>
      <c r="P1151">
        <v>5</v>
      </c>
      <c r="Q1151" t="s">
        <v>21</v>
      </c>
      <c r="R1151">
        <v>62.86</v>
      </c>
      <c r="S1151">
        <v>4.43</v>
      </c>
      <c r="T1151" s="4">
        <v>42.024000000000001</v>
      </c>
      <c r="U1151" s="4">
        <v>27.826839</v>
      </c>
      <c r="V1151" t="str">
        <f>IF(Table1[[#This Row],[ai_disruption_intensity]]&gt;70,"High",
IF(Table1[[#This Row],[ai_disruption_intensity]]&gt;40,"Medium","Low"))</f>
        <v>Low</v>
      </c>
      <c r="W1151" t="str">
        <f>IF(Table1[[#This Row],[skill_gap_index]]&gt;70,"Large Gap",
IF(Table1[[#This Row],[skill_gap_index]]&gt;40,"Medium Gap","Small Gap"))</f>
        <v>Large Gap</v>
      </c>
      <c r="X1151" s="3" t="str">
        <f>IF(Table1[[#This Row],[automation_risk_percent]]&gt;0.7,"Highly Automatable",
IF(Table1[[#This Row],[automation_risk_percent]]&gt;0.4,"Moderate Risk","Safe Job"))</f>
        <v>Safe Job</v>
      </c>
    </row>
    <row r="1152" spans="1:24" x14ac:dyDescent="0.3">
      <c r="A1152">
        <v>4058</v>
      </c>
      <c r="B1152" t="s">
        <v>41</v>
      </c>
      <c r="C1152" t="s">
        <v>34</v>
      </c>
      <c r="D1152" t="s">
        <v>42</v>
      </c>
      <c r="E1152" s="1">
        <v>2025</v>
      </c>
      <c r="F1152" s="11">
        <v>0.72829999999999995</v>
      </c>
      <c r="G1152">
        <v>82.78</v>
      </c>
      <c r="H1152">
        <v>25.57</v>
      </c>
      <c r="I1152" s="2">
        <v>104692.13</v>
      </c>
      <c r="J1152" s="2">
        <v>106208.32000000001</v>
      </c>
      <c r="K1152" s="2">
        <f>Table1[[#This Row],[Salary_after]]-Table1[[#This Row],[Salary_before]]</f>
        <v>1516.1900000000023</v>
      </c>
      <c r="L1152" s="11">
        <v>1.4499999999999999E-2</v>
      </c>
      <c r="M1152" s="11">
        <v>1.9299999999999998E-2</v>
      </c>
      <c r="N1152">
        <v>97.29</v>
      </c>
      <c r="O1152">
        <v>86.08</v>
      </c>
      <c r="P1152">
        <v>5</v>
      </c>
      <c r="Q1152" t="s">
        <v>37</v>
      </c>
      <c r="R1152">
        <v>49.2</v>
      </c>
      <c r="S1152">
        <v>1.45</v>
      </c>
      <c r="T1152" s="4">
        <v>37.238</v>
      </c>
      <c r="U1152" s="4">
        <v>62.692064000000002</v>
      </c>
      <c r="V1152" t="str">
        <f>IF(Table1[[#This Row],[ai_disruption_intensity]]&gt;70,"High",
IF(Table1[[#This Row],[ai_disruption_intensity]]&gt;40,"Medium","Low"))</f>
        <v>Medium</v>
      </c>
      <c r="W1152" t="str">
        <f>IF(Table1[[#This Row],[skill_gap_index]]&gt;70,"Large Gap",
IF(Table1[[#This Row],[skill_gap_index]]&gt;40,"Medium Gap","Small Gap"))</f>
        <v>Small Gap</v>
      </c>
      <c r="X1152" s="3" t="str">
        <f>IF(Table1[[#This Row],[automation_risk_percent]]&gt;0.7,"Highly Automatable",
IF(Table1[[#This Row],[automation_risk_percent]]&gt;0.4,"Moderate Risk","Safe Job"))</f>
        <v>Highly Automatable</v>
      </c>
    </row>
    <row r="1153" spans="1:24" x14ac:dyDescent="0.3">
      <c r="A1153">
        <v>4061</v>
      </c>
      <c r="B1153" t="s">
        <v>45</v>
      </c>
      <c r="C1153" t="s">
        <v>19</v>
      </c>
      <c r="D1153" t="s">
        <v>28</v>
      </c>
      <c r="E1153" s="1">
        <v>2025</v>
      </c>
      <c r="F1153" s="11">
        <v>0.66559999999999997</v>
      </c>
      <c r="G1153">
        <v>68.66</v>
      </c>
      <c r="H1153">
        <v>64.66</v>
      </c>
      <c r="I1153" s="2">
        <v>34852.94</v>
      </c>
      <c r="J1153" s="2">
        <v>30101.42</v>
      </c>
      <c r="K1153" s="2">
        <f>Table1[[#This Row],[Salary_after]]-Table1[[#This Row],[Salary_before]]</f>
        <v>-4751.5200000000041</v>
      </c>
      <c r="L1153" s="11">
        <v>-0.1363</v>
      </c>
      <c r="M1153" s="11">
        <v>-2.6600000000000002E-2</v>
      </c>
      <c r="N1153">
        <v>23.5</v>
      </c>
      <c r="O1153">
        <v>38.97</v>
      </c>
      <c r="P1153">
        <v>4</v>
      </c>
      <c r="Q1153" t="s">
        <v>37</v>
      </c>
      <c r="R1153">
        <v>65.61</v>
      </c>
      <c r="S1153">
        <v>13.63</v>
      </c>
      <c r="T1153" s="4">
        <v>50.110999999999997</v>
      </c>
      <c r="U1153" s="4">
        <v>25.938431999999999</v>
      </c>
      <c r="V1153" t="str">
        <f>IF(Table1[[#This Row],[ai_disruption_intensity]]&gt;70,"High",
IF(Table1[[#This Row],[ai_disruption_intensity]]&gt;40,"Medium","Low"))</f>
        <v>Low</v>
      </c>
      <c r="W1153" t="str">
        <f>IF(Table1[[#This Row],[skill_gap_index]]&gt;70,"Large Gap",
IF(Table1[[#This Row],[skill_gap_index]]&gt;40,"Medium Gap","Small Gap"))</f>
        <v>Medium Gap</v>
      </c>
      <c r="X1153" s="3" t="str">
        <f>IF(Table1[[#This Row],[automation_risk_percent]]&gt;0.7,"Highly Automatable",
IF(Table1[[#This Row],[automation_risk_percent]]&gt;0.4,"Moderate Risk","Safe Job"))</f>
        <v>Moderate Risk</v>
      </c>
    </row>
    <row r="1154" spans="1:24" x14ac:dyDescent="0.3">
      <c r="A1154">
        <v>4066</v>
      </c>
      <c r="B1154" t="s">
        <v>46</v>
      </c>
      <c r="C1154" t="s">
        <v>30</v>
      </c>
      <c r="D1154" t="s">
        <v>28</v>
      </c>
      <c r="E1154" s="1">
        <v>2025</v>
      </c>
      <c r="F1154" s="11">
        <v>0.20230000000000001</v>
      </c>
      <c r="G1154">
        <v>16.78</v>
      </c>
      <c r="H1154">
        <v>48.91</v>
      </c>
      <c r="I1154" s="2">
        <v>48978.400000000001</v>
      </c>
      <c r="J1154" s="2">
        <v>53347.77</v>
      </c>
      <c r="K1154" s="2">
        <f>Table1[[#This Row],[Salary_after]]-Table1[[#This Row],[Salary_before]]</f>
        <v>4369.3699999999953</v>
      </c>
      <c r="L1154" s="11">
        <v>8.9200000000000002E-2</v>
      </c>
      <c r="M1154" s="11">
        <v>0.1376</v>
      </c>
      <c r="N1154">
        <v>85.79</v>
      </c>
      <c r="O1154">
        <v>37.76</v>
      </c>
      <c r="P1154">
        <v>4</v>
      </c>
      <c r="Q1154" t="s">
        <v>21</v>
      </c>
      <c r="R1154">
        <v>34.57</v>
      </c>
      <c r="S1154">
        <v>8.92</v>
      </c>
      <c r="T1154" s="4">
        <v>25.440999999999999</v>
      </c>
      <c r="U1154" s="4">
        <v>7.6388479999999896</v>
      </c>
      <c r="V1154" t="str">
        <f>IF(Table1[[#This Row],[ai_disruption_intensity]]&gt;70,"High",
IF(Table1[[#This Row],[ai_disruption_intensity]]&gt;40,"Medium","Low"))</f>
        <v>Low</v>
      </c>
      <c r="W1154" t="str">
        <f>IF(Table1[[#This Row],[skill_gap_index]]&gt;70,"Large Gap",
IF(Table1[[#This Row],[skill_gap_index]]&gt;40,"Medium Gap","Small Gap"))</f>
        <v>Medium Gap</v>
      </c>
      <c r="X1154" s="3" t="str">
        <f>IF(Table1[[#This Row],[automation_risk_percent]]&gt;0.7,"Highly Automatable",
IF(Table1[[#This Row],[automation_risk_percent]]&gt;0.4,"Moderate Risk","Safe Job"))</f>
        <v>Safe Job</v>
      </c>
    </row>
    <row r="1155" spans="1:24" x14ac:dyDescent="0.3">
      <c r="A1155">
        <v>4076</v>
      </c>
      <c r="B1155" t="s">
        <v>46</v>
      </c>
      <c r="C1155" t="s">
        <v>33</v>
      </c>
      <c r="D1155" t="s">
        <v>28</v>
      </c>
      <c r="E1155" s="1">
        <v>2026</v>
      </c>
      <c r="F1155" s="11">
        <v>0.5484</v>
      </c>
      <c r="G1155">
        <v>44.68</v>
      </c>
      <c r="H1155">
        <v>48.95</v>
      </c>
      <c r="I1155" s="2">
        <v>93648.97</v>
      </c>
      <c r="J1155" s="2">
        <v>93133.68</v>
      </c>
      <c r="K1155" s="2">
        <f>Table1[[#This Row],[Salary_after]]-Table1[[#This Row],[Salary_before]]</f>
        <v>-515.29000000000815</v>
      </c>
      <c r="L1155" s="11">
        <v>-5.5000000000000005E-3</v>
      </c>
      <c r="M1155" s="11">
        <v>5.2199999999999996E-2</v>
      </c>
      <c r="N1155">
        <v>62.71</v>
      </c>
      <c r="O1155">
        <v>0.31</v>
      </c>
      <c r="P1155">
        <v>5</v>
      </c>
      <c r="Q1155" t="s">
        <v>25</v>
      </c>
      <c r="R1155">
        <v>51.895000000000003</v>
      </c>
      <c r="S1155">
        <v>0.55000000000000004</v>
      </c>
      <c r="T1155" s="4">
        <v>36.786000000000001</v>
      </c>
      <c r="U1155" s="4">
        <v>0.17000399999999999</v>
      </c>
      <c r="V1155" t="str">
        <f>IF(Table1[[#This Row],[ai_disruption_intensity]]&gt;70,"High",
IF(Table1[[#This Row],[ai_disruption_intensity]]&gt;40,"Medium","Low"))</f>
        <v>Low</v>
      </c>
      <c r="W1155" t="str">
        <f>IF(Table1[[#This Row],[skill_gap_index]]&gt;70,"Large Gap",
IF(Table1[[#This Row],[skill_gap_index]]&gt;40,"Medium Gap","Small Gap"))</f>
        <v>Medium Gap</v>
      </c>
      <c r="X1155" s="3" t="str">
        <f>IF(Table1[[#This Row],[automation_risk_percent]]&gt;0.7,"Highly Automatable",
IF(Table1[[#This Row],[automation_risk_percent]]&gt;0.4,"Moderate Risk","Safe Job"))</f>
        <v>Moderate Risk</v>
      </c>
    </row>
    <row r="1156" spans="1:24" x14ac:dyDescent="0.3">
      <c r="A1156">
        <v>4080</v>
      </c>
      <c r="B1156" t="s">
        <v>45</v>
      </c>
      <c r="C1156" t="s">
        <v>19</v>
      </c>
      <c r="D1156" t="s">
        <v>47</v>
      </c>
      <c r="E1156" s="1">
        <v>2025</v>
      </c>
      <c r="F1156" s="11">
        <v>0.47689999999999999</v>
      </c>
      <c r="G1156">
        <v>43.71</v>
      </c>
      <c r="H1156">
        <v>14.71</v>
      </c>
      <c r="I1156" s="2">
        <v>149355.35</v>
      </c>
      <c r="J1156" s="2">
        <v>153269.71</v>
      </c>
      <c r="K1156" s="2">
        <f>Table1[[#This Row],[Salary_after]]-Table1[[#This Row],[Salary_before]]</f>
        <v>3914.359999999986</v>
      </c>
      <c r="L1156" s="11">
        <v>2.6200000000000001E-2</v>
      </c>
      <c r="M1156" s="11">
        <v>0.12770000000000001</v>
      </c>
      <c r="N1156">
        <v>90.24</v>
      </c>
      <c r="O1156">
        <v>93.55</v>
      </c>
      <c r="P1156">
        <v>2</v>
      </c>
      <c r="Q1156" t="s">
        <v>25</v>
      </c>
      <c r="R1156">
        <v>31.2</v>
      </c>
      <c r="S1156">
        <v>2.62</v>
      </c>
      <c r="T1156" s="4">
        <v>24.274999999999999</v>
      </c>
      <c r="U1156" s="4">
        <v>44.613994999999903</v>
      </c>
      <c r="V1156" t="str">
        <f>IF(Table1[[#This Row],[ai_disruption_intensity]]&gt;70,"High",
IF(Table1[[#This Row],[ai_disruption_intensity]]&gt;40,"Medium","Low"))</f>
        <v>Medium</v>
      </c>
      <c r="W1156" t="str">
        <f>IF(Table1[[#This Row],[skill_gap_index]]&gt;70,"Large Gap",
IF(Table1[[#This Row],[skill_gap_index]]&gt;40,"Medium Gap","Small Gap"))</f>
        <v>Small Gap</v>
      </c>
      <c r="X1156" s="3" t="str">
        <f>IF(Table1[[#This Row],[automation_risk_percent]]&gt;0.7,"Highly Automatable",
IF(Table1[[#This Row],[automation_risk_percent]]&gt;0.4,"Moderate Risk","Safe Job"))</f>
        <v>Moderate Risk</v>
      </c>
    </row>
    <row r="1157" spans="1:24" x14ac:dyDescent="0.3">
      <c r="A1157">
        <v>4084</v>
      </c>
      <c r="B1157" t="s">
        <v>29</v>
      </c>
      <c r="C1157" t="s">
        <v>33</v>
      </c>
      <c r="D1157" t="s">
        <v>42</v>
      </c>
      <c r="E1157" s="1">
        <v>2026</v>
      </c>
      <c r="F1157" s="11">
        <v>0.34490000000000004</v>
      </c>
      <c r="G1157">
        <v>32.57</v>
      </c>
      <c r="H1157">
        <v>66.69</v>
      </c>
      <c r="I1157" s="2">
        <v>97023.7</v>
      </c>
      <c r="J1157" s="2">
        <v>103377.92</v>
      </c>
      <c r="K1157" s="2">
        <f>Table1[[#This Row],[Salary_after]]-Table1[[#This Row],[Salary_before]]</f>
        <v>6354.2200000000012</v>
      </c>
      <c r="L1157" s="11">
        <v>6.5500000000000003E-2</v>
      </c>
      <c r="M1157" s="11">
        <v>0.34610000000000002</v>
      </c>
      <c r="N1157">
        <v>94.95</v>
      </c>
      <c r="O1157">
        <v>93.46</v>
      </c>
      <c r="P1157">
        <v>4</v>
      </c>
      <c r="Q1157" t="s">
        <v>25</v>
      </c>
      <c r="R1157">
        <v>50.59</v>
      </c>
      <c r="S1157">
        <v>6.55</v>
      </c>
      <c r="T1157" s="4">
        <v>35.768000000000001</v>
      </c>
      <c r="U1157" s="4">
        <v>32.234353999999897</v>
      </c>
      <c r="V1157" t="str">
        <f>IF(Table1[[#This Row],[ai_disruption_intensity]]&gt;70,"High",
IF(Table1[[#This Row],[ai_disruption_intensity]]&gt;40,"Medium","Low"))</f>
        <v>Low</v>
      </c>
      <c r="W1157" t="str">
        <f>IF(Table1[[#This Row],[skill_gap_index]]&gt;70,"Large Gap",
IF(Table1[[#This Row],[skill_gap_index]]&gt;40,"Medium Gap","Small Gap"))</f>
        <v>Medium Gap</v>
      </c>
      <c r="X1157" s="3" t="str">
        <f>IF(Table1[[#This Row],[automation_risk_percent]]&gt;0.7,"Highly Automatable",
IF(Table1[[#This Row],[automation_risk_percent]]&gt;0.4,"Moderate Risk","Safe Job"))</f>
        <v>Safe Job</v>
      </c>
    </row>
    <row r="1158" spans="1:24" x14ac:dyDescent="0.3">
      <c r="A1158">
        <v>4085</v>
      </c>
      <c r="B1158" t="s">
        <v>44</v>
      </c>
      <c r="C1158" t="s">
        <v>33</v>
      </c>
      <c r="D1158" t="s">
        <v>47</v>
      </c>
      <c r="E1158" s="1">
        <v>2026</v>
      </c>
      <c r="F1158" s="11">
        <v>0.35210000000000002</v>
      </c>
      <c r="G1158">
        <v>33.119999999999997</v>
      </c>
      <c r="H1158">
        <v>55.49</v>
      </c>
      <c r="I1158" s="2">
        <v>41472.75</v>
      </c>
      <c r="J1158" s="2">
        <v>37213.82</v>
      </c>
      <c r="K1158" s="2">
        <f>Table1[[#This Row],[Salary_after]]-Table1[[#This Row],[Salary_before]]</f>
        <v>-4258.93</v>
      </c>
      <c r="L1158" s="11">
        <v>-0.1027</v>
      </c>
      <c r="M1158" s="11">
        <v>-2.52E-2</v>
      </c>
      <c r="N1158">
        <v>30.11</v>
      </c>
      <c r="O1158">
        <v>63.85</v>
      </c>
      <c r="P1158">
        <v>3</v>
      </c>
      <c r="Q1158" t="s">
        <v>25</v>
      </c>
      <c r="R1158">
        <v>45.35</v>
      </c>
      <c r="S1158">
        <v>10.27</v>
      </c>
      <c r="T1158" s="4">
        <v>33.811999999999998</v>
      </c>
      <c r="U1158" s="4">
        <v>22.481584999999999</v>
      </c>
      <c r="V1158" t="str">
        <f>IF(Table1[[#This Row],[ai_disruption_intensity]]&gt;70,"High",
IF(Table1[[#This Row],[ai_disruption_intensity]]&gt;40,"Medium","Low"))</f>
        <v>Low</v>
      </c>
      <c r="W1158" t="str">
        <f>IF(Table1[[#This Row],[skill_gap_index]]&gt;70,"Large Gap",
IF(Table1[[#This Row],[skill_gap_index]]&gt;40,"Medium Gap","Small Gap"))</f>
        <v>Medium Gap</v>
      </c>
      <c r="X1158" s="3" t="str">
        <f>IF(Table1[[#This Row],[automation_risk_percent]]&gt;0.7,"Highly Automatable",
IF(Table1[[#This Row],[automation_risk_percent]]&gt;0.4,"Moderate Risk","Safe Job"))</f>
        <v>Safe Job</v>
      </c>
    </row>
    <row r="1159" spans="1:24" x14ac:dyDescent="0.3">
      <c r="A1159">
        <v>4086</v>
      </c>
      <c r="B1159" t="s">
        <v>39</v>
      </c>
      <c r="C1159" t="s">
        <v>38</v>
      </c>
      <c r="D1159" t="s">
        <v>42</v>
      </c>
      <c r="E1159" s="1">
        <v>2026</v>
      </c>
      <c r="F1159" s="11">
        <v>0.36899999999999999</v>
      </c>
      <c r="G1159">
        <v>32.049999999999997</v>
      </c>
      <c r="H1159">
        <v>88.76</v>
      </c>
      <c r="I1159" s="2">
        <v>134897.84</v>
      </c>
      <c r="J1159" s="2">
        <v>130790.97</v>
      </c>
      <c r="K1159" s="2">
        <f>Table1[[#This Row],[Salary_after]]-Table1[[#This Row],[Salary_before]]</f>
        <v>-4106.8699999999953</v>
      </c>
      <c r="L1159" s="11">
        <v>-3.04E-2</v>
      </c>
      <c r="M1159" s="11">
        <v>0.151</v>
      </c>
      <c r="N1159">
        <v>15.13</v>
      </c>
      <c r="O1159">
        <v>10.67</v>
      </c>
      <c r="P1159">
        <v>1</v>
      </c>
      <c r="Q1159" t="s">
        <v>25</v>
      </c>
      <c r="R1159">
        <v>62.83</v>
      </c>
      <c r="S1159">
        <v>3.04</v>
      </c>
      <c r="T1159" s="4">
        <v>42.3</v>
      </c>
      <c r="U1159" s="4">
        <v>3.9372299999999898</v>
      </c>
      <c r="V1159" t="str">
        <f>IF(Table1[[#This Row],[ai_disruption_intensity]]&gt;70,"High",
IF(Table1[[#This Row],[ai_disruption_intensity]]&gt;40,"Medium","Low"))</f>
        <v>Low</v>
      </c>
      <c r="W1159" t="str">
        <f>IF(Table1[[#This Row],[skill_gap_index]]&gt;70,"Large Gap",
IF(Table1[[#This Row],[skill_gap_index]]&gt;40,"Medium Gap","Small Gap"))</f>
        <v>Large Gap</v>
      </c>
      <c r="X1159" s="3" t="str">
        <f>IF(Table1[[#This Row],[automation_risk_percent]]&gt;0.7,"Highly Automatable",
IF(Table1[[#This Row],[automation_risk_percent]]&gt;0.4,"Moderate Risk","Safe Job"))</f>
        <v>Safe Job</v>
      </c>
    </row>
    <row r="1160" spans="1:24" x14ac:dyDescent="0.3">
      <c r="A1160">
        <v>4093</v>
      </c>
      <c r="B1160" t="s">
        <v>18</v>
      </c>
      <c r="C1160" t="s">
        <v>33</v>
      </c>
      <c r="D1160" t="s">
        <v>47</v>
      </c>
      <c r="E1160" s="1">
        <v>2026</v>
      </c>
      <c r="F1160" s="11">
        <v>0.26569999999999999</v>
      </c>
      <c r="G1160">
        <v>26.5</v>
      </c>
      <c r="H1160">
        <v>63.06</v>
      </c>
      <c r="I1160" s="2">
        <v>110539.48</v>
      </c>
      <c r="J1160" s="2">
        <v>117747.79</v>
      </c>
      <c r="K1160" s="2">
        <f>Table1[[#This Row],[Salary_after]]-Table1[[#This Row],[Salary_before]]</f>
        <v>7208.3099999999977</v>
      </c>
      <c r="L1160" s="11">
        <v>6.5199999999999994E-2</v>
      </c>
      <c r="M1160" s="11">
        <v>9.0700000000000003E-2</v>
      </c>
      <c r="N1160">
        <v>45.36</v>
      </c>
      <c r="O1160">
        <v>70.66</v>
      </c>
      <c r="P1160">
        <v>5</v>
      </c>
      <c r="Q1160" t="s">
        <v>21</v>
      </c>
      <c r="R1160">
        <v>44.814999999999998</v>
      </c>
      <c r="S1160">
        <v>6.52</v>
      </c>
      <c r="T1160" s="4">
        <v>31.501999999999999</v>
      </c>
      <c r="U1160" s="4">
        <v>18.774362</v>
      </c>
      <c r="V1160" t="str">
        <f>IF(Table1[[#This Row],[ai_disruption_intensity]]&gt;70,"High",
IF(Table1[[#This Row],[ai_disruption_intensity]]&gt;40,"Medium","Low"))</f>
        <v>Low</v>
      </c>
      <c r="W1160" t="str">
        <f>IF(Table1[[#This Row],[skill_gap_index]]&gt;70,"Large Gap",
IF(Table1[[#This Row],[skill_gap_index]]&gt;40,"Medium Gap","Small Gap"))</f>
        <v>Medium Gap</v>
      </c>
      <c r="X1160" s="3" t="str">
        <f>IF(Table1[[#This Row],[automation_risk_percent]]&gt;0.7,"Highly Automatable",
IF(Table1[[#This Row],[automation_risk_percent]]&gt;0.4,"Moderate Risk","Safe Job"))</f>
        <v>Safe Job</v>
      </c>
    </row>
    <row r="1161" spans="1:24" x14ac:dyDescent="0.3">
      <c r="A1161">
        <v>4103</v>
      </c>
      <c r="B1161" t="s">
        <v>43</v>
      </c>
      <c r="C1161" t="s">
        <v>23</v>
      </c>
      <c r="D1161" t="s">
        <v>42</v>
      </c>
      <c r="E1161" s="1">
        <v>2026</v>
      </c>
      <c r="F1161" s="11">
        <v>0.39200000000000002</v>
      </c>
      <c r="G1161">
        <v>38.58</v>
      </c>
      <c r="H1161">
        <v>59.01</v>
      </c>
      <c r="I1161" s="2">
        <v>53655.93</v>
      </c>
      <c r="J1161" s="2">
        <v>53023.19</v>
      </c>
      <c r="K1161" s="2">
        <f>Table1[[#This Row],[Salary_after]]-Table1[[#This Row],[Salary_before]]</f>
        <v>-632.73999999999796</v>
      </c>
      <c r="L1161" s="11">
        <v>-1.18E-2</v>
      </c>
      <c r="M1161" s="11">
        <v>0.12520000000000001</v>
      </c>
      <c r="N1161">
        <v>25.01</v>
      </c>
      <c r="O1161">
        <v>76.27</v>
      </c>
      <c r="P1161">
        <v>5</v>
      </c>
      <c r="Q1161" t="s">
        <v>25</v>
      </c>
      <c r="R1161">
        <v>49.104999999999997</v>
      </c>
      <c r="S1161">
        <v>1.18</v>
      </c>
      <c r="T1161" s="4">
        <v>33.737000000000002</v>
      </c>
      <c r="U1161" s="4">
        <v>29.897839999999999</v>
      </c>
      <c r="V1161" t="str">
        <f>IF(Table1[[#This Row],[ai_disruption_intensity]]&gt;70,"High",
IF(Table1[[#This Row],[ai_disruption_intensity]]&gt;40,"Medium","Low"))</f>
        <v>Low</v>
      </c>
      <c r="W1161" t="str">
        <f>IF(Table1[[#This Row],[skill_gap_index]]&gt;70,"Large Gap",
IF(Table1[[#This Row],[skill_gap_index]]&gt;40,"Medium Gap","Small Gap"))</f>
        <v>Medium Gap</v>
      </c>
      <c r="X1161" s="3" t="str">
        <f>IF(Table1[[#This Row],[automation_risk_percent]]&gt;0.7,"Highly Automatable",
IF(Table1[[#This Row],[automation_risk_percent]]&gt;0.4,"Moderate Risk","Safe Job"))</f>
        <v>Safe Job</v>
      </c>
    </row>
    <row r="1162" spans="1:24" x14ac:dyDescent="0.3">
      <c r="A1162">
        <v>4117</v>
      </c>
      <c r="B1162" t="s">
        <v>18</v>
      </c>
      <c r="C1162" t="s">
        <v>27</v>
      </c>
      <c r="D1162" t="s">
        <v>32</v>
      </c>
      <c r="E1162" s="1">
        <v>2026</v>
      </c>
      <c r="F1162" s="11">
        <v>0.69930000000000003</v>
      </c>
      <c r="G1162">
        <v>77.48</v>
      </c>
      <c r="H1162">
        <v>59.05</v>
      </c>
      <c r="I1162" s="2">
        <v>140231.42000000001</v>
      </c>
      <c r="J1162" s="2">
        <v>147431.4</v>
      </c>
      <c r="K1162" s="2">
        <f>Table1[[#This Row],[Salary_after]]-Table1[[#This Row],[Salary_before]]</f>
        <v>7199.9799999999814</v>
      </c>
      <c r="L1162" s="11">
        <v>5.1299999999999998E-2</v>
      </c>
      <c r="M1162" s="11">
        <v>-4.1100000000000005E-2</v>
      </c>
      <c r="N1162">
        <v>96.67</v>
      </c>
      <c r="O1162">
        <v>31</v>
      </c>
      <c r="P1162">
        <v>3</v>
      </c>
      <c r="Q1162" t="s">
        <v>37</v>
      </c>
      <c r="R1162">
        <v>64.489999999999995</v>
      </c>
      <c r="S1162">
        <v>5.13</v>
      </c>
      <c r="T1162" s="4">
        <v>47.225999999999999</v>
      </c>
      <c r="U1162" s="4">
        <v>21.6783</v>
      </c>
      <c r="V1162" t="str">
        <f>IF(Table1[[#This Row],[ai_disruption_intensity]]&gt;70,"High",
IF(Table1[[#This Row],[ai_disruption_intensity]]&gt;40,"Medium","Low"))</f>
        <v>Low</v>
      </c>
      <c r="W1162" t="str">
        <f>IF(Table1[[#This Row],[skill_gap_index]]&gt;70,"Large Gap",
IF(Table1[[#This Row],[skill_gap_index]]&gt;40,"Medium Gap","Small Gap"))</f>
        <v>Medium Gap</v>
      </c>
      <c r="X1162" s="3" t="str">
        <f>IF(Table1[[#This Row],[automation_risk_percent]]&gt;0.7,"Highly Automatable",
IF(Table1[[#This Row],[automation_risk_percent]]&gt;0.4,"Moderate Risk","Safe Job"))</f>
        <v>Moderate Risk</v>
      </c>
    </row>
    <row r="1163" spans="1:24" x14ac:dyDescent="0.3">
      <c r="A1163">
        <v>4118</v>
      </c>
      <c r="B1163" t="s">
        <v>41</v>
      </c>
      <c r="C1163" t="s">
        <v>33</v>
      </c>
      <c r="D1163" t="s">
        <v>20</v>
      </c>
      <c r="E1163" s="1">
        <v>2025</v>
      </c>
      <c r="F1163" s="11">
        <v>0.26069999999999999</v>
      </c>
      <c r="G1163">
        <v>28.52</v>
      </c>
      <c r="H1163">
        <v>0.7</v>
      </c>
      <c r="I1163" s="2">
        <v>134704.04</v>
      </c>
      <c r="J1163" s="2">
        <v>136913.23000000001</v>
      </c>
      <c r="K1163" s="2">
        <f>Table1[[#This Row],[Salary_after]]-Table1[[#This Row],[Salary_before]]</f>
        <v>2209.1900000000023</v>
      </c>
      <c r="L1163" s="11">
        <v>1.6399999999999998E-2</v>
      </c>
      <c r="M1163" s="11">
        <v>2.3999999999999998E-3</v>
      </c>
      <c r="N1163">
        <v>43.95</v>
      </c>
      <c r="O1163">
        <v>20.329999999999998</v>
      </c>
      <c r="P1163">
        <v>1</v>
      </c>
      <c r="Q1163" t="s">
        <v>21</v>
      </c>
      <c r="R1163">
        <v>13.385</v>
      </c>
      <c r="S1163">
        <v>1.64</v>
      </c>
      <c r="T1163" s="4">
        <v>11.13</v>
      </c>
      <c r="U1163" s="4">
        <v>5.3000309999999997</v>
      </c>
      <c r="V1163" t="str">
        <f>IF(Table1[[#This Row],[ai_disruption_intensity]]&gt;70,"High",
IF(Table1[[#This Row],[ai_disruption_intensity]]&gt;40,"Medium","Low"))</f>
        <v>Low</v>
      </c>
      <c r="W1163" t="str">
        <f>IF(Table1[[#This Row],[skill_gap_index]]&gt;70,"Large Gap",
IF(Table1[[#This Row],[skill_gap_index]]&gt;40,"Medium Gap","Small Gap"))</f>
        <v>Small Gap</v>
      </c>
      <c r="X1163" s="3" t="str">
        <f>IF(Table1[[#This Row],[automation_risk_percent]]&gt;0.7,"Highly Automatable",
IF(Table1[[#This Row],[automation_risk_percent]]&gt;0.4,"Moderate Risk","Safe Job"))</f>
        <v>Safe Job</v>
      </c>
    </row>
    <row r="1164" spans="1:24" x14ac:dyDescent="0.3">
      <c r="A1164">
        <v>4119</v>
      </c>
      <c r="B1164" t="s">
        <v>26</v>
      </c>
      <c r="C1164" t="s">
        <v>38</v>
      </c>
      <c r="D1164" t="s">
        <v>24</v>
      </c>
      <c r="E1164" s="1">
        <v>2025</v>
      </c>
      <c r="F1164" s="11">
        <v>0.62880000000000003</v>
      </c>
      <c r="G1164">
        <v>69.069999999999993</v>
      </c>
      <c r="H1164">
        <v>34.04</v>
      </c>
      <c r="I1164" s="2">
        <v>64098.37</v>
      </c>
      <c r="J1164" s="2">
        <v>68743.3</v>
      </c>
      <c r="K1164" s="2">
        <f>Table1[[#This Row],[Salary_after]]-Table1[[#This Row],[Salary_before]]</f>
        <v>4644.93</v>
      </c>
      <c r="L1164" s="11">
        <v>7.2499999999999995E-2</v>
      </c>
      <c r="M1164" s="11">
        <v>0.1008</v>
      </c>
      <c r="N1164">
        <v>74.430000000000007</v>
      </c>
      <c r="O1164">
        <v>64</v>
      </c>
      <c r="P1164">
        <v>3</v>
      </c>
      <c r="Q1164" t="s">
        <v>37</v>
      </c>
      <c r="R1164">
        <v>48.46</v>
      </c>
      <c r="S1164">
        <v>7.25</v>
      </c>
      <c r="T1164" s="4">
        <v>37.539000000000001</v>
      </c>
      <c r="U1164" s="4">
        <v>40.243200000000002</v>
      </c>
      <c r="V1164" t="str">
        <f>IF(Table1[[#This Row],[ai_disruption_intensity]]&gt;70,"High",
IF(Table1[[#This Row],[ai_disruption_intensity]]&gt;40,"Medium","Low"))</f>
        <v>Medium</v>
      </c>
      <c r="W1164" t="str">
        <f>IF(Table1[[#This Row],[skill_gap_index]]&gt;70,"Large Gap",
IF(Table1[[#This Row],[skill_gap_index]]&gt;40,"Medium Gap","Small Gap"))</f>
        <v>Small Gap</v>
      </c>
      <c r="X1164" s="3" t="str">
        <f>IF(Table1[[#This Row],[automation_risk_percent]]&gt;0.7,"Highly Automatable",
IF(Table1[[#This Row],[automation_risk_percent]]&gt;0.4,"Moderate Risk","Safe Job"))</f>
        <v>Moderate Risk</v>
      </c>
    </row>
    <row r="1165" spans="1:24" x14ac:dyDescent="0.3">
      <c r="A1165">
        <v>4121</v>
      </c>
      <c r="B1165" t="s">
        <v>29</v>
      </c>
      <c r="C1165" t="s">
        <v>27</v>
      </c>
      <c r="D1165" t="s">
        <v>35</v>
      </c>
      <c r="E1165" s="1">
        <v>2026</v>
      </c>
      <c r="F1165" s="11">
        <v>0.84939999999999993</v>
      </c>
      <c r="G1165">
        <v>85.18</v>
      </c>
      <c r="H1165">
        <v>62.46</v>
      </c>
      <c r="I1165" s="2">
        <v>132548.62</v>
      </c>
      <c r="J1165" s="2">
        <v>128333.31</v>
      </c>
      <c r="K1165" s="2">
        <f>Table1[[#This Row],[Salary_after]]-Table1[[#This Row],[Salary_before]]</f>
        <v>-4215.3099999999977</v>
      </c>
      <c r="L1165" s="11">
        <v>-3.1800000000000002E-2</v>
      </c>
      <c r="M1165" s="11">
        <v>-0.10210000000000001</v>
      </c>
      <c r="N1165">
        <v>65.86</v>
      </c>
      <c r="O1165">
        <v>91.51</v>
      </c>
      <c r="P1165">
        <v>4</v>
      </c>
      <c r="Q1165" t="s">
        <v>37</v>
      </c>
      <c r="R1165">
        <v>73.7</v>
      </c>
      <c r="S1165">
        <v>3.18</v>
      </c>
      <c r="T1165" s="4">
        <v>53.667999999999999</v>
      </c>
      <c r="U1165" s="4">
        <v>77.728594000000001</v>
      </c>
      <c r="V1165" t="str">
        <f>IF(Table1[[#This Row],[ai_disruption_intensity]]&gt;70,"High",
IF(Table1[[#This Row],[ai_disruption_intensity]]&gt;40,"Medium","Low"))</f>
        <v>High</v>
      </c>
      <c r="W1165" t="str">
        <f>IF(Table1[[#This Row],[skill_gap_index]]&gt;70,"Large Gap",
IF(Table1[[#This Row],[skill_gap_index]]&gt;40,"Medium Gap","Small Gap"))</f>
        <v>Medium Gap</v>
      </c>
      <c r="X1165" s="3" t="str">
        <f>IF(Table1[[#This Row],[automation_risk_percent]]&gt;0.7,"Highly Automatable",
IF(Table1[[#This Row],[automation_risk_percent]]&gt;0.4,"Moderate Risk","Safe Job"))</f>
        <v>Highly Automatable</v>
      </c>
    </row>
    <row r="1166" spans="1:24" x14ac:dyDescent="0.3">
      <c r="A1166">
        <v>4124</v>
      </c>
      <c r="B1166" t="s">
        <v>45</v>
      </c>
      <c r="C1166" t="s">
        <v>27</v>
      </c>
      <c r="D1166" t="s">
        <v>32</v>
      </c>
      <c r="E1166" s="1">
        <v>2025</v>
      </c>
      <c r="F1166" s="11">
        <v>0.20129999999999998</v>
      </c>
      <c r="G1166">
        <v>22.58</v>
      </c>
      <c r="H1166">
        <v>30.75</v>
      </c>
      <c r="I1166" s="2">
        <v>122591.75</v>
      </c>
      <c r="J1166" s="2">
        <v>106676.99</v>
      </c>
      <c r="K1166" s="2">
        <f>Table1[[#This Row],[Salary_after]]-Table1[[#This Row],[Salary_before]]</f>
        <v>-15914.759999999995</v>
      </c>
      <c r="L1166" s="11">
        <v>-0.1298</v>
      </c>
      <c r="M1166" s="11">
        <v>0.13119999999999998</v>
      </c>
      <c r="N1166">
        <v>29.11</v>
      </c>
      <c r="O1166">
        <v>13.09</v>
      </c>
      <c r="P1166">
        <v>3</v>
      </c>
      <c r="Q1166" t="s">
        <v>21</v>
      </c>
      <c r="R1166">
        <v>25.439999999999898</v>
      </c>
      <c r="S1166">
        <v>12.98</v>
      </c>
      <c r="T1166" s="4">
        <v>21.170999999999999</v>
      </c>
      <c r="U1166" s="4">
        <v>2.6350169999999902</v>
      </c>
      <c r="V1166" t="str">
        <f>IF(Table1[[#This Row],[ai_disruption_intensity]]&gt;70,"High",
IF(Table1[[#This Row],[ai_disruption_intensity]]&gt;40,"Medium","Low"))</f>
        <v>Low</v>
      </c>
      <c r="W1166" t="str">
        <f>IF(Table1[[#This Row],[skill_gap_index]]&gt;70,"Large Gap",
IF(Table1[[#This Row],[skill_gap_index]]&gt;40,"Medium Gap","Small Gap"))</f>
        <v>Small Gap</v>
      </c>
      <c r="X1166" s="3" t="str">
        <f>IF(Table1[[#This Row],[automation_risk_percent]]&gt;0.7,"Highly Automatable",
IF(Table1[[#This Row],[automation_risk_percent]]&gt;0.4,"Moderate Risk","Safe Job"))</f>
        <v>Safe Job</v>
      </c>
    </row>
    <row r="1167" spans="1:24" x14ac:dyDescent="0.3">
      <c r="A1167">
        <v>4126</v>
      </c>
      <c r="B1167" t="s">
        <v>26</v>
      </c>
      <c r="C1167" t="s">
        <v>38</v>
      </c>
      <c r="D1167" t="s">
        <v>28</v>
      </c>
      <c r="E1167" s="1">
        <v>2026</v>
      </c>
      <c r="F1167" s="11">
        <v>0.1613</v>
      </c>
      <c r="G1167">
        <v>16.690000000000001</v>
      </c>
      <c r="H1167">
        <v>7.83</v>
      </c>
      <c r="I1167" s="2">
        <v>44417.09</v>
      </c>
      <c r="J1167" s="2">
        <v>43584.160000000003</v>
      </c>
      <c r="K1167" s="2">
        <f>Table1[[#This Row],[Salary_after]]-Table1[[#This Row],[Salary_before]]</f>
        <v>-832.92999999999302</v>
      </c>
      <c r="L1167" s="11">
        <v>-1.8799999999999997E-2</v>
      </c>
      <c r="M1167" s="11">
        <v>0.26569999999999999</v>
      </c>
      <c r="N1167">
        <v>78.25</v>
      </c>
      <c r="O1167">
        <v>42.57</v>
      </c>
      <c r="P1167">
        <v>3</v>
      </c>
      <c r="Q1167" t="s">
        <v>21</v>
      </c>
      <c r="R1167">
        <v>11.98</v>
      </c>
      <c r="S1167">
        <v>1.88</v>
      </c>
      <c r="T1167" s="4">
        <v>9.3650000000000002</v>
      </c>
      <c r="U1167" s="4">
        <v>6.8665409999999998</v>
      </c>
      <c r="V1167" t="str">
        <f>IF(Table1[[#This Row],[ai_disruption_intensity]]&gt;70,"High",
IF(Table1[[#This Row],[ai_disruption_intensity]]&gt;40,"Medium","Low"))</f>
        <v>Low</v>
      </c>
      <c r="W1167" t="str">
        <f>IF(Table1[[#This Row],[skill_gap_index]]&gt;70,"Large Gap",
IF(Table1[[#This Row],[skill_gap_index]]&gt;40,"Medium Gap","Small Gap"))</f>
        <v>Small Gap</v>
      </c>
      <c r="X1167" s="3" t="str">
        <f>IF(Table1[[#This Row],[automation_risk_percent]]&gt;0.7,"Highly Automatable",
IF(Table1[[#This Row],[automation_risk_percent]]&gt;0.4,"Moderate Risk","Safe Job"))</f>
        <v>Safe Job</v>
      </c>
    </row>
    <row r="1168" spans="1:24" x14ac:dyDescent="0.3">
      <c r="A1168">
        <v>4129</v>
      </c>
      <c r="B1168" t="s">
        <v>39</v>
      </c>
      <c r="C1168" t="s">
        <v>33</v>
      </c>
      <c r="D1168" t="s">
        <v>32</v>
      </c>
      <c r="E1168" s="1">
        <v>2026</v>
      </c>
      <c r="F1168" s="11">
        <v>0.53500000000000003</v>
      </c>
      <c r="G1168">
        <v>59.02</v>
      </c>
      <c r="H1168">
        <v>56.08</v>
      </c>
      <c r="I1168" s="2">
        <v>49100.01</v>
      </c>
      <c r="J1168" s="2">
        <v>52049.59</v>
      </c>
      <c r="K1168" s="2">
        <f>Table1[[#This Row],[Salary_after]]-Table1[[#This Row],[Salary_before]]</f>
        <v>2949.5799999999945</v>
      </c>
      <c r="L1168" s="11">
        <v>6.0100000000000001E-2</v>
      </c>
      <c r="M1168" s="11">
        <v>-0.13739999999999999</v>
      </c>
      <c r="N1168">
        <v>11.64</v>
      </c>
      <c r="O1168">
        <v>43.74</v>
      </c>
      <c r="P1168">
        <v>4</v>
      </c>
      <c r="Q1168" t="s">
        <v>25</v>
      </c>
      <c r="R1168">
        <v>54.79</v>
      </c>
      <c r="S1168">
        <v>6.01</v>
      </c>
      <c r="T1168" s="4">
        <v>40.027000000000001</v>
      </c>
      <c r="U1168" s="4">
        <v>23.4009</v>
      </c>
      <c r="V1168" t="str">
        <f>IF(Table1[[#This Row],[ai_disruption_intensity]]&gt;70,"High",
IF(Table1[[#This Row],[ai_disruption_intensity]]&gt;40,"Medium","Low"))</f>
        <v>Low</v>
      </c>
      <c r="W1168" t="str">
        <f>IF(Table1[[#This Row],[skill_gap_index]]&gt;70,"Large Gap",
IF(Table1[[#This Row],[skill_gap_index]]&gt;40,"Medium Gap","Small Gap"))</f>
        <v>Medium Gap</v>
      </c>
      <c r="X1168" s="3" t="str">
        <f>IF(Table1[[#This Row],[automation_risk_percent]]&gt;0.7,"Highly Automatable",
IF(Table1[[#This Row],[automation_risk_percent]]&gt;0.4,"Moderate Risk","Safe Job"))</f>
        <v>Moderate Risk</v>
      </c>
    </row>
    <row r="1169" spans="1:24" x14ac:dyDescent="0.3">
      <c r="A1169">
        <v>4135</v>
      </c>
      <c r="B1169" t="s">
        <v>45</v>
      </c>
      <c r="C1169" t="s">
        <v>19</v>
      </c>
      <c r="D1169" t="s">
        <v>28</v>
      </c>
      <c r="E1169" s="1">
        <v>2025</v>
      </c>
      <c r="F1169" s="11">
        <v>0.49259999999999998</v>
      </c>
      <c r="G1169">
        <v>57.53</v>
      </c>
      <c r="H1169">
        <v>91.43</v>
      </c>
      <c r="I1169" s="2">
        <v>31299.4</v>
      </c>
      <c r="J1169" s="2">
        <v>31907.1</v>
      </c>
      <c r="K1169" s="2">
        <f>Table1[[#This Row],[Salary_after]]-Table1[[#This Row],[Salary_before]]</f>
        <v>607.69999999999709</v>
      </c>
      <c r="L1169" s="11">
        <v>1.9400000000000001E-2</v>
      </c>
      <c r="M1169" s="11">
        <v>-4.1799999999999997E-2</v>
      </c>
      <c r="N1169">
        <v>86.36</v>
      </c>
      <c r="O1169">
        <v>95.44</v>
      </c>
      <c r="P1169">
        <v>3</v>
      </c>
      <c r="Q1169" t="s">
        <v>25</v>
      </c>
      <c r="R1169">
        <v>70.344999999999999</v>
      </c>
      <c r="S1169">
        <v>1.94</v>
      </c>
      <c r="T1169" s="4">
        <v>47.715000000000003</v>
      </c>
      <c r="U1169" s="4">
        <v>47.013743999999903</v>
      </c>
      <c r="V1169" t="str">
        <f>IF(Table1[[#This Row],[ai_disruption_intensity]]&gt;70,"High",
IF(Table1[[#This Row],[ai_disruption_intensity]]&gt;40,"Medium","Low"))</f>
        <v>Medium</v>
      </c>
      <c r="W1169" t="str">
        <f>IF(Table1[[#This Row],[skill_gap_index]]&gt;70,"Large Gap",
IF(Table1[[#This Row],[skill_gap_index]]&gt;40,"Medium Gap","Small Gap"))</f>
        <v>Large Gap</v>
      </c>
      <c r="X1169" s="3" t="str">
        <f>IF(Table1[[#This Row],[automation_risk_percent]]&gt;0.7,"Highly Automatable",
IF(Table1[[#This Row],[automation_risk_percent]]&gt;0.4,"Moderate Risk","Safe Job"))</f>
        <v>Moderate Risk</v>
      </c>
    </row>
    <row r="1170" spans="1:24" x14ac:dyDescent="0.3">
      <c r="A1170">
        <v>4136</v>
      </c>
      <c r="B1170" t="s">
        <v>22</v>
      </c>
      <c r="C1170" t="s">
        <v>34</v>
      </c>
      <c r="D1170" t="s">
        <v>32</v>
      </c>
      <c r="E1170" s="1">
        <v>2026</v>
      </c>
      <c r="F1170" s="11">
        <v>0.70239999999999991</v>
      </c>
      <c r="G1170">
        <v>75.23</v>
      </c>
      <c r="H1170">
        <v>20.05</v>
      </c>
      <c r="I1170" s="2">
        <v>38714.58</v>
      </c>
      <c r="J1170" s="2">
        <v>39207.410000000003</v>
      </c>
      <c r="K1170" s="2">
        <f>Table1[[#This Row],[Salary_after]]-Table1[[#This Row],[Salary_before]]</f>
        <v>492.83000000000175</v>
      </c>
      <c r="L1170" s="11">
        <v>1.2699999999999999E-2</v>
      </c>
      <c r="M1170" s="11">
        <v>-1.4000000000000002E-3</v>
      </c>
      <c r="N1170">
        <v>13.26</v>
      </c>
      <c r="O1170">
        <v>73.92</v>
      </c>
      <c r="P1170">
        <v>5</v>
      </c>
      <c r="Q1170" t="s">
        <v>37</v>
      </c>
      <c r="R1170">
        <v>45.144999999999897</v>
      </c>
      <c r="S1170">
        <v>1.27</v>
      </c>
      <c r="T1170" s="4">
        <v>34.491999999999997</v>
      </c>
      <c r="U1170" s="4">
        <v>51.921408</v>
      </c>
      <c r="V1170" t="str">
        <f>IF(Table1[[#This Row],[ai_disruption_intensity]]&gt;70,"High",
IF(Table1[[#This Row],[ai_disruption_intensity]]&gt;40,"Medium","Low"))</f>
        <v>Medium</v>
      </c>
      <c r="W1170" t="str">
        <f>IF(Table1[[#This Row],[skill_gap_index]]&gt;70,"Large Gap",
IF(Table1[[#This Row],[skill_gap_index]]&gt;40,"Medium Gap","Small Gap"))</f>
        <v>Small Gap</v>
      </c>
      <c r="X1170" s="3" t="str">
        <f>IF(Table1[[#This Row],[automation_risk_percent]]&gt;0.7,"Highly Automatable",
IF(Table1[[#This Row],[automation_risk_percent]]&gt;0.4,"Moderate Risk","Safe Job"))</f>
        <v>Highly Automatable</v>
      </c>
    </row>
    <row r="1171" spans="1:24" x14ac:dyDescent="0.3">
      <c r="A1171">
        <v>4143</v>
      </c>
      <c r="B1171" t="s">
        <v>44</v>
      </c>
      <c r="C1171" t="s">
        <v>23</v>
      </c>
      <c r="D1171" t="s">
        <v>28</v>
      </c>
      <c r="E1171" s="1">
        <v>2025</v>
      </c>
      <c r="F1171" s="11">
        <v>0.11259999999999999</v>
      </c>
      <c r="G1171">
        <v>9.36</v>
      </c>
      <c r="H1171">
        <v>60.8</v>
      </c>
      <c r="I1171" s="2">
        <v>53323.02</v>
      </c>
      <c r="J1171" s="2">
        <v>58688.56</v>
      </c>
      <c r="K1171" s="2">
        <f>Table1[[#This Row],[Salary_after]]-Table1[[#This Row],[Salary_before]]</f>
        <v>5365.5400000000009</v>
      </c>
      <c r="L1171" s="11">
        <v>0.10060000000000001</v>
      </c>
      <c r="M1171" s="11">
        <v>0.11849999999999999</v>
      </c>
      <c r="N1171">
        <v>86.53</v>
      </c>
      <c r="O1171">
        <v>13.38</v>
      </c>
      <c r="P1171">
        <v>5</v>
      </c>
      <c r="Q1171" t="s">
        <v>21</v>
      </c>
      <c r="R1171">
        <v>36.03</v>
      </c>
      <c r="S1171">
        <v>10.06</v>
      </c>
      <c r="T1171" s="4">
        <v>25.762</v>
      </c>
      <c r="U1171" s="4">
        <v>1.506588</v>
      </c>
      <c r="V1171" t="str">
        <f>IF(Table1[[#This Row],[ai_disruption_intensity]]&gt;70,"High",
IF(Table1[[#This Row],[ai_disruption_intensity]]&gt;40,"Medium","Low"))</f>
        <v>Low</v>
      </c>
      <c r="W1171" t="str">
        <f>IF(Table1[[#This Row],[skill_gap_index]]&gt;70,"Large Gap",
IF(Table1[[#This Row],[skill_gap_index]]&gt;40,"Medium Gap","Small Gap"))</f>
        <v>Medium Gap</v>
      </c>
      <c r="X1171" s="3" t="str">
        <f>IF(Table1[[#This Row],[automation_risk_percent]]&gt;0.7,"Highly Automatable",
IF(Table1[[#This Row],[automation_risk_percent]]&gt;0.4,"Moderate Risk","Safe Job"))</f>
        <v>Safe Job</v>
      </c>
    </row>
    <row r="1172" spans="1:24" x14ac:dyDescent="0.3">
      <c r="A1172">
        <v>4146</v>
      </c>
      <c r="B1172" t="s">
        <v>45</v>
      </c>
      <c r="C1172" t="s">
        <v>34</v>
      </c>
      <c r="D1172" t="s">
        <v>47</v>
      </c>
      <c r="E1172" s="1">
        <v>2026</v>
      </c>
      <c r="F1172" s="11">
        <v>0.53520000000000001</v>
      </c>
      <c r="G1172">
        <v>51.09</v>
      </c>
      <c r="H1172">
        <v>21.69</v>
      </c>
      <c r="I1172" s="2">
        <v>141073.75</v>
      </c>
      <c r="J1172" s="2">
        <v>102399.55</v>
      </c>
      <c r="K1172" s="2">
        <f>Table1[[#This Row],[Salary_after]]-Table1[[#This Row],[Salary_before]]</f>
        <v>-38674.199999999997</v>
      </c>
      <c r="L1172" s="11">
        <v>-0.27410000000000001</v>
      </c>
      <c r="M1172" s="11">
        <v>0.2651</v>
      </c>
      <c r="N1172">
        <v>99.65</v>
      </c>
      <c r="O1172">
        <v>38.39</v>
      </c>
      <c r="P1172">
        <v>2</v>
      </c>
      <c r="Q1172" t="s">
        <v>25</v>
      </c>
      <c r="R1172">
        <v>37.604999999999997</v>
      </c>
      <c r="S1172">
        <v>27.41</v>
      </c>
      <c r="T1172" s="4">
        <v>36.137999999999998</v>
      </c>
      <c r="U1172" s="4">
        <v>20.546327999999999</v>
      </c>
      <c r="V1172" t="str">
        <f>IF(Table1[[#This Row],[ai_disruption_intensity]]&gt;70,"High",
IF(Table1[[#This Row],[ai_disruption_intensity]]&gt;40,"Medium","Low"))</f>
        <v>Low</v>
      </c>
      <c r="W1172" t="str">
        <f>IF(Table1[[#This Row],[skill_gap_index]]&gt;70,"Large Gap",
IF(Table1[[#This Row],[skill_gap_index]]&gt;40,"Medium Gap","Small Gap"))</f>
        <v>Small Gap</v>
      </c>
      <c r="X1172" s="3" t="str">
        <f>IF(Table1[[#This Row],[automation_risk_percent]]&gt;0.7,"Highly Automatable",
IF(Table1[[#This Row],[automation_risk_percent]]&gt;0.4,"Moderate Risk","Safe Job"))</f>
        <v>Moderate Risk</v>
      </c>
    </row>
    <row r="1173" spans="1:24" x14ac:dyDescent="0.3">
      <c r="A1173">
        <v>4147</v>
      </c>
      <c r="B1173" t="s">
        <v>43</v>
      </c>
      <c r="C1173" t="s">
        <v>33</v>
      </c>
      <c r="D1173" t="s">
        <v>36</v>
      </c>
      <c r="E1173" s="1">
        <v>2026</v>
      </c>
      <c r="F1173" s="11">
        <v>0.69790000000000008</v>
      </c>
      <c r="G1173">
        <v>79.900000000000006</v>
      </c>
      <c r="H1173">
        <v>23.27</v>
      </c>
      <c r="I1173" s="2">
        <v>41380.76</v>
      </c>
      <c r="J1173" s="2">
        <v>41132.410000000003</v>
      </c>
      <c r="K1173" s="2">
        <f>Table1[[#This Row],[Salary_after]]-Table1[[#This Row],[Salary_before]]</f>
        <v>-248.34999999999854</v>
      </c>
      <c r="L1173" s="11">
        <v>-6.0000000000000001E-3</v>
      </c>
      <c r="M1173" s="11">
        <v>8.8499999999999995E-2</v>
      </c>
      <c r="N1173">
        <v>10.199999999999999</v>
      </c>
      <c r="O1173">
        <v>49.9</v>
      </c>
      <c r="P1173">
        <v>3</v>
      </c>
      <c r="Q1173" t="s">
        <v>37</v>
      </c>
      <c r="R1173">
        <v>46.53</v>
      </c>
      <c r="S1173">
        <v>0.6</v>
      </c>
      <c r="T1173" s="4">
        <v>35.076999999999998</v>
      </c>
      <c r="U1173" s="4">
        <v>34.825209999999998</v>
      </c>
      <c r="V1173" t="str">
        <f>IF(Table1[[#This Row],[ai_disruption_intensity]]&gt;70,"High",
IF(Table1[[#This Row],[ai_disruption_intensity]]&gt;40,"Medium","Low"))</f>
        <v>Low</v>
      </c>
      <c r="W1173" t="str">
        <f>IF(Table1[[#This Row],[skill_gap_index]]&gt;70,"Large Gap",
IF(Table1[[#This Row],[skill_gap_index]]&gt;40,"Medium Gap","Small Gap"))</f>
        <v>Small Gap</v>
      </c>
      <c r="X1173" s="3" t="str">
        <f>IF(Table1[[#This Row],[automation_risk_percent]]&gt;0.7,"Highly Automatable",
IF(Table1[[#This Row],[automation_risk_percent]]&gt;0.4,"Moderate Risk","Safe Job"))</f>
        <v>Moderate Risk</v>
      </c>
    </row>
    <row r="1174" spans="1:24" x14ac:dyDescent="0.3">
      <c r="A1174">
        <v>4148</v>
      </c>
      <c r="B1174" t="s">
        <v>45</v>
      </c>
      <c r="C1174" t="s">
        <v>38</v>
      </c>
      <c r="D1174" t="s">
        <v>20</v>
      </c>
      <c r="E1174" s="1">
        <v>2025</v>
      </c>
      <c r="F1174" s="11">
        <v>0.53349999999999997</v>
      </c>
      <c r="G1174">
        <v>59.24</v>
      </c>
      <c r="H1174">
        <v>94.29</v>
      </c>
      <c r="I1174" s="2">
        <v>139820.48000000001</v>
      </c>
      <c r="J1174" s="2">
        <v>126414.43</v>
      </c>
      <c r="K1174" s="2">
        <f>Table1[[#This Row],[Salary_after]]-Table1[[#This Row],[Salary_before]]</f>
        <v>-13406.050000000017</v>
      </c>
      <c r="L1174" s="11">
        <v>-9.5899999999999999E-2</v>
      </c>
      <c r="M1174" s="11">
        <v>0.1241</v>
      </c>
      <c r="N1174">
        <v>26.88</v>
      </c>
      <c r="O1174">
        <v>80.03</v>
      </c>
      <c r="P1174">
        <v>4</v>
      </c>
      <c r="Q1174" t="s">
        <v>25</v>
      </c>
      <c r="R1174">
        <v>73.819999999999993</v>
      </c>
      <c r="S1174">
        <v>9.59</v>
      </c>
      <c r="T1174" s="4">
        <v>52.503999999999998</v>
      </c>
      <c r="U1174" s="4">
        <v>42.696005</v>
      </c>
      <c r="V1174" t="str">
        <f>IF(Table1[[#This Row],[ai_disruption_intensity]]&gt;70,"High",
IF(Table1[[#This Row],[ai_disruption_intensity]]&gt;40,"Medium","Low"))</f>
        <v>Medium</v>
      </c>
      <c r="W1174" t="str">
        <f>IF(Table1[[#This Row],[skill_gap_index]]&gt;70,"Large Gap",
IF(Table1[[#This Row],[skill_gap_index]]&gt;40,"Medium Gap","Small Gap"))</f>
        <v>Large Gap</v>
      </c>
      <c r="X1174" s="3" t="str">
        <f>IF(Table1[[#This Row],[automation_risk_percent]]&gt;0.7,"Highly Automatable",
IF(Table1[[#This Row],[automation_risk_percent]]&gt;0.4,"Moderate Risk","Safe Job"))</f>
        <v>Moderate Risk</v>
      </c>
    </row>
    <row r="1175" spans="1:24" x14ac:dyDescent="0.3">
      <c r="A1175">
        <v>4151</v>
      </c>
      <c r="B1175" t="s">
        <v>39</v>
      </c>
      <c r="C1175" t="s">
        <v>34</v>
      </c>
      <c r="D1175" t="s">
        <v>36</v>
      </c>
      <c r="E1175" s="1">
        <v>2026</v>
      </c>
      <c r="F1175" s="11">
        <v>0.28620000000000001</v>
      </c>
      <c r="G1175">
        <v>31.68</v>
      </c>
      <c r="H1175">
        <v>9.85</v>
      </c>
      <c r="I1175" s="2">
        <v>97254.399999999994</v>
      </c>
      <c r="J1175" s="2">
        <v>85201.62</v>
      </c>
      <c r="K1175" s="2">
        <f>Table1[[#This Row],[Salary_after]]-Table1[[#This Row],[Salary_before]]</f>
        <v>-12052.779999999999</v>
      </c>
      <c r="L1175" s="11">
        <v>-0.12390000000000001</v>
      </c>
      <c r="M1175" s="11">
        <v>0.10220000000000001</v>
      </c>
      <c r="N1175">
        <v>84.34</v>
      </c>
      <c r="O1175">
        <v>61.54</v>
      </c>
      <c r="P1175">
        <v>3</v>
      </c>
      <c r="Q1175" t="s">
        <v>21</v>
      </c>
      <c r="R1175">
        <v>19.234999999999999</v>
      </c>
      <c r="S1175">
        <v>12.39</v>
      </c>
      <c r="T1175" s="4">
        <v>18.12</v>
      </c>
      <c r="U1175" s="4">
        <v>17.612748</v>
      </c>
      <c r="V1175" t="str">
        <f>IF(Table1[[#This Row],[ai_disruption_intensity]]&gt;70,"High",
IF(Table1[[#This Row],[ai_disruption_intensity]]&gt;40,"Medium","Low"))</f>
        <v>Low</v>
      </c>
      <c r="W1175" t="str">
        <f>IF(Table1[[#This Row],[skill_gap_index]]&gt;70,"Large Gap",
IF(Table1[[#This Row],[skill_gap_index]]&gt;40,"Medium Gap","Small Gap"))</f>
        <v>Small Gap</v>
      </c>
      <c r="X1175" s="3" t="str">
        <f>IF(Table1[[#This Row],[automation_risk_percent]]&gt;0.7,"Highly Automatable",
IF(Table1[[#This Row],[automation_risk_percent]]&gt;0.4,"Moderate Risk","Safe Job"))</f>
        <v>Safe Job</v>
      </c>
    </row>
    <row r="1176" spans="1:24" x14ac:dyDescent="0.3">
      <c r="A1176">
        <v>4153</v>
      </c>
      <c r="B1176" t="s">
        <v>39</v>
      </c>
      <c r="C1176" t="s">
        <v>33</v>
      </c>
      <c r="D1176" t="s">
        <v>42</v>
      </c>
      <c r="E1176" s="1">
        <v>2026</v>
      </c>
      <c r="F1176" s="11">
        <v>0.79489999999999994</v>
      </c>
      <c r="G1176">
        <v>76.52</v>
      </c>
      <c r="H1176">
        <v>89.87</v>
      </c>
      <c r="I1176" s="2">
        <v>50468.32</v>
      </c>
      <c r="J1176" s="2">
        <v>53091.06</v>
      </c>
      <c r="K1176" s="2">
        <f>Table1[[#This Row],[Salary_after]]-Table1[[#This Row],[Salary_before]]</f>
        <v>2622.739999999998</v>
      </c>
      <c r="L1176" s="11">
        <v>5.2000000000000005E-2</v>
      </c>
      <c r="M1176" s="11">
        <v>4.1599999999999998E-2</v>
      </c>
      <c r="N1176">
        <v>18.2</v>
      </c>
      <c r="O1176">
        <v>59.4</v>
      </c>
      <c r="P1176">
        <v>4</v>
      </c>
      <c r="Q1176" t="s">
        <v>37</v>
      </c>
      <c r="R1176">
        <v>84.68</v>
      </c>
      <c r="S1176">
        <v>5.2</v>
      </c>
      <c r="T1176" s="4">
        <v>60.317</v>
      </c>
      <c r="U1176" s="4">
        <v>47.217059999999897</v>
      </c>
      <c r="V1176" t="str">
        <f>IF(Table1[[#This Row],[ai_disruption_intensity]]&gt;70,"High",
IF(Table1[[#This Row],[ai_disruption_intensity]]&gt;40,"Medium","Low"))</f>
        <v>Medium</v>
      </c>
      <c r="W1176" t="str">
        <f>IF(Table1[[#This Row],[skill_gap_index]]&gt;70,"Large Gap",
IF(Table1[[#This Row],[skill_gap_index]]&gt;40,"Medium Gap","Small Gap"))</f>
        <v>Large Gap</v>
      </c>
      <c r="X1176" s="3" t="str">
        <f>IF(Table1[[#This Row],[automation_risk_percent]]&gt;0.7,"Highly Automatable",
IF(Table1[[#This Row],[automation_risk_percent]]&gt;0.4,"Moderate Risk","Safe Job"))</f>
        <v>Highly Automatable</v>
      </c>
    </row>
    <row r="1177" spans="1:24" x14ac:dyDescent="0.3">
      <c r="A1177">
        <v>4158</v>
      </c>
      <c r="B1177" t="s">
        <v>26</v>
      </c>
      <c r="C1177" t="s">
        <v>33</v>
      </c>
      <c r="D1177" t="s">
        <v>42</v>
      </c>
      <c r="E1177" s="1">
        <v>2025</v>
      </c>
      <c r="F1177" s="11">
        <v>0.51969999999999994</v>
      </c>
      <c r="G1177">
        <v>50.08</v>
      </c>
      <c r="H1177">
        <v>10.85</v>
      </c>
      <c r="I1177" s="2">
        <v>50766.44</v>
      </c>
      <c r="J1177" s="2">
        <v>47733.38</v>
      </c>
      <c r="K1177" s="2">
        <f>Table1[[#This Row],[Salary_after]]-Table1[[#This Row],[Salary_before]]</f>
        <v>-3033.0600000000049</v>
      </c>
      <c r="L1177" s="11">
        <v>-5.9699999999999996E-2</v>
      </c>
      <c r="M1177" s="11">
        <v>0.12710000000000002</v>
      </c>
      <c r="N1177">
        <v>33.79</v>
      </c>
      <c r="O1177">
        <v>92.94</v>
      </c>
      <c r="P1177">
        <v>3</v>
      </c>
      <c r="Q1177" t="s">
        <v>25</v>
      </c>
      <c r="R1177">
        <v>31.41</v>
      </c>
      <c r="S1177">
        <v>5.97</v>
      </c>
      <c r="T1177" s="4">
        <v>25.834</v>
      </c>
      <c r="U1177" s="4">
        <v>48.300918000000003</v>
      </c>
      <c r="V1177" t="str">
        <f>IF(Table1[[#This Row],[ai_disruption_intensity]]&gt;70,"High",
IF(Table1[[#This Row],[ai_disruption_intensity]]&gt;40,"Medium","Low"))</f>
        <v>Medium</v>
      </c>
      <c r="W1177" t="str">
        <f>IF(Table1[[#This Row],[skill_gap_index]]&gt;70,"Large Gap",
IF(Table1[[#This Row],[skill_gap_index]]&gt;40,"Medium Gap","Small Gap"))</f>
        <v>Small Gap</v>
      </c>
      <c r="X1177" s="3" t="str">
        <f>IF(Table1[[#This Row],[automation_risk_percent]]&gt;0.7,"Highly Automatable",
IF(Table1[[#This Row],[automation_risk_percent]]&gt;0.4,"Moderate Risk","Safe Job"))</f>
        <v>Moderate Risk</v>
      </c>
    </row>
    <row r="1178" spans="1:24" x14ac:dyDescent="0.3">
      <c r="A1178">
        <v>4162</v>
      </c>
      <c r="B1178" t="s">
        <v>41</v>
      </c>
      <c r="C1178" t="s">
        <v>38</v>
      </c>
      <c r="D1178" t="s">
        <v>20</v>
      </c>
      <c r="E1178" s="1">
        <v>2025</v>
      </c>
      <c r="F1178" s="11">
        <v>0.94779999999999998</v>
      </c>
      <c r="G1178">
        <v>86.05</v>
      </c>
      <c r="H1178">
        <v>14.11</v>
      </c>
      <c r="I1178" s="2">
        <v>113938.84</v>
      </c>
      <c r="J1178" s="2">
        <v>115456.35</v>
      </c>
      <c r="K1178" s="2">
        <f>Table1[[#This Row],[Salary_after]]-Table1[[#This Row],[Salary_before]]</f>
        <v>1517.5100000000093</v>
      </c>
      <c r="L1178" s="11">
        <v>1.3300000000000001E-2</v>
      </c>
      <c r="M1178" s="11">
        <v>1.2199999999999999E-2</v>
      </c>
      <c r="N1178">
        <v>62.95</v>
      </c>
      <c r="O1178">
        <v>66.28</v>
      </c>
      <c r="P1178">
        <v>2</v>
      </c>
      <c r="Q1178" t="s">
        <v>37</v>
      </c>
      <c r="R1178">
        <v>54.445</v>
      </c>
      <c r="S1178">
        <v>1.33</v>
      </c>
      <c r="T1178" s="4">
        <v>42.543999999999997</v>
      </c>
      <c r="U1178" s="4">
        <v>62.820183999999998</v>
      </c>
      <c r="V1178" t="str">
        <f>IF(Table1[[#This Row],[ai_disruption_intensity]]&gt;70,"High",
IF(Table1[[#This Row],[ai_disruption_intensity]]&gt;40,"Medium","Low"))</f>
        <v>Medium</v>
      </c>
      <c r="W1178" t="str">
        <f>IF(Table1[[#This Row],[skill_gap_index]]&gt;70,"Large Gap",
IF(Table1[[#This Row],[skill_gap_index]]&gt;40,"Medium Gap","Small Gap"))</f>
        <v>Small Gap</v>
      </c>
      <c r="X1178" s="3" t="str">
        <f>IF(Table1[[#This Row],[automation_risk_percent]]&gt;0.7,"Highly Automatable",
IF(Table1[[#This Row],[automation_risk_percent]]&gt;0.4,"Moderate Risk","Safe Job"))</f>
        <v>Highly Automatable</v>
      </c>
    </row>
    <row r="1179" spans="1:24" x14ac:dyDescent="0.3">
      <c r="A1179">
        <v>4163</v>
      </c>
      <c r="B1179" t="s">
        <v>44</v>
      </c>
      <c r="C1179" t="s">
        <v>33</v>
      </c>
      <c r="D1179" t="s">
        <v>36</v>
      </c>
      <c r="E1179" s="1">
        <v>2025</v>
      </c>
      <c r="F1179" s="11">
        <v>0.45399999999999996</v>
      </c>
      <c r="G1179">
        <v>51.16</v>
      </c>
      <c r="H1179">
        <v>54.67</v>
      </c>
      <c r="I1179" s="2">
        <v>140249.63</v>
      </c>
      <c r="J1179" s="2">
        <v>160860.6</v>
      </c>
      <c r="K1179" s="2">
        <f>Table1[[#This Row],[Salary_after]]-Table1[[#This Row],[Salary_before]]</f>
        <v>20610.97</v>
      </c>
      <c r="L1179" s="11">
        <v>0.14699999999999999</v>
      </c>
      <c r="M1179" s="11">
        <v>4.2699999999999995E-2</v>
      </c>
      <c r="N1179">
        <v>46.66</v>
      </c>
      <c r="O1179">
        <v>43.52</v>
      </c>
      <c r="P1179">
        <v>5</v>
      </c>
      <c r="Q1179" t="s">
        <v>25</v>
      </c>
      <c r="R1179">
        <v>50.034999999999997</v>
      </c>
      <c r="S1179">
        <v>14.7</v>
      </c>
      <c r="T1179" s="4">
        <v>38.970999999999997</v>
      </c>
      <c r="U1179" s="4">
        <v>19.75808</v>
      </c>
      <c r="V1179" t="str">
        <f>IF(Table1[[#This Row],[ai_disruption_intensity]]&gt;70,"High",
IF(Table1[[#This Row],[ai_disruption_intensity]]&gt;40,"Medium","Low"))</f>
        <v>Low</v>
      </c>
      <c r="W1179" t="str">
        <f>IF(Table1[[#This Row],[skill_gap_index]]&gt;70,"Large Gap",
IF(Table1[[#This Row],[skill_gap_index]]&gt;40,"Medium Gap","Small Gap"))</f>
        <v>Medium Gap</v>
      </c>
      <c r="X1179" s="3" t="str">
        <f>IF(Table1[[#This Row],[automation_risk_percent]]&gt;0.7,"Highly Automatable",
IF(Table1[[#This Row],[automation_risk_percent]]&gt;0.4,"Moderate Risk","Safe Job"))</f>
        <v>Moderate Risk</v>
      </c>
    </row>
    <row r="1180" spans="1:24" x14ac:dyDescent="0.3">
      <c r="A1180">
        <v>4164</v>
      </c>
      <c r="B1180" t="s">
        <v>39</v>
      </c>
      <c r="C1180" t="s">
        <v>34</v>
      </c>
      <c r="D1180" t="s">
        <v>47</v>
      </c>
      <c r="E1180" s="1">
        <v>2026</v>
      </c>
      <c r="F1180" s="11">
        <v>0.69430000000000003</v>
      </c>
      <c r="G1180">
        <v>58.53</v>
      </c>
      <c r="H1180">
        <v>56.49</v>
      </c>
      <c r="I1180" s="2">
        <v>117160.38</v>
      </c>
      <c r="J1180" s="2">
        <v>123536.91</v>
      </c>
      <c r="K1180" s="2">
        <f>Table1[[#This Row],[Salary_after]]-Table1[[#This Row],[Salary_before]]</f>
        <v>6376.5299999999988</v>
      </c>
      <c r="L1180" s="11">
        <v>5.4400000000000004E-2</v>
      </c>
      <c r="M1180" s="11">
        <v>0.19899999999999998</v>
      </c>
      <c r="N1180">
        <v>50.33</v>
      </c>
      <c r="O1180">
        <v>26.08</v>
      </c>
      <c r="P1180">
        <v>3</v>
      </c>
      <c r="Q1180" t="s">
        <v>37</v>
      </c>
      <c r="R1180">
        <v>62.96</v>
      </c>
      <c r="S1180">
        <v>5.44</v>
      </c>
      <c r="T1180" s="4">
        <v>46.350999999999999</v>
      </c>
      <c r="U1180" s="4">
        <v>18.107344000000001</v>
      </c>
      <c r="V1180" t="str">
        <f>IF(Table1[[#This Row],[ai_disruption_intensity]]&gt;70,"High",
IF(Table1[[#This Row],[ai_disruption_intensity]]&gt;40,"Medium","Low"))</f>
        <v>Low</v>
      </c>
      <c r="W1180" t="str">
        <f>IF(Table1[[#This Row],[skill_gap_index]]&gt;70,"Large Gap",
IF(Table1[[#This Row],[skill_gap_index]]&gt;40,"Medium Gap","Small Gap"))</f>
        <v>Medium Gap</v>
      </c>
      <c r="X1180" s="3" t="str">
        <f>IF(Table1[[#This Row],[automation_risk_percent]]&gt;0.7,"Highly Automatable",
IF(Table1[[#This Row],[automation_risk_percent]]&gt;0.4,"Moderate Risk","Safe Job"))</f>
        <v>Moderate Risk</v>
      </c>
    </row>
    <row r="1181" spans="1:24" x14ac:dyDescent="0.3">
      <c r="A1181">
        <v>4166</v>
      </c>
      <c r="B1181" t="s">
        <v>44</v>
      </c>
      <c r="C1181" t="s">
        <v>40</v>
      </c>
      <c r="D1181" t="s">
        <v>47</v>
      </c>
      <c r="E1181" s="1">
        <v>2026</v>
      </c>
      <c r="F1181" s="11">
        <v>0.129</v>
      </c>
      <c r="G1181">
        <v>11.21</v>
      </c>
      <c r="H1181">
        <v>25.92</v>
      </c>
      <c r="I1181" s="2">
        <v>51125.7</v>
      </c>
      <c r="J1181" s="2">
        <v>54369.61</v>
      </c>
      <c r="K1181" s="2">
        <f>Table1[[#This Row],[Salary_after]]-Table1[[#This Row],[Salary_before]]</f>
        <v>3243.9100000000035</v>
      </c>
      <c r="L1181" s="11">
        <v>6.3399999999999998E-2</v>
      </c>
      <c r="M1181" s="11">
        <v>-1.9900000000000001E-2</v>
      </c>
      <c r="N1181">
        <v>47.08</v>
      </c>
      <c r="O1181">
        <v>40.520000000000003</v>
      </c>
      <c r="P1181">
        <v>5</v>
      </c>
      <c r="Q1181" t="s">
        <v>21</v>
      </c>
      <c r="R1181">
        <v>19.41</v>
      </c>
      <c r="S1181">
        <v>6.34</v>
      </c>
      <c r="T1181" s="4">
        <v>14.837999999999999</v>
      </c>
      <c r="U1181" s="4">
        <v>5.2270799999999999</v>
      </c>
      <c r="V1181" t="str">
        <f>IF(Table1[[#This Row],[ai_disruption_intensity]]&gt;70,"High",
IF(Table1[[#This Row],[ai_disruption_intensity]]&gt;40,"Medium","Low"))</f>
        <v>Low</v>
      </c>
      <c r="W1181" t="str">
        <f>IF(Table1[[#This Row],[skill_gap_index]]&gt;70,"Large Gap",
IF(Table1[[#This Row],[skill_gap_index]]&gt;40,"Medium Gap","Small Gap"))</f>
        <v>Small Gap</v>
      </c>
      <c r="X1181" s="3" t="str">
        <f>IF(Table1[[#This Row],[automation_risk_percent]]&gt;0.7,"Highly Automatable",
IF(Table1[[#This Row],[automation_risk_percent]]&gt;0.4,"Moderate Risk","Safe Job"))</f>
        <v>Safe Job</v>
      </c>
    </row>
    <row r="1182" spans="1:24" x14ac:dyDescent="0.3">
      <c r="A1182">
        <v>4169</v>
      </c>
      <c r="B1182" t="s">
        <v>29</v>
      </c>
      <c r="C1182" t="s">
        <v>27</v>
      </c>
      <c r="D1182" t="s">
        <v>47</v>
      </c>
      <c r="E1182" s="1">
        <v>2026</v>
      </c>
      <c r="F1182" s="11">
        <v>0.81499999999999995</v>
      </c>
      <c r="G1182">
        <v>97.03</v>
      </c>
      <c r="H1182">
        <v>7.66</v>
      </c>
      <c r="I1182" s="2">
        <v>142564.42000000001</v>
      </c>
      <c r="J1182" s="2">
        <v>150062.07999999999</v>
      </c>
      <c r="K1182" s="2">
        <f>Table1[[#This Row],[Salary_after]]-Table1[[#This Row],[Salary_before]]</f>
        <v>7497.6599999999744</v>
      </c>
      <c r="L1182" s="11">
        <v>5.2600000000000001E-2</v>
      </c>
      <c r="M1182" s="11">
        <v>3.32E-2</v>
      </c>
      <c r="N1182">
        <v>68.400000000000006</v>
      </c>
      <c r="O1182">
        <v>89.02</v>
      </c>
      <c r="P1182">
        <v>5</v>
      </c>
      <c r="Q1182" t="s">
        <v>37</v>
      </c>
      <c r="R1182">
        <v>44.58</v>
      </c>
      <c r="S1182">
        <v>5.26</v>
      </c>
      <c r="T1182" s="4">
        <v>36.475999999999999</v>
      </c>
      <c r="U1182" s="4">
        <v>72.551299999999998</v>
      </c>
      <c r="V1182" t="str">
        <f>IF(Table1[[#This Row],[ai_disruption_intensity]]&gt;70,"High",
IF(Table1[[#This Row],[ai_disruption_intensity]]&gt;40,"Medium","Low"))</f>
        <v>High</v>
      </c>
      <c r="W1182" t="str">
        <f>IF(Table1[[#This Row],[skill_gap_index]]&gt;70,"Large Gap",
IF(Table1[[#This Row],[skill_gap_index]]&gt;40,"Medium Gap","Small Gap"))</f>
        <v>Small Gap</v>
      </c>
      <c r="X1182" s="3" t="str">
        <f>IF(Table1[[#This Row],[automation_risk_percent]]&gt;0.7,"Highly Automatable",
IF(Table1[[#This Row],[automation_risk_percent]]&gt;0.4,"Moderate Risk","Safe Job"))</f>
        <v>Highly Automatable</v>
      </c>
    </row>
    <row r="1183" spans="1:24" x14ac:dyDescent="0.3">
      <c r="A1183">
        <v>4173</v>
      </c>
      <c r="B1183" t="s">
        <v>46</v>
      </c>
      <c r="C1183" t="s">
        <v>23</v>
      </c>
      <c r="D1183" t="s">
        <v>47</v>
      </c>
      <c r="E1183" s="1">
        <v>2025</v>
      </c>
      <c r="F1183" s="11">
        <v>0.2082</v>
      </c>
      <c r="G1183">
        <v>21.65</v>
      </c>
      <c r="H1183">
        <v>36.15</v>
      </c>
      <c r="I1183" s="2">
        <v>114670.76</v>
      </c>
      <c r="J1183" s="2">
        <v>124264.73</v>
      </c>
      <c r="K1183" s="2">
        <f>Table1[[#This Row],[Salary_after]]-Table1[[#This Row],[Salary_before]]</f>
        <v>9593.9700000000012</v>
      </c>
      <c r="L1183" s="11">
        <v>8.3699999999999997E-2</v>
      </c>
      <c r="M1183" s="11">
        <v>5.2400000000000002E-2</v>
      </c>
      <c r="N1183">
        <v>18.190000000000001</v>
      </c>
      <c r="O1183">
        <v>68.77</v>
      </c>
      <c r="P1183">
        <v>1</v>
      </c>
      <c r="Q1183" t="s">
        <v>21</v>
      </c>
      <c r="R1183">
        <v>28.484999999999999</v>
      </c>
      <c r="S1183">
        <v>8.3699999999999992</v>
      </c>
      <c r="T1183" s="4">
        <v>21.684000000000001</v>
      </c>
      <c r="U1183" s="4">
        <v>14.317913999999901</v>
      </c>
      <c r="V1183" t="str">
        <f>IF(Table1[[#This Row],[ai_disruption_intensity]]&gt;70,"High",
IF(Table1[[#This Row],[ai_disruption_intensity]]&gt;40,"Medium","Low"))</f>
        <v>Low</v>
      </c>
      <c r="W1183" t="str">
        <f>IF(Table1[[#This Row],[skill_gap_index]]&gt;70,"Large Gap",
IF(Table1[[#This Row],[skill_gap_index]]&gt;40,"Medium Gap","Small Gap"))</f>
        <v>Small Gap</v>
      </c>
      <c r="X1183" s="3" t="str">
        <f>IF(Table1[[#This Row],[automation_risk_percent]]&gt;0.7,"Highly Automatable",
IF(Table1[[#This Row],[automation_risk_percent]]&gt;0.4,"Moderate Risk","Safe Job"))</f>
        <v>Safe Job</v>
      </c>
    </row>
    <row r="1184" spans="1:24" x14ac:dyDescent="0.3">
      <c r="A1184">
        <v>4175</v>
      </c>
      <c r="B1184" t="s">
        <v>22</v>
      </c>
      <c r="C1184" t="s">
        <v>34</v>
      </c>
      <c r="D1184" t="s">
        <v>35</v>
      </c>
      <c r="E1184" s="1">
        <v>2026</v>
      </c>
      <c r="F1184" s="11">
        <v>0.29899999999999999</v>
      </c>
      <c r="G1184">
        <v>25.81</v>
      </c>
      <c r="H1184">
        <v>27.21</v>
      </c>
      <c r="I1184" s="2">
        <v>42111.24</v>
      </c>
      <c r="J1184" s="2">
        <v>37582.89</v>
      </c>
      <c r="K1184" s="2">
        <f>Table1[[#This Row],[Salary_after]]-Table1[[#This Row],[Salary_before]]</f>
        <v>-4528.3499999999985</v>
      </c>
      <c r="L1184" s="11">
        <v>-0.1075</v>
      </c>
      <c r="M1184" s="11">
        <v>-3.1400000000000004E-2</v>
      </c>
      <c r="N1184">
        <v>91.49</v>
      </c>
      <c r="O1184">
        <v>0.18</v>
      </c>
      <c r="P1184">
        <v>1</v>
      </c>
      <c r="Q1184" t="s">
        <v>21</v>
      </c>
      <c r="R1184">
        <v>28.555</v>
      </c>
      <c r="S1184">
        <v>10.75</v>
      </c>
      <c r="T1184" s="4">
        <v>23.347999999999999</v>
      </c>
      <c r="U1184" s="4">
        <v>5.382E-2</v>
      </c>
      <c r="V1184" t="str">
        <f>IF(Table1[[#This Row],[ai_disruption_intensity]]&gt;70,"High",
IF(Table1[[#This Row],[ai_disruption_intensity]]&gt;40,"Medium","Low"))</f>
        <v>Low</v>
      </c>
      <c r="W1184" t="str">
        <f>IF(Table1[[#This Row],[skill_gap_index]]&gt;70,"Large Gap",
IF(Table1[[#This Row],[skill_gap_index]]&gt;40,"Medium Gap","Small Gap"))</f>
        <v>Small Gap</v>
      </c>
      <c r="X1184" s="3" t="str">
        <f>IF(Table1[[#This Row],[automation_risk_percent]]&gt;0.7,"Highly Automatable",
IF(Table1[[#This Row],[automation_risk_percent]]&gt;0.4,"Moderate Risk","Safe Job"))</f>
        <v>Safe Job</v>
      </c>
    </row>
    <row r="1185" spans="1:24" x14ac:dyDescent="0.3">
      <c r="A1185">
        <v>4179</v>
      </c>
      <c r="B1185" t="s">
        <v>22</v>
      </c>
      <c r="C1185" t="s">
        <v>30</v>
      </c>
      <c r="D1185" t="s">
        <v>24</v>
      </c>
      <c r="E1185" s="1">
        <v>2025</v>
      </c>
      <c r="F1185" s="11">
        <v>0.36770000000000003</v>
      </c>
      <c r="G1185">
        <v>38.479999999999997</v>
      </c>
      <c r="H1185">
        <v>6.56</v>
      </c>
      <c r="I1185" s="2">
        <v>65439.040000000001</v>
      </c>
      <c r="J1185" s="2">
        <v>71037.100000000006</v>
      </c>
      <c r="K1185" s="2">
        <f>Table1[[#This Row],[Salary_after]]-Table1[[#This Row],[Salary_before]]</f>
        <v>5598.0600000000049</v>
      </c>
      <c r="L1185" s="11">
        <v>8.5500000000000007E-2</v>
      </c>
      <c r="M1185" s="11">
        <v>-0.18940000000000001</v>
      </c>
      <c r="N1185">
        <v>53.78</v>
      </c>
      <c r="O1185">
        <v>71.81</v>
      </c>
      <c r="P1185">
        <v>3</v>
      </c>
      <c r="Q1185" t="s">
        <v>25</v>
      </c>
      <c r="R1185">
        <v>21.664999999999999</v>
      </c>
      <c r="S1185">
        <v>8.5500000000000007</v>
      </c>
      <c r="T1185" s="4">
        <v>19.241</v>
      </c>
      <c r="U1185" s="4">
        <v>26.404537000000001</v>
      </c>
      <c r="V1185" t="str">
        <f>IF(Table1[[#This Row],[ai_disruption_intensity]]&gt;70,"High",
IF(Table1[[#This Row],[ai_disruption_intensity]]&gt;40,"Medium","Low"))</f>
        <v>Low</v>
      </c>
      <c r="W1185" t="str">
        <f>IF(Table1[[#This Row],[skill_gap_index]]&gt;70,"Large Gap",
IF(Table1[[#This Row],[skill_gap_index]]&gt;40,"Medium Gap","Small Gap"))</f>
        <v>Small Gap</v>
      </c>
      <c r="X1185" s="3" t="str">
        <f>IF(Table1[[#This Row],[automation_risk_percent]]&gt;0.7,"Highly Automatable",
IF(Table1[[#This Row],[automation_risk_percent]]&gt;0.4,"Moderate Risk","Safe Job"))</f>
        <v>Safe Job</v>
      </c>
    </row>
    <row r="1186" spans="1:24" x14ac:dyDescent="0.3">
      <c r="A1186">
        <v>4183</v>
      </c>
      <c r="B1186" t="s">
        <v>43</v>
      </c>
      <c r="C1186" t="s">
        <v>40</v>
      </c>
      <c r="D1186" t="s">
        <v>20</v>
      </c>
      <c r="E1186" s="1">
        <v>2025</v>
      </c>
      <c r="F1186" s="11">
        <v>0.66579999999999995</v>
      </c>
      <c r="G1186">
        <v>67.8</v>
      </c>
      <c r="H1186">
        <v>34.17</v>
      </c>
      <c r="I1186" s="2">
        <v>103001.33</v>
      </c>
      <c r="J1186" s="2">
        <v>94876.14</v>
      </c>
      <c r="K1186" s="2">
        <f>Table1[[#This Row],[Salary_after]]-Table1[[#This Row],[Salary_before]]</f>
        <v>-8125.1900000000023</v>
      </c>
      <c r="L1186" s="11">
        <v>-7.8899999999999998E-2</v>
      </c>
      <c r="M1186" s="11">
        <v>0.18</v>
      </c>
      <c r="N1186">
        <v>51.95</v>
      </c>
      <c r="O1186">
        <v>6.42</v>
      </c>
      <c r="P1186">
        <v>1</v>
      </c>
      <c r="Q1186" t="s">
        <v>37</v>
      </c>
      <c r="R1186">
        <v>50.375</v>
      </c>
      <c r="S1186">
        <v>7.89</v>
      </c>
      <c r="T1186" s="4">
        <v>39.25</v>
      </c>
      <c r="U1186" s="4">
        <v>4.2744359999999997</v>
      </c>
      <c r="V1186" t="str">
        <f>IF(Table1[[#This Row],[ai_disruption_intensity]]&gt;70,"High",
IF(Table1[[#This Row],[ai_disruption_intensity]]&gt;40,"Medium","Low"))</f>
        <v>Low</v>
      </c>
      <c r="W1186" t="str">
        <f>IF(Table1[[#This Row],[skill_gap_index]]&gt;70,"Large Gap",
IF(Table1[[#This Row],[skill_gap_index]]&gt;40,"Medium Gap","Small Gap"))</f>
        <v>Small Gap</v>
      </c>
      <c r="X1186" s="3" t="str">
        <f>IF(Table1[[#This Row],[automation_risk_percent]]&gt;0.7,"Highly Automatable",
IF(Table1[[#This Row],[automation_risk_percent]]&gt;0.4,"Moderate Risk","Safe Job"))</f>
        <v>Moderate Risk</v>
      </c>
    </row>
    <row r="1187" spans="1:24" x14ac:dyDescent="0.3">
      <c r="A1187">
        <v>4194</v>
      </c>
      <c r="B1187" t="s">
        <v>22</v>
      </c>
      <c r="C1187" t="s">
        <v>27</v>
      </c>
      <c r="D1187" t="s">
        <v>20</v>
      </c>
      <c r="E1187" s="1">
        <v>2025</v>
      </c>
      <c r="F1187" s="11">
        <v>0.63240000000000007</v>
      </c>
      <c r="G1187">
        <v>53.81</v>
      </c>
      <c r="H1187">
        <v>69.56</v>
      </c>
      <c r="I1187" s="2">
        <v>93881.17</v>
      </c>
      <c r="J1187" s="2">
        <v>90301.94</v>
      </c>
      <c r="K1187" s="2">
        <f>Table1[[#This Row],[Salary_after]]-Table1[[#This Row],[Salary_before]]</f>
        <v>-3579.2299999999959</v>
      </c>
      <c r="L1187" s="11">
        <v>-3.8100000000000002E-2</v>
      </c>
      <c r="M1187" s="11">
        <v>3.1600000000000003E-2</v>
      </c>
      <c r="N1187">
        <v>89.13</v>
      </c>
      <c r="O1187">
        <v>59.39</v>
      </c>
      <c r="P1187">
        <v>2</v>
      </c>
      <c r="Q1187" t="s">
        <v>37</v>
      </c>
      <c r="R1187">
        <v>66.400000000000006</v>
      </c>
      <c r="S1187">
        <v>3.81</v>
      </c>
      <c r="T1187" s="4">
        <v>47.307000000000002</v>
      </c>
      <c r="U1187" s="4">
        <v>37.558236000000001</v>
      </c>
      <c r="V1187" t="str">
        <f>IF(Table1[[#This Row],[ai_disruption_intensity]]&gt;70,"High",
IF(Table1[[#This Row],[ai_disruption_intensity]]&gt;40,"Medium","Low"))</f>
        <v>Low</v>
      </c>
      <c r="W1187" t="str">
        <f>IF(Table1[[#This Row],[skill_gap_index]]&gt;70,"Large Gap",
IF(Table1[[#This Row],[skill_gap_index]]&gt;40,"Medium Gap","Small Gap"))</f>
        <v>Medium Gap</v>
      </c>
      <c r="X1187" s="3" t="str">
        <f>IF(Table1[[#This Row],[automation_risk_percent]]&gt;0.7,"Highly Automatable",
IF(Table1[[#This Row],[automation_risk_percent]]&gt;0.4,"Moderate Risk","Safe Job"))</f>
        <v>Moderate Risk</v>
      </c>
    </row>
    <row r="1188" spans="1:24" x14ac:dyDescent="0.3">
      <c r="A1188">
        <v>4195</v>
      </c>
      <c r="B1188" t="s">
        <v>18</v>
      </c>
      <c r="C1188" t="s">
        <v>27</v>
      </c>
      <c r="D1188" t="s">
        <v>24</v>
      </c>
      <c r="E1188" s="1">
        <v>2026</v>
      </c>
      <c r="F1188" s="11">
        <v>0.47450000000000003</v>
      </c>
      <c r="G1188">
        <v>40.450000000000003</v>
      </c>
      <c r="H1188">
        <v>48.9</v>
      </c>
      <c r="I1188" s="2">
        <v>77844.44</v>
      </c>
      <c r="J1188" s="2">
        <v>86195.02</v>
      </c>
      <c r="K1188" s="2">
        <f>Table1[[#This Row],[Salary_after]]-Table1[[#This Row],[Salary_before]]</f>
        <v>8350.5800000000017</v>
      </c>
      <c r="L1188" s="11">
        <v>0.10730000000000001</v>
      </c>
      <c r="M1188" s="11">
        <v>-2.2599999999999999E-2</v>
      </c>
      <c r="N1188">
        <v>15.51</v>
      </c>
      <c r="O1188">
        <v>64.67</v>
      </c>
      <c r="P1188">
        <v>2</v>
      </c>
      <c r="Q1188" t="s">
        <v>25</v>
      </c>
      <c r="R1188">
        <v>48.174999999999997</v>
      </c>
      <c r="S1188">
        <v>10.73</v>
      </c>
      <c r="T1188" s="4">
        <v>36.869</v>
      </c>
      <c r="U1188" s="4">
        <v>30.685915000000001</v>
      </c>
      <c r="V1188" t="str">
        <f>IF(Table1[[#This Row],[ai_disruption_intensity]]&gt;70,"High",
IF(Table1[[#This Row],[ai_disruption_intensity]]&gt;40,"Medium","Low"))</f>
        <v>Low</v>
      </c>
      <c r="W1188" t="str">
        <f>IF(Table1[[#This Row],[skill_gap_index]]&gt;70,"Large Gap",
IF(Table1[[#This Row],[skill_gap_index]]&gt;40,"Medium Gap","Small Gap"))</f>
        <v>Medium Gap</v>
      </c>
      <c r="X1188" s="3" t="str">
        <f>IF(Table1[[#This Row],[automation_risk_percent]]&gt;0.7,"Highly Automatable",
IF(Table1[[#This Row],[automation_risk_percent]]&gt;0.4,"Moderate Risk","Safe Job"))</f>
        <v>Moderate Risk</v>
      </c>
    </row>
    <row r="1189" spans="1:24" x14ac:dyDescent="0.3">
      <c r="A1189">
        <v>4197</v>
      </c>
      <c r="B1189" t="s">
        <v>46</v>
      </c>
      <c r="C1189" t="s">
        <v>33</v>
      </c>
      <c r="D1189" t="s">
        <v>36</v>
      </c>
      <c r="E1189" s="1">
        <v>2026</v>
      </c>
      <c r="F1189" s="11">
        <v>0.5958</v>
      </c>
      <c r="G1189">
        <v>49.26</v>
      </c>
      <c r="H1189">
        <v>10.6</v>
      </c>
      <c r="I1189" s="2">
        <v>97872.88</v>
      </c>
      <c r="J1189" s="2">
        <v>102979.8</v>
      </c>
      <c r="K1189" s="2">
        <f>Table1[[#This Row],[Salary_after]]-Table1[[#This Row],[Salary_before]]</f>
        <v>5106.9199999999983</v>
      </c>
      <c r="L1189" s="11">
        <v>5.2199999999999996E-2</v>
      </c>
      <c r="M1189" s="11">
        <v>-8.1500000000000003E-2</v>
      </c>
      <c r="N1189">
        <v>29.31</v>
      </c>
      <c r="O1189">
        <v>11.65</v>
      </c>
      <c r="P1189">
        <v>1</v>
      </c>
      <c r="Q1189" t="s">
        <v>25</v>
      </c>
      <c r="R1189">
        <v>35.089999999999897</v>
      </c>
      <c r="S1189">
        <v>5.22</v>
      </c>
      <c r="T1189" s="4">
        <v>28.577999999999999</v>
      </c>
      <c r="U1189" s="4">
        <v>6.9410699999999999</v>
      </c>
      <c r="V1189" t="str">
        <f>IF(Table1[[#This Row],[ai_disruption_intensity]]&gt;70,"High",
IF(Table1[[#This Row],[ai_disruption_intensity]]&gt;40,"Medium","Low"))</f>
        <v>Low</v>
      </c>
      <c r="W1189" t="str">
        <f>IF(Table1[[#This Row],[skill_gap_index]]&gt;70,"Large Gap",
IF(Table1[[#This Row],[skill_gap_index]]&gt;40,"Medium Gap","Small Gap"))</f>
        <v>Small Gap</v>
      </c>
      <c r="X1189" s="3" t="str">
        <f>IF(Table1[[#This Row],[automation_risk_percent]]&gt;0.7,"Highly Automatable",
IF(Table1[[#This Row],[automation_risk_percent]]&gt;0.4,"Moderate Risk","Safe Job"))</f>
        <v>Moderate Risk</v>
      </c>
    </row>
    <row r="1190" spans="1:24" x14ac:dyDescent="0.3">
      <c r="A1190">
        <v>4198</v>
      </c>
      <c r="B1190" t="s">
        <v>39</v>
      </c>
      <c r="C1190" t="s">
        <v>34</v>
      </c>
      <c r="D1190" t="s">
        <v>20</v>
      </c>
      <c r="E1190" s="1">
        <v>2025</v>
      </c>
      <c r="F1190" s="11">
        <v>0.4819</v>
      </c>
      <c r="G1190">
        <v>55.17</v>
      </c>
      <c r="H1190">
        <v>68.510000000000005</v>
      </c>
      <c r="I1190" s="2">
        <v>128247.02</v>
      </c>
      <c r="J1190" s="2">
        <v>135278.84</v>
      </c>
      <c r="K1190" s="2">
        <f>Table1[[#This Row],[Salary_after]]-Table1[[#This Row],[Salary_before]]</f>
        <v>7031.8199999999924</v>
      </c>
      <c r="L1190" s="11">
        <v>5.4800000000000001E-2</v>
      </c>
      <c r="M1190" s="11">
        <v>1.6799999999999999E-2</v>
      </c>
      <c r="N1190">
        <v>43.93</v>
      </c>
      <c r="O1190">
        <v>85.24</v>
      </c>
      <c r="P1190">
        <v>5</v>
      </c>
      <c r="Q1190" t="s">
        <v>25</v>
      </c>
      <c r="R1190">
        <v>58.35</v>
      </c>
      <c r="S1190">
        <v>5.48</v>
      </c>
      <c r="T1190" s="4">
        <v>41.472999999999999</v>
      </c>
      <c r="U1190" s="4">
        <v>41.077155999999903</v>
      </c>
      <c r="V1190" t="str">
        <f>IF(Table1[[#This Row],[ai_disruption_intensity]]&gt;70,"High",
IF(Table1[[#This Row],[ai_disruption_intensity]]&gt;40,"Medium","Low"))</f>
        <v>Medium</v>
      </c>
      <c r="W1190" t="str">
        <f>IF(Table1[[#This Row],[skill_gap_index]]&gt;70,"Large Gap",
IF(Table1[[#This Row],[skill_gap_index]]&gt;40,"Medium Gap","Small Gap"))</f>
        <v>Medium Gap</v>
      </c>
      <c r="X1190" s="3" t="str">
        <f>IF(Table1[[#This Row],[automation_risk_percent]]&gt;0.7,"Highly Automatable",
IF(Table1[[#This Row],[automation_risk_percent]]&gt;0.4,"Moderate Risk","Safe Job"))</f>
        <v>Moderate Risk</v>
      </c>
    </row>
    <row r="1191" spans="1:24" x14ac:dyDescent="0.3">
      <c r="A1191">
        <v>4201</v>
      </c>
      <c r="B1191" t="s">
        <v>43</v>
      </c>
      <c r="C1191" t="s">
        <v>40</v>
      </c>
      <c r="D1191" t="s">
        <v>24</v>
      </c>
      <c r="E1191" s="1">
        <v>2026</v>
      </c>
      <c r="F1191" s="11">
        <v>0.62070000000000003</v>
      </c>
      <c r="G1191">
        <v>64.040000000000006</v>
      </c>
      <c r="H1191">
        <v>35.82</v>
      </c>
      <c r="I1191" s="2">
        <v>39497.089999999997</v>
      </c>
      <c r="J1191" s="2">
        <v>38151.15</v>
      </c>
      <c r="K1191" s="2">
        <f>Table1[[#This Row],[Salary_after]]-Table1[[#This Row],[Salary_before]]</f>
        <v>-1345.9399999999951</v>
      </c>
      <c r="L1191" s="11">
        <v>-3.4099999999999998E-2</v>
      </c>
      <c r="M1191" s="11">
        <v>5.7500000000000002E-2</v>
      </c>
      <c r="N1191">
        <v>55.12</v>
      </c>
      <c r="O1191">
        <v>60.42</v>
      </c>
      <c r="P1191">
        <v>2</v>
      </c>
      <c r="Q1191" t="s">
        <v>37</v>
      </c>
      <c r="R1191">
        <v>48.945</v>
      </c>
      <c r="S1191">
        <v>3.41</v>
      </c>
      <c r="T1191" s="4">
        <v>36.597000000000001</v>
      </c>
      <c r="U1191" s="4">
        <v>37.502693999999998</v>
      </c>
      <c r="V1191" t="str">
        <f>IF(Table1[[#This Row],[ai_disruption_intensity]]&gt;70,"High",
IF(Table1[[#This Row],[ai_disruption_intensity]]&gt;40,"Medium","Low"))</f>
        <v>Low</v>
      </c>
      <c r="W1191" t="str">
        <f>IF(Table1[[#This Row],[skill_gap_index]]&gt;70,"Large Gap",
IF(Table1[[#This Row],[skill_gap_index]]&gt;40,"Medium Gap","Small Gap"))</f>
        <v>Small Gap</v>
      </c>
      <c r="X1191" s="3" t="str">
        <f>IF(Table1[[#This Row],[automation_risk_percent]]&gt;0.7,"Highly Automatable",
IF(Table1[[#This Row],[automation_risk_percent]]&gt;0.4,"Moderate Risk","Safe Job"))</f>
        <v>Moderate Risk</v>
      </c>
    </row>
    <row r="1192" spans="1:24" x14ac:dyDescent="0.3">
      <c r="A1192">
        <v>4202</v>
      </c>
      <c r="B1192" t="s">
        <v>18</v>
      </c>
      <c r="C1192" t="s">
        <v>33</v>
      </c>
      <c r="D1192" t="s">
        <v>35</v>
      </c>
      <c r="E1192" s="1">
        <v>2025</v>
      </c>
      <c r="F1192" s="11">
        <v>0.61280000000000001</v>
      </c>
      <c r="G1192">
        <v>73.319999999999993</v>
      </c>
      <c r="H1192">
        <v>26.01</v>
      </c>
      <c r="I1192" s="2">
        <v>68686.78</v>
      </c>
      <c r="J1192" s="2">
        <v>77290.789999999994</v>
      </c>
      <c r="K1192" s="2">
        <f>Table1[[#This Row],[Salary_after]]-Table1[[#This Row],[Salary_before]]</f>
        <v>8604.0099999999948</v>
      </c>
      <c r="L1192" s="11">
        <v>0.12529999999999999</v>
      </c>
      <c r="M1192" s="11">
        <v>-3.5900000000000001E-2</v>
      </c>
      <c r="N1192">
        <v>93.86</v>
      </c>
      <c r="O1192">
        <v>97.43</v>
      </c>
      <c r="P1192">
        <v>3</v>
      </c>
      <c r="Q1192" t="s">
        <v>37</v>
      </c>
      <c r="R1192">
        <v>43.645000000000003</v>
      </c>
      <c r="S1192">
        <v>12.53</v>
      </c>
      <c r="T1192" s="4">
        <v>36.073999999999998</v>
      </c>
      <c r="U1192" s="4">
        <v>59.705103999999999</v>
      </c>
      <c r="V1192" t="str">
        <f>IF(Table1[[#This Row],[ai_disruption_intensity]]&gt;70,"High",
IF(Table1[[#This Row],[ai_disruption_intensity]]&gt;40,"Medium","Low"))</f>
        <v>Medium</v>
      </c>
      <c r="W1192" t="str">
        <f>IF(Table1[[#This Row],[skill_gap_index]]&gt;70,"Large Gap",
IF(Table1[[#This Row],[skill_gap_index]]&gt;40,"Medium Gap","Small Gap"))</f>
        <v>Small Gap</v>
      </c>
      <c r="X1192" s="3" t="str">
        <f>IF(Table1[[#This Row],[automation_risk_percent]]&gt;0.7,"Highly Automatable",
IF(Table1[[#This Row],[automation_risk_percent]]&gt;0.4,"Moderate Risk","Safe Job"))</f>
        <v>Moderate Risk</v>
      </c>
    </row>
    <row r="1193" spans="1:24" x14ac:dyDescent="0.3">
      <c r="A1193">
        <v>4203</v>
      </c>
      <c r="B1193" t="s">
        <v>41</v>
      </c>
      <c r="C1193" t="s">
        <v>23</v>
      </c>
      <c r="D1193" t="s">
        <v>28</v>
      </c>
      <c r="E1193" s="1">
        <v>2026</v>
      </c>
      <c r="F1193" s="11">
        <v>0.91209999999999991</v>
      </c>
      <c r="G1193">
        <v>105.05</v>
      </c>
      <c r="H1193">
        <v>99.1</v>
      </c>
      <c r="I1193" s="2">
        <v>75113.490000000005</v>
      </c>
      <c r="J1193" s="2">
        <v>80097.919999999998</v>
      </c>
      <c r="K1193" s="2">
        <f>Table1[[#This Row],[Salary_after]]-Table1[[#This Row],[Salary_before]]</f>
        <v>4984.429999999993</v>
      </c>
      <c r="L1193" s="11">
        <v>6.6400000000000001E-2</v>
      </c>
      <c r="M1193" s="11">
        <v>-1.8000000000000002E-2</v>
      </c>
      <c r="N1193">
        <v>66.849999999999994</v>
      </c>
      <c r="O1193">
        <v>22.44</v>
      </c>
      <c r="P1193">
        <v>5</v>
      </c>
      <c r="Q1193" t="s">
        <v>37</v>
      </c>
      <c r="R1193">
        <v>95.155000000000001</v>
      </c>
      <c r="S1193">
        <v>6.64</v>
      </c>
      <c r="T1193" s="4">
        <v>68.206000000000003</v>
      </c>
      <c r="U1193" s="4">
        <v>20.467524000000001</v>
      </c>
      <c r="V1193" t="str">
        <f>IF(Table1[[#This Row],[ai_disruption_intensity]]&gt;70,"High",
IF(Table1[[#This Row],[ai_disruption_intensity]]&gt;40,"Medium","Low"))</f>
        <v>Low</v>
      </c>
      <c r="W1193" t="str">
        <f>IF(Table1[[#This Row],[skill_gap_index]]&gt;70,"Large Gap",
IF(Table1[[#This Row],[skill_gap_index]]&gt;40,"Medium Gap","Small Gap"))</f>
        <v>Large Gap</v>
      </c>
      <c r="X1193" s="3" t="str">
        <f>IF(Table1[[#This Row],[automation_risk_percent]]&gt;0.7,"Highly Automatable",
IF(Table1[[#This Row],[automation_risk_percent]]&gt;0.4,"Moderate Risk","Safe Job"))</f>
        <v>Highly Automatable</v>
      </c>
    </row>
    <row r="1194" spans="1:24" x14ac:dyDescent="0.3">
      <c r="A1194">
        <v>4210</v>
      </c>
      <c r="B1194" t="s">
        <v>26</v>
      </c>
      <c r="C1194" t="s">
        <v>30</v>
      </c>
      <c r="D1194" t="s">
        <v>47</v>
      </c>
      <c r="E1194" s="1">
        <v>2026</v>
      </c>
      <c r="F1194" s="11">
        <v>0.31069999999999998</v>
      </c>
      <c r="G1194">
        <v>25.43</v>
      </c>
      <c r="H1194">
        <v>49.98</v>
      </c>
      <c r="I1194" s="2">
        <v>141440.93</v>
      </c>
      <c r="J1194" s="2">
        <v>142316.97</v>
      </c>
      <c r="K1194" s="2">
        <f>Table1[[#This Row],[Salary_after]]-Table1[[#This Row],[Salary_before]]</f>
        <v>876.04000000000815</v>
      </c>
      <c r="L1194" s="11">
        <v>6.1999999999999998E-3</v>
      </c>
      <c r="M1194" s="11">
        <v>2.75E-2</v>
      </c>
      <c r="N1194">
        <v>85.23</v>
      </c>
      <c r="O1194">
        <v>31.25</v>
      </c>
      <c r="P1194">
        <v>2</v>
      </c>
      <c r="Q1194" t="s">
        <v>25</v>
      </c>
      <c r="R1194">
        <v>40.524999999999999</v>
      </c>
      <c r="S1194">
        <v>0.62</v>
      </c>
      <c r="T1194" s="4">
        <v>27.607999999999901</v>
      </c>
      <c r="U1194" s="4">
        <v>9.7093749999999996</v>
      </c>
      <c r="V1194" t="str">
        <f>IF(Table1[[#This Row],[ai_disruption_intensity]]&gt;70,"High",
IF(Table1[[#This Row],[ai_disruption_intensity]]&gt;40,"Medium","Low"))</f>
        <v>Low</v>
      </c>
      <c r="W1194" t="str">
        <f>IF(Table1[[#This Row],[skill_gap_index]]&gt;70,"Large Gap",
IF(Table1[[#This Row],[skill_gap_index]]&gt;40,"Medium Gap","Small Gap"))</f>
        <v>Medium Gap</v>
      </c>
      <c r="X1194" s="3" t="str">
        <f>IF(Table1[[#This Row],[automation_risk_percent]]&gt;0.7,"Highly Automatable",
IF(Table1[[#This Row],[automation_risk_percent]]&gt;0.4,"Moderate Risk","Safe Job"))</f>
        <v>Safe Job</v>
      </c>
    </row>
    <row r="1195" spans="1:24" x14ac:dyDescent="0.3">
      <c r="A1195">
        <v>4218</v>
      </c>
      <c r="B1195" t="s">
        <v>45</v>
      </c>
      <c r="C1195" t="s">
        <v>33</v>
      </c>
      <c r="D1195" t="s">
        <v>20</v>
      </c>
      <c r="E1195" s="1">
        <v>2026</v>
      </c>
      <c r="F1195" s="11">
        <v>0.10310000000000001</v>
      </c>
      <c r="G1195">
        <v>9.5500000000000007</v>
      </c>
      <c r="H1195">
        <v>83.74</v>
      </c>
      <c r="I1195" s="2">
        <v>94373.42</v>
      </c>
      <c r="J1195" s="2">
        <v>98011.23</v>
      </c>
      <c r="K1195" s="2">
        <f>Table1[[#This Row],[Salary_after]]-Table1[[#This Row],[Salary_before]]</f>
        <v>3637.8099999999977</v>
      </c>
      <c r="L1195" s="11">
        <v>3.85E-2</v>
      </c>
      <c r="M1195" s="11">
        <v>8.3499999999999991E-2</v>
      </c>
      <c r="N1195">
        <v>49.84</v>
      </c>
      <c r="O1195">
        <v>35.9</v>
      </c>
      <c r="P1195">
        <v>3</v>
      </c>
      <c r="Q1195" t="s">
        <v>21</v>
      </c>
      <c r="R1195">
        <v>47.024999999999999</v>
      </c>
      <c r="S1195">
        <v>3.85</v>
      </c>
      <c r="T1195" s="4">
        <v>30.4009999999999</v>
      </c>
      <c r="U1195" s="4">
        <v>3.7012900000000002</v>
      </c>
      <c r="V1195" t="str">
        <f>IF(Table1[[#This Row],[ai_disruption_intensity]]&gt;70,"High",
IF(Table1[[#This Row],[ai_disruption_intensity]]&gt;40,"Medium","Low"))</f>
        <v>Low</v>
      </c>
      <c r="W1195" t="str">
        <f>IF(Table1[[#This Row],[skill_gap_index]]&gt;70,"Large Gap",
IF(Table1[[#This Row],[skill_gap_index]]&gt;40,"Medium Gap","Small Gap"))</f>
        <v>Large Gap</v>
      </c>
      <c r="X1195" s="3" t="str">
        <f>IF(Table1[[#This Row],[automation_risk_percent]]&gt;0.7,"Highly Automatable",
IF(Table1[[#This Row],[automation_risk_percent]]&gt;0.4,"Moderate Risk","Safe Job"))</f>
        <v>Safe Job</v>
      </c>
    </row>
    <row r="1196" spans="1:24" x14ac:dyDescent="0.3">
      <c r="A1196">
        <v>4219</v>
      </c>
      <c r="B1196" t="s">
        <v>29</v>
      </c>
      <c r="C1196" t="s">
        <v>40</v>
      </c>
      <c r="D1196" t="s">
        <v>28</v>
      </c>
      <c r="E1196" s="1">
        <v>2026</v>
      </c>
      <c r="F1196" s="11">
        <v>0.56879999999999997</v>
      </c>
      <c r="G1196">
        <v>60.36</v>
      </c>
      <c r="H1196">
        <v>36.72</v>
      </c>
      <c r="I1196" s="2">
        <v>122998.59</v>
      </c>
      <c r="J1196" s="2">
        <v>119581.44</v>
      </c>
      <c r="K1196" s="2">
        <f>Table1[[#This Row],[Salary_after]]-Table1[[#This Row],[Salary_before]]</f>
        <v>-3417.1499999999942</v>
      </c>
      <c r="L1196" s="11">
        <v>-2.7799999999999998E-2</v>
      </c>
      <c r="M1196" s="11">
        <v>0.1016</v>
      </c>
      <c r="N1196">
        <v>96.85</v>
      </c>
      <c r="O1196">
        <v>62.27</v>
      </c>
      <c r="P1196">
        <v>5</v>
      </c>
      <c r="Q1196" t="s">
        <v>25</v>
      </c>
      <c r="R1196">
        <v>46.8</v>
      </c>
      <c r="S1196">
        <v>2.78</v>
      </c>
      <c r="T1196" s="4">
        <v>34.601999999999997</v>
      </c>
      <c r="U1196" s="4">
        <v>35.419176</v>
      </c>
      <c r="V1196" t="str">
        <f>IF(Table1[[#This Row],[ai_disruption_intensity]]&gt;70,"High",
IF(Table1[[#This Row],[ai_disruption_intensity]]&gt;40,"Medium","Low"))</f>
        <v>Low</v>
      </c>
      <c r="W1196" t="str">
        <f>IF(Table1[[#This Row],[skill_gap_index]]&gt;70,"Large Gap",
IF(Table1[[#This Row],[skill_gap_index]]&gt;40,"Medium Gap","Small Gap"))</f>
        <v>Small Gap</v>
      </c>
      <c r="X1196" s="3" t="str">
        <f>IF(Table1[[#This Row],[automation_risk_percent]]&gt;0.7,"Highly Automatable",
IF(Table1[[#This Row],[automation_risk_percent]]&gt;0.4,"Moderate Risk","Safe Job"))</f>
        <v>Moderate Risk</v>
      </c>
    </row>
    <row r="1197" spans="1:24" x14ac:dyDescent="0.3">
      <c r="A1197">
        <v>4221</v>
      </c>
      <c r="B1197" t="s">
        <v>44</v>
      </c>
      <c r="C1197" t="s">
        <v>40</v>
      </c>
      <c r="D1197" t="s">
        <v>32</v>
      </c>
      <c r="E1197" s="1">
        <v>2026</v>
      </c>
      <c r="F1197" s="11">
        <v>0.7742</v>
      </c>
      <c r="G1197">
        <v>80</v>
      </c>
      <c r="H1197">
        <v>13.84</v>
      </c>
      <c r="I1197" s="2">
        <v>95508.57</v>
      </c>
      <c r="J1197" s="2">
        <v>95673.5</v>
      </c>
      <c r="K1197" s="2">
        <f>Table1[[#This Row],[Salary_after]]-Table1[[#This Row],[Salary_before]]</f>
        <v>164.92999999999302</v>
      </c>
      <c r="L1197" s="11">
        <v>1.7000000000000001E-3</v>
      </c>
      <c r="M1197" s="11">
        <v>6.3099999999999989E-2</v>
      </c>
      <c r="N1197">
        <v>10.17</v>
      </c>
      <c r="O1197">
        <v>93.31</v>
      </c>
      <c r="P1197">
        <v>5</v>
      </c>
      <c r="Q1197" t="s">
        <v>37</v>
      </c>
      <c r="R1197">
        <v>45.63</v>
      </c>
      <c r="S1197">
        <v>0.17</v>
      </c>
      <c r="T1197" s="4">
        <v>35.170999999999999</v>
      </c>
      <c r="U1197" s="4">
        <v>72.240601999999996</v>
      </c>
      <c r="V1197" t="str">
        <f>IF(Table1[[#This Row],[ai_disruption_intensity]]&gt;70,"High",
IF(Table1[[#This Row],[ai_disruption_intensity]]&gt;40,"Medium","Low"))</f>
        <v>High</v>
      </c>
      <c r="W1197" t="str">
        <f>IF(Table1[[#This Row],[skill_gap_index]]&gt;70,"Large Gap",
IF(Table1[[#This Row],[skill_gap_index]]&gt;40,"Medium Gap","Small Gap"))</f>
        <v>Small Gap</v>
      </c>
      <c r="X1197" s="3" t="str">
        <f>IF(Table1[[#This Row],[automation_risk_percent]]&gt;0.7,"Highly Automatable",
IF(Table1[[#This Row],[automation_risk_percent]]&gt;0.4,"Moderate Risk","Safe Job"))</f>
        <v>Highly Automatable</v>
      </c>
    </row>
    <row r="1198" spans="1:24" x14ac:dyDescent="0.3">
      <c r="A1198">
        <v>4222</v>
      </c>
      <c r="B1198" t="s">
        <v>22</v>
      </c>
      <c r="C1198" t="s">
        <v>23</v>
      </c>
      <c r="D1198" t="s">
        <v>35</v>
      </c>
      <c r="E1198" s="1">
        <v>2026</v>
      </c>
      <c r="F1198" s="11">
        <v>0.26440000000000002</v>
      </c>
      <c r="G1198">
        <v>28.44</v>
      </c>
      <c r="H1198">
        <v>51.51</v>
      </c>
      <c r="I1198" s="2">
        <v>69052.05</v>
      </c>
      <c r="J1198" s="2">
        <v>71495.460000000006</v>
      </c>
      <c r="K1198" s="2">
        <f>Table1[[#This Row],[Salary_after]]-Table1[[#This Row],[Salary_before]]</f>
        <v>2443.4100000000035</v>
      </c>
      <c r="L1198" s="11">
        <v>3.5400000000000001E-2</v>
      </c>
      <c r="M1198" s="11">
        <v>3.2099999999999997E-2</v>
      </c>
      <c r="N1198">
        <v>92.07</v>
      </c>
      <c r="O1198">
        <v>51.31</v>
      </c>
      <c r="P1198">
        <v>1</v>
      </c>
      <c r="Q1198" t="s">
        <v>21</v>
      </c>
      <c r="R1198">
        <v>38.975000000000001</v>
      </c>
      <c r="S1198">
        <v>3.54</v>
      </c>
      <c r="T1198" s="4">
        <v>27.091000000000001</v>
      </c>
      <c r="U1198" s="4">
        <v>13.566364</v>
      </c>
      <c r="V1198" t="str">
        <f>IF(Table1[[#This Row],[ai_disruption_intensity]]&gt;70,"High",
IF(Table1[[#This Row],[ai_disruption_intensity]]&gt;40,"Medium","Low"))</f>
        <v>Low</v>
      </c>
      <c r="W1198" t="str">
        <f>IF(Table1[[#This Row],[skill_gap_index]]&gt;70,"Large Gap",
IF(Table1[[#This Row],[skill_gap_index]]&gt;40,"Medium Gap","Small Gap"))</f>
        <v>Medium Gap</v>
      </c>
      <c r="X1198" s="3" t="str">
        <f>IF(Table1[[#This Row],[automation_risk_percent]]&gt;0.7,"Highly Automatable",
IF(Table1[[#This Row],[automation_risk_percent]]&gt;0.4,"Moderate Risk","Safe Job"))</f>
        <v>Safe Job</v>
      </c>
    </row>
    <row r="1199" spans="1:24" x14ac:dyDescent="0.3">
      <c r="A1199">
        <v>4223</v>
      </c>
      <c r="B1199" t="s">
        <v>26</v>
      </c>
      <c r="C1199" t="s">
        <v>27</v>
      </c>
      <c r="D1199" t="s">
        <v>32</v>
      </c>
      <c r="E1199" s="1">
        <v>2025</v>
      </c>
      <c r="F1199" s="11">
        <v>0.18090000000000001</v>
      </c>
      <c r="G1199">
        <v>15.22</v>
      </c>
      <c r="H1199">
        <v>15.66</v>
      </c>
      <c r="I1199" s="2">
        <v>92670.21</v>
      </c>
      <c r="J1199" s="2">
        <v>91262.57</v>
      </c>
      <c r="K1199" s="2">
        <f>Table1[[#This Row],[Salary_after]]-Table1[[#This Row],[Salary_before]]</f>
        <v>-1407.6399999999994</v>
      </c>
      <c r="L1199" s="11">
        <v>-1.52E-2</v>
      </c>
      <c r="M1199" s="11">
        <v>4.36E-2</v>
      </c>
      <c r="N1199">
        <v>50.97</v>
      </c>
      <c r="O1199">
        <v>74.62</v>
      </c>
      <c r="P1199">
        <v>4</v>
      </c>
      <c r="Q1199" t="s">
        <v>21</v>
      </c>
      <c r="R1199">
        <v>16.875</v>
      </c>
      <c r="S1199">
        <v>1.52</v>
      </c>
      <c r="T1199" s="4">
        <v>12.39</v>
      </c>
      <c r="U1199" s="4">
        <v>13.498758</v>
      </c>
      <c r="V1199" t="str">
        <f>IF(Table1[[#This Row],[ai_disruption_intensity]]&gt;70,"High",
IF(Table1[[#This Row],[ai_disruption_intensity]]&gt;40,"Medium","Low"))</f>
        <v>Low</v>
      </c>
      <c r="W1199" t="str">
        <f>IF(Table1[[#This Row],[skill_gap_index]]&gt;70,"Large Gap",
IF(Table1[[#This Row],[skill_gap_index]]&gt;40,"Medium Gap","Small Gap"))</f>
        <v>Small Gap</v>
      </c>
      <c r="X1199" s="3" t="str">
        <f>IF(Table1[[#This Row],[automation_risk_percent]]&gt;0.7,"Highly Automatable",
IF(Table1[[#This Row],[automation_risk_percent]]&gt;0.4,"Moderate Risk","Safe Job"))</f>
        <v>Safe Job</v>
      </c>
    </row>
    <row r="1200" spans="1:24" x14ac:dyDescent="0.3">
      <c r="A1200">
        <v>4229</v>
      </c>
      <c r="B1200" t="s">
        <v>18</v>
      </c>
      <c r="C1200" t="s">
        <v>34</v>
      </c>
      <c r="D1200" t="s">
        <v>20</v>
      </c>
      <c r="E1200" s="1">
        <v>2025</v>
      </c>
      <c r="F1200" s="11">
        <v>0.20129999999999998</v>
      </c>
      <c r="G1200">
        <v>16.7</v>
      </c>
      <c r="H1200">
        <v>1.1499999999999999</v>
      </c>
      <c r="I1200" s="2">
        <v>144679.47</v>
      </c>
      <c r="J1200" s="2">
        <v>139235.12</v>
      </c>
      <c r="K1200" s="2">
        <f>Table1[[#This Row],[Salary_after]]-Table1[[#This Row],[Salary_before]]</f>
        <v>-5444.3500000000058</v>
      </c>
      <c r="L1200" s="11">
        <v>-3.7599999999999995E-2</v>
      </c>
      <c r="M1200" s="11">
        <v>-0.13570000000000002</v>
      </c>
      <c r="N1200">
        <v>45.51</v>
      </c>
      <c r="O1200">
        <v>73.05</v>
      </c>
      <c r="P1200">
        <v>2</v>
      </c>
      <c r="Q1200" t="s">
        <v>21</v>
      </c>
      <c r="R1200">
        <v>10.639999999999899</v>
      </c>
      <c r="S1200">
        <v>3.76</v>
      </c>
      <c r="T1200" s="4">
        <v>9.5250000000000004</v>
      </c>
      <c r="U1200" s="4">
        <v>14.704965</v>
      </c>
      <c r="V1200" t="str">
        <f>IF(Table1[[#This Row],[ai_disruption_intensity]]&gt;70,"High",
IF(Table1[[#This Row],[ai_disruption_intensity]]&gt;40,"Medium","Low"))</f>
        <v>Low</v>
      </c>
      <c r="W1200" t="str">
        <f>IF(Table1[[#This Row],[skill_gap_index]]&gt;70,"Large Gap",
IF(Table1[[#This Row],[skill_gap_index]]&gt;40,"Medium Gap","Small Gap"))</f>
        <v>Small Gap</v>
      </c>
      <c r="X1200" s="3" t="str">
        <f>IF(Table1[[#This Row],[automation_risk_percent]]&gt;0.7,"Highly Automatable",
IF(Table1[[#This Row],[automation_risk_percent]]&gt;0.4,"Moderate Risk","Safe Job"))</f>
        <v>Safe Job</v>
      </c>
    </row>
    <row r="1201" spans="1:24" x14ac:dyDescent="0.3">
      <c r="A1201">
        <v>4230</v>
      </c>
      <c r="B1201" t="s">
        <v>46</v>
      </c>
      <c r="C1201" t="s">
        <v>27</v>
      </c>
      <c r="D1201" t="s">
        <v>20</v>
      </c>
      <c r="E1201" s="1">
        <v>2025</v>
      </c>
      <c r="F1201" s="11">
        <v>0.217</v>
      </c>
      <c r="G1201">
        <v>22.01</v>
      </c>
      <c r="H1201">
        <v>99.56</v>
      </c>
      <c r="I1201" s="2">
        <v>83287.63</v>
      </c>
      <c r="J1201" s="2">
        <v>84525.3</v>
      </c>
      <c r="K1201" s="2">
        <f>Table1[[#This Row],[Salary_after]]-Table1[[#This Row],[Salary_before]]</f>
        <v>1237.6699999999983</v>
      </c>
      <c r="L1201" s="11">
        <v>1.49E-2</v>
      </c>
      <c r="M1201" s="11">
        <v>0.35139999999999999</v>
      </c>
      <c r="N1201">
        <v>82.29</v>
      </c>
      <c r="O1201">
        <v>26.68</v>
      </c>
      <c r="P1201">
        <v>2</v>
      </c>
      <c r="Q1201" t="s">
        <v>21</v>
      </c>
      <c r="R1201">
        <v>60.63</v>
      </c>
      <c r="S1201">
        <v>1.49</v>
      </c>
      <c r="T1201" s="4">
        <v>38.994999999999997</v>
      </c>
      <c r="U1201" s="4">
        <v>5.7895599999999998</v>
      </c>
      <c r="V1201" t="str">
        <f>IF(Table1[[#This Row],[ai_disruption_intensity]]&gt;70,"High",
IF(Table1[[#This Row],[ai_disruption_intensity]]&gt;40,"Medium","Low"))</f>
        <v>Low</v>
      </c>
      <c r="W1201" t="str">
        <f>IF(Table1[[#This Row],[skill_gap_index]]&gt;70,"Large Gap",
IF(Table1[[#This Row],[skill_gap_index]]&gt;40,"Medium Gap","Small Gap"))</f>
        <v>Large Gap</v>
      </c>
      <c r="X1201" s="3" t="str">
        <f>IF(Table1[[#This Row],[automation_risk_percent]]&gt;0.7,"Highly Automatable",
IF(Table1[[#This Row],[automation_risk_percent]]&gt;0.4,"Moderate Risk","Safe Job"))</f>
        <v>Safe Job</v>
      </c>
    </row>
    <row r="1202" spans="1:24" x14ac:dyDescent="0.3">
      <c r="A1202">
        <v>4233</v>
      </c>
      <c r="B1202" t="s">
        <v>26</v>
      </c>
      <c r="C1202" t="s">
        <v>34</v>
      </c>
      <c r="D1202" t="s">
        <v>47</v>
      </c>
      <c r="E1202" s="1">
        <v>2025</v>
      </c>
      <c r="F1202" s="11">
        <v>0.29039999999999999</v>
      </c>
      <c r="G1202">
        <v>34.1</v>
      </c>
      <c r="H1202">
        <v>9.11</v>
      </c>
      <c r="I1202" s="2">
        <v>40519.35</v>
      </c>
      <c r="J1202" s="2">
        <v>36652.46</v>
      </c>
      <c r="K1202" s="2">
        <f>Table1[[#This Row],[Salary_after]]-Table1[[#This Row],[Salary_before]]</f>
        <v>-3866.8899999999994</v>
      </c>
      <c r="L1202" s="11">
        <v>-9.5399999999999985E-2</v>
      </c>
      <c r="M1202" s="11">
        <v>0.1041</v>
      </c>
      <c r="N1202">
        <v>92.54</v>
      </c>
      <c r="O1202">
        <v>84.04</v>
      </c>
      <c r="P1202">
        <v>2</v>
      </c>
      <c r="Q1202" t="s">
        <v>21</v>
      </c>
      <c r="R1202">
        <v>19.074999999999999</v>
      </c>
      <c r="S1202">
        <v>9.5399999999999991</v>
      </c>
      <c r="T1202" s="4">
        <v>17.210999999999999</v>
      </c>
      <c r="U1202" s="4">
        <v>24.405215999999999</v>
      </c>
      <c r="V1202" t="str">
        <f>IF(Table1[[#This Row],[ai_disruption_intensity]]&gt;70,"High",
IF(Table1[[#This Row],[ai_disruption_intensity]]&gt;40,"Medium","Low"))</f>
        <v>Low</v>
      </c>
      <c r="W1202" t="str">
        <f>IF(Table1[[#This Row],[skill_gap_index]]&gt;70,"Large Gap",
IF(Table1[[#This Row],[skill_gap_index]]&gt;40,"Medium Gap","Small Gap"))</f>
        <v>Small Gap</v>
      </c>
      <c r="X1202" s="3" t="str">
        <f>IF(Table1[[#This Row],[automation_risk_percent]]&gt;0.7,"Highly Automatable",
IF(Table1[[#This Row],[automation_risk_percent]]&gt;0.4,"Moderate Risk","Safe Job"))</f>
        <v>Safe Job</v>
      </c>
    </row>
    <row r="1203" spans="1:24" x14ac:dyDescent="0.3">
      <c r="A1203">
        <v>4253</v>
      </c>
      <c r="B1203" t="s">
        <v>39</v>
      </c>
      <c r="C1203" t="s">
        <v>33</v>
      </c>
      <c r="D1203" t="s">
        <v>35</v>
      </c>
      <c r="E1203" s="1">
        <v>2025</v>
      </c>
      <c r="F1203" s="11">
        <v>0.5121</v>
      </c>
      <c r="G1203">
        <v>44.03</v>
      </c>
      <c r="H1203">
        <v>24.82</v>
      </c>
      <c r="I1203" s="2">
        <v>141618.32999999999</v>
      </c>
      <c r="J1203" s="2">
        <v>149773.20000000001</v>
      </c>
      <c r="K1203" s="2">
        <f>Table1[[#This Row],[Salary_after]]-Table1[[#This Row],[Salary_before]]</f>
        <v>8154.8700000000244</v>
      </c>
      <c r="L1203" s="11">
        <v>5.7599999999999998E-2</v>
      </c>
      <c r="M1203" s="11">
        <v>-4.3099999999999999E-2</v>
      </c>
      <c r="N1203">
        <v>96.82</v>
      </c>
      <c r="O1203">
        <v>11.95</v>
      </c>
      <c r="P1203">
        <v>5</v>
      </c>
      <c r="Q1203" t="s">
        <v>25</v>
      </c>
      <c r="R1203">
        <v>38.015000000000001</v>
      </c>
      <c r="S1203">
        <v>5.76</v>
      </c>
      <c r="T1203" s="4">
        <v>29.658000000000001</v>
      </c>
      <c r="U1203" s="4">
        <v>6.1195949999999897</v>
      </c>
      <c r="V1203" t="str">
        <f>IF(Table1[[#This Row],[ai_disruption_intensity]]&gt;70,"High",
IF(Table1[[#This Row],[ai_disruption_intensity]]&gt;40,"Medium","Low"))</f>
        <v>Low</v>
      </c>
      <c r="W1203" t="str">
        <f>IF(Table1[[#This Row],[skill_gap_index]]&gt;70,"Large Gap",
IF(Table1[[#This Row],[skill_gap_index]]&gt;40,"Medium Gap","Small Gap"))</f>
        <v>Small Gap</v>
      </c>
      <c r="X1203" s="3" t="str">
        <f>IF(Table1[[#This Row],[automation_risk_percent]]&gt;0.7,"Highly Automatable",
IF(Table1[[#This Row],[automation_risk_percent]]&gt;0.4,"Moderate Risk","Safe Job"))</f>
        <v>Moderate Risk</v>
      </c>
    </row>
    <row r="1204" spans="1:24" x14ac:dyDescent="0.3">
      <c r="A1204">
        <v>4257</v>
      </c>
      <c r="B1204" t="s">
        <v>43</v>
      </c>
      <c r="C1204" t="s">
        <v>27</v>
      </c>
      <c r="D1204" t="s">
        <v>47</v>
      </c>
      <c r="E1204" s="1">
        <v>2025</v>
      </c>
      <c r="F1204" s="11">
        <v>0.27729999999999999</v>
      </c>
      <c r="G1204">
        <v>22.45</v>
      </c>
      <c r="H1204">
        <v>51.25</v>
      </c>
      <c r="I1204" s="2">
        <v>75246.06</v>
      </c>
      <c r="J1204" s="2">
        <v>80981.179999999993</v>
      </c>
      <c r="K1204" s="2">
        <f>Table1[[#This Row],[Salary_after]]-Table1[[#This Row],[Salary_before]]</f>
        <v>5735.1199999999953</v>
      </c>
      <c r="L1204" s="11">
        <v>7.6200000000000004E-2</v>
      </c>
      <c r="M1204" s="11">
        <v>-8.5099999999999995E-2</v>
      </c>
      <c r="N1204">
        <v>42.78</v>
      </c>
      <c r="O1204">
        <v>40.229999999999997</v>
      </c>
      <c r="P1204">
        <v>5</v>
      </c>
      <c r="Q1204" t="s">
        <v>21</v>
      </c>
      <c r="R1204">
        <v>39.49</v>
      </c>
      <c r="S1204">
        <v>7.62</v>
      </c>
      <c r="T1204" s="4">
        <v>28.753</v>
      </c>
      <c r="U1204" s="4">
        <v>11.155779000000001</v>
      </c>
      <c r="V1204" t="str">
        <f>IF(Table1[[#This Row],[ai_disruption_intensity]]&gt;70,"High",
IF(Table1[[#This Row],[ai_disruption_intensity]]&gt;40,"Medium","Low"))</f>
        <v>Low</v>
      </c>
      <c r="W1204" t="str">
        <f>IF(Table1[[#This Row],[skill_gap_index]]&gt;70,"Large Gap",
IF(Table1[[#This Row],[skill_gap_index]]&gt;40,"Medium Gap","Small Gap"))</f>
        <v>Medium Gap</v>
      </c>
      <c r="X1204" s="3" t="str">
        <f>IF(Table1[[#This Row],[automation_risk_percent]]&gt;0.7,"Highly Automatable",
IF(Table1[[#This Row],[automation_risk_percent]]&gt;0.4,"Moderate Risk","Safe Job"))</f>
        <v>Safe Job</v>
      </c>
    </row>
    <row r="1205" spans="1:24" x14ac:dyDescent="0.3">
      <c r="A1205">
        <v>4259</v>
      </c>
      <c r="B1205" t="s">
        <v>45</v>
      </c>
      <c r="C1205" t="s">
        <v>33</v>
      </c>
      <c r="D1205" t="s">
        <v>28</v>
      </c>
      <c r="E1205" s="1">
        <v>2025</v>
      </c>
      <c r="F1205" s="11">
        <v>0.25040000000000001</v>
      </c>
      <c r="G1205">
        <v>22.75</v>
      </c>
      <c r="H1205">
        <v>62.13</v>
      </c>
      <c r="I1205" s="2">
        <v>118783.41</v>
      </c>
      <c r="J1205" s="2">
        <v>117280.93</v>
      </c>
      <c r="K1205" s="2">
        <f>Table1[[#This Row],[Salary_after]]-Table1[[#This Row],[Salary_before]]</f>
        <v>-1502.4800000000105</v>
      </c>
      <c r="L1205" s="11">
        <v>-1.26E-2</v>
      </c>
      <c r="M1205" s="11">
        <v>0.22070000000000001</v>
      </c>
      <c r="N1205">
        <v>50.89</v>
      </c>
      <c r="O1205">
        <v>78.760000000000005</v>
      </c>
      <c r="P1205">
        <v>4</v>
      </c>
      <c r="Q1205" t="s">
        <v>21</v>
      </c>
      <c r="R1205">
        <v>43.585000000000001</v>
      </c>
      <c r="S1205">
        <v>1.26</v>
      </c>
      <c r="T1205" s="4">
        <v>29.033000000000001</v>
      </c>
      <c r="U1205" s="4">
        <v>19.721503999999999</v>
      </c>
      <c r="V1205" t="str">
        <f>IF(Table1[[#This Row],[ai_disruption_intensity]]&gt;70,"High",
IF(Table1[[#This Row],[ai_disruption_intensity]]&gt;40,"Medium","Low"))</f>
        <v>Low</v>
      </c>
      <c r="W1205" t="str">
        <f>IF(Table1[[#This Row],[skill_gap_index]]&gt;70,"Large Gap",
IF(Table1[[#This Row],[skill_gap_index]]&gt;40,"Medium Gap","Small Gap"))</f>
        <v>Medium Gap</v>
      </c>
      <c r="X1205" s="3" t="str">
        <f>IF(Table1[[#This Row],[automation_risk_percent]]&gt;0.7,"Highly Automatable",
IF(Table1[[#This Row],[automation_risk_percent]]&gt;0.4,"Moderate Risk","Safe Job"))</f>
        <v>Safe Job</v>
      </c>
    </row>
    <row r="1206" spans="1:24" x14ac:dyDescent="0.3">
      <c r="A1206">
        <v>4263</v>
      </c>
      <c r="B1206" t="s">
        <v>41</v>
      </c>
      <c r="C1206" t="s">
        <v>27</v>
      </c>
      <c r="D1206" t="s">
        <v>47</v>
      </c>
      <c r="E1206" s="1">
        <v>2025</v>
      </c>
      <c r="F1206" s="11">
        <v>0.82810000000000006</v>
      </c>
      <c r="G1206">
        <v>70.53</v>
      </c>
      <c r="H1206">
        <v>12.9</v>
      </c>
      <c r="I1206" s="2">
        <v>56928.29</v>
      </c>
      <c r="J1206" s="2">
        <v>47747.23</v>
      </c>
      <c r="K1206" s="2">
        <f>Table1[[#This Row],[Salary_after]]-Table1[[#This Row],[Salary_before]]</f>
        <v>-9181.0599999999977</v>
      </c>
      <c r="L1206" s="11">
        <v>-0.1613</v>
      </c>
      <c r="M1206" s="11">
        <v>8.3699999999999997E-2</v>
      </c>
      <c r="N1206">
        <v>55.29</v>
      </c>
      <c r="O1206">
        <v>30.2</v>
      </c>
      <c r="P1206">
        <v>1</v>
      </c>
      <c r="Q1206" t="s">
        <v>37</v>
      </c>
      <c r="R1206">
        <v>47.854999999999997</v>
      </c>
      <c r="S1206">
        <v>16.13</v>
      </c>
      <c r="T1206" s="4">
        <v>41.832999999999998</v>
      </c>
      <c r="U1206" s="4">
        <v>25.008620000000001</v>
      </c>
      <c r="V1206" t="str">
        <f>IF(Table1[[#This Row],[ai_disruption_intensity]]&gt;70,"High",
IF(Table1[[#This Row],[ai_disruption_intensity]]&gt;40,"Medium","Low"))</f>
        <v>Low</v>
      </c>
      <c r="W1206" t="str">
        <f>IF(Table1[[#This Row],[skill_gap_index]]&gt;70,"Large Gap",
IF(Table1[[#This Row],[skill_gap_index]]&gt;40,"Medium Gap","Small Gap"))</f>
        <v>Small Gap</v>
      </c>
      <c r="X1206" s="3" t="str">
        <f>IF(Table1[[#This Row],[automation_risk_percent]]&gt;0.7,"Highly Automatable",
IF(Table1[[#This Row],[automation_risk_percent]]&gt;0.4,"Moderate Risk","Safe Job"))</f>
        <v>Highly Automatable</v>
      </c>
    </row>
    <row r="1207" spans="1:24" x14ac:dyDescent="0.3">
      <c r="A1207">
        <v>4267</v>
      </c>
      <c r="B1207" t="s">
        <v>22</v>
      </c>
      <c r="C1207" t="s">
        <v>23</v>
      </c>
      <c r="D1207" t="s">
        <v>42</v>
      </c>
      <c r="E1207" s="1">
        <v>2026</v>
      </c>
      <c r="F1207" s="11">
        <v>0.1208</v>
      </c>
      <c r="G1207">
        <v>11.79</v>
      </c>
      <c r="H1207">
        <v>98.03</v>
      </c>
      <c r="I1207" s="2">
        <v>109166.87</v>
      </c>
      <c r="J1207" s="2">
        <v>98695.72</v>
      </c>
      <c r="K1207" s="2">
        <f>Table1[[#This Row],[Salary_after]]-Table1[[#This Row],[Salary_before]]</f>
        <v>-10471.149999999994</v>
      </c>
      <c r="L1207" s="11">
        <v>-9.5899999999999999E-2</v>
      </c>
      <c r="M1207" s="11">
        <v>1.0800000000000001E-2</v>
      </c>
      <c r="N1207">
        <v>96.75</v>
      </c>
      <c r="O1207">
        <v>1.4</v>
      </c>
      <c r="P1207">
        <v>4</v>
      </c>
      <c r="Q1207" t="s">
        <v>21</v>
      </c>
      <c r="R1207">
        <v>55.055</v>
      </c>
      <c r="S1207">
        <v>9.59</v>
      </c>
      <c r="T1207" s="4">
        <v>37.118000000000002</v>
      </c>
      <c r="U1207" s="4">
        <v>0.16911999999999999</v>
      </c>
      <c r="V1207" t="str">
        <f>IF(Table1[[#This Row],[ai_disruption_intensity]]&gt;70,"High",
IF(Table1[[#This Row],[ai_disruption_intensity]]&gt;40,"Medium","Low"))</f>
        <v>Low</v>
      </c>
      <c r="W1207" t="str">
        <f>IF(Table1[[#This Row],[skill_gap_index]]&gt;70,"Large Gap",
IF(Table1[[#This Row],[skill_gap_index]]&gt;40,"Medium Gap","Small Gap"))</f>
        <v>Large Gap</v>
      </c>
      <c r="X1207" s="3" t="str">
        <f>IF(Table1[[#This Row],[automation_risk_percent]]&gt;0.7,"Highly Automatable",
IF(Table1[[#This Row],[automation_risk_percent]]&gt;0.4,"Moderate Risk","Safe Job"))</f>
        <v>Safe Job</v>
      </c>
    </row>
    <row r="1208" spans="1:24" x14ac:dyDescent="0.3">
      <c r="A1208">
        <v>4271</v>
      </c>
      <c r="B1208" t="s">
        <v>22</v>
      </c>
      <c r="C1208" t="s">
        <v>38</v>
      </c>
      <c r="D1208" t="s">
        <v>36</v>
      </c>
      <c r="E1208" s="1">
        <v>2025</v>
      </c>
      <c r="F1208" s="11">
        <v>0.61990000000000001</v>
      </c>
      <c r="G1208">
        <v>63.45</v>
      </c>
      <c r="H1208">
        <v>21.43</v>
      </c>
      <c r="I1208" s="2">
        <v>94702.15</v>
      </c>
      <c r="J1208" s="2">
        <v>61998.14</v>
      </c>
      <c r="K1208" s="2">
        <f>Table1[[#This Row],[Salary_after]]-Table1[[#This Row],[Salary_before]]</f>
        <v>-32704.009999999995</v>
      </c>
      <c r="L1208" s="11">
        <v>-0.3453</v>
      </c>
      <c r="M1208" s="11">
        <v>8.8499999999999995E-2</v>
      </c>
      <c r="N1208">
        <v>51.46</v>
      </c>
      <c r="O1208">
        <v>11.08</v>
      </c>
      <c r="P1208">
        <v>5</v>
      </c>
      <c r="Q1208" t="s">
        <v>37</v>
      </c>
      <c r="R1208">
        <v>41.71</v>
      </c>
      <c r="S1208">
        <v>34.53</v>
      </c>
      <c r="T1208" s="4">
        <v>41.584000000000003</v>
      </c>
      <c r="U1208" s="4">
        <v>6.8684919999999998</v>
      </c>
      <c r="V1208" t="str">
        <f>IF(Table1[[#This Row],[ai_disruption_intensity]]&gt;70,"High",
IF(Table1[[#This Row],[ai_disruption_intensity]]&gt;40,"Medium","Low"))</f>
        <v>Low</v>
      </c>
      <c r="W1208" t="str">
        <f>IF(Table1[[#This Row],[skill_gap_index]]&gt;70,"Large Gap",
IF(Table1[[#This Row],[skill_gap_index]]&gt;40,"Medium Gap","Small Gap"))</f>
        <v>Small Gap</v>
      </c>
      <c r="X1208" s="3" t="str">
        <f>IF(Table1[[#This Row],[automation_risk_percent]]&gt;0.7,"Highly Automatable",
IF(Table1[[#This Row],[automation_risk_percent]]&gt;0.4,"Moderate Risk","Safe Job"))</f>
        <v>Moderate Risk</v>
      </c>
    </row>
    <row r="1209" spans="1:24" x14ac:dyDescent="0.3">
      <c r="A1209">
        <v>4278</v>
      </c>
      <c r="B1209" t="s">
        <v>41</v>
      </c>
      <c r="C1209" t="s">
        <v>27</v>
      </c>
      <c r="D1209" t="s">
        <v>31</v>
      </c>
      <c r="E1209" s="1">
        <v>2026</v>
      </c>
      <c r="F1209" s="11">
        <v>0.48090000000000005</v>
      </c>
      <c r="G1209">
        <v>43.01</v>
      </c>
      <c r="H1209">
        <v>99.32</v>
      </c>
      <c r="I1209" s="2">
        <v>76467.070000000007</v>
      </c>
      <c r="J1209" s="2">
        <v>75319.64</v>
      </c>
      <c r="K1209" s="2">
        <f>Table1[[#This Row],[Salary_after]]-Table1[[#This Row],[Salary_before]]</f>
        <v>-1147.4300000000076</v>
      </c>
      <c r="L1209" s="11">
        <v>-1.4999999999999999E-2</v>
      </c>
      <c r="M1209" s="11">
        <v>0.1104</v>
      </c>
      <c r="N1209">
        <v>28.37</v>
      </c>
      <c r="O1209">
        <v>11.92</v>
      </c>
      <c r="P1209">
        <v>2</v>
      </c>
      <c r="Q1209" t="s">
        <v>25</v>
      </c>
      <c r="R1209">
        <v>73.704999999999998</v>
      </c>
      <c r="S1209">
        <v>1.5</v>
      </c>
      <c r="T1209" s="4">
        <v>49.481999999999999</v>
      </c>
      <c r="U1209" s="4">
        <v>5.7323279999999999</v>
      </c>
      <c r="V1209" t="str">
        <f>IF(Table1[[#This Row],[ai_disruption_intensity]]&gt;70,"High",
IF(Table1[[#This Row],[ai_disruption_intensity]]&gt;40,"Medium","Low"))</f>
        <v>Low</v>
      </c>
      <c r="W1209" t="str">
        <f>IF(Table1[[#This Row],[skill_gap_index]]&gt;70,"Large Gap",
IF(Table1[[#This Row],[skill_gap_index]]&gt;40,"Medium Gap","Small Gap"))</f>
        <v>Large Gap</v>
      </c>
      <c r="X1209" s="3" t="str">
        <f>IF(Table1[[#This Row],[automation_risk_percent]]&gt;0.7,"Highly Automatable",
IF(Table1[[#This Row],[automation_risk_percent]]&gt;0.4,"Moderate Risk","Safe Job"))</f>
        <v>Moderate Risk</v>
      </c>
    </row>
    <row r="1210" spans="1:24" x14ac:dyDescent="0.3">
      <c r="A1210">
        <v>4281</v>
      </c>
      <c r="B1210" t="s">
        <v>26</v>
      </c>
      <c r="C1210" t="s">
        <v>19</v>
      </c>
      <c r="D1210" t="s">
        <v>20</v>
      </c>
      <c r="E1210" s="1">
        <v>2025</v>
      </c>
      <c r="F1210" s="11">
        <v>0.35070000000000001</v>
      </c>
      <c r="G1210">
        <v>39.04</v>
      </c>
      <c r="H1210">
        <v>11.54</v>
      </c>
      <c r="I1210" s="2">
        <v>37675.53</v>
      </c>
      <c r="J1210" s="2">
        <v>39409.57</v>
      </c>
      <c r="K1210" s="2">
        <f>Table1[[#This Row],[Salary_after]]-Table1[[#This Row],[Salary_before]]</f>
        <v>1734.0400000000009</v>
      </c>
      <c r="L1210" s="11">
        <v>4.5999999999999999E-2</v>
      </c>
      <c r="M1210" s="11">
        <v>-7.7000000000000002E-3</v>
      </c>
      <c r="N1210">
        <v>78.34</v>
      </c>
      <c r="O1210">
        <v>14.14</v>
      </c>
      <c r="P1210">
        <v>3</v>
      </c>
      <c r="Q1210" t="s">
        <v>25</v>
      </c>
      <c r="R1210">
        <v>23.305</v>
      </c>
      <c r="S1210">
        <v>4.5999999999999996</v>
      </c>
      <c r="T1210" s="4">
        <v>18.87</v>
      </c>
      <c r="U1210" s="4">
        <v>4.9588979999999996</v>
      </c>
      <c r="V1210" t="str">
        <f>IF(Table1[[#This Row],[ai_disruption_intensity]]&gt;70,"High",
IF(Table1[[#This Row],[ai_disruption_intensity]]&gt;40,"Medium","Low"))</f>
        <v>Low</v>
      </c>
      <c r="W1210" t="str">
        <f>IF(Table1[[#This Row],[skill_gap_index]]&gt;70,"Large Gap",
IF(Table1[[#This Row],[skill_gap_index]]&gt;40,"Medium Gap","Small Gap"))</f>
        <v>Small Gap</v>
      </c>
      <c r="X1210" s="3" t="str">
        <f>IF(Table1[[#This Row],[automation_risk_percent]]&gt;0.7,"Highly Automatable",
IF(Table1[[#This Row],[automation_risk_percent]]&gt;0.4,"Moderate Risk","Safe Job"))</f>
        <v>Safe Job</v>
      </c>
    </row>
    <row r="1211" spans="1:24" x14ac:dyDescent="0.3">
      <c r="A1211">
        <v>4282</v>
      </c>
      <c r="B1211" t="s">
        <v>45</v>
      </c>
      <c r="C1211" t="s">
        <v>34</v>
      </c>
      <c r="D1211" t="s">
        <v>24</v>
      </c>
      <c r="E1211" s="1">
        <v>2026</v>
      </c>
      <c r="F1211" s="11">
        <v>0.1217</v>
      </c>
      <c r="G1211">
        <v>13.07</v>
      </c>
      <c r="H1211">
        <v>85.53</v>
      </c>
      <c r="I1211" s="2">
        <v>120492.92</v>
      </c>
      <c r="J1211" s="2">
        <v>125031.63</v>
      </c>
      <c r="K1211" s="2">
        <f>Table1[[#This Row],[Salary_after]]-Table1[[#This Row],[Salary_before]]</f>
        <v>4538.7100000000064</v>
      </c>
      <c r="L1211" s="11">
        <v>3.7699999999999997E-2</v>
      </c>
      <c r="M1211" s="11">
        <v>-8.3599999999999994E-2</v>
      </c>
      <c r="N1211">
        <v>78.16</v>
      </c>
      <c r="O1211">
        <v>25.58</v>
      </c>
      <c r="P1211">
        <v>2</v>
      </c>
      <c r="Q1211" t="s">
        <v>21</v>
      </c>
      <c r="R1211">
        <v>48.85</v>
      </c>
      <c r="S1211">
        <v>3.77</v>
      </c>
      <c r="T1211" s="4">
        <v>31.658000000000001</v>
      </c>
      <c r="U1211" s="4">
        <v>3.1130859999999898</v>
      </c>
      <c r="V1211" t="str">
        <f>IF(Table1[[#This Row],[ai_disruption_intensity]]&gt;70,"High",
IF(Table1[[#This Row],[ai_disruption_intensity]]&gt;40,"Medium","Low"))</f>
        <v>Low</v>
      </c>
      <c r="W1211" t="str">
        <f>IF(Table1[[#This Row],[skill_gap_index]]&gt;70,"Large Gap",
IF(Table1[[#This Row],[skill_gap_index]]&gt;40,"Medium Gap","Small Gap"))</f>
        <v>Large Gap</v>
      </c>
      <c r="X1211" s="3" t="str">
        <f>IF(Table1[[#This Row],[automation_risk_percent]]&gt;0.7,"Highly Automatable",
IF(Table1[[#This Row],[automation_risk_percent]]&gt;0.4,"Moderate Risk","Safe Job"))</f>
        <v>Safe Job</v>
      </c>
    </row>
    <row r="1212" spans="1:24" x14ac:dyDescent="0.3">
      <c r="A1212">
        <v>4283</v>
      </c>
      <c r="B1212" t="s">
        <v>43</v>
      </c>
      <c r="C1212" t="s">
        <v>30</v>
      </c>
      <c r="D1212" t="s">
        <v>35</v>
      </c>
      <c r="E1212" s="1">
        <v>2026</v>
      </c>
      <c r="F1212" s="11">
        <v>0.46939999999999998</v>
      </c>
      <c r="G1212">
        <v>43.46</v>
      </c>
      <c r="H1212">
        <v>22.56</v>
      </c>
      <c r="I1212" s="2">
        <v>146350.72</v>
      </c>
      <c r="J1212" s="2">
        <v>144713.35</v>
      </c>
      <c r="K1212" s="2">
        <f>Table1[[#This Row],[Salary_after]]-Table1[[#This Row],[Salary_before]]</f>
        <v>-1637.3699999999953</v>
      </c>
      <c r="L1212" s="11">
        <v>-1.1200000000000002E-2</v>
      </c>
      <c r="M1212" s="11">
        <v>0.13500000000000001</v>
      </c>
      <c r="N1212">
        <v>22.31</v>
      </c>
      <c r="O1212">
        <v>72.790000000000006</v>
      </c>
      <c r="P1212">
        <v>3</v>
      </c>
      <c r="Q1212" t="s">
        <v>25</v>
      </c>
      <c r="R1212">
        <v>34.75</v>
      </c>
      <c r="S1212">
        <v>1.1200000000000001</v>
      </c>
      <c r="T1212" s="4">
        <v>25.88</v>
      </c>
      <c r="U1212" s="4">
        <v>34.167625999999998</v>
      </c>
      <c r="V1212" t="str">
        <f>IF(Table1[[#This Row],[ai_disruption_intensity]]&gt;70,"High",
IF(Table1[[#This Row],[ai_disruption_intensity]]&gt;40,"Medium","Low"))</f>
        <v>Low</v>
      </c>
      <c r="W1212" t="str">
        <f>IF(Table1[[#This Row],[skill_gap_index]]&gt;70,"Large Gap",
IF(Table1[[#This Row],[skill_gap_index]]&gt;40,"Medium Gap","Small Gap"))</f>
        <v>Small Gap</v>
      </c>
      <c r="X1212" s="3" t="str">
        <f>IF(Table1[[#This Row],[automation_risk_percent]]&gt;0.7,"Highly Automatable",
IF(Table1[[#This Row],[automation_risk_percent]]&gt;0.4,"Moderate Risk","Safe Job"))</f>
        <v>Moderate Risk</v>
      </c>
    </row>
    <row r="1213" spans="1:24" x14ac:dyDescent="0.3">
      <c r="A1213">
        <v>4286</v>
      </c>
      <c r="B1213" t="s">
        <v>46</v>
      </c>
      <c r="C1213" t="s">
        <v>33</v>
      </c>
      <c r="D1213" t="s">
        <v>28</v>
      </c>
      <c r="E1213" s="1">
        <v>2025</v>
      </c>
      <c r="F1213" s="11">
        <v>0.22070000000000001</v>
      </c>
      <c r="G1213">
        <v>20.8</v>
      </c>
      <c r="H1213">
        <v>40.58</v>
      </c>
      <c r="I1213" s="2">
        <v>144215.56</v>
      </c>
      <c r="J1213" s="2">
        <v>143469.20000000001</v>
      </c>
      <c r="K1213" s="2">
        <f>Table1[[#This Row],[Salary_after]]-Table1[[#This Row],[Salary_before]]</f>
        <v>-746.35999999998603</v>
      </c>
      <c r="L1213" s="11">
        <v>-5.1999999999999998E-3</v>
      </c>
      <c r="M1213" s="11">
        <v>-0.12050000000000001</v>
      </c>
      <c r="N1213">
        <v>95.63</v>
      </c>
      <c r="O1213">
        <v>47.61</v>
      </c>
      <c r="P1213">
        <v>1</v>
      </c>
      <c r="Q1213" t="s">
        <v>21</v>
      </c>
      <c r="R1213">
        <v>31.324999999999999</v>
      </c>
      <c r="S1213">
        <v>0.52</v>
      </c>
      <c r="T1213" s="4">
        <v>21.158000000000001</v>
      </c>
      <c r="U1213" s="4">
        <v>10.507527</v>
      </c>
      <c r="V1213" t="str">
        <f>IF(Table1[[#This Row],[ai_disruption_intensity]]&gt;70,"High",
IF(Table1[[#This Row],[ai_disruption_intensity]]&gt;40,"Medium","Low"))</f>
        <v>Low</v>
      </c>
      <c r="W1213" t="str">
        <f>IF(Table1[[#This Row],[skill_gap_index]]&gt;70,"Large Gap",
IF(Table1[[#This Row],[skill_gap_index]]&gt;40,"Medium Gap","Small Gap"))</f>
        <v>Medium Gap</v>
      </c>
      <c r="X1213" s="3" t="str">
        <f>IF(Table1[[#This Row],[automation_risk_percent]]&gt;0.7,"Highly Automatable",
IF(Table1[[#This Row],[automation_risk_percent]]&gt;0.4,"Moderate Risk","Safe Job"))</f>
        <v>Safe Job</v>
      </c>
    </row>
    <row r="1214" spans="1:24" x14ac:dyDescent="0.3">
      <c r="A1214">
        <v>4291</v>
      </c>
      <c r="B1214" t="s">
        <v>41</v>
      </c>
      <c r="C1214" t="s">
        <v>19</v>
      </c>
      <c r="D1214" t="s">
        <v>35</v>
      </c>
      <c r="E1214" s="1">
        <v>2026</v>
      </c>
      <c r="F1214" s="11">
        <v>0.65969999999999995</v>
      </c>
      <c r="G1214">
        <v>73.61</v>
      </c>
      <c r="H1214">
        <v>44.99</v>
      </c>
      <c r="I1214" s="2">
        <v>42368.84</v>
      </c>
      <c r="J1214" s="2">
        <v>38348.629999999997</v>
      </c>
      <c r="K1214" s="2">
        <f>Table1[[#This Row],[Salary_after]]-Table1[[#This Row],[Salary_before]]</f>
        <v>-4020.2099999999991</v>
      </c>
      <c r="L1214" s="11">
        <v>-9.4899999999999998E-2</v>
      </c>
      <c r="M1214" s="11">
        <v>3.0999999999999999E-3</v>
      </c>
      <c r="N1214">
        <v>80.36</v>
      </c>
      <c r="O1214">
        <v>70.05</v>
      </c>
      <c r="P1214">
        <v>4</v>
      </c>
      <c r="Q1214" t="s">
        <v>37</v>
      </c>
      <c r="R1214">
        <v>55.48</v>
      </c>
      <c r="S1214">
        <v>9.49</v>
      </c>
      <c r="T1214" s="4">
        <v>42.731999999999999</v>
      </c>
      <c r="U1214" s="4">
        <v>46.211984999999999</v>
      </c>
      <c r="V1214" t="str">
        <f>IF(Table1[[#This Row],[ai_disruption_intensity]]&gt;70,"High",
IF(Table1[[#This Row],[ai_disruption_intensity]]&gt;40,"Medium","Low"))</f>
        <v>Medium</v>
      </c>
      <c r="W1214" t="str">
        <f>IF(Table1[[#This Row],[skill_gap_index]]&gt;70,"Large Gap",
IF(Table1[[#This Row],[skill_gap_index]]&gt;40,"Medium Gap","Small Gap"))</f>
        <v>Medium Gap</v>
      </c>
      <c r="X1214" s="3" t="str">
        <f>IF(Table1[[#This Row],[automation_risk_percent]]&gt;0.7,"Highly Automatable",
IF(Table1[[#This Row],[automation_risk_percent]]&gt;0.4,"Moderate Risk","Safe Job"))</f>
        <v>Moderate Risk</v>
      </c>
    </row>
    <row r="1215" spans="1:24" x14ac:dyDescent="0.3">
      <c r="A1215">
        <v>4293</v>
      </c>
      <c r="B1215" t="s">
        <v>46</v>
      </c>
      <c r="C1215" t="s">
        <v>38</v>
      </c>
      <c r="D1215" t="s">
        <v>47</v>
      </c>
      <c r="E1215" s="1">
        <v>2025</v>
      </c>
      <c r="F1215" s="11">
        <v>0.5988</v>
      </c>
      <c r="G1215">
        <v>66.66</v>
      </c>
      <c r="H1215">
        <v>81.62</v>
      </c>
      <c r="I1215" s="2">
        <v>148775.70000000001</v>
      </c>
      <c r="J1215" s="2">
        <v>141606.04</v>
      </c>
      <c r="K1215" s="2">
        <f>Table1[[#This Row],[Salary_after]]-Table1[[#This Row],[Salary_before]]</f>
        <v>-7169.6600000000035</v>
      </c>
      <c r="L1215" s="11">
        <v>-4.82E-2</v>
      </c>
      <c r="M1215" s="11">
        <v>5.0199999999999995E-2</v>
      </c>
      <c r="N1215">
        <v>52.53</v>
      </c>
      <c r="O1215">
        <v>89.88</v>
      </c>
      <c r="P1215">
        <v>2</v>
      </c>
      <c r="Q1215" t="s">
        <v>25</v>
      </c>
      <c r="R1215">
        <v>70.75</v>
      </c>
      <c r="S1215">
        <v>4.82</v>
      </c>
      <c r="T1215" s="4">
        <v>49.884</v>
      </c>
      <c r="U1215" s="4">
        <v>53.820143999999999</v>
      </c>
      <c r="V1215" t="str">
        <f>IF(Table1[[#This Row],[ai_disruption_intensity]]&gt;70,"High",
IF(Table1[[#This Row],[ai_disruption_intensity]]&gt;40,"Medium","Low"))</f>
        <v>Medium</v>
      </c>
      <c r="W1215" t="str">
        <f>IF(Table1[[#This Row],[skill_gap_index]]&gt;70,"Large Gap",
IF(Table1[[#This Row],[skill_gap_index]]&gt;40,"Medium Gap","Small Gap"))</f>
        <v>Large Gap</v>
      </c>
      <c r="X1215" s="3" t="str">
        <f>IF(Table1[[#This Row],[automation_risk_percent]]&gt;0.7,"Highly Automatable",
IF(Table1[[#This Row],[automation_risk_percent]]&gt;0.4,"Moderate Risk","Safe Job"))</f>
        <v>Moderate Risk</v>
      </c>
    </row>
    <row r="1216" spans="1:24" x14ac:dyDescent="0.3">
      <c r="A1216">
        <v>4295</v>
      </c>
      <c r="B1216" t="s">
        <v>18</v>
      </c>
      <c r="C1216" t="s">
        <v>38</v>
      </c>
      <c r="D1216" t="s">
        <v>36</v>
      </c>
      <c r="E1216" s="1">
        <v>2025</v>
      </c>
      <c r="F1216" s="11">
        <v>0.26329999999999998</v>
      </c>
      <c r="G1216">
        <v>28.48</v>
      </c>
      <c r="H1216">
        <v>77.290000000000006</v>
      </c>
      <c r="I1216" s="2">
        <v>98334.16</v>
      </c>
      <c r="J1216" s="2">
        <v>92033.46</v>
      </c>
      <c r="K1216" s="2">
        <f>Table1[[#This Row],[Salary_after]]-Table1[[#This Row],[Salary_before]]</f>
        <v>-6300.6999999999971</v>
      </c>
      <c r="L1216" s="11">
        <v>-6.4100000000000004E-2</v>
      </c>
      <c r="M1216" s="11">
        <v>-0.1047</v>
      </c>
      <c r="N1216">
        <v>18.64</v>
      </c>
      <c r="O1216">
        <v>95.32</v>
      </c>
      <c r="P1216">
        <v>3</v>
      </c>
      <c r="Q1216" t="s">
        <v>21</v>
      </c>
      <c r="R1216">
        <v>51.81</v>
      </c>
      <c r="S1216">
        <v>6.41</v>
      </c>
      <c r="T1216" s="4">
        <v>35.642000000000003</v>
      </c>
      <c r="U1216" s="4">
        <v>25.097755999999901</v>
      </c>
      <c r="V1216" t="str">
        <f>IF(Table1[[#This Row],[ai_disruption_intensity]]&gt;70,"High",
IF(Table1[[#This Row],[ai_disruption_intensity]]&gt;40,"Medium","Low"))</f>
        <v>Low</v>
      </c>
      <c r="W1216" t="str">
        <f>IF(Table1[[#This Row],[skill_gap_index]]&gt;70,"Large Gap",
IF(Table1[[#This Row],[skill_gap_index]]&gt;40,"Medium Gap","Small Gap"))</f>
        <v>Large Gap</v>
      </c>
      <c r="X1216" s="3" t="str">
        <f>IF(Table1[[#This Row],[automation_risk_percent]]&gt;0.7,"Highly Automatable",
IF(Table1[[#This Row],[automation_risk_percent]]&gt;0.4,"Moderate Risk","Safe Job"))</f>
        <v>Safe Job</v>
      </c>
    </row>
    <row r="1217" spans="1:24" x14ac:dyDescent="0.3">
      <c r="A1217">
        <v>4297</v>
      </c>
      <c r="B1217" t="s">
        <v>26</v>
      </c>
      <c r="C1217" t="s">
        <v>19</v>
      </c>
      <c r="D1217" t="s">
        <v>20</v>
      </c>
      <c r="E1217" s="1">
        <v>2025</v>
      </c>
      <c r="F1217" s="11">
        <v>0.2969</v>
      </c>
      <c r="G1217">
        <v>31.38</v>
      </c>
      <c r="H1217">
        <v>28.7</v>
      </c>
      <c r="I1217" s="2">
        <v>47144.79</v>
      </c>
      <c r="J1217" s="2">
        <v>44562.16</v>
      </c>
      <c r="K1217" s="2">
        <f>Table1[[#This Row],[Salary_after]]-Table1[[#This Row],[Salary_before]]</f>
        <v>-2582.6299999999974</v>
      </c>
      <c r="L1217" s="11">
        <v>-5.4800000000000001E-2</v>
      </c>
      <c r="M1217" s="11">
        <v>0.24329999999999999</v>
      </c>
      <c r="N1217">
        <v>31.17</v>
      </c>
      <c r="O1217">
        <v>13.76</v>
      </c>
      <c r="P1217">
        <v>1</v>
      </c>
      <c r="Q1217" t="s">
        <v>21</v>
      </c>
      <c r="R1217">
        <v>29.195</v>
      </c>
      <c r="S1217">
        <v>5.48</v>
      </c>
      <c r="T1217" s="4">
        <v>22.13</v>
      </c>
      <c r="U1217" s="4">
        <v>4.0853440000000001</v>
      </c>
      <c r="V1217" t="str">
        <f>IF(Table1[[#This Row],[ai_disruption_intensity]]&gt;70,"High",
IF(Table1[[#This Row],[ai_disruption_intensity]]&gt;40,"Medium","Low"))</f>
        <v>Low</v>
      </c>
      <c r="W1217" t="str">
        <f>IF(Table1[[#This Row],[skill_gap_index]]&gt;70,"Large Gap",
IF(Table1[[#This Row],[skill_gap_index]]&gt;40,"Medium Gap","Small Gap"))</f>
        <v>Small Gap</v>
      </c>
      <c r="X1217" s="3" t="str">
        <f>IF(Table1[[#This Row],[automation_risk_percent]]&gt;0.7,"Highly Automatable",
IF(Table1[[#This Row],[automation_risk_percent]]&gt;0.4,"Moderate Risk","Safe Job"))</f>
        <v>Safe Job</v>
      </c>
    </row>
    <row r="1218" spans="1:24" x14ac:dyDescent="0.3">
      <c r="A1218">
        <v>4299</v>
      </c>
      <c r="B1218" t="s">
        <v>46</v>
      </c>
      <c r="C1218" t="s">
        <v>23</v>
      </c>
      <c r="D1218" t="s">
        <v>47</v>
      </c>
      <c r="E1218" s="1">
        <v>2025</v>
      </c>
      <c r="F1218" s="11">
        <v>0.18940000000000001</v>
      </c>
      <c r="G1218">
        <v>16.07</v>
      </c>
      <c r="H1218">
        <v>4.25</v>
      </c>
      <c r="I1218" s="2">
        <v>130549.82</v>
      </c>
      <c r="J1218" s="2">
        <v>126365.83</v>
      </c>
      <c r="K1218" s="2">
        <f>Table1[[#This Row],[Salary_after]]-Table1[[#This Row],[Salary_before]]</f>
        <v>-4183.9900000000052</v>
      </c>
      <c r="L1218" s="11">
        <v>-3.2000000000000001E-2</v>
      </c>
      <c r="M1218" s="11">
        <v>-0.1047</v>
      </c>
      <c r="N1218">
        <v>81.08</v>
      </c>
      <c r="O1218">
        <v>24.75</v>
      </c>
      <c r="P1218">
        <v>5</v>
      </c>
      <c r="Q1218" t="s">
        <v>21</v>
      </c>
      <c r="R1218">
        <v>11.595000000000001</v>
      </c>
      <c r="S1218">
        <v>3.2</v>
      </c>
      <c r="T1218" s="4">
        <v>9.8109999999999999</v>
      </c>
      <c r="U1218" s="4">
        <v>4.6876499999999997</v>
      </c>
      <c r="V1218" t="str">
        <f>IF(Table1[[#This Row],[ai_disruption_intensity]]&gt;70,"High",
IF(Table1[[#This Row],[ai_disruption_intensity]]&gt;40,"Medium","Low"))</f>
        <v>Low</v>
      </c>
      <c r="W1218" t="str">
        <f>IF(Table1[[#This Row],[skill_gap_index]]&gt;70,"Large Gap",
IF(Table1[[#This Row],[skill_gap_index]]&gt;40,"Medium Gap","Small Gap"))</f>
        <v>Small Gap</v>
      </c>
      <c r="X1218" s="3" t="str">
        <f>IF(Table1[[#This Row],[automation_risk_percent]]&gt;0.7,"Highly Automatable",
IF(Table1[[#This Row],[automation_risk_percent]]&gt;0.4,"Moderate Risk","Safe Job"))</f>
        <v>Safe Job</v>
      </c>
    </row>
    <row r="1219" spans="1:24" x14ac:dyDescent="0.3">
      <c r="A1219">
        <v>4304</v>
      </c>
      <c r="B1219" t="s">
        <v>29</v>
      </c>
      <c r="C1219" t="s">
        <v>38</v>
      </c>
      <c r="D1219" t="s">
        <v>28</v>
      </c>
      <c r="E1219" s="1">
        <v>2026</v>
      </c>
      <c r="F1219" s="11">
        <v>0.93870000000000009</v>
      </c>
      <c r="G1219">
        <v>108.87</v>
      </c>
      <c r="H1219">
        <v>39.520000000000003</v>
      </c>
      <c r="I1219" s="2">
        <v>135152.64000000001</v>
      </c>
      <c r="J1219" s="2">
        <v>123098.93</v>
      </c>
      <c r="K1219" s="2">
        <f>Table1[[#This Row],[Salary_after]]-Table1[[#This Row],[Salary_before]]</f>
        <v>-12053.710000000021</v>
      </c>
      <c r="L1219" s="11">
        <v>-8.9200000000000002E-2</v>
      </c>
      <c r="M1219" s="11">
        <v>0.1226</v>
      </c>
      <c r="N1219">
        <v>27.86</v>
      </c>
      <c r="O1219">
        <v>86.18</v>
      </c>
      <c r="P1219">
        <v>1</v>
      </c>
      <c r="Q1219" t="s">
        <v>37</v>
      </c>
      <c r="R1219">
        <v>66.694999999999993</v>
      </c>
      <c r="S1219">
        <v>8.92</v>
      </c>
      <c r="T1219" s="4">
        <v>52.08</v>
      </c>
      <c r="U1219" s="4">
        <v>80.897165999999999</v>
      </c>
      <c r="V1219" t="str">
        <f>IF(Table1[[#This Row],[ai_disruption_intensity]]&gt;70,"High",
IF(Table1[[#This Row],[ai_disruption_intensity]]&gt;40,"Medium","Low"))</f>
        <v>High</v>
      </c>
      <c r="W1219" t="str">
        <f>IF(Table1[[#This Row],[skill_gap_index]]&gt;70,"Large Gap",
IF(Table1[[#This Row],[skill_gap_index]]&gt;40,"Medium Gap","Small Gap"))</f>
        <v>Small Gap</v>
      </c>
      <c r="X1219" s="3" t="str">
        <f>IF(Table1[[#This Row],[automation_risk_percent]]&gt;0.7,"Highly Automatable",
IF(Table1[[#This Row],[automation_risk_percent]]&gt;0.4,"Moderate Risk","Safe Job"))</f>
        <v>Highly Automatable</v>
      </c>
    </row>
    <row r="1220" spans="1:24" x14ac:dyDescent="0.3">
      <c r="A1220">
        <v>4307</v>
      </c>
      <c r="B1220" t="s">
        <v>45</v>
      </c>
      <c r="C1220" t="s">
        <v>38</v>
      </c>
      <c r="D1220" t="s">
        <v>32</v>
      </c>
      <c r="E1220" s="1">
        <v>2025</v>
      </c>
      <c r="F1220" s="11">
        <v>0.72760000000000002</v>
      </c>
      <c r="G1220">
        <v>60.18</v>
      </c>
      <c r="H1220">
        <v>9.93</v>
      </c>
      <c r="I1220" s="2">
        <v>59405.67</v>
      </c>
      <c r="J1220" s="2">
        <v>50638.27</v>
      </c>
      <c r="K1220" s="2">
        <f>Table1[[#This Row],[Salary_after]]-Table1[[#This Row],[Salary_before]]</f>
        <v>-8767.4000000000015</v>
      </c>
      <c r="L1220" s="11">
        <v>-0.14760000000000001</v>
      </c>
      <c r="M1220" s="11">
        <v>-3.7499999999999999E-2</v>
      </c>
      <c r="N1220">
        <v>70.959999999999994</v>
      </c>
      <c r="O1220">
        <v>70.260000000000005</v>
      </c>
      <c r="P1220">
        <v>1</v>
      </c>
      <c r="Q1220" t="s">
        <v>37</v>
      </c>
      <c r="R1220">
        <v>41.344999999999999</v>
      </c>
      <c r="S1220">
        <v>14.76</v>
      </c>
      <c r="T1220" s="4">
        <v>36.511000000000003</v>
      </c>
      <c r="U1220" s="4">
        <v>51.121175999999998</v>
      </c>
      <c r="V1220" t="str">
        <f>IF(Table1[[#This Row],[ai_disruption_intensity]]&gt;70,"High",
IF(Table1[[#This Row],[ai_disruption_intensity]]&gt;40,"Medium","Low"))</f>
        <v>Medium</v>
      </c>
      <c r="W1220" t="str">
        <f>IF(Table1[[#This Row],[skill_gap_index]]&gt;70,"Large Gap",
IF(Table1[[#This Row],[skill_gap_index]]&gt;40,"Medium Gap","Small Gap"))</f>
        <v>Small Gap</v>
      </c>
      <c r="X1220" s="3" t="str">
        <f>IF(Table1[[#This Row],[automation_risk_percent]]&gt;0.7,"Highly Automatable",
IF(Table1[[#This Row],[automation_risk_percent]]&gt;0.4,"Moderate Risk","Safe Job"))</f>
        <v>Highly Automatable</v>
      </c>
    </row>
    <row r="1221" spans="1:24" x14ac:dyDescent="0.3">
      <c r="A1221">
        <v>4308</v>
      </c>
      <c r="B1221" t="s">
        <v>18</v>
      </c>
      <c r="C1221" t="s">
        <v>27</v>
      </c>
      <c r="D1221" t="s">
        <v>42</v>
      </c>
      <c r="E1221" s="1">
        <v>2026</v>
      </c>
      <c r="F1221" s="11">
        <v>0.64599999999999991</v>
      </c>
      <c r="G1221">
        <v>73.14</v>
      </c>
      <c r="H1221">
        <v>26.84</v>
      </c>
      <c r="I1221" s="2">
        <v>112435.39</v>
      </c>
      <c r="J1221" s="2">
        <v>112805.62</v>
      </c>
      <c r="K1221" s="2">
        <f>Table1[[#This Row],[Salary_after]]-Table1[[#This Row],[Salary_before]]</f>
        <v>370.22999999999593</v>
      </c>
      <c r="L1221" s="11">
        <v>3.3E-3</v>
      </c>
      <c r="M1221" s="11">
        <v>-6.2E-2</v>
      </c>
      <c r="N1221">
        <v>65.16</v>
      </c>
      <c r="O1221">
        <v>16.170000000000002</v>
      </c>
      <c r="P1221">
        <v>2</v>
      </c>
      <c r="Q1221" t="s">
        <v>37</v>
      </c>
      <c r="R1221">
        <v>45.72</v>
      </c>
      <c r="S1221">
        <v>0.33</v>
      </c>
      <c r="T1221" s="4">
        <v>33.9909999999999</v>
      </c>
      <c r="U1221" s="4">
        <v>10.445819999999999</v>
      </c>
      <c r="V1221" t="str">
        <f>IF(Table1[[#This Row],[ai_disruption_intensity]]&gt;70,"High",
IF(Table1[[#This Row],[ai_disruption_intensity]]&gt;40,"Medium","Low"))</f>
        <v>Low</v>
      </c>
      <c r="W1221" t="str">
        <f>IF(Table1[[#This Row],[skill_gap_index]]&gt;70,"Large Gap",
IF(Table1[[#This Row],[skill_gap_index]]&gt;40,"Medium Gap","Small Gap"))</f>
        <v>Small Gap</v>
      </c>
      <c r="X1221" s="3" t="str">
        <f>IF(Table1[[#This Row],[automation_risk_percent]]&gt;0.7,"Highly Automatable",
IF(Table1[[#This Row],[automation_risk_percent]]&gt;0.4,"Moderate Risk","Safe Job"))</f>
        <v>Moderate Risk</v>
      </c>
    </row>
    <row r="1222" spans="1:24" x14ac:dyDescent="0.3">
      <c r="A1222">
        <v>4317</v>
      </c>
      <c r="B1222" t="s">
        <v>43</v>
      </c>
      <c r="C1222" t="s">
        <v>40</v>
      </c>
      <c r="D1222" t="s">
        <v>31</v>
      </c>
      <c r="E1222" s="1">
        <v>2026</v>
      </c>
      <c r="F1222" s="11">
        <v>0.73129999999999995</v>
      </c>
      <c r="G1222">
        <v>87.73</v>
      </c>
      <c r="H1222">
        <v>39.200000000000003</v>
      </c>
      <c r="I1222" s="2">
        <v>60568.44</v>
      </c>
      <c r="J1222" s="2">
        <v>60961.57</v>
      </c>
      <c r="K1222" s="2">
        <f>Table1[[#This Row],[Salary_after]]-Table1[[#This Row],[Salary_before]]</f>
        <v>393.12999999999738</v>
      </c>
      <c r="L1222" s="11">
        <v>6.5000000000000006E-3</v>
      </c>
      <c r="M1222" s="11">
        <v>-8.5099999999999995E-2</v>
      </c>
      <c r="N1222">
        <v>64.55</v>
      </c>
      <c r="O1222">
        <v>47.24</v>
      </c>
      <c r="P1222">
        <v>5</v>
      </c>
      <c r="Q1222" t="s">
        <v>37</v>
      </c>
      <c r="R1222">
        <v>56.164999999999999</v>
      </c>
      <c r="S1222">
        <v>0.65</v>
      </c>
      <c r="T1222" s="4">
        <v>41.207000000000001</v>
      </c>
      <c r="U1222" s="4">
        <v>34.546612000000003</v>
      </c>
      <c r="V1222" t="str">
        <f>IF(Table1[[#This Row],[ai_disruption_intensity]]&gt;70,"High",
IF(Table1[[#This Row],[ai_disruption_intensity]]&gt;40,"Medium","Low"))</f>
        <v>Low</v>
      </c>
      <c r="W1222" t="str">
        <f>IF(Table1[[#This Row],[skill_gap_index]]&gt;70,"Large Gap",
IF(Table1[[#This Row],[skill_gap_index]]&gt;40,"Medium Gap","Small Gap"))</f>
        <v>Small Gap</v>
      </c>
      <c r="X1222" s="3" t="str">
        <f>IF(Table1[[#This Row],[automation_risk_percent]]&gt;0.7,"Highly Automatable",
IF(Table1[[#This Row],[automation_risk_percent]]&gt;0.4,"Moderate Risk","Safe Job"))</f>
        <v>Highly Automatable</v>
      </c>
    </row>
    <row r="1223" spans="1:24" x14ac:dyDescent="0.3">
      <c r="A1223">
        <v>4321</v>
      </c>
      <c r="B1223" t="s">
        <v>45</v>
      </c>
      <c r="C1223" t="s">
        <v>27</v>
      </c>
      <c r="D1223" t="s">
        <v>31</v>
      </c>
      <c r="E1223" s="1">
        <v>2026</v>
      </c>
      <c r="F1223" s="11">
        <v>0.54600000000000004</v>
      </c>
      <c r="G1223">
        <v>49.3</v>
      </c>
      <c r="H1223">
        <v>78.33</v>
      </c>
      <c r="I1223" s="2">
        <v>54318.21</v>
      </c>
      <c r="J1223" s="2">
        <v>49769.120000000003</v>
      </c>
      <c r="K1223" s="2">
        <f>Table1[[#This Row],[Salary_after]]-Table1[[#This Row],[Salary_before]]</f>
        <v>-4549.0899999999965</v>
      </c>
      <c r="L1223" s="11">
        <v>-8.3699999999999997E-2</v>
      </c>
      <c r="M1223" s="11">
        <v>6.4199999999999993E-2</v>
      </c>
      <c r="N1223">
        <v>46.68</v>
      </c>
      <c r="O1223">
        <v>63.49</v>
      </c>
      <c r="P1223">
        <v>4</v>
      </c>
      <c r="Q1223" t="s">
        <v>25</v>
      </c>
      <c r="R1223">
        <v>66.465000000000003</v>
      </c>
      <c r="S1223">
        <v>8.3699999999999992</v>
      </c>
      <c r="T1223" s="4">
        <v>47.85</v>
      </c>
      <c r="U1223" s="4">
        <v>34.66554</v>
      </c>
      <c r="V1223" t="str">
        <f>IF(Table1[[#This Row],[ai_disruption_intensity]]&gt;70,"High",
IF(Table1[[#This Row],[ai_disruption_intensity]]&gt;40,"Medium","Low"))</f>
        <v>Low</v>
      </c>
      <c r="W1223" t="str">
        <f>IF(Table1[[#This Row],[skill_gap_index]]&gt;70,"Large Gap",
IF(Table1[[#This Row],[skill_gap_index]]&gt;40,"Medium Gap","Small Gap"))</f>
        <v>Large Gap</v>
      </c>
      <c r="X1223" s="3" t="str">
        <f>IF(Table1[[#This Row],[automation_risk_percent]]&gt;0.7,"Highly Automatable",
IF(Table1[[#This Row],[automation_risk_percent]]&gt;0.4,"Moderate Risk","Safe Job"))</f>
        <v>Moderate Risk</v>
      </c>
    </row>
    <row r="1224" spans="1:24" x14ac:dyDescent="0.3">
      <c r="A1224">
        <v>4322</v>
      </c>
      <c r="B1224" t="s">
        <v>43</v>
      </c>
      <c r="C1224" t="s">
        <v>19</v>
      </c>
      <c r="D1224" t="s">
        <v>28</v>
      </c>
      <c r="E1224" s="1">
        <v>2026</v>
      </c>
      <c r="F1224" s="11">
        <v>0.5827</v>
      </c>
      <c r="G1224">
        <v>64.930000000000007</v>
      </c>
      <c r="H1224">
        <v>59.33</v>
      </c>
      <c r="I1224" s="2">
        <v>60158.32</v>
      </c>
      <c r="J1224" s="2">
        <v>60596.31</v>
      </c>
      <c r="K1224" s="2">
        <f>Table1[[#This Row],[Salary_after]]-Table1[[#This Row],[Salary_before]]</f>
        <v>437.98999999999796</v>
      </c>
      <c r="L1224" s="11">
        <v>7.3000000000000001E-3</v>
      </c>
      <c r="M1224" s="11">
        <v>5.91E-2</v>
      </c>
      <c r="N1224">
        <v>24.4</v>
      </c>
      <c r="O1224">
        <v>82.65</v>
      </c>
      <c r="P1224">
        <v>3</v>
      </c>
      <c r="Q1224" t="s">
        <v>25</v>
      </c>
      <c r="R1224">
        <v>58.8</v>
      </c>
      <c r="S1224">
        <v>0.73</v>
      </c>
      <c r="T1224" s="4">
        <v>41.326000000000001</v>
      </c>
      <c r="U1224" s="4">
        <v>48.160155000000003</v>
      </c>
      <c r="V1224" t="str">
        <f>IF(Table1[[#This Row],[ai_disruption_intensity]]&gt;70,"High",
IF(Table1[[#This Row],[ai_disruption_intensity]]&gt;40,"Medium","Low"))</f>
        <v>Medium</v>
      </c>
      <c r="W1224" t="str">
        <f>IF(Table1[[#This Row],[skill_gap_index]]&gt;70,"Large Gap",
IF(Table1[[#This Row],[skill_gap_index]]&gt;40,"Medium Gap","Small Gap"))</f>
        <v>Medium Gap</v>
      </c>
      <c r="X1224" s="3" t="str">
        <f>IF(Table1[[#This Row],[automation_risk_percent]]&gt;0.7,"Highly Automatable",
IF(Table1[[#This Row],[automation_risk_percent]]&gt;0.4,"Moderate Risk","Safe Job"))</f>
        <v>Moderate Risk</v>
      </c>
    </row>
    <row r="1225" spans="1:24" x14ac:dyDescent="0.3">
      <c r="A1225">
        <v>4325</v>
      </c>
      <c r="B1225" t="s">
        <v>44</v>
      </c>
      <c r="C1225" t="s">
        <v>27</v>
      </c>
      <c r="D1225" t="s">
        <v>32</v>
      </c>
      <c r="E1225" s="1">
        <v>2025</v>
      </c>
      <c r="F1225" s="11">
        <v>0.47259999999999996</v>
      </c>
      <c r="G1225">
        <v>52.43</v>
      </c>
      <c r="H1225">
        <v>25.79</v>
      </c>
      <c r="I1225" s="2">
        <v>119594.18</v>
      </c>
      <c r="J1225" s="2">
        <v>96969.22</v>
      </c>
      <c r="K1225" s="2">
        <f>Table1[[#This Row],[Salary_after]]-Table1[[#This Row],[Salary_before]]</f>
        <v>-22624.959999999992</v>
      </c>
      <c r="L1225" s="11">
        <v>-0.18920000000000001</v>
      </c>
      <c r="M1225" s="11">
        <v>0.2175</v>
      </c>
      <c r="N1225">
        <v>97.36</v>
      </c>
      <c r="O1225">
        <v>49.38</v>
      </c>
      <c r="P1225">
        <v>5</v>
      </c>
      <c r="Q1225" t="s">
        <v>25</v>
      </c>
      <c r="R1225">
        <v>36.524999999999999</v>
      </c>
      <c r="S1225">
        <v>18.920000000000002</v>
      </c>
      <c r="T1225" s="4">
        <v>32.317</v>
      </c>
      <c r="U1225" s="4">
        <v>23.336988000000002</v>
      </c>
      <c r="V1225" t="str">
        <f>IF(Table1[[#This Row],[ai_disruption_intensity]]&gt;70,"High",
IF(Table1[[#This Row],[ai_disruption_intensity]]&gt;40,"Medium","Low"))</f>
        <v>Low</v>
      </c>
      <c r="W1225" t="str">
        <f>IF(Table1[[#This Row],[skill_gap_index]]&gt;70,"Large Gap",
IF(Table1[[#This Row],[skill_gap_index]]&gt;40,"Medium Gap","Small Gap"))</f>
        <v>Small Gap</v>
      </c>
      <c r="X1225" s="3" t="str">
        <f>IF(Table1[[#This Row],[automation_risk_percent]]&gt;0.7,"Highly Automatable",
IF(Table1[[#This Row],[automation_risk_percent]]&gt;0.4,"Moderate Risk","Safe Job"))</f>
        <v>Moderate Risk</v>
      </c>
    </row>
    <row r="1226" spans="1:24" x14ac:dyDescent="0.3">
      <c r="A1226">
        <v>4329</v>
      </c>
      <c r="B1226" t="s">
        <v>39</v>
      </c>
      <c r="C1226" t="s">
        <v>34</v>
      </c>
      <c r="D1226" t="s">
        <v>47</v>
      </c>
      <c r="E1226" s="1">
        <v>2025</v>
      </c>
      <c r="F1226" s="11">
        <v>0.53349999999999997</v>
      </c>
      <c r="G1226">
        <v>45.07</v>
      </c>
      <c r="H1226">
        <v>8.85</v>
      </c>
      <c r="I1226" s="2">
        <v>123305.62</v>
      </c>
      <c r="J1226" s="2">
        <v>110940.81</v>
      </c>
      <c r="K1226" s="2">
        <f>Table1[[#This Row],[Salary_after]]-Table1[[#This Row],[Salary_before]]</f>
        <v>-12364.809999999998</v>
      </c>
      <c r="L1226" s="11">
        <v>-0.1003</v>
      </c>
      <c r="M1226" s="11">
        <v>9.4600000000000004E-2</v>
      </c>
      <c r="N1226">
        <v>32.799999999999997</v>
      </c>
      <c r="O1226">
        <v>75.02</v>
      </c>
      <c r="P1226">
        <v>1</v>
      </c>
      <c r="Q1226" t="s">
        <v>25</v>
      </c>
      <c r="R1226">
        <v>31.1</v>
      </c>
      <c r="S1226">
        <v>10.029999999999999</v>
      </c>
      <c r="T1226" s="4">
        <v>27.004000000000001</v>
      </c>
      <c r="U1226" s="4">
        <v>40.02317</v>
      </c>
      <c r="V1226" t="str">
        <f>IF(Table1[[#This Row],[ai_disruption_intensity]]&gt;70,"High",
IF(Table1[[#This Row],[ai_disruption_intensity]]&gt;40,"Medium","Low"))</f>
        <v>Medium</v>
      </c>
      <c r="W1226" t="str">
        <f>IF(Table1[[#This Row],[skill_gap_index]]&gt;70,"Large Gap",
IF(Table1[[#This Row],[skill_gap_index]]&gt;40,"Medium Gap","Small Gap"))</f>
        <v>Small Gap</v>
      </c>
      <c r="X1226" s="3" t="str">
        <f>IF(Table1[[#This Row],[automation_risk_percent]]&gt;0.7,"Highly Automatable",
IF(Table1[[#This Row],[automation_risk_percent]]&gt;0.4,"Moderate Risk","Safe Job"))</f>
        <v>Moderate Risk</v>
      </c>
    </row>
    <row r="1227" spans="1:24" x14ac:dyDescent="0.3">
      <c r="A1227">
        <v>4330</v>
      </c>
      <c r="B1227" t="s">
        <v>43</v>
      </c>
      <c r="C1227" t="s">
        <v>34</v>
      </c>
      <c r="D1227" t="s">
        <v>42</v>
      </c>
      <c r="E1227" s="1">
        <v>2026</v>
      </c>
      <c r="F1227" s="11">
        <v>0.49630000000000002</v>
      </c>
      <c r="G1227">
        <v>51.32</v>
      </c>
      <c r="H1227">
        <v>21</v>
      </c>
      <c r="I1227" s="2">
        <v>105486.96</v>
      </c>
      <c r="J1227" s="2">
        <v>109721.3</v>
      </c>
      <c r="K1227" s="2">
        <f>Table1[[#This Row],[Salary_after]]-Table1[[#This Row],[Salary_before]]</f>
        <v>4234.3399999999965</v>
      </c>
      <c r="L1227" s="11">
        <v>4.0099999999999997E-2</v>
      </c>
      <c r="M1227" s="11">
        <v>7.8200000000000006E-2</v>
      </c>
      <c r="N1227">
        <v>76.3</v>
      </c>
      <c r="O1227">
        <v>57.64</v>
      </c>
      <c r="P1227">
        <v>2</v>
      </c>
      <c r="Q1227" t="s">
        <v>25</v>
      </c>
      <c r="R1227">
        <v>35.314999999999998</v>
      </c>
      <c r="S1227">
        <v>4.01</v>
      </c>
      <c r="T1227" s="4">
        <v>27.355</v>
      </c>
      <c r="U1227" s="4">
        <v>28.606732000000001</v>
      </c>
      <c r="V1227" t="str">
        <f>IF(Table1[[#This Row],[ai_disruption_intensity]]&gt;70,"High",
IF(Table1[[#This Row],[ai_disruption_intensity]]&gt;40,"Medium","Low"))</f>
        <v>Low</v>
      </c>
      <c r="W1227" t="str">
        <f>IF(Table1[[#This Row],[skill_gap_index]]&gt;70,"Large Gap",
IF(Table1[[#This Row],[skill_gap_index]]&gt;40,"Medium Gap","Small Gap"))</f>
        <v>Small Gap</v>
      </c>
      <c r="X1227" s="3" t="str">
        <f>IF(Table1[[#This Row],[automation_risk_percent]]&gt;0.7,"Highly Automatable",
IF(Table1[[#This Row],[automation_risk_percent]]&gt;0.4,"Moderate Risk","Safe Job"))</f>
        <v>Moderate Risk</v>
      </c>
    </row>
    <row r="1228" spans="1:24" x14ac:dyDescent="0.3">
      <c r="A1228">
        <v>4335</v>
      </c>
      <c r="B1228" t="s">
        <v>46</v>
      </c>
      <c r="C1228" t="s">
        <v>30</v>
      </c>
      <c r="D1228" t="s">
        <v>24</v>
      </c>
      <c r="E1228" s="1">
        <v>2026</v>
      </c>
      <c r="F1228" s="11">
        <v>0.52639999999999998</v>
      </c>
      <c r="G1228">
        <v>42.29</v>
      </c>
      <c r="H1228">
        <v>65.19</v>
      </c>
      <c r="I1228" s="2">
        <v>105688.43</v>
      </c>
      <c r="J1228" s="2">
        <v>80852.92</v>
      </c>
      <c r="K1228" s="2">
        <f>Table1[[#This Row],[Salary_after]]-Table1[[#This Row],[Salary_before]]</f>
        <v>-24835.509999999995</v>
      </c>
      <c r="L1228" s="11">
        <v>-0.23499999999999999</v>
      </c>
      <c r="M1228" s="11">
        <v>8.43E-2</v>
      </c>
      <c r="N1228">
        <v>81.77</v>
      </c>
      <c r="O1228">
        <v>34.39</v>
      </c>
      <c r="P1228">
        <v>4</v>
      </c>
      <c r="Q1228" t="s">
        <v>25</v>
      </c>
      <c r="R1228">
        <v>58.914999999999999</v>
      </c>
      <c r="S1228">
        <v>23.5</v>
      </c>
      <c r="T1228" s="4">
        <v>47.662999999999997</v>
      </c>
      <c r="U1228" s="4">
        <v>18.102896000000001</v>
      </c>
      <c r="V1228" t="str">
        <f>IF(Table1[[#This Row],[ai_disruption_intensity]]&gt;70,"High",
IF(Table1[[#This Row],[ai_disruption_intensity]]&gt;40,"Medium","Low"))</f>
        <v>Low</v>
      </c>
      <c r="W1228" t="str">
        <f>IF(Table1[[#This Row],[skill_gap_index]]&gt;70,"Large Gap",
IF(Table1[[#This Row],[skill_gap_index]]&gt;40,"Medium Gap","Small Gap"))</f>
        <v>Medium Gap</v>
      </c>
      <c r="X1228" s="3" t="str">
        <f>IF(Table1[[#This Row],[automation_risk_percent]]&gt;0.7,"Highly Automatable",
IF(Table1[[#This Row],[automation_risk_percent]]&gt;0.4,"Moderate Risk","Safe Job"))</f>
        <v>Moderate Risk</v>
      </c>
    </row>
    <row r="1229" spans="1:24" x14ac:dyDescent="0.3">
      <c r="A1229">
        <v>4337</v>
      </c>
      <c r="B1229" t="s">
        <v>43</v>
      </c>
      <c r="C1229" t="s">
        <v>34</v>
      </c>
      <c r="D1229" t="s">
        <v>42</v>
      </c>
      <c r="E1229" s="1">
        <v>2025</v>
      </c>
      <c r="F1229" s="11">
        <v>0.65780000000000005</v>
      </c>
      <c r="G1229">
        <v>72.31</v>
      </c>
      <c r="H1229">
        <v>36.71</v>
      </c>
      <c r="I1229" s="2">
        <v>102498.42</v>
      </c>
      <c r="J1229" s="2">
        <v>93156.36</v>
      </c>
      <c r="K1229" s="2">
        <f>Table1[[#This Row],[Salary_after]]-Table1[[#This Row],[Salary_before]]</f>
        <v>-9342.0599999999977</v>
      </c>
      <c r="L1229" s="11">
        <v>-9.11E-2</v>
      </c>
      <c r="M1229" s="11">
        <v>0.1323</v>
      </c>
      <c r="N1229">
        <v>42.96</v>
      </c>
      <c r="O1229">
        <v>10.58</v>
      </c>
      <c r="P1229">
        <v>3</v>
      </c>
      <c r="Q1229" t="s">
        <v>37</v>
      </c>
      <c r="R1229">
        <v>51.244999999999997</v>
      </c>
      <c r="S1229">
        <v>9.11</v>
      </c>
      <c r="T1229" s="4">
        <v>40.058</v>
      </c>
      <c r="U1229" s="4">
        <v>6.959524</v>
      </c>
      <c r="V1229" t="str">
        <f>IF(Table1[[#This Row],[ai_disruption_intensity]]&gt;70,"High",
IF(Table1[[#This Row],[ai_disruption_intensity]]&gt;40,"Medium","Low"))</f>
        <v>Low</v>
      </c>
      <c r="W1229" t="str">
        <f>IF(Table1[[#This Row],[skill_gap_index]]&gt;70,"Large Gap",
IF(Table1[[#This Row],[skill_gap_index]]&gt;40,"Medium Gap","Small Gap"))</f>
        <v>Small Gap</v>
      </c>
      <c r="X1229" s="3" t="str">
        <f>IF(Table1[[#This Row],[automation_risk_percent]]&gt;0.7,"Highly Automatable",
IF(Table1[[#This Row],[automation_risk_percent]]&gt;0.4,"Moderate Risk","Safe Job"))</f>
        <v>Moderate Risk</v>
      </c>
    </row>
    <row r="1230" spans="1:24" x14ac:dyDescent="0.3">
      <c r="A1230">
        <v>4338</v>
      </c>
      <c r="B1230" t="s">
        <v>43</v>
      </c>
      <c r="C1230" t="s">
        <v>30</v>
      </c>
      <c r="D1230" t="s">
        <v>47</v>
      </c>
      <c r="E1230" s="1">
        <v>2025</v>
      </c>
      <c r="F1230" s="11">
        <v>0.79139999999999999</v>
      </c>
      <c r="G1230">
        <v>66.03</v>
      </c>
      <c r="H1230">
        <v>16.86</v>
      </c>
      <c r="I1230" s="2">
        <v>87579.83</v>
      </c>
      <c r="J1230" s="2">
        <v>84419.8</v>
      </c>
      <c r="K1230" s="2">
        <f>Table1[[#This Row],[Salary_after]]-Table1[[#This Row],[Salary_before]]</f>
        <v>-3160.0299999999988</v>
      </c>
      <c r="L1230" s="11">
        <v>-3.61E-2</v>
      </c>
      <c r="M1230" s="11">
        <v>0.14150000000000001</v>
      </c>
      <c r="N1230">
        <v>79.17</v>
      </c>
      <c r="O1230">
        <v>67.599999999999994</v>
      </c>
      <c r="P1230">
        <v>3</v>
      </c>
      <c r="Q1230" t="s">
        <v>37</v>
      </c>
      <c r="R1230">
        <v>48</v>
      </c>
      <c r="S1230">
        <v>3.61</v>
      </c>
      <c r="T1230" s="4">
        <v>37.796999999999997</v>
      </c>
      <c r="U1230" s="4">
        <v>53.498639999999902</v>
      </c>
      <c r="V1230" t="str">
        <f>IF(Table1[[#This Row],[ai_disruption_intensity]]&gt;70,"High",
IF(Table1[[#This Row],[ai_disruption_intensity]]&gt;40,"Medium","Low"))</f>
        <v>Medium</v>
      </c>
      <c r="W1230" t="str">
        <f>IF(Table1[[#This Row],[skill_gap_index]]&gt;70,"Large Gap",
IF(Table1[[#This Row],[skill_gap_index]]&gt;40,"Medium Gap","Small Gap"))</f>
        <v>Small Gap</v>
      </c>
      <c r="X1230" s="3" t="str">
        <f>IF(Table1[[#This Row],[automation_risk_percent]]&gt;0.7,"Highly Automatable",
IF(Table1[[#This Row],[automation_risk_percent]]&gt;0.4,"Moderate Risk","Safe Job"))</f>
        <v>Highly Automatable</v>
      </c>
    </row>
    <row r="1231" spans="1:24" x14ac:dyDescent="0.3">
      <c r="A1231">
        <v>4340</v>
      </c>
      <c r="B1231" t="s">
        <v>18</v>
      </c>
      <c r="C1231" t="s">
        <v>30</v>
      </c>
      <c r="D1231" t="s">
        <v>32</v>
      </c>
      <c r="E1231" s="1">
        <v>2025</v>
      </c>
      <c r="F1231" s="11">
        <v>0.32069999999999999</v>
      </c>
      <c r="G1231">
        <v>27.05</v>
      </c>
      <c r="H1231">
        <v>72.959999999999994</v>
      </c>
      <c r="I1231" s="2">
        <v>46340.51</v>
      </c>
      <c r="J1231" s="2">
        <v>47276.1</v>
      </c>
      <c r="K1231" s="2">
        <f>Table1[[#This Row],[Salary_after]]-Table1[[#This Row],[Salary_before]]</f>
        <v>935.58999999999651</v>
      </c>
      <c r="L1231" s="11">
        <v>2.0199999999999999E-2</v>
      </c>
      <c r="M1231" s="11">
        <v>8.09E-2</v>
      </c>
      <c r="N1231">
        <v>84.28</v>
      </c>
      <c r="O1231">
        <v>59.56</v>
      </c>
      <c r="P1231">
        <v>1</v>
      </c>
      <c r="Q1231" t="s">
        <v>25</v>
      </c>
      <c r="R1231">
        <v>52.515000000000001</v>
      </c>
      <c r="S1231">
        <v>2.02</v>
      </c>
      <c r="T1231" s="4">
        <v>35.322000000000003</v>
      </c>
      <c r="U1231" s="4">
        <v>19.100892000000002</v>
      </c>
      <c r="V1231" t="str">
        <f>IF(Table1[[#This Row],[ai_disruption_intensity]]&gt;70,"High",
IF(Table1[[#This Row],[ai_disruption_intensity]]&gt;40,"Medium","Low"))</f>
        <v>Low</v>
      </c>
      <c r="W1231" t="str">
        <f>IF(Table1[[#This Row],[skill_gap_index]]&gt;70,"Large Gap",
IF(Table1[[#This Row],[skill_gap_index]]&gt;40,"Medium Gap","Small Gap"))</f>
        <v>Large Gap</v>
      </c>
      <c r="X1231" s="3" t="str">
        <f>IF(Table1[[#This Row],[automation_risk_percent]]&gt;0.7,"Highly Automatable",
IF(Table1[[#This Row],[automation_risk_percent]]&gt;0.4,"Moderate Risk","Safe Job"))</f>
        <v>Safe Job</v>
      </c>
    </row>
    <row r="1232" spans="1:24" x14ac:dyDescent="0.3">
      <c r="A1232">
        <v>4341</v>
      </c>
      <c r="B1232" t="s">
        <v>39</v>
      </c>
      <c r="C1232" t="s">
        <v>30</v>
      </c>
      <c r="D1232" t="s">
        <v>36</v>
      </c>
      <c r="E1232" s="1">
        <v>2025</v>
      </c>
      <c r="F1232" s="11">
        <v>0.72140000000000004</v>
      </c>
      <c r="G1232">
        <v>72.05</v>
      </c>
      <c r="H1232">
        <v>98.83</v>
      </c>
      <c r="I1232" s="2">
        <v>42409.81</v>
      </c>
      <c r="J1232" s="2">
        <v>44600.63</v>
      </c>
      <c r="K1232" s="2">
        <f>Table1[[#This Row],[Salary_after]]-Table1[[#This Row],[Salary_before]]</f>
        <v>2190.8199999999997</v>
      </c>
      <c r="L1232" s="11">
        <v>5.1699999999999996E-2</v>
      </c>
      <c r="M1232" s="11">
        <v>0.16300000000000001</v>
      </c>
      <c r="N1232">
        <v>62.26</v>
      </c>
      <c r="O1232">
        <v>72.58</v>
      </c>
      <c r="P1232">
        <v>3</v>
      </c>
      <c r="Q1232" t="s">
        <v>37</v>
      </c>
      <c r="R1232">
        <v>85.484999999999999</v>
      </c>
      <c r="S1232">
        <v>5.17</v>
      </c>
      <c r="T1232" s="4">
        <v>60.055999999999997</v>
      </c>
      <c r="U1232" s="4">
        <v>52.359211999999999</v>
      </c>
      <c r="V1232" t="str">
        <f>IF(Table1[[#This Row],[ai_disruption_intensity]]&gt;70,"High",
IF(Table1[[#This Row],[ai_disruption_intensity]]&gt;40,"Medium","Low"))</f>
        <v>Medium</v>
      </c>
      <c r="W1232" t="str">
        <f>IF(Table1[[#This Row],[skill_gap_index]]&gt;70,"Large Gap",
IF(Table1[[#This Row],[skill_gap_index]]&gt;40,"Medium Gap","Small Gap"))</f>
        <v>Large Gap</v>
      </c>
      <c r="X1232" s="3" t="str">
        <f>IF(Table1[[#This Row],[automation_risk_percent]]&gt;0.7,"Highly Automatable",
IF(Table1[[#This Row],[automation_risk_percent]]&gt;0.4,"Moderate Risk","Safe Job"))</f>
        <v>Highly Automatable</v>
      </c>
    </row>
    <row r="1233" spans="1:24" x14ac:dyDescent="0.3">
      <c r="A1233">
        <v>4348</v>
      </c>
      <c r="B1233" t="s">
        <v>41</v>
      </c>
      <c r="C1233" t="s">
        <v>30</v>
      </c>
      <c r="D1233" t="s">
        <v>32</v>
      </c>
      <c r="E1233" s="1">
        <v>2025</v>
      </c>
      <c r="F1233" s="11">
        <v>0.84279999999999999</v>
      </c>
      <c r="G1233">
        <v>91.83</v>
      </c>
      <c r="H1233">
        <v>90.54</v>
      </c>
      <c r="I1233" s="2">
        <v>145684.25</v>
      </c>
      <c r="J1233" s="2">
        <v>149754.78</v>
      </c>
      <c r="K1233" s="2">
        <f>Table1[[#This Row],[Salary_after]]-Table1[[#This Row],[Salary_before]]</f>
        <v>4070.5299999999988</v>
      </c>
      <c r="L1233" s="11">
        <v>2.7900000000000001E-2</v>
      </c>
      <c r="M1233" s="11">
        <v>-0.13830000000000001</v>
      </c>
      <c r="N1233">
        <v>66.86</v>
      </c>
      <c r="O1233">
        <v>16.38</v>
      </c>
      <c r="P1233">
        <v>1</v>
      </c>
      <c r="Q1233" t="s">
        <v>37</v>
      </c>
      <c r="R1233">
        <v>87.41</v>
      </c>
      <c r="S1233">
        <v>2.79</v>
      </c>
      <c r="T1233" s="4">
        <v>61.710999999999999</v>
      </c>
      <c r="U1233" s="4">
        <v>13.805064</v>
      </c>
      <c r="V1233" t="str">
        <f>IF(Table1[[#This Row],[ai_disruption_intensity]]&gt;70,"High",
IF(Table1[[#This Row],[ai_disruption_intensity]]&gt;40,"Medium","Low"))</f>
        <v>Low</v>
      </c>
      <c r="W1233" t="str">
        <f>IF(Table1[[#This Row],[skill_gap_index]]&gt;70,"Large Gap",
IF(Table1[[#This Row],[skill_gap_index]]&gt;40,"Medium Gap","Small Gap"))</f>
        <v>Large Gap</v>
      </c>
      <c r="X1233" s="3" t="str">
        <f>IF(Table1[[#This Row],[automation_risk_percent]]&gt;0.7,"Highly Automatable",
IF(Table1[[#This Row],[automation_risk_percent]]&gt;0.4,"Moderate Risk","Safe Job"))</f>
        <v>Highly Automatable</v>
      </c>
    </row>
    <row r="1234" spans="1:24" x14ac:dyDescent="0.3">
      <c r="A1234">
        <v>4355</v>
      </c>
      <c r="B1234" t="s">
        <v>46</v>
      </c>
      <c r="C1234" t="s">
        <v>40</v>
      </c>
      <c r="D1234" t="s">
        <v>47</v>
      </c>
      <c r="E1234" s="1">
        <v>2025</v>
      </c>
      <c r="F1234" s="11">
        <v>0.67120000000000002</v>
      </c>
      <c r="G1234">
        <v>54.09</v>
      </c>
      <c r="H1234">
        <v>24.03</v>
      </c>
      <c r="I1234" s="2">
        <v>67928.13</v>
      </c>
      <c r="J1234" s="2">
        <v>62889.95</v>
      </c>
      <c r="K1234" s="2">
        <f>Table1[[#This Row],[Salary_after]]-Table1[[#This Row],[Salary_before]]</f>
        <v>-5038.1800000000076</v>
      </c>
      <c r="L1234" s="11">
        <v>-7.4200000000000002E-2</v>
      </c>
      <c r="M1234" s="11">
        <v>0.16159999999999999</v>
      </c>
      <c r="N1234">
        <v>31.52</v>
      </c>
      <c r="O1234">
        <v>64.86</v>
      </c>
      <c r="P1234">
        <v>5</v>
      </c>
      <c r="Q1234" t="s">
        <v>37</v>
      </c>
      <c r="R1234">
        <v>45.575000000000003</v>
      </c>
      <c r="S1234">
        <v>7.42</v>
      </c>
      <c r="T1234" s="4">
        <v>36.283000000000001</v>
      </c>
      <c r="U1234" s="4">
        <v>43.534032000000003</v>
      </c>
      <c r="V1234" t="str">
        <f>IF(Table1[[#This Row],[ai_disruption_intensity]]&gt;70,"High",
IF(Table1[[#This Row],[ai_disruption_intensity]]&gt;40,"Medium","Low"))</f>
        <v>Medium</v>
      </c>
      <c r="W1234" t="str">
        <f>IF(Table1[[#This Row],[skill_gap_index]]&gt;70,"Large Gap",
IF(Table1[[#This Row],[skill_gap_index]]&gt;40,"Medium Gap","Small Gap"))</f>
        <v>Small Gap</v>
      </c>
      <c r="X1234" s="3" t="str">
        <f>IF(Table1[[#This Row],[automation_risk_percent]]&gt;0.7,"Highly Automatable",
IF(Table1[[#This Row],[automation_risk_percent]]&gt;0.4,"Moderate Risk","Safe Job"))</f>
        <v>Moderate Risk</v>
      </c>
    </row>
    <row r="1235" spans="1:24" x14ac:dyDescent="0.3">
      <c r="A1235">
        <v>4359</v>
      </c>
      <c r="B1235" t="s">
        <v>29</v>
      </c>
      <c r="C1235" t="s">
        <v>33</v>
      </c>
      <c r="D1235" t="s">
        <v>28</v>
      </c>
      <c r="E1235" s="1">
        <v>2025</v>
      </c>
      <c r="F1235" s="11">
        <v>0.36590000000000006</v>
      </c>
      <c r="G1235">
        <v>37.159999999999997</v>
      </c>
      <c r="H1235">
        <v>12.66</v>
      </c>
      <c r="I1235" s="2">
        <v>94340.06</v>
      </c>
      <c r="J1235" s="2">
        <v>91565.24</v>
      </c>
      <c r="K1235" s="2">
        <f>Table1[[#This Row],[Salary_after]]-Table1[[#This Row],[Salary_before]]</f>
        <v>-2774.8199999999924</v>
      </c>
      <c r="L1235" s="11">
        <v>-2.9399999999999999E-2</v>
      </c>
      <c r="M1235" s="11">
        <v>-0.10869999999999999</v>
      </c>
      <c r="N1235">
        <v>70.12</v>
      </c>
      <c r="O1235">
        <v>87.71</v>
      </c>
      <c r="P1235">
        <v>5</v>
      </c>
      <c r="Q1235" t="s">
        <v>25</v>
      </c>
      <c r="R1235">
        <v>24.625</v>
      </c>
      <c r="S1235">
        <v>2.94</v>
      </c>
      <c r="T1235" s="4">
        <v>19.315999999999999</v>
      </c>
      <c r="U1235" s="4">
        <v>32.093088999999999</v>
      </c>
      <c r="V1235" t="str">
        <f>IF(Table1[[#This Row],[ai_disruption_intensity]]&gt;70,"High",
IF(Table1[[#This Row],[ai_disruption_intensity]]&gt;40,"Medium","Low"))</f>
        <v>Low</v>
      </c>
      <c r="W1235" t="str">
        <f>IF(Table1[[#This Row],[skill_gap_index]]&gt;70,"Large Gap",
IF(Table1[[#This Row],[skill_gap_index]]&gt;40,"Medium Gap","Small Gap"))</f>
        <v>Small Gap</v>
      </c>
      <c r="X1235" s="3" t="str">
        <f>IF(Table1[[#This Row],[automation_risk_percent]]&gt;0.7,"Highly Automatable",
IF(Table1[[#This Row],[automation_risk_percent]]&gt;0.4,"Moderate Risk","Safe Job"))</f>
        <v>Safe Job</v>
      </c>
    </row>
    <row r="1236" spans="1:24" x14ac:dyDescent="0.3">
      <c r="A1236">
        <v>4363</v>
      </c>
      <c r="B1236" t="s">
        <v>22</v>
      </c>
      <c r="C1236" t="s">
        <v>19</v>
      </c>
      <c r="D1236" t="s">
        <v>42</v>
      </c>
      <c r="E1236" s="1">
        <v>2026</v>
      </c>
      <c r="F1236" s="11">
        <v>0.74329999999999996</v>
      </c>
      <c r="G1236">
        <v>82.24</v>
      </c>
      <c r="H1236">
        <v>54.04</v>
      </c>
      <c r="I1236" s="2">
        <v>141307.9</v>
      </c>
      <c r="J1236" s="2">
        <v>156847.53</v>
      </c>
      <c r="K1236" s="2">
        <f>Table1[[#This Row],[Salary_after]]-Table1[[#This Row],[Salary_before]]</f>
        <v>15539.630000000005</v>
      </c>
      <c r="L1236" s="11">
        <v>0.11</v>
      </c>
      <c r="M1236" s="11">
        <v>7.9199999999999993E-2</v>
      </c>
      <c r="N1236">
        <v>85.68</v>
      </c>
      <c r="O1236">
        <v>91.92</v>
      </c>
      <c r="P1236">
        <v>3</v>
      </c>
      <c r="Q1236" t="s">
        <v>37</v>
      </c>
      <c r="R1236">
        <v>64.185000000000002</v>
      </c>
      <c r="S1236">
        <v>11</v>
      </c>
      <c r="T1236" s="4">
        <v>49.244</v>
      </c>
      <c r="U1236" s="4">
        <v>68.324135999999996</v>
      </c>
      <c r="V1236" t="str">
        <f>IF(Table1[[#This Row],[ai_disruption_intensity]]&gt;70,"High",
IF(Table1[[#This Row],[ai_disruption_intensity]]&gt;40,"Medium","Low"))</f>
        <v>Medium</v>
      </c>
      <c r="W1236" t="str">
        <f>IF(Table1[[#This Row],[skill_gap_index]]&gt;70,"Large Gap",
IF(Table1[[#This Row],[skill_gap_index]]&gt;40,"Medium Gap","Small Gap"))</f>
        <v>Medium Gap</v>
      </c>
      <c r="X1236" s="3" t="str">
        <f>IF(Table1[[#This Row],[automation_risk_percent]]&gt;0.7,"Highly Automatable",
IF(Table1[[#This Row],[automation_risk_percent]]&gt;0.4,"Moderate Risk","Safe Job"))</f>
        <v>Highly Automatable</v>
      </c>
    </row>
    <row r="1237" spans="1:24" x14ac:dyDescent="0.3">
      <c r="A1237">
        <v>4383</v>
      </c>
      <c r="B1237" t="s">
        <v>18</v>
      </c>
      <c r="C1237" t="s">
        <v>34</v>
      </c>
      <c r="D1237" t="s">
        <v>24</v>
      </c>
      <c r="E1237" s="1">
        <v>2026</v>
      </c>
      <c r="F1237" s="11">
        <v>0.38740000000000002</v>
      </c>
      <c r="G1237">
        <v>33.299999999999997</v>
      </c>
      <c r="H1237">
        <v>91.06</v>
      </c>
      <c r="I1237" s="2">
        <v>125225.07</v>
      </c>
      <c r="J1237" s="2">
        <v>96676.39</v>
      </c>
      <c r="K1237" s="2">
        <f>Table1[[#This Row],[Salary_after]]-Table1[[#This Row],[Salary_before]]</f>
        <v>-28548.680000000008</v>
      </c>
      <c r="L1237" s="11">
        <v>-0.22800000000000001</v>
      </c>
      <c r="M1237" s="11">
        <v>6.9099999999999995E-2</v>
      </c>
      <c r="N1237">
        <v>50.33</v>
      </c>
      <c r="O1237">
        <v>90.19</v>
      </c>
      <c r="P1237">
        <v>3</v>
      </c>
      <c r="Q1237" t="s">
        <v>25</v>
      </c>
      <c r="R1237">
        <v>64.900000000000006</v>
      </c>
      <c r="S1237">
        <v>22.8</v>
      </c>
      <c r="T1237" s="4">
        <v>49.654000000000003</v>
      </c>
      <c r="U1237" s="4">
        <v>34.939605999999998</v>
      </c>
      <c r="V1237" t="str">
        <f>IF(Table1[[#This Row],[ai_disruption_intensity]]&gt;70,"High",
IF(Table1[[#This Row],[ai_disruption_intensity]]&gt;40,"Medium","Low"))</f>
        <v>Low</v>
      </c>
      <c r="W1237" t="str">
        <f>IF(Table1[[#This Row],[skill_gap_index]]&gt;70,"Large Gap",
IF(Table1[[#This Row],[skill_gap_index]]&gt;40,"Medium Gap","Small Gap"))</f>
        <v>Large Gap</v>
      </c>
      <c r="X1237" s="3" t="str">
        <f>IF(Table1[[#This Row],[automation_risk_percent]]&gt;0.7,"Highly Automatable",
IF(Table1[[#This Row],[automation_risk_percent]]&gt;0.4,"Moderate Risk","Safe Job"))</f>
        <v>Safe Job</v>
      </c>
    </row>
    <row r="1238" spans="1:24" x14ac:dyDescent="0.3">
      <c r="A1238">
        <v>4391</v>
      </c>
      <c r="B1238" t="s">
        <v>44</v>
      </c>
      <c r="C1238" t="s">
        <v>30</v>
      </c>
      <c r="D1238" t="s">
        <v>42</v>
      </c>
      <c r="E1238" s="1">
        <v>2026</v>
      </c>
      <c r="F1238" s="11">
        <v>0.56040000000000001</v>
      </c>
      <c r="G1238">
        <v>61.66</v>
      </c>
      <c r="H1238">
        <v>66.819999999999993</v>
      </c>
      <c r="I1238" s="2">
        <v>119486.62</v>
      </c>
      <c r="J1238" s="2">
        <v>116765.56</v>
      </c>
      <c r="K1238" s="2">
        <f>Table1[[#This Row],[Salary_after]]-Table1[[#This Row],[Salary_before]]</f>
        <v>-2721.0599999999977</v>
      </c>
      <c r="L1238" s="11">
        <v>-2.2799999999999997E-2</v>
      </c>
      <c r="M1238" s="11">
        <v>0.25329999999999997</v>
      </c>
      <c r="N1238">
        <v>22.14</v>
      </c>
      <c r="O1238">
        <v>78.540000000000006</v>
      </c>
      <c r="P1238">
        <v>1</v>
      </c>
      <c r="Q1238" t="s">
        <v>25</v>
      </c>
      <c r="R1238">
        <v>61.4299999999999</v>
      </c>
      <c r="S1238">
        <v>2.2799999999999998</v>
      </c>
      <c r="T1238" s="4">
        <v>43.145999999999901</v>
      </c>
      <c r="U1238" s="4">
        <v>44.013815999999998</v>
      </c>
      <c r="V1238" t="str">
        <f>IF(Table1[[#This Row],[ai_disruption_intensity]]&gt;70,"High",
IF(Table1[[#This Row],[ai_disruption_intensity]]&gt;40,"Medium","Low"))</f>
        <v>Medium</v>
      </c>
      <c r="W1238" t="str">
        <f>IF(Table1[[#This Row],[skill_gap_index]]&gt;70,"Large Gap",
IF(Table1[[#This Row],[skill_gap_index]]&gt;40,"Medium Gap","Small Gap"))</f>
        <v>Medium Gap</v>
      </c>
      <c r="X1238" s="3" t="str">
        <f>IF(Table1[[#This Row],[automation_risk_percent]]&gt;0.7,"Highly Automatable",
IF(Table1[[#This Row],[automation_risk_percent]]&gt;0.4,"Moderate Risk","Safe Job"))</f>
        <v>Moderate Risk</v>
      </c>
    </row>
    <row r="1239" spans="1:24" x14ac:dyDescent="0.3">
      <c r="A1239">
        <v>4392</v>
      </c>
      <c r="B1239" t="s">
        <v>41</v>
      </c>
      <c r="C1239" t="s">
        <v>23</v>
      </c>
      <c r="D1239" t="s">
        <v>35</v>
      </c>
      <c r="E1239" s="1">
        <v>2026</v>
      </c>
      <c r="F1239" s="11">
        <v>0.27149999999999996</v>
      </c>
      <c r="G1239">
        <v>32.5</v>
      </c>
      <c r="H1239">
        <v>82.85</v>
      </c>
      <c r="I1239" s="2">
        <v>110509.27</v>
      </c>
      <c r="J1239" s="2">
        <v>111556.47</v>
      </c>
      <c r="K1239" s="2">
        <f>Table1[[#This Row],[Salary_after]]-Table1[[#This Row],[Salary_before]]</f>
        <v>1047.1999999999971</v>
      </c>
      <c r="L1239" s="11">
        <v>9.4999999999999998E-3</v>
      </c>
      <c r="M1239" s="11">
        <v>8.929999999999999E-2</v>
      </c>
      <c r="N1239">
        <v>15.08</v>
      </c>
      <c r="O1239">
        <v>55.94</v>
      </c>
      <c r="P1239">
        <v>5</v>
      </c>
      <c r="Q1239" t="s">
        <v>21</v>
      </c>
      <c r="R1239">
        <v>55</v>
      </c>
      <c r="S1239">
        <v>0.95</v>
      </c>
      <c r="T1239" s="4">
        <v>35.999999999999901</v>
      </c>
      <c r="U1239" s="4">
        <v>15.187709999999999</v>
      </c>
      <c r="V1239" t="str">
        <f>IF(Table1[[#This Row],[ai_disruption_intensity]]&gt;70,"High",
IF(Table1[[#This Row],[ai_disruption_intensity]]&gt;40,"Medium","Low"))</f>
        <v>Low</v>
      </c>
      <c r="W1239" t="str">
        <f>IF(Table1[[#This Row],[skill_gap_index]]&gt;70,"Large Gap",
IF(Table1[[#This Row],[skill_gap_index]]&gt;40,"Medium Gap","Small Gap"))</f>
        <v>Large Gap</v>
      </c>
      <c r="X1239" s="3" t="str">
        <f>IF(Table1[[#This Row],[automation_risk_percent]]&gt;0.7,"Highly Automatable",
IF(Table1[[#This Row],[automation_risk_percent]]&gt;0.4,"Moderate Risk","Safe Job"))</f>
        <v>Safe Job</v>
      </c>
    </row>
    <row r="1240" spans="1:24" x14ac:dyDescent="0.3">
      <c r="A1240">
        <v>4393</v>
      </c>
      <c r="B1240" t="s">
        <v>39</v>
      </c>
      <c r="C1240" t="s">
        <v>34</v>
      </c>
      <c r="D1240" t="s">
        <v>35</v>
      </c>
      <c r="E1240" s="1">
        <v>2025</v>
      </c>
      <c r="F1240" s="11">
        <v>0.29399999999999998</v>
      </c>
      <c r="G1240">
        <v>27.87</v>
      </c>
      <c r="H1240">
        <v>45.96</v>
      </c>
      <c r="I1240" s="2">
        <v>122952.09</v>
      </c>
      <c r="J1240" s="2">
        <v>80809.34</v>
      </c>
      <c r="K1240" s="2">
        <f>Table1[[#This Row],[Salary_after]]-Table1[[#This Row],[Salary_before]]</f>
        <v>-42142.75</v>
      </c>
      <c r="L1240" s="11">
        <v>-0.34279999999999999</v>
      </c>
      <c r="M1240" s="11">
        <v>8.9700000000000002E-2</v>
      </c>
      <c r="N1240">
        <v>37.18</v>
      </c>
      <c r="O1240">
        <v>53.99</v>
      </c>
      <c r="P1240">
        <v>4</v>
      </c>
      <c r="Q1240" t="s">
        <v>21</v>
      </c>
      <c r="R1240">
        <v>37.68</v>
      </c>
      <c r="S1240">
        <v>34.28</v>
      </c>
      <c r="T1240" s="4">
        <v>35.832000000000001</v>
      </c>
      <c r="U1240" s="4">
        <v>15.873060000000001</v>
      </c>
      <c r="V1240" t="str">
        <f>IF(Table1[[#This Row],[ai_disruption_intensity]]&gt;70,"High",
IF(Table1[[#This Row],[ai_disruption_intensity]]&gt;40,"Medium","Low"))</f>
        <v>Low</v>
      </c>
      <c r="W1240" t="str">
        <f>IF(Table1[[#This Row],[skill_gap_index]]&gt;70,"Large Gap",
IF(Table1[[#This Row],[skill_gap_index]]&gt;40,"Medium Gap","Small Gap"))</f>
        <v>Medium Gap</v>
      </c>
      <c r="X1240" s="3" t="str">
        <f>IF(Table1[[#This Row],[automation_risk_percent]]&gt;0.7,"Highly Automatable",
IF(Table1[[#This Row],[automation_risk_percent]]&gt;0.4,"Moderate Risk","Safe Job"))</f>
        <v>Safe Job</v>
      </c>
    </row>
    <row r="1241" spans="1:24" x14ac:dyDescent="0.3">
      <c r="A1241">
        <v>4394</v>
      </c>
      <c r="B1241" t="s">
        <v>39</v>
      </c>
      <c r="C1241" t="s">
        <v>23</v>
      </c>
      <c r="D1241" t="s">
        <v>42</v>
      </c>
      <c r="E1241" s="1">
        <v>2026</v>
      </c>
      <c r="F1241" s="11">
        <v>0.27390000000000003</v>
      </c>
      <c r="G1241">
        <v>24.77</v>
      </c>
      <c r="H1241">
        <v>75.73</v>
      </c>
      <c r="I1241" s="2">
        <v>71105.67</v>
      </c>
      <c r="J1241" s="2">
        <v>70047.070000000007</v>
      </c>
      <c r="K1241" s="2">
        <f>Table1[[#This Row],[Salary_after]]-Table1[[#This Row],[Salary_before]]</f>
        <v>-1058.5999999999913</v>
      </c>
      <c r="L1241" s="11">
        <v>-1.49E-2</v>
      </c>
      <c r="M1241" s="11">
        <v>7.3000000000000001E-3</v>
      </c>
      <c r="N1241">
        <v>67.47</v>
      </c>
      <c r="O1241">
        <v>81.400000000000006</v>
      </c>
      <c r="P1241">
        <v>5</v>
      </c>
      <c r="Q1241" t="s">
        <v>21</v>
      </c>
      <c r="R1241">
        <v>51.56</v>
      </c>
      <c r="S1241">
        <v>1.49</v>
      </c>
      <c r="T1241" s="4">
        <v>34.122</v>
      </c>
      <c r="U1241" s="4">
        <v>22.295459999999999</v>
      </c>
      <c r="V1241" t="str">
        <f>IF(Table1[[#This Row],[ai_disruption_intensity]]&gt;70,"High",
IF(Table1[[#This Row],[ai_disruption_intensity]]&gt;40,"Medium","Low"))</f>
        <v>Low</v>
      </c>
      <c r="W1241" t="str">
        <f>IF(Table1[[#This Row],[skill_gap_index]]&gt;70,"Large Gap",
IF(Table1[[#This Row],[skill_gap_index]]&gt;40,"Medium Gap","Small Gap"))</f>
        <v>Large Gap</v>
      </c>
      <c r="X1241" s="3" t="str">
        <f>IF(Table1[[#This Row],[automation_risk_percent]]&gt;0.7,"Highly Automatable",
IF(Table1[[#This Row],[automation_risk_percent]]&gt;0.4,"Moderate Risk","Safe Job"))</f>
        <v>Safe Job</v>
      </c>
    </row>
    <row r="1242" spans="1:24" x14ac:dyDescent="0.3">
      <c r="A1242">
        <v>4411</v>
      </c>
      <c r="B1242" t="s">
        <v>18</v>
      </c>
      <c r="C1242" t="s">
        <v>38</v>
      </c>
      <c r="D1242" t="s">
        <v>28</v>
      </c>
      <c r="E1242" s="1">
        <v>2025</v>
      </c>
      <c r="F1242" s="11">
        <v>0.44920000000000004</v>
      </c>
      <c r="G1242">
        <v>50.1</v>
      </c>
      <c r="H1242">
        <v>31.27</v>
      </c>
      <c r="I1242" s="2">
        <v>90671.4</v>
      </c>
      <c r="J1242" s="2">
        <v>91984.89</v>
      </c>
      <c r="K1242" s="2">
        <f>Table1[[#This Row],[Salary_after]]-Table1[[#This Row],[Salary_before]]</f>
        <v>1313.4900000000052</v>
      </c>
      <c r="L1242" s="11">
        <v>1.4499999999999999E-2</v>
      </c>
      <c r="M1242" s="11">
        <v>4.2000000000000003E-2</v>
      </c>
      <c r="N1242">
        <v>56.97</v>
      </c>
      <c r="O1242">
        <v>17.350000000000001</v>
      </c>
      <c r="P1242">
        <v>4</v>
      </c>
      <c r="Q1242" t="s">
        <v>25</v>
      </c>
      <c r="R1242">
        <v>38.094999999999999</v>
      </c>
      <c r="S1242">
        <v>1.45</v>
      </c>
      <c r="T1242" s="4">
        <v>27.783999999999999</v>
      </c>
      <c r="U1242" s="4">
        <v>7.7936199999999998</v>
      </c>
      <c r="V1242" t="str">
        <f>IF(Table1[[#This Row],[ai_disruption_intensity]]&gt;70,"High",
IF(Table1[[#This Row],[ai_disruption_intensity]]&gt;40,"Medium","Low"))</f>
        <v>Low</v>
      </c>
      <c r="W1242" t="str">
        <f>IF(Table1[[#This Row],[skill_gap_index]]&gt;70,"Large Gap",
IF(Table1[[#This Row],[skill_gap_index]]&gt;40,"Medium Gap","Small Gap"))</f>
        <v>Small Gap</v>
      </c>
      <c r="X1242" s="3" t="str">
        <f>IF(Table1[[#This Row],[automation_risk_percent]]&gt;0.7,"Highly Automatable",
IF(Table1[[#This Row],[automation_risk_percent]]&gt;0.4,"Moderate Risk","Safe Job"))</f>
        <v>Moderate Risk</v>
      </c>
    </row>
    <row r="1243" spans="1:24" x14ac:dyDescent="0.3">
      <c r="A1243">
        <v>4413</v>
      </c>
      <c r="B1243" t="s">
        <v>44</v>
      </c>
      <c r="C1243" t="s">
        <v>19</v>
      </c>
      <c r="D1243" t="s">
        <v>36</v>
      </c>
      <c r="E1243" s="1">
        <v>2026</v>
      </c>
      <c r="F1243" s="11">
        <v>0.32119999999999999</v>
      </c>
      <c r="G1243">
        <v>28.57</v>
      </c>
      <c r="H1243">
        <v>96.96</v>
      </c>
      <c r="I1243" s="2">
        <v>126309.19</v>
      </c>
      <c r="J1243" s="2">
        <v>144531.26999999999</v>
      </c>
      <c r="K1243" s="2">
        <f>Table1[[#This Row],[Salary_after]]-Table1[[#This Row],[Salary_before]]</f>
        <v>18222.079999999987</v>
      </c>
      <c r="L1243" s="11">
        <v>0.14429999999999998</v>
      </c>
      <c r="M1243" s="11">
        <v>0.14560000000000001</v>
      </c>
      <c r="N1243">
        <v>99.22</v>
      </c>
      <c r="O1243">
        <v>59.32</v>
      </c>
      <c r="P1243">
        <v>5</v>
      </c>
      <c r="Q1243" t="s">
        <v>25</v>
      </c>
      <c r="R1243">
        <v>64.539999999999907</v>
      </c>
      <c r="S1243">
        <v>14.43</v>
      </c>
      <c r="T1243" s="4">
        <v>46.264999999999901</v>
      </c>
      <c r="U1243" s="4">
        <v>19.053583999999901</v>
      </c>
      <c r="V1243" t="str">
        <f>IF(Table1[[#This Row],[ai_disruption_intensity]]&gt;70,"High",
IF(Table1[[#This Row],[ai_disruption_intensity]]&gt;40,"Medium","Low"))</f>
        <v>Low</v>
      </c>
      <c r="W1243" t="str">
        <f>IF(Table1[[#This Row],[skill_gap_index]]&gt;70,"Large Gap",
IF(Table1[[#This Row],[skill_gap_index]]&gt;40,"Medium Gap","Small Gap"))</f>
        <v>Large Gap</v>
      </c>
      <c r="X1243" s="3" t="str">
        <f>IF(Table1[[#This Row],[automation_risk_percent]]&gt;0.7,"Highly Automatable",
IF(Table1[[#This Row],[automation_risk_percent]]&gt;0.4,"Moderate Risk","Safe Job"))</f>
        <v>Safe Job</v>
      </c>
    </row>
    <row r="1244" spans="1:24" x14ac:dyDescent="0.3">
      <c r="A1244">
        <v>4414</v>
      </c>
      <c r="B1244" t="s">
        <v>46</v>
      </c>
      <c r="C1244" t="s">
        <v>27</v>
      </c>
      <c r="D1244" t="s">
        <v>31</v>
      </c>
      <c r="E1244" s="1">
        <v>2025</v>
      </c>
      <c r="F1244" s="11">
        <v>7.1300000000000002E-2</v>
      </c>
      <c r="G1244">
        <v>5.89</v>
      </c>
      <c r="H1244">
        <v>66.66</v>
      </c>
      <c r="I1244" s="2">
        <v>108912.14</v>
      </c>
      <c r="J1244" s="2">
        <v>103833.37</v>
      </c>
      <c r="K1244" s="2">
        <f>Table1[[#This Row],[Salary_after]]-Table1[[#This Row],[Salary_before]]</f>
        <v>-5078.7700000000041</v>
      </c>
      <c r="L1244" s="11">
        <v>-4.6600000000000003E-2</v>
      </c>
      <c r="M1244" s="11">
        <v>7.9600000000000004E-2</v>
      </c>
      <c r="N1244">
        <v>95.04</v>
      </c>
      <c r="O1244">
        <v>55.12</v>
      </c>
      <c r="P1244">
        <v>4</v>
      </c>
      <c r="Q1244" t="s">
        <v>21</v>
      </c>
      <c r="R1244">
        <v>36.894999999999897</v>
      </c>
      <c r="S1244">
        <v>4.66</v>
      </c>
      <c r="T1244" s="4">
        <v>24.247999999999902</v>
      </c>
      <c r="U1244" s="4">
        <v>3.9300559999999898</v>
      </c>
      <c r="V1244" t="str">
        <f>IF(Table1[[#This Row],[ai_disruption_intensity]]&gt;70,"High",
IF(Table1[[#This Row],[ai_disruption_intensity]]&gt;40,"Medium","Low"))</f>
        <v>Low</v>
      </c>
      <c r="W1244" t="str">
        <f>IF(Table1[[#This Row],[skill_gap_index]]&gt;70,"Large Gap",
IF(Table1[[#This Row],[skill_gap_index]]&gt;40,"Medium Gap","Small Gap"))</f>
        <v>Medium Gap</v>
      </c>
      <c r="X1244" s="3" t="str">
        <f>IF(Table1[[#This Row],[automation_risk_percent]]&gt;0.7,"Highly Automatable",
IF(Table1[[#This Row],[automation_risk_percent]]&gt;0.4,"Moderate Risk","Safe Job"))</f>
        <v>Safe Job</v>
      </c>
    </row>
    <row r="1245" spans="1:24" x14ac:dyDescent="0.3">
      <c r="A1245">
        <v>4418</v>
      </c>
      <c r="B1245" t="s">
        <v>46</v>
      </c>
      <c r="C1245" t="s">
        <v>27</v>
      </c>
      <c r="D1245" t="s">
        <v>32</v>
      </c>
      <c r="E1245" s="1">
        <v>2026</v>
      </c>
      <c r="F1245" s="11">
        <v>9.6300000000000011E-2</v>
      </c>
      <c r="G1245">
        <v>11.48</v>
      </c>
      <c r="H1245">
        <v>2.5</v>
      </c>
      <c r="I1245" s="2">
        <v>92660.07</v>
      </c>
      <c r="J1245" s="2">
        <v>99056.960000000006</v>
      </c>
      <c r="K1245" s="2">
        <f>Table1[[#This Row],[Salary_after]]-Table1[[#This Row],[Salary_before]]</f>
        <v>6396.8899999999994</v>
      </c>
      <c r="L1245" s="11">
        <v>6.9000000000000006E-2</v>
      </c>
      <c r="M1245" s="11">
        <v>0.11509999999999999</v>
      </c>
      <c r="N1245">
        <v>76.12</v>
      </c>
      <c r="O1245">
        <v>52.94</v>
      </c>
      <c r="P1245">
        <v>5</v>
      </c>
      <c r="Q1245" t="s">
        <v>21</v>
      </c>
      <c r="R1245">
        <v>6.0650000000000004</v>
      </c>
      <c r="S1245">
        <v>6.9</v>
      </c>
      <c r="T1245" s="4">
        <v>6.6719999999999997</v>
      </c>
      <c r="U1245" s="4">
        <v>5.098122</v>
      </c>
      <c r="V1245" t="str">
        <f>IF(Table1[[#This Row],[ai_disruption_intensity]]&gt;70,"High",
IF(Table1[[#This Row],[ai_disruption_intensity]]&gt;40,"Medium","Low"))</f>
        <v>Low</v>
      </c>
      <c r="W1245" t="str">
        <f>IF(Table1[[#This Row],[skill_gap_index]]&gt;70,"Large Gap",
IF(Table1[[#This Row],[skill_gap_index]]&gt;40,"Medium Gap","Small Gap"))</f>
        <v>Small Gap</v>
      </c>
      <c r="X1245" s="3" t="str">
        <f>IF(Table1[[#This Row],[automation_risk_percent]]&gt;0.7,"Highly Automatable",
IF(Table1[[#This Row],[automation_risk_percent]]&gt;0.4,"Moderate Risk","Safe Job"))</f>
        <v>Safe Job</v>
      </c>
    </row>
    <row r="1246" spans="1:24" x14ac:dyDescent="0.3">
      <c r="A1246">
        <v>4420</v>
      </c>
      <c r="B1246" t="s">
        <v>44</v>
      </c>
      <c r="C1246" t="s">
        <v>40</v>
      </c>
      <c r="D1246" t="s">
        <v>47</v>
      </c>
      <c r="E1246" s="1">
        <v>2025</v>
      </c>
      <c r="F1246" s="11">
        <v>0.58119999999999994</v>
      </c>
      <c r="G1246">
        <v>51.04</v>
      </c>
      <c r="H1246">
        <v>48.1</v>
      </c>
      <c r="I1246" s="2">
        <v>55224.63</v>
      </c>
      <c r="J1246" s="2">
        <v>55139.82</v>
      </c>
      <c r="K1246" s="2">
        <f>Table1[[#This Row],[Salary_after]]-Table1[[#This Row],[Salary_before]]</f>
        <v>-84.809999999997672</v>
      </c>
      <c r="L1246" s="11">
        <v>-1.5E-3</v>
      </c>
      <c r="M1246" s="11">
        <v>6.4000000000000003E-3</v>
      </c>
      <c r="N1246">
        <v>48.24</v>
      </c>
      <c r="O1246">
        <v>42.51</v>
      </c>
      <c r="P1246">
        <v>2</v>
      </c>
      <c r="Q1246" t="s">
        <v>25</v>
      </c>
      <c r="R1246">
        <v>53.11</v>
      </c>
      <c r="S1246">
        <v>0.15</v>
      </c>
      <c r="T1246" s="4">
        <v>37.722999999999999</v>
      </c>
      <c r="U1246" s="4">
        <v>24.706811999999999</v>
      </c>
      <c r="V1246" t="str">
        <f>IF(Table1[[#This Row],[ai_disruption_intensity]]&gt;70,"High",
IF(Table1[[#This Row],[ai_disruption_intensity]]&gt;40,"Medium","Low"))</f>
        <v>Low</v>
      </c>
      <c r="W1246" t="str">
        <f>IF(Table1[[#This Row],[skill_gap_index]]&gt;70,"Large Gap",
IF(Table1[[#This Row],[skill_gap_index]]&gt;40,"Medium Gap","Small Gap"))</f>
        <v>Medium Gap</v>
      </c>
      <c r="X1246" s="3" t="str">
        <f>IF(Table1[[#This Row],[automation_risk_percent]]&gt;0.7,"Highly Automatable",
IF(Table1[[#This Row],[automation_risk_percent]]&gt;0.4,"Moderate Risk","Safe Job"))</f>
        <v>Moderate Risk</v>
      </c>
    </row>
    <row r="1247" spans="1:24" x14ac:dyDescent="0.3">
      <c r="A1247">
        <v>4426</v>
      </c>
      <c r="B1247" t="s">
        <v>41</v>
      </c>
      <c r="C1247" t="s">
        <v>30</v>
      </c>
      <c r="D1247" t="s">
        <v>31</v>
      </c>
      <c r="E1247" s="1">
        <v>2025</v>
      </c>
      <c r="F1247" s="11">
        <v>0.71609999999999996</v>
      </c>
      <c r="G1247">
        <v>69.28</v>
      </c>
      <c r="H1247">
        <v>96.82</v>
      </c>
      <c r="I1247" s="2">
        <v>37932.519999999997</v>
      </c>
      <c r="J1247" s="2">
        <v>37806.230000000003</v>
      </c>
      <c r="K1247" s="2">
        <f>Table1[[#This Row],[Salary_after]]-Table1[[#This Row],[Salary_before]]</f>
        <v>-126.2899999999936</v>
      </c>
      <c r="L1247" s="11">
        <v>-3.3E-3</v>
      </c>
      <c r="M1247" s="11">
        <v>0.17859999999999998</v>
      </c>
      <c r="N1247">
        <v>10.48</v>
      </c>
      <c r="O1247">
        <v>26.37</v>
      </c>
      <c r="P1247">
        <v>4</v>
      </c>
      <c r="Q1247" t="s">
        <v>37</v>
      </c>
      <c r="R1247">
        <v>84.215000000000003</v>
      </c>
      <c r="S1247">
        <v>0.33</v>
      </c>
      <c r="T1247" s="4">
        <v>57.788999999999902</v>
      </c>
      <c r="U1247" s="4">
        <v>18.883557</v>
      </c>
      <c r="V1247" t="str">
        <f>IF(Table1[[#This Row],[ai_disruption_intensity]]&gt;70,"High",
IF(Table1[[#This Row],[ai_disruption_intensity]]&gt;40,"Medium","Low"))</f>
        <v>Low</v>
      </c>
      <c r="W1247" t="str">
        <f>IF(Table1[[#This Row],[skill_gap_index]]&gt;70,"Large Gap",
IF(Table1[[#This Row],[skill_gap_index]]&gt;40,"Medium Gap","Small Gap"))</f>
        <v>Large Gap</v>
      </c>
      <c r="X1247" s="3" t="str">
        <f>IF(Table1[[#This Row],[automation_risk_percent]]&gt;0.7,"Highly Automatable",
IF(Table1[[#This Row],[automation_risk_percent]]&gt;0.4,"Moderate Risk","Safe Job"))</f>
        <v>Highly Automatable</v>
      </c>
    </row>
    <row r="1248" spans="1:24" x14ac:dyDescent="0.3">
      <c r="A1248">
        <v>4428</v>
      </c>
      <c r="B1248" t="s">
        <v>44</v>
      </c>
      <c r="C1248" t="s">
        <v>40</v>
      </c>
      <c r="D1248" t="s">
        <v>47</v>
      </c>
      <c r="E1248" s="1">
        <v>2026</v>
      </c>
      <c r="F1248" s="11">
        <v>0.15890000000000001</v>
      </c>
      <c r="G1248">
        <v>17.18</v>
      </c>
      <c r="H1248">
        <v>48.26</v>
      </c>
      <c r="I1248" s="2">
        <v>46062.47</v>
      </c>
      <c r="J1248" s="2">
        <v>40003.79</v>
      </c>
      <c r="K1248" s="2">
        <f>Table1[[#This Row],[Salary_after]]-Table1[[#This Row],[Salary_before]]</f>
        <v>-6058.68</v>
      </c>
      <c r="L1248" s="11">
        <v>-0.13150000000000001</v>
      </c>
      <c r="M1248" s="11">
        <v>-2.52E-2</v>
      </c>
      <c r="N1248">
        <v>44.39</v>
      </c>
      <c r="O1248">
        <v>58.03</v>
      </c>
      <c r="P1248">
        <v>3</v>
      </c>
      <c r="Q1248" t="s">
        <v>21</v>
      </c>
      <c r="R1248">
        <v>32.075000000000003</v>
      </c>
      <c r="S1248">
        <v>13.15</v>
      </c>
      <c r="T1248" s="4">
        <v>24.779</v>
      </c>
      <c r="U1248" s="4">
        <v>9.2209669999999999</v>
      </c>
      <c r="V1248" t="str">
        <f>IF(Table1[[#This Row],[ai_disruption_intensity]]&gt;70,"High",
IF(Table1[[#This Row],[ai_disruption_intensity]]&gt;40,"Medium","Low"))</f>
        <v>Low</v>
      </c>
      <c r="W1248" t="str">
        <f>IF(Table1[[#This Row],[skill_gap_index]]&gt;70,"Large Gap",
IF(Table1[[#This Row],[skill_gap_index]]&gt;40,"Medium Gap","Small Gap"))</f>
        <v>Medium Gap</v>
      </c>
      <c r="X1248" s="3" t="str">
        <f>IF(Table1[[#This Row],[automation_risk_percent]]&gt;0.7,"Highly Automatable",
IF(Table1[[#This Row],[automation_risk_percent]]&gt;0.4,"Moderate Risk","Safe Job"))</f>
        <v>Safe Job</v>
      </c>
    </row>
    <row r="1249" spans="1:24" x14ac:dyDescent="0.3">
      <c r="A1249">
        <v>4432</v>
      </c>
      <c r="B1249" t="s">
        <v>46</v>
      </c>
      <c r="C1249" t="s">
        <v>34</v>
      </c>
      <c r="D1249" t="s">
        <v>35</v>
      </c>
      <c r="E1249" s="1">
        <v>2025</v>
      </c>
      <c r="F1249" s="11">
        <v>8.8399999999999992E-2</v>
      </c>
      <c r="G1249">
        <v>8.58</v>
      </c>
      <c r="H1249">
        <v>1.21</v>
      </c>
      <c r="I1249" s="2">
        <v>85435.9</v>
      </c>
      <c r="J1249" s="2">
        <v>105283.26</v>
      </c>
      <c r="K1249" s="2">
        <f>Table1[[#This Row],[Salary_after]]-Table1[[#This Row],[Salary_before]]</f>
        <v>19847.36</v>
      </c>
      <c r="L1249" s="11">
        <v>0.23230000000000001</v>
      </c>
      <c r="M1249" s="11">
        <v>9.35E-2</v>
      </c>
      <c r="N1249">
        <v>19.03</v>
      </c>
      <c r="O1249">
        <v>18.100000000000001</v>
      </c>
      <c r="P1249">
        <v>2</v>
      </c>
      <c r="Q1249" t="s">
        <v>21</v>
      </c>
      <c r="R1249">
        <v>5.0250000000000004</v>
      </c>
      <c r="S1249">
        <v>23.23</v>
      </c>
      <c r="T1249" s="4">
        <v>10.868</v>
      </c>
      <c r="U1249" s="4">
        <v>1.6000399999999999</v>
      </c>
      <c r="V1249" t="str">
        <f>IF(Table1[[#This Row],[ai_disruption_intensity]]&gt;70,"High",
IF(Table1[[#This Row],[ai_disruption_intensity]]&gt;40,"Medium","Low"))</f>
        <v>Low</v>
      </c>
      <c r="W1249" t="str">
        <f>IF(Table1[[#This Row],[skill_gap_index]]&gt;70,"Large Gap",
IF(Table1[[#This Row],[skill_gap_index]]&gt;40,"Medium Gap","Small Gap"))</f>
        <v>Small Gap</v>
      </c>
      <c r="X1249" s="3" t="str">
        <f>IF(Table1[[#This Row],[automation_risk_percent]]&gt;0.7,"Highly Automatable",
IF(Table1[[#This Row],[automation_risk_percent]]&gt;0.4,"Moderate Risk","Safe Job"))</f>
        <v>Safe Job</v>
      </c>
    </row>
    <row r="1250" spans="1:24" x14ac:dyDescent="0.3">
      <c r="A1250">
        <v>4436</v>
      </c>
      <c r="B1250" t="s">
        <v>46</v>
      </c>
      <c r="C1250" t="s">
        <v>40</v>
      </c>
      <c r="D1250" t="s">
        <v>36</v>
      </c>
      <c r="E1250" s="1">
        <v>2026</v>
      </c>
      <c r="F1250" s="11">
        <v>0.34350000000000003</v>
      </c>
      <c r="G1250">
        <v>38.9</v>
      </c>
      <c r="H1250">
        <v>13.13</v>
      </c>
      <c r="I1250" s="2">
        <v>118067.73</v>
      </c>
      <c r="J1250" s="2">
        <v>116124.34</v>
      </c>
      <c r="K1250" s="2">
        <f>Table1[[#This Row],[Salary_after]]-Table1[[#This Row],[Salary_before]]</f>
        <v>-1943.3899999999994</v>
      </c>
      <c r="L1250" s="11">
        <v>-1.6500000000000001E-2</v>
      </c>
      <c r="M1250" s="11">
        <v>9.3399999999999997E-2</v>
      </c>
      <c r="N1250">
        <v>42.97</v>
      </c>
      <c r="O1250">
        <v>8.35</v>
      </c>
      <c r="P1250">
        <v>3</v>
      </c>
      <c r="Q1250" t="s">
        <v>25</v>
      </c>
      <c r="R1250">
        <v>23.74</v>
      </c>
      <c r="S1250">
        <v>1.65</v>
      </c>
      <c r="T1250" s="4">
        <v>18.173999999999999</v>
      </c>
      <c r="U1250" s="4">
        <v>2.8682249999999998</v>
      </c>
      <c r="V1250" t="str">
        <f>IF(Table1[[#This Row],[ai_disruption_intensity]]&gt;70,"High",
IF(Table1[[#This Row],[ai_disruption_intensity]]&gt;40,"Medium","Low"))</f>
        <v>Low</v>
      </c>
      <c r="W1250" t="str">
        <f>IF(Table1[[#This Row],[skill_gap_index]]&gt;70,"Large Gap",
IF(Table1[[#This Row],[skill_gap_index]]&gt;40,"Medium Gap","Small Gap"))</f>
        <v>Small Gap</v>
      </c>
      <c r="X1250" s="3" t="str">
        <f>IF(Table1[[#This Row],[automation_risk_percent]]&gt;0.7,"Highly Automatable",
IF(Table1[[#This Row],[automation_risk_percent]]&gt;0.4,"Moderate Risk","Safe Job"))</f>
        <v>Safe Job</v>
      </c>
    </row>
    <row r="1251" spans="1:24" x14ac:dyDescent="0.3">
      <c r="A1251">
        <v>4437</v>
      </c>
      <c r="B1251" t="s">
        <v>45</v>
      </c>
      <c r="C1251" t="s">
        <v>40</v>
      </c>
      <c r="D1251" t="s">
        <v>31</v>
      </c>
      <c r="E1251" s="1">
        <v>2026</v>
      </c>
      <c r="F1251" s="11">
        <v>0.54899999999999993</v>
      </c>
      <c r="G1251">
        <v>56.06</v>
      </c>
      <c r="H1251">
        <v>4.03</v>
      </c>
      <c r="I1251" s="2">
        <v>120265.44</v>
      </c>
      <c r="J1251" s="2">
        <v>95617.78</v>
      </c>
      <c r="K1251" s="2">
        <f>Table1[[#This Row],[Salary_after]]-Table1[[#This Row],[Salary_before]]</f>
        <v>-24647.660000000003</v>
      </c>
      <c r="L1251" s="11">
        <v>-0.20489999999999997</v>
      </c>
      <c r="M1251" s="11">
        <v>0.2477</v>
      </c>
      <c r="N1251">
        <v>88.85</v>
      </c>
      <c r="O1251">
        <v>39.869999999999997</v>
      </c>
      <c r="P1251">
        <v>4</v>
      </c>
      <c r="Q1251" t="s">
        <v>25</v>
      </c>
      <c r="R1251">
        <v>29.465</v>
      </c>
      <c r="S1251">
        <v>20.49</v>
      </c>
      <c r="T1251" s="4">
        <v>29.315999999999999</v>
      </c>
      <c r="U1251" s="4">
        <v>21.888629999999999</v>
      </c>
      <c r="V1251" t="str">
        <f>IF(Table1[[#This Row],[ai_disruption_intensity]]&gt;70,"High",
IF(Table1[[#This Row],[ai_disruption_intensity]]&gt;40,"Medium","Low"))</f>
        <v>Low</v>
      </c>
      <c r="W1251" t="str">
        <f>IF(Table1[[#This Row],[skill_gap_index]]&gt;70,"Large Gap",
IF(Table1[[#This Row],[skill_gap_index]]&gt;40,"Medium Gap","Small Gap"))</f>
        <v>Small Gap</v>
      </c>
      <c r="X1251" s="3" t="str">
        <f>IF(Table1[[#This Row],[automation_risk_percent]]&gt;0.7,"Highly Automatable",
IF(Table1[[#This Row],[automation_risk_percent]]&gt;0.4,"Moderate Risk","Safe Job"))</f>
        <v>Moderate Risk</v>
      </c>
    </row>
    <row r="1252" spans="1:24" x14ac:dyDescent="0.3">
      <c r="A1252">
        <v>4440</v>
      </c>
      <c r="B1252" t="s">
        <v>39</v>
      </c>
      <c r="C1252" t="s">
        <v>34</v>
      </c>
      <c r="D1252" t="s">
        <v>28</v>
      </c>
      <c r="E1252" s="1">
        <v>2026</v>
      </c>
      <c r="F1252" s="11">
        <v>0.76439999999999997</v>
      </c>
      <c r="G1252">
        <v>80.180000000000007</v>
      </c>
      <c r="H1252">
        <v>6</v>
      </c>
      <c r="I1252" s="2">
        <v>37469.279999999999</v>
      </c>
      <c r="J1252" s="2">
        <v>40494</v>
      </c>
      <c r="K1252" s="2">
        <f>Table1[[#This Row],[Salary_after]]-Table1[[#This Row],[Salary_before]]</f>
        <v>3024.7200000000012</v>
      </c>
      <c r="L1252" s="11">
        <v>8.0700000000000008E-2</v>
      </c>
      <c r="M1252" s="11">
        <v>0.27560000000000001</v>
      </c>
      <c r="N1252">
        <v>16.149999999999999</v>
      </c>
      <c r="O1252">
        <v>22.43</v>
      </c>
      <c r="P1252">
        <v>4</v>
      </c>
      <c r="Q1252" t="s">
        <v>37</v>
      </c>
      <c r="R1252">
        <v>41.22</v>
      </c>
      <c r="S1252">
        <v>8.07</v>
      </c>
      <c r="T1252" s="4">
        <v>34.796999999999997</v>
      </c>
      <c r="U1252" s="4">
        <v>17.145492000000001</v>
      </c>
      <c r="V1252" t="str">
        <f>IF(Table1[[#This Row],[ai_disruption_intensity]]&gt;70,"High",
IF(Table1[[#This Row],[ai_disruption_intensity]]&gt;40,"Medium","Low"))</f>
        <v>Low</v>
      </c>
      <c r="W1252" t="str">
        <f>IF(Table1[[#This Row],[skill_gap_index]]&gt;70,"Large Gap",
IF(Table1[[#This Row],[skill_gap_index]]&gt;40,"Medium Gap","Small Gap"))</f>
        <v>Small Gap</v>
      </c>
      <c r="X1252" s="3" t="str">
        <f>IF(Table1[[#This Row],[automation_risk_percent]]&gt;0.7,"Highly Automatable",
IF(Table1[[#This Row],[automation_risk_percent]]&gt;0.4,"Moderate Risk","Safe Job"))</f>
        <v>Highly Automatable</v>
      </c>
    </row>
    <row r="1253" spans="1:24" x14ac:dyDescent="0.3">
      <c r="A1253">
        <v>4444</v>
      </c>
      <c r="B1253" t="s">
        <v>22</v>
      </c>
      <c r="C1253" t="s">
        <v>19</v>
      </c>
      <c r="D1253" t="s">
        <v>28</v>
      </c>
      <c r="E1253" s="1">
        <v>2025</v>
      </c>
      <c r="F1253" s="11">
        <v>0.7551000000000001</v>
      </c>
      <c r="G1253">
        <v>87.24</v>
      </c>
      <c r="H1253">
        <v>41.49</v>
      </c>
      <c r="I1253" s="2">
        <v>30716.98</v>
      </c>
      <c r="J1253" s="2">
        <v>31740.23</v>
      </c>
      <c r="K1253" s="2">
        <f>Table1[[#This Row],[Salary_after]]-Table1[[#This Row],[Salary_before]]</f>
        <v>1023.25</v>
      </c>
      <c r="L1253" s="11">
        <v>3.3300000000000003E-2</v>
      </c>
      <c r="M1253" s="11">
        <v>7.5300000000000006E-2</v>
      </c>
      <c r="N1253">
        <v>25.73</v>
      </c>
      <c r="O1253">
        <v>91.62</v>
      </c>
      <c r="P1253">
        <v>2</v>
      </c>
      <c r="Q1253" t="s">
        <v>37</v>
      </c>
      <c r="R1253">
        <v>58.5</v>
      </c>
      <c r="S1253">
        <v>3.33</v>
      </c>
      <c r="T1253" s="4">
        <v>43.65</v>
      </c>
      <c r="U1253" s="4">
        <v>69.182261999999994</v>
      </c>
      <c r="V1253" t="str">
        <f>IF(Table1[[#This Row],[ai_disruption_intensity]]&gt;70,"High",
IF(Table1[[#This Row],[ai_disruption_intensity]]&gt;40,"Medium","Low"))</f>
        <v>Medium</v>
      </c>
      <c r="W1253" t="str">
        <f>IF(Table1[[#This Row],[skill_gap_index]]&gt;70,"Large Gap",
IF(Table1[[#This Row],[skill_gap_index]]&gt;40,"Medium Gap","Small Gap"))</f>
        <v>Medium Gap</v>
      </c>
      <c r="X1253" s="3" t="str">
        <f>IF(Table1[[#This Row],[automation_risk_percent]]&gt;0.7,"Highly Automatable",
IF(Table1[[#This Row],[automation_risk_percent]]&gt;0.4,"Moderate Risk","Safe Job"))</f>
        <v>Highly Automatable</v>
      </c>
    </row>
    <row r="1254" spans="1:24" x14ac:dyDescent="0.3">
      <c r="A1254">
        <v>4445</v>
      </c>
      <c r="B1254" t="s">
        <v>29</v>
      </c>
      <c r="C1254" t="s">
        <v>40</v>
      </c>
      <c r="D1254" t="s">
        <v>24</v>
      </c>
      <c r="E1254" s="1">
        <v>2025</v>
      </c>
      <c r="F1254" s="11">
        <v>0.88989999999999991</v>
      </c>
      <c r="G1254">
        <v>87.96</v>
      </c>
      <c r="H1254">
        <v>79.8</v>
      </c>
      <c r="I1254" s="2">
        <v>83393.759999999995</v>
      </c>
      <c r="J1254" s="2">
        <v>67985.95</v>
      </c>
      <c r="K1254" s="2">
        <f>Table1[[#This Row],[Salary_after]]-Table1[[#This Row],[Salary_before]]</f>
        <v>-15407.809999999998</v>
      </c>
      <c r="L1254" s="11">
        <v>-0.18479999999999999</v>
      </c>
      <c r="M1254" s="11">
        <v>0.1157</v>
      </c>
      <c r="N1254">
        <v>24.35</v>
      </c>
      <c r="O1254">
        <v>74.650000000000006</v>
      </c>
      <c r="P1254">
        <v>2</v>
      </c>
      <c r="Q1254" t="s">
        <v>37</v>
      </c>
      <c r="R1254">
        <v>84.394999999999996</v>
      </c>
      <c r="S1254">
        <v>18.48</v>
      </c>
      <c r="T1254" s="4">
        <v>65.08</v>
      </c>
      <c r="U1254" s="4">
        <v>66.431034999999994</v>
      </c>
      <c r="V1254" t="str">
        <f>IF(Table1[[#This Row],[ai_disruption_intensity]]&gt;70,"High",
IF(Table1[[#This Row],[ai_disruption_intensity]]&gt;40,"Medium","Low"))</f>
        <v>Medium</v>
      </c>
      <c r="W1254" t="str">
        <f>IF(Table1[[#This Row],[skill_gap_index]]&gt;70,"Large Gap",
IF(Table1[[#This Row],[skill_gap_index]]&gt;40,"Medium Gap","Small Gap"))</f>
        <v>Large Gap</v>
      </c>
      <c r="X1254" s="3" t="str">
        <f>IF(Table1[[#This Row],[automation_risk_percent]]&gt;0.7,"Highly Automatable",
IF(Table1[[#This Row],[automation_risk_percent]]&gt;0.4,"Moderate Risk","Safe Job"))</f>
        <v>Highly Automatable</v>
      </c>
    </row>
    <row r="1255" spans="1:24" x14ac:dyDescent="0.3">
      <c r="A1255">
        <v>4448</v>
      </c>
      <c r="B1255" t="s">
        <v>41</v>
      </c>
      <c r="C1255" t="s">
        <v>33</v>
      </c>
      <c r="D1255" t="s">
        <v>24</v>
      </c>
      <c r="E1255" s="1">
        <v>2025</v>
      </c>
      <c r="F1255" s="11">
        <v>0.58989999999999998</v>
      </c>
      <c r="G1255">
        <v>66.05</v>
      </c>
      <c r="H1255">
        <v>62.8</v>
      </c>
      <c r="I1255" s="2">
        <v>42565.23</v>
      </c>
      <c r="J1255" s="2">
        <v>46945.72</v>
      </c>
      <c r="K1255" s="2">
        <f>Table1[[#This Row],[Salary_after]]-Table1[[#This Row],[Salary_before]]</f>
        <v>4380.489999999998</v>
      </c>
      <c r="L1255" s="11">
        <v>0.10289999999999999</v>
      </c>
      <c r="M1255" s="11">
        <v>-0.10529999999999999</v>
      </c>
      <c r="N1255">
        <v>54.31</v>
      </c>
      <c r="O1255">
        <v>94.2</v>
      </c>
      <c r="P1255">
        <v>3</v>
      </c>
      <c r="Q1255" t="s">
        <v>25</v>
      </c>
      <c r="R1255">
        <v>60.894999999999897</v>
      </c>
      <c r="S1255">
        <v>10.29</v>
      </c>
      <c r="T1255" s="4">
        <v>45.523000000000003</v>
      </c>
      <c r="U1255" s="4">
        <v>55.568579999999997</v>
      </c>
      <c r="V1255" t="str">
        <f>IF(Table1[[#This Row],[ai_disruption_intensity]]&gt;70,"High",
IF(Table1[[#This Row],[ai_disruption_intensity]]&gt;40,"Medium","Low"))</f>
        <v>Medium</v>
      </c>
      <c r="W1255" t="str">
        <f>IF(Table1[[#This Row],[skill_gap_index]]&gt;70,"Large Gap",
IF(Table1[[#This Row],[skill_gap_index]]&gt;40,"Medium Gap","Small Gap"))</f>
        <v>Medium Gap</v>
      </c>
      <c r="X1255" s="3" t="str">
        <f>IF(Table1[[#This Row],[automation_risk_percent]]&gt;0.7,"Highly Automatable",
IF(Table1[[#This Row],[automation_risk_percent]]&gt;0.4,"Moderate Risk","Safe Job"))</f>
        <v>Moderate Risk</v>
      </c>
    </row>
    <row r="1256" spans="1:24" x14ac:dyDescent="0.3">
      <c r="A1256">
        <v>4449</v>
      </c>
      <c r="B1256" t="s">
        <v>45</v>
      </c>
      <c r="C1256" t="s">
        <v>38</v>
      </c>
      <c r="D1256" t="s">
        <v>20</v>
      </c>
      <c r="E1256" s="1">
        <v>2025</v>
      </c>
      <c r="F1256" s="11">
        <v>0.45610000000000001</v>
      </c>
      <c r="G1256">
        <v>54</v>
      </c>
      <c r="H1256">
        <v>19.93</v>
      </c>
      <c r="I1256" s="2">
        <v>71464.41</v>
      </c>
      <c r="J1256" s="2">
        <v>76271.429999999993</v>
      </c>
      <c r="K1256" s="2">
        <f>Table1[[#This Row],[Salary_after]]-Table1[[#This Row],[Salary_before]]</f>
        <v>4807.0199999999895</v>
      </c>
      <c r="L1256" s="11">
        <v>6.7299999999999999E-2</v>
      </c>
      <c r="M1256" s="11">
        <v>0.1167</v>
      </c>
      <c r="N1256">
        <v>75.900000000000006</v>
      </c>
      <c r="O1256">
        <v>85.96</v>
      </c>
      <c r="P1256">
        <v>1</v>
      </c>
      <c r="Q1256" t="s">
        <v>25</v>
      </c>
      <c r="R1256">
        <v>32.769999999999897</v>
      </c>
      <c r="S1256">
        <v>6.73</v>
      </c>
      <c r="T1256" s="4">
        <v>26.241999999999901</v>
      </c>
      <c r="U1256" s="4">
        <v>39.206356</v>
      </c>
      <c r="V1256" t="str">
        <f>IF(Table1[[#This Row],[ai_disruption_intensity]]&gt;70,"High",
IF(Table1[[#This Row],[ai_disruption_intensity]]&gt;40,"Medium","Low"))</f>
        <v>Low</v>
      </c>
      <c r="W1256" t="str">
        <f>IF(Table1[[#This Row],[skill_gap_index]]&gt;70,"Large Gap",
IF(Table1[[#This Row],[skill_gap_index]]&gt;40,"Medium Gap","Small Gap"))</f>
        <v>Small Gap</v>
      </c>
      <c r="X1256" s="3" t="str">
        <f>IF(Table1[[#This Row],[automation_risk_percent]]&gt;0.7,"Highly Automatable",
IF(Table1[[#This Row],[automation_risk_percent]]&gt;0.4,"Moderate Risk","Safe Job"))</f>
        <v>Moderate Risk</v>
      </c>
    </row>
    <row r="1257" spans="1:24" x14ac:dyDescent="0.3">
      <c r="A1257">
        <v>4456</v>
      </c>
      <c r="B1257" t="s">
        <v>44</v>
      </c>
      <c r="C1257" t="s">
        <v>33</v>
      </c>
      <c r="D1257" t="s">
        <v>47</v>
      </c>
      <c r="E1257" s="1">
        <v>2026</v>
      </c>
      <c r="F1257" s="11">
        <v>0.45590000000000003</v>
      </c>
      <c r="G1257">
        <v>44.85</v>
      </c>
      <c r="H1257">
        <v>62.41</v>
      </c>
      <c r="I1257" s="2">
        <v>60226.2</v>
      </c>
      <c r="J1257" s="2">
        <v>63833.24</v>
      </c>
      <c r="K1257" s="2">
        <f>Table1[[#This Row],[Salary_after]]-Table1[[#This Row],[Salary_before]]</f>
        <v>3607.0400000000009</v>
      </c>
      <c r="L1257" s="11">
        <v>5.9900000000000002E-2</v>
      </c>
      <c r="M1257" s="11">
        <v>-4.4000000000000003E-3</v>
      </c>
      <c r="N1257">
        <v>73.2</v>
      </c>
      <c r="O1257">
        <v>77.22</v>
      </c>
      <c r="P1257">
        <v>3</v>
      </c>
      <c r="Q1257" t="s">
        <v>25</v>
      </c>
      <c r="R1257">
        <v>54</v>
      </c>
      <c r="S1257">
        <v>5.99</v>
      </c>
      <c r="T1257" s="4">
        <v>38.756</v>
      </c>
      <c r="U1257" s="4">
        <v>35.204597999999997</v>
      </c>
      <c r="V1257" t="str">
        <f>IF(Table1[[#This Row],[ai_disruption_intensity]]&gt;70,"High",
IF(Table1[[#This Row],[ai_disruption_intensity]]&gt;40,"Medium","Low"))</f>
        <v>Low</v>
      </c>
      <c r="W1257" t="str">
        <f>IF(Table1[[#This Row],[skill_gap_index]]&gt;70,"Large Gap",
IF(Table1[[#This Row],[skill_gap_index]]&gt;40,"Medium Gap","Small Gap"))</f>
        <v>Medium Gap</v>
      </c>
      <c r="X1257" s="3" t="str">
        <f>IF(Table1[[#This Row],[automation_risk_percent]]&gt;0.7,"Highly Automatable",
IF(Table1[[#This Row],[automation_risk_percent]]&gt;0.4,"Moderate Risk","Safe Job"))</f>
        <v>Moderate Risk</v>
      </c>
    </row>
    <row r="1258" spans="1:24" x14ac:dyDescent="0.3">
      <c r="A1258">
        <v>4459</v>
      </c>
      <c r="B1258" t="s">
        <v>29</v>
      </c>
      <c r="C1258" t="s">
        <v>34</v>
      </c>
      <c r="D1258" t="s">
        <v>20</v>
      </c>
      <c r="E1258" s="1">
        <v>2025</v>
      </c>
      <c r="F1258" s="11">
        <v>0.75390000000000001</v>
      </c>
      <c r="G1258">
        <v>68.790000000000006</v>
      </c>
      <c r="H1258">
        <v>4.91</v>
      </c>
      <c r="I1258" s="2">
        <v>32474.53</v>
      </c>
      <c r="J1258" s="2">
        <v>32246.9</v>
      </c>
      <c r="K1258" s="2">
        <f>Table1[[#This Row],[Salary_after]]-Table1[[#This Row],[Salary_before]]</f>
        <v>-227.62999999999738</v>
      </c>
      <c r="L1258" s="11">
        <v>-6.9999999999999993E-3</v>
      </c>
      <c r="M1258" s="11">
        <v>6.2199999999999998E-2</v>
      </c>
      <c r="N1258">
        <v>50.31</v>
      </c>
      <c r="O1258">
        <v>95.06</v>
      </c>
      <c r="P1258">
        <v>5</v>
      </c>
      <c r="Q1258" t="s">
        <v>37</v>
      </c>
      <c r="R1258">
        <v>40.15</v>
      </c>
      <c r="S1258">
        <v>0.7</v>
      </c>
      <c r="T1258" s="4">
        <v>31.838999999999999</v>
      </c>
      <c r="U1258" s="4">
        <v>71.665734</v>
      </c>
      <c r="V1258" t="str">
        <f>IF(Table1[[#This Row],[ai_disruption_intensity]]&gt;70,"High",
IF(Table1[[#This Row],[ai_disruption_intensity]]&gt;40,"Medium","Low"))</f>
        <v>High</v>
      </c>
      <c r="W1258" t="str">
        <f>IF(Table1[[#This Row],[skill_gap_index]]&gt;70,"Large Gap",
IF(Table1[[#This Row],[skill_gap_index]]&gt;40,"Medium Gap","Small Gap"))</f>
        <v>Small Gap</v>
      </c>
      <c r="X1258" s="3" t="str">
        <f>IF(Table1[[#This Row],[automation_risk_percent]]&gt;0.7,"Highly Automatable",
IF(Table1[[#This Row],[automation_risk_percent]]&gt;0.4,"Moderate Risk","Safe Job"))</f>
        <v>Highly Automatable</v>
      </c>
    </row>
    <row r="1259" spans="1:24" x14ac:dyDescent="0.3">
      <c r="A1259">
        <v>4463</v>
      </c>
      <c r="B1259" t="s">
        <v>46</v>
      </c>
      <c r="C1259" t="s">
        <v>27</v>
      </c>
      <c r="D1259" t="s">
        <v>20</v>
      </c>
      <c r="E1259" s="1">
        <v>2026</v>
      </c>
      <c r="F1259" s="11">
        <v>0.38579999999999998</v>
      </c>
      <c r="G1259">
        <v>44.17</v>
      </c>
      <c r="H1259">
        <v>54.17</v>
      </c>
      <c r="I1259" s="2">
        <v>101903.87</v>
      </c>
      <c r="J1259" s="2">
        <v>90291.51</v>
      </c>
      <c r="K1259" s="2">
        <f>Table1[[#This Row],[Salary_after]]-Table1[[#This Row],[Salary_before]]</f>
        <v>-11612.36</v>
      </c>
      <c r="L1259" s="11">
        <v>-0.114</v>
      </c>
      <c r="M1259" s="11">
        <v>3.2300000000000002E-2</v>
      </c>
      <c r="N1259">
        <v>59.82</v>
      </c>
      <c r="O1259">
        <v>97.74</v>
      </c>
      <c r="P1259">
        <v>3</v>
      </c>
      <c r="Q1259" t="s">
        <v>25</v>
      </c>
      <c r="R1259">
        <v>46.375</v>
      </c>
      <c r="S1259">
        <v>11.4</v>
      </c>
      <c r="T1259" s="4">
        <v>35.103000000000002</v>
      </c>
      <c r="U1259" s="4">
        <v>37.708091999999901</v>
      </c>
      <c r="V1259" t="str">
        <f>IF(Table1[[#This Row],[ai_disruption_intensity]]&gt;70,"High",
IF(Table1[[#This Row],[ai_disruption_intensity]]&gt;40,"Medium","Low"))</f>
        <v>Low</v>
      </c>
      <c r="W1259" t="str">
        <f>IF(Table1[[#This Row],[skill_gap_index]]&gt;70,"Large Gap",
IF(Table1[[#This Row],[skill_gap_index]]&gt;40,"Medium Gap","Small Gap"))</f>
        <v>Medium Gap</v>
      </c>
      <c r="X1259" s="3" t="str">
        <f>IF(Table1[[#This Row],[automation_risk_percent]]&gt;0.7,"Highly Automatable",
IF(Table1[[#This Row],[automation_risk_percent]]&gt;0.4,"Moderate Risk","Safe Job"))</f>
        <v>Safe Job</v>
      </c>
    </row>
    <row r="1260" spans="1:24" x14ac:dyDescent="0.3">
      <c r="A1260">
        <v>4464</v>
      </c>
      <c r="B1260" t="s">
        <v>18</v>
      </c>
      <c r="C1260" t="s">
        <v>38</v>
      </c>
      <c r="D1260" t="s">
        <v>28</v>
      </c>
      <c r="E1260" s="1">
        <v>2025</v>
      </c>
      <c r="F1260" s="11">
        <v>0.65099999999999991</v>
      </c>
      <c r="G1260">
        <v>71.55</v>
      </c>
      <c r="H1260">
        <v>64.33</v>
      </c>
      <c r="I1260" s="2">
        <v>71749.039999999994</v>
      </c>
      <c r="J1260" s="2">
        <v>68184.42</v>
      </c>
      <c r="K1260" s="2">
        <f>Table1[[#This Row],[Salary_after]]-Table1[[#This Row],[Salary_before]]</f>
        <v>-3564.6199999999953</v>
      </c>
      <c r="L1260" s="11">
        <v>-4.9699999999999994E-2</v>
      </c>
      <c r="M1260" s="11">
        <v>-9.5999999999999992E-3</v>
      </c>
      <c r="N1260">
        <v>10.57</v>
      </c>
      <c r="O1260">
        <v>67.349999999999994</v>
      </c>
      <c r="P1260">
        <v>3</v>
      </c>
      <c r="Q1260" t="s">
        <v>37</v>
      </c>
      <c r="R1260">
        <v>64.715000000000003</v>
      </c>
      <c r="S1260">
        <v>4.97</v>
      </c>
      <c r="T1260" s="4">
        <v>46.83</v>
      </c>
      <c r="U1260" s="4">
        <v>43.844849999999902</v>
      </c>
      <c r="V1260" t="str">
        <f>IF(Table1[[#This Row],[ai_disruption_intensity]]&gt;70,"High",
IF(Table1[[#This Row],[ai_disruption_intensity]]&gt;40,"Medium","Low"))</f>
        <v>Medium</v>
      </c>
      <c r="W1260" t="str">
        <f>IF(Table1[[#This Row],[skill_gap_index]]&gt;70,"Large Gap",
IF(Table1[[#This Row],[skill_gap_index]]&gt;40,"Medium Gap","Small Gap"))</f>
        <v>Medium Gap</v>
      </c>
      <c r="X1260" s="3" t="str">
        <f>IF(Table1[[#This Row],[automation_risk_percent]]&gt;0.7,"Highly Automatable",
IF(Table1[[#This Row],[automation_risk_percent]]&gt;0.4,"Moderate Risk","Safe Job"))</f>
        <v>Moderate Risk</v>
      </c>
    </row>
    <row r="1261" spans="1:24" x14ac:dyDescent="0.3">
      <c r="A1261">
        <v>4465</v>
      </c>
      <c r="B1261" t="s">
        <v>26</v>
      </c>
      <c r="C1261" t="s">
        <v>23</v>
      </c>
      <c r="D1261" t="s">
        <v>24</v>
      </c>
      <c r="E1261" s="1">
        <v>2026</v>
      </c>
      <c r="F1261" s="11">
        <v>0.56830000000000003</v>
      </c>
      <c r="G1261">
        <v>51.58</v>
      </c>
      <c r="H1261">
        <v>9.19</v>
      </c>
      <c r="I1261" s="2">
        <v>70287.25</v>
      </c>
      <c r="J1261" s="2">
        <v>67307.360000000001</v>
      </c>
      <c r="K1261" s="2">
        <f>Table1[[#This Row],[Salary_after]]-Table1[[#This Row],[Salary_before]]</f>
        <v>-2979.8899999999994</v>
      </c>
      <c r="L1261" s="11">
        <v>-4.24E-2</v>
      </c>
      <c r="M1261" s="11">
        <v>-0.1295</v>
      </c>
      <c r="N1261">
        <v>33.770000000000003</v>
      </c>
      <c r="O1261">
        <v>33.97</v>
      </c>
      <c r="P1261">
        <v>4</v>
      </c>
      <c r="Q1261" t="s">
        <v>25</v>
      </c>
      <c r="R1261">
        <v>33.01</v>
      </c>
      <c r="S1261">
        <v>4.24</v>
      </c>
      <c r="T1261" s="4">
        <v>26.7609999999999</v>
      </c>
      <c r="U1261" s="4">
        <v>19.305150999999999</v>
      </c>
      <c r="V1261" t="str">
        <f>IF(Table1[[#This Row],[ai_disruption_intensity]]&gt;70,"High",
IF(Table1[[#This Row],[ai_disruption_intensity]]&gt;40,"Medium","Low"))</f>
        <v>Low</v>
      </c>
      <c r="W1261" t="str">
        <f>IF(Table1[[#This Row],[skill_gap_index]]&gt;70,"Large Gap",
IF(Table1[[#This Row],[skill_gap_index]]&gt;40,"Medium Gap","Small Gap"))</f>
        <v>Small Gap</v>
      </c>
      <c r="X1261" s="3" t="str">
        <f>IF(Table1[[#This Row],[automation_risk_percent]]&gt;0.7,"Highly Automatable",
IF(Table1[[#This Row],[automation_risk_percent]]&gt;0.4,"Moderate Risk","Safe Job"))</f>
        <v>Moderate Risk</v>
      </c>
    </row>
    <row r="1262" spans="1:24" x14ac:dyDescent="0.3">
      <c r="A1262">
        <v>4471</v>
      </c>
      <c r="B1262" t="s">
        <v>39</v>
      </c>
      <c r="C1262" t="s">
        <v>30</v>
      </c>
      <c r="D1262" t="s">
        <v>32</v>
      </c>
      <c r="E1262" s="1">
        <v>2026</v>
      </c>
      <c r="F1262" s="11">
        <v>0.74900000000000011</v>
      </c>
      <c r="G1262">
        <v>63.41</v>
      </c>
      <c r="H1262">
        <v>77.8</v>
      </c>
      <c r="I1262" s="2">
        <v>99387.25</v>
      </c>
      <c r="J1262" s="2">
        <v>113316.54</v>
      </c>
      <c r="K1262" s="2">
        <f>Table1[[#This Row],[Salary_after]]-Table1[[#This Row],[Salary_before]]</f>
        <v>13929.289999999994</v>
      </c>
      <c r="L1262" s="11">
        <v>0.14019999999999999</v>
      </c>
      <c r="M1262" s="11">
        <v>9.2899999999999996E-2</v>
      </c>
      <c r="N1262">
        <v>30.06</v>
      </c>
      <c r="O1262">
        <v>53.1</v>
      </c>
      <c r="P1262">
        <v>5</v>
      </c>
      <c r="Q1262" t="s">
        <v>37</v>
      </c>
      <c r="R1262">
        <v>76.349999999999994</v>
      </c>
      <c r="S1262">
        <v>14.02</v>
      </c>
      <c r="T1262" s="4">
        <v>57.506</v>
      </c>
      <c r="U1262" s="4">
        <v>39.771900000000002</v>
      </c>
      <c r="V1262" t="str">
        <f>IF(Table1[[#This Row],[ai_disruption_intensity]]&gt;70,"High",
IF(Table1[[#This Row],[ai_disruption_intensity]]&gt;40,"Medium","Low"))</f>
        <v>Low</v>
      </c>
      <c r="W1262" t="str">
        <f>IF(Table1[[#This Row],[skill_gap_index]]&gt;70,"Large Gap",
IF(Table1[[#This Row],[skill_gap_index]]&gt;40,"Medium Gap","Small Gap"))</f>
        <v>Large Gap</v>
      </c>
      <c r="X1262" s="3" t="str">
        <f>IF(Table1[[#This Row],[automation_risk_percent]]&gt;0.7,"Highly Automatable",
IF(Table1[[#This Row],[automation_risk_percent]]&gt;0.4,"Moderate Risk","Safe Job"))</f>
        <v>Highly Automatable</v>
      </c>
    </row>
    <row r="1263" spans="1:24" x14ac:dyDescent="0.3">
      <c r="A1263">
        <v>4476</v>
      </c>
      <c r="B1263" t="s">
        <v>29</v>
      </c>
      <c r="C1263" t="s">
        <v>40</v>
      </c>
      <c r="D1263" t="s">
        <v>32</v>
      </c>
      <c r="E1263" s="1">
        <v>2025</v>
      </c>
      <c r="F1263" s="11">
        <v>0.9423999999999999</v>
      </c>
      <c r="G1263">
        <v>93.48</v>
      </c>
      <c r="H1263">
        <v>62.55</v>
      </c>
      <c r="I1263" s="2">
        <v>73206.31</v>
      </c>
      <c r="J1263" s="2">
        <v>74672.259999999995</v>
      </c>
      <c r="K1263" s="2">
        <f>Table1[[#This Row],[Salary_after]]-Table1[[#This Row],[Salary_before]]</f>
        <v>1465.9499999999971</v>
      </c>
      <c r="L1263" s="11">
        <v>0.02</v>
      </c>
      <c r="M1263" s="11">
        <v>0.16390000000000002</v>
      </c>
      <c r="N1263">
        <v>69.650000000000006</v>
      </c>
      <c r="O1263">
        <v>64.89</v>
      </c>
      <c r="P1263">
        <v>4</v>
      </c>
      <c r="Q1263" t="s">
        <v>37</v>
      </c>
      <c r="R1263">
        <v>78.394999999999996</v>
      </c>
      <c r="S1263">
        <v>2</v>
      </c>
      <c r="T1263" s="4">
        <v>57.061</v>
      </c>
      <c r="U1263" s="4">
        <v>61.152335999999998</v>
      </c>
      <c r="V1263" t="str">
        <f>IF(Table1[[#This Row],[ai_disruption_intensity]]&gt;70,"High",
IF(Table1[[#This Row],[ai_disruption_intensity]]&gt;40,"Medium","Low"))</f>
        <v>Medium</v>
      </c>
      <c r="W1263" t="str">
        <f>IF(Table1[[#This Row],[skill_gap_index]]&gt;70,"Large Gap",
IF(Table1[[#This Row],[skill_gap_index]]&gt;40,"Medium Gap","Small Gap"))</f>
        <v>Medium Gap</v>
      </c>
      <c r="X1263" s="3" t="str">
        <f>IF(Table1[[#This Row],[automation_risk_percent]]&gt;0.7,"Highly Automatable",
IF(Table1[[#This Row],[automation_risk_percent]]&gt;0.4,"Moderate Risk","Safe Job"))</f>
        <v>Highly Automatable</v>
      </c>
    </row>
    <row r="1264" spans="1:24" x14ac:dyDescent="0.3">
      <c r="A1264">
        <v>4478</v>
      </c>
      <c r="B1264" t="s">
        <v>43</v>
      </c>
      <c r="C1264" t="s">
        <v>30</v>
      </c>
      <c r="D1264" t="s">
        <v>47</v>
      </c>
      <c r="E1264" s="1">
        <v>2025</v>
      </c>
      <c r="F1264" s="11">
        <v>0.55179999999999996</v>
      </c>
      <c r="G1264">
        <v>59.75</v>
      </c>
      <c r="H1264">
        <v>82.23</v>
      </c>
      <c r="I1264" s="2">
        <v>49170.59</v>
      </c>
      <c r="J1264" s="2">
        <v>48562.5</v>
      </c>
      <c r="K1264" s="2">
        <f>Table1[[#This Row],[Salary_after]]-Table1[[#This Row],[Salary_before]]</f>
        <v>-608.08999999999651</v>
      </c>
      <c r="L1264" s="11">
        <v>-1.24E-2</v>
      </c>
      <c r="M1264" s="11">
        <v>0.1116</v>
      </c>
      <c r="N1264">
        <v>87.44</v>
      </c>
      <c r="O1264">
        <v>22.05</v>
      </c>
      <c r="P1264">
        <v>3</v>
      </c>
      <c r="Q1264" t="s">
        <v>25</v>
      </c>
      <c r="R1264">
        <v>68.704999999999998</v>
      </c>
      <c r="S1264">
        <v>1.24</v>
      </c>
      <c r="T1264" s="4">
        <v>47.113</v>
      </c>
      <c r="U1264" s="4">
        <v>12.16719</v>
      </c>
      <c r="V1264" t="str">
        <f>IF(Table1[[#This Row],[ai_disruption_intensity]]&gt;70,"High",
IF(Table1[[#This Row],[ai_disruption_intensity]]&gt;40,"Medium","Low"))</f>
        <v>Low</v>
      </c>
      <c r="W1264" t="str">
        <f>IF(Table1[[#This Row],[skill_gap_index]]&gt;70,"Large Gap",
IF(Table1[[#This Row],[skill_gap_index]]&gt;40,"Medium Gap","Small Gap"))</f>
        <v>Large Gap</v>
      </c>
      <c r="X1264" s="3" t="str">
        <f>IF(Table1[[#This Row],[automation_risk_percent]]&gt;0.7,"Highly Automatable",
IF(Table1[[#This Row],[automation_risk_percent]]&gt;0.4,"Moderate Risk","Safe Job"))</f>
        <v>Moderate Risk</v>
      </c>
    </row>
    <row r="1265" spans="1:24" x14ac:dyDescent="0.3">
      <c r="A1265">
        <v>4482</v>
      </c>
      <c r="B1265" t="s">
        <v>29</v>
      </c>
      <c r="C1265" t="s">
        <v>27</v>
      </c>
      <c r="D1265" t="s">
        <v>31</v>
      </c>
      <c r="E1265" s="1">
        <v>2026</v>
      </c>
      <c r="F1265" s="11">
        <v>0.4118</v>
      </c>
      <c r="G1265">
        <v>47.7</v>
      </c>
      <c r="H1265">
        <v>88.32</v>
      </c>
      <c r="I1265" s="2">
        <v>34770.43</v>
      </c>
      <c r="J1265" s="2">
        <v>30509.47</v>
      </c>
      <c r="K1265" s="2">
        <f>Table1[[#This Row],[Salary_after]]-Table1[[#This Row],[Salary_before]]</f>
        <v>-4260.9599999999991</v>
      </c>
      <c r="L1265" s="11">
        <v>-0.1225</v>
      </c>
      <c r="M1265" s="11">
        <v>0.15679999999999999</v>
      </c>
      <c r="N1265">
        <v>70.72</v>
      </c>
      <c r="O1265">
        <v>91.36</v>
      </c>
      <c r="P1265">
        <v>1</v>
      </c>
      <c r="Q1265" t="s">
        <v>25</v>
      </c>
      <c r="R1265">
        <v>64.75</v>
      </c>
      <c r="S1265">
        <v>12.25</v>
      </c>
      <c r="T1265" s="4">
        <v>46.643000000000001</v>
      </c>
      <c r="U1265" s="4">
        <v>37.622047999999999</v>
      </c>
      <c r="V1265" t="str">
        <f>IF(Table1[[#This Row],[ai_disruption_intensity]]&gt;70,"High",
IF(Table1[[#This Row],[ai_disruption_intensity]]&gt;40,"Medium","Low"))</f>
        <v>Low</v>
      </c>
      <c r="W1265" t="str">
        <f>IF(Table1[[#This Row],[skill_gap_index]]&gt;70,"Large Gap",
IF(Table1[[#This Row],[skill_gap_index]]&gt;40,"Medium Gap","Small Gap"))</f>
        <v>Large Gap</v>
      </c>
      <c r="X1265" s="3" t="str">
        <f>IF(Table1[[#This Row],[automation_risk_percent]]&gt;0.7,"Highly Automatable",
IF(Table1[[#This Row],[automation_risk_percent]]&gt;0.4,"Moderate Risk","Safe Job"))</f>
        <v>Moderate Risk</v>
      </c>
    </row>
    <row r="1266" spans="1:24" x14ac:dyDescent="0.3">
      <c r="A1266">
        <v>4483</v>
      </c>
      <c r="B1266" t="s">
        <v>44</v>
      </c>
      <c r="C1266" t="s">
        <v>27</v>
      </c>
      <c r="D1266" t="s">
        <v>31</v>
      </c>
      <c r="E1266" s="1">
        <v>2026</v>
      </c>
      <c r="F1266" s="11">
        <v>0.44909999999999994</v>
      </c>
      <c r="G1266">
        <v>43.38</v>
      </c>
      <c r="H1266">
        <v>92.15</v>
      </c>
      <c r="I1266" s="2">
        <v>146893.79</v>
      </c>
      <c r="J1266" s="2">
        <v>143350.66</v>
      </c>
      <c r="K1266" s="2">
        <f>Table1[[#This Row],[Salary_after]]-Table1[[#This Row],[Salary_before]]</f>
        <v>-3543.1300000000047</v>
      </c>
      <c r="L1266" s="11">
        <v>-2.41E-2</v>
      </c>
      <c r="M1266" s="11">
        <v>-1.18E-2</v>
      </c>
      <c r="N1266">
        <v>78.63</v>
      </c>
      <c r="O1266">
        <v>77.7</v>
      </c>
      <c r="P1266">
        <v>2</v>
      </c>
      <c r="Q1266" t="s">
        <v>25</v>
      </c>
      <c r="R1266">
        <v>68.53</v>
      </c>
      <c r="S1266">
        <v>2.41</v>
      </c>
      <c r="T1266" s="4">
        <v>46.331999999999901</v>
      </c>
      <c r="U1266" s="4">
        <v>34.895069999999997</v>
      </c>
      <c r="V1266" t="str">
        <f>IF(Table1[[#This Row],[ai_disruption_intensity]]&gt;70,"High",
IF(Table1[[#This Row],[ai_disruption_intensity]]&gt;40,"Medium","Low"))</f>
        <v>Low</v>
      </c>
      <c r="W1266" t="str">
        <f>IF(Table1[[#This Row],[skill_gap_index]]&gt;70,"Large Gap",
IF(Table1[[#This Row],[skill_gap_index]]&gt;40,"Medium Gap","Small Gap"))</f>
        <v>Large Gap</v>
      </c>
      <c r="X1266" s="3" t="str">
        <f>IF(Table1[[#This Row],[automation_risk_percent]]&gt;0.7,"Highly Automatable",
IF(Table1[[#This Row],[automation_risk_percent]]&gt;0.4,"Moderate Risk","Safe Job"))</f>
        <v>Moderate Risk</v>
      </c>
    </row>
    <row r="1267" spans="1:24" x14ac:dyDescent="0.3">
      <c r="A1267">
        <v>4489</v>
      </c>
      <c r="B1267" t="s">
        <v>44</v>
      </c>
      <c r="C1267" t="s">
        <v>33</v>
      </c>
      <c r="D1267" t="s">
        <v>20</v>
      </c>
      <c r="E1267" s="1">
        <v>2026</v>
      </c>
      <c r="F1267" s="11">
        <v>0.37560000000000004</v>
      </c>
      <c r="G1267">
        <v>41.67</v>
      </c>
      <c r="H1267">
        <v>83</v>
      </c>
      <c r="I1267" s="2">
        <v>112196.09</v>
      </c>
      <c r="J1267" s="2">
        <v>95449.75</v>
      </c>
      <c r="K1267" s="2">
        <f>Table1[[#This Row],[Salary_after]]-Table1[[#This Row],[Salary_before]]</f>
        <v>-16746.339999999997</v>
      </c>
      <c r="L1267" s="11">
        <v>-0.14929999999999999</v>
      </c>
      <c r="M1267" s="11">
        <v>3.61E-2</v>
      </c>
      <c r="N1267">
        <v>86.24</v>
      </c>
      <c r="O1267">
        <v>34.17</v>
      </c>
      <c r="P1267">
        <v>4</v>
      </c>
      <c r="Q1267" t="s">
        <v>25</v>
      </c>
      <c r="R1267">
        <v>60.28</v>
      </c>
      <c r="S1267">
        <v>14.93</v>
      </c>
      <c r="T1267" s="4">
        <v>44.402999999999999</v>
      </c>
      <c r="U1267" s="4">
        <v>12.834251999999999</v>
      </c>
      <c r="V1267" t="str">
        <f>IF(Table1[[#This Row],[ai_disruption_intensity]]&gt;70,"High",
IF(Table1[[#This Row],[ai_disruption_intensity]]&gt;40,"Medium","Low"))</f>
        <v>Low</v>
      </c>
      <c r="W1267" t="str">
        <f>IF(Table1[[#This Row],[skill_gap_index]]&gt;70,"Large Gap",
IF(Table1[[#This Row],[skill_gap_index]]&gt;40,"Medium Gap","Small Gap"))</f>
        <v>Large Gap</v>
      </c>
      <c r="X1267" s="3" t="str">
        <f>IF(Table1[[#This Row],[automation_risk_percent]]&gt;0.7,"Highly Automatable",
IF(Table1[[#This Row],[automation_risk_percent]]&gt;0.4,"Moderate Risk","Safe Job"))</f>
        <v>Safe Job</v>
      </c>
    </row>
    <row r="1268" spans="1:24" x14ac:dyDescent="0.3">
      <c r="A1268">
        <v>4490</v>
      </c>
      <c r="B1268" t="s">
        <v>44</v>
      </c>
      <c r="C1268" t="s">
        <v>40</v>
      </c>
      <c r="D1268" t="s">
        <v>42</v>
      </c>
      <c r="E1268" s="1">
        <v>2025</v>
      </c>
      <c r="F1268" s="11">
        <v>0.34939999999999999</v>
      </c>
      <c r="G1268">
        <v>40.75</v>
      </c>
      <c r="H1268">
        <v>97.56</v>
      </c>
      <c r="I1268" s="2">
        <v>137775.71</v>
      </c>
      <c r="J1268" s="2">
        <v>123344.98</v>
      </c>
      <c r="K1268" s="2">
        <f>Table1[[#This Row],[Salary_after]]-Table1[[#This Row],[Salary_before]]</f>
        <v>-14430.729999999996</v>
      </c>
      <c r="L1268" s="11">
        <v>-0.1047</v>
      </c>
      <c r="M1268" s="11">
        <v>0.15380000000000002</v>
      </c>
      <c r="N1268">
        <v>95.77</v>
      </c>
      <c r="O1268">
        <v>87.66</v>
      </c>
      <c r="P1268">
        <v>5</v>
      </c>
      <c r="Q1268" t="s">
        <v>25</v>
      </c>
      <c r="R1268">
        <v>66.25</v>
      </c>
      <c r="S1268">
        <v>10.47</v>
      </c>
      <c r="T1268" s="4">
        <v>46.384999999999998</v>
      </c>
      <c r="U1268" s="4">
        <v>30.6284039999999</v>
      </c>
      <c r="V1268" t="str">
        <f>IF(Table1[[#This Row],[ai_disruption_intensity]]&gt;70,"High",
IF(Table1[[#This Row],[ai_disruption_intensity]]&gt;40,"Medium","Low"))</f>
        <v>Low</v>
      </c>
      <c r="W1268" t="str">
        <f>IF(Table1[[#This Row],[skill_gap_index]]&gt;70,"Large Gap",
IF(Table1[[#This Row],[skill_gap_index]]&gt;40,"Medium Gap","Small Gap"))</f>
        <v>Large Gap</v>
      </c>
      <c r="X1268" s="3" t="str">
        <f>IF(Table1[[#This Row],[automation_risk_percent]]&gt;0.7,"Highly Automatable",
IF(Table1[[#This Row],[automation_risk_percent]]&gt;0.4,"Moderate Risk","Safe Job"))</f>
        <v>Safe Job</v>
      </c>
    </row>
    <row r="1269" spans="1:24" x14ac:dyDescent="0.3">
      <c r="A1269">
        <v>4492</v>
      </c>
      <c r="B1269" t="s">
        <v>43</v>
      </c>
      <c r="C1269" t="s">
        <v>38</v>
      </c>
      <c r="D1269" t="s">
        <v>35</v>
      </c>
      <c r="E1269" s="1">
        <v>2026</v>
      </c>
      <c r="F1269" s="11">
        <v>0.53090000000000004</v>
      </c>
      <c r="G1269">
        <v>51.41</v>
      </c>
      <c r="H1269">
        <v>49.98</v>
      </c>
      <c r="I1269" s="2">
        <v>41826.01</v>
      </c>
      <c r="J1269" s="2">
        <v>42491.51</v>
      </c>
      <c r="K1269" s="2">
        <f>Table1[[#This Row],[Salary_after]]-Table1[[#This Row],[Salary_before]]</f>
        <v>665.5</v>
      </c>
      <c r="L1269" s="11">
        <v>1.5900000000000001E-2</v>
      </c>
      <c r="M1269" s="11">
        <v>-2.29E-2</v>
      </c>
      <c r="N1269">
        <v>56.08</v>
      </c>
      <c r="O1269">
        <v>35.92</v>
      </c>
      <c r="P1269">
        <v>4</v>
      </c>
      <c r="Q1269" t="s">
        <v>25</v>
      </c>
      <c r="R1269">
        <v>51.534999999999997</v>
      </c>
      <c r="S1269">
        <v>1.59</v>
      </c>
      <c r="T1269" s="4">
        <v>36.707000000000001</v>
      </c>
      <c r="U1269" s="4">
        <v>19.069928000000001</v>
      </c>
      <c r="V1269" t="str">
        <f>IF(Table1[[#This Row],[ai_disruption_intensity]]&gt;70,"High",
IF(Table1[[#This Row],[ai_disruption_intensity]]&gt;40,"Medium","Low"))</f>
        <v>Low</v>
      </c>
      <c r="W1269" t="str">
        <f>IF(Table1[[#This Row],[skill_gap_index]]&gt;70,"Large Gap",
IF(Table1[[#This Row],[skill_gap_index]]&gt;40,"Medium Gap","Small Gap"))</f>
        <v>Medium Gap</v>
      </c>
      <c r="X1269" s="3" t="str">
        <f>IF(Table1[[#This Row],[automation_risk_percent]]&gt;0.7,"Highly Automatable",
IF(Table1[[#This Row],[automation_risk_percent]]&gt;0.4,"Moderate Risk","Safe Job"))</f>
        <v>Moderate Risk</v>
      </c>
    </row>
    <row r="1270" spans="1:24" x14ac:dyDescent="0.3">
      <c r="A1270">
        <v>4493</v>
      </c>
      <c r="B1270" t="s">
        <v>22</v>
      </c>
      <c r="C1270" t="s">
        <v>30</v>
      </c>
      <c r="D1270" t="s">
        <v>36</v>
      </c>
      <c r="E1270" s="1">
        <v>2025</v>
      </c>
      <c r="F1270" s="11">
        <v>0.49630000000000002</v>
      </c>
      <c r="G1270">
        <v>41.15</v>
      </c>
      <c r="H1270">
        <v>94.4</v>
      </c>
      <c r="I1270" s="2">
        <v>65245.4</v>
      </c>
      <c r="J1270" s="2">
        <v>75435.89</v>
      </c>
      <c r="K1270" s="2">
        <f>Table1[[#This Row],[Salary_after]]-Table1[[#This Row],[Salary_before]]</f>
        <v>10190.489999999998</v>
      </c>
      <c r="L1270" s="11">
        <v>0.15620000000000001</v>
      </c>
      <c r="M1270" s="11">
        <v>-4.5999999999999999E-3</v>
      </c>
      <c r="N1270">
        <v>34.51</v>
      </c>
      <c r="O1270">
        <v>43.59</v>
      </c>
      <c r="P1270">
        <v>2</v>
      </c>
      <c r="Q1270" t="s">
        <v>25</v>
      </c>
      <c r="R1270">
        <v>72.015000000000001</v>
      </c>
      <c r="S1270">
        <v>15.62</v>
      </c>
      <c r="T1270" s="4">
        <v>52.857999999999997</v>
      </c>
      <c r="U1270" s="4">
        <v>21.633717000000001</v>
      </c>
      <c r="V1270" t="str">
        <f>IF(Table1[[#This Row],[ai_disruption_intensity]]&gt;70,"High",
IF(Table1[[#This Row],[ai_disruption_intensity]]&gt;40,"Medium","Low"))</f>
        <v>Low</v>
      </c>
      <c r="W1270" t="str">
        <f>IF(Table1[[#This Row],[skill_gap_index]]&gt;70,"Large Gap",
IF(Table1[[#This Row],[skill_gap_index]]&gt;40,"Medium Gap","Small Gap"))</f>
        <v>Large Gap</v>
      </c>
      <c r="X1270" s="3" t="str">
        <f>IF(Table1[[#This Row],[automation_risk_percent]]&gt;0.7,"Highly Automatable",
IF(Table1[[#This Row],[automation_risk_percent]]&gt;0.4,"Moderate Risk","Safe Job"))</f>
        <v>Moderate Risk</v>
      </c>
    </row>
    <row r="1271" spans="1:24" x14ac:dyDescent="0.3">
      <c r="A1271">
        <v>4502</v>
      </c>
      <c r="B1271" t="s">
        <v>45</v>
      </c>
      <c r="C1271" t="s">
        <v>34</v>
      </c>
      <c r="D1271" t="s">
        <v>31</v>
      </c>
      <c r="E1271" s="1">
        <v>2025</v>
      </c>
      <c r="F1271" s="11">
        <v>0.55259999999999998</v>
      </c>
      <c r="G1271">
        <v>53.59</v>
      </c>
      <c r="H1271">
        <v>69.16</v>
      </c>
      <c r="I1271" s="2">
        <v>119601.83</v>
      </c>
      <c r="J1271" s="2">
        <v>119748.3</v>
      </c>
      <c r="K1271" s="2">
        <f>Table1[[#This Row],[Salary_after]]-Table1[[#This Row],[Salary_before]]</f>
        <v>146.47000000000116</v>
      </c>
      <c r="L1271" s="11">
        <v>1.1999999999999999E-3</v>
      </c>
      <c r="M1271" s="11">
        <v>0.20079999999999998</v>
      </c>
      <c r="N1271">
        <v>81.25</v>
      </c>
      <c r="O1271">
        <v>2.5499999999999998</v>
      </c>
      <c r="P1271">
        <v>5</v>
      </c>
      <c r="Q1271" t="s">
        <v>25</v>
      </c>
      <c r="R1271">
        <v>62.209999999999901</v>
      </c>
      <c r="S1271">
        <v>0.12</v>
      </c>
      <c r="T1271" s="4">
        <v>42.887999999999998</v>
      </c>
      <c r="U1271" s="4">
        <v>1.40912999999999</v>
      </c>
      <c r="V1271" t="str">
        <f>IF(Table1[[#This Row],[ai_disruption_intensity]]&gt;70,"High",
IF(Table1[[#This Row],[ai_disruption_intensity]]&gt;40,"Medium","Low"))</f>
        <v>Low</v>
      </c>
      <c r="W1271" t="str">
        <f>IF(Table1[[#This Row],[skill_gap_index]]&gt;70,"Large Gap",
IF(Table1[[#This Row],[skill_gap_index]]&gt;40,"Medium Gap","Small Gap"))</f>
        <v>Medium Gap</v>
      </c>
      <c r="X1271" s="3" t="str">
        <f>IF(Table1[[#This Row],[automation_risk_percent]]&gt;0.7,"Highly Automatable",
IF(Table1[[#This Row],[automation_risk_percent]]&gt;0.4,"Moderate Risk","Safe Job"))</f>
        <v>Moderate Risk</v>
      </c>
    </row>
    <row r="1272" spans="1:24" x14ac:dyDescent="0.3">
      <c r="A1272">
        <v>4504</v>
      </c>
      <c r="B1272" t="s">
        <v>43</v>
      </c>
      <c r="C1272" t="s">
        <v>33</v>
      </c>
      <c r="D1272" t="s">
        <v>32</v>
      </c>
      <c r="E1272" s="1">
        <v>2025</v>
      </c>
      <c r="F1272" s="11">
        <v>0.49049999999999999</v>
      </c>
      <c r="G1272">
        <v>46.09</v>
      </c>
      <c r="H1272">
        <v>64.39</v>
      </c>
      <c r="I1272" s="2">
        <v>80645.59</v>
      </c>
      <c r="J1272" s="2">
        <v>78326.12</v>
      </c>
      <c r="K1272" s="2">
        <f>Table1[[#This Row],[Salary_after]]-Table1[[#This Row],[Salary_before]]</f>
        <v>-2319.4700000000012</v>
      </c>
      <c r="L1272" s="11">
        <v>-2.8799999999999999E-2</v>
      </c>
      <c r="M1272" s="11">
        <v>0.18090000000000001</v>
      </c>
      <c r="N1272">
        <v>61.51</v>
      </c>
      <c r="O1272">
        <v>32.11</v>
      </c>
      <c r="P1272">
        <v>1</v>
      </c>
      <c r="Q1272" t="s">
        <v>25</v>
      </c>
      <c r="R1272">
        <v>56.72</v>
      </c>
      <c r="S1272">
        <v>2.88</v>
      </c>
      <c r="T1272" s="4">
        <v>39.800999999999902</v>
      </c>
      <c r="U1272" s="4">
        <v>15.749955</v>
      </c>
      <c r="V1272" t="str">
        <f>IF(Table1[[#This Row],[ai_disruption_intensity]]&gt;70,"High",
IF(Table1[[#This Row],[ai_disruption_intensity]]&gt;40,"Medium","Low"))</f>
        <v>Low</v>
      </c>
      <c r="W1272" t="str">
        <f>IF(Table1[[#This Row],[skill_gap_index]]&gt;70,"Large Gap",
IF(Table1[[#This Row],[skill_gap_index]]&gt;40,"Medium Gap","Small Gap"))</f>
        <v>Medium Gap</v>
      </c>
      <c r="X1272" s="3" t="str">
        <f>IF(Table1[[#This Row],[automation_risk_percent]]&gt;0.7,"Highly Automatable",
IF(Table1[[#This Row],[automation_risk_percent]]&gt;0.4,"Moderate Risk","Safe Job"))</f>
        <v>Moderate Risk</v>
      </c>
    </row>
    <row r="1273" spans="1:24" x14ac:dyDescent="0.3">
      <c r="A1273">
        <v>4511</v>
      </c>
      <c r="B1273" t="s">
        <v>43</v>
      </c>
      <c r="C1273" t="s">
        <v>38</v>
      </c>
      <c r="D1273" t="s">
        <v>32</v>
      </c>
      <c r="E1273" s="1">
        <v>2026</v>
      </c>
      <c r="F1273" s="11">
        <v>0.52579999999999993</v>
      </c>
      <c r="G1273">
        <v>62.97</v>
      </c>
      <c r="H1273">
        <v>9.36</v>
      </c>
      <c r="I1273" s="2">
        <v>63157.95</v>
      </c>
      <c r="J1273" s="2">
        <v>54934.77</v>
      </c>
      <c r="K1273" s="2">
        <f>Table1[[#This Row],[Salary_after]]-Table1[[#This Row],[Salary_before]]</f>
        <v>-8223.18</v>
      </c>
      <c r="L1273" s="11">
        <v>-0.13019999999999998</v>
      </c>
      <c r="M1273" s="11">
        <v>0.16</v>
      </c>
      <c r="N1273">
        <v>41.15</v>
      </c>
      <c r="O1273">
        <v>89.26</v>
      </c>
      <c r="P1273">
        <v>4</v>
      </c>
      <c r="Q1273" t="s">
        <v>25</v>
      </c>
      <c r="R1273">
        <v>30.97</v>
      </c>
      <c r="S1273">
        <v>13.02</v>
      </c>
      <c r="T1273" s="4">
        <v>27.745999999999999</v>
      </c>
      <c r="U1273" s="4">
        <v>46.932907999999998</v>
      </c>
      <c r="V1273" t="str">
        <f>IF(Table1[[#This Row],[ai_disruption_intensity]]&gt;70,"High",
IF(Table1[[#This Row],[ai_disruption_intensity]]&gt;40,"Medium","Low"))</f>
        <v>Medium</v>
      </c>
      <c r="W1273" t="str">
        <f>IF(Table1[[#This Row],[skill_gap_index]]&gt;70,"Large Gap",
IF(Table1[[#This Row],[skill_gap_index]]&gt;40,"Medium Gap","Small Gap"))</f>
        <v>Small Gap</v>
      </c>
      <c r="X1273" s="3" t="str">
        <f>IF(Table1[[#This Row],[automation_risk_percent]]&gt;0.7,"Highly Automatable",
IF(Table1[[#This Row],[automation_risk_percent]]&gt;0.4,"Moderate Risk","Safe Job"))</f>
        <v>Moderate Risk</v>
      </c>
    </row>
    <row r="1274" spans="1:24" x14ac:dyDescent="0.3">
      <c r="A1274">
        <v>4519</v>
      </c>
      <c r="B1274" t="s">
        <v>44</v>
      </c>
      <c r="C1274" t="s">
        <v>30</v>
      </c>
      <c r="D1274" t="s">
        <v>28</v>
      </c>
      <c r="E1274" s="1">
        <v>2026</v>
      </c>
      <c r="F1274" s="11">
        <v>0.2006</v>
      </c>
      <c r="G1274">
        <v>21.07</v>
      </c>
      <c r="H1274">
        <v>52.19</v>
      </c>
      <c r="I1274" s="2">
        <v>99111.89</v>
      </c>
      <c r="J1274" s="2">
        <v>86523.839999999997</v>
      </c>
      <c r="K1274" s="2">
        <f>Table1[[#This Row],[Salary_after]]-Table1[[#This Row],[Salary_before]]</f>
        <v>-12588.050000000003</v>
      </c>
      <c r="L1274" s="11">
        <v>-0.127</v>
      </c>
      <c r="M1274" s="11">
        <v>-0.1978</v>
      </c>
      <c r="N1274">
        <v>80.09</v>
      </c>
      <c r="O1274">
        <v>21.99</v>
      </c>
      <c r="P1274">
        <v>5</v>
      </c>
      <c r="Q1274" t="s">
        <v>21</v>
      </c>
      <c r="R1274">
        <v>36.125</v>
      </c>
      <c r="S1274">
        <v>12.7</v>
      </c>
      <c r="T1274" s="4">
        <v>27.4909999999999</v>
      </c>
      <c r="U1274" s="4">
        <v>4.4111939999999903</v>
      </c>
      <c r="V1274" t="str">
        <f>IF(Table1[[#This Row],[ai_disruption_intensity]]&gt;70,"High",
IF(Table1[[#This Row],[ai_disruption_intensity]]&gt;40,"Medium","Low"))</f>
        <v>Low</v>
      </c>
      <c r="W1274" t="str">
        <f>IF(Table1[[#This Row],[skill_gap_index]]&gt;70,"Large Gap",
IF(Table1[[#This Row],[skill_gap_index]]&gt;40,"Medium Gap","Small Gap"))</f>
        <v>Medium Gap</v>
      </c>
      <c r="X1274" s="3" t="str">
        <f>IF(Table1[[#This Row],[automation_risk_percent]]&gt;0.7,"Highly Automatable",
IF(Table1[[#This Row],[automation_risk_percent]]&gt;0.4,"Moderate Risk","Safe Job"))</f>
        <v>Safe Job</v>
      </c>
    </row>
    <row r="1275" spans="1:24" x14ac:dyDescent="0.3">
      <c r="A1275">
        <v>4521</v>
      </c>
      <c r="B1275" t="s">
        <v>26</v>
      </c>
      <c r="C1275" t="s">
        <v>40</v>
      </c>
      <c r="D1275" t="s">
        <v>47</v>
      </c>
      <c r="E1275" s="1">
        <v>2025</v>
      </c>
      <c r="F1275" s="11">
        <v>0.55689999999999995</v>
      </c>
      <c r="G1275">
        <v>53.72</v>
      </c>
      <c r="H1275">
        <v>98.47</v>
      </c>
      <c r="I1275" s="2">
        <v>111479.27</v>
      </c>
      <c r="J1275" s="2">
        <v>102881.54</v>
      </c>
      <c r="K1275" s="2">
        <f>Table1[[#This Row],[Salary_after]]-Table1[[#This Row],[Salary_before]]</f>
        <v>-8597.7300000000105</v>
      </c>
      <c r="L1275" s="11">
        <v>-7.7100000000000002E-2</v>
      </c>
      <c r="M1275" s="11">
        <v>0.11109999999999999</v>
      </c>
      <c r="N1275">
        <v>85.37</v>
      </c>
      <c r="O1275">
        <v>94.5</v>
      </c>
      <c r="P1275">
        <v>1</v>
      </c>
      <c r="Q1275" t="s">
        <v>25</v>
      </c>
      <c r="R1275">
        <v>77.08</v>
      </c>
      <c r="S1275">
        <v>7.71</v>
      </c>
      <c r="T1275" s="4">
        <v>54.129999999999903</v>
      </c>
      <c r="U1275" s="4">
        <v>52.627049999999997</v>
      </c>
      <c r="V1275" t="str">
        <f>IF(Table1[[#This Row],[ai_disruption_intensity]]&gt;70,"High",
IF(Table1[[#This Row],[ai_disruption_intensity]]&gt;40,"Medium","Low"))</f>
        <v>Medium</v>
      </c>
      <c r="W1275" t="str">
        <f>IF(Table1[[#This Row],[skill_gap_index]]&gt;70,"Large Gap",
IF(Table1[[#This Row],[skill_gap_index]]&gt;40,"Medium Gap","Small Gap"))</f>
        <v>Large Gap</v>
      </c>
      <c r="X1275" s="3" t="str">
        <f>IF(Table1[[#This Row],[automation_risk_percent]]&gt;0.7,"Highly Automatable",
IF(Table1[[#This Row],[automation_risk_percent]]&gt;0.4,"Moderate Risk","Safe Job"))</f>
        <v>Moderate Risk</v>
      </c>
    </row>
    <row r="1276" spans="1:24" x14ac:dyDescent="0.3">
      <c r="A1276">
        <v>4523</v>
      </c>
      <c r="B1276" t="s">
        <v>46</v>
      </c>
      <c r="C1276" t="s">
        <v>38</v>
      </c>
      <c r="D1276" t="s">
        <v>47</v>
      </c>
      <c r="E1276" s="1">
        <v>2026</v>
      </c>
      <c r="F1276" s="11">
        <v>0.3921</v>
      </c>
      <c r="G1276">
        <v>41.18</v>
      </c>
      <c r="H1276">
        <v>91.61</v>
      </c>
      <c r="I1276" s="2">
        <v>95062.18</v>
      </c>
      <c r="J1276" s="2">
        <v>94530.57</v>
      </c>
      <c r="K1276" s="2">
        <f>Table1[[#This Row],[Salary_after]]-Table1[[#This Row],[Salary_before]]</f>
        <v>-531.60999999998603</v>
      </c>
      <c r="L1276" s="11">
        <v>-5.6000000000000008E-3</v>
      </c>
      <c r="M1276" s="11">
        <v>0.15179999999999999</v>
      </c>
      <c r="N1276">
        <v>76.36</v>
      </c>
      <c r="O1276">
        <v>1.46</v>
      </c>
      <c r="P1276">
        <v>5</v>
      </c>
      <c r="Q1276" t="s">
        <v>25</v>
      </c>
      <c r="R1276">
        <v>65.41</v>
      </c>
      <c r="S1276">
        <v>0.56000000000000005</v>
      </c>
      <c r="T1276" s="4">
        <v>43.335000000000001</v>
      </c>
      <c r="U1276" s="4">
        <v>0.57246600000000003</v>
      </c>
      <c r="V1276" t="str">
        <f>IF(Table1[[#This Row],[ai_disruption_intensity]]&gt;70,"High",
IF(Table1[[#This Row],[ai_disruption_intensity]]&gt;40,"Medium","Low"))</f>
        <v>Low</v>
      </c>
      <c r="W1276" t="str">
        <f>IF(Table1[[#This Row],[skill_gap_index]]&gt;70,"Large Gap",
IF(Table1[[#This Row],[skill_gap_index]]&gt;40,"Medium Gap","Small Gap"))</f>
        <v>Large Gap</v>
      </c>
      <c r="X1276" s="3" t="str">
        <f>IF(Table1[[#This Row],[automation_risk_percent]]&gt;0.7,"Highly Automatable",
IF(Table1[[#This Row],[automation_risk_percent]]&gt;0.4,"Moderate Risk","Safe Job"))</f>
        <v>Safe Job</v>
      </c>
    </row>
    <row r="1277" spans="1:24" x14ac:dyDescent="0.3">
      <c r="A1277">
        <v>4528</v>
      </c>
      <c r="B1277" t="s">
        <v>18</v>
      </c>
      <c r="C1277" t="s">
        <v>34</v>
      </c>
      <c r="D1277" t="s">
        <v>28</v>
      </c>
      <c r="E1277" s="1">
        <v>2025</v>
      </c>
      <c r="F1277" s="11">
        <v>0.63829999999999998</v>
      </c>
      <c r="G1277">
        <v>69.41</v>
      </c>
      <c r="H1277">
        <v>49.16</v>
      </c>
      <c r="I1277" s="2">
        <v>83205.38</v>
      </c>
      <c r="J1277" s="2">
        <v>67750.92</v>
      </c>
      <c r="K1277" s="2">
        <f>Table1[[#This Row],[Salary_after]]-Table1[[#This Row],[Salary_before]]</f>
        <v>-15454.460000000006</v>
      </c>
      <c r="L1277" s="11">
        <v>-0.1857</v>
      </c>
      <c r="M1277" s="11">
        <v>7.3899999999999993E-2</v>
      </c>
      <c r="N1277">
        <v>91.41</v>
      </c>
      <c r="O1277">
        <v>79.430000000000007</v>
      </c>
      <c r="P1277">
        <v>3</v>
      </c>
      <c r="Q1277" t="s">
        <v>37</v>
      </c>
      <c r="R1277">
        <v>56.494999999999997</v>
      </c>
      <c r="S1277">
        <v>18.57</v>
      </c>
      <c r="T1277" s="4">
        <v>45.850999999999999</v>
      </c>
      <c r="U1277" s="4">
        <v>50.700169000000002</v>
      </c>
      <c r="V1277" t="str">
        <f>IF(Table1[[#This Row],[ai_disruption_intensity]]&gt;70,"High",
IF(Table1[[#This Row],[ai_disruption_intensity]]&gt;40,"Medium","Low"))</f>
        <v>Medium</v>
      </c>
      <c r="W1277" t="str">
        <f>IF(Table1[[#This Row],[skill_gap_index]]&gt;70,"Large Gap",
IF(Table1[[#This Row],[skill_gap_index]]&gt;40,"Medium Gap","Small Gap"))</f>
        <v>Medium Gap</v>
      </c>
      <c r="X1277" s="3" t="str">
        <f>IF(Table1[[#This Row],[automation_risk_percent]]&gt;0.7,"Highly Automatable",
IF(Table1[[#This Row],[automation_risk_percent]]&gt;0.4,"Moderate Risk","Safe Job"))</f>
        <v>Moderate Risk</v>
      </c>
    </row>
    <row r="1278" spans="1:24" x14ac:dyDescent="0.3">
      <c r="A1278">
        <v>4529</v>
      </c>
      <c r="B1278" t="s">
        <v>39</v>
      </c>
      <c r="C1278" t="s">
        <v>40</v>
      </c>
      <c r="D1278" t="s">
        <v>32</v>
      </c>
      <c r="E1278" s="1">
        <v>2025</v>
      </c>
      <c r="F1278" s="11">
        <v>0.66099999999999992</v>
      </c>
      <c r="G1278">
        <v>64.33</v>
      </c>
      <c r="H1278">
        <v>7.11</v>
      </c>
      <c r="I1278" s="2">
        <v>111969.28</v>
      </c>
      <c r="J1278" s="2">
        <v>122478.39999999999</v>
      </c>
      <c r="K1278" s="2">
        <f>Table1[[#This Row],[Salary_after]]-Table1[[#This Row],[Salary_before]]</f>
        <v>10509.119999999995</v>
      </c>
      <c r="L1278" s="11">
        <v>9.3900000000000011E-2</v>
      </c>
      <c r="M1278" s="11">
        <v>1.8200000000000001E-2</v>
      </c>
      <c r="N1278">
        <v>80.23</v>
      </c>
      <c r="O1278">
        <v>14.53</v>
      </c>
      <c r="P1278">
        <v>1</v>
      </c>
      <c r="Q1278" t="s">
        <v>37</v>
      </c>
      <c r="R1278">
        <v>36.604999999999997</v>
      </c>
      <c r="S1278">
        <v>9.39</v>
      </c>
      <c r="T1278" s="4">
        <v>31.389999999999901</v>
      </c>
      <c r="U1278" s="4">
        <v>9.6043299999999991</v>
      </c>
      <c r="V1278" t="str">
        <f>IF(Table1[[#This Row],[ai_disruption_intensity]]&gt;70,"High",
IF(Table1[[#This Row],[ai_disruption_intensity]]&gt;40,"Medium","Low"))</f>
        <v>Low</v>
      </c>
      <c r="W1278" t="str">
        <f>IF(Table1[[#This Row],[skill_gap_index]]&gt;70,"Large Gap",
IF(Table1[[#This Row],[skill_gap_index]]&gt;40,"Medium Gap","Small Gap"))</f>
        <v>Small Gap</v>
      </c>
      <c r="X1278" s="3" t="str">
        <f>IF(Table1[[#This Row],[automation_risk_percent]]&gt;0.7,"Highly Automatable",
IF(Table1[[#This Row],[automation_risk_percent]]&gt;0.4,"Moderate Risk","Safe Job"))</f>
        <v>Moderate Risk</v>
      </c>
    </row>
    <row r="1279" spans="1:24" x14ac:dyDescent="0.3">
      <c r="A1279">
        <v>4535</v>
      </c>
      <c r="B1279" t="s">
        <v>22</v>
      </c>
      <c r="C1279" t="s">
        <v>38</v>
      </c>
      <c r="D1279" t="s">
        <v>20</v>
      </c>
      <c r="E1279" s="1">
        <v>2026</v>
      </c>
      <c r="F1279" s="11">
        <v>0.3115</v>
      </c>
      <c r="G1279">
        <v>26.94</v>
      </c>
      <c r="H1279">
        <v>92.78</v>
      </c>
      <c r="I1279" s="2">
        <v>77743.7</v>
      </c>
      <c r="J1279" s="2">
        <v>88463.45</v>
      </c>
      <c r="K1279" s="2">
        <f>Table1[[#This Row],[Salary_after]]-Table1[[#This Row],[Salary_before]]</f>
        <v>10719.75</v>
      </c>
      <c r="L1279" s="11">
        <v>0.13789999999999999</v>
      </c>
      <c r="M1279" s="11">
        <v>2.7099999999999999E-2</v>
      </c>
      <c r="N1279">
        <v>56.17</v>
      </c>
      <c r="O1279">
        <v>11.98</v>
      </c>
      <c r="P1279">
        <v>4</v>
      </c>
      <c r="Q1279" t="s">
        <v>25</v>
      </c>
      <c r="R1279">
        <v>61.965000000000003</v>
      </c>
      <c r="S1279">
        <v>13.79</v>
      </c>
      <c r="T1279" s="4">
        <v>44.430999999999997</v>
      </c>
      <c r="U1279" s="4">
        <v>3.73177</v>
      </c>
      <c r="V1279" t="str">
        <f>IF(Table1[[#This Row],[ai_disruption_intensity]]&gt;70,"High",
IF(Table1[[#This Row],[ai_disruption_intensity]]&gt;40,"Medium","Low"))</f>
        <v>Low</v>
      </c>
      <c r="W1279" t="str">
        <f>IF(Table1[[#This Row],[skill_gap_index]]&gt;70,"Large Gap",
IF(Table1[[#This Row],[skill_gap_index]]&gt;40,"Medium Gap","Small Gap"))</f>
        <v>Large Gap</v>
      </c>
      <c r="X1279" s="3" t="str">
        <f>IF(Table1[[#This Row],[automation_risk_percent]]&gt;0.7,"Highly Automatable",
IF(Table1[[#This Row],[automation_risk_percent]]&gt;0.4,"Moderate Risk","Safe Job"))</f>
        <v>Safe Job</v>
      </c>
    </row>
    <row r="1280" spans="1:24" x14ac:dyDescent="0.3">
      <c r="A1280">
        <v>4540</v>
      </c>
      <c r="B1280" t="s">
        <v>45</v>
      </c>
      <c r="C1280" t="s">
        <v>40</v>
      </c>
      <c r="D1280" t="s">
        <v>35</v>
      </c>
      <c r="E1280" s="1">
        <v>2025</v>
      </c>
      <c r="F1280" s="11">
        <v>0.50850000000000006</v>
      </c>
      <c r="G1280">
        <v>60.43</v>
      </c>
      <c r="H1280">
        <v>81.790000000000006</v>
      </c>
      <c r="I1280" s="2">
        <v>50276.18</v>
      </c>
      <c r="J1280" s="2">
        <v>52545.62</v>
      </c>
      <c r="K1280" s="2">
        <f>Table1[[#This Row],[Salary_after]]-Table1[[#This Row],[Salary_before]]</f>
        <v>2269.4400000000023</v>
      </c>
      <c r="L1280" s="11">
        <v>4.5100000000000001E-2</v>
      </c>
      <c r="M1280" s="11">
        <v>9.01E-2</v>
      </c>
      <c r="N1280">
        <v>72.16</v>
      </c>
      <c r="O1280">
        <v>65.72</v>
      </c>
      <c r="P1280">
        <v>4</v>
      </c>
      <c r="Q1280" t="s">
        <v>25</v>
      </c>
      <c r="R1280">
        <v>66.319999999999993</v>
      </c>
      <c r="S1280">
        <v>4.51</v>
      </c>
      <c r="T1280" s="4">
        <v>46.23</v>
      </c>
      <c r="U1280" s="4">
        <v>33.418619999999997</v>
      </c>
      <c r="V1280" t="str">
        <f>IF(Table1[[#This Row],[ai_disruption_intensity]]&gt;70,"High",
IF(Table1[[#This Row],[ai_disruption_intensity]]&gt;40,"Medium","Low"))</f>
        <v>Low</v>
      </c>
      <c r="W1280" t="str">
        <f>IF(Table1[[#This Row],[skill_gap_index]]&gt;70,"Large Gap",
IF(Table1[[#This Row],[skill_gap_index]]&gt;40,"Medium Gap","Small Gap"))</f>
        <v>Large Gap</v>
      </c>
      <c r="X1280" s="3" t="str">
        <f>IF(Table1[[#This Row],[automation_risk_percent]]&gt;0.7,"Highly Automatable",
IF(Table1[[#This Row],[automation_risk_percent]]&gt;0.4,"Moderate Risk","Safe Job"))</f>
        <v>Moderate Risk</v>
      </c>
    </row>
    <row r="1281" spans="1:24" x14ac:dyDescent="0.3">
      <c r="A1281">
        <v>4542</v>
      </c>
      <c r="B1281" t="s">
        <v>26</v>
      </c>
      <c r="C1281" t="s">
        <v>34</v>
      </c>
      <c r="D1281" t="s">
        <v>28</v>
      </c>
      <c r="E1281" s="1">
        <v>2026</v>
      </c>
      <c r="F1281" s="11">
        <v>0.3155</v>
      </c>
      <c r="G1281">
        <v>35.67</v>
      </c>
      <c r="H1281">
        <v>71.680000000000007</v>
      </c>
      <c r="I1281" s="2">
        <v>139631.17000000001</v>
      </c>
      <c r="J1281" s="2">
        <v>139877.72</v>
      </c>
      <c r="K1281" s="2">
        <f>Table1[[#This Row],[Salary_after]]-Table1[[#This Row],[Salary_before]]</f>
        <v>246.54999999998836</v>
      </c>
      <c r="L1281" s="11">
        <v>1.8E-3</v>
      </c>
      <c r="M1281" s="11">
        <v>-3.1600000000000003E-2</v>
      </c>
      <c r="N1281">
        <v>73.61</v>
      </c>
      <c r="O1281">
        <v>20.75</v>
      </c>
      <c r="P1281">
        <v>3</v>
      </c>
      <c r="Q1281" t="s">
        <v>25</v>
      </c>
      <c r="R1281">
        <v>51.615000000000002</v>
      </c>
      <c r="S1281">
        <v>0.18</v>
      </c>
      <c r="T1281" s="4">
        <v>34.177999999999997</v>
      </c>
      <c r="U1281" s="4">
        <v>6.5466249999999997</v>
      </c>
      <c r="V1281" t="str">
        <f>IF(Table1[[#This Row],[ai_disruption_intensity]]&gt;70,"High",
IF(Table1[[#This Row],[ai_disruption_intensity]]&gt;40,"Medium","Low"))</f>
        <v>Low</v>
      </c>
      <c r="W1281" t="str">
        <f>IF(Table1[[#This Row],[skill_gap_index]]&gt;70,"Large Gap",
IF(Table1[[#This Row],[skill_gap_index]]&gt;40,"Medium Gap","Small Gap"))</f>
        <v>Large Gap</v>
      </c>
      <c r="X1281" s="3" t="str">
        <f>IF(Table1[[#This Row],[automation_risk_percent]]&gt;0.7,"Highly Automatable",
IF(Table1[[#This Row],[automation_risk_percent]]&gt;0.4,"Moderate Risk","Safe Job"))</f>
        <v>Safe Job</v>
      </c>
    </row>
    <row r="1282" spans="1:24" x14ac:dyDescent="0.3">
      <c r="A1282">
        <v>4547</v>
      </c>
      <c r="B1282" t="s">
        <v>46</v>
      </c>
      <c r="C1282" t="s">
        <v>27</v>
      </c>
      <c r="D1282" t="s">
        <v>28</v>
      </c>
      <c r="E1282" s="1">
        <v>2026</v>
      </c>
      <c r="F1282" s="11">
        <v>8.5900000000000004E-2</v>
      </c>
      <c r="G1282">
        <v>8.5</v>
      </c>
      <c r="H1282">
        <v>53.74</v>
      </c>
      <c r="I1282" s="2">
        <v>96569.89</v>
      </c>
      <c r="J1282" s="2">
        <v>97373.48</v>
      </c>
      <c r="K1282" s="2">
        <f>Table1[[#This Row],[Salary_after]]-Table1[[#This Row],[Salary_before]]</f>
        <v>803.58999999999651</v>
      </c>
      <c r="L1282" s="11">
        <v>8.3000000000000001E-3</v>
      </c>
      <c r="M1282" s="11">
        <v>0.2681</v>
      </c>
      <c r="N1282">
        <v>33.11</v>
      </c>
      <c r="O1282">
        <v>85.69</v>
      </c>
      <c r="P1282">
        <v>4</v>
      </c>
      <c r="Q1282" t="s">
        <v>21</v>
      </c>
      <c r="R1282">
        <v>31.164999999999999</v>
      </c>
      <c r="S1282">
        <v>0.83</v>
      </c>
      <c r="T1282" s="4">
        <v>19.806999999999999</v>
      </c>
      <c r="U1282" s="4">
        <v>7.3607709999999997</v>
      </c>
      <c r="V1282" t="str">
        <f>IF(Table1[[#This Row],[ai_disruption_intensity]]&gt;70,"High",
IF(Table1[[#This Row],[ai_disruption_intensity]]&gt;40,"Medium","Low"))</f>
        <v>Low</v>
      </c>
      <c r="W1282" t="str">
        <f>IF(Table1[[#This Row],[skill_gap_index]]&gt;70,"Large Gap",
IF(Table1[[#This Row],[skill_gap_index]]&gt;40,"Medium Gap","Small Gap"))</f>
        <v>Medium Gap</v>
      </c>
      <c r="X1282" s="3" t="str">
        <f>IF(Table1[[#This Row],[automation_risk_percent]]&gt;0.7,"Highly Automatable",
IF(Table1[[#This Row],[automation_risk_percent]]&gt;0.4,"Moderate Risk","Safe Job"))</f>
        <v>Safe Job</v>
      </c>
    </row>
    <row r="1283" spans="1:24" x14ac:dyDescent="0.3">
      <c r="A1283">
        <v>4556</v>
      </c>
      <c r="B1283" t="s">
        <v>45</v>
      </c>
      <c r="C1283" t="s">
        <v>23</v>
      </c>
      <c r="D1283" t="s">
        <v>36</v>
      </c>
      <c r="E1283" s="1">
        <v>2026</v>
      </c>
      <c r="F1283" s="11">
        <v>0.317</v>
      </c>
      <c r="G1283">
        <v>30.26</v>
      </c>
      <c r="H1283">
        <v>38.79</v>
      </c>
      <c r="I1283" s="2">
        <v>118101.46</v>
      </c>
      <c r="J1283" s="2">
        <v>107169.19</v>
      </c>
      <c r="K1283" s="2">
        <f>Table1[[#This Row],[Salary_after]]-Table1[[#This Row],[Salary_before]]</f>
        <v>-10932.270000000004</v>
      </c>
      <c r="L1283" s="11">
        <v>-9.2600000000000002E-2</v>
      </c>
      <c r="M1283" s="11">
        <v>8.199999999999999E-3</v>
      </c>
      <c r="N1283">
        <v>77.239999999999995</v>
      </c>
      <c r="O1283">
        <v>45.8</v>
      </c>
      <c r="P1283">
        <v>2</v>
      </c>
      <c r="Q1283" t="s">
        <v>25</v>
      </c>
      <c r="R1283">
        <v>35.244999999999997</v>
      </c>
      <c r="S1283">
        <v>9.26</v>
      </c>
      <c r="T1283" s="4">
        <v>27.094999999999999</v>
      </c>
      <c r="U1283" s="4">
        <v>14.518599999999999</v>
      </c>
      <c r="V1283" t="str">
        <f>IF(Table1[[#This Row],[ai_disruption_intensity]]&gt;70,"High",
IF(Table1[[#This Row],[ai_disruption_intensity]]&gt;40,"Medium","Low"))</f>
        <v>Low</v>
      </c>
      <c r="W1283" t="str">
        <f>IF(Table1[[#This Row],[skill_gap_index]]&gt;70,"Large Gap",
IF(Table1[[#This Row],[skill_gap_index]]&gt;40,"Medium Gap","Small Gap"))</f>
        <v>Small Gap</v>
      </c>
      <c r="X1283" s="3" t="str">
        <f>IF(Table1[[#This Row],[automation_risk_percent]]&gt;0.7,"Highly Automatable",
IF(Table1[[#This Row],[automation_risk_percent]]&gt;0.4,"Moderate Risk","Safe Job"))</f>
        <v>Safe Job</v>
      </c>
    </row>
    <row r="1284" spans="1:24" x14ac:dyDescent="0.3">
      <c r="A1284">
        <v>4557</v>
      </c>
      <c r="B1284" t="s">
        <v>46</v>
      </c>
      <c r="C1284" t="s">
        <v>27</v>
      </c>
      <c r="D1284" t="s">
        <v>42</v>
      </c>
      <c r="E1284" s="1">
        <v>2026</v>
      </c>
      <c r="F1284" s="11">
        <v>5.3699999999999998E-2</v>
      </c>
      <c r="G1284">
        <v>6</v>
      </c>
      <c r="H1284">
        <v>58.53</v>
      </c>
      <c r="I1284" s="2">
        <v>88724.32</v>
      </c>
      <c r="J1284" s="2">
        <v>89289.47</v>
      </c>
      <c r="K1284" s="2">
        <f>Table1[[#This Row],[Salary_after]]-Table1[[#This Row],[Salary_before]]</f>
        <v>565.14999999999418</v>
      </c>
      <c r="L1284" s="11">
        <v>6.4000000000000003E-3</v>
      </c>
      <c r="M1284" s="11">
        <v>0.25569999999999998</v>
      </c>
      <c r="N1284">
        <v>68.36</v>
      </c>
      <c r="O1284">
        <v>86.75</v>
      </c>
      <c r="P1284">
        <v>3</v>
      </c>
      <c r="Q1284" t="s">
        <v>21</v>
      </c>
      <c r="R1284">
        <v>31.95</v>
      </c>
      <c r="S1284">
        <v>0.64</v>
      </c>
      <c r="T1284" s="4">
        <v>19.899000000000001</v>
      </c>
      <c r="U1284" s="4">
        <v>4.6584750000000001</v>
      </c>
      <c r="V1284" t="str">
        <f>IF(Table1[[#This Row],[ai_disruption_intensity]]&gt;70,"High",
IF(Table1[[#This Row],[ai_disruption_intensity]]&gt;40,"Medium","Low"))</f>
        <v>Low</v>
      </c>
      <c r="W1284" t="str">
        <f>IF(Table1[[#This Row],[skill_gap_index]]&gt;70,"Large Gap",
IF(Table1[[#This Row],[skill_gap_index]]&gt;40,"Medium Gap","Small Gap"))</f>
        <v>Medium Gap</v>
      </c>
      <c r="X1284" s="3" t="str">
        <f>IF(Table1[[#This Row],[automation_risk_percent]]&gt;0.7,"Highly Automatable",
IF(Table1[[#This Row],[automation_risk_percent]]&gt;0.4,"Moderate Risk","Safe Job"))</f>
        <v>Safe Job</v>
      </c>
    </row>
    <row r="1285" spans="1:24" x14ac:dyDescent="0.3">
      <c r="A1285">
        <v>4573</v>
      </c>
      <c r="B1285" t="s">
        <v>43</v>
      </c>
      <c r="C1285" t="s">
        <v>27</v>
      </c>
      <c r="D1285" t="s">
        <v>32</v>
      </c>
      <c r="E1285" s="1">
        <v>2026</v>
      </c>
      <c r="F1285" s="11">
        <v>0.53810000000000002</v>
      </c>
      <c r="G1285">
        <v>44.79</v>
      </c>
      <c r="H1285">
        <v>75.67</v>
      </c>
      <c r="I1285" s="2">
        <v>122207.86</v>
      </c>
      <c r="J1285" s="2">
        <v>129575.32</v>
      </c>
      <c r="K1285" s="2">
        <f>Table1[[#This Row],[Salary_after]]-Table1[[#This Row],[Salary_before]]</f>
        <v>7367.4600000000064</v>
      </c>
      <c r="L1285" s="11">
        <v>6.0299999999999999E-2</v>
      </c>
      <c r="M1285" s="11">
        <v>4.6600000000000003E-2</v>
      </c>
      <c r="N1285">
        <v>62.14</v>
      </c>
      <c r="O1285">
        <v>69.52</v>
      </c>
      <c r="P1285">
        <v>2</v>
      </c>
      <c r="Q1285" t="s">
        <v>25</v>
      </c>
      <c r="R1285">
        <v>64.739999999999995</v>
      </c>
      <c r="S1285">
        <v>6.03</v>
      </c>
      <c r="T1285" s="4">
        <v>46.033999999999999</v>
      </c>
      <c r="U1285" s="4">
        <v>37.408712000000001</v>
      </c>
      <c r="V1285" t="str">
        <f>IF(Table1[[#This Row],[ai_disruption_intensity]]&gt;70,"High",
IF(Table1[[#This Row],[ai_disruption_intensity]]&gt;40,"Medium","Low"))</f>
        <v>Low</v>
      </c>
      <c r="W1285" t="str">
        <f>IF(Table1[[#This Row],[skill_gap_index]]&gt;70,"Large Gap",
IF(Table1[[#This Row],[skill_gap_index]]&gt;40,"Medium Gap","Small Gap"))</f>
        <v>Large Gap</v>
      </c>
      <c r="X1285" s="3" t="str">
        <f>IF(Table1[[#This Row],[automation_risk_percent]]&gt;0.7,"Highly Automatable",
IF(Table1[[#This Row],[automation_risk_percent]]&gt;0.4,"Moderate Risk","Safe Job"))</f>
        <v>Moderate Risk</v>
      </c>
    </row>
    <row r="1286" spans="1:24" x14ac:dyDescent="0.3">
      <c r="A1286">
        <v>4581</v>
      </c>
      <c r="B1286" t="s">
        <v>29</v>
      </c>
      <c r="C1286" t="s">
        <v>30</v>
      </c>
      <c r="D1286" t="s">
        <v>32</v>
      </c>
      <c r="E1286" s="1">
        <v>2025</v>
      </c>
      <c r="F1286" s="11">
        <v>0.62020000000000008</v>
      </c>
      <c r="G1286">
        <v>53.76</v>
      </c>
      <c r="H1286">
        <v>44.5</v>
      </c>
      <c r="I1286" s="2">
        <v>140921.44</v>
      </c>
      <c r="J1286" s="2">
        <v>158651.71</v>
      </c>
      <c r="K1286" s="2">
        <f>Table1[[#This Row],[Salary_after]]-Table1[[#This Row],[Salary_before]]</f>
        <v>17730.26999999999</v>
      </c>
      <c r="L1286" s="11">
        <v>0.1258</v>
      </c>
      <c r="M1286" s="11">
        <v>0.1366</v>
      </c>
      <c r="N1286">
        <v>80.73</v>
      </c>
      <c r="O1286">
        <v>9.07</v>
      </c>
      <c r="P1286">
        <v>5</v>
      </c>
      <c r="Q1286" t="s">
        <v>37</v>
      </c>
      <c r="R1286">
        <v>53.26</v>
      </c>
      <c r="S1286">
        <v>12.58</v>
      </c>
      <c r="T1286" s="4">
        <v>41.932000000000002</v>
      </c>
      <c r="U1286" s="4">
        <v>5.6252139999999997</v>
      </c>
      <c r="V1286" t="str">
        <f>IF(Table1[[#This Row],[ai_disruption_intensity]]&gt;70,"High",
IF(Table1[[#This Row],[ai_disruption_intensity]]&gt;40,"Medium","Low"))</f>
        <v>Low</v>
      </c>
      <c r="W1286" t="str">
        <f>IF(Table1[[#This Row],[skill_gap_index]]&gt;70,"Large Gap",
IF(Table1[[#This Row],[skill_gap_index]]&gt;40,"Medium Gap","Small Gap"))</f>
        <v>Medium Gap</v>
      </c>
      <c r="X1286" s="3" t="str">
        <f>IF(Table1[[#This Row],[automation_risk_percent]]&gt;0.7,"Highly Automatable",
IF(Table1[[#This Row],[automation_risk_percent]]&gt;0.4,"Moderate Risk","Safe Job"))</f>
        <v>Moderate Risk</v>
      </c>
    </row>
    <row r="1287" spans="1:24" x14ac:dyDescent="0.3">
      <c r="A1287">
        <v>4583</v>
      </c>
      <c r="B1287" t="s">
        <v>44</v>
      </c>
      <c r="C1287" t="s">
        <v>30</v>
      </c>
      <c r="D1287" t="s">
        <v>31</v>
      </c>
      <c r="E1287" s="1">
        <v>2025</v>
      </c>
      <c r="F1287" s="11">
        <v>0.13400000000000001</v>
      </c>
      <c r="G1287">
        <v>13.2</v>
      </c>
      <c r="H1287">
        <v>76.59</v>
      </c>
      <c r="I1287" s="2">
        <v>32658.32</v>
      </c>
      <c r="J1287" s="2">
        <v>33753.129999999997</v>
      </c>
      <c r="K1287" s="2">
        <f>Table1[[#This Row],[Salary_after]]-Table1[[#This Row],[Salary_before]]</f>
        <v>1094.8099999999977</v>
      </c>
      <c r="L1287" s="11">
        <v>3.3500000000000002E-2</v>
      </c>
      <c r="M1287" s="11">
        <v>-9.0000000000000011E-3</v>
      </c>
      <c r="N1287">
        <v>63.42</v>
      </c>
      <c r="O1287">
        <v>71.52</v>
      </c>
      <c r="P1287">
        <v>4</v>
      </c>
      <c r="Q1287" t="s">
        <v>21</v>
      </c>
      <c r="R1287">
        <v>44.994999999999997</v>
      </c>
      <c r="S1287">
        <v>3.35</v>
      </c>
      <c r="T1287" s="4">
        <v>29.341999999999999</v>
      </c>
      <c r="U1287" s="4">
        <v>9.5836799999999993</v>
      </c>
      <c r="V1287" t="str">
        <f>IF(Table1[[#This Row],[ai_disruption_intensity]]&gt;70,"High",
IF(Table1[[#This Row],[ai_disruption_intensity]]&gt;40,"Medium","Low"))</f>
        <v>Low</v>
      </c>
      <c r="W1287" t="str">
        <f>IF(Table1[[#This Row],[skill_gap_index]]&gt;70,"Large Gap",
IF(Table1[[#This Row],[skill_gap_index]]&gt;40,"Medium Gap","Small Gap"))</f>
        <v>Large Gap</v>
      </c>
      <c r="X1287" s="3" t="str">
        <f>IF(Table1[[#This Row],[automation_risk_percent]]&gt;0.7,"Highly Automatable",
IF(Table1[[#This Row],[automation_risk_percent]]&gt;0.4,"Moderate Risk","Safe Job"))</f>
        <v>Safe Job</v>
      </c>
    </row>
    <row r="1288" spans="1:24" x14ac:dyDescent="0.3">
      <c r="A1288">
        <v>4585</v>
      </c>
      <c r="B1288" t="s">
        <v>43</v>
      </c>
      <c r="C1288" t="s">
        <v>19</v>
      </c>
      <c r="D1288" t="s">
        <v>28</v>
      </c>
      <c r="E1288" s="1">
        <v>2025</v>
      </c>
      <c r="F1288" s="11">
        <v>0.48359999999999997</v>
      </c>
      <c r="G1288">
        <v>50.44</v>
      </c>
      <c r="H1288">
        <v>61.83</v>
      </c>
      <c r="I1288" s="2">
        <v>90023.679999999993</v>
      </c>
      <c r="J1288" s="2">
        <v>97322.62</v>
      </c>
      <c r="K1288" s="2">
        <f>Table1[[#This Row],[Salary_after]]-Table1[[#This Row],[Salary_before]]</f>
        <v>7298.9400000000023</v>
      </c>
      <c r="L1288" s="11">
        <v>8.1099999999999992E-2</v>
      </c>
      <c r="M1288" s="11">
        <v>4.8799999999999996E-2</v>
      </c>
      <c r="N1288">
        <v>58.05</v>
      </c>
      <c r="O1288">
        <v>61.73</v>
      </c>
      <c r="P1288">
        <v>5</v>
      </c>
      <c r="Q1288" t="s">
        <v>25</v>
      </c>
      <c r="R1288">
        <v>55.094999999999999</v>
      </c>
      <c r="S1288">
        <v>8.11</v>
      </c>
      <c r="T1288" s="4">
        <v>40.326000000000001</v>
      </c>
      <c r="U1288" s="4">
        <v>29.852627999999999</v>
      </c>
      <c r="V1288" t="str">
        <f>IF(Table1[[#This Row],[ai_disruption_intensity]]&gt;70,"High",
IF(Table1[[#This Row],[ai_disruption_intensity]]&gt;40,"Medium","Low"))</f>
        <v>Low</v>
      </c>
      <c r="W1288" t="str">
        <f>IF(Table1[[#This Row],[skill_gap_index]]&gt;70,"Large Gap",
IF(Table1[[#This Row],[skill_gap_index]]&gt;40,"Medium Gap","Small Gap"))</f>
        <v>Medium Gap</v>
      </c>
      <c r="X1288" s="3" t="str">
        <f>IF(Table1[[#This Row],[automation_risk_percent]]&gt;0.7,"Highly Automatable",
IF(Table1[[#This Row],[automation_risk_percent]]&gt;0.4,"Moderate Risk","Safe Job"))</f>
        <v>Moderate Risk</v>
      </c>
    </row>
    <row r="1289" spans="1:24" x14ac:dyDescent="0.3">
      <c r="A1289">
        <v>4594</v>
      </c>
      <c r="B1289" t="s">
        <v>39</v>
      </c>
      <c r="C1289" t="s">
        <v>34</v>
      </c>
      <c r="D1289" t="s">
        <v>47</v>
      </c>
      <c r="E1289" s="1">
        <v>2026</v>
      </c>
      <c r="F1289" s="11">
        <v>0.28570000000000001</v>
      </c>
      <c r="G1289">
        <v>26.44</v>
      </c>
      <c r="H1289">
        <v>79.7</v>
      </c>
      <c r="I1289" s="2">
        <v>55282.96</v>
      </c>
      <c r="J1289" s="2">
        <v>47701.09</v>
      </c>
      <c r="K1289" s="2">
        <f>Table1[[#This Row],[Salary_after]]-Table1[[#This Row],[Salary_before]]</f>
        <v>-7581.8700000000026</v>
      </c>
      <c r="L1289" s="11">
        <v>-0.1371</v>
      </c>
      <c r="M1289" s="11">
        <v>7.8700000000000006E-2</v>
      </c>
      <c r="N1289">
        <v>35.65</v>
      </c>
      <c r="O1289">
        <v>23.55</v>
      </c>
      <c r="P1289">
        <v>2</v>
      </c>
      <c r="Q1289" t="s">
        <v>21</v>
      </c>
      <c r="R1289">
        <v>54.134999999999998</v>
      </c>
      <c r="S1289">
        <v>13.71</v>
      </c>
      <c r="T1289" s="4">
        <v>39.451000000000001</v>
      </c>
      <c r="U1289" s="4">
        <v>6.7282349999999997</v>
      </c>
      <c r="V1289" t="str">
        <f>IF(Table1[[#This Row],[ai_disruption_intensity]]&gt;70,"High",
IF(Table1[[#This Row],[ai_disruption_intensity]]&gt;40,"Medium","Low"))</f>
        <v>Low</v>
      </c>
      <c r="W1289" t="str">
        <f>IF(Table1[[#This Row],[skill_gap_index]]&gt;70,"Large Gap",
IF(Table1[[#This Row],[skill_gap_index]]&gt;40,"Medium Gap","Small Gap"))</f>
        <v>Large Gap</v>
      </c>
      <c r="X1289" s="3" t="str">
        <f>IF(Table1[[#This Row],[automation_risk_percent]]&gt;0.7,"Highly Automatable",
IF(Table1[[#This Row],[automation_risk_percent]]&gt;0.4,"Moderate Risk","Safe Job"))</f>
        <v>Safe Job</v>
      </c>
    </row>
    <row r="1290" spans="1:24" x14ac:dyDescent="0.3">
      <c r="A1290">
        <v>4595</v>
      </c>
      <c r="B1290" t="s">
        <v>22</v>
      </c>
      <c r="C1290" t="s">
        <v>40</v>
      </c>
      <c r="D1290" t="s">
        <v>28</v>
      </c>
      <c r="E1290" s="1">
        <v>2025</v>
      </c>
      <c r="F1290" s="11">
        <v>0.55149999999999999</v>
      </c>
      <c r="G1290">
        <v>55.74</v>
      </c>
      <c r="H1290">
        <v>72.13</v>
      </c>
      <c r="I1290" s="2">
        <v>56393.21</v>
      </c>
      <c r="J1290" s="2">
        <v>54629.73</v>
      </c>
      <c r="K1290" s="2">
        <f>Table1[[#This Row],[Salary_after]]-Table1[[#This Row],[Salary_before]]</f>
        <v>-1763.4799999999959</v>
      </c>
      <c r="L1290" s="11">
        <v>-3.1300000000000001E-2</v>
      </c>
      <c r="M1290" s="11">
        <v>2.5000000000000001E-3</v>
      </c>
      <c r="N1290">
        <v>37.51</v>
      </c>
      <c r="O1290">
        <v>74.680000000000007</v>
      </c>
      <c r="P1290">
        <v>3</v>
      </c>
      <c r="Q1290" t="s">
        <v>25</v>
      </c>
      <c r="R1290">
        <v>63.64</v>
      </c>
      <c r="S1290">
        <v>3.13</v>
      </c>
      <c r="T1290" s="4">
        <v>44.637999999999998</v>
      </c>
      <c r="U1290" s="4">
        <v>41.186019999999999</v>
      </c>
      <c r="V1290" t="str">
        <f>IF(Table1[[#This Row],[ai_disruption_intensity]]&gt;70,"High",
IF(Table1[[#This Row],[ai_disruption_intensity]]&gt;40,"Medium","Low"))</f>
        <v>Medium</v>
      </c>
      <c r="W1290" t="str">
        <f>IF(Table1[[#This Row],[skill_gap_index]]&gt;70,"Large Gap",
IF(Table1[[#This Row],[skill_gap_index]]&gt;40,"Medium Gap","Small Gap"))</f>
        <v>Large Gap</v>
      </c>
      <c r="X1290" s="3" t="str">
        <f>IF(Table1[[#This Row],[automation_risk_percent]]&gt;0.7,"Highly Automatable",
IF(Table1[[#This Row],[automation_risk_percent]]&gt;0.4,"Moderate Risk","Safe Job"))</f>
        <v>Moderate Risk</v>
      </c>
    </row>
    <row r="1291" spans="1:24" x14ac:dyDescent="0.3">
      <c r="A1291">
        <v>4608</v>
      </c>
      <c r="B1291" t="s">
        <v>39</v>
      </c>
      <c r="C1291" t="s">
        <v>34</v>
      </c>
      <c r="D1291" t="s">
        <v>42</v>
      </c>
      <c r="E1291" s="1">
        <v>2026</v>
      </c>
      <c r="F1291" s="11">
        <v>0.35049999999999998</v>
      </c>
      <c r="G1291">
        <v>38.17</v>
      </c>
      <c r="H1291">
        <v>1.69</v>
      </c>
      <c r="I1291" s="2">
        <v>106951.71</v>
      </c>
      <c r="J1291" s="2">
        <v>99258.48</v>
      </c>
      <c r="K1291" s="2">
        <f>Table1[[#This Row],[Salary_after]]-Table1[[#This Row],[Salary_before]]</f>
        <v>-7693.2300000000105</v>
      </c>
      <c r="L1291" s="11">
        <v>-7.1900000000000006E-2</v>
      </c>
      <c r="M1291" s="11">
        <v>0.16600000000000001</v>
      </c>
      <c r="N1291">
        <v>16.86</v>
      </c>
      <c r="O1291">
        <v>81.91</v>
      </c>
      <c r="P1291">
        <v>5</v>
      </c>
      <c r="Q1291" t="s">
        <v>25</v>
      </c>
      <c r="R1291">
        <v>18.369999999999902</v>
      </c>
      <c r="S1291">
        <v>7.19</v>
      </c>
      <c r="T1291" s="4">
        <v>16.683999999999902</v>
      </c>
      <c r="U1291" s="4">
        <v>28.709454999999998</v>
      </c>
      <c r="V1291" t="str">
        <f>IF(Table1[[#This Row],[ai_disruption_intensity]]&gt;70,"High",
IF(Table1[[#This Row],[ai_disruption_intensity]]&gt;40,"Medium","Low"))</f>
        <v>Low</v>
      </c>
      <c r="W1291" t="str">
        <f>IF(Table1[[#This Row],[skill_gap_index]]&gt;70,"Large Gap",
IF(Table1[[#This Row],[skill_gap_index]]&gt;40,"Medium Gap","Small Gap"))</f>
        <v>Small Gap</v>
      </c>
      <c r="X1291" s="3" t="str">
        <f>IF(Table1[[#This Row],[automation_risk_percent]]&gt;0.7,"Highly Automatable",
IF(Table1[[#This Row],[automation_risk_percent]]&gt;0.4,"Moderate Risk","Safe Job"))</f>
        <v>Safe Job</v>
      </c>
    </row>
    <row r="1292" spans="1:24" x14ac:dyDescent="0.3">
      <c r="A1292">
        <v>4632</v>
      </c>
      <c r="B1292" t="s">
        <v>45</v>
      </c>
      <c r="C1292" t="s">
        <v>23</v>
      </c>
      <c r="D1292" t="s">
        <v>36</v>
      </c>
      <c r="E1292" s="1">
        <v>2026</v>
      </c>
      <c r="F1292" s="11">
        <v>0.1623</v>
      </c>
      <c r="G1292">
        <v>13.21</v>
      </c>
      <c r="H1292">
        <v>86.46</v>
      </c>
      <c r="I1292" s="2">
        <v>67595.070000000007</v>
      </c>
      <c r="J1292" s="2">
        <v>62288.67</v>
      </c>
      <c r="K1292" s="2">
        <f>Table1[[#This Row],[Salary_after]]-Table1[[#This Row],[Salary_before]]</f>
        <v>-5306.4000000000087</v>
      </c>
      <c r="L1292" s="11">
        <v>-7.85E-2</v>
      </c>
      <c r="M1292" s="11">
        <v>-0.1603</v>
      </c>
      <c r="N1292">
        <v>86.44</v>
      </c>
      <c r="O1292">
        <v>1.42</v>
      </c>
      <c r="P1292">
        <v>5</v>
      </c>
      <c r="Q1292" t="s">
        <v>21</v>
      </c>
      <c r="R1292">
        <v>51.344999999999999</v>
      </c>
      <c r="S1292">
        <v>7.85</v>
      </c>
      <c r="T1292" s="4">
        <v>34.784999999999997</v>
      </c>
      <c r="U1292" s="4">
        <v>0.230465999999999</v>
      </c>
      <c r="V1292" t="str">
        <f>IF(Table1[[#This Row],[ai_disruption_intensity]]&gt;70,"High",
IF(Table1[[#This Row],[ai_disruption_intensity]]&gt;40,"Medium","Low"))</f>
        <v>Low</v>
      </c>
      <c r="W1292" t="str">
        <f>IF(Table1[[#This Row],[skill_gap_index]]&gt;70,"Large Gap",
IF(Table1[[#This Row],[skill_gap_index]]&gt;40,"Medium Gap","Small Gap"))</f>
        <v>Large Gap</v>
      </c>
      <c r="X1292" s="3" t="str">
        <f>IF(Table1[[#This Row],[automation_risk_percent]]&gt;0.7,"Highly Automatable",
IF(Table1[[#This Row],[automation_risk_percent]]&gt;0.4,"Moderate Risk","Safe Job"))</f>
        <v>Safe Job</v>
      </c>
    </row>
    <row r="1293" spans="1:24" x14ac:dyDescent="0.3">
      <c r="A1293">
        <v>4635</v>
      </c>
      <c r="B1293" t="s">
        <v>46</v>
      </c>
      <c r="C1293" t="s">
        <v>33</v>
      </c>
      <c r="D1293" t="s">
        <v>32</v>
      </c>
      <c r="E1293" s="1">
        <v>2026</v>
      </c>
      <c r="F1293" s="11">
        <v>0.1681</v>
      </c>
      <c r="G1293">
        <v>19.47</v>
      </c>
      <c r="H1293">
        <v>38.32</v>
      </c>
      <c r="I1293" s="2">
        <v>63934.46</v>
      </c>
      <c r="J1293" s="2">
        <v>68933.52</v>
      </c>
      <c r="K1293" s="2">
        <f>Table1[[#This Row],[Salary_after]]-Table1[[#This Row],[Salary_before]]</f>
        <v>4999.0600000000049</v>
      </c>
      <c r="L1293" s="11">
        <v>7.8200000000000006E-2</v>
      </c>
      <c r="M1293" s="11">
        <v>0.1757</v>
      </c>
      <c r="N1293">
        <v>92.84</v>
      </c>
      <c r="O1293">
        <v>83.2</v>
      </c>
      <c r="P1293">
        <v>1</v>
      </c>
      <c r="Q1293" t="s">
        <v>21</v>
      </c>
      <c r="R1293">
        <v>27.564999999999898</v>
      </c>
      <c r="S1293">
        <v>7.82</v>
      </c>
      <c r="T1293" s="4">
        <v>20.565999999999999</v>
      </c>
      <c r="U1293" s="4">
        <v>13.985919999999901</v>
      </c>
      <c r="V1293" t="str">
        <f>IF(Table1[[#This Row],[ai_disruption_intensity]]&gt;70,"High",
IF(Table1[[#This Row],[ai_disruption_intensity]]&gt;40,"Medium","Low"))</f>
        <v>Low</v>
      </c>
      <c r="W1293" t="str">
        <f>IF(Table1[[#This Row],[skill_gap_index]]&gt;70,"Large Gap",
IF(Table1[[#This Row],[skill_gap_index]]&gt;40,"Medium Gap","Small Gap"))</f>
        <v>Small Gap</v>
      </c>
      <c r="X1293" s="3" t="str">
        <f>IF(Table1[[#This Row],[automation_risk_percent]]&gt;0.7,"Highly Automatable",
IF(Table1[[#This Row],[automation_risk_percent]]&gt;0.4,"Moderate Risk","Safe Job"))</f>
        <v>Safe Job</v>
      </c>
    </row>
    <row r="1294" spans="1:24" x14ac:dyDescent="0.3">
      <c r="A1294">
        <v>4638</v>
      </c>
      <c r="B1294" t="s">
        <v>29</v>
      </c>
      <c r="C1294" t="s">
        <v>23</v>
      </c>
      <c r="D1294" t="s">
        <v>31</v>
      </c>
      <c r="E1294" s="1">
        <v>2025</v>
      </c>
      <c r="F1294" s="11">
        <v>0.57179999999999997</v>
      </c>
      <c r="G1294">
        <v>60.27</v>
      </c>
      <c r="H1294">
        <v>97.84</v>
      </c>
      <c r="I1294" s="2">
        <v>111922.73</v>
      </c>
      <c r="J1294" s="2">
        <v>122151</v>
      </c>
      <c r="K1294" s="2">
        <f>Table1[[#This Row],[Salary_after]]-Table1[[#This Row],[Salary_before]]</f>
        <v>10228.270000000004</v>
      </c>
      <c r="L1294" s="11">
        <v>9.1400000000000009E-2</v>
      </c>
      <c r="M1294" s="11">
        <v>6.9099999999999995E-2</v>
      </c>
      <c r="N1294">
        <v>43.97</v>
      </c>
      <c r="O1294">
        <v>37.93</v>
      </c>
      <c r="P1294">
        <v>3</v>
      </c>
      <c r="Q1294" t="s">
        <v>25</v>
      </c>
      <c r="R1294">
        <v>77.510000000000005</v>
      </c>
      <c r="S1294">
        <v>9.14</v>
      </c>
      <c r="T1294" s="4">
        <v>54.966000000000001</v>
      </c>
      <c r="U1294" s="4">
        <v>21.688374</v>
      </c>
      <c r="V1294" t="str">
        <f>IF(Table1[[#This Row],[ai_disruption_intensity]]&gt;70,"High",
IF(Table1[[#This Row],[ai_disruption_intensity]]&gt;40,"Medium","Low"))</f>
        <v>Low</v>
      </c>
      <c r="W1294" t="str">
        <f>IF(Table1[[#This Row],[skill_gap_index]]&gt;70,"Large Gap",
IF(Table1[[#This Row],[skill_gap_index]]&gt;40,"Medium Gap","Small Gap"))</f>
        <v>Large Gap</v>
      </c>
      <c r="X1294" s="3" t="str">
        <f>IF(Table1[[#This Row],[automation_risk_percent]]&gt;0.7,"Highly Automatable",
IF(Table1[[#This Row],[automation_risk_percent]]&gt;0.4,"Moderate Risk","Safe Job"))</f>
        <v>Moderate Risk</v>
      </c>
    </row>
    <row r="1295" spans="1:24" x14ac:dyDescent="0.3">
      <c r="A1295">
        <v>4639</v>
      </c>
      <c r="B1295" t="s">
        <v>45</v>
      </c>
      <c r="C1295" t="s">
        <v>33</v>
      </c>
      <c r="D1295" t="s">
        <v>42</v>
      </c>
      <c r="E1295" s="1">
        <v>2025</v>
      </c>
      <c r="F1295" s="11">
        <v>0.64670000000000005</v>
      </c>
      <c r="G1295">
        <v>55.21</v>
      </c>
      <c r="H1295">
        <v>30.58</v>
      </c>
      <c r="I1295" s="2">
        <v>103028.69</v>
      </c>
      <c r="J1295" s="2">
        <v>109753.35</v>
      </c>
      <c r="K1295" s="2">
        <f>Table1[[#This Row],[Salary_after]]-Table1[[#This Row],[Salary_before]]</f>
        <v>6724.6600000000035</v>
      </c>
      <c r="L1295" s="11">
        <v>6.5299999999999997E-2</v>
      </c>
      <c r="M1295" s="11">
        <v>3.8199999999999998E-2</v>
      </c>
      <c r="N1295">
        <v>96.27</v>
      </c>
      <c r="O1295">
        <v>50.26</v>
      </c>
      <c r="P1295">
        <v>1</v>
      </c>
      <c r="Q1295" t="s">
        <v>37</v>
      </c>
      <c r="R1295">
        <v>47.625</v>
      </c>
      <c r="S1295">
        <v>6.53</v>
      </c>
      <c r="T1295" s="4">
        <v>37.000999999999998</v>
      </c>
      <c r="U1295" s="4">
        <v>32.503141999999997</v>
      </c>
      <c r="V1295" t="str">
        <f>IF(Table1[[#This Row],[ai_disruption_intensity]]&gt;70,"High",
IF(Table1[[#This Row],[ai_disruption_intensity]]&gt;40,"Medium","Low"))</f>
        <v>Low</v>
      </c>
      <c r="W1295" t="str">
        <f>IF(Table1[[#This Row],[skill_gap_index]]&gt;70,"Large Gap",
IF(Table1[[#This Row],[skill_gap_index]]&gt;40,"Medium Gap","Small Gap"))</f>
        <v>Small Gap</v>
      </c>
      <c r="X1295" s="3" t="str">
        <f>IF(Table1[[#This Row],[automation_risk_percent]]&gt;0.7,"Highly Automatable",
IF(Table1[[#This Row],[automation_risk_percent]]&gt;0.4,"Moderate Risk","Safe Job"))</f>
        <v>Moderate Risk</v>
      </c>
    </row>
    <row r="1296" spans="1:24" x14ac:dyDescent="0.3">
      <c r="A1296">
        <v>4640</v>
      </c>
      <c r="B1296" t="s">
        <v>39</v>
      </c>
      <c r="C1296" t="s">
        <v>34</v>
      </c>
      <c r="D1296" t="s">
        <v>32</v>
      </c>
      <c r="E1296" s="1">
        <v>2025</v>
      </c>
      <c r="F1296" s="11">
        <v>0.47729999999999995</v>
      </c>
      <c r="G1296">
        <v>52.02</v>
      </c>
      <c r="H1296">
        <v>45.73</v>
      </c>
      <c r="I1296" s="2">
        <v>52811.82</v>
      </c>
      <c r="J1296" s="2">
        <v>57312.09</v>
      </c>
      <c r="K1296" s="2">
        <f>Table1[[#This Row],[Salary_after]]-Table1[[#This Row],[Salary_before]]</f>
        <v>4500.2699999999968</v>
      </c>
      <c r="L1296" s="11">
        <v>8.5199999999999998E-2</v>
      </c>
      <c r="M1296" s="11">
        <v>0.13849999999999998</v>
      </c>
      <c r="N1296">
        <v>32.049999999999997</v>
      </c>
      <c r="O1296">
        <v>83.29</v>
      </c>
      <c r="P1296">
        <v>4</v>
      </c>
      <c r="Q1296" t="s">
        <v>25</v>
      </c>
      <c r="R1296">
        <v>46.73</v>
      </c>
      <c r="S1296">
        <v>8.52</v>
      </c>
      <c r="T1296" s="4">
        <v>35.366999999999997</v>
      </c>
      <c r="U1296" s="4">
        <v>39.754317</v>
      </c>
      <c r="V1296" t="str">
        <f>IF(Table1[[#This Row],[ai_disruption_intensity]]&gt;70,"High",
IF(Table1[[#This Row],[ai_disruption_intensity]]&gt;40,"Medium","Low"))</f>
        <v>Low</v>
      </c>
      <c r="W1296" t="str">
        <f>IF(Table1[[#This Row],[skill_gap_index]]&gt;70,"Large Gap",
IF(Table1[[#This Row],[skill_gap_index]]&gt;40,"Medium Gap","Small Gap"))</f>
        <v>Medium Gap</v>
      </c>
      <c r="X1296" s="3" t="str">
        <f>IF(Table1[[#This Row],[automation_risk_percent]]&gt;0.7,"Highly Automatable",
IF(Table1[[#This Row],[automation_risk_percent]]&gt;0.4,"Moderate Risk","Safe Job"))</f>
        <v>Moderate Risk</v>
      </c>
    </row>
    <row r="1297" spans="1:24" x14ac:dyDescent="0.3">
      <c r="A1297">
        <v>4644</v>
      </c>
      <c r="B1297" t="s">
        <v>39</v>
      </c>
      <c r="C1297" t="s">
        <v>30</v>
      </c>
      <c r="D1297" t="s">
        <v>24</v>
      </c>
      <c r="E1297" s="1">
        <v>2025</v>
      </c>
      <c r="F1297" s="11">
        <v>0.30459999999999998</v>
      </c>
      <c r="G1297">
        <v>28.71</v>
      </c>
      <c r="H1297">
        <v>45.82</v>
      </c>
      <c r="I1297" s="2">
        <v>111584.31</v>
      </c>
      <c r="J1297" s="2">
        <v>137374.82999999999</v>
      </c>
      <c r="K1297" s="2">
        <f>Table1[[#This Row],[Salary_after]]-Table1[[#This Row],[Salary_before]]</f>
        <v>25790.51999999999</v>
      </c>
      <c r="L1297" s="11">
        <v>0.2311</v>
      </c>
      <c r="M1297" s="11">
        <v>-4.9500000000000002E-2</v>
      </c>
      <c r="N1297">
        <v>63.62</v>
      </c>
      <c r="O1297">
        <v>37.33</v>
      </c>
      <c r="P1297">
        <v>4</v>
      </c>
      <c r="Q1297" t="s">
        <v>25</v>
      </c>
      <c r="R1297">
        <v>38.14</v>
      </c>
      <c r="S1297">
        <v>23.11</v>
      </c>
      <c r="T1297" s="4">
        <v>32.863</v>
      </c>
      <c r="U1297" s="4">
        <v>11.370718</v>
      </c>
      <c r="V1297" t="str">
        <f>IF(Table1[[#This Row],[ai_disruption_intensity]]&gt;70,"High",
IF(Table1[[#This Row],[ai_disruption_intensity]]&gt;40,"Medium","Low"))</f>
        <v>Low</v>
      </c>
      <c r="W1297" t="str">
        <f>IF(Table1[[#This Row],[skill_gap_index]]&gt;70,"Large Gap",
IF(Table1[[#This Row],[skill_gap_index]]&gt;40,"Medium Gap","Small Gap"))</f>
        <v>Medium Gap</v>
      </c>
      <c r="X1297" s="3" t="str">
        <f>IF(Table1[[#This Row],[automation_risk_percent]]&gt;0.7,"Highly Automatable",
IF(Table1[[#This Row],[automation_risk_percent]]&gt;0.4,"Moderate Risk","Safe Job"))</f>
        <v>Safe Job</v>
      </c>
    </row>
    <row r="1298" spans="1:24" x14ac:dyDescent="0.3">
      <c r="A1298">
        <v>4649</v>
      </c>
      <c r="B1298" t="s">
        <v>41</v>
      </c>
      <c r="C1298" t="s">
        <v>34</v>
      </c>
      <c r="D1298" t="s">
        <v>36</v>
      </c>
      <c r="E1298" s="1">
        <v>2026</v>
      </c>
      <c r="F1298" s="11">
        <v>0.74099999999999999</v>
      </c>
      <c r="G1298">
        <v>85.58</v>
      </c>
      <c r="H1298">
        <v>79.55</v>
      </c>
      <c r="I1298" s="2">
        <v>88778.05</v>
      </c>
      <c r="J1298" s="2">
        <v>60339.37</v>
      </c>
      <c r="K1298" s="2">
        <f>Table1[[#This Row],[Salary_after]]-Table1[[#This Row],[Salary_before]]</f>
        <v>-28438.68</v>
      </c>
      <c r="L1298" s="11">
        <v>-0.32030000000000003</v>
      </c>
      <c r="M1298" s="11">
        <v>0.17430000000000001</v>
      </c>
      <c r="N1298">
        <v>40.98</v>
      </c>
      <c r="O1298">
        <v>57.81</v>
      </c>
      <c r="P1298">
        <v>4</v>
      </c>
      <c r="Q1298" t="s">
        <v>37</v>
      </c>
      <c r="R1298">
        <v>76.824999999999903</v>
      </c>
      <c r="S1298">
        <v>32.03</v>
      </c>
      <c r="T1298" s="4">
        <v>63.113999999999997</v>
      </c>
      <c r="U1298" s="4">
        <v>42.837209999999999</v>
      </c>
      <c r="V1298" t="str">
        <f>IF(Table1[[#This Row],[ai_disruption_intensity]]&gt;70,"High",
IF(Table1[[#This Row],[ai_disruption_intensity]]&gt;40,"Medium","Low"))</f>
        <v>Medium</v>
      </c>
      <c r="W1298" t="str">
        <f>IF(Table1[[#This Row],[skill_gap_index]]&gt;70,"Large Gap",
IF(Table1[[#This Row],[skill_gap_index]]&gt;40,"Medium Gap","Small Gap"))</f>
        <v>Large Gap</v>
      </c>
      <c r="X1298" s="3" t="str">
        <f>IF(Table1[[#This Row],[automation_risk_percent]]&gt;0.7,"Highly Automatable",
IF(Table1[[#This Row],[automation_risk_percent]]&gt;0.4,"Moderate Risk","Safe Job"))</f>
        <v>Highly Automatable</v>
      </c>
    </row>
    <row r="1299" spans="1:24" x14ac:dyDescent="0.3">
      <c r="A1299">
        <v>4652</v>
      </c>
      <c r="B1299" t="s">
        <v>29</v>
      </c>
      <c r="C1299" t="s">
        <v>33</v>
      </c>
      <c r="D1299" t="s">
        <v>20</v>
      </c>
      <c r="E1299" s="1">
        <v>2025</v>
      </c>
      <c r="F1299" s="11">
        <v>0.91480000000000006</v>
      </c>
      <c r="G1299">
        <v>85.18</v>
      </c>
      <c r="H1299">
        <v>61.21</v>
      </c>
      <c r="I1299" s="2">
        <v>137006.51</v>
      </c>
      <c r="J1299" s="2">
        <v>117378.93</v>
      </c>
      <c r="K1299" s="2">
        <f>Table1[[#This Row],[Salary_after]]-Table1[[#This Row],[Salary_before]]</f>
        <v>-19627.580000000016</v>
      </c>
      <c r="L1299" s="11">
        <v>-0.14330000000000001</v>
      </c>
      <c r="M1299" s="11">
        <v>0.1852</v>
      </c>
      <c r="N1299">
        <v>99.18</v>
      </c>
      <c r="O1299">
        <v>18.739999999999998</v>
      </c>
      <c r="P1299">
        <v>3</v>
      </c>
      <c r="Q1299" t="s">
        <v>37</v>
      </c>
      <c r="R1299">
        <v>76.344999999999999</v>
      </c>
      <c r="S1299">
        <v>14.33</v>
      </c>
      <c r="T1299" s="4">
        <v>59.253999999999998</v>
      </c>
      <c r="U1299" s="4">
        <v>17.143352</v>
      </c>
      <c r="V1299" t="str">
        <f>IF(Table1[[#This Row],[ai_disruption_intensity]]&gt;70,"High",
IF(Table1[[#This Row],[ai_disruption_intensity]]&gt;40,"Medium","Low"))</f>
        <v>Low</v>
      </c>
      <c r="W1299" t="str">
        <f>IF(Table1[[#This Row],[skill_gap_index]]&gt;70,"Large Gap",
IF(Table1[[#This Row],[skill_gap_index]]&gt;40,"Medium Gap","Small Gap"))</f>
        <v>Medium Gap</v>
      </c>
      <c r="X1299" s="3" t="str">
        <f>IF(Table1[[#This Row],[automation_risk_percent]]&gt;0.7,"Highly Automatable",
IF(Table1[[#This Row],[automation_risk_percent]]&gt;0.4,"Moderate Risk","Safe Job"))</f>
        <v>Highly Automatable</v>
      </c>
    </row>
    <row r="1300" spans="1:24" x14ac:dyDescent="0.3">
      <c r="A1300">
        <v>4658</v>
      </c>
      <c r="B1300" t="s">
        <v>18</v>
      </c>
      <c r="C1300" t="s">
        <v>33</v>
      </c>
      <c r="D1300" t="s">
        <v>32</v>
      </c>
      <c r="E1300" s="1">
        <v>2026</v>
      </c>
      <c r="F1300" s="11">
        <v>0.41389999999999999</v>
      </c>
      <c r="G1300">
        <v>36.130000000000003</v>
      </c>
      <c r="H1300">
        <v>0.77</v>
      </c>
      <c r="I1300" s="2">
        <v>67426.490000000005</v>
      </c>
      <c r="J1300" s="2">
        <v>67244.320000000007</v>
      </c>
      <c r="K1300" s="2">
        <f>Table1[[#This Row],[Salary_after]]-Table1[[#This Row],[Salary_before]]</f>
        <v>-182.16999999999825</v>
      </c>
      <c r="L1300" s="11">
        <v>-2.7000000000000001E-3</v>
      </c>
      <c r="M1300" s="11">
        <v>-1.7899999999999999E-2</v>
      </c>
      <c r="N1300">
        <v>83.96</v>
      </c>
      <c r="O1300">
        <v>28.54</v>
      </c>
      <c r="P1300">
        <v>5</v>
      </c>
      <c r="Q1300" t="s">
        <v>25</v>
      </c>
      <c r="R1300">
        <v>21.08</v>
      </c>
      <c r="S1300">
        <v>0.27</v>
      </c>
      <c r="T1300" s="4">
        <v>16.867999999999999</v>
      </c>
      <c r="U1300" s="4">
        <v>11.812706</v>
      </c>
      <c r="V1300" t="str">
        <f>IF(Table1[[#This Row],[ai_disruption_intensity]]&gt;70,"High",
IF(Table1[[#This Row],[ai_disruption_intensity]]&gt;40,"Medium","Low"))</f>
        <v>Low</v>
      </c>
      <c r="W1300" t="str">
        <f>IF(Table1[[#This Row],[skill_gap_index]]&gt;70,"Large Gap",
IF(Table1[[#This Row],[skill_gap_index]]&gt;40,"Medium Gap","Small Gap"))</f>
        <v>Small Gap</v>
      </c>
      <c r="X1300" s="3" t="str">
        <f>IF(Table1[[#This Row],[automation_risk_percent]]&gt;0.7,"Highly Automatable",
IF(Table1[[#This Row],[automation_risk_percent]]&gt;0.4,"Moderate Risk","Safe Job"))</f>
        <v>Moderate Risk</v>
      </c>
    </row>
    <row r="1301" spans="1:24" x14ac:dyDescent="0.3">
      <c r="A1301">
        <v>4663</v>
      </c>
      <c r="B1301" t="s">
        <v>22</v>
      </c>
      <c r="C1301" t="s">
        <v>19</v>
      </c>
      <c r="D1301" t="s">
        <v>31</v>
      </c>
      <c r="E1301" s="1">
        <v>2026</v>
      </c>
      <c r="F1301" s="11">
        <v>0.69920000000000004</v>
      </c>
      <c r="G1301">
        <v>74.03</v>
      </c>
      <c r="H1301">
        <v>68.900000000000006</v>
      </c>
      <c r="I1301" s="2">
        <v>103013.02</v>
      </c>
      <c r="J1301" s="2">
        <v>96809.79</v>
      </c>
      <c r="K1301" s="2">
        <f>Table1[[#This Row],[Salary_after]]-Table1[[#This Row],[Salary_before]]</f>
        <v>-6203.2300000000105</v>
      </c>
      <c r="L1301" s="11">
        <v>-6.0199999999999997E-2</v>
      </c>
      <c r="M1301" s="11">
        <v>1.23E-2</v>
      </c>
      <c r="N1301">
        <v>53.71</v>
      </c>
      <c r="O1301">
        <v>9.6199999999999992</v>
      </c>
      <c r="P1301">
        <v>4</v>
      </c>
      <c r="Q1301" t="s">
        <v>37</v>
      </c>
      <c r="R1301">
        <v>69.41</v>
      </c>
      <c r="S1301">
        <v>6.02</v>
      </c>
      <c r="T1301" s="4">
        <v>50.444000000000003</v>
      </c>
      <c r="U1301" s="4">
        <v>6.7263039999999998</v>
      </c>
      <c r="V1301" t="str">
        <f>IF(Table1[[#This Row],[ai_disruption_intensity]]&gt;70,"High",
IF(Table1[[#This Row],[ai_disruption_intensity]]&gt;40,"Medium","Low"))</f>
        <v>Low</v>
      </c>
      <c r="W1301" t="str">
        <f>IF(Table1[[#This Row],[skill_gap_index]]&gt;70,"Large Gap",
IF(Table1[[#This Row],[skill_gap_index]]&gt;40,"Medium Gap","Small Gap"))</f>
        <v>Medium Gap</v>
      </c>
      <c r="X1301" s="3" t="str">
        <f>IF(Table1[[#This Row],[automation_risk_percent]]&gt;0.7,"Highly Automatable",
IF(Table1[[#This Row],[automation_risk_percent]]&gt;0.4,"Moderate Risk","Safe Job"))</f>
        <v>Moderate Risk</v>
      </c>
    </row>
    <row r="1302" spans="1:24" x14ac:dyDescent="0.3">
      <c r="A1302">
        <v>4670</v>
      </c>
      <c r="B1302" t="s">
        <v>44</v>
      </c>
      <c r="C1302" t="s">
        <v>30</v>
      </c>
      <c r="D1302" t="s">
        <v>35</v>
      </c>
      <c r="E1302" s="1">
        <v>2025</v>
      </c>
      <c r="F1302" s="11">
        <v>0.65560000000000007</v>
      </c>
      <c r="G1302">
        <v>69.11</v>
      </c>
      <c r="H1302">
        <v>44.17</v>
      </c>
      <c r="I1302" s="2">
        <v>59986.86</v>
      </c>
      <c r="J1302" s="2">
        <v>55986.23</v>
      </c>
      <c r="K1302" s="2">
        <f>Table1[[#This Row],[Salary_after]]-Table1[[#This Row],[Salary_before]]</f>
        <v>-4000.6299999999974</v>
      </c>
      <c r="L1302" s="11">
        <v>-6.6699999999999995E-2</v>
      </c>
      <c r="M1302" s="11">
        <v>0.1051</v>
      </c>
      <c r="N1302">
        <v>93.55</v>
      </c>
      <c r="O1302">
        <v>15.03</v>
      </c>
      <c r="P1302">
        <v>3</v>
      </c>
      <c r="Q1302" t="s">
        <v>37</v>
      </c>
      <c r="R1302">
        <v>54.865000000000002</v>
      </c>
      <c r="S1302">
        <v>6.67</v>
      </c>
      <c r="T1302" s="4">
        <v>41.475999999999999</v>
      </c>
      <c r="U1302" s="4">
        <v>9.8536680000000008</v>
      </c>
      <c r="V1302" t="str">
        <f>IF(Table1[[#This Row],[ai_disruption_intensity]]&gt;70,"High",
IF(Table1[[#This Row],[ai_disruption_intensity]]&gt;40,"Medium","Low"))</f>
        <v>Low</v>
      </c>
      <c r="W1302" t="str">
        <f>IF(Table1[[#This Row],[skill_gap_index]]&gt;70,"Large Gap",
IF(Table1[[#This Row],[skill_gap_index]]&gt;40,"Medium Gap","Small Gap"))</f>
        <v>Medium Gap</v>
      </c>
      <c r="X1302" s="3" t="str">
        <f>IF(Table1[[#This Row],[automation_risk_percent]]&gt;0.7,"Highly Automatable",
IF(Table1[[#This Row],[automation_risk_percent]]&gt;0.4,"Moderate Risk","Safe Job"))</f>
        <v>Moderate Risk</v>
      </c>
    </row>
    <row r="1303" spans="1:24" x14ac:dyDescent="0.3">
      <c r="A1303">
        <v>4676</v>
      </c>
      <c r="B1303" t="s">
        <v>39</v>
      </c>
      <c r="C1303" t="s">
        <v>23</v>
      </c>
      <c r="D1303" t="s">
        <v>31</v>
      </c>
      <c r="E1303" s="1">
        <v>2026</v>
      </c>
      <c r="F1303" s="11">
        <v>0.18010000000000001</v>
      </c>
      <c r="G1303">
        <v>14.67</v>
      </c>
      <c r="H1303">
        <v>91.02</v>
      </c>
      <c r="I1303" s="2">
        <v>102547.05</v>
      </c>
      <c r="J1303" s="2">
        <v>114936.46</v>
      </c>
      <c r="K1303" s="2">
        <f>Table1[[#This Row],[Salary_after]]-Table1[[#This Row],[Salary_before]]</f>
        <v>12389.410000000003</v>
      </c>
      <c r="L1303" s="11">
        <v>0.1208</v>
      </c>
      <c r="M1303" s="11">
        <v>-8.0000000000000002E-3</v>
      </c>
      <c r="N1303">
        <v>66.349999999999994</v>
      </c>
      <c r="O1303">
        <v>62.01</v>
      </c>
      <c r="P1303">
        <v>2</v>
      </c>
      <c r="Q1303" t="s">
        <v>21</v>
      </c>
      <c r="R1303">
        <v>54.515000000000001</v>
      </c>
      <c r="S1303">
        <v>12.08</v>
      </c>
      <c r="T1303" s="4">
        <v>38.134</v>
      </c>
      <c r="U1303" s="4">
        <v>11.168001</v>
      </c>
      <c r="V1303" t="str">
        <f>IF(Table1[[#This Row],[ai_disruption_intensity]]&gt;70,"High",
IF(Table1[[#This Row],[ai_disruption_intensity]]&gt;40,"Medium","Low"))</f>
        <v>Low</v>
      </c>
      <c r="W1303" t="str">
        <f>IF(Table1[[#This Row],[skill_gap_index]]&gt;70,"Large Gap",
IF(Table1[[#This Row],[skill_gap_index]]&gt;40,"Medium Gap","Small Gap"))</f>
        <v>Large Gap</v>
      </c>
      <c r="X1303" s="3" t="str">
        <f>IF(Table1[[#This Row],[automation_risk_percent]]&gt;0.7,"Highly Automatable",
IF(Table1[[#This Row],[automation_risk_percent]]&gt;0.4,"Moderate Risk","Safe Job"))</f>
        <v>Safe Job</v>
      </c>
    </row>
    <row r="1304" spans="1:24" x14ac:dyDescent="0.3">
      <c r="A1304">
        <v>4677</v>
      </c>
      <c r="B1304" t="s">
        <v>39</v>
      </c>
      <c r="C1304" t="s">
        <v>40</v>
      </c>
      <c r="D1304" t="s">
        <v>32</v>
      </c>
      <c r="E1304" s="1">
        <v>2026</v>
      </c>
      <c r="F1304" s="11">
        <v>0.44090000000000001</v>
      </c>
      <c r="G1304">
        <v>35.409999999999997</v>
      </c>
      <c r="H1304">
        <v>25.85</v>
      </c>
      <c r="I1304" s="2">
        <v>43089.2</v>
      </c>
      <c r="J1304" s="2">
        <v>37903.519999999997</v>
      </c>
      <c r="K1304" s="2">
        <f>Table1[[#This Row],[Salary_after]]-Table1[[#This Row],[Salary_before]]</f>
        <v>-5185.68</v>
      </c>
      <c r="L1304" s="11">
        <v>-0.12029999999999999</v>
      </c>
      <c r="M1304" s="11">
        <v>0.1278</v>
      </c>
      <c r="N1304">
        <v>50.51</v>
      </c>
      <c r="O1304">
        <v>35.340000000000003</v>
      </c>
      <c r="P1304">
        <v>4</v>
      </c>
      <c r="Q1304" t="s">
        <v>25</v>
      </c>
      <c r="R1304">
        <v>34.97</v>
      </c>
      <c r="S1304">
        <v>12.03</v>
      </c>
      <c r="T1304" s="4">
        <v>29</v>
      </c>
      <c r="U1304" s="4">
        <v>15.581405999999999</v>
      </c>
      <c r="V1304" t="str">
        <f>IF(Table1[[#This Row],[ai_disruption_intensity]]&gt;70,"High",
IF(Table1[[#This Row],[ai_disruption_intensity]]&gt;40,"Medium","Low"))</f>
        <v>Low</v>
      </c>
      <c r="W1304" t="str">
        <f>IF(Table1[[#This Row],[skill_gap_index]]&gt;70,"Large Gap",
IF(Table1[[#This Row],[skill_gap_index]]&gt;40,"Medium Gap","Small Gap"))</f>
        <v>Small Gap</v>
      </c>
      <c r="X1304" s="3" t="str">
        <f>IF(Table1[[#This Row],[automation_risk_percent]]&gt;0.7,"Highly Automatable",
IF(Table1[[#This Row],[automation_risk_percent]]&gt;0.4,"Moderate Risk","Safe Job"))</f>
        <v>Moderate Risk</v>
      </c>
    </row>
    <row r="1305" spans="1:24" x14ac:dyDescent="0.3">
      <c r="A1305">
        <v>4679</v>
      </c>
      <c r="B1305" t="s">
        <v>43</v>
      </c>
      <c r="C1305" t="s">
        <v>30</v>
      </c>
      <c r="D1305" t="s">
        <v>31</v>
      </c>
      <c r="E1305" s="1">
        <v>2026</v>
      </c>
      <c r="F1305" s="11">
        <v>0.19260000000000002</v>
      </c>
      <c r="G1305">
        <v>22.27</v>
      </c>
      <c r="H1305">
        <v>89.78</v>
      </c>
      <c r="I1305" s="2">
        <v>85909.46</v>
      </c>
      <c r="J1305" s="2">
        <v>89136.1</v>
      </c>
      <c r="K1305" s="2">
        <f>Table1[[#This Row],[Salary_after]]-Table1[[#This Row],[Salary_before]]</f>
        <v>3226.6399999999994</v>
      </c>
      <c r="L1305" s="11">
        <v>3.7599999999999995E-2</v>
      </c>
      <c r="M1305" s="11">
        <v>0.13300000000000001</v>
      </c>
      <c r="N1305">
        <v>26.65</v>
      </c>
      <c r="O1305">
        <v>32.9</v>
      </c>
      <c r="P1305">
        <v>4</v>
      </c>
      <c r="Q1305" t="s">
        <v>21</v>
      </c>
      <c r="R1305">
        <v>54.52</v>
      </c>
      <c r="S1305">
        <v>3.76</v>
      </c>
      <c r="T1305" s="4">
        <v>35.765999999999998</v>
      </c>
      <c r="U1305" s="4">
        <v>6.3365400000000003</v>
      </c>
      <c r="V1305" t="str">
        <f>IF(Table1[[#This Row],[ai_disruption_intensity]]&gt;70,"High",
IF(Table1[[#This Row],[ai_disruption_intensity]]&gt;40,"Medium","Low"))</f>
        <v>Low</v>
      </c>
      <c r="W1305" t="str">
        <f>IF(Table1[[#This Row],[skill_gap_index]]&gt;70,"Large Gap",
IF(Table1[[#This Row],[skill_gap_index]]&gt;40,"Medium Gap","Small Gap"))</f>
        <v>Large Gap</v>
      </c>
      <c r="X1305" s="3" t="str">
        <f>IF(Table1[[#This Row],[automation_risk_percent]]&gt;0.7,"Highly Automatable",
IF(Table1[[#This Row],[automation_risk_percent]]&gt;0.4,"Moderate Risk","Safe Job"))</f>
        <v>Safe Job</v>
      </c>
    </row>
    <row r="1306" spans="1:24" x14ac:dyDescent="0.3">
      <c r="A1306">
        <v>4682</v>
      </c>
      <c r="B1306" t="s">
        <v>45</v>
      </c>
      <c r="C1306" t="s">
        <v>40</v>
      </c>
      <c r="D1306" t="s">
        <v>42</v>
      </c>
      <c r="E1306" s="1">
        <v>2025</v>
      </c>
      <c r="F1306" s="11">
        <v>0.2011</v>
      </c>
      <c r="G1306">
        <v>20.420000000000002</v>
      </c>
      <c r="H1306">
        <v>76.78</v>
      </c>
      <c r="I1306" s="2">
        <v>58433.69</v>
      </c>
      <c r="J1306" s="2">
        <v>55900.14</v>
      </c>
      <c r="K1306" s="2">
        <f>Table1[[#This Row],[Salary_after]]-Table1[[#This Row],[Salary_before]]</f>
        <v>-2533.5500000000029</v>
      </c>
      <c r="L1306" s="11">
        <v>-4.3400000000000001E-2</v>
      </c>
      <c r="M1306" s="11">
        <v>0.14169999999999999</v>
      </c>
      <c r="N1306">
        <v>27.17</v>
      </c>
      <c r="O1306">
        <v>46.53</v>
      </c>
      <c r="P1306">
        <v>3</v>
      </c>
      <c r="Q1306" t="s">
        <v>21</v>
      </c>
      <c r="R1306">
        <v>48.445</v>
      </c>
      <c r="S1306">
        <v>4.34</v>
      </c>
      <c r="T1306" s="4">
        <v>32.380000000000003</v>
      </c>
      <c r="U1306" s="4">
        <v>9.3571829999999991</v>
      </c>
      <c r="V1306" t="str">
        <f>IF(Table1[[#This Row],[ai_disruption_intensity]]&gt;70,"High",
IF(Table1[[#This Row],[ai_disruption_intensity]]&gt;40,"Medium","Low"))</f>
        <v>Low</v>
      </c>
      <c r="W1306" t="str">
        <f>IF(Table1[[#This Row],[skill_gap_index]]&gt;70,"Large Gap",
IF(Table1[[#This Row],[skill_gap_index]]&gt;40,"Medium Gap","Small Gap"))</f>
        <v>Large Gap</v>
      </c>
      <c r="X1306" s="3" t="str">
        <f>IF(Table1[[#This Row],[automation_risk_percent]]&gt;0.7,"Highly Automatable",
IF(Table1[[#This Row],[automation_risk_percent]]&gt;0.4,"Moderate Risk","Safe Job"))</f>
        <v>Safe Job</v>
      </c>
    </row>
    <row r="1307" spans="1:24" x14ac:dyDescent="0.3">
      <c r="A1307">
        <v>4689</v>
      </c>
      <c r="B1307" t="s">
        <v>46</v>
      </c>
      <c r="C1307" t="s">
        <v>19</v>
      </c>
      <c r="D1307" t="s">
        <v>31</v>
      </c>
      <c r="E1307" s="1">
        <v>2025</v>
      </c>
      <c r="F1307" s="11">
        <v>0.18280000000000002</v>
      </c>
      <c r="G1307">
        <v>16.47</v>
      </c>
      <c r="H1307">
        <v>82.95</v>
      </c>
      <c r="I1307" s="2">
        <v>75677.33</v>
      </c>
      <c r="J1307" s="2">
        <v>84750.36</v>
      </c>
      <c r="K1307" s="2">
        <f>Table1[[#This Row],[Salary_after]]-Table1[[#This Row],[Salary_before]]</f>
        <v>9073.0299999999988</v>
      </c>
      <c r="L1307" s="11">
        <v>0.11990000000000001</v>
      </c>
      <c r="M1307" s="11">
        <v>3.2799999999999996E-2</v>
      </c>
      <c r="N1307">
        <v>17.899999999999999</v>
      </c>
      <c r="O1307">
        <v>59.46</v>
      </c>
      <c r="P1307">
        <v>2</v>
      </c>
      <c r="Q1307" t="s">
        <v>21</v>
      </c>
      <c r="R1307">
        <v>50.615000000000002</v>
      </c>
      <c r="S1307">
        <v>11.99</v>
      </c>
      <c r="T1307" s="4">
        <v>35.793999999999997</v>
      </c>
      <c r="U1307" s="4">
        <v>10.869287999999999</v>
      </c>
      <c r="V1307" t="str">
        <f>IF(Table1[[#This Row],[ai_disruption_intensity]]&gt;70,"High",
IF(Table1[[#This Row],[ai_disruption_intensity]]&gt;40,"Medium","Low"))</f>
        <v>Low</v>
      </c>
      <c r="W1307" t="str">
        <f>IF(Table1[[#This Row],[skill_gap_index]]&gt;70,"Large Gap",
IF(Table1[[#This Row],[skill_gap_index]]&gt;40,"Medium Gap","Small Gap"))</f>
        <v>Large Gap</v>
      </c>
      <c r="X1307" s="3" t="str">
        <f>IF(Table1[[#This Row],[automation_risk_percent]]&gt;0.7,"Highly Automatable",
IF(Table1[[#This Row],[automation_risk_percent]]&gt;0.4,"Moderate Risk","Safe Job"))</f>
        <v>Safe Job</v>
      </c>
    </row>
    <row r="1308" spans="1:24" x14ac:dyDescent="0.3">
      <c r="A1308">
        <v>4690</v>
      </c>
      <c r="B1308" t="s">
        <v>29</v>
      </c>
      <c r="C1308" t="s">
        <v>30</v>
      </c>
      <c r="D1308" t="s">
        <v>20</v>
      </c>
      <c r="E1308" s="1">
        <v>2025</v>
      </c>
      <c r="F1308" s="11">
        <v>0.65480000000000005</v>
      </c>
      <c r="G1308">
        <v>63.52</v>
      </c>
      <c r="H1308">
        <v>82.98</v>
      </c>
      <c r="I1308" s="2">
        <v>143146.81</v>
      </c>
      <c r="J1308" s="2">
        <v>109901.15</v>
      </c>
      <c r="K1308" s="2">
        <f>Table1[[#This Row],[Salary_after]]-Table1[[#This Row],[Salary_before]]</f>
        <v>-33245.660000000003</v>
      </c>
      <c r="L1308" s="11">
        <v>-0.23219999999999999</v>
      </c>
      <c r="M1308" s="11">
        <v>-0.1336</v>
      </c>
      <c r="N1308">
        <v>55.19</v>
      </c>
      <c r="O1308">
        <v>72.31</v>
      </c>
      <c r="P1308">
        <v>3</v>
      </c>
      <c r="Q1308" t="s">
        <v>37</v>
      </c>
      <c r="R1308">
        <v>74.23</v>
      </c>
      <c r="S1308">
        <v>23.22</v>
      </c>
      <c r="T1308" s="4">
        <v>58.052</v>
      </c>
      <c r="U1308" s="4">
        <v>47.348587999999999</v>
      </c>
      <c r="V1308" t="str">
        <f>IF(Table1[[#This Row],[ai_disruption_intensity]]&gt;70,"High",
IF(Table1[[#This Row],[ai_disruption_intensity]]&gt;40,"Medium","Low"))</f>
        <v>Medium</v>
      </c>
      <c r="W1308" t="str">
        <f>IF(Table1[[#This Row],[skill_gap_index]]&gt;70,"Large Gap",
IF(Table1[[#This Row],[skill_gap_index]]&gt;40,"Medium Gap","Small Gap"))</f>
        <v>Large Gap</v>
      </c>
      <c r="X1308" s="3" t="str">
        <f>IF(Table1[[#This Row],[automation_risk_percent]]&gt;0.7,"Highly Automatable",
IF(Table1[[#This Row],[automation_risk_percent]]&gt;0.4,"Moderate Risk","Safe Job"))</f>
        <v>Moderate Risk</v>
      </c>
    </row>
    <row r="1309" spans="1:24" x14ac:dyDescent="0.3">
      <c r="A1309">
        <v>4694</v>
      </c>
      <c r="B1309" t="s">
        <v>44</v>
      </c>
      <c r="C1309" t="s">
        <v>19</v>
      </c>
      <c r="D1309" t="s">
        <v>47</v>
      </c>
      <c r="E1309" s="1">
        <v>2026</v>
      </c>
      <c r="F1309" s="11">
        <v>0.7168000000000001</v>
      </c>
      <c r="G1309">
        <v>70.64</v>
      </c>
      <c r="H1309">
        <v>94.31</v>
      </c>
      <c r="I1309" s="2">
        <v>128754.59</v>
      </c>
      <c r="J1309" s="2">
        <v>132546.76999999999</v>
      </c>
      <c r="K1309" s="2">
        <f>Table1[[#This Row],[Salary_after]]-Table1[[#This Row],[Salary_before]]</f>
        <v>3792.179999999993</v>
      </c>
      <c r="L1309" s="11">
        <v>2.9500000000000002E-2</v>
      </c>
      <c r="M1309" s="11">
        <v>0.11460000000000001</v>
      </c>
      <c r="N1309">
        <v>87.19</v>
      </c>
      <c r="O1309">
        <v>89.18</v>
      </c>
      <c r="P1309">
        <v>2</v>
      </c>
      <c r="Q1309" t="s">
        <v>37</v>
      </c>
      <c r="R1309">
        <v>82.995000000000005</v>
      </c>
      <c r="S1309">
        <v>2.95</v>
      </c>
      <c r="T1309" s="4">
        <v>57.85</v>
      </c>
      <c r="U1309" s="4">
        <v>63.924224000000002</v>
      </c>
      <c r="V1309" t="str">
        <f>IF(Table1[[#This Row],[ai_disruption_intensity]]&gt;70,"High",
IF(Table1[[#This Row],[ai_disruption_intensity]]&gt;40,"Medium","Low"))</f>
        <v>Medium</v>
      </c>
      <c r="W1309" t="str">
        <f>IF(Table1[[#This Row],[skill_gap_index]]&gt;70,"Large Gap",
IF(Table1[[#This Row],[skill_gap_index]]&gt;40,"Medium Gap","Small Gap"))</f>
        <v>Large Gap</v>
      </c>
      <c r="X1309" s="3" t="str">
        <f>IF(Table1[[#This Row],[automation_risk_percent]]&gt;0.7,"Highly Automatable",
IF(Table1[[#This Row],[automation_risk_percent]]&gt;0.4,"Moderate Risk","Safe Job"))</f>
        <v>Highly Automatable</v>
      </c>
    </row>
    <row r="1310" spans="1:24" x14ac:dyDescent="0.3">
      <c r="A1310">
        <v>4696</v>
      </c>
      <c r="B1310" t="s">
        <v>18</v>
      </c>
      <c r="C1310" t="s">
        <v>19</v>
      </c>
      <c r="D1310" t="s">
        <v>31</v>
      </c>
      <c r="E1310" s="1">
        <v>2025</v>
      </c>
      <c r="F1310" s="11">
        <v>0.36130000000000001</v>
      </c>
      <c r="G1310">
        <v>29.36</v>
      </c>
      <c r="H1310">
        <v>46.27</v>
      </c>
      <c r="I1310" s="2">
        <v>116888.49</v>
      </c>
      <c r="J1310" s="2">
        <v>112790.74</v>
      </c>
      <c r="K1310" s="2">
        <f>Table1[[#This Row],[Salary_after]]-Table1[[#This Row],[Salary_before]]</f>
        <v>-4097.75</v>
      </c>
      <c r="L1310" s="11">
        <v>-3.5099999999999999E-2</v>
      </c>
      <c r="M1310" s="11">
        <v>-0.13699999999999998</v>
      </c>
      <c r="N1310">
        <v>29.75</v>
      </c>
      <c r="O1310">
        <v>77.28</v>
      </c>
      <c r="P1310">
        <v>2</v>
      </c>
      <c r="Q1310" t="s">
        <v>25</v>
      </c>
      <c r="R1310">
        <v>41.2</v>
      </c>
      <c r="S1310">
        <v>3.51</v>
      </c>
      <c r="T1310" s="4">
        <v>29.385999999999999</v>
      </c>
      <c r="U1310" s="4">
        <v>27.921264000000001</v>
      </c>
      <c r="V1310" t="str">
        <f>IF(Table1[[#This Row],[ai_disruption_intensity]]&gt;70,"High",
IF(Table1[[#This Row],[ai_disruption_intensity]]&gt;40,"Medium","Low"))</f>
        <v>Low</v>
      </c>
      <c r="W1310" t="str">
        <f>IF(Table1[[#This Row],[skill_gap_index]]&gt;70,"Large Gap",
IF(Table1[[#This Row],[skill_gap_index]]&gt;40,"Medium Gap","Small Gap"))</f>
        <v>Medium Gap</v>
      </c>
      <c r="X1310" s="3" t="str">
        <f>IF(Table1[[#This Row],[automation_risk_percent]]&gt;0.7,"Highly Automatable",
IF(Table1[[#This Row],[automation_risk_percent]]&gt;0.4,"Moderate Risk","Safe Job"))</f>
        <v>Safe Job</v>
      </c>
    </row>
    <row r="1311" spans="1:24" x14ac:dyDescent="0.3">
      <c r="A1311">
        <v>4698</v>
      </c>
      <c r="B1311" t="s">
        <v>18</v>
      </c>
      <c r="C1311" t="s">
        <v>40</v>
      </c>
      <c r="D1311" t="s">
        <v>32</v>
      </c>
      <c r="E1311" s="1">
        <v>2025</v>
      </c>
      <c r="F1311" s="11">
        <v>0.55859999999999999</v>
      </c>
      <c r="G1311">
        <v>61.01</v>
      </c>
      <c r="H1311">
        <v>76.23</v>
      </c>
      <c r="I1311" s="2">
        <v>100698.18</v>
      </c>
      <c r="J1311" s="2">
        <v>87522.08</v>
      </c>
      <c r="K1311" s="2">
        <f>Table1[[#This Row],[Salary_after]]-Table1[[#This Row],[Salary_before]]</f>
        <v>-13176.099999999991</v>
      </c>
      <c r="L1311" s="11">
        <v>-0.1308</v>
      </c>
      <c r="M1311" s="11">
        <v>-1.84E-2</v>
      </c>
      <c r="N1311">
        <v>91.26</v>
      </c>
      <c r="O1311">
        <v>96.99</v>
      </c>
      <c r="P1311">
        <v>4</v>
      </c>
      <c r="Q1311" t="s">
        <v>25</v>
      </c>
      <c r="R1311">
        <v>66.045000000000002</v>
      </c>
      <c r="S1311">
        <v>13.08</v>
      </c>
      <c r="T1311" s="4">
        <v>49.137</v>
      </c>
      <c r="U1311" s="4">
        <v>54.178613999999897</v>
      </c>
      <c r="V1311" t="str">
        <f>IF(Table1[[#This Row],[ai_disruption_intensity]]&gt;70,"High",
IF(Table1[[#This Row],[ai_disruption_intensity]]&gt;40,"Medium","Low"))</f>
        <v>Medium</v>
      </c>
      <c r="W1311" t="str">
        <f>IF(Table1[[#This Row],[skill_gap_index]]&gt;70,"Large Gap",
IF(Table1[[#This Row],[skill_gap_index]]&gt;40,"Medium Gap","Small Gap"))</f>
        <v>Large Gap</v>
      </c>
      <c r="X1311" s="3" t="str">
        <f>IF(Table1[[#This Row],[automation_risk_percent]]&gt;0.7,"Highly Automatable",
IF(Table1[[#This Row],[automation_risk_percent]]&gt;0.4,"Moderate Risk","Safe Job"))</f>
        <v>Moderate Risk</v>
      </c>
    </row>
    <row r="1312" spans="1:24" x14ac:dyDescent="0.3">
      <c r="A1312">
        <v>4700</v>
      </c>
      <c r="B1312" t="s">
        <v>39</v>
      </c>
      <c r="C1312" t="s">
        <v>30</v>
      </c>
      <c r="D1312" t="s">
        <v>42</v>
      </c>
      <c r="E1312" s="1">
        <v>2026</v>
      </c>
      <c r="F1312" s="11">
        <v>0.1065</v>
      </c>
      <c r="G1312">
        <v>12.61</v>
      </c>
      <c r="H1312">
        <v>74.02</v>
      </c>
      <c r="I1312" s="2">
        <v>40086.03</v>
      </c>
      <c r="J1312" s="2">
        <v>46825.48</v>
      </c>
      <c r="K1312" s="2">
        <f>Table1[[#This Row],[Salary_after]]-Table1[[#This Row],[Salary_before]]</f>
        <v>6739.4500000000044</v>
      </c>
      <c r="L1312" s="11">
        <v>0.1681</v>
      </c>
      <c r="M1312" s="11">
        <v>-2.12E-2</v>
      </c>
      <c r="N1312">
        <v>96.1</v>
      </c>
      <c r="O1312">
        <v>16.41</v>
      </c>
      <c r="P1312">
        <v>3</v>
      </c>
      <c r="Q1312" t="s">
        <v>21</v>
      </c>
      <c r="R1312">
        <v>42.335000000000001</v>
      </c>
      <c r="S1312">
        <v>16.809999999999999</v>
      </c>
      <c r="T1312" s="4">
        <v>31.509</v>
      </c>
      <c r="U1312" s="4">
        <v>1.747665</v>
      </c>
      <c r="V1312" t="str">
        <f>IF(Table1[[#This Row],[ai_disruption_intensity]]&gt;70,"High",
IF(Table1[[#This Row],[ai_disruption_intensity]]&gt;40,"Medium","Low"))</f>
        <v>Low</v>
      </c>
      <c r="W1312" t="str">
        <f>IF(Table1[[#This Row],[skill_gap_index]]&gt;70,"Large Gap",
IF(Table1[[#This Row],[skill_gap_index]]&gt;40,"Medium Gap","Small Gap"))</f>
        <v>Large Gap</v>
      </c>
      <c r="X1312" s="3" t="str">
        <f>IF(Table1[[#This Row],[automation_risk_percent]]&gt;0.7,"Highly Automatable",
IF(Table1[[#This Row],[automation_risk_percent]]&gt;0.4,"Moderate Risk","Safe Job"))</f>
        <v>Safe Job</v>
      </c>
    </row>
    <row r="1313" spans="1:24" x14ac:dyDescent="0.3">
      <c r="A1313">
        <v>4704</v>
      </c>
      <c r="B1313" t="s">
        <v>43</v>
      </c>
      <c r="C1313" t="s">
        <v>38</v>
      </c>
      <c r="D1313" t="s">
        <v>31</v>
      </c>
      <c r="E1313" s="1">
        <v>2025</v>
      </c>
      <c r="F1313" s="11">
        <v>0.25600000000000001</v>
      </c>
      <c r="G1313">
        <v>27.4</v>
      </c>
      <c r="H1313">
        <v>92.63</v>
      </c>
      <c r="I1313" s="2">
        <v>68508.44</v>
      </c>
      <c r="J1313" s="2">
        <v>66669.710000000006</v>
      </c>
      <c r="K1313" s="2">
        <f>Table1[[#This Row],[Salary_after]]-Table1[[#This Row],[Salary_before]]</f>
        <v>-1838.7299999999959</v>
      </c>
      <c r="L1313" s="11">
        <v>-2.6800000000000001E-2</v>
      </c>
      <c r="M1313" s="11">
        <v>0.1459</v>
      </c>
      <c r="N1313">
        <v>37.74</v>
      </c>
      <c r="O1313">
        <v>50.88</v>
      </c>
      <c r="P1313">
        <v>4</v>
      </c>
      <c r="Q1313" t="s">
        <v>21</v>
      </c>
      <c r="R1313">
        <v>59.114999999999903</v>
      </c>
      <c r="S1313">
        <v>2.68</v>
      </c>
      <c r="T1313" s="4">
        <v>38.832999999999998</v>
      </c>
      <c r="U1313" s="4">
        <v>13.02528</v>
      </c>
      <c r="V1313" t="str">
        <f>IF(Table1[[#This Row],[ai_disruption_intensity]]&gt;70,"High",
IF(Table1[[#This Row],[ai_disruption_intensity]]&gt;40,"Medium","Low"))</f>
        <v>Low</v>
      </c>
      <c r="W1313" t="str">
        <f>IF(Table1[[#This Row],[skill_gap_index]]&gt;70,"Large Gap",
IF(Table1[[#This Row],[skill_gap_index]]&gt;40,"Medium Gap","Small Gap"))</f>
        <v>Large Gap</v>
      </c>
      <c r="X1313" s="3" t="str">
        <f>IF(Table1[[#This Row],[automation_risk_percent]]&gt;0.7,"Highly Automatable",
IF(Table1[[#This Row],[automation_risk_percent]]&gt;0.4,"Moderate Risk","Safe Job"))</f>
        <v>Safe Job</v>
      </c>
    </row>
    <row r="1314" spans="1:24" x14ac:dyDescent="0.3">
      <c r="A1314">
        <v>4706</v>
      </c>
      <c r="B1314" t="s">
        <v>45</v>
      </c>
      <c r="C1314" t="s">
        <v>38</v>
      </c>
      <c r="D1314" t="s">
        <v>42</v>
      </c>
      <c r="E1314" s="1">
        <v>2025</v>
      </c>
      <c r="F1314" s="11">
        <v>0.15410000000000001</v>
      </c>
      <c r="G1314">
        <v>17.97</v>
      </c>
      <c r="H1314">
        <v>9.65</v>
      </c>
      <c r="I1314" s="2">
        <v>88121.26</v>
      </c>
      <c r="J1314" s="2">
        <v>95266.559999999998</v>
      </c>
      <c r="K1314" s="2">
        <f>Table1[[#This Row],[Salary_after]]-Table1[[#This Row],[Salary_before]]</f>
        <v>7145.3000000000029</v>
      </c>
      <c r="L1314" s="11">
        <v>8.1099999999999992E-2</v>
      </c>
      <c r="M1314" s="11">
        <v>9.5899999999999999E-2</v>
      </c>
      <c r="N1314">
        <v>25.41</v>
      </c>
      <c r="O1314">
        <v>43.78</v>
      </c>
      <c r="P1314">
        <v>2</v>
      </c>
      <c r="Q1314" t="s">
        <v>21</v>
      </c>
      <c r="R1314">
        <v>12.53</v>
      </c>
      <c r="S1314">
        <v>8.11</v>
      </c>
      <c r="T1314" s="4">
        <v>11.492000000000001</v>
      </c>
      <c r="U1314" s="4">
        <v>6.7464979999999999</v>
      </c>
      <c r="V1314" t="str">
        <f>IF(Table1[[#This Row],[ai_disruption_intensity]]&gt;70,"High",
IF(Table1[[#This Row],[ai_disruption_intensity]]&gt;40,"Medium","Low"))</f>
        <v>Low</v>
      </c>
      <c r="W1314" t="str">
        <f>IF(Table1[[#This Row],[skill_gap_index]]&gt;70,"Large Gap",
IF(Table1[[#This Row],[skill_gap_index]]&gt;40,"Medium Gap","Small Gap"))</f>
        <v>Small Gap</v>
      </c>
      <c r="X1314" s="3" t="str">
        <f>IF(Table1[[#This Row],[automation_risk_percent]]&gt;0.7,"Highly Automatable",
IF(Table1[[#This Row],[automation_risk_percent]]&gt;0.4,"Moderate Risk","Safe Job"))</f>
        <v>Safe Job</v>
      </c>
    </row>
    <row r="1315" spans="1:24" x14ac:dyDescent="0.3">
      <c r="A1315">
        <v>4708</v>
      </c>
      <c r="B1315" t="s">
        <v>39</v>
      </c>
      <c r="C1315" t="s">
        <v>34</v>
      </c>
      <c r="D1315" t="s">
        <v>36</v>
      </c>
      <c r="E1315" s="1">
        <v>2026</v>
      </c>
      <c r="F1315" s="11">
        <v>0.50790000000000002</v>
      </c>
      <c r="G1315">
        <v>58.27</v>
      </c>
      <c r="H1315">
        <v>19.57</v>
      </c>
      <c r="I1315" s="2">
        <v>127201.88</v>
      </c>
      <c r="J1315" s="2">
        <v>111543.36</v>
      </c>
      <c r="K1315" s="2">
        <f>Table1[[#This Row],[Salary_after]]-Table1[[#This Row],[Salary_before]]</f>
        <v>-15658.520000000004</v>
      </c>
      <c r="L1315" s="11">
        <v>-0.1231</v>
      </c>
      <c r="M1315" s="11">
        <v>1.7500000000000002E-2</v>
      </c>
      <c r="N1315">
        <v>78.510000000000005</v>
      </c>
      <c r="O1315">
        <v>76.2</v>
      </c>
      <c r="P1315">
        <v>4</v>
      </c>
      <c r="Q1315" t="s">
        <v>25</v>
      </c>
      <c r="R1315">
        <v>35.18</v>
      </c>
      <c r="S1315">
        <v>12.31</v>
      </c>
      <c r="T1315" s="4">
        <v>29.88</v>
      </c>
      <c r="U1315" s="4">
        <v>38.701979999999999</v>
      </c>
      <c r="V1315" t="str">
        <f>IF(Table1[[#This Row],[ai_disruption_intensity]]&gt;70,"High",
IF(Table1[[#This Row],[ai_disruption_intensity]]&gt;40,"Medium","Low"))</f>
        <v>Low</v>
      </c>
      <c r="W1315" t="str">
        <f>IF(Table1[[#This Row],[skill_gap_index]]&gt;70,"Large Gap",
IF(Table1[[#This Row],[skill_gap_index]]&gt;40,"Medium Gap","Small Gap"))</f>
        <v>Small Gap</v>
      </c>
      <c r="X1315" s="3" t="str">
        <f>IF(Table1[[#This Row],[automation_risk_percent]]&gt;0.7,"Highly Automatable",
IF(Table1[[#This Row],[automation_risk_percent]]&gt;0.4,"Moderate Risk","Safe Job"))</f>
        <v>Moderate Risk</v>
      </c>
    </row>
    <row r="1316" spans="1:24" x14ac:dyDescent="0.3">
      <c r="A1316">
        <v>4714</v>
      </c>
      <c r="B1316" t="s">
        <v>41</v>
      </c>
      <c r="C1316" t="s">
        <v>30</v>
      </c>
      <c r="D1316" t="s">
        <v>24</v>
      </c>
      <c r="E1316" s="1">
        <v>2026</v>
      </c>
      <c r="F1316" s="11">
        <v>0.94730000000000003</v>
      </c>
      <c r="G1316">
        <v>96.83</v>
      </c>
      <c r="H1316">
        <v>23.9</v>
      </c>
      <c r="I1316" s="2">
        <v>139331.88</v>
      </c>
      <c r="J1316" s="2">
        <v>128370.73</v>
      </c>
      <c r="K1316" s="2">
        <f>Table1[[#This Row],[Salary_after]]-Table1[[#This Row],[Salary_before]]</f>
        <v>-10961.150000000009</v>
      </c>
      <c r="L1316" s="11">
        <v>-7.8700000000000006E-2</v>
      </c>
      <c r="M1316" s="11">
        <v>5.8200000000000002E-2</v>
      </c>
      <c r="N1316">
        <v>17.96</v>
      </c>
      <c r="O1316">
        <v>89.66</v>
      </c>
      <c r="P1316">
        <v>1</v>
      </c>
      <c r="Q1316" t="s">
        <v>37</v>
      </c>
      <c r="R1316">
        <v>59.314999999999998</v>
      </c>
      <c r="S1316">
        <v>7.87</v>
      </c>
      <c r="T1316" s="4">
        <v>47.423000000000002</v>
      </c>
      <c r="U1316" s="4">
        <v>84.934917999999996</v>
      </c>
      <c r="V1316" t="str">
        <f>IF(Table1[[#This Row],[ai_disruption_intensity]]&gt;70,"High",
IF(Table1[[#This Row],[ai_disruption_intensity]]&gt;40,"Medium","Low"))</f>
        <v>High</v>
      </c>
      <c r="W1316" t="str">
        <f>IF(Table1[[#This Row],[skill_gap_index]]&gt;70,"Large Gap",
IF(Table1[[#This Row],[skill_gap_index]]&gt;40,"Medium Gap","Small Gap"))</f>
        <v>Small Gap</v>
      </c>
      <c r="X1316" s="3" t="str">
        <f>IF(Table1[[#This Row],[automation_risk_percent]]&gt;0.7,"Highly Automatable",
IF(Table1[[#This Row],[automation_risk_percent]]&gt;0.4,"Moderate Risk","Safe Job"))</f>
        <v>Highly Automatable</v>
      </c>
    </row>
    <row r="1317" spans="1:24" x14ac:dyDescent="0.3">
      <c r="A1317">
        <v>4716</v>
      </c>
      <c r="B1317" t="s">
        <v>29</v>
      </c>
      <c r="C1317" t="s">
        <v>38</v>
      </c>
      <c r="D1317" t="s">
        <v>20</v>
      </c>
      <c r="E1317" s="1">
        <v>2025</v>
      </c>
      <c r="F1317" s="11">
        <v>0.43380000000000002</v>
      </c>
      <c r="G1317">
        <v>47.26</v>
      </c>
      <c r="H1317">
        <v>80.260000000000005</v>
      </c>
      <c r="I1317" s="2">
        <v>43936.22</v>
      </c>
      <c r="J1317" s="2">
        <v>46442.6</v>
      </c>
      <c r="K1317" s="2">
        <f>Table1[[#This Row],[Salary_after]]-Table1[[#This Row],[Salary_before]]</f>
        <v>2506.3799999999974</v>
      </c>
      <c r="L1317" s="11">
        <v>5.7000000000000002E-2</v>
      </c>
      <c r="M1317" s="11">
        <v>-4.8799999999999996E-2</v>
      </c>
      <c r="N1317">
        <v>45.01</v>
      </c>
      <c r="O1317">
        <v>56.33</v>
      </c>
      <c r="P1317">
        <v>5</v>
      </c>
      <c r="Q1317" t="s">
        <v>25</v>
      </c>
      <c r="R1317">
        <v>61.82</v>
      </c>
      <c r="S1317">
        <v>5.7</v>
      </c>
      <c r="T1317" s="4">
        <v>43.14</v>
      </c>
      <c r="U1317" s="4">
        <v>24.435953999999999</v>
      </c>
      <c r="V1317" t="str">
        <f>IF(Table1[[#This Row],[ai_disruption_intensity]]&gt;70,"High",
IF(Table1[[#This Row],[ai_disruption_intensity]]&gt;40,"Medium","Low"))</f>
        <v>Low</v>
      </c>
      <c r="W1317" t="str">
        <f>IF(Table1[[#This Row],[skill_gap_index]]&gt;70,"Large Gap",
IF(Table1[[#This Row],[skill_gap_index]]&gt;40,"Medium Gap","Small Gap"))</f>
        <v>Large Gap</v>
      </c>
      <c r="X1317" s="3" t="str">
        <f>IF(Table1[[#This Row],[automation_risk_percent]]&gt;0.7,"Highly Automatable",
IF(Table1[[#This Row],[automation_risk_percent]]&gt;0.4,"Moderate Risk","Safe Job"))</f>
        <v>Moderate Risk</v>
      </c>
    </row>
    <row r="1318" spans="1:24" x14ac:dyDescent="0.3">
      <c r="A1318">
        <v>4718</v>
      </c>
      <c r="B1318" t="s">
        <v>44</v>
      </c>
      <c r="C1318" t="s">
        <v>30</v>
      </c>
      <c r="D1318" t="s">
        <v>20</v>
      </c>
      <c r="E1318" s="1">
        <v>2026</v>
      </c>
      <c r="F1318" s="11">
        <v>0.30969999999999998</v>
      </c>
      <c r="G1318">
        <v>26.76</v>
      </c>
      <c r="H1318">
        <v>7.01</v>
      </c>
      <c r="I1318" s="2">
        <v>98997.17</v>
      </c>
      <c r="J1318" s="2">
        <v>101684.48</v>
      </c>
      <c r="K1318" s="2">
        <f>Table1[[#This Row],[Salary_after]]-Table1[[#This Row],[Salary_before]]</f>
        <v>2687.3099999999977</v>
      </c>
      <c r="L1318" s="11">
        <v>2.7099999999999999E-2</v>
      </c>
      <c r="M1318" s="11">
        <v>-1.1399999999999999E-2</v>
      </c>
      <c r="N1318">
        <v>71.03</v>
      </c>
      <c r="O1318">
        <v>61.4</v>
      </c>
      <c r="P1318">
        <v>3</v>
      </c>
      <c r="Q1318" t="s">
        <v>25</v>
      </c>
      <c r="R1318">
        <v>18.989999999999998</v>
      </c>
      <c r="S1318">
        <v>2.71</v>
      </c>
      <c r="T1318" s="4">
        <v>15.304</v>
      </c>
      <c r="U1318" s="4">
        <v>19.01558</v>
      </c>
      <c r="V1318" t="str">
        <f>IF(Table1[[#This Row],[ai_disruption_intensity]]&gt;70,"High",
IF(Table1[[#This Row],[ai_disruption_intensity]]&gt;40,"Medium","Low"))</f>
        <v>Low</v>
      </c>
      <c r="W1318" t="str">
        <f>IF(Table1[[#This Row],[skill_gap_index]]&gt;70,"Large Gap",
IF(Table1[[#This Row],[skill_gap_index]]&gt;40,"Medium Gap","Small Gap"))</f>
        <v>Small Gap</v>
      </c>
      <c r="X1318" s="3" t="str">
        <f>IF(Table1[[#This Row],[automation_risk_percent]]&gt;0.7,"Highly Automatable",
IF(Table1[[#This Row],[automation_risk_percent]]&gt;0.4,"Moderate Risk","Safe Job"))</f>
        <v>Safe Job</v>
      </c>
    </row>
    <row r="1319" spans="1:24" x14ac:dyDescent="0.3">
      <c r="A1319">
        <v>4719</v>
      </c>
      <c r="B1319" t="s">
        <v>39</v>
      </c>
      <c r="C1319" t="s">
        <v>19</v>
      </c>
      <c r="D1319" t="s">
        <v>36</v>
      </c>
      <c r="E1319" s="1">
        <v>2026</v>
      </c>
      <c r="F1319" s="11">
        <v>0.71360000000000001</v>
      </c>
      <c r="G1319">
        <v>67.88</v>
      </c>
      <c r="H1319">
        <v>90.23</v>
      </c>
      <c r="I1319" s="2">
        <v>34431.040000000001</v>
      </c>
      <c r="J1319" s="2">
        <v>33700.06</v>
      </c>
      <c r="K1319" s="2">
        <f>Table1[[#This Row],[Salary_after]]-Table1[[#This Row],[Salary_before]]</f>
        <v>-730.9800000000032</v>
      </c>
      <c r="L1319" s="11">
        <v>-2.12E-2</v>
      </c>
      <c r="M1319" s="11">
        <v>-4.36E-2</v>
      </c>
      <c r="N1319">
        <v>63.46</v>
      </c>
      <c r="O1319">
        <v>3.24</v>
      </c>
      <c r="P1319">
        <v>1</v>
      </c>
      <c r="Q1319" t="s">
        <v>37</v>
      </c>
      <c r="R1319">
        <v>80.795000000000002</v>
      </c>
      <c r="S1319">
        <v>2.12</v>
      </c>
      <c r="T1319" s="4">
        <v>56.249000000000002</v>
      </c>
      <c r="U1319" s="4">
        <v>2.3120639999999999</v>
      </c>
      <c r="V1319" t="str">
        <f>IF(Table1[[#This Row],[ai_disruption_intensity]]&gt;70,"High",
IF(Table1[[#This Row],[ai_disruption_intensity]]&gt;40,"Medium","Low"))</f>
        <v>Low</v>
      </c>
      <c r="W1319" t="str">
        <f>IF(Table1[[#This Row],[skill_gap_index]]&gt;70,"Large Gap",
IF(Table1[[#This Row],[skill_gap_index]]&gt;40,"Medium Gap","Small Gap"))</f>
        <v>Large Gap</v>
      </c>
      <c r="X1319" s="3" t="str">
        <f>IF(Table1[[#This Row],[automation_risk_percent]]&gt;0.7,"Highly Automatable",
IF(Table1[[#This Row],[automation_risk_percent]]&gt;0.4,"Moderate Risk","Safe Job"))</f>
        <v>Highly Automatable</v>
      </c>
    </row>
    <row r="1320" spans="1:24" x14ac:dyDescent="0.3">
      <c r="A1320">
        <v>4728</v>
      </c>
      <c r="B1320" t="s">
        <v>18</v>
      </c>
      <c r="C1320" t="s">
        <v>33</v>
      </c>
      <c r="D1320" t="s">
        <v>24</v>
      </c>
      <c r="E1320" s="1">
        <v>2025</v>
      </c>
      <c r="F1320" s="11">
        <v>0.57550000000000001</v>
      </c>
      <c r="G1320">
        <v>57.12</v>
      </c>
      <c r="H1320">
        <v>94.27</v>
      </c>
      <c r="I1320" s="2">
        <v>111556.6</v>
      </c>
      <c r="J1320" s="2">
        <v>104763.53</v>
      </c>
      <c r="K1320" s="2">
        <f>Table1[[#This Row],[Salary_after]]-Table1[[#This Row],[Salary_before]]</f>
        <v>-6793.070000000007</v>
      </c>
      <c r="L1320" s="11">
        <v>-6.0899999999999996E-2</v>
      </c>
      <c r="M1320" s="11">
        <v>1.8700000000000001E-2</v>
      </c>
      <c r="N1320">
        <v>37.409999999999997</v>
      </c>
      <c r="O1320">
        <v>97.18</v>
      </c>
      <c r="P1320">
        <v>2</v>
      </c>
      <c r="Q1320" t="s">
        <v>25</v>
      </c>
      <c r="R1320">
        <v>75.91</v>
      </c>
      <c r="S1320">
        <v>6.09</v>
      </c>
      <c r="T1320" s="4">
        <v>53.128</v>
      </c>
      <c r="U1320" s="4">
        <v>55.92709</v>
      </c>
      <c r="V1320" t="str">
        <f>IF(Table1[[#This Row],[ai_disruption_intensity]]&gt;70,"High",
IF(Table1[[#This Row],[ai_disruption_intensity]]&gt;40,"Medium","Low"))</f>
        <v>Medium</v>
      </c>
      <c r="W1320" t="str">
        <f>IF(Table1[[#This Row],[skill_gap_index]]&gt;70,"Large Gap",
IF(Table1[[#This Row],[skill_gap_index]]&gt;40,"Medium Gap","Small Gap"))</f>
        <v>Large Gap</v>
      </c>
      <c r="X1320" s="3" t="str">
        <f>IF(Table1[[#This Row],[automation_risk_percent]]&gt;0.7,"Highly Automatable",
IF(Table1[[#This Row],[automation_risk_percent]]&gt;0.4,"Moderate Risk","Safe Job"))</f>
        <v>Moderate Risk</v>
      </c>
    </row>
    <row r="1321" spans="1:24" x14ac:dyDescent="0.3">
      <c r="A1321">
        <v>4735</v>
      </c>
      <c r="B1321" t="s">
        <v>18</v>
      </c>
      <c r="C1321" t="s">
        <v>30</v>
      </c>
      <c r="D1321" t="s">
        <v>32</v>
      </c>
      <c r="E1321" s="1">
        <v>2026</v>
      </c>
      <c r="F1321" s="11">
        <v>0.50560000000000005</v>
      </c>
      <c r="G1321">
        <v>50.19</v>
      </c>
      <c r="H1321">
        <v>77.16</v>
      </c>
      <c r="I1321" s="2">
        <v>75489.899999999994</v>
      </c>
      <c r="J1321" s="2">
        <v>69894.38</v>
      </c>
      <c r="K1321" s="2">
        <f>Table1[[#This Row],[Salary_after]]-Table1[[#This Row],[Salary_before]]</f>
        <v>-5595.5199999999895</v>
      </c>
      <c r="L1321" s="11">
        <v>-7.4099999999999999E-2</v>
      </c>
      <c r="M1321" s="11">
        <v>0.2097</v>
      </c>
      <c r="N1321">
        <v>20</v>
      </c>
      <c r="O1321">
        <v>10.71</v>
      </c>
      <c r="P1321">
        <v>4</v>
      </c>
      <c r="Q1321" t="s">
        <v>25</v>
      </c>
      <c r="R1321">
        <v>63.86</v>
      </c>
      <c r="S1321">
        <v>7.41</v>
      </c>
      <c r="T1321" s="4">
        <v>45.594999999999999</v>
      </c>
      <c r="U1321" s="4">
        <v>5.4149760000000002</v>
      </c>
      <c r="V1321" t="str">
        <f>IF(Table1[[#This Row],[ai_disruption_intensity]]&gt;70,"High",
IF(Table1[[#This Row],[ai_disruption_intensity]]&gt;40,"Medium","Low"))</f>
        <v>Low</v>
      </c>
      <c r="W1321" t="str">
        <f>IF(Table1[[#This Row],[skill_gap_index]]&gt;70,"Large Gap",
IF(Table1[[#This Row],[skill_gap_index]]&gt;40,"Medium Gap","Small Gap"))</f>
        <v>Large Gap</v>
      </c>
      <c r="X1321" s="3" t="str">
        <f>IF(Table1[[#This Row],[automation_risk_percent]]&gt;0.7,"Highly Automatable",
IF(Table1[[#This Row],[automation_risk_percent]]&gt;0.4,"Moderate Risk","Safe Job"))</f>
        <v>Moderate Risk</v>
      </c>
    </row>
    <row r="1322" spans="1:24" x14ac:dyDescent="0.3">
      <c r="A1322">
        <v>4736</v>
      </c>
      <c r="B1322" t="s">
        <v>45</v>
      </c>
      <c r="C1322" t="s">
        <v>38</v>
      </c>
      <c r="D1322" t="s">
        <v>35</v>
      </c>
      <c r="E1322" s="1">
        <v>2025</v>
      </c>
      <c r="F1322" s="11">
        <v>0.18329999999999999</v>
      </c>
      <c r="G1322">
        <v>14.91</v>
      </c>
      <c r="H1322">
        <v>53.3</v>
      </c>
      <c r="I1322" s="2">
        <v>110628.32</v>
      </c>
      <c r="J1322" s="2">
        <v>113799.56</v>
      </c>
      <c r="K1322" s="2">
        <f>Table1[[#This Row],[Salary_after]]-Table1[[#This Row],[Salary_before]]</f>
        <v>3171.2399999999907</v>
      </c>
      <c r="L1322" s="11">
        <v>2.87E-2</v>
      </c>
      <c r="M1322" s="11">
        <v>-4.5700000000000005E-2</v>
      </c>
      <c r="N1322">
        <v>63.8</v>
      </c>
      <c r="O1322">
        <v>14.71</v>
      </c>
      <c r="P1322">
        <v>5</v>
      </c>
      <c r="Q1322" t="s">
        <v>21</v>
      </c>
      <c r="R1322">
        <v>35.814999999999998</v>
      </c>
      <c r="S1322">
        <v>2.87</v>
      </c>
      <c r="T1322" s="4">
        <v>24.183</v>
      </c>
      <c r="U1322" s="4">
        <v>2.6963430000000002</v>
      </c>
      <c r="V1322" t="str">
        <f>IF(Table1[[#This Row],[ai_disruption_intensity]]&gt;70,"High",
IF(Table1[[#This Row],[ai_disruption_intensity]]&gt;40,"Medium","Low"))</f>
        <v>Low</v>
      </c>
      <c r="W1322" t="str">
        <f>IF(Table1[[#This Row],[skill_gap_index]]&gt;70,"Large Gap",
IF(Table1[[#This Row],[skill_gap_index]]&gt;40,"Medium Gap","Small Gap"))</f>
        <v>Medium Gap</v>
      </c>
      <c r="X1322" s="3" t="str">
        <f>IF(Table1[[#This Row],[automation_risk_percent]]&gt;0.7,"Highly Automatable",
IF(Table1[[#This Row],[automation_risk_percent]]&gt;0.4,"Moderate Risk","Safe Job"))</f>
        <v>Safe Job</v>
      </c>
    </row>
    <row r="1323" spans="1:24" x14ac:dyDescent="0.3">
      <c r="A1323">
        <v>4741</v>
      </c>
      <c r="B1323" t="s">
        <v>45</v>
      </c>
      <c r="C1323" t="s">
        <v>34</v>
      </c>
      <c r="D1323" t="s">
        <v>42</v>
      </c>
      <c r="E1323" s="1">
        <v>2026</v>
      </c>
      <c r="F1323" s="11">
        <v>0.72199999999999998</v>
      </c>
      <c r="G1323">
        <v>84.65</v>
      </c>
      <c r="H1323">
        <v>81.069999999999993</v>
      </c>
      <c r="I1323" s="2">
        <v>47615.75</v>
      </c>
      <c r="J1323" s="2">
        <v>51143.27</v>
      </c>
      <c r="K1323" s="2">
        <f>Table1[[#This Row],[Salary_after]]-Table1[[#This Row],[Salary_before]]</f>
        <v>3527.5199999999968</v>
      </c>
      <c r="L1323" s="11">
        <v>7.4099999999999999E-2</v>
      </c>
      <c r="M1323" s="11">
        <v>0.10830000000000001</v>
      </c>
      <c r="N1323">
        <v>89.01</v>
      </c>
      <c r="O1323">
        <v>92.48</v>
      </c>
      <c r="P1323">
        <v>5</v>
      </c>
      <c r="Q1323" t="s">
        <v>37</v>
      </c>
      <c r="R1323">
        <v>76.634999999999906</v>
      </c>
      <c r="S1323">
        <v>7.41</v>
      </c>
      <c r="T1323" s="4">
        <v>55.423999999999999</v>
      </c>
      <c r="U1323" s="4">
        <v>66.770560000000003</v>
      </c>
      <c r="V1323" t="str">
        <f>IF(Table1[[#This Row],[ai_disruption_intensity]]&gt;70,"High",
IF(Table1[[#This Row],[ai_disruption_intensity]]&gt;40,"Medium","Low"))</f>
        <v>Medium</v>
      </c>
      <c r="W1323" t="str">
        <f>IF(Table1[[#This Row],[skill_gap_index]]&gt;70,"Large Gap",
IF(Table1[[#This Row],[skill_gap_index]]&gt;40,"Medium Gap","Small Gap"))</f>
        <v>Large Gap</v>
      </c>
      <c r="X1323" s="3" t="str">
        <f>IF(Table1[[#This Row],[automation_risk_percent]]&gt;0.7,"Highly Automatable",
IF(Table1[[#This Row],[automation_risk_percent]]&gt;0.4,"Moderate Risk","Safe Job"))</f>
        <v>Highly Automatable</v>
      </c>
    </row>
    <row r="1324" spans="1:24" x14ac:dyDescent="0.3">
      <c r="A1324">
        <v>4745</v>
      </c>
      <c r="B1324" t="s">
        <v>29</v>
      </c>
      <c r="C1324" t="s">
        <v>38</v>
      </c>
      <c r="D1324" t="s">
        <v>32</v>
      </c>
      <c r="E1324" s="1">
        <v>2026</v>
      </c>
      <c r="F1324" s="11">
        <v>0.49509999999999998</v>
      </c>
      <c r="G1324">
        <v>48.48</v>
      </c>
      <c r="H1324">
        <v>81.400000000000006</v>
      </c>
      <c r="I1324" s="2">
        <v>140123.23000000001</v>
      </c>
      <c r="J1324" s="2">
        <v>132178.25</v>
      </c>
      <c r="K1324" s="2">
        <f>Table1[[#This Row],[Salary_after]]-Table1[[#This Row],[Salary_before]]</f>
        <v>-7944.9800000000105</v>
      </c>
      <c r="L1324" s="11">
        <v>-5.67E-2</v>
      </c>
      <c r="M1324" s="11">
        <v>-0.16370000000000001</v>
      </c>
      <c r="N1324">
        <v>90.85</v>
      </c>
      <c r="O1324">
        <v>4.7</v>
      </c>
      <c r="P1324">
        <v>2</v>
      </c>
      <c r="Q1324" t="s">
        <v>25</v>
      </c>
      <c r="R1324">
        <v>65.454999999999998</v>
      </c>
      <c r="S1324">
        <v>5.67</v>
      </c>
      <c r="T1324" s="4">
        <v>45.924999999999997</v>
      </c>
      <c r="U1324" s="4">
        <v>2.3269700000000002</v>
      </c>
      <c r="V1324" t="str">
        <f>IF(Table1[[#This Row],[ai_disruption_intensity]]&gt;70,"High",
IF(Table1[[#This Row],[ai_disruption_intensity]]&gt;40,"Medium","Low"))</f>
        <v>Low</v>
      </c>
      <c r="W1324" t="str">
        <f>IF(Table1[[#This Row],[skill_gap_index]]&gt;70,"Large Gap",
IF(Table1[[#This Row],[skill_gap_index]]&gt;40,"Medium Gap","Small Gap"))</f>
        <v>Large Gap</v>
      </c>
      <c r="X1324" s="3" t="str">
        <f>IF(Table1[[#This Row],[automation_risk_percent]]&gt;0.7,"Highly Automatable",
IF(Table1[[#This Row],[automation_risk_percent]]&gt;0.4,"Moderate Risk","Safe Job"))</f>
        <v>Moderate Risk</v>
      </c>
    </row>
    <row r="1325" spans="1:24" x14ac:dyDescent="0.3">
      <c r="A1325">
        <v>4751</v>
      </c>
      <c r="B1325" t="s">
        <v>44</v>
      </c>
      <c r="C1325" t="s">
        <v>34</v>
      </c>
      <c r="D1325" t="s">
        <v>42</v>
      </c>
      <c r="E1325" s="1">
        <v>2025</v>
      </c>
      <c r="F1325" s="11">
        <v>0.47060000000000002</v>
      </c>
      <c r="G1325">
        <v>42.01</v>
      </c>
      <c r="H1325">
        <v>11.49</v>
      </c>
      <c r="I1325" s="2">
        <v>98455.38</v>
      </c>
      <c r="J1325" s="2">
        <v>93192.11</v>
      </c>
      <c r="K1325" s="2">
        <f>Table1[[#This Row],[Salary_after]]-Table1[[#This Row],[Salary_before]]</f>
        <v>-5263.2700000000041</v>
      </c>
      <c r="L1325" s="11">
        <v>-5.3499999999999999E-2</v>
      </c>
      <c r="M1325" s="11">
        <v>0.2263</v>
      </c>
      <c r="N1325">
        <v>36.46</v>
      </c>
      <c r="O1325">
        <v>85.31</v>
      </c>
      <c r="P1325">
        <v>2</v>
      </c>
      <c r="Q1325" t="s">
        <v>25</v>
      </c>
      <c r="R1325">
        <v>29.274999999999999</v>
      </c>
      <c r="S1325">
        <v>5.35</v>
      </c>
      <c r="T1325" s="4">
        <v>23.876000000000001</v>
      </c>
      <c r="U1325" s="4">
        <v>40.146886000000002</v>
      </c>
      <c r="V1325" t="str">
        <f>IF(Table1[[#This Row],[ai_disruption_intensity]]&gt;70,"High",
IF(Table1[[#This Row],[ai_disruption_intensity]]&gt;40,"Medium","Low"))</f>
        <v>Medium</v>
      </c>
      <c r="W1325" t="str">
        <f>IF(Table1[[#This Row],[skill_gap_index]]&gt;70,"Large Gap",
IF(Table1[[#This Row],[skill_gap_index]]&gt;40,"Medium Gap","Small Gap"))</f>
        <v>Small Gap</v>
      </c>
      <c r="X1325" s="3" t="str">
        <f>IF(Table1[[#This Row],[automation_risk_percent]]&gt;0.7,"Highly Automatable",
IF(Table1[[#This Row],[automation_risk_percent]]&gt;0.4,"Moderate Risk","Safe Job"))</f>
        <v>Moderate Risk</v>
      </c>
    </row>
    <row r="1326" spans="1:24" x14ac:dyDescent="0.3">
      <c r="A1326">
        <v>4754</v>
      </c>
      <c r="B1326" t="s">
        <v>45</v>
      </c>
      <c r="C1326" t="s">
        <v>38</v>
      </c>
      <c r="D1326" t="s">
        <v>24</v>
      </c>
      <c r="E1326" s="1">
        <v>2026</v>
      </c>
      <c r="F1326" s="11">
        <v>0.50280000000000002</v>
      </c>
      <c r="G1326">
        <v>49.29</v>
      </c>
      <c r="H1326">
        <v>62.04</v>
      </c>
      <c r="I1326" s="2">
        <v>78491.7</v>
      </c>
      <c r="J1326" s="2">
        <v>71861.039999999994</v>
      </c>
      <c r="K1326" s="2">
        <f>Table1[[#This Row],[Salary_after]]-Table1[[#This Row],[Salary_before]]</f>
        <v>-6630.6600000000035</v>
      </c>
      <c r="L1326" s="11">
        <v>-8.4499999999999992E-2</v>
      </c>
      <c r="M1326" s="11">
        <v>0.129</v>
      </c>
      <c r="N1326">
        <v>86.27</v>
      </c>
      <c r="O1326">
        <v>74.3</v>
      </c>
      <c r="P1326">
        <v>3</v>
      </c>
      <c r="Q1326" t="s">
        <v>25</v>
      </c>
      <c r="R1326">
        <v>56.16</v>
      </c>
      <c r="S1326">
        <v>8.4499999999999993</v>
      </c>
      <c r="T1326" s="4">
        <v>41.259</v>
      </c>
      <c r="U1326" s="4">
        <v>37.358040000000003</v>
      </c>
      <c r="V1326" t="str">
        <f>IF(Table1[[#This Row],[ai_disruption_intensity]]&gt;70,"High",
IF(Table1[[#This Row],[ai_disruption_intensity]]&gt;40,"Medium","Low"))</f>
        <v>Low</v>
      </c>
      <c r="W1326" t="str">
        <f>IF(Table1[[#This Row],[skill_gap_index]]&gt;70,"Large Gap",
IF(Table1[[#This Row],[skill_gap_index]]&gt;40,"Medium Gap","Small Gap"))</f>
        <v>Medium Gap</v>
      </c>
      <c r="X1326" s="3" t="str">
        <f>IF(Table1[[#This Row],[automation_risk_percent]]&gt;0.7,"Highly Automatable",
IF(Table1[[#This Row],[automation_risk_percent]]&gt;0.4,"Moderate Risk","Safe Job"))</f>
        <v>Moderate Risk</v>
      </c>
    </row>
    <row r="1327" spans="1:24" x14ac:dyDescent="0.3">
      <c r="A1327">
        <v>4760</v>
      </c>
      <c r="B1327" t="s">
        <v>29</v>
      </c>
      <c r="C1327" t="s">
        <v>40</v>
      </c>
      <c r="D1327" t="s">
        <v>28</v>
      </c>
      <c r="E1327" s="1">
        <v>2026</v>
      </c>
      <c r="F1327" s="11">
        <v>0.42100000000000004</v>
      </c>
      <c r="G1327">
        <v>45.06</v>
      </c>
      <c r="H1327">
        <v>9.69</v>
      </c>
      <c r="I1327" s="2">
        <v>73233.600000000006</v>
      </c>
      <c r="J1327" s="2">
        <v>79091.94</v>
      </c>
      <c r="K1327" s="2">
        <f>Table1[[#This Row],[Salary_after]]-Table1[[#This Row],[Salary_before]]</f>
        <v>5858.3399999999965</v>
      </c>
      <c r="L1327" s="11">
        <v>0.08</v>
      </c>
      <c r="M1327" s="11">
        <v>2.8999999999999998E-3</v>
      </c>
      <c r="N1327">
        <v>56.31</v>
      </c>
      <c r="O1327">
        <v>64.650000000000006</v>
      </c>
      <c r="P1327">
        <v>5</v>
      </c>
      <c r="Q1327" t="s">
        <v>25</v>
      </c>
      <c r="R1327">
        <v>25.895</v>
      </c>
      <c r="S1327">
        <v>8</v>
      </c>
      <c r="T1327" s="4">
        <v>22.146999999999998</v>
      </c>
      <c r="U1327" s="4">
        <v>27.217649999999999</v>
      </c>
      <c r="V1327" t="str">
        <f>IF(Table1[[#This Row],[ai_disruption_intensity]]&gt;70,"High",
IF(Table1[[#This Row],[ai_disruption_intensity]]&gt;40,"Medium","Low"))</f>
        <v>Low</v>
      </c>
      <c r="W1327" t="str">
        <f>IF(Table1[[#This Row],[skill_gap_index]]&gt;70,"Large Gap",
IF(Table1[[#This Row],[skill_gap_index]]&gt;40,"Medium Gap","Small Gap"))</f>
        <v>Small Gap</v>
      </c>
      <c r="X1327" s="3" t="str">
        <f>IF(Table1[[#This Row],[automation_risk_percent]]&gt;0.7,"Highly Automatable",
IF(Table1[[#This Row],[automation_risk_percent]]&gt;0.4,"Moderate Risk","Safe Job"))</f>
        <v>Moderate Risk</v>
      </c>
    </row>
    <row r="1328" spans="1:24" x14ac:dyDescent="0.3">
      <c r="A1328">
        <v>4762</v>
      </c>
      <c r="B1328" t="s">
        <v>39</v>
      </c>
      <c r="C1328" t="s">
        <v>19</v>
      </c>
      <c r="D1328" t="s">
        <v>28</v>
      </c>
      <c r="E1328" s="1">
        <v>2026</v>
      </c>
      <c r="F1328" s="11">
        <v>0.37319999999999998</v>
      </c>
      <c r="G1328">
        <v>42.58</v>
      </c>
      <c r="H1328">
        <v>13.51</v>
      </c>
      <c r="I1328" s="2">
        <v>140100.5</v>
      </c>
      <c r="J1328" s="2">
        <v>128167.4</v>
      </c>
      <c r="K1328" s="2">
        <f>Table1[[#This Row],[Salary_after]]-Table1[[#This Row],[Salary_before]]</f>
        <v>-11933.100000000006</v>
      </c>
      <c r="L1328" s="11">
        <v>-8.5199999999999998E-2</v>
      </c>
      <c r="M1328" s="11">
        <v>0.2303</v>
      </c>
      <c r="N1328">
        <v>59.18</v>
      </c>
      <c r="O1328">
        <v>15.05</v>
      </c>
      <c r="P1328">
        <v>1</v>
      </c>
      <c r="Q1328" t="s">
        <v>25</v>
      </c>
      <c r="R1328">
        <v>25.414999999999999</v>
      </c>
      <c r="S1328">
        <v>8.52</v>
      </c>
      <c r="T1328" s="4">
        <v>21.536999999999999</v>
      </c>
      <c r="U1328" s="4">
        <v>5.6166600000000004</v>
      </c>
      <c r="V1328" t="str">
        <f>IF(Table1[[#This Row],[ai_disruption_intensity]]&gt;70,"High",
IF(Table1[[#This Row],[ai_disruption_intensity]]&gt;40,"Medium","Low"))</f>
        <v>Low</v>
      </c>
      <c r="W1328" t="str">
        <f>IF(Table1[[#This Row],[skill_gap_index]]&gt;70,"Large Gap",
IF(Table1[[#This Row],[skill_gap_index]]&gt;40,"Medium Gap","Small Gap"))</f>
        <v>Small Gap</v>
      </c>
      <c r="X1328" s="3" t="str">
        <f>IF(Table1[[#This Row],[automation_risk_percent]]&gt;0.7,"Highly Automatable",
IF(Table1[[#This Row],[automation_risk_percent]]&gt;0.4,"Moderate Risk","Safe Job"))</f>
        <v>Safe Job</v>
      </c>
    </row>
    <row r="1329" spans="1:24" x14ac:dyDescent="0.3">
      <c r="A1329">
        <v>4780</v>
      </c>
      <c r="B1329" t="s">
        <v>26</v>
      </c>
      <c r="C1329" t="s">
        <v>40</v>
      </c>
      <c r="D1329" t="s">
        <v>35</v>
      </c>
      <c r="E1329" s="1">
        <v>2025</v>
      </c>
      <c r="F1329" s="11">
        <v>0.22600000000000001</v>
      </c>
      <c r="G1329">
        <v>20.37</v>
      </c>
      <c r="H1329">
        <v>16.13</v>
      </c>
      <c r="I1329" s="2">
        <v>88394.63</v>
      </c>
      <c r="J1329" s="2">
        <v>89196.84</v>
      </c>
      <c r="K1329" s="2">
        <f>Table1[[#This Row],[Salary_after]]-Table1[[#This Row],[Salary_before]]</f>
        <v>802.20999999999185</v>
      </c>
      <c r="L1329" s="11">
        <v>9.1000000000000004E-3</v>
      </c>
      <c r="M1329" s="11">
        <v>3.7100000000000001E-2</v>
      </c>
      <c r="N1329">
        <v>52.36</v>
      </c>
      <c r="O1329">
        <v>44.7</v>
      </c>
      <c r="P1329">
        <v>3</v>
      </c>
      <c r="Q1329" t="s">
        <v>21</v>
      </c>
      <c r="R1329">
        <v>19.364999999999998</v>
      </c>
      <c r="S1329">
        <v>0.91</v>
      </c>
      <c r="T1329" s="4">
        <v>14.151999999999999</v>
      </c>
      <c r="U1329" s="4">
        <v>10.1022</v>
      </c>
      <c r="V1329" t="str">
        <f>IF(Table1[[#This Row],[ai_disruption_intensity]]&gt;70,"High",
IF(Table1[[#This Row],[ai_disruption_intensity]]&gt;40,"Medium","Low"))</f>
        <v>Low</v>
      </c>
      <c r="W1329" t="str">
        <f>IF(Table1[[#This Row],[skill_gap_index]]&gt;70,"Large Gap",
IF(Table1[[#This Row],[skill_gap_index]]&gt;40,"Medium Gap","Small Gap"))</f>
        <v>Small Gap</v>
      </c>
      <c r="X1329" s="3" t="str">
        <f>IF(Table1[[#This Row],[automation_risk_percent]]&gt;0.7,"Highly Automatable",
IF(Table1[[#This Row],[automation_risk_percent]]&gt;0.4,"Moderate Risk","Safe Job"))</f>
        <v>Safe Job</v>
      </c>
    </row>
    <row r="1330" spans="1:24" x14ac:dyDescent="0.3">
      <c r="A1330">
        <v>4781</v>
      </c>
      <c r="B1330" t="s">
        <v>44</v>
      </c>
      <c r="C1330" t="s">
        <v>40</v>
      </c>
      <c r="D1330" t="s">
        <v>24</v>
      </c>
      <c r="E1330" s="1">
        <v>2026</v>
      </c>
      <c r="F1330" s="11">
        <v>0.1013</v>
      </c>
      <c r="G1330">
        <v>11.42</v>
      </c>
      <c r="H1330">
        <v>49.28</v>
      </c>
      <c r="I1330" s="2">
        <v>82787.34</v>
      </c>
      <c r="J1330" s="2">
        <v>91678.82</v>
      </c>
      <c r="K1330" s="2">
        <f>Table1[[#This Row],[Salary_after]]-Table1[[#This Row],[Salary_before]]</f>
        <v>8891.4800000000105</v>
      </c>
      <c r="L1330" s="11">
        <v>0.1074</v>
      </c>
      <c r="M1330" s="11">
        <v>-0.1391</v>
      </c>
      <c r="N1330">
        <v>51.45</v>
      </c>
      <c r="O1330">
        <v>18.16</v>
      </c>
      <c r="P1330">
        <v>3</v>
      </c>
      <c r="Q1330" t="s">
        <v>21</v>
      </c>
      <c r="R1330">
        <v>29.704999999999998</v>
      </c>
      <c r="S1330">
        <v>10.74</v>
      </c>
      <c r="T1330" s="4">
        <v>22.058</v>
      </c>
      <c r="U1330" s="4">
        <v>1.8396079999999999</v>
      </c>
      <c r="V1330" t="str">
        <f>IF(Table1[[#This Row],[ai_disruption_intensity]]&gt;70,"High",
IF(Table1[[#This Row],[ai_disruption_intensity]]&gt;40,"Medium","Low"))</f>
        <v>Low</v>
      </c>
      <c r="W1330" t="str">
        <f>IF(Table1[[#This Row],[skill_gap_index]]&gt;70,"Large Gap",
IF(Table1[[#This Row],[skill_gap_index]]&gt;40,"Medium Gap","Small Gap"))</f>
        <v>Medium Gap</v>
      </c>
      <c r="X1330" s="3" t="str">
        <f>IF(Table1[[#This Row],[automation_risk_percent]]&gt;0.7,"Highly Automatable",
IF(Table1[[#This Row],[automation_risk_percent]]&gt;0.4,"Moderate Risk","Safe Job"))</f>
        <v>Safe Job</v>
      </c>
    </row>
    <row r="1331" spans="1:24" x14ac:dyDescent="0.3">
      <c r="A1331">
        <v>4784</v>
      </c>
      <c r="B1331" t="s">
        <v>26</v>
      </c>
      <c r="C1331" t="s">
        <v>27</v>
      </c>
      <c r="D1331" t="s">
        <v>31</v>
      </c>
      <c r="E1331" s="1">
        <v>2026</v>
      </c>
      <c r="F1331" s="11">
        <v>0.53700000000000003</v>
      </c>
      <c r="G1331">
        <v>55.49</v>
      </c>
      <c r="H1331">
        <v>75.53</v>
      </c>
      <c r="I1331" s="2">
        <v>108407.81</v>
      </c>
      <c r="J1331" s="2">
        <v>105020.96</v>
      </c>
      <c r="K1331" s="2">
        <f>Table1[[#This Row],[Salary_after]]-Table1[[#This Row],[Salary_before]]</f>
        <v>-3386.8499999999913</v>
      </c>
      <c r="L1331" s="11">
        <v>-3.1200000000000002E-2</v>
      </c>
      <c r="M1331" s="11">
        <v>-1.23E-2</v>
      </c>
      <c r="N1331">
        <v>55.65</v>
      </c>
      <c r="O1331">
        <v>30.49</v>
      </c>
      <c r="P1331">
        <v>5</v>
      </c>
      <c r="Q1331" t="s">
        <v>25</v>
      </c>
      <c r="R1331">
        <v>64.614999999999995</v>
      </c>
      <c r="S1331">
        <v>3.12</v>
      </c>
      <c r="T1331" s="4">
        <v>45.075000000000003</v>
      </c>
      <c r="U1331" s="4">
        <v>16.37313</v>
      </c>
      <c r="V1331" t="str">
        <f>IF(Table1[[#This Row],[ai_disruption_intensity]]&gt;70,"High",
IF(Table1[[#This Row],[ai_disruption_intensity]]&gt;40,"Medium","Low"))</f>
        <v>Low</v>
      </c>
      <c r="W1331" t="str">
        <f>IF(Table1[[#This Row],[skill_gap_index]]&gt;70,"Large Gap",
IF(Table1[[#This Row],[skill_gap_index]]&gt;40,"Medium Gap","Small Gap"))</f>
        <v>Large Gap</v>
      </c>
      <c r="X1331" s="3" t="str">
        <f>IF(Table1[[#This Row],[automation_risk_percent]]&gt;0.7,"Highly Automatable",
IF(Table1[[#This Row],[automation_risk_percent]]&gt;0.4,"Moderate Risk","Safe Job"))</f>
        <v>Moderate Risk</v>
      </c>
    </row>
    <row r="1332" spans="1:24" x14ac:dyDescent="0.3">
      <c r="A1332">
        <v>4786</v>
      </c>
      <c r="B1332" t="s">
        <v>43</v>
      </c>
      <c r="C1332" t="s">
        <v>30</v>
      </c>
      <c r="D1332" t="s">
        <v>32</v>
      </c>
      <c r="E1332" s="1">
        <v>2026</v>
      </c>
      <c r="F1332" s="11">
        <v>0.30329999999999996</v>
      </c>
      <c r="G1332">
        <v>26.91</v>
      </c>
      <c r="H1332">
        <v>25.16</v>
      </c>
      <c r="I1332" s="2">
        <v>143083.78</v>
      </c>
      <c r="J1332" s="2">
        <v>160299.29999999999</v>
      </c>
      <c r="K1332" s="2">
        <f>Table1[[#This Row],[Salary_after]]-Table1[[#This Row],[Salary_before]]</f>
        <v>17215.51999999999</v>
      </c>
      <c r="L1332" s="11">
        <v>0.12029999999999999</v>
      </c>
      <c r="M1332" s="11">
        <v>4.53E-2</v>
      </c>
      <c r="N1332">
        <v>29.28</v>
      </c>
      <c r="O1332">
        <v>17.440000000000001</v>
      </c>
      <c r="P1332">
        <v>3</v>
      </c>
      <c r="Q1332" t="s">
        <v>25</v>
      </c>
      <c r="R1332">
        <v>27.744999999999902</v>
      </c>
      <c r="S1332">
        <v>12.03</v>
      </c>
      <c r="T1332" s="4">
        <v>23.288999999999898</v>
      </c>
      <c r="U1332" s="4">
        <v>5.2895519999999996</v>
      </c>
      <c r="V1332" t="str">
        <f>IF(Table1[[#This Row],[ai_disruption_intensity]]&gt;70,"High",
IF(Table1[[#This Row],[ai_disruption_intensity]]&gt;40,"Medium","Low"))</f>
        <v>Low</v>
      </c>
      <c r="W1332" t="str">
        <f>IF(Table1[[#This Row],[skill_gap_index]]&gt;70,"Large Gap",
IF(Table1[[#This Row],[skill_gap_index]]&gt;40,"Medium Gap","Small Gap"))</f>
        <v>Small Gap</v>
      </c>
      <c r="X1332" s="3" t="str">
        <f>IF(Table1[[#This Row],[automation_risk_percent]]&gt;0.7,"Highly Automatable",
IF(Table1[[#This Row],[automation_risk_percent]]&gt;0.4,"Moderate Risk","Safe Job"))</f>
        <v>Safe Job</v>
      </c>
    </row>
    <row r="1333" spans="1:24" x14ac:dyDescent="0.3">
      <c r="A1333">
        <v>4787</v>
      </c>
      <c r="B1333" t="s">
        <v>39</v>
      </c>
      <c r="C1333" t="s">
        <v>33</v>
      </c>
      <c r="D1333" t="s">
        <v>35</v>
      </c>
      <c r="E1333" s="1">
        <v>2025</v>
      </c>
      <c r="F1333" s="11">
        <v>0.72219999999999995</v>
      </c>
      <c r="G1333">
        <v>72.09</v>
      </c>
      <c r="H1333">
        <v>89.52</v>
      </c>
      <c r="I1333" s="2">
        <v>37563.46</v>
      </c>
      <c r="J1333" s="2">
        <v>36960.519999999997</v>
      </c>
      <c r="K1333" s="2">
        <f>Table1[[#This Row],[Salary_after]]-Table1[[#This Row],[Salary_before]]</f>
        <v>-602.94000000000233</v>
      </c>
      <c r="L1333" s="11">
        <v>-1.61E-2</v>
      </c>
      <c r="M1333" s="11">
        <v>0.12909999999999999</v>
      </c>
      <c r="N1333">
        <v>23.98</v>
      </c>
      <c r="O1333">
        <v>68.34</v>
      </c>
      <c r="P1333">
        <v>4</v>
      </c>
      <c r="Q1333" t="s">
        <v>37</v>
      </c>
      <c r="R1333">
        <v>80.87</v>
      </c>
      <c r="S1333">
        <v>1.61</v>
      </c>
      <c r="T1333" s="4">
        <v>56.226999999999997</v>
      </c>
      <c r="U1333" s="4">
        <v>49.355148</v>
      </c>
      <c r="V1333" t="str">
        <f>IF(Table1[[#This Row],[ai_disruption_intensity]]&gt;70,"High",
IF(Table1[[#This Row],[ai_disruption_intensity]]&gt;40,"Medium","Low"))</f>
        <v>Medium</v>
      </c>
      <c r="W1333" t="str">
        <f>IF(Table1[[#This Row],[skill_gap_index]]&gt;70,"Large Gap",
IF(Table1[[#This Row],[skill_gap_index]]&gt;40,"Medium Gap","Small Gap"))</f>
        <v>Large Gap</v>
      </c>
      <c r="X1333" s="3" t="str">
        <f>IF(Table1[[#This Row],[automation_risk_percent]]&gt;0.7,"Highly Automatable",
IF(Table1[[#This Row],[automation_risk_percent]]&gt;0.4,"Moderate Risk","Safe Job"))</f>
        <v>Highly Automatable</v>
      </c>
    </row>
    <row r="1334" spans="1:24" x14ac:dyDescent="0.3">
      <c r="A1334">
        <v>4792</v>
      </c>
      <c r="B1334" t="s">
        <v>26</v>
      </c>
      <c r="C1334" t="s">
        <v>33</v>
      </c>
      <c r="D1334" t="s">
        <v>31</v>
      </c>
      <c r="E1334" s="1">
        <v>2025</v>
      </c>
      <c r="F1334" s="11">
        <v>0.31170000000000003</v>
      </c>
      <c r="G1334">
        <v>28.33</v>
      </c>
      <c r="H1334">
        <v>12.27</v>
      </c>
      <c r="I1334" s="2">
        <v>110643.29</v>
      </c>
      <c r="J1334" s="2">
        <v>106632.05</v>
      </c>
      <c r="K1334" s="2">
        <f>Table1[[#This Row],[Salary_after]]-Table1[[#This Row],[Salary_before]]</f>
        <v>-4011.2399999999907</v>
      </c>
      <c r="L1334" s="11">
        <v>-3.6299999999999999E-2</v>
      </c>
      <c r="M1334" s="11">
        <v>8.9200000000000002E-2</v>
      </c>
      <c r="N1334">
        <v>89.09</v>
      </c>
      <c r="O1334">
        <v>52.63</v>
      </c>
      <c r="P1334">
        <v>2</v>
      </c>
      <c r="Q1334" t="s">
        <v>25</v>
      </c>
      <c r="R1334">
        <v>21.72</v>
      </c>
      <c r="S1334">
        <v>3.63</v>
      </c>
      <c r="T1334" s="4">
        <v>17.238</v>
      </c>
      <c r="U1334" s="4">
        <v>16.404771</v>
      </c>
      <c r="V1334" t="str">
        <f>IF(Table1[[#This Row],[ai_disruption_intensity]]&gt;70,"High",
IF(Table1[[#This Row],[ai_disruption_intensity]]&gt;40,"Medium","Low"))</f>
        <v>Low</v>
      </c>
      <c r="W1334" t="str">
        <f>IF(Table1[[#This Row],[skill_gap_index]]&gt;70,"Large Gap",
IF(Table1[[#This Row],[skill_gap_index]]&gt;40,"Medium Gap","Small Gap"))</f>
        <v>Small Gap</v>
      </c>
      <c r="X1334" s="3" t="str">
        <f>IF(Table1[[#This Row],[automation_risk_percent]]&gt;0.7,"Highly Automatable",
IF(Table1[[#This Row],[automation_risk_percent]]&gt;0.4,"Moderate Risk","Safe Job"))</f>
        <v>Safe Job</v>
      </c>
    </row>
    <row r="1335" spans="1:24" x14ac:dyDescent="0.3">
      <c r="A1335">
        <v>4794</v>
      </c>
      <c r="B1335" t="s">
        <v>26</v>
      </c>
      <c r="C1335" t="s">
        <v>27</v>
      </c>
      <c r="D1335" t="s">
        <v>20</v>
      </c>
      <c r="E1335" s="1">
        <v>2025</v>
      </c>
      <c r="F1335" s="11">
        <v>0.65</v>
      </c>
      <c r="G1335">
        <v>58.19</v>
      </c>
      <c r="H1335">
        <v>25.27</v>
      </c>
      <c r="I1335" s="2">
        <v>72556.72</v>
      </c>
      <c r="J1335" s="2">
        <v>72693.149999999994</v>
      </c>
      <c r="K1335" s="2">
        <f>Table1[[#This Row],[Salary_after]]-Table1[[#This Row],[Salary_before]]</f>
        <v>136.42999999999302</v>
      </c>
      <c r="L1335" s="11">
        <v>1.9E-3</v>
      </c>
      <c r="M1335" s="11">
        <v>0.14730000000000001</v>
      </c>
      <c r="N1335">
        <v>71.400000000000006</v>
      </c>
      <c r="O1335">
        <v>97.63</v>
      </c>
      <c r="P1335">
        <v>3</v>
      </c>
      <c r="Q1335" t="s">
        <v>37</v>
      </c>
      <c r="R1335">
        <v>45.134999999999998</v>
      </c>
      <c r="S1335">
        <v>0.19</v>
      </c>
      <c r="T1335" s="4">
        <v>33.637999999999998</v>
      </c>
      <c r="U1335" s="4">
        <v>63.459499999999998</v>
      </c>
      <c r="V1335" t="str">
        <f>IF(Table1[[#This Row],[ai_disruption_intensity]]&gt;70,"High",
IF(Table1[[#This Row],[ai_disruption_intensity]]&gt;40,"Medium","Low"))</f>
        <v>Medium</v>
      </c>
      <c r="W1335" t="str">
        <f>IF(Table1[[#This Row],[skill_gap_index]]&gt;70,"Large Gap",
IF(Table1[[#This Row],[skill_gap_index]]&gt;40,"Medium Gap","Small Gap"))</f>
        <v>Small Gap</v>
      </c>
      <c r="X1335" s="3" t="str">
        <f>IF(Table1[[#This Row],[automation_risk_percent]]&gt;0.7,"Highly Automatable",
IF(Table1[[#This Row],[automation_risk_percent]]&gt;0.4,"Moderate Risk","Safe Job"))</f>
        <v>Moderate Risk</v>
      </c>
    </row>
    <row r="1336" spans="1:24" x14ac:dyDescent="0.3">
      <c r="A1336">
        <v>4796</v>
      </c>
      <c r="B1336" t="s">
        <v>43</v>
      </c>
      <c r="C1336" t="s">
        <v>23</v>
      </c>
      <c r="D1336" t="s">
        <v>24</v>
      </c>
      <c r="E1336" s="1">
        <v>2026</v>
      </c>
      <c r="F1336" s="11">
        <v>0.2457</v>
      </c>
      <c r="G1336">
        <v>26.57</v>
      </c>
      <c r="H1336">
        <v>88.06</v>
      </c>
      <c r="I1336" s="2">
        <v>39002</v>
      </c>
      <c r="J1336" s="2">
        <v>47319.74</v>
      </c>
      <c r="K1336" s="2">
        <f>Table1[[#This Row],[Salary_after]]-Table1[[#This Row],[Salary_before]]</f>
        <v>8317.739999999998</v>
      </c>
      <c r="L1336" s="11">
        <v>0.21329999999999999</v>
      </c>
      <c r="M1336" s="11">
        <v>-5.7599999999999998E-2</v>
      </c>
      <c r="N1336">
        <v>70.86</v>
      </c>
      <c r="O1336">
        <v>99.62</v>
      </c>
      <c r="P1336">
        <v>3</v>
      </c>
      <c r="Q1336" t="s">
        <v>21</v>
      </c>
      <c r="R1336">
        <v>56.314999999999998</v>
      </c>
      <c r="S1336">
        <v>21.33</v>
      </c>
      <c r="T1336" s="4">
        <v>42.645000000000003</v>
      </c>
      <c r="U1336" s="4">
        <v>24.476634000000001</v>
      </c>
      <c r="V1336" t="str">
        <f>IF(Table1[[#This Row],[ai_disruption_intensity]]&gt;70,"High",
IF(Table1[[#This Row],[ai_disruption_intensity]]&gt;40,"Medium","Low"))</f>
        <v>Low</v>
      </c>
      <c r="W1336" t="str">
        <f>IF(Table1[[#This Row],[skill_gap_index]]&gt;70,"Large Gap",
IF(Table1[[#This Row],[skill_gap_index]]&gt;40,"Medium Gap","Small Gap"))</f>
        <v>Large Gap</v>
      </c>
      <c r="X1336" s="3" t="str">
        <f>IF(Table1[[#This Row],[automation_risk_percent]]&gt;0.7,"Highly Automatable",
IF(Table1[[#This Row],[automation_risk_percent]]&gt;0.4,"Moderate Risk","Safe Job"))</f>
        <v>Safe Job</v>
      </c>
    </row>
    <row r="1337" spans="1:24" x14ac:dyDescent="0.3">
      <c r="A1337">
        <v>4801</v>
      </c>
      <c r="B1337" t="s">
        <v>29</v>
      </c>
      <c r="C1337" t="s">
        <v>19</v>
      </c>
      <c r="D1337" t="s">
        <v>42</v>
      </c>
      <c r="E1337" s="1">
        <v>2026</v>
      </c>
      <c r="F1337" s="11">
        <v>0.53390000000000004</v>
      </c>
      <c r="G1337">
        <v>53.18</v>
      </c>
      <c r="H1337">
        <v>26.46</v>
      </c>
      <c r="I1337" s="2">
        <v>91380.81</v>
      </c>
      <c r="J1337" s="2">
        <v>93961.59</v>
      </c>
      <c r="K1337" s="2">
        <f>Table1[[#This Row],[Salary_after]]-Table1[[#This Row],[Salary_before]]</f>
        <v>2580.7799999999988</v>
      </c>
      <c r="L1337" s="11">
        <v>2.8199999999999999E-2</v>
      </c>
      <c r="M1337" s="11">
        <v>6.8499999999999991E-2</v>
      </c>
      <c r="N1337">
        <v>97.35</v>
      </c>
      <c r="O1337">
        <v>42.67</v>
      </c>
      <c r="P1337">
        <v>2</v>
      </c>
      <c r="Q1337" t="s">
        <v>25</v>
      </c>
      <c r="R1337">
        <v>39.924999999999997</v>
      </c>
      <c r="S1337">
        <v>2.82</v>
      </c>
      <c r="T1337" s="4">
        <v>30.14</v>
      </c>
      <c r="U1337" s="4">
        <v>22.781513</v>
      </c>
      <c r="V1337" t="str">
        <f>IF(Table1[[#This Row],[ai_disruption_intensity]]&gt;70,"High",
IF(Table1[[#This Row],[ai_disruption_intensity]]&gt;40,"Medium","Low"))</f>
        <v>Low</v>
      </c>
      <c r="W1337" t="str">
        <f>IF(Table1[[#This Row],[skill_gap_index]]&gt;70,"Large Gap",
IF(Table1[[#This Row],[skill_gap_index]]&gt;40,"Medium Gap","Small Gap"))</f>
        <v>Small Gap</v>
      </c>
      <c r="X1337" s="3" t="str">
        <f>IF(Table1[[#This Row],[automation_risk_percent]]&gt;0.7,"Highly Automatable",
IF(Table1[[#This Row],[automation_risk_percent]]&gt;0.4,"Moderate Risk","Safe Job"))</f>
        <v>Moderate Risk</v>
      </c>
    </row>
    <row r="1338" spans="1:24" x14ac:dyDescent="0.3">
      <c r="A1338">
        <v>4804</v>
      </c>
      <c r="B1338" t="s">
        <v>44</v>
      </c>
      <c r="C1338" t="s">
        <v>23</v>
      </c>
      <c r="D1338" t="s">
        <v>31</v>
      </c>
      <c r="E1338" s="1">
        <v>2025</v>
      </c>
      <c r="F1338" s="11">
        <v>0.33630000000000004</v>
      </c>
      <c r="G1338">
        <v>28.09</v>
      </c>
      <c r="H1338">
        <v>76.5</v>
      </c>
      <c r="I1338" s="2">
        <v>55658.93</v>
      </c>
      <c r="J1338" s="2">
        <v>50581.07</v>
      </c>
      <c r="K1338" s="2">
        <f>Table1[[#This Row],[Salary_after]]-Table1[[#This Row],[Salary_before]]</f>
        <v>-5077.8600000000006</v>
      </c>
      <c r="L1338" s="11">
        <v>-9.1199999999999989E-2</v>
      </c>
      <c r="M1338" s="11">
        <v>5.74E-2</v>
      </c>
      <c r="N1338">
        <v>65.739999999999995</v>
      </c>
      <c r="O1338">
        <v>94.4</v>
      </c>
      <c r="P1338">
        <v>2</v>
      </c>
      <c r="Q1338" t="s">
        <v>25</v>
      </c>
      <c r="R1338">
        <v>55.064999999999998</v>
      </c>
      <c r="S1338">
        <v>9.1199999999999992</v>
      </c>
      <c r="T1338" s="4">
        <v>39.137999999999998</v>
      </c>
      <c r="U1338" s="4">
        <v>31.74672</v>
      </c>
      <c r="V1338" t="str">
        <f>IF(Table1[[#This Row],[ai_disruption_intensity]]&gt;70,"High",
IF(Table1[[#This Row],[ai_disruption_intensity]]&gt;40,"Medium","Low"))</f>
        <v>Low</v>
      </c>
      <c r="W1338" t="str">
        <f>IF(Table1[[#This Row],[skill_gap_index]]&gt;70,"Large Gap",
IF(Table1[[#This Row],[skill_gap_index]]&gt;40,"Medium Gap","Small Gap"))</f>
        <v>Large Gap</v>
      </c>
      <c r="X1338" s="3" t="str">
        <f>IF(Table1[[#This Row],[automation_risk_percent]]&gt;0.7,"Highly Automatable",
IF(Table1[[#This Row],[automation_risk_percent]]&gt;0.4,"Moderate Risk","Safe Job"))</f>
        <v>Safe Job</v>
      </c>
    </row>
    <row r="1339" spans="1:24" x14ac:dyDescent="0.3">
      <c r="A1339">
        <v>4806</v>
      </c>
      <c r="B1339" t="s">
        <v>45</v>
      </c>
      <c r="C1339" t="s">
        <v>38</v>
      </c>
      <c r="D1339" t="s">
        <v>36</v>
      </c>
      <c r="E1339" s="1">
        <v>2025</v>
      </c>
      <c r="F1339" s="11">
        <v>0.5877</v>
      </c>
      <c r="G1339">
        <v>55.53</v>
      </c>
      <c r="H1339">
        <v>7.83</v>
      </c>
      <c r="I1339" s="2">
        <v>142203.79999999999</v>
      </c>
      <c r="J1339" s="2">
        <v>163311.42000000001</v>
      </c>
      <c r="K1339" s="2">
        <f>Table1[[#This Row],[Salary_after]]-Table1[[#This Row],[Salary_before]]</f>
        <v>21107.620000000024</v>
      </c>
      <c r="L1339" s="11">
        <v>0.1484</v>
      </c>
      <c r="M1339" s="11">
        <v>0.1026</v>
      </c>
      <c r="N1339">
        <v>31.63</v>
      </c>
      <c r="O1339">
        <v>76.150000000000006</v>
      </c>
      <c r="P1339">
        <v>4</v>
      </c>
      <c r="Q1339" t="s">
        <v>25</v>
      </c>
      <c r="R1339">
        <v>33.299999999999997</v>
      </c>
      <c r="S1339">
        <v>14.84</v>
      </c>
      <c r="T1339" s="4">
        <v>30.309000000000001</v>
      </c>
      <c r="U1339" s="4">
        <v>44.753354999999999</v>
      </c>
      <c r="V1339" t="str">
        <f>IF(Table1[[#This Row],[ai_disruption_intensity]]&gt;70,"High",
IF(Table1[[#This Row],[ai_disruption_intensity]]&gt;40,"Medium","Low"))</f>
        <v>Medium</v>
      </c>
      <c r="W1339" t="str">
        <f>IF(Table1[[#This Row],[skill_gap_index]]&gt;70,"Large Gap",
IF(Table1[[#This Row],[skill_gap_index]]&gt;40,"Medium Gap","Small Gap"))</f>
        <v>Small Gap</v>
      </c>
      <c r="X1339" s="3" t="str">
        <f>IF(Table1[[#This Row],[automation_risk_percent]]&gt;0.7,"Highly Automatable",
IF(Table1[[#This Row],[automation_risk_percent]]&gt;0.4,"Moderate Risk","Safe Job"))</f>
        <v>Moderate Risk</v>
      </c>
    </row>
    <row r="1340" spans="1:24" x14ac:dyDescent="0.3">
      <c r="A1340">
        <v>4807</v>
      </c>
      <c r="B1340" t="s">
        <v>39</v>
      </c>
      <c r="C1340" t="s">
        <v>38</v>
      </c>
      <c r="D1340" t="s">
        <v>32</v>
      </c>
      <c r="E1340" s="1">
        <v>2026</v>
      </c>
      <c r="F1340" s="11">
        <v>0.67989999999999995</v>
      </c>
      <c r="G1340">
        <v>66.11</v>
      </c>
      <c r="H1340">
        <v>57.2</v>
      </c>
      <c r="I1340" s="2">
        <v>146624.70000000001</v>
      </c>
      <c r="J1340" s="2">
        <v>143885.63</v>
      </c>
      <c r="K1340" s="2">
        <f>Table1[[#This Row],[Salary_after]]-Table1[[#This Row],[Salary_before]]</f>
        <v>-2739.070000000007</v>
      </c>
      <c r="L1340" s="11">
        <v>-1.8700000000000001E-2</v>
      </c>
      <c r="M1340" s="11">
        <v>0.16739999999999999</v>
      </c>
      <c r="N1340">
        <v>69.81</v>
      </c>
      <c r="O1340">
        <v>78.42</v>
      </c>
      <c r="P1340">
        <v>2</v>
      </c>
      <c r="Q1340" t="s">
        <v>37</v>
      </c>
      <c r="R1340">
        <v>62.594999999999999</v>
      </c>
      <c r="S1340">
        <v>1.87</v>
      </c>
      <c r="T1340" s="4">
        <v>44.916999999999902</v>
      </c>
      <c r="U1340" s="4">
        <v>53.317757999999998</v>
      </c>
      <c r="V1340" t="str">
        <f>IF(Table1[[#This Row],[ai_disruption_intensity]]&gt;70,"High",
IF(Table1[[#This Row],[ai_disruption_intensity]]&gt;40,"Medium","Low"))</f>
        <v>Medium</v>
      </c>
      <c r="W1340" t="str">
        <f>IF(Table1[[#This Row],[skill_gap_index]]&gt;70,"Large Gap",
IF(Table1[[#This Row],[skill_gap_index]]&gt;40,"Medium Gap","Small Gap"))</f>
        <v>Medium Gap</v>
      </c>
      <c r="X1340" s="3" t="str">
        <f>IF(Table1[[#This Row],[automation_risk_percent]]&gt;0.7,"Highly Automatable",
IF(Table1[[#This Row],[automation_risk_percent]]&gt;0.4,"Moderate Risk","Safe Job"))</f>
        <v>Moderate Risk</v>
      </c>
    </row>
    <row r="1341" spans="1:24" x14ac:dyDescent="0.3">
      <c r="A1341">
        <v>4810</v>
      </c>
      <c r="B1341" t="s">
        <v>26</v>
      </c>
      <c r="C1341" t="s">
        <v>27</v>
      </c>
      <c r="D1341" t="s">
        <v>20</v>
      </c>
      <c r="E1341" s="1">
        <v>2025</v>
      </c>
      <c r="F1341" s="11">
        <v>0.25069999999999998</v>
      </c>
      <c r="G1341">
        <v>29.65</v>
      </c>
      <c r="H1341">
        <v>99.5</v>
      </c>
      <c r="I1341" s="2">
        <v>68018.259999999995</v>
      </c>
      <c r="J1341" s="2">
        <v>87726.82</v>
      </c>
      <c r="K1341" s="2">
        <f>Table1[[#This Row],[Salary_after]]-Table1[[#This Row],[Salary_before]]</f>
        <v>19708.560000000012</v>
      </c>
      <c r="L1341" s="11">
        <v>0.2898</v>
      </c>
      <c r="M1341" s="11">
        <v>9.4200000000000006E-2</v>
      </c>
      <c r="N1341">
        <v>62.15</v>
      </c>
      <c r="O1341">
        <v>37.42</v>
      </c>
      <c r="P1341">
        <v>2</v>
      </c>
      <c r="Q1341" t="s">
        <v>21</v>
      </c>
      <c r="R1341">
        <v>62.284999999999997</v>
      </c>
      <c r="S1341">
        <v>28.98</v>
      </c>
      <c r="T1341" s="4">
        <v>48.572000000000003</v>
      </c>
      <c r="U1341" s="4">
        <v>9.3811940000000007</v>
      </c>
      <c r="V1341" t="str">
        <f>IF(Table1[[#This Row],[ai_disruption_intensity]]&gt;70,"High",
IF(Table1[[#This Row],[ai_disruption_intensity]]&gt;40,"Medium","Low"))</f>
        <v>Low</v>
      </c>
      <c r="W1341" t="str">
        <f>IF(Table1[[#This Row],[skill_gap_index]]&gt;70,"Large Gap",
IF(Table1[[#This Row],[skill_gap_index]]&gt;40,"Medium Gap","Small Gap"))</f>
        <v>Large Gap</v>
      </c>
      <c r="X1341" s="3" t="str">
        <f>IF(Table1[[#This Row],[automation_risk_percent]]&gt;0.7,"Highly Automatable",
IF(Table1[[#This Row],[automation_risk_percent]]&gt;0.4,"Moderate Risk","Safe Job"))</f>
        <v>Safe Job</v>
      </c>
    </row>
    <row r="1342" spans="1:24" x14ac:dyDescent="0.3">
      <c r="A1342">
        <v>4816</v>
      </c>
      <c r="B1342" t="s">
        <v>44</v>
      </c>
      <c r="C1342" t="s">
        <v>30</v>
      </c>
      <c r="D1342" t="s">
        <v>47</v>
      </c>
      <c r="E1342" s="1">
        <v>2026</v>
      </c>
      <c r="F1342" s="11">
        <v>0.23920000000000002</v>
      </c>
      <c r="G1342">
        <v>24.63</v>
      </c>
      <c r="H1342">
        <v>40.78</v>
      </c>
      <c r="I1342" s="2">
        <v>131911.16</v>
      </c>
      <c r="J1342" s="2">
        <v>113417.43</v>
      </c>
      <c r="K1342" s="2">
        <f>Table1[[#This Row],[Salary_after]]-Table1[[#This Row],[Salary_before]]</f>
        <v>-18493.73000000001</v>
      </c>
      <c r="L1342" s="11">
        <v>-0.14019999999999999</v>
      </c>
      <c r="M1342" s="11">
        <v>-0.1603</v>
      </c>
      <c r="N1342">
        <v>63.3</v>
      </c>
      <c r="O1342">
        <v>12.32</v>
      </c>
      <c r="P1342">
        <v>4</v>
      </c>
      <c r="Q1342" t="s">
        <v>21</v>
      </c>
      <c r="R1342">
        <v>32.35</v>
      </c>
      <c r="S1342">
        <v>14.02</v>
      </c>
      <c r="T1342" s="4">
        <v>26.007999999999999</v>
      </c>
      <c r="U1342" s="4">
        <v>2.9469439999999998</v>
      </c>
      <c r="V1342" t="str">
        <f>IF(Table1[[#This Row],[ai_disruption_intensity]]&gt;70,"High",
IF(Table1[[#This Row],[ai_disruption_intensity]]&gt;40,"Medium","Low"))</f>
        <v>Low</v>
      </c>
      <c r="W1342" t="str">
        <f>IF(Table1[[#This Row],[skill_gap_index]]&gt;70,"Large Gap",
IF(Table1[[#This Row],[skill_gap_index]]&gt;40,"Medium Gap","Small Gap"))</f>
        <v>Medium Gap</v>
      </c>
      <c r="X1342" s="3" t="str">
        <f>IF(Table1[[#This Row],[automation_risk_percent]]&gt;0.7,"Highly Automatable",
IF(Table1[[#This Row],[automation_risk_percent]]&gt;0.4,"Moderate Risk","Safe Job"))</f>
        <v>Safe Job</v>
      </c>
    </row>
    <row r="1343" spans="1:24" x14ac:dyDescent="0.3">
      <c r="A1343">
        <v>4823</v>
      </c>
      <c r="B1343" t="s">
        <v>18</v>
      </c>
      <c r="C1343" t="s">
        <v>19</v>
      </c>
      <c r="D1343" t="s">
        <v>28</v>
      </c>
      <c r="E1343" s="1">
        <v>2026</v>
      </c>
      <c r="F1343" s="11">
        <v>0.38150000000000001</v>
      </c>
      <c r="G1343">
        <v>43.7</v>
      </c>
      <c r="H1343">
        <v>54.92</v>
      </c>
      <c r="I1343" s="2">
        <v>109989.97</v>
      </c>
      <c r="J1343" s="2">
        <v>104647.36</v>
      </c>
      <c r="K1343" s="2">
        <f>Table1[[#This Row],[Salary_after]]-Table1[[#This Row],[Salary_before]]</f>
        <v>-5342.6100000000006</v>
      </c>
      <c r="L1343" s="11">
        <v>-4.8600000000000004E-2</v>
      </c>
      <c r="M1343" s="11">
        <v>-2.41E-2</v>
      </c>
      <c r="N1343">
        <v>55.94</v>
      </c>
      <c r="O1343">
        <v>88.11</v>
      </c>
      <c r="P1343">
        <v>5</v>
      </c>
      <c r="Q1343" t="s">
        <v>25</v>
      </c>
      <c r="R1343">
        <v>46.534999999999997</v>
      </c>
      <c r="S1343">
        <v>4.8600000000000003</v>
      </c>
      <c r="T1343" s="4">
        <v>33.193999999999903</v>
      </c>
      <c r="U1343" s="4">
        <v>33.613965</v>
      </c>
      <c r="V1343" t="str">
        <f>IF(Table1[[#This Row],[ai_disruption_intensity]]&gt;70,"High",
IF(Table1[[#This Row],[ai_disruption_intensity]]&gt;40,"Medium","Low"))</f>
        <v>Low</v>
      </c>
      <c r="W1343" t="str">
        <f>IF(Table1[[#This Row],[skill_gap_index]]&gt;70,"Large Gap",
IF(Table1[[#This Row],[skill_gap_index]]&gt;40,"Medium Gap","Small Gap"))</f>
        <v>Medium Gap</v>
      </c>
      <c r="X1343" s="3" t="str">
        <f>IF(Table1[[#This Row],[automation_risk_percent]]&gt;0.7,"Highly Automatable",
IF(Table1[[#This Row],[automation_risk_percent]]&gt;0.4,"Moderate Risk","Safe Job"))</f>
        <v>Safe Job</v>
      </c>
    </row>
    <row r="1344" spans="1:24" x14ac:dyDescent="0.3">
      <c r="A1344">
        <v>4828</v>
      </c>
      <c r="B1344" t="s">
        <v>39</v>
      </c>
      <c r="C1344" t="s">
        <v>19</v>
      </c>
      <c r="D1344" t="s">
        <v>24</v>
      </c>
      <c r="E1344" s="1">
        <v>2025</v>
      </c>
      <c r="F1344" s="11">
        <v>0.161</v>
      </c>
      <c r="G1344">
        <v>19.239999999999998</v>
      </c>
      <c r="H1344">
        <v>76.17</v>
      </c>
      <c r="I1344" s="2">
        <v>30444.58</v>
      </c>
      <c r="J1344" s="2">
        <v>32543.21</v>
      </c>
      <c r="K1344" s="2">
        <f>Table1[[#This Row],[Salary_after]]-Table1[[#This Row],[Salary_before]]</f>
        <v>2098.6299999999974</v>
      </c>
      <c r="L1344" s="11">
        <v>6.8900000000000003E-2</v>
      </c>
      <c r="M1344" s="11">
        <v>-6.2E-2</v>
      </c>
      <c r="N1344">
        <v>45.87</v>
      </c>
      <c r="O1344">
        <v>83.18</v>
      </c>
      <c r="P1344">
        <v>3</v>
      </c>
      <c r="Q1344" t="s">
        <v>21</v>
      </c>
      <c r="R1344">
        <v>46.134999999999998</v>
      </c>
      <c r="S1344">
        <v>6.89</v>
      </c>
      <c r="T1344" s="4">
        <v>31.358000000000001</v>
      </c>
      <c r="U1344" s="4">
        <v>13.39198</v>
      </c>
      <c r="V1344" t="str">
        <f>IF(Table1[[#This Row],[ai_disruption_intensity]]&gt;70,"High",
IF(Table1[[#This Row],[ai_disruption_intensity]]&gt;40,"Medium","Low"))</f>
        <v>Low</v>
      </c>
      <c r="W1344" t="str">
        <f>IF(Table1[[#This Row],[skill_gap_index]]&gt;70,"Large Gap",
IF(Table1[[#This Row],[skill_gap_index]]&gt;40,"Medium Gap","Small Gap"))</f>
        <v>Large Gap</v>
      </c>
      <c r="X1344" s="3" t="str">
        <f>IF(Table1[[#This Row],[automation_risk_percent]]&gt;0.7,"Highly Automatable",
IF(Table1[[#This Row],[automation_risk_percent]]&gt;0.4,"Moderate Risk","Safe Job"))</f>
        <v>Safe Job</v>
      </c>
    </row>
    <row r="1345" spans="1:24" x14ac:dyDescent="0.3">
      <c r="A1345">
        <v>4829</v>
      </c>
      <c r="B1345" t="s">
        <v>26</v>
      </c>
      <c r="C1345" t="s">
        <v>27</v>
      </c>
      <c r="D1345" t="s">
        <v>24</v>
      </c>
      <c r="E1345" s="1">
        <v>2026</v>
      </c>
      <c r="F1345" s="11">
        <v>0.35340000000000005</v>
      </c>
      <c r="G1345">
        <v>37.51</v>
      </c>
      <c r="H1345">
        <v>59.7</v>
      </c>
      <c r="I1345" s="2">
        <v>106580.27</v>
      </c>
      <c r="J1345" s="2">
        <v>100067.09</v>
      </c>
      <c r="K1345" s="2">
        <f>Table1[[#This Row],[Salary_after]]-Table1[[#This Row],[Salary_before]]</f>
        <v>-6513.1800000000076</v>
      </c>
      <c r="L1345" s="11">
        <v>-6.1100000000000002E-2</v>
      </c>
      <c r="M1345" s="11">
        <v>-8.0199999999999994E-2</v>
      </c>
      <c r="N1345">
        <v>14.56</v>
      </c>
      <c r="O1345">
        <v>58.76</v>
      </c>
      <c r="P1345">
        <v>1</v>
      </c>
      <c r="Q1345" t="s">
        <v>25</v>
      </c>
      <c r="R1345">
        <v>47.52</v>
      </c>
      <c r="S1345">
        <v>6.11</v>
      </c>
      <c r="T1345" s="4">
        <v>33.878999999999998</v>
      </c>
      <c r="U1345" s="4">
        <v>20.765784</v>
      </c>
      <c r="V1345" t="str">
        <f>IF(Table1[[#This Row],[ai_disruption_intensity]]&gt;70,"High",
IF(Table1[[#This Row],[ai_disruption_intensity]]&gt;40,"Medium","Low"))</f>
        <v>Low</v>
      </c>
      <c r="W1345" t="str">
        <f>IF(Table1[[#This Row],[skill_gap_index]]&gt;70,"Large Gap",
IF(Table1[[#This Row],[skill_gap_index]]&gt;40,"Medium Gap","Small Gap"))</f>
        <v>Medium Gap</v>
      </c>
      <c r="X1345" s="3" t="str">
        <f>IF(Table1[[#This Row],[automation_risk_percent]]&gt;0.7,"Highly Automatable",
IF(Table1[[#This Row],[automation_risk_percent]]&gt;0.4,"Moderate Risk","Safe Job"))</f>
        <v>Safe Job</v>
      </c>
    </row>
    <row r="1346" spans="1:24" x14ac:dyDescent="0.3">
      <c r="A1346">
        <v>4831</v>
      </c>
      <c r="B1346" t="s">
        <v>45</v>
      </c>
      <c r="C1346" t="s">
        <v>38</v>
      </c>
      <c r="D1346" t="s">
        <v>20</v>
      </c>
      <c r="E1346" s="1">
        <v>2026</v>
      </c>
      <c r="F1346" s="11">
        <v>0.76090000000000002</v>
      </c>
      <c r="G1346">
        <v>90.45</v>
      </c>
      <c r="H1346">
        <v>77.2</v>
      </c>
      <c r="I1346" s="2">
        <v>64416.73</v>
      </c>
      <c r="J1346" s="2">
        <v>62646.07</v>
      </c>
      <c r="K1346" s="2">
        <f>Table1[[#This Row],[Salary_after]]-Table1[[#This Row],[Salary_before]]</f>
        <v>-1770.6600000000035</v>
      </c>
      <c r="L1346" s="11">
        <v>-2.75E-2</v>
      </c>
      <c r="M1346" s="11">
        <v>-9.7100000000000006E-2</v>
      </c>
      <c r="N1346">
        <v>99.45</v>
      </c>
      <c r="O1346">
        <v>41.27</v>
      </c>
      <c r="P1346">
        <v>2</v>
      </c>
      <c r="Q1346" t="s">
        <v>37</v>
      </c>
      <c r="R1346">
        <v>76.644999999999996</v>
      </c>
      <c r="S1346">
        <v>2.75</v>
      </c>
      <c r="T1346" s="4">
        <v>54.420999999999999</v>
      </c>
      <c r="U1346" s="4">
        <v>31.402342999999998</v>
      </c>
      <c r="V1346" t="str">
        <f>IF(Table1[[#This Row],[ai_disruption_intensity]]&gt;70,"High",
IF(Table1[[#This Row],[ai_disruption_intensity]]&gt;40,"Medium","Low"))</f>
        <v>Low</v>
      </c>
      <c r="W1346" t="str">
        <f>IF(Table1[[#This Row],[skill_gap_index]]&gt;70,"Large Gap",
IF(Table1[[#This Row],[skill_gap_index]]&gt;40,"Medium Gap","Small Gap"))</f>
        <v>Large Gap</v>
      </c>
      <c r="X1346" s="3" t="str">
        <f>IF(Table1[[#This Row],[automation_risk_percent]]&gt;0.7,"Highly Automatable",
IF(Table1[[#This Row],[automation_risk_percent]]&gt;0.4,"Moderate Risk","Safe Job"))</f>
        <v>Highly Automatable</v>
      </c>
    </row>
    <row r="1347" spans="1:24" x14ac:dyDescent="0.3">
      <c r="A1347">
        <v>4832</v>
      </c>
      <c r="B1347" t="s">
        <v>41</v>
      </c>
      <c r="C1347" t="s">
        <v>27</v>
      </c>
      <c r="D1347" t="s">
        <v>31</v>
      </c>
      <c r="E1347" s="1">
        <v>2025</v>
      </c>
      <c r="F1347" s="11">
        <v>0.38929999999999998</v>
      </c>
      <c r="G1347">
        <v>45.85</v>
      </c>
      <c r="H1347">
        <v>38.590000000000003</v>
      </c>
      <c r="I1347" s="2">
        <v>112907.87</v>
      </c>
      <c r="J1347" s="2">
        <v>118633.09</v>
      </c>
      <c r="K1347" s="2">
        <f>Table1[[#This Row],[Salary_after]]-Table1[[#This Row],[Salary_before]]</f>
        <v>5725.2200000000012</v>
      </c>
      <c r="L1347" s="11">
        <v>5.0700000000000002E-2</v>
      </c>
      <c r="M1347" s="11">
        <v>9.2600000000000002E-2</v>
      </c>
      <c r="N1347">
        <v>83.92</v>
      </c>
      <c r="O1347">
        <v>83.62</v>
      </c>
      <c r="P1347">
        <v>5</v>
      </c>
      <c r="Q1347" t="s">
        <v>25</v>
      </c>
      <c r="R1347">
        <v>38.76</v>
      </c>
      <c r="S1347">
        <v>5.07</v>
      </c>
      <c r="T1347" s="4">
        <v>28.67</v>
      </c>
      <c r="U1347" s="4">
        <v>32.553266000000001</v>
      </c>
      <c r="V1347" t="str">
        <f>IF(Table1[[#This Row],[ai_disruption_intensity]]&gt;70,"High",
IF(Table1[[#This Row],[ai_disruption_intensity]]&gt;40,"Medium","Low"))</f>
        <v>Low</v>
      </c>
      <c r="W1347" t="str">
        <f>IF(Table1[[#This Row],[skill_gap_index]]&gt;70,"Large Gap",
IF(Table1[[#This Row],[skill_gap_index]]&gt;40,"Medium Gap","Small Gap"))</f>
        <v>Small Gap</v>
      </c>
      <c r="X1347" s="3" t="str">
        <f>IF(Table1[[#This Row],[automation_risk_percent]]&gt;0.7,"Highly Automatable",
IF(Table1[[#This Row],[automation_risk_percent]]&gt;0.4,"Moderate Risk","Safe Job"))</f>
        <v>Safe Job</v>
      </c>
    </row>
    <row r="1348" spans="1:24" x14ac:dyDescent="0.3">
      <c r="A1348">
        <v>4837</v>
      </c>
      <c r="B1348" t="s">
        <v>26</v>
      </c>
      <c r="C1348" t="s">
        <v>34</v>
      </c>
      <c r="D1348" t="s">
        <v>31</v>
      </c>
      <c r="E1348" s="1">
        <v>2026</v>
      </c>
      <c r="F1348" s="11">
        <v>0.51080000000000003</v>
      </c>
      <c r="G1348">
        <v>56.39</v>
      </c>
      <c r="H1348">
        <v>32.04</v>
      </c>
      <c r="I1348" s="2">
        <v>86044.22</v>
      </c>
      <c r="J1348" s="2">
        <v>88130.57</v>
      </c>
      <c r="K1348" s="2">
        <f>Table1[[#This Row],[Salary_after]]-Table1[[#This Row],[Salary_before]]</f>
        <v>2086.3500000000058</v>
      </c>
      <c r="L1348" s="11">
        <v>2.4199999999999999E-2</v>
      </c>
      <c r="M1348" s="11">
        <v>8.2699999999999996E-2</v>
      </c>
      <c r="N1348">
        <v>71.58</v>
      </c>
      <c r="O1348">
        <v>6.52</v>
      </c>
      <c r="P1348">
        <v>4</v>
      </c>
      <c r="Q1348" t="s">
        <v>25</v>
      </c>
      <c r="R1348">
        <v>41.56</v>
      </c>
      <c r="S1348">
        <v>2.42</v>
      </c>
      <c r="T1348" s="4">
        <v>30.77</v>
      </c>
      <c r="U1348" s="4">
        <v>3.3304159999999898</v>
      </c>
      <c r="V1348" t="str">
        <f>IF(Table1[[#This Row],[ai_disruption_intensity]]&gt;70,"High",
IF(Table1[[#This Row],[ai_disruption_intensity]]&gt;40,"Medium","Low"))</f>
        <v>Low</v>
      </c>
      <c r="W1348" t="str">
        <f>IF(Table1[[#This Row],[skill_gap_index]]&gt;70,"Large Gap",
IF(Table1[[#This Row],[skill_gap_index]]&gt;40,"Medium Gap","Small Gap"))</f>
        <v>Small Gap</v>
      </c>
      <c r="X1348" s="3" t="str">
        <f>IF(Table1[[#This Row],[automation_risk_percent]]&gt;0.7,"Highly Automatable",
IF(Table1[[#This Row],[automation_risk_percent]]&gt;0.4,"Moderate Risk","Safe Job"))</f>
        <v>Moderate Risk</v>
      </c>
    </row>
    <row r="1349" spans="1:24" x14ac:dyDescent="0.3">
      <c r="A1349">
        <v>4839</v>
      </c>
      <c r="B1349" t="s">
        <v>26</v>
      </c>
      <c r="C1349" t="s">
        <v>38</v>
      </c>
      <c r="D1349" t="s">
        <v>32</v>
      </c>
      <c r="E1349" s="1">
        <v>2026</v>
      </c>
      <c r="F1349" s="11">
        <v>0.59470000000000001</v>
      </c>
      <c r="G1349">
        <v>58.51</v>
      </c>
      <c r="H1349">
        <v>65.349999999999994</v>
      </c>
      <c r="I1349" s="2">
        <v>97817.23</v>
      </c>
      <c r="J1349" s="2">
        <v>83240.25</v>
      </c>
      <c r="K1349" s="2">
        <f>Table1[[#This Row],[Salary_after]]-Table1[[#This Row],[Salary_before]]</f>
        <v>-14576.979999999996</v>
      </c>
      <c r="L1349" s="11">
        <v>-0.14899999999999999</v>
      </c>
      <c r="M1349" s="11">
        <v>-8.2400000000000001E-2</v>
      </c>
      <c r="N1349">
        <v>70.64</v>
      </c>
      <c r="O1349">
        <v>63.22</v>
      </c>
      <c r="P1349">
        <v>3</v>
      </c>
      <c r="Q1349" t="s">
        <v>25</v>
      </c>
      <c r="R1349">
        <v>62.41</v>
      </c>
      <c r="S1349">
        <v>14.9</v>
      </c>
      <c r="T1349" s="4">
        <v>47.863</v>
      </c>
      <c r="U1349" s="4">
        <v>37.596933999999997</v>
      </c>
      <c r="V1349" t="str">
        <f>IF(Table1[[#This Row],[ai_disruption_intensity]]&gt;70,"High",
IF(Table1[[#This Row],[ai_disruption_intensity]]&gt;40,"Medium","Low"))</f>
        <v>Low</v>
      </c>
      <c r="W1349" t="str">
        <f>IF(Table1[[#This Row],[skill_gap_index]]&gt;70,"Large Gap",
IF(Table1[[#This Row],[skill_gap_index]]&gt;40,"Medium Gap","Small Gap"))</f>
        <v>Medium Gap</v>
      </c>
      <c r="X1349" s="3" t="str">
        <f>IF(Table1[[#This Row],[automation_risk_percent]]&gt;0.7,"Highly Automatable",
IF(Table1[[#This Row],[automation_risk_percent]]&gt;0.4,"Moderate Risk","Safe Job"))</f>
        <v>Moderate Risk</v>
      </c>
    </row>
    <row r="1350" spans="1:24" x14ac:dyDescent="0.3">
      <c r="A1350">
        <v>4841</v>
      </c>
      <c r="B1350" t="s">
        <v>18</v>
      </c>
      <c r="C1350" t="s">
        <v>19</v>
      </c>
      <c r="D1350" t="s">
        <v>42</v>
      </c>
      <c r="E1350" s="1">
        <v>2026</v>
      </c>
      <c r="F1350" s="11">
        <v>0.7369</v>
      </c>
      <c r="G1350">
        <v>87.47</v>
      </c>
      <c r="H1350">
        <v>58.16</v>
      </c>
      <c r="I1350" s="2">
        <v>42401.84</v>
      </c>
      <c r="J1350" s="2">
        <v>50452.06</v>
      </c>
      <c r="K1350" s="2">
        <f>Table1[[#This Row],[Salary_after]]-Table1[[#This Row],[Salary_before]]</f>
        <v>8050.2200000000012</v>
      </c>
      <c r="L1350" s="11">
        <v>0.18989999999999999</v>
      </c>
      <c r="M1350" s="11">
        <v>0.19260000000000002</v>
      </c>
      <c r="N1350">
        <v>81.03</v>
      </c>
      <c r="O1350">
        <v>4.82</v>
      </c>
      <c r="P1350">
        <v>5</v>
      </c>
      <c r="Q1350" t="s">
        <v>37</v>
      </c>
      <c r="R1350">
        <v>65.924999999999997</v>
      </c>
      <c r="S1350">
        <v>18.989999999999998</v>
      </c>
      <c r="T1350" s="4">
        <v>52.620999999999903</v>
      </c>
      <c r="U1350" s="4">
        <v>3.5518580000000002</v>
      </c>
      <c r="V1350" t="str">
        <f>IF(Table1[[#This Row],[ai_disruption_intensity]]&gt;70,"High",
IF(Table1[[#This Row],[ai_disruption_intensity]]&gt;40,"Medium","Low"))</f>
        <v>Low</v>
      </c>
      <c r="W1350" t="str">
        <f>IF(Table1[[#This Row],[skill_gap_index]]&gt;70,"Large Gap",
IF(Table1[[#This Row],[skill_gap_index]]&gt;40,"Medium Gap","Small Gap"))</f>
        <v>Medium Gap</v>
      </c>
      <c r="X1350" s="3" t="str">
        <f>IF(Table1[[#This Row],[automation_risk_percent]]&gt;0.7,"Highly Automatable",
IF(Table1[[#This Row],[automation_risk_percent]]&gt;0.4,"Moderate Risk","Safe Job"))</f>
        <v>Highly Automatable</v>
      </c>
    </row>
    <row r="1351" spans="1:24" x14ac:dyDescent="0.3">
      <c r="A1351">
        <v>4842</v>
      </c>
      <c r="B1351" t="s">
        <v>39</v>
      </c>
      <c r="C1351" t="s">
        <v>23</v>
      </c>
      <c r="D1351" t="s">
        <v>20</v>
      </c>
      <c r="E1351" s="1">
        <v>2025</v>
      </c>
      <c r="F1351" s="11">
        <v>0.4264</v>
      </c>
      <c r="G1351">
        <v>49.85</v>
      </c>
      <c r="H1351">
        <v>99.13</v>
      </c>
      <c r="I1351" s="2">
        <v>52965.919999999998</v>
      </c>
      <c r="J1351" s="2">
        <v>50345.87</v>
      </c>
      <c r="K1351" s="2">
        <f>Table1[[#This Row],[Salary_after]]-Table1[[#This Row],[Salary_before]]</f>
        <v>-2620.0499999999956</v>
      </c>
      <c r="L1351" s="11">
        <v>-4.9500000000000002E-2</v>
      </c>
      <c r="M1351" s="11">
        <v>0.1258</v>
      </c>
      <c r="N1351">
        <v>96.37</v>
      </c>
      <c r="O1351">
        <v>69.55</v>
      </c>
      <c r="P1351">
        <v>1</v>
      </c>
      <c r="Q1351" t="s">
        <v>25</v>
      </c>
      <c r="R1351">
        <v>70.884999999999906</v>
      </c>
      <c r="S1351">
        <v>4.95</v>
      </c>
      <c r="T1351" s="4">
        <v>48.28</v>
      </c>
      <c r="U1351" s="4">
        <v>29.656120000000001</v>
      </c>
      <c r="V1351" t="str">
        <f>IF(Table1[[#This Row],[ai_disruption_intensity]]&gt;70,"High",
IF(Table1[[#This Row],[ai_disruption_intensity]]&gt;40,"Medium","Low"))</f>
        <v>Low</v>
      </c>
      <c r="W1351" t="str">
        <f>IF(Table1[[#This Row],[skill_gap_index]]&gt;70,"Large Gap",
IF(Table1[[#This Row],[skill_gap_index]]&gt;40,"Medium Gap","Small Gap"))</f>
        <v>Large Gap</v>
      </c>
      <c r="X1351" s="3" t="str">
        <f>IF(Table1[[#This Row],[automation_risk_percent]]&gt;0.7,"Highly Automatable",
IF(Table1[[#This Row],[automation_risk_percent]]&gt;0.4,"Moderate Risk","Safe Job"))</f>
        <v>Moderate Risk</v>
      </c>
    </row>
    <row r="1352" spans="1:24" x14ac:dyDescent="0.3">
      <c r="A1352">
        <v>4845</v>
      </c>
      <c r="B1352" t="s">
        <v>44</v>
      </c>
      <c r="C1352" t="s">
        <v>40</v>
      </c>
      <c r="D1352" t="s">
        <v>28</v>
      </c>
      <c r="E1352" s="1">
        <v>2025</v>
      </c>
      <c r="F1352" s="11">
        <v>0.17649999999999999</v>
      </c>
      <c r="G1352">
        <v>20.85</v>
      </c>
      <c r="H1352">
        <v>29.43</v>
      </c>
      <c r="I1352" s="2">
        <v>65448.07</v>
      </c>
      <c r="J1352" s="2">
        <v>53366.53</v>
      </c>
      <c r="K1352" s="2">
        <f>Table1[[#This Row],[Salary_after]]-Table1[[#This Row],[Salary_before]]</f>
        <v>-12081.54</v>
      </c>
      <c r="L1352" s="11">
        <v>-0.18460000000000001</v>
      </c>
      <c r="M1352" s="11">
        <v>-6.4699999999999994E-2</v>
      </c>
      <c r="N1352">
        <v>34.57</v>
      </c>
      <c r="O1352">
        <v>4.07</v>
      </c>
      <c r="P1352">
        <v>1</v>
      </c>
      <c r="Q1352" t="s">
        <v>21</v>
      </c>
      <c r="R1352">
        <v>23.54</v>
      </c>
      <c r="S1352">
        <v>18.46</v>
      </c>
      <c r="T1352" s="4">
        <v>21.427</v>
      </c>
      <c r="U1352" s="4">
        <v>0.71835499999999997</v>
      </c>
      <c r="V1352" t="str">
        <f>IF(Table1[[#This Row],[ai_disruption_intensity]]&gt;70,"High",
IF(Table1[[#This Row],[ai_disruption_intensity]]&gt;40,"Medium","Low"))</f>
        <v>Low</v>
      </c>
      <c r="W1352" t="str">
        <f>IF(Table1[[#This Row],[skill_gap_index]]&gt;70,"Large Gap",
IF(Table1[[#This Row],[skill_gap_index]]&gt;40,"Medium Gap","Small Gap"))</f>
        <v>Small Gap</v>
      </c>
      <c r="X1352" s="3" t="str">
        <f>IF(Table1[[#This Row],[automation_risk_percent]]&gt;0.7,"Highly Automatable",
IF(Table1[[#This Row],[automation_risk_percent]]&gt;0.4,"Moderate Risk","Safe Job"))</f>
        <v>Safe Job</v>
      </c>
    </row>
    <row r="1353" spans="1:24" x14ac:dyDescent="0.3">
      <c r="A1353">
        <v>4848</v>
      </c>
      <c r="B1353" t="s">
        <v>43</v>
      </c>
      <c r="C1353" t="s">
        <v>33</v>
      </c>
      <c r="D1353" t="s">
        <v>28</v>
      </c>
      <c r="E1353" s="1">
        <v>2025</v>
      </c>
      <c r="F1353" s="11">
        <v>0.1081</v>
      </c>
      <c r="G1353">
        <v>10.23</v>
      </c>
      <c r="H1353">
        <v>76.09</v>
      </c>
      <c r="I1353" s="2">
        <v>48539.34</v>
      </c>
      <c r="J1353" s="2">
        <v>49545.38</v>
      </c>
      <c r="K1353" s="2">
        <f>Table1[[#This Row],[Salary_after]]-Table1[[#This Row],[Salary_before]]</f>
        <v>1006.0400000000009</v>
      </c>
      <c r="L1353" s="11">
        <v>2.07E-2</v>
      </c>
      <c r="M1353" s="11">
        <v>-1.7000000000000001E-2</v>
      </c>
      <c r="N1353">
        <v>10.9</v>
      </c>
      <c r="O1353">
        <v>80.180000000000007</v>
      </c>
      <c r="P1353">
        <v>5</v>
      </c>
      <c r="Q1353" t="s">
        <v>21</v>
      </c>
      <c r="R1353">
        <v>43.45</v>
      </c>
      <c r="S1353">
        <v>2.0699999999999998</v>
      </c>
      <c r="T1353" s="4">
        <v>27.771999999999998</v>
      </c>
      <c r="U1353" s="4">
        <v>8.6674579999999999</v>
      </c>
      <c r="V1353" t="str">
        <f>IF(Table1[[#This Row],[ai_disruption_intensity]]&gt;70,"High",
IF(Table1[[#This Row],[ai_disruption_intensity]]&gt;40,"Medium","Low"))</f>
        <v>Low</v>
      </c>
      <c r="W1353" t="str">
        <f>IF(Table1[[#This Row],[skill_gap_index]]&gt;70,"Large Gap",
IF(Table1[[#This Row],[skill_gap_index]]&gt;40,"Medium Gap","Small Gap"))</f>
        <v>Large Gap</v>
      </c>
      <c r="X1353" s="3" t="str">
        <f>IF(Table1[[#This Row],[automation_risk_percent]]&gt;0.7,"Highly Automatable",
IF(Table1[[#This Row],[automation_risk_percent]]&gt;0.4,"Moderate Risk","Safe Job"))</f>
        <v>Safe Job</v>
      </c>
    </row>
    <row r="1354" spans="1:24" x14ac:dyDescent="0.3">
      <c r="A1354">
        <v>4855</v>
      </c>
      <c r="B1354" t="s">
        <v>46</v>
      </c>
      <c r="C1354" t="s">
        <v>33</v>
      </c>
      <c r="D1354" t="s">
        <v>32</v>
      </c>
      <c r="E1354" s="1">
        <v>2025</v>
      </c>
      <c r="F1354" s="11">
        <v>0.40869999999999995</v>
      </c>
      <c r="G1354">
        <v>40.99</v>
      </c>
      <c r="H1354">
        <v>26.26</v>
      </c>
      <c r="I1354" s="2">
        <v>108618.96</v>
      </c>
      <c r="J1354" s="2">
        <v>113601.7</v>
      </c>
      <c r="K1354" s="2">
        <f>Table1[[#This Row],[Salary_after]]-Table1[[#This Row],[Salary_before]]</f>
        <v>4982.7399999999907</v>
      </c>
      <c r="L1354" s="11">
        <v>4.5899999999999996E-2</v>
      </c>
      <c r="M1354" s="11">
        <v>4.4600000000000001E-2</v>
      </c>
      <c r="N1354">
        <v>97.14</v>
      </c>
      <c r="O1354">
        <v>90.52</v>
      </c>
      <c r="P1354">
        <v>3</v>
      </c>
      <c r="Q1354" t="s">
        <v>25</v>
      </c>
      <c r="R1354">
        <v>33.564999999999998</v>
      </c>
      <c r="S1354">
        <v>4.59</v>
      </c>
      <c r="T1354" s="4">
        <v>25.602999999999899</v>
      </c>
      <c r="U1354" s="4">
        <v>36.995523999999897</v>
      </c>
      <c r="V1354" t="str">
        <f>IF(Table1[[#This Row],[ai_disruption_intensity]]&gt;70,"High",
IF(Table1[[#This Row],[ai_disruption_intensity]]&gt;40,"Medium","Low"))</f>
        <v>Low</v>
      </c>
      <c r="W1354" t="str">
        <f>IF(Table1[[#This Row],[skill_gap_index]]&gt;70,"Large Gap",
IF(Table1[[#This Row],[skill_gap_index]]&gt;40,"Medium Gap","Small Gap"))</f>
        <v>Small Gap</v>
      </c>
      <c r="X1354" s="3" t="str">
        <f>IF(Table1[[#This Row],[automation_risk_percent]]&gt;0.7,"Highly Automatable",
IF(Table1[[#This Row],[automation_risk_percent]]&gt;0.4,"Moderate Risk","Safe Job"))</f>
        <v>Moderate Risk</v>
      </c>
    </row>
    <row r="1355" spans="1:24" x14ac:dyDescent="0.3">
      <c r="A1355">
        <v>4859</v>
      </c>
      <c r="B1355" t="s">
        <v>41</v>
      </c>
      <c r="C1355" t="s">
        <v>19</v>
      </c>
      <c r="D1355" t="s">
        <v>36</v>
      </c>
      <c r="E1355" s="1">
        <v>2025</v>
      </c>
      <c r="F1355" s="11">
        <v>0.3901</v>
      </c>
      <c r="G1355">
        <v>43.09</v>
      </c>
      <c r="H1355">
        <v>1.23</v>
      </c>
      <c r="I1355" s="2">
        <v>146223.32999999999</v>
      </c>
      <c r="J1355" s="2">
        <v>186547.72</v>
      </c>
      <c r="K1355" s="2">
        <f>Table1[[#This Row],[Salary_after]]-Table1[[#This Row],[Salary_before]]</f>
        <v>40324.390000000014</v>
      </c>
      <c r="L1355" s="11">
        <v>0.27579999999999999</v>
      </c>
      <c r="M1355" s="11">
        <v>0.11810000000000001</v>
      </c>
      <c r="N1355">
        <v>17.57</v>
      </c>
      <c r="O1355">
        <v>36.520000000000003</v>
      </c>
      <c r="P1355">
        <v>4</v>
      </c>
      <c r="Q1355" t="s">
        <v>25</v>
      </c>
      <c r="R1355">
        <v>20.119999999999902</v>
      </c>
      <c r="S1355">
        <v>27.58</v>
      </c>
      <c r="T1355" s="4">
        <v>24.247</v>
      </c>
      <c r="U1355" s="4">
        <v>14.246452</v>
      </c>
      <c r="V1355" t="str">
        <f>IF(Table1[[#This Row],[ai_disruption_intensity]]&gt;70,"High",
IF(Table1[[#This Row],[ai_disruption_intensity]]&gt;40,"Medium","Low"))</f>
        <v>Low</v>
      </c>
      <c r="W1355" t="str">
        <f>IF(Table1[[#This Row],[skill_gap_index]]&gt;70,"Large Gap",
IF(Table1[[#This Row],[skill_gap_index]]&gt;40,"Medium Gap","Small Gap"))</f>
        <v>Small Gap</v>
      </c>
      <c r="X1355" s="3" t="str">
        <f>IF(Table1[[#This Row],[automation_risk_percent]]&gt;0.7,"Highly Automatable",
IF(Table1[[#This Row],[automation_risk_percent]]&gt;0.4,"Moderate Risk","Safe Job"))</f>
        <v>Safe Job</v>
      </c>
    </row>
    <row r="1356" spans="1:24" x14ac:dyDescent="0.3">
      <c r="A1356">
        <v>4860</v>
      </c>
      <c r="B1356" t="s">
        <v>46</v>
      </c>
      <c r="C1356" t="s">
        <v>38</v>
      </c>
      <c r="D1356" t="s">
        <v>42</v>
      </c>
      <c r="E1356" s="1">
        <v>2025</v>
      </c>
      <c r="F1356" s="11">
        <v>0.1094</v>
      </c>
      <c r="G1356">
        <v>11.05</v>
      </c>
      <c r="H1356">
        <v>55.07</v>
      </c>
      <c r="I1356" s="2">
        <v>115160.03</v>
      </c>
      <c r="J1356" s="2">
        <v>114146.79</v>
      </c>
      <c r="K1356" s="2">
        <f>Table1[[#This Row],[Salary_after]]-Table1[[#This Row],[Salary_before]]</f>
        <v>-1013.2400000000052</v>
      </c>
      <c r="L1356" s="11">
        <v>-8.8000000000000005E-3</v>
      </c>
      <c r="M1356" s="11">
        <v>0.15460000000000002</v>
      </c>
      <c r="N1356">
        <v>31</v>
      </c>
      <c r="O1356">
        <v>33.36</v>
      </c>
      <c r="P1356">
        <v>3</v>
      </c>
      <c r="Q1356" t="s">
        <v>21</v>
      </c>
      <c r="R1356">
        <v>33.005000000000003</v>
      </c>
      <c r="S1356">
        <v>0.88</v>
      </c>
      <c r="T1356" s="4">
        <v>21.161000000000001</v>
      </c>
      <c r="U1356" s="4">
        <v>3.6495839999999999</v>
      </c>
      <c r="V1356" t="str">
        <f>IF(Table1[[#This Row],[ai_disruption_intensity]]&gt;70,"High",
IF(Table1[[#This Row],[ai_disruption_intensity]]&gt;40,"Medium","Low"))</f>
        <v>Low</v>
      </c>
      <c r="W1356" t="str">
        <f>IF(Table1[[#This Row],[skill_gap_index]]&gt;70,"Large Gap",
IF(Table1[[#This Row],[skill_gap_index]]&gt;40,"Medium Gap","Small Gap"))</f>
        <v>Medium Gap</v>
      </c>
      <c r="X1356" s="3" t="str">
        <f>IF(Table1[[#This Row],[automation_risk_percent]]&gt;0.7,"Highly Automatable",
IF(Table1[[#This Row],[automation_risk_percent]]&gt;0.4,"Moderate Risk","Safe Job"))</f>
        <v>Safe Job</v>
      </c>
    </row>
    <row r="1357" spans="1:24" x14ac:dyDescent="0.3">
      <c r="A1357">
        <v>4863</v>
      </c>
      <c r="B1357" t="s">
        <v>26</v>
      </c>
      <c r="C1357" t="s">
        <v>38</v>
      </c>
      <c r="D1357" t="s">
        <v>35</v>
      </c>
      <c r="E1357" s="1">
        <v>2026</v>
      </c>
      <c r="F1357" s="11">
        <v>5.5E-2</v>
      </c>
      <c r="G1357">
        <v>6.05</v>
      </c>
      <c r="H1357">
        <v>52.21</v>
      </c>
      <c r="I1357" s="2">
        <v>54569.67</v>
      </c>
      <c r="J1357" s="2">
        <v>65892.460000000006</v>
      </c>
      <c r="K1357" s="2">
        <f>Table1[[#This Row],[Salary_after]]-Table1[[#This Row],[Salary_before]]</f>
        <v>11322.790000000008</v>
      </c>
      <c r="L1357" s="11">
        <v>0.20749999999999999</v>
      </c>
      <c r="M1357" s="11">
        <v>0.17899999999999999</v>
      </c>
      <c r="N1357">
        <v>92.81</v>
      </c>
      <c r="O1357">
        <v>74.209999999999994</v>
      </c>
      <c r="P1357">
        <v>2</v>
      </c>
      <c r="Q1357" t="s">
        <v>21</v>
      </c>
      <c r="R1357">
        <v>28.855</v>
      </c>
      <c r="S1357">
        <v>20.75</v>
      </c>
      <c r="T1357" s="4">
        <v>24.088000000000001</v>
      </c>
      <c r="U1357" s="4">
        <v>4.08155</v>
      </c>
      <c r="V1357" t="str">
        <f>IF(Table1[[#This Row],[ai_disruption_intensity]]&gt;70,"High",
IF(Table1[[#This Row],[ai_disruption_intensity]]&gt;40,"Medium","Low"))</f>
        <v>Low</v>
      </c>
      <c r="W1357" t="str">
        <f>IF(Table1[[#This Row],[skill_gap_index]]&gt;70,"Large Gap",
IF(Table1[[#This Row],[skill_gap_index]]&gt;40,"Medium Gap","Small Gap"))</f>
        <v>Medium Gap</v>
      </c>
      <c r="X1357" s="3" t="str">
        <f>IF(Table1[[#This Row],[automation_risk_percent]]&gt;0.7,"Highly Automatable",
IF(Table1[[#This Row],[automation_risk_percent]]&gt;0.4,"Moderate Risk","Safe Job"))</f>
        <v>Safe Job</v>
      </c>
    </row>
    <row r="1358" spans="1:24" x14ac:dyDescent="0.3">
      <c r="A1358">
        <v>4866</v>
      </c>
      <c r="B1358" t="s">
        <v>22</v>
      </c>
      <c r="C1358" t="s">
        <v>27</v>
      </c>
      <c r="D1358" t="s">
        <v>35</v>
      </c>
      <c r="E1358" s="1">
        <v>2026</v>
      </c>
      <c r="F1358" s="11">
        <v>0.1386</v>
      </c>
      <c r="G1358">
        <v>15.5</v>
      </c>
      <c r="H1358">
        <v>78.44</v>
      </c>
      <c r="I1358" s="2">
        <v>60425.62</v>
      </c>
      <c r="J1358" s="2">
        <v>62274.98</v>
      </c>
      <c r="K1358" s="2">
        <f>Table1[[#This Row],[Salary_after]]-Table1[[#This Row],[Salary_before]]</f>
        <v>1849.3600000000006</v>
      </c>
      <c r="L1358" s="11">
        <v>3.0600000000000002E-2</v>
      </c>
      <c r="M1358" s="11">
        <v>2.5399999999999999E-2</v>
      </c>
      <c r="N1358">
        <v>60.3</v>
      </c>
      <c r="O1358">
        <v>4.5999999999999996</v>
      </c>
      <c r="P1358">
        <v>2</v>
      </c>
      <c r="Q1358" t="s">
        <v>21</v>
      </c>
      <c r="R1358">
        <v>46.15</v>
      </c>
      <c r="S1358">
        <v>3.06</v>
      </c>
      <c r="T1358" s="4">
        <v>29.994</v>
      </c>
      <c r="U1358" s="4">
        <v>0.63755999999999902</v>
      </c>
      <c r="V1358" t="str">
        <f>IF(Table1[[#This Row],[ai_disruption_intensity]]&gt;70,"High",
IF(Table1[[#This Row],[ai_disruption_intensity]]&gt;40,"Medium","Low"))</f>
        <v>Low</v>
      </c>
      <c r="W1358" t="str">
        <f>IF(Table1[[#This Row],[skill_gap_index]]&gt;70,"Large Gap",
IF(Table1[[#This Row],[skill_gap_index]]&gt;40,"Medium Gap","Small Gap"))</f>
        <v>Large Gap</v>
      </c>
      <c r="X1358" s="3" t="str">
        <f>IF(Table1[[#This Row],[automation_risk_percent]]&gt;0.7,"Highly Automatable",
IF(Table1[[#This Row],[automation_risk_percent]]&gt;0.4,"Moderate Risk","Safe Job"))</f>
        <v>Safe Job</v>
      </c>
    </row>
    <row r="1359" spans="1:24" x14ac:dyDescent="0.3">
      <c r="A1359">
        <v>4876</v>
      </c>
      <c r="B1359" t="s">
        <v>44</v>
      </c>
      <c r="C1359" t="s">
        <v>40</v>
      </c>
      <c r="D1359" t="s">
        <v>28</v>
      </c>
      <c r="E1359" s="1">
        <v>2026</v>
      </c>
      <c r="F1359" s="11">
        <v>0.28499999999999998</v>
      </c>
      <c r="G1359">
        <v>25.74</v>
      </c>
      <c r="H1359">
        <v>50.57</v>
      </c>
      <c r="I1359" s="2">
        <v>76926.63</v>
      </c>
      <c r="J1359" s="2">
        <v>78711.83</v>
      </c>
      <c r="K1359" s="2">
        <f>Table1[[#This Row],[Salary_after]]-Table1[[#This Row],[Salary_before]]</f>
        <v>1785.1999999999971</v>
      </c>
      <c r="L1359" s="11">
        <v>2.3199999999999998E-2</v>
      </c>
      <c r="M1359" s="11">
        <v>0.27440000000000003</v>
      </c>
      <c r="N1359">
        <v>26.51</v>
      </c>
      <c r="O1359">
        <v>81</v>
      </c>
      <c r="P1359">
        <v>5</v>
      </c>
      <c r="Q1359" t="s">
        <v>21</v>
      </c>
      <c r="R1359">
        <v>39.534999999999997</v>
      </c>
      <c r="S1359">
        <v>2.3199999999999998</v>
      </c>
      <c r="T1359" s="4">
        <v>27.266999999999999</v>
      </c>
      <c r="U1359" s="4">
        <v>23.085000000000001</v>
      </c>
      <c r="V1359" t="str">
        <f>IF(Table1[[#This Row],[ai_disruption_intensity]]&gt;70,"High",
IF(Table1[[#This Row],[ai_disruption_intensity]]&gt;40,"Medium","Low"))</f>
        <v>Low</v>
      </c>
      <c r="W1359" t="str">
        <f>IF(Table1[[#This Row],[skill_gap_index]]&gt;70,"Large Gap",
IF(Table1[[#This Row],[skill_gap_index]]&gt;40,"Medium Gap","Small Gap"))</f>
        <v>Medium Gap</v>
      </c>
      <c r="X1359" s="3" t="str">
        <f>IF(Table1[[#This Row],[automation_risk_percent]]&gt;0.7,"Highly Automatable",
IF(Table1[[#This Row],[automation_risk_percent]]&gt;0.4,"Moderate Risk","Safe Job"))</f>
        <v>Safe Job</v>
      </c>
    </row>
    <row r="1360" spans="1:24" x14ac:dyDescent="0.3">
      <c r="A1360">
        <v>4878</v>
      </c>
      <c r="B1360" t="s">
        <v>45</v>
      </c>
      <c r="C1360" t="s">
        <v>23</v>
      </c>
      <c r="D1360" t="s">
        <v>47</v>
      </c>
      <c r="E1360" s="1">
        <v>2025</v>
      </c>
      <c r="F1360" s="11">
        <v>0.54549999999999998</v>
      </c>
      <c r="G1360">
        <v>62.83</v>
      </c>
      <c r="H1360">
        <v>55.59</v>
      </c>
      <c r="I1360" s="2">
        <v>63208.24</v>
      </c>
      <c r="J1360" s="2">
        <v>56900.92</v>
      </c>
      <c r="K1360" s="2">
        <f>Table1[[#This Row],[Salary_after]]-Table1[[#This Row],[Salary_before]]</f>
        <v>-6307.32</v>
      </c>
      <c r="L1360" s="11">
        <v>-9.98E-2</v>
      </c>
      <c r="M1360" s="11">
        <v>9.4100000000000003E-2</v>
      </c>
      <c r="N1360">
        <v>53.34</v>
      </c>
      <c r="O1360">
        <v>69.900000000000006</v>
      </c>
      <c r="P1360">
        <v>1</v>
      </c>
      <c r="Q1360" t="s">
        <v>25</v>
      </c>
      <c r="R1360">
        <v>55.07</v>
      </c>
      <c r="S1360">
        <v>9.98</v>
      </c>
      <c r="T1360" s="4">
        <v>41.491</v>
      </c>
      <c r="U1360" s="4">
        <v>38.130450000000003</v>
      </c>
      <c r="V1360" t="str">
        <f>IF(Table1[[#This Row],[ai_disruption_intensity]]&gt;70,"High",
IF(Table1[[#This Row],[ai_disruption_intensity]]&gt;40,"Medium","Low"))</f>
        <v>Low</v>
      </c>
      <c r="W1360" t="str">
        <f>IF(Table1[[#This Row],[skill_gap_index]]&gt;70,"Large Gap",
IF(Table1[[#This Row],[skill_gap_index]]&gt;40,"Medium Gap","Small Gap"))</f>
        <v>Medium Gap</v>
      </c>
      <c r="X1360" s="3" t="str">
        <f>IF(Table1[[#This Row],[automation_risk_percent]]&gt;0.7,"Highly Automatable",
IF(Table1[[#This Row],[automation_risk_percent]]&gt;0.4,"Moderate Risk","Safe Job"))</f>
        <v>Moderate Risk</v>
      </c>
    </row>
    <row r="1361" spans="1:24" x14ac:dyDescent="0.3">
      <c r="A1361">
        <v>4884</v>
      </c>
      <c r="B1361" t="s">
        <v>46</v>
      </c>
      <c r="C1361" t="s">
        <v>27</v>
      </c>
      <c r="D1361" t="s">
        <v>35</v>
      </c>
      <c r="E1361" s="1">
        <v>2026</v>
      </c>
      <c r="F1361" s="11">
        <v>0.62039999999999995</v>
      </c>
      <c r="G1361">
        <v>71.239999999999995</v>
      </c>
      <c r="H1361">
        <v>97.59</v>
      </c>
      <c r="I1361" s="2">
        <v>86880.57</v>
      </c>
      <c r="J1361" s="2">
        <v>95475.42</v>
      </c>
      <c r="K1361" s="2">
        <f>Table1[[#This Row],[Salary_after]]-Table1[[#This Row],[Salary_before]]</f>
        <v>8594.8499999999913</v>
      </c>
      <c r="L1361" s="11">
        <v>9.8900000000000002E-2</v>
      </c>
      <c r="M1361" s="11">
        <v>-2.5499999999999998E-2</v>
      </c>
      <c r="N1361">
        <v>26.24</v>
      </c>
      <c r="O1361">
        <v>24.33</v>
      </c>
      <c r="P1361">
        <v>3</v>
      </c>
      <c r="Q1361" t="s">
        <v>37</v>
      </c>
      <c r="R1361">
        <v>79.814999999999998</v>
      </c>
      <c r="S1361">
        <v>9.89</v>
      </c>
      <c r="T1361" s="4">
        <v>57.06</v>
      </c>
      <c r="U1361" s="4">
        <v>15.094332</v>
      </c>
      <c r="V1361" t="str">
        <f>IF(Table1[[#This Row],[ai_disruption_intensity]]&gt;70,"High",
IF(Table1[[#This Row],[ai_disruption_intensity]]&gt;40,"Medium","Low"))</f>
        <v>Low</v>
      </c>
      <c r="W1361" t="str">
        <f>IF(Table1[[#This Row],[skill_gap_index]]&gt;70,"Large Gap",
IF(Table1[[#This Row],[skill_gap_index]]&gt;40,"Medium Gap","Small Gap"))</f>
        <v>Large Gap</v>
      </c>
      <c r="X1361" s="3" t="str">
        <f>IF(Table1[[#This Row],[automation_risk_percent]]&gt;0.7,"Highly Automatable",
IF(Table1[[#This Row],[automation_risk_percent]]&gt;0.4,"Moderate Risk","Safe Job"))</f>
        <v>Moderate Risk</v>
      </c>
    </row>
    <row r="1362" spans="1:24" x14ac:dyDescent="0.3">
      <c r="A1362">
        <v>4889</v>
      </c>
      <c r="B1362" t="s">
        <v>22</v>
      </c>
      <c r="C1362" t="s">
        <v>40</v>
      </c>
      <c r="D1362" t="s">
        <v>28</v>
      </c>
      <c r="E1362" s="1">
        <v>2025</v>
      </c>
      <c r="F1362" s="11">
        <v>0.61539999999999995</v>
      </c>
      <c r="G1362">
        <v>58.03</v>
      </c>
      <c r="H1362">
        <v>3.85</v>
      </c>
      <c r="I1362" s="2">
        <v>135326.64000000001</v>
      </c>
      <c r="J1362" s="2">
        <v>137358.51999999999</v>
      </c>
      <c r="K1362" s="2">
        <f>Table1[[#This Row],[Salary_after]]-Table1[[#This Row],[Salary_before]]</f>
        <v>2031.8799999999756</v>
      </c>
      <c r="L1362" s="11">
        <v>1.4999999999999999E-2</v>
      </c>
      <c r="M1362" s="11">
        <v>0.10619999999999999</v>
      </c>
      <c r="N1362">
        <v>82.59</v>
      </c>
      <c r="O1362">
        <v>12.11</v>
      </c>
      <c r="P1362">
        <v>2</v>
      </c>
      <c r="Q1362" t="s">
        <v>37</v>
      </c>
      <c r="R1362">
        <v>32.695</v>
      </c>
      <c r="S1362">
        <v>1.5</v>
      </c>
      <c r="T1362" s="4">
        <v>26.221</v>
      </c>
      <c r="U1362" s="4">
        <v>7.45249399999999</v>
      </c>
      <c r="V1362" t="str">
        <f>IF(Table1[[#This Row],[ai_disruption_intensity]]&gt;70,"High",
IF(Table1[[#This Row],[ai_disruption_intensity]]&gt;40,"Medium","Low"))</f>
        <v>Low</v>
      </c>
      <c r="W1362" t="str">
        <f>IF(Table1[[#This Row],[skill_gap_index]]&gt;70,"Large Gap",
IF(Table1[[#This Row],[skill_gap_index]]&gt;40,"Medium Gap","Small Gap"))</f>
        <v>Small Gap</v>
      </c>
      <c r="X1362" s="3" t="str">
        <f>IF(Table1[[#This Row],[automation_risk_percent]]&gt;0.7,"Highly Automatable",
IF(Table1[[#This Row],[automation_risk_percent]]&gt;0.4,"Moderate Risk","Safe Job"))</f>
        <v>Moderate Risk</v>
      </c>
    </row>
    <row r="1363" spans="1:24" x14ac:dyDescent="0.3">
      <c r="A1363">
        <v>4892</v>
      </c>
      <c r="B1363" t="s">
        <v>44</v>
      </c>
      <c r="C1363" t="s">
        <v>40</v>
      </c>
      <c r="D1363" t="s">
        <v>35</v>
      </c>
      <c r="E1363" s="1">
        <v>2026</v>
      </c>
      <c r="F1363" s="11">
        <v>0.39689999999999998</v>
      </c>
      <c r="G1363">
        <v>31.81</v>
      </c>
      <c r="H1363">
        <v>93.8</v>
      </c>
      <c r="I1363" s="2">
        <v>31694.240000000002</v>
      </c>
      <c r="J1363" s="2">
        <v>27692.79</v>
      </c>
      <c r="K1363" s="2">
        <f>Table1[[#This Row],[Salary_after]]-Table1[[#This Row],[Salary_before]]</f>
        <v>-4001.4500000000007</v>
      </c>
      <c r="L1363" s="11">
        <v>-0.1263</v>
      </c>
      <c r="M1363" s="11">
        <v>0.16570000000000001</v>
      </c>
      <c r="N1363">
        <v>52.34</v>
      </c>
      <c r="O1363">
        <v>54.73</v>
      </c>
      <c r="P1363">
        <v>1</v>
      </c>
      <c r="Q1363" t="s">
        <v>25</v>
      </c>
      <c r="R1363">
        <v>66.745000000000005</v>
      </c>
      <c r="S1363">
        <v>12.63</v>
      </c>
      <c r="T1363" s="4">
        <v>47.805</v>
      </c>
      <c r="U1363" s="4">
        <v>21.7223369999999</v>
      </c>
      <c r="V1363" t="str">
        <f>IF(Table1[[#This Row],[ai_disruption_intensity]]&gt;70,"High",
IF(Table1[[#This Row],[ai_disruption_intensity]]&gt;40,"Medium","Low"))</f>
        <v>Low</v>
      </c>
      <c r="W1363" t="str">
        <f>IF(Table1[[#This Row],[skill_gap_index]]&gt;70,"Large Gap",
IF(Table1[[#This Row],[skill_gap_index]]&gt;40,"Medium Gap","Small Gap"))</f>
        <v>Large Gap</v>
      </c>
      <c r="X1363" s="3" t="str">
        <f>IF(Table1[[#This Row],[automation_risk_percent]]&gt;0.7,"Highly Automatable",
IF(Table1[[#This Row],[automation_risk_percent]]&gt;0.4,"Moderate Risk","Safe Job"))</f>
        <v>Safe Job</v>
      </c>
    </row>
    <row r="1364" spans="1:24" x14ac:dyDescent="0.3">
      <c r="A1364">
        <v>4893</v>
      </c>
      <c r="B1364" t="s">
        <v>22</v>
      </c>
      <c r="C1364" t="s">
        <v>23</v>
      </c>
      <c r="D1364" t="s">
        <v>42</v>
      </c>
      <c r="E1364" s="1">
        <v>2025</v>
      </c>
      <c r="F1364" s="11">
        <v>0.38590000000000002</v>
      </c>
      <c r="G1364">
        <v>42.83</v>
      </c>
      <c r="H1364">
        <v>93.07</v>
      </c>
      <c r="I1364" s="2">
        <v>40369.449999999997</v>
      </c>
      <c r="J1364" s="2">
        <v>39023.25</v>
      </c>
      <c r="K1364" s="2">
        <f>Table1[[#This Row],[Salary_after]]-Table1[[#This Row],[Salary_before]]</f>
        <v>-1346.1999999999971</v>
      </c>
      <c r="L1364" s="11">
        <v>-3.3300000000000003E-2</v>
      </c>
      <c r="M1364" s="11">
        <v>7.6999999999999999E-2</v>
      </c>
      <c r="N1364">
        <v>17.22</v>
      </c>
      <c r="O1364">
        <v>95.58</v>
      </c>
      <c r="P1364">
        <v>2</v>
      </c>
      <c r="Q1364" t="s">
        <v>25</v>
      </c>
      <c r="R1364">
        <v>65.83</v>
      </c>
      <c r="S1364">
        <v>3.33</v>
      </c>
      <c r="T1364" s="4">
        <v>44.356000000000002</v>
      </c>
      <c r="U1364" s="4">
        <v>36.884321999999997</v>
      </c>
      <c r="V1364" t="str">
        <f>IF(Table1[[#This Row],[ai_disruption_intensity]]&gt;70,"High",
IF(Table1[[#This Row],[ai_disruption_intensity]]&gt;40,"Medium","Low"))</f>
        <v>Low</v>
      </c>
      <c r="W1364" t="str">
        <f>IF(Table1[[#This Row],[skill_gap_index]]&gt;70,"Large Gap",
IF(Table1[[#This Row],[skill_gap_index]]&gt;40,"Medium Gap","Small Gap"))</f>
        <v>Large Gap</v>
      </c>
      <c r="X1364" s="3" t="str">
        <f>IF(Table1[[#This Row],[automation_risk_percent]]&gt;0.7,"Highly Automatable",
IF(Table1[[#This Row],[automation_risk_percent]]&gt;0.4,"Moderate Risk","Safe Job"))</f>
        <v>Safe Job</v>
      </c>
    </row>
    <row r="1365" spans="1:24" x14ac:dyDescent="0.3">
      <c r="A1365">
        <v>4895</v>
      </c>
      <c r="B1365" t="s">
        <v>39</v>
      </c>
      <c r="C1365" t="s">
        <v>19</v>
      </c>
      <c r="D1365" t="s">
        <v>36</v>
      </c>
      <c r="E1365" s="1">
        <v>2025</v>
      </c>
      <c r="F1365" s="11">
        <v>0.24989999999999998</v>
      </c>
      <c r="G1365">
        <v>20.95</v>
      </c>
      <c r="H1365">
        <v>9.7100000000000009</v>
      </c>
      <c r="I1365" s="2">
        <v>143493.29</v>
      </c>
      <c r="J1365" s="2">
        <v>157648.45000000001</v>
      </c>
      <c r="K1365" s="2">
        <f>Table1[[#This Row],[Salary_after]]-Table1[[#This Row],[Salary_before]]</f>
        <v>14155.160000000003</v>
      </c>
      <c r="L1365" s="11">
        <v>9.8599999999999993E-2</v>
      </c>
      <c r="M1365" s="11">
        <v>9.06E-2</v>
      </c>
      <c r="N1365">
        <v>15.26</v>
      </c>
      <c r="O1365">
        <v>11.95</v>
      </c>
      <c r="P1365">
        <v>5</v>
      </c>
      <c r="Q1365" t="s">
        <v>21</v>
      </c>
      <c r="R1365">
        <v>17.350000000000001</v>
      </c>
      <c r="S1365">
        <v>9.86</v>
      </c>
      <c r="T1365" s="4">
        <v>15.867000000000001</v>
      </c>
      <c r="U1365" s="4">
        <v>2.98630499999999</v>
      </c>
      <c r="V1365" t="str">
        <f>IF(Table1[[#This Row],[ai_disruption_intensity]]&gt;70,"High",
IF(Table1[[#This Row],[ai_disruption_intensity]]&gt;40,"Medium","Low"))</f>
        <v>Low</v>
      </c>
      <c r="W1365" t="str">
        <f>IF(Table1[[#This Row],[skill_gap_index]]&gt;70,"Large Gap",
IF(Table1[[#This Row],[skill_gap_index]]&gt;40,"Medium Gap","Small Gap"))</f>
        <v>Small Gap</v>
      </c>
      <c r="X1365" s="3" t="str">
        <f>IF(Table1[[#This Row],[automation_risk_percent]]&gt;0.7,"Highly Automatable",
IF(Table1[[#This Row],[automation_risk_percent]]&gt;0.4,"Moderate Risk","Safe Job"))</f>
        <v>Safe Job</v>
      </c>
    </row>
    <row r="1366" spans="1:24" x14ac:dyDescent="0.3">
      <c r="A1366">
        <v>4900</v>
      </c>
      <c r="B1366" t="s">
        <v>29</v>
      </c>
      <c r="C1366" t="s">
        <v>23</v>
      </c>
      <c r="D1366" t="s">
        <v>24</v>
      </c>
      <c r="E1366" s="1">
        <v>2025</v>
      </c>
      <c r="F1366" s="11">
        <v>0.87950000000000006</v>
      </c>
      <c r="G1366">
        <v>97.67</v>
      </c>
      <c r="H1366">
        <v>74.75</v>
      </c>
      <c r="I1366" s="2">
        <v>108029.86</v>
      </c>
      <c r="J1366" s="2">
        <v>107781.18</v>
      </c>
      <c r="K1366" s="2">
        <f>Table1[[#This Row],[Salary_after]]-Table1[[#This Row],[Salary_before]]</f>
        <v>-248.68000000000757</v>
      </c>
      <c r="L1366" s="11">
        <v>-2.3E-3</v>
      </c>
      <c r="M1366" s="11">
        <v>0.16769999999999999</v>
      </c>
      <c r="N1366">
        <v>26.36</v>
      </c>
      <c r="O1366">
        <v>76.8</v>
      </c>
      <c r="P1366">
        <v>5</v>
      </c>
      <c r="Q1366" t="s">
        <v>37</v>
      </c>
      <c r="R1366">
        <v>81.349999999999994</v>
      </c>
      <c r="S1366">
        <v>0.23</v>
      </c>
      <c r="T1366" s="4">
        <v>57.673999999999999</v>
      </c>
      <c r="U1366" s="4">
        <v>67.545599999999993</v>
      </c>
      <c r="V1366" t="str">
        <f>IF(Table1[[#This Row],[ai_disruption_intensity]]&gt;70,"High",
IF(Table1[[#This Row],[ai_disruption_intensity]]&gt;40,"Medium","Low"))</f>
        <v>Medium</v>
      </c>
      <c r="W1366" t="str">
        <f>IF(Table1[[#This Row],[skill_gap_index]]&gt;70,"Large Gap",
IF(Table1[[#This Row],[skill_gap_index]]&gt;40,"Medium Gap","Small Gap"))</f>
        <v>Large Gap</v>
      </c>
      <c r="X1366" s="3" t="str">
        <f>IF(Table1[[#This Row],[automation_risk_percent]]&gt;0.7,"Highly Automatable",
IF(Table1[[#This Row],[automation_risk_percent]]&gt;0.4,"Moderate Risk","Safe Job"))</f>
        <v>Highly Automatable</v>
      </c>
    </row>
    <row r="1367" spans="1:24" x14ac:dyDescent="0.3">
      <c r="A1367">
        <v>4901</v>
      </c>
      <c r="B1367" t="s">
        <v>43</v>
      </c>
      <c r="C1367" t="s">
        <v>40</v>
      </c>
      <c r="D1367" t="s">
        <v>36</v>
      </c>
      <c r="E1367" s="1">
        <v>2025</v>
      </c>
      <c r="F1367" s="11">
        <v>0.74370000000000003</v>
      </c>
      <c r="G1367">
        <v>69.650000000000006</v>
      </c>
      <c r="H1367">
        <v>78.3</v>
      </c>
      <c r="I1367" s="2">
        <v>62846.720000000001</v>
      </c>
      <c r="J1367" s="2">
        <v>63840.86</v>
      </c>
      <c r="K1367" s="2">
        <f>Table1[[#This Row],[Salary_after]]-Table1[[#This Row],[Salary_before]]</f>
        <v>994.13999999999942</v>
      </c>
      <c r="L1367" s="11">
        <v>1.5800000000000002E-2</v>
      </c>
      <c r="M1367" s="11">
        <v>8.8200000000000001E-2</v>
      </c>
      <c r="N1367">
        <v>61.23</v>
      </c>
      <c r="O1367">
        <v>77.989999999999995</v>
      </c>
      <c r="P1367">
        <v>2</v>
      </c>
      <c r="Q1367" t="s">
        <v>37</v>
      </c>
      <c r="R1367">
        <v>76.334999999999994</v>
      </c>
      <c r="S1367">
        <v>1.58</v>
      </c>
      <c r="T1367" s="4">
        <v>53.711999999999897</v>
      </c>
      <c r="U1367" s="4">
        <v>58.001162999999998</v>
      </c>
      <c r="V1367" t="str">
        <f>IF(Table1[[#This Row],[ai_disruption_intensity]]&gt;70,"High",
IF(Table1[[#This Row],[ai_disruption_intensity]]&gt;40,"Medium","Low"))</f>
        <v>Medium</v>
      </c>
      <c r="W1367" t="str">
        <f>IF(Table1[[#This Row],[skill_gap_index]]&gt;70,"Large Gap",
IF(Table1[[#This Row],[skill_gap_index]]&gt;40,"Medium Gap","Small Gap"))</f>
        <v>Large Gap</v>
      </c>
      <c r="X1367" s="3" t="str">
        <f>IF(Table1[[#This Row],[automation_risk_percent]]&gt;0.7,"Highly Automatable",
IF(Table1[[#This Row],[automation_risk_percent]]&gt;0.4,"Moderate Risk","Safe Job"))</f>
        <v>Highly Automatable</v>
      </c>
    </row>
    <row r="1368" spans="1:24" x14ac:dyDescent="0.3">
      <c r="A1368">
        <v>4906</v>
      </c>
      <c r="B1368" t="s">
        <v>39</v>
      </c>
      <c r="C1368" t="s">
        <v>33</v>
      </c>
      <c r="D1368" t="s">
        <v>28</v>
      </c>
      <c r="E1368" s="1">
        <v>2026</v>
      </c>
      <c r="F1368" s="11">
        <v>0.20079999999999998</v>
      </c>
      <c r="G1368">
        <v>23.55</v>
      </c>
      <c r="H1368">
        <v>28.47</v>
      </c>
      <c r="I1368" s="2">
        <v>108778.83</v>
      </c>
      <c r="J1368" s="2">
        <v>126420.86</v>
      </c>
      <c r="K1368" s="2">
        <f>Table1[[#This Row],[Salary_after]]-Table1[[#This Row],[Salary_before]]</f>
        <v>17642.03</v>
      </c>
      <c r="L1368" s="11">
        <v>0.16219999999999998</v>
      </c>
      <c r="M1368" s="11">
        <v>0.17670000000000002</v>
      </c>
      <c r="N1368">
        <v>89.11</v>
      </c>
      <c r="O1368">
        <v>29.59</v>
      </c>
      <c r="P1368">
        <v>5</v>
      </c>
      <c r="Q1368" t="s">
        <v>21</v>
      </c>
      <c r="R1368">
        <v>24.274999999999999</v>
      </c>
      <c r="S1368">
        <v>16.22</v>
      </c>
      <c r="T1368" s="4">
        <v>21.439</v>
      </c>
      <c r="U1368" s="4">
        <v>5.9416719999999996</v>
      </c>
      <c r="V1368" t="str">
        <f>IF(Table1[[#This Row],[ai_disruption_intensity]]&gt;70,"High",
IF(Table1[[#This Row],[ai_disruption_intensity]]&gt;40,"Medium","Low"))</f>
        <v>Low</v>
      </c>
      <c r="W1368" t="str">
        <f>IF(Table1[[#This Row],[skill_gap_index]]&gt;70,"Large Gap",
IF(Table1[[#This Row],[skill_gap_index]]&gt;40,"Medium Gap","Small Gap"))</f>
        <v>Small Gap</v>
      </c>
      <c r="X1368" s="3" t="str">
        <f>IF(Table1[[#This Row],[automation_risk_percent]]&gt;0.7,"Highly Automatable",
IF(Table1[[#This Row],[automation_risk_percent]]&gt;0.4,"Moderate Risk","Safe Job"))</f>
        <v>Safe Job</v>
      </c>
    </row>
    <row r="1369" spans="1:24" x14ac:dyDescent="0.3">
      <c r="A1369">
        <v>4909</v>
      </c>
      <c r="B1369" t="s">
        <v>46</v>
      </c>
      <c r="C1369" t="s">
        <v>23</v>
      </c>
      <c r="D1369" t="s">
        <v>24</v>
      </c>
      <c r="E1369" s="1">
        <v>2025</v>
      </c>
      <c r="F1369" s="11">
        <v>8.5500000000000007E-2</v>
      </c>
      <c r="G1369">
        <v>9.35</v>
      </c>
      <c r="H1369">
        <v>26.34</v>
      </c>
      <c r="I1369" s="2">
        <v>116781.51</v>
      </c>
      <c r="J1369" s="2">
        <v>110716.52</v>
      </c>
      <c r="K1369" s="2">
        <f>Table1[[#This Row],[Salary_after]]-Table1[[#This Row],[Salary_before]]</f>
        <v>-6064.9899999999907</v>
      </c>
      <c r="L1369" s="11">
        <v>-5.1900000000000002E-2</v>
      </c>
      <c r="M1369" s="11">
        <v>0.12029999999999999</v>
      </c>
      <c r="N1369">
        <v>27.27</v>
      </c>
      <c r="O1369">
        <v>14.53</v>
      </c>
      <c r="P1369">
        <v>3</v>
      </c>
      <c r="Q1369" t="s">
        <v>21</v>
      </c>
      <c r="R1369">
        <v>17.445</v>
      </c>
      <c r="S1369">
        <v>5.19</v>
      </c>
      <c r="T1369" s="4">
        <v>12.879</v>
      </c>
      <c r="U1369" s="4">
        <v>1.2423150000000001</v>
      </c>
      <c r="V1369" t="str">
        <f>IF(Table1[[#This Row],[ai_disruption_intensity]]&gt;70,"High",
IF(Table1[[#This Row],[ai_disruption_intensity]]&gt;40,"Medium","Low"))</f>
        <v>Low</v>
      </c>
      <c r="W1369" t="str">
        <f>IF(Table1[[#This Row],[skill_gap_index]]&gt;70,"Large Gap",
IF(Table1[[#This Row],[skill_gap_index]]&gt;40,"Medium Gap","Small Gap"))</f>
        <v>Small Gap</v>
      </c>
      <c r="X1369" s="3" t="str">
        <f>IF(Table1[[#This Row],[automation_risk_percent]]&gt;0.7,"Highly Automatable",
IF(Table1[[#This Row],[automation_risk_percent]]&gt;0.4,"Moderate Risk","Safe Job"))</f>
        <v>Safe Job</v>
      </c>
    </row>
    <row r="1370" spans="1:24" x14ac:dyDescent="0.3">
      <c r="A1370">
        <v>4910</v>
      </c>
      <c r="B1370" t="s">
        <v>43</v>
      </c>
      <c r="C1370" t="s">
        <v>40</v>
      </c>
      <c r="D1370" t="s">
        <v>20</v>
      </c>
      <c r="E1370" s="1">
        <v>2025</v>
      </c>
      <c r="F1370" s="11">
        <v>0.24010000000000001</v>
      </c>
      <c r="G1370">
        <v>21.77</v>
      </c>
      <c r="H1370">
        <v>86.87</v>
      </c>
      <c r="I1370" s="2">
        <v>122400.53</v>
      </c>
      <c r="J1370" s="2">
        <v>125180.84</v>
      </c>
      <c r="K1370" s="2">
        <f>Table1[[#This Row],[Salary_after]]-Table1[[#This Row],[Salary_before]]</f>
        <v>2780.3099999999977</v>
      </c>
      <c r="L1370" s="11">
        <v>2.2700000000000001E-2</v>
      </c>
      <c r="M1370" s="11">
        <v>-1.1599999999999999E-2</v>
      </c>
      <c r="N1370">
        <v>23.63</v>
      </c>
      <c r="O1370">
        <v>6.23</v>
      </c>
      <c r="P1370">
        <v>4</v>
      </c>
      <c r="Q1370" t="s">
        <v>21</v>
      </c>
      <c r="R1370">
        <v>55.44</v>
      </c>
      <c r="S1370">
        <v>2.27</v>
      </c>
      <c r="T1370" s="4">
        <v>36.345999999999997</v>
      </c>
      <c r="U1370" s="4">
        <v>1.4958229999999999</v>
      </c>
      <c r="V1370" t="str">
        <f>IF(Table1[[#This Row],[ai_disruption_intensity]]&gt;70,"High",
IF(Table1[[#This Row],[ai_disruption_intensity]]&gt;40,"Medium","Low"))</f>
        <v>Low</v>
      </c>
      <c r="W1370" t="str">
        <f>IF(Table1[[#This Row],[skill_gap_index]]&gt;70,"Large Gap",
IF(Table1[[#This Row],[skill_gap_index]]&gt;40,"Medium Gap","Small Gap"))</f>
        <v>Large Gap</v>
      </c>
      <c r="X1370" s="3" t="str">
        <f>IF(Table1[[#This Row],[automation_risk_percent]]&gt;0.7,"Highly Automatable",
IF(Table1[[#This Row],[automation_risk_percent]]&gt;0.4,"Moderate Risk","Safe Job"))</f>
        <v>Safe Job</v>
      </c>
    </row>
    <row r="1371" spans="1:24" x14ac:dyDescent="0.3">
      <c r="A1371">
        <v>4911</v>
      </c>
      <c r="B1371" t="s">
        <v>45</v>
      </c>
      <c r="C1371" t="s">
        <v>40</v>
      </c>
      <c r="D1371" t="s">
        <v>42</v>
      </c>
      <c r="E1371" s="1">
        <v>2025</v>
      </c>
      <c r="F1371" s="11">
        <v>0.63180000000000003</v>
      </c>
      <c r="G1371">
        <v>62.36</v>
      </c>
      <c r="H1371">
        <v>59.91</v>
      </c>
      <c r="I1371" s="2">
        <v>81042.36</v>
      </c>
      <c r="J1371" s="2">
        <v>81850.52</v>
      </c>
      <c r="K1371" s="2">
        <f>Table1[[#This Row],[Salary_after]]-Table1[[#This Row],[Salary_before]]</f>
        <v>808.16000000000349</v>
      </c>
      <c r="L1371" s="11">
        <v>0.01</v>
      </c>
      <c r="M1371" s="11">
        <v>3.2000000000000001E-2</v>
      </c>
      <c r="N1371">
        <v>83.83</v>
      </c>
      <c r="O1371">
        <v>4.1399999999999997</v>
      </c>
      <c r="P1371">
        <v>3</v>
      </c>
      <c r="Q1371" t="s">
        <v>37</v>
      </c>
      <c r="R1371">
        <v>61.545000000000002</v>
      </c>
      <c r="S1371">
        <v>1</v>
      </c>
      <c r="T1371" s="4">
        <v>43.545000000000002</v>
      </c>
      <c r="U1371" s="4">
        <v>2.6156519999999999</v>
      </c>
      <c r="V1371" t="str">
        <f>IF(Table1[[#This Row],[ai_disruption_intensity]]&gt;70,"High",
IF(Table1[[#This Row],[ai_disruption_intensity]]&gt;40,"Medium","Low"))</f>
        <v>Low</v>
      </c>
      <c r="W1371" t="str">
        <f>IF(Table1[[#This Row],[skill_gap_index]]&gt;70,"Large Gap",
IF(Table1[[#This Row],[skill_gap_index]]&gt;40,"Medium Gap","Small Gap"))</f>
        <v>Medium Gap</v>
      </c>
      <c r="X1371" s="3" t="str">
        <f>IF(Table1[[#This Row],[automation_risk_percent]]&gt;0.7,"Highly Automatable",
IF(Table1[[#This Row],[automation_risk_percent]]&gt;0.4,"Moderate Risk","Safe Job"))</f>
        <v>Moderate Risk</v>
      </c>
    </row>
    <row r="1372" spans="1:24" x14ac:dyDescent="0.3">
      <c r="A1372">
        <v>4913</v>
      </c>
      <c r="B1372" t="s">
        <v>18</v>
      </c>
      <c r="C1372" t="s">
        <v>33</v>
      </c>
      <c r="D1372" t="s">
        <v>24</v>
      </c>
      <c r="E1372" s="1">
        <v>2026</v>
      </c>
      <c r="F1372" s="11">
        <v>0.37070000000000003</v>
      </c>
      <c r="G1372">
        <v>38.909999999999997</v>
      </c>
      <c r="H1372">
        <v>65.010000000000005</v>
      </c>
      <c r="I1372" s="2">
        <v>100196.22</v>
      </c>
      <c r="J1372" s="2">
        <v>100491.45</v>
      </c>
      <c r="K1372" s="2">
        <f>Table1[[#This Row],[Salary_after]]-Table1[[#This Row],[Salary_before]]</f>
        <v>295.22999999999593</v>
      </c>
      <c r="L1372" s="11">
        <v>2.8999999999999998E-3</v>
      </c>
      <c r="M1372" s="11">
        <v>-9.5299999999999996E-2</v>
      </c>
      <c r="N1372">
        <v>89.59</v>
      </c>
      <c r="O1372">
        <v>86.86</v>
      </c>
      <c r="P1372">
        <v>5</v>
      </c>
      <c r="Q1372" t="s">
        <v>25</v>
      </c>
      <c r="R1372">
        <v>51.04</v>
      </c>
      <c r="S1372">
        <v>0.28999999999999998</v>
      </c>
      <c r="T1372" s="4">
        <v>34.417999999999999</v>
      </c>
      <c r="U1372" s="4">
        <v>32.199002</v>
      </c>
      <c r="V1372" t="str">
        <f>IF(Table1[[#This Row],[ai_disruption_intensity]]&gt;70,"High",
IF(Table1[[#This Row],[ai_disruption_intensity]]&gt;40,"Medium","Low"))</f>
        <v>Low</v>
      </c>
      <c r="W1372" t="str">
        <f>IF(Table1[[#This Row],[skill_gap_index]]&gt;70,"Large Gap",
IF(Table1[[#This Row],[skill_gap_index]]&gt;40,"Medium Gap","Small Gap"))</f>
        <v>Medium Gap</v>
      </c>
      <c r="X1372" s="3" t="str">
        <f>IF(Table1[[#This Row],[automation_risk_percent]]&gt;0.7,"Highly Automatable",
IF(Table1[[#This Row],[automation_risk_percent]]&gt;0.4,"Moderate Risk","Safe Job"))</f>
        <v>Safe Job</v>
      </c>
    </row>
    <row r="1373" spans="1:24" x14ac:dyDescent="0.3">
      <c r="A1373">
        <v>4915</v>
      </c>
      <c r="B1373" t="s">
        <v>43</v>
      </c>
      <c r="C1373" t="s">
        <v>27</v>
      </c>
      <c r="D1373" t="s">
        <v>42</v>
      </c>
      <c r="E1373" s="1">
        <v>2025</v>
      </c>
      <c r="F1373" s="11">
        <v>0.62770000000000004</v>
      </c>
      <c r="G1373">
        <v>64.39</v>
      </c>
      <c r="H1373">
        <v>59.82</v>
      </c>
      <c r="I1373" s="2">
        <v>68469.87</v>
      </c>
      <c r="J1373" s="2">
        <v>67055.41</v>
      </c>
      <c r="K1373" s="2">
        <f>Table1[[#This Row],[Salary_after]]-Table1[[#This Row],[Salary_before]]</f>
        <v>-1414.4599999999919</v>
      </c>
      <c r="L1373" s="11">
        <v>-2.07E-2</v>
      </c>
      <c r="M1373" s="11">
        <v>3.1899999999999998E-2</v>
      </c>
      <c r="N1373">
        <v>26.38</v>
      </c>
      <c r="O1373">
        <v>93.4</v>
      </c>
      <c r="P1373">
        <v>2</v>
      </c>
      <c r="Q1373" t="s">
        <v>37</v>
      </c>
      <c r="R1373">
        <v>61.295000000000002</v>
      </c>
      <c r="S1373">
        <v>2.0699999999999998</v>
      </c>
      <c r="T1373" s="4">
        <v>43.674999999999997</v>
      </c>
      <c r="U1373" s="4">
        <v>58.627180000000003</v>
      </c>
      <c r="V1373" t="str">
        <f>IF(Table1[[#This Row],[ai_disruption_intensity]]&gt;70,"High",
IF(Table1[[#This Row],[ai_disruption_intensity]]&gt;40,"Medium","Low"))</f>
        <v>Medium</v>
      </c>
      <c r="W1373" t="str">
        <f>IF(Table1[[#This Row],[skill_gap_index]]&gt;70,"Large Gap",
IF(Table1[[#This Row],[skill_gap_index]]&gt;40,"Medium Gap","Small Gap"))</f>
        <v>Medium Gap</v>
      </c>
      <c r="X1373" s="3" t="str">
        <f>IF(Table1[[#This Row],[automation_risk_percent]]&gt;0.7,"Highly Automatable",
IF(Table1[[#This Row],[automation_risk_percent]]&gt;0.4,"Moderate Risk","Safe Job"))</f>
        <v>Moderate Risk</v>
      </c>
    </row>
    <row r="1374" spans="1:24" x14ac:dyDescent="0.3">
      <c r="A1374">
        <v>4917</v>
      </c>
      <c r="B1374" t="s">
        <v>41</v>
      </c>
      <c r="C1374" t="s">
        <v>30</v>
      </c>
      <c r="D1374" t="s">
        <v>31</v>
      </c>
      <c r="E1374" s="1">
        <v>2026</v>
      </c>
      <c r="F1374" s="11">
        <v>0.40279999999999999</v>
      </c>
      <c r="G1374">
        <v>45.61</v>
      </c>
      <c r="H1374">
        <v>65.709999999999994</v>
      </c>
      <c r="I1374" s="2">
        <v>56433.62</v>
      </c>
      <c r="J1374" s="2">
        <v>58284.43</v>
      </c>
      <c r="K1374" s="2">
        <f>Table1[[#This Row],[Salary_after]]-Table1[[#This Row],[Salary_before]]</f>
        <v>1850.8099999999977</v>
      </c>
      <c r="L1374" s="11">
        <v>3.2799999999999996E-2</v>
      </c>
      <c r="M1374" s="11">
        <v>2.63E-2</v>
      </c>
      <c r="N1374">
        <v>21.68</v>
      </c>
      <c r="O1374">
        <v>61.64</v>
      </c>
      <c r="P1374">
        <v>1</v>
      </c>
      <c r="Q1374" t="s">
        <v>25</v>
      </c>
      <c r="R1374">
        <v>52.994999999999997</v>
      </c>
      <c r="S1374">
        <v>3.28</v>
      </c>
      <c r="T1374" s="4">
        <v>36.808999999999997</v>
      </c>
      <c r="U1374" s="4">
        <v>24.828592</v>
      </c>
      <c r="V1374" t="str">
        <f>IF(Table1[[#This Row],[ai_disruption_intensity]]&gt;70,"High",
IF(Table1[[#This Row],[ai_disruption_intensity]]&gt;40,"Medium","Low"))</f>
        <v>Low</v>
      </c>
      <c r="W1374" t="str">
        <f>IF(Table1[[#This Row],[skill_gap_index]]&gt;70,"Large Gap",
IF(Table1[[#This Row],[skill_gap_index]]&gt;40,"Medium Gap","Small Gap"))</f>
        <v>Medium Gap</v>
      </c>
      <c r="X1374" s="3" t="str">
        <f>IF(Table1[[#This Row],[automation_risk_percent]]&gt;0.7,"Highly Automatable",
IF(Table1[[#This Row],[automation_risk_percent]]&gt;0.4,"Moderate Risk","Safe Job"))</f>
        <v>Moderate Risk</v>
      </c>
    </row>
    <row r="1375" spans="1:24" x14ac:dyDescent="0.3">
      <c r="A1375">
        <v>4926</v>
      </c>
      <c r="B1375" t="s">
        <v>43</v>
      </c>
      <c r="C1375" t="s">
        <v>19</v>
      </c>
      <c r="D1375" t="s">
        <v>42</v>
      </c>
      <c r="E1375" s="1">
        <v>2026</v>
      </c>
      <c r="F1375" s="11">
        <v>0.38590000000000002</v>
      </c>
      <c r="G1375">
        <v>34.619999999999997</v>
      </c>
      <c r="H1375">
        <v>19.59</v>
      </c>
      <c r="I1375" s="2">
        <v>109008.84</v>
      </c>
      <c r="J1375" s="2">
        <v>105564.4</v>
      </c>
      <c r="K1375" s="2">
        <f>Table1[[#This Row],[Salary_after]]-Table1[[#This Row],[Salary_before]]</f>
        <v>-3444.4400000000023</v>
      </c>
      <c r="L1375" s="11">
        <v>-3.1600000000000003E-2</v>
      </c>
      <c r="M1375" s="11">
        <v>0.1588</v>
      </c>
      <c r="N1375">
        <v>59.56</v>
      </c>
      <c r="O1375">
        <v>70.67</v>
      </c>
      <c r="P1375">
        <v>1</v>
      </c>
      <c r="Q1375" t="s">
        <v>25</v>
      </c>
      <c r="R1375">
        <v>29.09</v>
      </c>
      <c r="S1375">
        <v>3.16</v>
      </c>
      <c r="T1375" s="4">
        <v>22.260999999999999</v>
      </c>
      <c r="U1375" s="4">
        <v>27.271553000000001</v>
      </c>
      <c r="V1375" t="str">
        <f>IF(Table1[[#This Row],[ai_disruption_intensity]]&gt;70,"High",
IF(Table1[[#This Row],[ai_disruption_intensity]]&gt;40,"Medium","Low"))</f>
        <v>Low</v>
      </c>
      <c r="W1375" t="str">
        <f>IF(Table1[[#This Row],[skill_gap_index]]&gt;70,"Large Gap",
IF(Table1[[#This Row],[skill_gap_index]]&gt;40,"Medium Gap","Small Gap"))</f>
        <v>Small Gap</v>
      </c>
      <c r="X1375" s="3" t="str">
        <f>IF(Table1[[#This Row],[automation_risk_percent]]&gt;0.7,"Highly Automatable",
IF(Table1[[#This Row],[automation_risk_percent]]&gt;0.4,"Moderate Risk","Safe Job"))</f>
        <v>Safe Job</v>
      </c>
    </row>
    <row r="1376" spans="1:24" x14ac:dyDescent="0.3">
      <c r="A1376">
        <v>4929</v>
      </c>
      <c r="B1376" t="s">
        <v>43</v>
      </c>
      <c r="C1376" t="s">
        <v>34</v>
      </c>
      <c r="D1376" t="s">
        <v>42</v>
      </c>
      <c r="E1376" s="1">
        <v>2026</v>
      </c>
      <c r="F1376" s="11">
        <v>0.38</v>
      </c>
      <c r="G1376">
        <v>45.51</v>
      </c>
      <c r="H1376">
        <v>85.12</v>
      </c>
      <c r="I1376" s="2">
        <v>146891.64000000001</v>
      </c>
      <c r="J1376" s="2">
        <v>152068.71</v>
      </c>
      <c r="K1376" s="2">
        <f>Table1[[#This Row],[Salary_after]]-Table1[[#This Row],[Salary_before]]</f>
        <v>5177.0699999999779</v>
      </c>
      <c r="L1376" s="11">
        <v>3.5200000000000002E-2</v>
      </c>
      <c r="M1376" s="11">
        <v>9.6799999999999997E-2</v>
      </c>
      <c r="N1376">
        <v>94.95</v>
      </c>
      <c r="O1376">
        <v>41.98</v>
      </c>
      <c r="P1376">
        <v>1</v>
      </c>
      <c r="Q1376" t="s">
        <v>25</v>
      </c>
      <c r="R1376">
        <v>61.56</v>
      </c>
      <c r="S1376">
        <v>3.52</v>
      </c>
      <c r="T1376" s="4">
        <v>41.792000000000002</v>
      </c>
      <c r="U1376" s="4">
        <v>15.9523999999999</v>
      </c>
      <c r="V1376" t="str">
        <f>IF(Table1[[#This Row],[ai_disruption_intensity]]&gt;70,"High",
IF(Table1[[#This Row],[ai_disruption_intensity]]&gt;40,"Medium","Low"))</f>
        <v>Low</v>
      </c>
      <c r="W1376" t="str">
        <f>IF(Table1[[#This Row],[skill_gap_index]]&gt;70,"Large Gap",
IF(Table1[[#This Row],[skill_gap_index]]&gt;40,"Medium Gap","Small Gap"))</f>
        <v>Large Gap</v>
      </c>
      <c r="X1376" s="3" t="str">
        <f>IF(Table1[[#This Row],[automation_risk_percent]]&gt;0.7,"Highly Automatable",
IF(Table1[[#This Row],[automation_risk_percent]]&gt;0.4,"Moderate Risk","Safe Job"))</f>
        <v>Safe Job</v>
      </c>
    </row>
    <row r="1377" spans="1:24" x14ac:dyDescent="0.3">
      <c r="A1377">
        <v>4935</v>
      </c>
      <c r="B1377" t="s">
        <v>46</v>
      </c>
      <c r="C1377" t="s">
        <v>34</v>
      </c>
      <c r="D1377" t="s">
        <v>20</v>
      </c>
      <c r="E1377" s="1">
        <v>2025</v>
      </c>
      <c r="F1377" s="11">
        <v>0.33289999999999997</v>
      </c>
      <c r="G1377">
        <v>27.31</v>
      </c>
      <c r="H1377">
        <v>99.3</v>
      </c>
      <c r="I1377" s="2">
        <v>83714.539999999994</v>
      </c>
      <c r="J1377" s="2">
        <v>89253.41</v>
      </c>
      <c r="K1377" s="2">
        <f>Table1[[#This Row],[Salary_after]]-Table1[[#This Row],[Salary_before]]</f>
        <v>5538.8700000000099</v>
      </c>
      <c r="L1377" s="11">
        <v>6.6199999999999995E-2</v>
      </c>
      <c r="M1377" s="11">
        <v>2.5699999999999997E-2</v>
      </c>
      <c r="N1377">
        <v>39.65</v>
      </c>
      <c r="O1377">
        <v>43.2</v>
      </c>
      <c r="P1377">
        <v>4</v>
      </c>
      <c r="Q1377" t="s">
        <v>25</v>
      </c>
      <c r="R1377">
        <v>66.295000000000002</v>
      </c>
      <c r="S1377">
        <v>6.62</v>
      </c>
      <c r="T1377" s="4">
        <v>45.091999999999999</v>
      </c>
      <c r="U1377" s="4">
        <v>14.38128</v>
      </c>
      <c r="V1377" t="str">
        <f>IF(Table1[[#This Row],[ai_disruption_intensity]]&gt;70,"High",
IF(Table1[[#This Row],[ai_disruption_intensity]]&gt;40,"Medium","Low"))</f>
        <v>Low</v>
      </c>
      <c r="W1377" t="str">
        <f>IF(Table1[[#This Row],[skill_gap_index]]&gt;70,"Large Gap",
IF(Table1[[#This Row],[skill_gap_index]]&gt;40,"Medium Gap","Small Gap"))</f>
        <v>Large Gap</v>
      </c>
      <c r="X1377" s="3" t="str">
        <f>IF(Table1[[#This Row],[automation_risk_percent]]&gt;0.7,"Highly Automatable",
IF(Table1[[#This Row],[automation_risk_percent]]&gt;0.4,"Moderate Risk","Safe Job"))</f>
        <v>Safe Job</v>
      </c>
    </row>
    <row r="1378" spans="1:24" x14ac:dyDescent="0.3">
      <c r="A1378">
        <v>4937</v>
      </c>
      <c r="B1378" t="s">
        <v>18</v>
      </c>
      <c r="C1378" t="s">
        <v>23</v>
      </c>
      <c r="D1378" t="s">
        <v>31</v>
      </c>
      <c r="E1378" s="1">
        <v>2025</v>
      </c>
      <c r="F1378" s="11">
        <v>0.61950000000000005</v>
      </c>
      <c r="G1378">
        <v>66.569999999999993</v>
      </c>
      <c r="H1378">
        <v>43.86</v>
      </c>
      <c r="I1378" s="2">
        <v>58633.65</v>
      </c>
      <c r="J1378" s="2">
        <v>64268.5</v>
      </c>
      <c r="K1378" s="2">
        <f>Table1[[#This Row],[Salary_after]]-Table1[[#This Row],[Salary_before]]</f>
        <v>5634.8499999999985</v>
      </c>
      <c r="L1378" s="11">
        <v>9.6099999999999991E-2</v>
      </c>
      <c r="M1378" s="11">
        <v>0.20960000000000001</v>
      </c>
      <c r="N1378">
        <v>75.37</v>
      </c>
      <c r="O1378">
        <v>36.58</v>
      </c>
      <c r="P1378">
        <v>5</v>
      </c>
      <c r="Q1378" t="s">
        <v>37</v>
      </c>
      <c r="R1378">
        <v>52.905000000000001</v>
      </c>
      <c r="S1378">
        <v>9.61</v>
      </c>
      <c r="T1378" s="4">
        <v>40.820999999999998</v>
      </c>
      <c r="U1378" s="4">
        <v>22.66131</v>
      </c>
      <c r="V1378" t="str">
        <f>IF(Table1[[#This Row],[ai_disruption_intensity]]&gt;70,"High",
IF(Table1[[#This Row],[ai_disruption_intensity]]&gt;40,"Medium","Low"))</f>
        <v>Low</v>
      </c>
      <c r="W1378" t="str">
        <f>IF(Table1[[#This Row],[skill_gap_index]]&gt;70,"Large Gap",
IF(Table1[[#This Row],[skill_gap_index]]&gt;40,"Medium Gap","Small Gap"))</f>
        <v>Medium Gap</v>
      </c>
      <c r="X1378" s="3" t="str">
        <f>IF(Table1[[#This Row],[automation_risk_percent]]&gt;0.7,"Highly Automatable",
IF(Table1[[#This Row],[automation_risk_percent]]&gt;0.4,"Moderate Risk","Safe Job"))</f>
        <v>Moderate Risk</v>
      </c>
    </row>
    <row r="1379" spans="1:24" x14ac:dyDescent="0.3">
      <c r="A1379">
        <v>4939</v>
      </c>
      <c r="B1379" t="s">
        <v>41</v>
      </c>
      <c r="C1379" t="s">
        <v>27</v>
      </c>
      <c r="D1379" t="s">
        <v>28</v>
      </c>
      <c r="E1379" s="1">
        <v>2026</v>
      </c>
      <c r="F1379" s="11">
        <v>0.26479999999999998</v>
      </c>
      <c r="G1379">
        <v>28.08</v>
      </c>
      <c r="H1379">
        <v>24.31</v>
      </c>
      <c r="I1379" s="2">
        <v>43840.21</v>
      </c>
      <c r="J1379" s="2">
        <v>43255.42</v>
      </c>
      <c r="K1379" s="2">
        <f>Table1[[#This Row],[Salary_after]]-Table1[[#This Row],[Salary_before]]</f>
        <v>-584.79000000000087</v>
      </c>
      <c r="L1379" s="11">
        <v>-1.3300000000000001E-2</v>
      </c>
      <c r="M1379" s="11">
        <v>-0.10369999999999999</v>
      </c>
      <c r="N1379">
        <v>14.49</v>
      </c>
      <c r="O1379">
        <v>88.32</v>
      </c>
      <c r="P1379">
        <v>1</v>
      </c>
      <c r="Q1379" t="s">
        <v>21</v>
      </c>
      <c r="R1379">
        <v>25.395</v>
      </c>
      <c r="S1379">
        <v>1.33</v>
      </c>
      <c r="T1379" s="4">
        <v>18.283999999999999</v>
      </c>
      <c r="U1379" s="4">
        <v>23.387136000000002</v>
      </c>
      <c r="V1379" t="str">
        <f>IF(Table1[[#This Row],[ai_disruption_intensity]]&gt;70,"High",
IF(Table1[[#This Row],[ai_disruption_intensity]]&gt;40,"Medium","Low"))</f>
        <v>Low</v>
      </c>
      <c r="W1379" t="str">
        <f>IF(Table1[[#This Row],[skill_gap_index]]&gt;70,"Large Gap",
IF(Table1[[#This Row],[skill_gap_index]]&gt;40,"Medium Gap","Small Gap"))</f>
        <v>Small Gap</v>
      </c>
      <c r="X1379" s="3" t="str">
        <f>IF(Table1[[#This Row],[automation_risk_percent]]&gt;0.7,"Highly Automatable",
IF(Table1[[#This Row],[automation_risk_percent]]&gt;0.4,"Moderate Risk","Safe Job"))</f>
        <v>Safe Job</v>
      </c>
    </row>
    <row r="1380" spans="1:24" x14ac:dyDescent="0.3">
      <c r="A1380">
        <v>4946</v>
      </c>
      <c r="B1380" t="s">
        <v>45</v>
      </c>
      <c r="C1380" t="s">
        <v>38</v>
      </c>
      <c r="D1380" t="s">
        <v>35</v>
      </c>
      <c r="E1380" s="1">
        <v>2026</v>
      </c>
      <c r="F1380" s="11">
        <v>0.20980000000000001</v>
      </c>
      <c r="G1380">
        <v>20.95</v>
      </c>
      <c r="H1380">
        <v>31.02</v>
      </c>
      <c r="I1380" s="2">
        <v>97916.02</v>
      </c>
      <c r="J1380" s="2">
        <v>116765.59</v>
      </c>
      <c r="K1380" s="2">
        <f>Table1[[#This Row],[Salary_after]]-Table1[[#This Row],[Salary_before]]</f>
        <v>18849.569999999992</v>
      </c>
      <c r="L1380" s="11">
        <v>0.1925</v>
      </c>
      <c r="M1380" s="11">
        <v>1.6200000000000003E-2</v>
      </c>
      <c r="N1380">
        <v>92.29</v>
      </c>
      <c r="O1380">
        <v>20.05</v>
      </c>
      <c r="P1380">
        <v>1</v>
      </c>
      <c r="Q1380" t="s">
        <v>21</v>
      </c>
      <c r="R1380">
        <v>26</v>
      </c>
      <c r="S1380">
        <v>19.25</v>
      </c>
      <c r="T1380" s="4">
        <v>23.472999999999999</v>
      </c>
      <c r="U1380" s="4">
        <v>4.2064899999999996</v>
      </c>
      <c r="V1380" t="str">
        <f>IF(Table1[[#This Row],[ai_disruption_intensity]]&gt;70,"High",
IF(Table1[[#This Row],[ai_disruption_intensity]]&gt;40,"Medium","Low"))</f>
        <v>Low</v>
      </c>
      <c r="W1380" t="str">
        <f>IF(Table1[[#This Row],[skill_gap_index]]&gt;70,"Large Gap",
IF(Table1[[#This Row],[skill_gap_index]]&gt;40,"Medium Gap","Small Gap"))</f>
        <v>Small Gap</v>
      </c>
      <c r="X1380" s="3" t="str">
        <f>IF(Table1[[#This Row],[automation_risk_percent]]&gt;0.7,"Highly Automatable",
IF(Table1[[#This Row],[automation_risk_percent]]&gt;0.4,"Moderate Risk","Safe Job"))</f>
        <v>Safe Job</v>
      </c>
    </row>
    <row r="1381" spans="1:24" x14ac:dyDescent="0.3">
      <c r="A1381">
        <v>4947</v>
      </c>
      <c r="B1381" t="s">
        <v>43</v>
      </c>
      <c r="C1381" t="s">
        <v>40</v>
      </c>
      <c r="D1381" t="s">
        <v>47</v>
      </c>
      <c r="E1381" s="1">
        <v>2026</v>
      </c>
      <c r="F1381" s="11">
        <v>0.67480000000000007</v>
      </c>
      <c r="G1381">
        <v>79.61</v>
      </c>
      <c r="H1381">
        <v>37.36</v>
      </c>
      <c r="I1381" s="2">
        <v>43639.519999999997</v>
      </c>
      <c r="J1381" s="2">
        <v>46067.06</v>
      </c>
      <c r="K1381" s="2">
        <f>Table1[[#This Row],[Salary_after]]-Table1[[#This Row],[Salary_before]]</f>
        <v>2427.5400000000009</v>
      </c>
      <c r="L1381" s="11">
        <v>5.5599999999999997E-2</v>
      </c>
      <c r="M1381" s="11">
        <v>0.13900000000000001</v>
      </c>
      <c r="N1381">
        <v>29.14</v>
      </c>
      <c r="O1381">
        <v>44.52</v>
      </c>
      <c r="P1381">
        <v>4</v>
      </c>
      <c r="Q1381" t="s">
        <v>37</v>
      </c>
      <c r="R1381">
        <v>52.42</v>
      </c>
      <c r="S1381">
        <v>5.56</v>
      </c>
      <c r="T1381" s="4">
        <v>39.868000000000002</v>
      </c>
      <c r="U1381" s="4">
        <v>30.042096000000001</v>
      </c>
      <c r="V1381" t="str">
        <f>IF(Table1[[#This Row],[ai_disruption_intensity]]&gt;70,"High",
IF(Table1[[#This Row],[ai_disruption_intensity]]&gt;40,"Medium","Low"))</f>
        <v>Low</v>
      </c>
      <c r="W1381" t="str">
        <f>IF(Table1[[#This Row],[skill_gap_index]]&gt;70,"Large Gap",
IF(Table1[[#This Row],[skill_gap_index]]&gt;40,"Medium Gap","Small Gap"))</f>
        <v>Small Gap</v>
      </c>
      <c r="X1381" s="3" t="str">
        <f>IF(Table1[[#This Row],[automation_risk_percent]]&gt;0.7,"Highly Automatable",
IF(Table1[[#This Row],[automation_risk_percent]]&gt;0.4,"Moderate Risk","Safe Job"))</f>
        <v>Moderate Risk</v>
      </c>
    </row>
    <row r="1382" spans="1:24" x14ac:dyDescent="0.3">
      <c r="A1382">
        <v>4950</v>
      </c>
      <c r="B1382" t="s">
        <v>26</v>
      </c>
      <c r="C1382" t="s">
        <v>23</v>
      </c>
      <c r="D1382" t="s">
        <v>35</v>
      </c>
      <c r="E1382" s="1">
        <v>2026</v>
      </c>
      <c r="F1382" s="11">
        <v>0.25700000000000001</v>
      </c>
      <c r="G1382">
        <v>30.48</v>
      </c>
      <c r="H1382">
        <v>40.19</v>
      </c>
      <c r="I1382" s="2">
        <v>47512.6</v>
      </c>
      <c r="J1382" s="2">
        <v>48523.91</v>
      </c>
      <c r="K1382" s="2">
        <f>Table1[[#This Row],[Salary_after]]-Table1[[#This Row],[Salary_before]]</f>
        <v>1011.3100000000049</v>
      </c>
      <c r="L1382" s="11">
        <v>2.1299999999999999E-2</v>
      </c>
      <c r="M1382" s="11">
        <v>7.7800000000000008E-2</v>
      </c>
      <c r="N1382">
        <v>80.77</v>
      </c>
      <c r="O1382">
        <v>8.94</v>
      </c>
      <c r="P1382">
        <v>2</v>
      </c>
      <c r="Q1382" t="s">
        <v>21</v>
      </c>
      <c r="R1382">
        <v>32.945</v>
      </c>
      <c r="S1382">
        <v>2.13</v>
      </c>
      <c r="T1382" s="4">
        <v>22.975999999999999</v>
      </c>
      <c r="U1382" s="4">
        <v>2.29758</v>
      </c>
      <c r="V1382" t="str">
        <f>IF(Table1[[#This Row],[ai_disruption_intensity]]&gt;70,"High",
IF(Table1[[#This Row],[ai_disruption_intensity]]&gt;40,"Medium","Low"))</f>
        <v>Low</v>
      </c>
      <c r="W1382" t="str">
        <f>IF(Table1[[#This Row],[skill_gap_index]]&gt;70,"Large Gap",
IF(Table1[[#This Row],[skill_gap_index]]&gt;40,"Medium Gap","Small Gap"))</f>
        <v>Medium Gap</v>
      </c>
      <c r="X1382" s="3" t="str">
        <f>IF(Table1[[#This Row],[automation_risk_percent]]&gt;0.7,"Highly Automatable",
IF(Table1[[#This Row],[automation_risk_percent]]&gt;0.4,"Moderate Risk","Safe Job"))</f>
        <v>Safe Job</v>
      </c>
    </row>
    <row r="1383" spans="1:24" x14ac:dyDescent="0.3">
      <c r="A1383">
        <v>4955</v>
      </c>
      <c r="B1383" t="s">
        <v>46</v>
      </c>
      <c r="C1383" t="s">
        <v>27</v>
      </c>
      <c r="D1383" t="s">
        <v>47</v>
      </c>
      <c r="E1383" s="1">
        <v>2025</v>
      </c>
      <c r="F1383" s="11">
        <v>0.26150000000000001</v>
      </c>
      <c r="G1383">
        <v>25.01</v>
      </c>
      <c r="H1383">
        <v>76.25</v>
      </c>
      <c r="I1383" s="2">
        <v>81733.509999999995</v>
      </c>
      <c r="J1383" s="2">
        <v>73620.52</v>
      </c>
      <c r="K1383" s="2">
        <f>Table1[[#This Row],[Salary_after]]-Table1[[#This Row],[Salary_before]]</f>
        <v>-8112.9899999999907</v>
      </c>
      <c r="L1383" s="11">
        <v>-9.9299999999999999E-2</v>
      </c>
      <c r="M1383" s="11">
        <v>4.8300000000000003E-2</v>
      </c>
      <c r="N1383">
        <v>70.319999999999993</v>
      </c>
      <c r="O1383">
        <v>73.92</v>
      </c>
      <c r="P1383">
        <v>3</v>
      </c>
      <c r="Q1383" t="s">
        <v>21</v>
      </c>
      <c r="R1383">
        <v>51.2</v>
      </c>
      <c r="S1383">
        <v>9.93</v>
      </c>
      <c r="T1383" s="4">
        <v>36.314</v>
      </c>
      <c r="U1383" s="4">
        <v>19.330079999999999</v>
      </c>
      <c r="V1383" t="str">
        <f>IF(Table1[[#This Row],[ai_disruption_intensity]]&gt;70,"High",
IF(Table1[[#This Row],[ai_disruption_intensity]]&gt;40,"Medium","Low"))</f>
        <v>Low</v>
      </c>
      <c r="W1383" t="str">
        <f>IF(Table1[[#This Row],[skill_gap_index]]&gt;70,"Large Gap",
IF(Table1[[#This Row],[skill_gap_index]]&gt;40,"Medium Gap","Small Gap"))</f>
        <v>Large Gap</v>
      </c>
      <c r="X1383" s="3" t="str">
        <f>IF(Table1[[#This Row],[automation_risk_percent]]&gt;0.7,"Highly Automatable",
IF(Table1[[#This Row],[automation_risk_percent]]&gt;0.4,"Moderate Risk","Safe Job"))</f>
        <v>Safe Job</v>
      </c>
    </row>
    <row r="1384" spans="1:24" x14ac:dyDescent="0.3">
      <c r="A1384">
        <v>4957</v>
      </c>
      <c r="B1384" t="s">
        <v>39</v>
      </c>
      <c r="C1384" t="s">
        <v>19</v>
      </c>
      <c r="D1384" t="s">
        <v>47</v>
      </c>
      <c r="E1384" s="1">
        <v>2026</v>
      </c>
      <c r="F1384" s="11">
        <v>0.51529999999999998</v>
      </c>
      <c r="G1384">
        <v>51.56</v>
      </c>
      <c r="H1384">
        <v>31.78</v>
      </c>
      <c r="I1384" s="2">
        <v>47209.919999999998</v>
      </c>
      <c r="J1384" s="2">
        <v>43549.41</v>
      </c>
      <c r="K1384" s="2">
        <f>Table1[[#This Row],[Salary_after]]-Table1[[#This Row],[Salary_before]]</f>
        <v>-3660.5099999999948</v>
      </c>
      <c r="L1384" s="11">
        <v>-7.7499999999999999E-2</v>
      </c>
      <c r="M1384" s="11">
        <v>-1.41E-2</v>
      </c>
      <c r="N1384">
        <v>73.67</v>
      </c>
      <c r="O1384">
        <v>82</v>
      </c>
      <c r="P1384">
        <v>1</v>
      </c>
      <c r="Q1384" t="s">
        <v>25</v>
      </c>
      <c r="R1384">
        <v>41.655000000000001</v>
      </c>
      <c r="S1384">
        <v>7.75</v>
      </c>
      <c r="T1384" s="4">
        <v>32.470999999999997</v>
      </c>
      <c r="U1384" s="4">
        <v>42.254600000000003</v>
      </c>
      <c r="V1384" t="str">
        <f>IF(Table1[[#This Row],[ai_disruption_intensity]]&gt;70,"High",
IF(Table1[[#This Row],[ai_disruption_intensity]]&gt;40,"Medium","Low"))</f>
        <v>Medium</v>
      </c>
      <c r="W1384" t="str">
        <f>IF(Table1[[#This Row],[skill_gap_index]]&gt;70,"Large Gap",
IF(Table1[[#This Row],[skill_gap_index]]&gt;40,"Medium Gap","Small Gap"))</f>
        <v>Small Gap</v>
      </c>
      <c r="X1384" s="3" t="str">
        <f>IF(Table1[[#This Row],[automation_risk_percent]]&gt;0.7,"Highly Automatable",
IF(Table1[[#This Row],[automation_risk_percent]]&gt;0.4,"Moderate Risk","Safe Job"))</f>
        <v>Moderate Risk</v>
      </c>
    </row>
    <row r="1385" spans="1:24" x14ac:dyDescent="0.3">
      <c r="A1385">
        <v>4958</v>
      </c>
      <c r="B1385" t="s">
        <v>29</v>
      </c>
      <c r="C1385" t="s">
        <v>38</v>
      </c>
      <c r="D1385" t="s">
        <v>28</v>
      </c>
      <c r="E1385" s="1">
        <v>2026</v>
      </c>
      <c r="F1385" s="11">
        <v>0.75430000000000008</v>
      </c>
      <c r="G1385">
        <v>79.760000000000005</v>
      </c>
      <c r="H1385">
        <v>30.79</v>
      </c>
      <c r="I1385" s="2">
        <v>115318.27</v>
      </c>
      <c r="J1385" s="2">
        <v>109277.68</v>
      </c>
      <c r="K1385" s="2">
        <f>Table1[[#This Row],[Salary_after]]-Table1[[#This Row],[Salary_before]]</f>
        <v>-6040.5900000000111</v>
      </c>
      <c r="L1385" s="11">
        <v>-5.2400000000000002E-2</v>
      </c>
      <c r="M1385" s="11">
        <v>6.2100000000000002E-2</v>
      </c>
      <c r="N1385">
        <v>91.69</v>
      </c>
      <c r="O1385">
        <v>8</v>
      </c>
      <c r="P1385">
        <v>5</v>
      </c>
      <c r="Q1385" t="s">
        <v>37</v>
      </c>
      <c r="R1385">
        <v>53.11</v>
      </c>
      <c r="S1385">
        <v>5.24</v>
      </c>
      <c r="T1385" s="4">
        <v>40.981000000000002</v>
      </c>
      <c r="U1385" s="4">
        <v>6.0343999999999998</v>
      </c>
      <c r="V1385" t="str">
        <f>IF(Table1[[#This Row],[ai_disruption_intensity]]&gt;70,"High",
IF(Table1[[#This Row],[ai_disruption_intensity]]&gt;40,"Medium","Low"))</f>
        <v>Low</v>
      </c>
      <c r="W1385" t="str">
        <f>IF(Table1[[#This Row],[skill_gap_index]]&gt;70,"Large Gap",
IF(Table1[[#This Row],[skill_gap_index]]&gt;40,"Medium Gap","Small Gap"))</f>
        <v>Small Gap</v>
      </c>
      <c r="X1385" s="3" t="str">
        <f>IF(Table1[[#This Row],[automation_risk_percent]]&gt;0.7,"Highly Automatable",
IF(Table1[[#This Row],[automation_risk_percent]]&gt;0.4,"Moderate Risk","Safe Job"))</f>
        <v>Highly Automatable</v>
      </c>
    </row>
    <row r="1386" spans="1:24" x14ac:dyDescent="0.3">
      <c r="A1386">
        <v>4963</v>
      </c>
      <c r="B1386" t="s">
        <v>29</v>
      </c>
      <c r="C1386" t="s">
        <v>30</v>
      </c>
      <c r="D1386" t="s">
        <v>32</v>
      </c>
      <c r="E1386" s="1">
        <v>2026</v>
      </c>
      <c r="F1386" s="11">
        <v>0.50780000000000003</v>
      </c>
      <c r="G1386">
        <v>49.06</v>
      </c>
      <c r="H1386">
        <v>69.09</v>
      </c>
      <c r="I1386" s="2">
        <v>46915.69</v>
      </c>
      <c r="J1386" s="2">
        <v>56096.639999999999</v>
      </c>
      <c r="K1386" s="2">
        <f>Table1[[#This Row],[Salary_after]]-Table1[[#This Row],[Salary_before]]</f>
        <v>9180.9499999999971</v>
      </c>
      <c r="L1386" s="11">
        <v>0.19570000000000001</v>
      </c>
      <c r="M1386" s="11">
        <v>-5.2999999999999999E-2</v>
      </c>
      <c r="N1386">
        <v>16.32</v>
      </c>
      <c r="O1386">
        <v>44.33</v>
      </c>
      <c r="P1386">
        <v>3</v>
      </c>
      <c r="Q1386" t="s">
        <v>25</v>
      </c>
      <c r="R1386">
        <v>59.935000000000002</v>
      </c>
      <c r="S1386">
        <v>19.57</v>
      </c>
      <c r="T1386" s="4">
        <v>46.91</v>
      </c>
      <c r="U1386" s="4">
        <v>22.510774000000001</v>
      </c>
      <c r="V1386" t="str">
        <f>IF(Table1[[#This Row],[ai_disruption_intensity]]&gt;70,"High",
IF(Table1[[#This Row],[ai_disruption_intensity]]&gt;40,"Medium","Low"))</f>
        <v>Low</v>
      </c>
      <c r="W1386" t="str">
        <f>IF(Table1[[#This Row],[skill_gap_index]]&gt;70,"Large Gap",
IF(Table1[[#This Row],[skill_gap_index]]&gt;40,"Medium Gap","Small Gap"))</f>
        <v>Medium Gap</v>
      </c>
      <c r="X1386" s="3" t="str">
        <f>IF(Table1[[#This Row],[automation_risk_percent]]&gt;0.7,"Highly Automatable",
IF(Table1[[#This Row],[automation_risk_percent]]&gt;0.4,"Moderate Risk","Safe Job"))</f>
        <v>Moderate Risk</v>
      </c>
    </row>
    <row r="1387" spans="1:24" x14ac:dyDescent="0.3">
      <c r="A1387">
        <v>4978</v>
      </c>
      <c r="B1387" t="s">
        <v>44</v>
      </c>
      <c r="C1387" t="s">
        <v>19</v>
      </c>
      <c r="D1387" t="s">
        <v>47</v>
      </c>
      <c r="E1387" s="1">
        <v>2026</v>
      </c>
      <c r="F1387" s="11">
        <v>0.79549999999999998</v>
      </c>
      <c r="G1387">
        <v>91.36</v>
      </c>
      <c r="H1387">
        <v>13.33</v>
      </c>
      <c r="I1387" s="2">
        <v>99637.13</v>
      </c>
      <c r="J1387" s="2">
        <v>107549.24</v>
      </c>
      <c r="K1387" s="2">
        <f>Table1[[#This Row],[Salary_after]]-Table1[[#This Row],[Salary_before]]</f>
        <v>7912.1100000000006</v>
      </c>
      <c r="L1387" s="11">
        <v>7.9399999999999998E-2</v>
      </c>
      <c r="M1387" s="11">
        <v>-0.16920000000000002</v>
      </c>
      <c r="N1387">
        <v>52.35</v>
      </c>
      <c r="O1387">
        <v>4.8099999999999996</v>
      </c>
      <c r="P1387">
        <v>2</v>
      </c>
      <c r="Q1387" t="s">
        <v>37</v>
      </c>
      <c r="R1387">
        <v>46.44</v>
      </c>
      <c r="S1387">
        <v>7.94</v>
      </c>
      <c r="T1387" s="4">
        <v>38.201000000000001</v>
      </c>
      <c r="U1387" s="4">
        <v>3.826355</v>
      </c>
      <c r="V1387" t="str">
        <f>IF(Table1[[#This Row],[ai_disruption_intensity]]&gt;70,"High",
IF(Table1[[#This Row],[ai_disruption_intensity]]&gt;40,"Medium","Low"))</f>
        <v>Low</v>
      </c>
      <c r="W1387" t="str">
        <f>IF(Table1[[#This Row],[skill_gap_index]]&gt;70,"Large Gap",
IF(Table1[[#This Row],[skill_gap_index]]&gt;40,"Medium Gap","Small Gap"))</f>
        <v>Small Gap</v>
      </c>
      <c r="X1387" s="3" t="str">
        <f>IF(Table1[[#This Row],[automation_risk_percent]]&gt;0.7,"Highly Automatable",
IF(Table1[[#This Row],[automation_risk_percent]]&gt;0.4,"Moderate Risk","Safe Job"))</f>
        <v>Highly Automatable</v>
      </c>
    </row>
    <row r="1388" spans="1:24" x14ac:dyDescent="0.3">
      <c r="A1388">
        <v>4980</v>
      </c>
      <c r="B1388" t="s">
        <v>26</v>
      </c>
      <c r="C1388" t="s">
        <v>23</v>
      </c>
      <c r="D1388" t="s">
        <v>24</v>
      </c>
      <c r="E1388" s="1">
        <v>2026</v>
      </c>
      <c r="F1388" s="11">
        <v>0.29659999999999997</v>
      </c>
      <c r="G1388">
        <v>29.34</v>
      </c>
      <c r="H1388">
        <v>26.51</v>
      </c>
      <c r="I1388" s="2">
        <v>64656.480000000003</v>
      </c>
      <c r="J1388" s="2">
        <v>60691.12</v>
      </c>
      <c r="K1388" s="2">
        <f>Table1[[#This Row],[Salary_after]]-Table1[[#This Row],[Salary_before]]</f>
        <v>-3965.3600000000006</v>
      </c>
      <c r="L1388" s="11">
        <v>-6.13E-2</v>
      </c>
      <c r="M1388" s="11">
        <v>-3.4200000000000001E-2</v>
      </c>
      <c r="N1388">
        <v>19.78</v>
      </c>
      <c r="O1388">
        <v>98.89</v>
      </c>
      <c r="P1388">
        <v>3</v>
      </c>
      <c r="Q1388" t="s">
        <v>21</v>
      </c>
      <c r="R1388">
        <v>28.085000000000001</v>
      </c>
      <c r="S1388">
        <v>6.13</v>
      </c>
      <c r="T1388" s="4">
        <v>21.655999999999999</v>
      </c>
      <c r="U1388" s="4">
        <v>29.330774000000002</v>
      </c>
      <c r="V1388" t="str">
        <f>IF(Table1[[#This Row],[ai_disruption_intensity]]&gt;70,"High",
IF(Table1[[#This Row],[ai_disruption_intensity]]&gt;40,"Medium","Low"))</f>
        <v>Low</v>
      </c>
      <c r="W1388" t="str">
        <f>IF(Table1[[#This Row],[skill_gap_index]]&gt;70,"Large Gap",
IF(Table1[[#This Row],[skill_gap_index]]&gt;40,"Medium Gap","Small Gap"))</f>
        <v>Small Gap</v>
      </c>
      <c r="X1388" s="3" t="str">
        <f>IF(Table1[[#This Row],[automation_risk_percent]]&gt;0.7,"Highly Automatable",
IF(Table1[[#This Row],[automation_risk_percent]]&gt;0.4,"Moderate Risk","Safe Job"))</f>
        <v>Safe Job</v>
      </c>
    </row>
    <row r="1389" spans="1:24" x14ac:dyDescent="0.3">
      <c r="A1389">
        <v>4985</v>
      </c>
      <c r="B1389" t="s">
        <v>18</v>
      </c>
      <c r="C1389" t="s">
        <v>27</v>
      </c>
      <c r="D1389" t="s">
        <v>47</v>
      </c>
      <c r="E1389" s="1">
        <v>2025</v>
      </c>
      <c r="F1389" s="11">
        <v>0.60109999999999997</v>
      </c>
      <c r="G1389">
        <v>71.45</v>
      </c>
      <c r="H1389">
        <v>31.04</v>
      </c>
      <c r="I1389" s="2">
        <v>142614.25</v>
      </c>
      <c r="J1389" s="2">
        <v>141169.26999999999</v>
      </c>
      <c r="K1389" s="2">
        <f>Table1[[#This Row],[Salary_after]]-Table1[[#This Row],[Salary_before]]</f>
        <v>-1444.9800000000105</v>
      </c>
      <c r="L1389" s="11">
        <v>-1.01E-2</v>
      </c>
      <c r="M1389" s="11">
        <v>0.29370000000000002</v>
      </c>
      <c r="N1389">
        <v>70.11</v>
      </c>
      <c r="O1389">
        <v>70.28</v>
      </c>
      <c r="P1389">
        <v>3</v>
      </c>
      <c r="Q1389" t="s">
        <v>37</v>
      </c>
      <c r="R1389">
        <v>45.575000000000003</v>
      </c>
      <c r="S1389">
        <v>1.01</v>
      </c>
      <c r="T1389" s="4">
        <v>33.658999999999999</v>
      </c>
      <c r="U1389" s="4">
        <v>42.245308000000001</v>
      </c>
      <c r="V1389" t="str">
        <f>IF(Table1[[#This Row],[ai_disruption_intensity]]&gt;70,"High",
IF(Table1[[#This Row],[ai_disruption_intensity]]&gt;40,"Medium","Low"))</f>
        <v>Medium</v>
      </c>
      <c r="W1389" t="str">
        <f>IF(Table1[[#This Row],[skill_gap_index]]&gt;70,"Large Gap",
IF(Table1[[#This Row],[skill_gap_index]]&gt;40,"Medium Gap","Small Gap"))</f>
        <v>Small Gap</v>
      </c>
      <c r="X1389" s="3" t="str">
        <f>IF(Table1[[#This Row],[automation_risk_percent]]&gt;0.7,"Highly Automatable",
IF(Table1[[#This Row],[automation_risk_percent]]&gt;0.4,"Moderate Risk","Safe Job"))</f>
        <v>Moderate Risk</v>
      </c>
    </row>
    <row r="1390" spans="1:24" x14ac:dyDescent="0.3">
      <c r="A1390">
        <v>4987</v>
      </c>
      <c r="B1390" t="s">
        <v>29</v>
      </c>
      <c r="C1390" t="s">
        <v>19</v>
      </c>
      <c r="D1390" t="s">
        <v>47</v>
      </c>
      <c r="E1390" s="1">
        <v>2025</v>
      </c>
      <c r="F1390" s="11">
        <v>0.92700000000000005</v>
      </c>
      <c r="G1390">
        <v>104.83</v>
      </c>
      <c r="H1390">
        <v>76.739999999999995</v>
      </c>
      <c r="I1390" s="2">
        <v>43363.9</v>
      </c>
      <c r="J1390" s="2">
        <v>41084.82</v>
      </c>
      <c r="K1390" s="2">
        <f>Table1[[#This Row],[Salary_after]]-Table1[[#This Row],[Salary_before]]</f>
        <v>-2279.0800000000017</v>
      </c>
      <c r="L1390" s="11">
        <v>-5.2600000000000001E-2</v>
      </c>
      <c r="M1390" s="11">
        <v>0.12029999999999999</v>
      </c>
      <c r="N1390">
        <v>60.74</v>
      </c>
      <c r="O1390">
        <v>40.54</v>
      </c>
      <c r="P1390">
        <v>5</v>
      </c>
      <c r="Q1390" t="s">
        <v>37</v>
      </c>
      <c r="R1390">
        <v>84.72</v>
      </c>
      <c r="S1390">
        <v>5.26</v>
      </c>
      <c r="T1390" s="4">
        <v>61.68</v>
      </c>
      <c r="U1390" s="4">
        <v>37.580579999999998</v>
      </c>
      <c r="V1390" t="str">
        <f>IF(Table1[[#This Row],[ai_disruption_intensity]]&gt;70,"High",
IF(Table1[[#This Row],[ai_disruption_intensity]]&gt;40,"Medium","Low"))</f>
        <v>Low</v>
      </c>
      <c r="W1390" t="str">
        <f>IF(Table1[[#This Row],[skill_gap_index]]&gt;70,"Large Gap",
IF(Table1[[#This Row],[skill_gap_index]]&gt;40,"Medium Gap","Small Gap"))</f>
        <v>Large Gap</v>
      </c>
      <c r="X1390" s="3" t="str">
        <f>IF(Table1[[#This Row],[automation_risk_percent]]&gt;0.7,"Highly Automatable",
IF(Table1[[#This Row],[automation_risk_percent]]&gt;0.4,"Moderate Risk","Safe Job"))</f>
        <v>Highly Automatable</v>
      </c>
    </row>
    <row r="1391" spans="1:24" x14ac:dyDescent="0.3">
      <c r="A1391">
        <v>4994</v>
      </c>
      <c r="B1391" t="s">
        <v>45</v>
      </c>
      <c r="C1391" t="s">
        <v>23</v>
      </c>
      <c r="D1391" t="s">
        <v>28</v>
      </c>
      <c r="E1391" s="1">
        <v>2026</v>
      </c>
      <c r="F1391" s="11">
        <v>0.54200000000000004</v>
      </c>
      <c r="G1391">
        <v>58.05</v>
      </c>
      <c r="H1391">
        <v>55.79</v>
      </c>
      <c r="I1391" s="2">
        <v>142300.60999999999</v>
      </c>
      <c r="J1391" s="2">
        <v>165933.14000000001</v>
      </c>
      <c r="K1391" s="2">
        <f>Table1[[#This Row],[Salary_after]]-Table1[[#This Row],[Salary_before]]</f>
        <v>23632.530000000028</v>
      </c>
      <c r="L1391" s="11">
        <v>0.1661</v>
      </c>
      <c r="M1391" s="11">
        <v>0.1759</v>
      </c>
      <c r="N1391">
        <v>63.98</v>
      </c>
      <c r="O1391">
        <v>72.2</v>
      </c>
      <c r="P1391">
        <v>3</v>
      </c>
      <c r="Q1391" t="s">
        <v>25</v>
      </c>
      <c r="R1391">
        <v>54.994999999999997</v>
      </c>
      <c r="S1391">
        <v>16.61</v>
      </c>
      <c r="T1391" s="4">
        <v>43.4</v>
      </c>
      <c r="U1391" s="4">
        <v>39.132399999999997</v>
      </c>
      <c r="V1391" t="str">
        <f>IF(Table1[[#This Row],[ai_disruption_intensity]]&gt;70,"High",
IF(Table1[[#This Row],[ai_disruption_intensity]]&gt;40,"Medium","Low"))</f>
        <v>Low</v>
      </c>
      <c r="W1391" t="str">
        <f>IF(Table1[[#This Row],[skill_gap_index]]&gt;70,"Large Gap",
IF(Table1[[#This Row],[skill_gap_index]]&gt;40,"Medium Gap","Small Gap"))</f>
        <v>Medium Gap</v>
      </c>
      <c r="X1391" s="3" t="str">
        <f>IF(Table1[[#This Row],[automation_risk_percent]]&gt;0.7,"Highly Automatable",
IF(Table1[[#This Row],[automation_risk_percent]]&gt;0.4,"Moderate Risk","Safe Job"))</f>
        <v>Moderate Risk</v>
      </c>
    </row>
    <row r="1392" spans="1:24" x14ac:dyDescent="0.3">
      <c r="A1392">
        <v>4999</v>
      </c>
      <c r="B1392" t="s">
        <v>39</v>
      </c>
      <c r="C1392" t="s">
        <v>23</v>
      </c>
      <c r="D1392" t="s">
        <v>31</v>
      </c>
      <c r="E1392" s="1">
        <v>2026</v>
      </c>
      <c r="F1392" s="11">
        <v>0.65269999999999995</v>
      </c>
      <c r="G1392">
        <v>56.43</v>
      </c>
      <c r="H1392">
        <v>27.27</v>
      </c>
      <c r="I1392" s="2">
        <v>39458.870000000003</v>
      </c>
      <c r="J1392" s="2">
        <v>37886.6</v>
      </c>
      <c r="K1392" s="2">
        <f>Table1[[#This Row],[Salary_after]]-Table1[[#This Row],[Salary_before]]</f>
        <v>-1572.2700000000041</v>
      </c>
      <c r="L1392" s="11">
        <v>-3.9800000000000002E-2</v>
      </c>
      <c r="M1392" s="11">
        <v>-8.199999999999999E-3</v>
      </c>
      <c r="N1392">
        <v>27.96</v>
      </c>
      <c r="O1392">
        <v>21.36</v>
      </c>
      <c r="P1392">
        <v>5</v>
      </c>
      <c r="Q1392" t="s">
        <v>37</v>
      </c>
      <c r="R1392">
        <v>46.269999999999897</v>
      </c>
      <c r="S1392">
        <v>3.98</v>
      </c>
      <c r="T1392" s="4">
        <v>35.482999999999997</v>
      </c>
      <c r="U1392" s="4">
        <v>13.941671999999899</v>
      </c>
      <c r="V1392" t="str">
        <f>IF(Table1[[#This Row],[ai_disruption_intensity]]&gt;70,"High",
IF(Table1[[#This Row],[ai_disruption_intensity]]&gt;40,"Medium","Low"))</f>
        <v>Low</v>
      </c>
      <c r="W1392" t="str">
        <f>IF(Table1[[#This Row],[skill_gap_index]]&gt;70,"Large Gap",
IF(Table1[[#This Row],[skill_gap_index]]&gt;40,"Medium Gap","Small Gap"))</f>
        <v>Small Gap</v>
      </c>
      <c r="X1392" s="3" t="str">
        <f>IF(Table1[[#This Row],[automation_risk_percent]]&gt;0.7,"Highly Automatable",
IF(Table1[[#This Row],[automation_risk_percent]]&gt;0.4,"Moderate Risk","Safe Job"))</f>
        <v>Moderate Risk</v>
      </c>
    </row>
    <row r="1393" spans="1:24" x14ac:dyDescent="0.3">
      <c r="A1393">
        <v>5001</v>
      </c>
      <c r="B1393" t="s">
        <v>44</v>
      </c>
      <c r="C1393" t="s">
        <v>23</v>
      </c>
      <c r="D1393" t="s">
        <v>20</v>
      </c>
      <c r="E1393" s="1">
        <v>2026</v>
      </c>
      <c r="F1393" s="11">
        <v>0.45</v>
      </c>
      <c r="G1393">
        <v>51.15</v>
      </c>
      <c r="H1393">
        <v>5.9</v>
      </c>
      <c r="I1393" s="2">
        <v>95079.12</v>
      </c>
      <c r="J1393" s="2">
        <v>105224.36</v>
      </c>
      <c r="K1393" s="2">
        <f>Table1[[#This Row],[Salary_after]]-Table1[[#This Row],[Salary_before]]</f>
        <v>10145.240000000005</v>
      </c>
      <c r="L1393" s="11">
        <v>0.1067</v>
      </c>
      <c r="M1393" s="11">
        <v>0.2238</v>
      </c>
      <c r="N1393">
        <v>88.99</v>
      </c>
      <c r="O1393">
        <v>86.64</v>
      </c>
      <c r="P1393">
        <v>1</v>
      </c>
      <c r="Q1393" t="s">
        <v>25</v>
      </c>
      <c r="R1393">
        <v>25.45</v>
      </c>
      <c r="S1393">
        <v>10.67</v>
      </c>
      <c r="T1393" s="4">
        <v>22.971</v>
      </c>
      <c r="U1393" s="4">
        <v>38.988</v>
      </c>
      <c r="V1393" t="str">
        <f>IF(Table1[[#This Row],[ai_disruption_intensity]]&gt;70,"High",
IF(Table1[[#This Row],[ai_disruption_intensity]]&gt;40,"Medium","Low"))</f>
        <v>Low</v>
      </c>
      <c r="W1393" t="str">
        <f>IF(Table1[[#This Row],[skill_gap_index]]&gt;70,"Large Gap",
IF(Table1[[#This Row],[skill_gap_index]]&gt;40,"Medium Gap","Small Gap"))</f>
        <v>Small Gap</v>
      </c>
      <c r="X1393" s="3" t="str">
        <f>IF(Table1[[#This Row],[automation_risk_percent]]&gt;0.7,"Highly Automatable",
IF(Table1[[#This Row],[automation_risk_percent]]&gt;0.4,"Moderate Risk","Safe Job"))</f>
        <v>Moderate Risk</v>
      </c>
    </row>
    <row r="1394" spans="1:24" x14ac:dyDescent="0.3">
      <c r="A1394">
        <v>5002</v>
      </c>
      <c r="B1394" t="s">
        <v>45</v>
      </c>
      <c r="C1394" t="s">
        <v>27</v>
      </c>
      <c r="D1394" t="s">
        <v>47</v>
      </c>
      <c r="E1394" s="1">
        <v>2025</v>
      </c>
      <c r="F1394" s="11">
        <v>0.1401</v>
      </c>
      <c r="G1394">
        <v>13.23</v>
      </c>
      <c r="H1394">
        <v>67.08</v>
      </c>
      <c r="I1394" s="2">
        <v>144293.35999999999</v>
      </c>
      <c r="J1394" s="2">
        <v>137076.45000000001</v>
      </c>
      <c r="K1394" s="2">
        <f>Table1[[#This Row],[Salary_after]]-Table1[[#This Row],[Salary_before]]</f>
        <v>-7216.9099999999744</v>
      </c>
      <c r="L1394" s="11">
        <v>-0.05</v>
      </c>
      <c r="M1394" s="11">
        <v>9.7100000000000006E-2</v>
      </c>
      <c r="N1394">
        <v>35.130000000000003</v>
      </c>
      <c r="O1394">
        <v>76.36</v>
      </c>
      <c r="P1394">
        <v>4</v>
      </c>
      <c r="Q1394" t="s">
        <v>21</v>
      </c>
      <c r="R1394">
        <v>40.545000000000002</v>
      </c>
      <c r="S1394">
        <v>5</v>
      </c>
      <c r="T1394" s="4">
        <v>27.227999999999899</v>
      </c>
      <c r="U1394" s="4">
        <v>10.698036</v>
      </c>
      <c r="V1394" t="str">
        <f>IF(Table1[[#This Row],[ai_disruption_intensity]]&gt;70,"High",
IF(Table1[[#This Row],[ai_disruption_intensity]]&gt;40,"Medium","Low"))</f>
        <v>Low</v>
      </c>
      <c r="W1394" t="str">
        <f>IF(Table1[[#This Row],[skill_gap_index]]&gt;70,"Large Gap",
IF(Table1[[#This Row],[skill_gap_index]]&gt;40,"Medium Gap","Small Gap"))</f>
        <v>Medium Gap</v>
      </c>
      <c r="X1394" s="3" t="str">
        <f>IF(Table1[[#This Row],[automation_risk_percent]]&gt;0.7,"Highly Automatable",
IF(Table1[[#This Row],[automation_risk_percent]]&gt;0.4,"Moderate Risk","Safe Job"))</f>
        <v>Safe Job</v>
      </c>
    </row>
    <row r="1395" spans="1:24" x14ac:dyDescent="0.3">
      <c r="A1395">
        <v>5011</v>
      </c>
      <c r="B1395" t="s">
        <v>22</v>
      </c>
      <c r="C1395" t="s">
        <v>33</v>
      </c>
      <c r="D1395" t="s">
        <v>20</v>
      </c>
      <c r="E1395" s="1">
        <v>2025</v>
      </c>
      <c r="F1395" s="11">
        <v>0.55940000000000001</v>
      </c>
      <c r="G1395">
        <v>61.75</v>
      </c>
      <c r="H1395">
        <v>41.47</v>
      </c>
      <c r="I1395" s="2">
        <v>143087.79999999999</v>
      </c>
      <c r="J1395" s="2">
        <v>149103.94</v>
      </c>
      <c r="K1395" s="2">
        <f>Table1[[#This Row],[Salary_after]]-Table1[[#This Row],[Salary_before]]</f>
        <v>6016.140000000014</v>
      </c>
      <c r="L1395" s="11">
        <v>4.2000000000000003E-2</v>
      </c>
      <c r="M1395" s="11">
        <v>-0.1603</v>
      </c>
      <c r="N1395">
        <v>94.03</v>
      </c>
      <c r="O1395">
        <v>8.32</v>
      </c>
      <c r="P1395">
        <v>2</v>
      </c>
      <c r="Q1395" t="s">
        <v>25</v>
      </c>
      <c r="R1395">
        <v>48.704999999999998</v>
      </c>
      <c r="S1395">
        <v>4.2</v>
      </c>
      <c r="T1395" s="4">
        <v>36.076999999999998</v>
      </c>
      <c r="U1395" s="4">
        <v>4.6542079999999997</v>
      </c>
      <c r="V1395" t="str">
        <f>IF(Table1[[#This Row],[ai_disruption_intensity]]&gt;70,"High",
IF(Table1[[#This Row],[ai_disruption_intensity]]&gt;40,"Medium","Low"))</f>
        <v>Low</v>
      </c>
      <c r="W1395" t="str">
        <f>IF(Table1[[#This Row],[skill_gap_index]]&gt;70,"Large Gap",
IF(Table1[[#This Row],[skill_gap_index]]&gt;40,"Medium Gap","Small Gap"))</f>
        <v>Medium Gap</v>
      </c>
      <c r="X1395" s="3" t="str">
        <f>IF(Table1[[#This Row],[automation_risk_percent]]&gt;0.7,"Highly Automatable",
IF(Table1[[#This Row],[automation_risk_percent]]&gt;0.4,"Moderate Risk","Safe Job"))</f>
        <v>Moderate Risk</v>
      </c>
    </row>
    <row r="1396" spans="1:24" x14ac:dyDescent="0.3">
      <c r="A1396">
        <v>5012</v>
      </c>
      <c r="B1396" t="s">
        <v>18</v>
      </c>
      <c r="C1396" t="s">
        <v>30</v>
      </c>
      <c r="D1396" t="s">
        <v>20</v>
      </c>
      <c r="E1396" s="1">
        <v>2025</v>
      </c>
      <c r="F1396" s="11">
        <v>0.17620000000000002</v>
      </c>
      <c r="G1396">
        <v>21.1</v>
      </c>
      <c r="H1396">
        <v>97.14</v>
      </c>
      <c r="I1396" s="2">
        <v>122604.19</v>
      </c>
      <c r="J1396" s="2">
        <v>138752.26</v>
      </c>
      <c r="K1396" s="2">
        <f>Table1[[#This Row],[Salary_after]]-Table1[[#This Row],[Salary_before]]</f>
        <v>16148.070000000007</v>
      </c>
      <c r="L1396" s="11">
        <v>0.13170000000000001</v>
      </c>
      <c r="M1396" s="11">
        <v>-0.29359999999999997</v>
      </c>
      <c r="N1396">
        <v>33.15</v>
      </c>
      <c r="O1396">
        <v>43.27</v>
      </c>
      <c r="P1396">
        <v>1</v>
      </c>
      <c r="Q1396" t="s">
        <v>21</v>
      </c>
      <c r="R1396">
        <v>57.38</v>
      </c>
      <c r="S1396">
        <v>13.17</v>
      </c>
      <c r="T1396" s="4">
        <v>40.140999999999998</v>
      </c>
      <c r="U1396" s="4">
        <v>7.624174</v>
      </c>
      <c r="V1396" t="str">
        <f>IF(Table1[[#This Row],[ai_disruption_intensity]]&gt;70,"High",
IF(Table1[[#This Row],[ai_disruption_intensity]]&gt;40,"Medium","Low"))</f>
        <v>Low</v>
      </c>
      <c r="W1396" t="str">
        <f>IF(Table1[[#This Row],[skill_gap_index]]&gt;70,"Large Gap",
IF(Table1[[#This Row],[skill_gap_index]]&gt;40,"Medium Gap","Small Gap"))</f>
        <v>Large Gap</v>
      </c>
      <c r="X1396" s="3" t="str">
        <f>IF(Table1[[#This Row],[automation_risk_percent]]&gt;0.7,"Highly Automatable",
IF(Table1[[#This Row],[automation_risk_percent]]&gt;0.4,"Moderate Risk","Safe Job"))</f>
        <v>Safe Job</v>
      </c>
    </row>
    <row r="1397" spans="1:24" x14ac:dyDescent="0.3">
      <c r="A1397">
        <v>5020</v>
      </c>
      <c r="B1397" t="s">
        <v>43</v>
      </c>
      <c r="C1397" t="s">
        <v>19</v>
      </c>
      <c r="D1397" t="s">
        <v>24</v>
      </c>
      <c r="E1397" s="1">
        <v>2025</v>
      </c>
      <c r="F1397" s="11">
        <v>0.31030000000000002</v>
      </c>
      <c r="G1397">
        <v>31.19</v>
      </c>
      <c r="H1397">
        <v>31.75</v>
      </c>
      <c r="I1397" s="2">
        <v>81534.240000000005</v>
      </c>
      <c r="J1397" s="2">
        <v>87500.02</v>
      </c>
      <c r="K1397" s="2">
        <f>Table1[[#This Row],[Salary_after]]-Table1[[#This Row],[Salary_before]]</f>
        <v>5965.7799999999988</v>
      </c>
      <c r="L1397" s="11">
        <v>7.3200000000000001E-2</v>
      </c>
      <c r="M1397" s="11">
        <v>0.1888</v>
      </c>
      <c r="N1397">
        <v>77.319999999999993</v>
      </c>
      <c r="O1397">
        <v>71.3</v>
      </c>
      <c r="P1397">
        <v>5</v>
      </c>
      <c r="Q1397" t="s">
        <v>25</v>
      </c>
      <c r="R1397">
        <v>31.39</v>
      </c>
      <c r="S1397">
        <v>7.32</v>
      </c>
      <c r="T1397" s="4">
        <v>24.132999999999999</v>
      </c>
      <c r="U1397" s="4">
        <v>22.124389999999998</v>
      </c>
      <c r="V1397" t="str">
        <f>IF(Table1[[#This Row],[ai_disruption_intensity]]&gt;70,"High",
IF(Table1[[#This Row],[ai_disruption_intensity]]&gt;40,"Medium","Low"))</f>
        <v>Low</v>
      </c>
      <c r="W1397" t="str">
        <f>IF(Table1[[#This Row],[skill_gap_index]]&gt;70,"Large Gap",
IF(Table1[[#This Row],[skill_gap_index]]&gt;40,"Medium Gap","Small Gap"))</f>
        <v>Small Gap</v>
      </c>
      <c r="X1397" s="3" t="str">
        <f>IF(Table1[[#This Row],[automation_risk_percent]]&gt;0.7,"Highly Automatable",
IF(Table1[[#This Row],[automation_risk_percent]]&gt;0.4,"Moderate Risk","Safe Job"))</f>
        <v>Safe Job</v>
      </c>
    </row>
    <row r="1398" spans="1:24" x14ac:dyDescent="0.3">
      <c r="A1398">
        <v>5023</v>
      </c>
      <c r="B1398" t="s">
        <v>43</v>
      </c>
      <c r="C1398" t="s">
        <v>30</v>
      </c>
      <c r="D1398" t="s">
        <v>42</v>
      </c>
      <c r="E1398" s="1">
        <v>2026</v>
      </c>
      <c r="F1398" s="11">
        <v>0.18840000000000001</v>
      </c>
      <c r="G1398">
        <v>22.02</v>
      </c>
      <c r="H1398">
        <v>71.23</v>
      </c>
      <c r="I1398" s="2">
        <v>70367.16</v>
      </c>
      <c r="J1398" s="2">
        <v>68900.91</v>
      </c>
      <c r="K1398" s="2">
        <f>Table1[[#This Row],[Salary_after]]-Table1[[#This Row],[Salary_before]]</f>
        <v>-1466.25</v>
      </c>
      <c r="L1398" s="11">
        <v>-2.0799999999999999E-2</v>
      </c>
      <c r="M1398" s="11">
        <v>-1.2999999999999999E-3</v>
      </c>
      <c r="N1398">
        <v>26.62</v>
      </c>
      <c r="O1398">
        <v>78.63</v>
      </c>
      <c r="P1398">
        <v>4</v>
      </c>
      <c r="Q1398" t="s">
        <v>21</v>
      </c>
      <c r="R1398">
        <v>45.034999999999997</v>
      </c>
      <c r="S1398">
        <v>2.08</v>
      </c>
      <c r="T1398" s="4">
        <v>29.529</v>
      </c>
      <c r="U1398" s="4">
        <v>14.813891999999999</v>
      </c>
      <c r="V1398" t="str">
        <f>IF(Table1[[#This Row],[ai_disruption_intensity]]&gt;70,"High",
IF(Table1[[#This Row],[ai_disruption_intensity]]&gt;40,"Medium","Low"))</f>
        <v>Low</v>
      </c>
      <c r="W1398" t="str">
        <f>IF(Table1[[#This Row],[skill_gap_index]]&gt;70,"Large Gap",
IF(Table1[[#This Row],[skill_gap_index]]&gt;40,"Medium Gap","Small Gap"))</f>
        <v>Large Gap</v>
      </c>
      <c r="X1398" s="3" t="str">
        <f>IF(Table1[[#This Row],[automation_risk_percent]]&gt;0.7,"Highly Automatable",
IF(Table1[[#This Row],[automation_risk_percent]]&gt;0.4,"Moderate Risk","Safe Job"))</f>
        <v>Safe Job</v>
      </c>
    </row>
    <row r="1399" spans="1:24" x14ac:dyDescent="0.3">
      <c r="A1399">
        <v>5025</v>
      </c>
      <c r="B1399" t="s">
        <v>43</v>
      </c>
      <c r="C1399" t="s">
        <v>30</v>
      </c>
      <c r="D1399" t="s">
        <v>20</v>
      </c>
      <c r="E1399" s="1">
        <v>2025</v>
      </c>
      <c r="F1399" s="11">
        <v>0.50019999999999998</v>
      </c>
      <c r="G1399">
        <v>47.35</v>
      </c>
      <c r="H1399">
        <v>48.02</v>
      </c>
      <c r="I1399" s="2">
        <v>102974.2</v>
      </c>
      <c r="J1399" s="2">
        <v>94563.33</v>
      </c>
      <c r="K1399" s="2">
        <f>Table1[[#This Row],[Salary_after]]-Table1[[#This Row],[Salary_before]]</f>
        <v>-8410.8699999999953</v>
      </c>
      <c r="L1399" s="11">
        <v>-8.1699999999999995E-2</v>
      </c>
      <c r="M1399" s="11">
        <v>2.2700000000000001E-2</v>
      </c>
      <c r="N1399">
        <v>22.55</v>
      </c>
      <c r="O1399">
        <v>52.7</v>
      </c>
      <c r="P1399">
        <v>5</v>
      </c>
      <c r="Q1399" t="s">
        <v>25</v>
      </c>
      <c r="R1399">
        <v>49.02</v>
      </c>
      <c r="S1399">
        <v>8.17</v>
      </c>
      <c r="T1399" s="4">
        <v>36.865000000000002</v>
      </c>
      <c r="U1399" s="4">
        <v>26.36054</v>
      </c>
      <c r="V1399" t="str">
        <f>IF(Table1[[#This Row],[ai_disruption_intensity]]&gt;70,"High",
IF(Table1[[#This Row],[ai_disruption_intensity]]&gt;40,"Medium","Low"))</f>
        <v>Low</v>
      </c>
      <c r="W1399" t="str">
        <f>IF(Table1[[#This Row],[skill_gap_index]]&gt;70,"Large Gap",
IF(Table1[[#This Row],[skill_gap_index]]&gt;40,"Medium Gap","Small Gap"))</f>
        <v>Medium Gap</v>
      </c>
      <c r="X1399" s="3" t="str">
        <f>IF(Table1[[#This Row],[automation_risk_percent]]&gt;0.7,"Highly Automatable",
IF(Table1[[#This Row],[automation_risk_percent]]&gt;0.4,"Moderate Risk","Safe Job"))</f>
        <v>Moderate Risk</v>
      </c>
    </row>
    <row r="1400" spans="1:24" x14ac:dyDescent="0.3">
      <c r="A1400">
        <v>5028</v>
      </c>
      <c r="B1400" t="s">
        <v>22</v>
      </c>
      <c r="C1400" t="s">
        <v>19</v>
      </c>
      <c r="D1400" t="s">
        <v>31</v>
      </c>
      <c r="E1400" s="1">
        <v>2025</v>
      </c>
      <c r="F1400" s="11">
        <v>0.1211</v>
      </c>
      <c r="G1400">
        <v>11.21</v>
      </c>
      <c r="H1400">
        <v>82.56</v>
      </c>
      <c r="I1400" s="2">
        <v>77897.42</v>
      </c>
      <c r="J1400" s="2">
        <v>70914.539999999994</v>
      </c>
      <c r="K1400" s="2">
        <f>Table1[[#This Row],[Salary_after]]-Table1[[#This Row],[Salary_before]]</f>
        <v>-6982.8800000000047</v>
      </c>
      <c r="L1400" s="11">
        <v>-8.9600000000000013E-2</v>
      </c>
      <c r="M1400" s="11">
        <v>-0.19570000000000001</v>
      </c>
      <c r="N1400">
        <v>77.66</v>
      </c>
      <c r="O1400">
        <v>48</v>
      </c>
      <c r="P1400">
        <v>2</v>
      </c>
      <c r="Q1400" t="s">
        <v>21</v>
      </c>
      <c r="R1400">
        <v>47.335000000000001</v>
      </c>
      <c r="S1400">
        <v>8.9600000000000009</v>
      </c>
      <c r="T1400" s="4">
        <v>32.299999999999997</v>
      </c>
      <c r="U1400" s="4">
        <v>5.8127999999999904</v>
      </c>
      <c r="V1400" t="str">
        <f>IF(Table1[[#This Row],[ai_disruption_intensity]]&gt;70,"High",
IF(Table1[[#This Row],[ai_disruption_intensity]]&gt;40,"Medium","Low"))</f>
        <v>Low</v>
      </c>
      <c r="W1400" t="str">
        <f>IF(Table1[[#This Row],[skill_gap_index]]&gt;70,"Large Gap",
IF(Table1[[#This Row],[skill_gap_index]]&gt;40,"Medium Gap","Small Gap"))</f>
        <v>Large Gap</v>
      </c>
      <c r="X1400" s="3" t="str">
        <f>IF(Table1[[#This Row],[automation_risk_percent]]&gt;0.7,"Highly Automatable",
IF(Table1[[#This Row],[automation_risk_percent]]&gt;0.4,"Moderate Risk","Safe Job"))</f>
        <v>Safe Job</v>
      </c>
    </row>
    <row r="1401" spans="1:24" x14ac:dyDescent="0.3">
      <c r="A1401">
        <v>5037</v>
      </c>
      <c r="B1401" t="s">
        <v>41</v>
      </c>
      <c r="C1401" t="s">
        <v>19</v>
      </c>
      <c r="D1401" t="s">
        <v>35</v>
      </c>
      <c r="E1401" s="1">
        <v>2026</v>
      </c>
      <c r="F1401" s="11">
        <v>0.42609999999999998</v>
      </c>
      <c r="G1401">
        <v>49.27</v>
      </c>
      <c r="H1401">
        <v>61.12</v>
      </c>
      <c r="I1401" s="2">
        <v>144995.66</v>
      </c>
      <c r="J1401" s="2">
        <v>130012.92</v>
      </c>
      <c r="K1401" s="2">
        <f>Table1[[#This Row],[Salary_after]]-Table1[[#This Row],[Salary_before]]</f>
        <v>-14982.740000000005</v>
      </c>
      <c r="L1401" s="11">
        <v>-0.1033</v>
      </c>
      <c r="M1401" s="11">
        <v>-0.1186</v>
      </c>
      <c r="N1401">
        <v>74.78</v>
      </c>
      <c r="O1401">
        <v>57.79</v>
      </c>
      <c r="P1401">
        <v>3</v>
      </c>
      <c r="Q1401" t="s">
        <v>25</v>
      </c>
      <c r="R1401">
        <v>51.864999999999903</v>
      </c>
      <c r="S1401">
        <v>10.33</v>
      </c>
      <c r="T1401" s="4">
        <v>38.4789999999999</v>
      </c>
      <c r="U1401" s="4">
        <v>24.624319</v>
      </c>
      <c r="V1401" t="str">
        <f>IF(Table1[[#This Row],[ai_disruption_intensity]]&gt;70,"High",
IF(Table1[[#This Row],[ai_disruption_intensity]]&gt;40,"Medium","Low"))</f>
        <v>Low</v>
      </c>
      <c r="W1401" t="str">
        <f>IF(Table1[[#This Row],[skill_gap_index]]&gt;70,"Large Gap",
IF(Table1[[#This Row],[skill_gap_index]]&gt;40,"Medium Gap","Small Gap"))</f>
        <v>Medium Gap</v>
      </c>
      <c r="X1401" s="3" t="str">
        <f>IF(Table1[[#This Row],[automation_risk_percent]]&gt;0.7,"Highly Automatable",
IF(Table1[[#This Row],[automation_risk_percent]]&gt;0.4,"Moderate Risk","Safe Job"))</f>
        <v>Moderate Risk</v>
      </c>
    </row>
    <row r="1402" spans="1:24" x14ac:dyDescent="0.3">
      <c r="A1402">
        <v>5039</v>
      </c>
      <c r="B1402" t="s">
        <v>39</v>
      </c>
      <c r="C1402" t="s">
        <v>38</v>
      </c>
      <c r="D1402" t="s">
        <v>47</v>
      </c>
      <c r="E1402" s="1">
        <v>2026</v>
      </c>
      <c r="F1402" s="11">
        <v>0.125</v>
      </c>
      <c r="G1402">
        <v>10.06</v>
      </c>
      <c r="H1402">
        <v>12.32</v>
      </c>
      <c r="I1402" s="2">
        <v>38987.69</v>
      </c>
      <c r="J1402" s="2">
        <v>36958</v>
      </c>
      <c r="K1402" s="2">
        <f>Table1[[#This Row],[Salary_after]]-Table1[[#This Row],[Salary_before]]</f>
        <v>-2029.6900000000023</v>
      </c>
      <c r="L1402" s="11">
        <v>-5.21E-2</v>
      </c>
      <c r="M1402" s="11">
        <v>3.5299999999999998E-2</v>
      </c>
      <c r="N1402">
        <v>66.239999999999995</v>
      </c>
      <c r="O1402">
        <v>19.02</v>
      </c>
      <c r="P1402">
        <v>2</v>
      </c>
      <c r="Q1402" t="s">
        <v>21</v>
      </c>
      <c r="R1402">
        <v>12.41</v>
      </c>
      <c r="S1402">
        <v>5.21</v>
      </c>
      <c r="T1402" s="4">
        <v>10.259</v>
      </c>
      <c r="U1402" s="4">
        <v>2.3774999999999999</v>
      </c>
      <c r="V1402" t="str">
        <f>IF(Table1[[#This Row],[ai_disruption_intensity]]&gt;70,"High",
IF(Table1[[#This Row],[ai_disruption_intensity]]&gt;40,"Medium","Low"))</f>
        <v>Low</v>
      </c>
      <c r="W1402" t="str">
        <f>IF(Table1[[#This Row],[skill_gap_index]]&gt;70,"Large Gap",
IF(Table1[[#This Row],[skill_gap_index]]&gt;40,"Medium Gap","Small Gap"))</f>
        <v>Small Gap</v>
      </c>
      <c r="X1402" s="3" t="str">
        <f>IF(Table1[[#This Row],[automation_risk_percent]]&gt;0.7,"Highly Automatable",
IF(Table1[[#This Row],[automation_risk_percent]]&gt;0.4,"Moderate Risk","Safe Job"))</f>
        <v>Safe Job</v>
      </c>
    </row>
    <row r="1403" spans="1:24" x14ac:dyDescent="0.3">
      <c r="A1403">
        <v>5041</v>
      </c>
      <c r="B1403" t="s">
        <v>46</v>
      </c>
      <c r="C1403" t="s">
        <v>27</v>
      </c>
      <c r="D1403" t="s">
        <v>47</v>
      </c>
      <c r="E1403" s="1">
        <v>2026</v>
      </c>
      <c r="F1403" s="11">
        <v>0.3821</v>
      </c>
      <c r="G1403">
        <v>35.61</v>
      </c>
      <c r="H1403">
        <v>8.44</v>
      </c>
      <c r="I1403" s="2">
        <v>50557.34</v>
      </c>
      <c r="J1403" s="2">
        <v>52066.41</v>
      </c>
      <c r="K1403" s="2">
        <f>Table1[[#This Row],[Salary_after]]-Table1[[#This Row],[Salary_before]]</f>
        <v>1509.070000000007</v>
      </c>
      <c r="L1403" s="11">
        <v>2.98E-2</v>
      </c>
      <c r="M1403" s="11">
        <v>0.15130000000000002</v>
      </c>
      <c r="N1403">
        <v>31.34</v>
      </c>
      <c r="O1403">
        <v>49.59</v>
      </c>
      <c r="P1403">
        <v>3</v>
      </c>
      <c r="Q1403" t="s">
        <v>25</v>
      </c>
      <c r="R1403">
        <v>23.324999999999999</v>
      </c>
      <c r="S1403">
        <v>2.98</v>
      </c>
      <c r="T1403" s="4">
        <v>18.709999999999901</v>
      </c>
      <c r="U1403" s="4">
        <v>18.948339000000001</v>
      </c>
      <c r="V1403" t="str">
        <f>IF(Table1[[#This Row],[ai_disruption_intensity]]&gt;70,"High",
IF(Table1[[#This Row],[ai_disruption_intensity]]&gt;40,"Medium","Low"))</f>
        <v>Low</v>
      </c>
      <c r="W1403" t="str">
        <f>IF(Table1[[#This Row],[skill_gap_index]]&gt;70,"Large Gap",
IF(Table1[[#This Row],[skill_gap_index]]&gt;40,"Medium Gap","Small Gap"))</f>
        <v>Small Gap</v>
      </c>
      <c r="X1403" s="3" t="str">
        <f>IF(Table1[[#This Row],[automation_risk_percent]]&gt;0.7,"Highly Automatable",
IF(Table1[[#This Row],[automation_risk_percent]]&gt;0.4,"Moderate Risk","Safe Job"))</f>
        <v>Safe Job</v>
      </c>
    </row>
    <row r="1404" spans="1:24" x14ac:dyDescent="0.3">
      <c r="A1404">
        <v>5043</v>
      </c>
      <c r="B1404" t="s">
        <v>43</v>
      </c>
      <c r="C1404" t="s">
        <v>33</v>
      </c>
      <c r="D1404" t="s">
        <v>35</v>
      </c>
      <c r="E1404" s="1">
        <v>2025</v>
      </c>
      <c r="F1404" s="11">
        <v>0.29109999999999997</v>
      </c>
      <c r="G1404">
        <v>29.87</v>
      </c>
      <c r="H1404">
        <v>55.84</v>
      </c>
      <c r="I1404" s="2">
        <v>31943.3</v>
      </c>
      <c r="J1404" s="2">
        <v>35616.58</v>
      </c>
      <c r="K1404" s="2">
        <f>Table1[[#This Row],[Salary_after]]-Table1[[#This Row],[Salary_before]]</f>
        <v>3673.2800000000025</v>
      </c>
      <c r="L1404" s="11">
        <v>0.115</v>
      </c>
      <c r="M1404" s="11">
        <v>0.1114</v>
      </c>
      <c r="N1404">
        <v>65.44</v>
      </c>
      <c r="O1404">
        <v>86.99</v>
      </c>
      <c r="P1404">
        <v>4</v>
      </c>
      <c r="Q1404" t="s">
        <v>21</v>
      </c>
      <c r="R1404">
        <v>42.475000000000001</v>
      </c>
      <c r="S1404">
        <v>11.5</v>
      </c>
      <c r="T1404" s="4">
        <v>31.846</v>
      </c>
      <c r="U1404" s="4">
        <v>25.322788999999901</v>
      </c>
      <c r="V1404" t="str">
        <f>IF(Table1[[#This Row],[ai_disruption_intensity]]&gt;70,"High",
IF(Table1[[#This Row],[ai_disruption_intensity]]&gt;40,"Medium","Low"))</f>
        <v>Low</v>
      </c>
      <c r="W1404" t="str">
        <f>IF(Table1[[#This Row],[skill_gap_index]]&gt;70,"Large Gap",
IF(Table1[[#This Row],[skill_gap_index]]&gt;40,"Medium Gap","Small Gap"))</f>
        <v>Medium Gap</v>
      </c>
      <c r="X1404" s="3" t="str">
        <f>IF(Table1[[#This Row],[automation_risk_percent]]&gt;0.7,"Highly Automatable",
IF(Table1[[#This Row],[automation_risk_percent]]&gt;0.4,"Moderate Risk","Safe Job"))</f>
        <v>Safe Job</v>
      </c>
    </row>
    <row r="1405" spans="1:24" x14ac:dyDescent="0.3">
      <c r="A1405">
        <v>5047</v>
      </c>
      <c r="B1405" t="s">
        <v>44</v>
      </c>
      <c r="C1405" t="s">
        <v>30</v>
      </c>
      <c r="D1405" t="s">
        <v>36</v>
      </c>
      <c r="E1405" s="1">
        <v>2025</v>
      </c>
      <c r="F1405" s="11">
        <v>0.754</v>
      </c>
      <c r="G1405">
        <v>85.34</v>
      </c>
      <c r="H1405">
        <v>40.21</v>
      </c>
      <c r="I1405" s="2">
        <v>44628.92</v>
      </c>
      <c r="J1405" s="2">
        <v>38141.64</v>
      </c>
      <c r="K1405" s="2">
        <f>Table1[[#This Row],[Salary_after]]-Table1[[#This Row],[Salary_before]]</f>
        <v>-6487.2799999999988</v>
      </c>
      <c r="L1405" s="11">
        <v>-0.1454</v>
      </c>
      <c r="M1405" s="11">
        <v>0.1772</v>
      </c>
      <c r="N1405">
        <v>48.29</v>
      </c>
      <c r="O1405">
        <v>42.59</v>
      </c>
      <c r="P1405">
        <v>3</v>
      </c>
      <c r="Q1405" t="s">
        <v>37</v>
      </c>
      <c r="R1405">
        <v>57.805</v>
      </c>
      <c r="S1405">
        <v>14.54</v>
      </c>
      <c r="T1405" s="4">
        <v>46.585000000000001</v>
      </c>
      <c r="U1405" s="4">
        <v>32.112859999999998</v>
      </c>
      <c r="V1405" t="str">
        <f>IF(Table1[[#This Row],[ai_disruption_intensity]]&gt;70,"High",
IF(Table1[[#This Row],[ai_disruption_intensity]]&gt;40,"Medium","Low"))</f>
        <v>Low</v>
      </c>
      <c r="W1405" t="str">
        <f>IF(Table1[[#This Row],[skill_gap_index]]&gt;70,"Large Gap",
IF(Table1[[#This Row],[skill_gap_index]]&gt;40,"Medium Gap","Small Gap"))</f>
        <v>Medium Gap</v>
      </c>
      <c r="X1405" s="3" t="str">
        <f>IF(Table1[[#This Row],[automation_risk_percent]]&gt;0.7,"Highly Automatable",
IF(Table1[[#This Row],[automation_risk_percent]]&gt;0.4,"Moderate Risk","Safe Job"))</f>
        <v>Highly Automatable</v>
      </c>
    </row>
    <row r="1406" spans="1:24" x14ac:dyDescent="0.3">
      <c r="A1406">
        <v>5048</v>
      </c>
      <c r="B1406" t="s">
        <v>29</v>
      </c>
      <c r="C1406" t="s">
        <v>23</v>
      </c>
      <c r="D1406" t="s">
        <v>20</v>
      </c>
      <c r="E1406" s="1">
        <v>2026</v>
      </c>
      <c r="F1406" s="11">
        <v>0.90560000000000007</v>
      </c>
      <c r="G1406">
        <v>74.94</v>
      </c>
      <c r="H1406">
        <v>19.309999999999999</v>
      </c>
      <c r="I1406" s="2">
        <v>102953.14</v>
      </c>
      <c r="J1406" s="2">
        <v>97795.55</v>
      </c>
      <c r="K1406" s="2">
        <f>Table1[[#This Row],[Salary_after]]-Table1[[#This Row],[Salary_before]]</f>
        <v>-5157.5899999999965</v>
      </c>
      <c r="L1406" s="11">
        <v>-5.0099999999999999E-2</v>
      </c>
      <c r="M1406" s="11">
        <v>5.6299999999999996E-2</v>
      </c>
      <c r="N1406">
        <v>42.66</v>
      </c>
      <c r="O1406">
        <v>91.88</v>
      </c>
      <c r="P1406">
        <v>1</v>
      </c>
      <c r="Q1406" t="s">
        <v>37</v>
      </c>
      <c r="R1406">
        <v>54.935000000000002</v>
      </c>
      <c r="S1406">
        <v>5.01</v>
      </c>
      <c r="T1406" s="4">
        <v>43.52</v>
      </c>
      <c r="U1406" s="4">
        <v>83.206527999999906</v>
      </c>
      <c r="V1406" t="str">
        <f>IF(Table1[[#This Row],[ai_disruption_intensity]]&gt;70,"High",
IF(Table1[[#This Row],[ai_disruption_intensity]]&gt;40,"Medium","Low"))</f>
        <v>High</v>
      </c>
      <c r="W1406" t="str">
        <f>IF(Table1[[#This Row],[skill_gap_index]]&gt;70,"Large Gap",
IF(Table1[[#This Row],[skill_gap_index]]&gt;40,"Medium Gap","Small Gap"))</f>
        <v>Small Gap</v>
      </c>
      <c r="X1406" s="3" t="str">
        <f>IF(Table1[[#This Row],[automation_risk_percent]]&gt;0.7,"Highly Automatable",
IF(Table1[[#This Row],[automation_risk_percent]]&gt;0.4,"Moderate Risk","Safe Job"))</f>
        <v>Highly Automatable</v>
      </c>
    </row>
    <row r="1407" spans="1:24" x14ac:dyDescent="0.3">
      <c r="A1407">
        <v>5055</v>
      </c>
      <c r="B1407" t="s">
        <v>41</v>
      </c>
      <c r="C1407" t="s">
        <v>27</v>
      </c>
      <c r="D1407" t="s">
        <v>36</v>
      </c>
      <c r="E1407" s="1">
        <v>2026</v>
      </c>
      <c r="F1407" s="11">
        <v>0.82629999999999992</v>
      </c>
      <c r="G1407">
        <v>96.9</v>
      </c>
      <c r="H1407">
        <v>68.66</v>
      </c>
      <c r="I1407" s="2">
        <v>149570.35999999999</v>
      </c>
      <c r="J1407" s="2">
        <v>164307.76999999999</v>
      </c>
      <c r="K1407" s="2">
        <f>Table1[[#This Row],[Salary_after]]-Table1[[#This Row],[Salary_before]]</f>
        <v>14737.410000000003</v>
      </c>
      <c r="L1407" s="11">
        <v>9.849999999999999E-2</v>
      </c>
      <c r="M1407" s="11">
        <v>8.0000000000000004E-4</v>
      </c>
      <c r="N1407">
        <v>70.63</v>
      </c>
      <c r="O1407">
        <v>32.340000000000003</v>
      </c>
      <c r="P1407">
        <v>2</v>
      </c>
      <c r="Q1407" t="s">
        <v>37</v>
      </c>
      <c r="R1407">
        <v>75.644999999999996</v>
      </c>
      <c r="S1407">
        <v>9.85</v>
      </c>
      <c r="T1407" s="4">
        <v>56.604999999999997</v>
      </c>
      <c r="U1407" s="4">
        <v>26.722542000000001</v>
      </c>
      <c r="V1407" t="str">
        <f>IF(Table1[[#This Row],[ai_disruption_intensity]]&gt;70,"High",
IF(Table1[[#This Row],[ai_disruption_intensity]]&gt;40,"Medium","Low"))</f>
        <v>Low</v>
      </c>
      <c r="W1407" t="str">
        <f>IF(Table1[[#This Row],[skill_gap_index]]&gt;70,"Large Gap",
IF(Table1[[#This Row],[skill_gap_index]]&gt;40,"Medium Gap","Small Gap"))</f>
        <v>Medium Gap</v>
      </c>
      <c r="X1407" s="3" t="str">
        <f>IF(Table1[[#This Row],[automation_risk_percent]]&gt;0.7,"Highly Automatable",
IF(Table1[[#This Row],[automation_risk_percent]]&gt;0.4,"Moderate Risk","Safe Job"))</f>
        <v>Highly Automatable</v>
      </c>
    </row>
    <row r="1408" spans="1:24" x14ac:dyDescent="0.3">
      <c r="A1408">
        <v>5056</v>
      </c>
      <c r="B1408" t="s">
        <v>43</v>
      </c>
      <c r="C1408" t="s">
        <v>30</v>
      </c>
      <c r="D1408" t="s">
        <v>47</v>
      </c>
      <c r="E1408" s="1">
        <v>2025</v>
      </c>
      <c r="F1408" s="11">
        <v>0.59329999999999994</v>
      </c>
      <c r="G1408">
        <v>59.56</v>
      </c>
      <c r="H1408">
        <v>18.899999999999999</v>
      </c>
      <c r="I1408" s="2">
        <v>50865.56</v>
      </c>
      <c r="J1408" s="2">
        <v>55976.49</v>
      </c>
      <c r="K1408" s="2">
        <f>Table1[[#This Row],[Salary_after]]-Table1[[#This Row],[Salary_before]]</f>
        <v>5110.93</v>
      </c>
      <c r="L1408" s="11">
        <v>0.10050000000000001</v>
      </c>
      <c r="M1408" s="11">
        <v>0.1512</v>
      </c>
      <c r="N1408">
        <v>57.77</v>
      </c>
      <c r="O1408">
        <v>50.14</v>
      </c>
      <c r="P1408">
        <v>3</v>
      </c>
      <c r="Q1408" t="s">
        <v>25</v>
      </c>
      <c r="R1408">
        <v>39.114999999999903</v>
      </c>
      <c r="S1408">
        <v>10.050000000000001</v>
      </c>
      <c r="T1408" s="4">
        <v>32.416999999999902</v>
      </c>
      <c r="U1408" s="4">
        <v>29.748062000000001</v>
      </c>
      <c r="V1408" t="str">
        <f>IF(Table1[[#This Row],[ai_disruption_intensity]]&gt;70,"High",
IF(Table1[[#This Row],[ai_disruption_intensity]]&gt;40,"Medium","Low"))</f>
        <v>Low</v>
      </c>
      <c r="W1408" t="str">
        <f>IF(Table1[[#This Row],[skill_gap_index]]&gt;70,"Large Gap",
IF(Table1[[#This Row],[skill_gap_index]]&gt;40,"Medium Gap","Small Gap"))</f>
        <v>Small Gap</v>
      </c>
      <c r="X1408" s="3" t="str">
        <f>IF(Table1[[#This Row],[automation_risk_percent]]&gt;0.7,"Highly Automatable",
IF(Table1[[#This Row],[automation_risk_percent]]&gt;0.4,"Moderate Risk","Safe Job"))</f>
        <v>Moderate Risk</v>
      </c>
    </row>
    <row r="1409" spans="1:24" x14ac:dyDescent="0.3">
      <c r="A1409">
        <v>5057</v>
      </c>
      <c r="B1409" t="s">
        <v>26</v>
      </c>
      <c r="C1409" t="s">
        <v>23</v>
      </c>
      <c r="D1409" t="s">
        <v>28</v>
      </c>
      <c r="E1409" s="1">
        <v>2025</v>
      </c>
      <c r="F1409" s="11">
        <v>0.126</v>
      </c>
      <c r="G1409">
        <v>12.25</v>
      </c>
      <c r="H1409">
        <v>87.14</v>
      </c>
      <c r="I1409" s="2">
        <v>132567.28</v>
      </c>
      <c r="J1409" s="2">
        <v>119276.68</v>
      </c>
      <c r="K1409" s="2">
        <f>Table1[[#This Row],[Salary_after]]-Table1[[#This Row],[Salary_before]]</f>
        <v>-13290.600000000006</v>
      </c>
      <c r="L1409" s="11">
        <v>-0.1003</v>
      </c>
      <c r="M1409" s="11">
        <v>2.2499999999999999E-2</v>
      </c>
      <c r="N1409">
        <v>51.95</v>
      </c>
      <c r="O1409">
        <v>77.64</v>
      </c>
      <c r="P1409">
        <v>5</v>
      </c>
      <c r="Q1409" t="s">
        <v>21</v>
      </c>
      <c r="R1409">
        <v>49.87</v>
      </c>
      <c r="S1409">
        <v>10.029999999999999</v>
      </c>
      <c r="T1409" s="4">
        <v>34.190999999999903</v>
      </c>
      <c r="U1409" s="4">
        <v>9.7826400000000007</v>
      </c>
      <c r="V1409" t="str">
        <f>IF(Table1[[#This Row],[ai_disruption_intensity]]&gt;70,"High",
IF(Table1[[#This Row],[ai_disruption_intensity]]&gt;40,"Medium","Low"))</f>
        <v>Low</v>
      </c>
      <c r="W1409" t="str">
        <f>IF(Table1[[#This Row],[skill_gap_index]]&gt;70,"Large Gap",
IF(Table1[[#This Row],[skill_gap_index]]&gt;40,"Medium Gap","Small Gap"))</f>
        <v>Large Gap</v>
      </c>
      <c r="X1409" s="3" t="str">
        <f>IF(Table1[[#This Row],[automation_risk_percent]]&gt;0.7,"Highly Automatable",
IF(Table1[[#This Row],[automation_risk_percent]]&gt;0.4,"Moderate Risk","Safe Job"))</f>
        <v>Safe Job</v>
      </c>
    </row>
    <row r="1410" spans="1:24" x14ac:dyDescent="0.3">
      <c r="A1410">
        <v>5060</v>
      </c>
      <c r="B1410" t="s">
        <v>22</v>
      </c>
      <c r="C1410" t="s">
        <v>23</v>
      </c>
      <c r="D1410" t="s">
        <v>20</v>
      </c>
      <c r="E1410" s="1">
        <v>2025</v>
      </c>
      <c r="F1410" s="11">
        <v>0.76159999999999994</v>
      </c>
      <c r="G1410">
        <v>87.18</v>
      </c>
      <c r="H1410">
        <v>86.5</v>
      </c>
      <c r="I1410" s="2">
        <v>78794.2</v>
      </c>
      <c r="J1410" s="2">
        <v>79199.009999999995</v>
      </c>
      <c r="K1410" s="2">
        <f>Table1[[#This Row],[Salary_after]]-Table1[[#This Row],[Salary_before]]</f>
        <v>404.80999999999767</v>
      </c>
      <c r="L1410" s="11">
        <v>5.1000000000000004E-3</v>
      </c>
      <c r="M1410" s="11">
        <v>-6.6900000000000001E-2</v>
      </c>
      <c r="N1410">
        <v>33.82</v>
      </c>
      <c r="O1410">
        <v>51.07</v>
      </c>
      <c r="P1410">
        <v>4</v>
      </c>
      <c r="Q1410" t="s">
        <v>37</v>
      </c>
      <c r="R1410">
        <v>81.33</v>
      </c>
      <c r="S1410">
        <v>0.51</v>
      </c>
      <c r="T1410" s="4">
        <v>56.567</v>
      </c>
      <c r="U1410" s="4">
        <v>38.894911999999998</v>
      </c>
      <c r="V1410" t="str">
        <f>IF(Table1[[#This Row],[ai_disruption_intensity]]&gt;70,"High",
IF(Table1[[#This Row],[ai_disruption_intensity]]&gt;40,"Medium","Low"))</f>
        <v>Low</v>
      </c>
      <c r="W1410" t="str">
        <f>IF(Table1[[#This Row],[skill_gap_index]]&gt;70,"Large Gap",
IF(Table1[[#This Row],[skill_gap_index]]&gt;40,"Medium Gap","Small Gap"))</f>
        <v>Large Gap</v>
      </c>
      <c r="X1410" s="3" t="str">
        <f>IF(Table1[[#This Row],[automation_risk_percent]]&gt;0.7,"Highly Automatable",
IF(Table1[[#This Row],[automation_risk_percent]]&gt;0.4,"Moderate Risk","Safe Job"))</f>
        <v>Highly Automatable</v>
      </c>
    </row>
    <row r="1411" spans="1:24" x14ac:dyDescent="0.3">
      <c r="A1411">
        <v>5067</v>
      </c>
      <c r="B1411" t="s">
        <v>44</v>
      </c>
      <c r="C1411" t="s">
        <v>38</v>
      </c>
      <c r="D1411" t="s">
        <v>36</v>
      </c>
      <c r="E1411" s="1">
        <v>2026</v>
      </c>
      <c r="F1411" s="11">
        <v>0.34759999999999996</v>
      </c>
      <c r="G1411">
        <v>30.53</v>
      </c>
      <c r="H1411">
        <v>93.48</v>
      </c>
      <c r="I1411" s="2">
        <v>55702.12</v>
      </c>
      <c r="J1411" s="2">
        <v>46688.03</v>
      </c>
      <c r="K1411" s="2">
        <f>Table1[[#This Row],[Salary_after]]-Table1[[#This Row],[Salary_before]]</f>
        <v>-9014.0900000000038</v>
      </c>
      <c r="L1411" s="11">
        <v>-0.1618</v>
      </c>
      <c r="M1411" s="11">
        <v>0.2288</v>
      </c>
      <c r="N1411">
        <v>17.38</v>
      </c>
      <c r="O1411">
        <v>57.49</v>
      </c>
      <c r="P1411">
        <v>4</v>
      </c>
      <c r="Q1411" t="s">
        <v>25</v>
      </c>
      <c r="R1411">
        <v>64.12</v>
      </c>
      <c r="S1411">
        <v>16.18</v>
      </c>
      <c r="T1411" s="4">
        <v>46.802</v>
      </c>
      <c r="U1411" s="4">
        <v>19.983523999999999</v>
      </c>
      <c r="V1411" t="str">
        <f>IF(Table1[[#This Row],[ai_disruption_intensity]]&gt;70,"High",
IF(Table1[[#This Row],[ai_disruption_intensity]]&gt;40,"Medium","Low"))</f>
        <v>Low</v>
      </c>
      <c r="W1411" t="str">
        <f>IF(Table1[[#This Row],[skill_gap_index]]&gt;70,"Large Gap",
IF(Table1[[#This Row],[skill_gap_index]]&gt;40,"Medium Gap","Small Gap"))</f>
        <v>Large Gap</v>
      </c>
      <c r="X1411" s="3" t="str">
        <f>IF(Table1[[#This Row],[automation_risk_percent]]&gt;0.7,"Highly Automatable",
IF(Table1[[#This Row],[automation_risk_percent]]&gt;0.4,"Moderate Risk","Safe Job"))</f>
        <v>Safe Job</v>
      </c>
    </row>
    <row r="1412" spans="1:24" x14ac:dyDescent="0.3">
      <c r="A1412">
        <v>5069</v>
      </c>
      <c r="B1412" t="s">
        <v>45</v>
      </c>
      <c r="C1412" t="s">
        <v>40</v>
      </c>
      <c r="D1412" t="s">
        <v>28</v>
      </c>
      <c r="E1412" s="1">
        <v>2025</v>
      </c>
      <c r="F1412" s="11">
        <v>0.434</v>
      </c>
      <c r="G1412">
        <v>39.22</v>
      </c>
      <c r="H1412">
        <v>37.64</v>
      </c>
      <c r="I1412" s="2">
        <v>131053.53</v>
      </c>
      <c r="J1412" s="2">
        <v>135610.21</v>
      </c>
      <c r="K1412" s="2">
        <f>Table1[[#This Row],[Salary_after]]-Table1[[#This Row],[Salary_before]]</f>
        <v>4556.679999999993</v>
      </c>
      <c r="L1412" s="11">
        <v>3.4799999999999998E-2</v>
      </c>
      <c r="M1412" s="11">
        <v>0.1479</v>
      </c>
      <c r="N1412">
        <v>62.46</v>
      </c>
      <c r="O1412">
        <v>42.71</v>
      </c>
      <c r="P1412">
        <v>5</v>
      </c>
      <c r="Q1412" t="s">
        <v>25</v>
      </c>
      <c r="R1412">
        <v>40.519999999999897</v>
      </c>
      <c r="S1412">
        <v>3.48</v>
      </c>
      <c r="T1412" s="4">
        <v>29.696000000000002</v>
      </c>
      <c r="U1412" s="4">
        <v>18.53614</v>
      </c>
      <c r="V1412" t="str">
        <f>IF(Table1[[#This Row],[ai_disruption_intensity]]&gt;70,"High",
IF(Table1[[#This Row],[ai_disruption_intensity]]&gt;40,"Medium","Low"))</f>
        <v>Low</v>
      </c>
      <c r="W1412" t="str">
        <f>IF(Table1[[#This Row],[skill_gap_index]]&gt;70,"Large Gap",
IF(Table1[[#This Row],[skill_gap_index]]&gt;40,"Medium Gap","Small Gap"))</f>
        <v>Small Gap</v>
      </c>
      <c r="X1412" s="3" t="str">
        <f>IF(Table1[[#This Row],[automation_risk_percent]]&gt;0.7,"Highly Automatable",
IF(Table1[[#This Row],[automation_risk_percent]]&gt;0.4,"Moderate Risk","Safe Job"))</f>
        <v>Moderate Risk</v>
      </c>
    </row>
    <row r="1413" spans="1:24" x14ac:dyDescent="0.3">
      <c r="A1413">
        <v>5080</v>
      </c>
      <c r="B1413" t="s">
        <v>18</v>
      </c>
      <c r="C1413" t="s">
        <v>27</v>
      </c>
      <c r="D1413" t="s">
        <v>28</v>
      </c>
      <c r="E1413" s="1">
        <v>2026</v>
      </c>
      <c r="F1413" s="11">
        <v>0.64040000000000008</v>
      </c>
      <c r="G1413">
        <v>52.55</v>
      </c>
      <c r="H1413">
        <v>79.92</v>
      </c>
      <c r="I1413" s="2">
        <v>92875.13</v>
      </c>
      <c r="J1413" s="2">
        <v>83773.100000000006</v>
      </c>
      <c r="K1413" s="2">
        <f>Table1[[#This Row],[Salary_after]]-Table1[[#This Row],[Salary_before]]</f>
        <v>-9102.0299999999988</v>
      </c>
      <c r="L1413" s="11">
        <v>-9.8000000000000004E-2</v>
      </c>
      <c r="M1413" s="11">
        <v>3.7200000000000004E-2</v>
      </c>
      <c r="N1413">
        <v>76.739999999999995</v>
      </c>
      <c r="O1413">
        <v>13.12</v>
      </c>
      <c r="P1413">
        <v>5</v>
      </c>
      <c r="Q1413" t="s">
        <v>37</v>
      </c>
      <c r="R1413">
        <v>71.98</v>
      </c>
      <c r="S1413">
        <v>9.8000000000000007</v>
      </c>
      <c r="T1413" s="4">
        <v>52.531999999999996</v>
      </c>
      <c r="U1413" s="4">
        <v>8.4020480000000006</v>
      </c>
      <c r="V1413" t="str">
        <f>IF(Table1[[#This Row],[ai_disruption_intensity]]&gt;70,"High",
IF(Table1[[#This Row],[ai_disruption_intensity]]&gt;40,"Medium","Low"))</f>
        <v>Low</v>
      </c>
      <c r="W1413" t="str">
        <f>IF(Table1[[#This Row],[skill_gap_index]]&gt;70,"Large Gap",
IF(Table1[[#This Row],[skill_gap_index]]&gt;40,"Medium Gap","Small Gap"))</f>
        <v>Large Gap</v>
      </c>
      <c r="X1413" s="3" t="str">
        <f>IF(Table1[[#This Row],[automation_risk_percent]]&gt;0.7,"Highly Automatable",
IF(Table1[[#This Row],[automation_risk_percent]]&gt;0.4,"Moderate Risk","Safe Job"))</f>
        <v>Moderate Risk</v>
      </c>
    </row>
    <row r="1414" spans="1:24" x14ac:dyDescent="0.3">
      <c r="A1414">
        <v>5082</v>
      </c>
      <c r="B1414" t="s">
        <v>44</v>
      </c>
      <c r="C1414" t="s">
        <v>38</v>
      </c>
      <c r="D1414" t="s">
        <v>47</v>
      </c>
      <c r="E1414" s="1">
        <v>2026</v>
      </c>
      <c r="F1414" s="11">
        <v>0.45240000000000002</v>
      </c>
      <c r="G1414">
        <v>42.84</v>
      </c>
      <c r="H1414">
        <v>49.49</v>
      </c>
      <c r="I1414" s="2">
        <v>81280.97</v>
      </c>
      <c r="J1414" s="2">
        <v>78215.350000000006</v>
      </c>
      <c r="K1414" s="2">
        <f>Table1[[#This Row],[Salary_after]]-Table1[[#This Row],[Salary_before]]</f>
        <v>-3065.6199999999953</v>
      </c>
      <c r="L1414" s="11">
        <v>-3.7699999999999997E-2</v>
      </c>
      <c r="M1414" s="11">
        <v>0.1042</v>
      </c>
      <c r="N1414">
        <v>74.959999999999994</v>
      </c>
      <c r="O1414">
        <v>40.5</v>
      </c>
      <c r="P1414">
        <v>2</v>
      </c>
      <c r="Q1414" t="s">
        <v>25</v>
      </c>
      <c r="R1414">
        <v>47.365000000000002</v>
      </c>
      <c r="S1414">
        <v>3.77</v>
      </c>
      <c r="T1414" s="4">
        <v>34.073999999999998</v>
      </c>
      <c r="U1414" s="4">
        <v>18.322199999999999</v>
      </c>
      <c r="V1414" t="str">
        <f>IF(Table1[[#This Row],[ai_disruption_intensity]]&gt;70,"High",
IF(Table1[[#This Row],[ai_disruption_intensity]]&gt;40,"Medium","Low"))</f>
        <v>Low</v>
      </c>
      <c r="W1414" t="str">
        <f>IF(Table1[[#This Row],[skill_gap_index]]&gt;70,"Large Gap",
IF(Table1[[#This Row],[skill_gap_index]]&gt;40,"Medium Gap","Small Gap"))</f>
        <v>Medium Gap</v>
      </c>
      <c r="X1414" s="3" t="str">
        <f>IF(Table1[[#This Row],[automation_risk_percent]]&gt;0.7,"Highly Automatable",
IF(Table1[[#This Row],[automation_risk_percent]]&gt;0.4,"Moderate Risk","Safe Job"))</f>
        <v>Moderate Risk</v>
      </c>
    </row>
    <row r="1415" spans="1:24" x14ac:dyDescent="0.3">
      <c r="A1415">
        <v>5086</v>
      </c>
      <c r="B1415" t="s">
        <v>29</v>
      </c>
      <c r="C1415" t="s">
        <v>34</v>
      </c>
      <c r="D1415" t="s">
        <v>31</v>
      </c>
      <c r="E1415" s="1">
        <v>2025</v>
      </c>
      <c r="F1415" s="11">
        <v>0.67519999999999991</v>
      </c>
      <c r="G1415">
        <v>73.569999999999993</v>
      </c>
      <c r="H1415">
        <v>22.64</v>
      </c>
      <c r="I1415" s="2">
        <v>78896.240000000005</v>
      </c>
      <c r="J1415" s="2">
        <v>83535.759999999995</v>
      </c>
      <c r="K1415" s="2">
        <f>Table1[[#This Row],[Salary_after]]-Table1[[#This Row],[Salary_before]]</f>
        <v>4639.5199999999895</v>
      </c>
      <c r="L1415" s="11">
        <v>5.8799999999999998E-2</v>
      </c>
      <c r="M1415" s="11">
        <v>-4.24E-2</v>
      </c>
      <c r="N1415">
        <v>87.74</v>
      </c>
      <c r="O1415">
        <v>87.75</v>
      </c>
      <c r="P1415">
        <v>2</v>
      </c>
      <c r="Q1415" t="s">
        <v>37</v>
      </c>
      <c r="R1415">
        <v>45.08</v>
      </c>
      <c r="S1415">
        <v>5.88</v>
      </c>
      <c r="T1415" s="4">
        <v>35.564</v>
      </c>
      <c r="U1415" s="4">
        <v>59.248799999999903</v>
      </c>
      <c r="V1415" t="str">
        <f>IF(Table1[[#This Row],[ai_disruption_intensity]]&gt;70,"High",
IF(Table1[[#This Row],[ai_disruption_intensity]]&gt;40,"Medium","Low"))</f>
        <v>Medium</v>
      </c>
      <c r="W1415" t="str">
        <f>IF(Table1[[#This Row],[skill_gap_index]]&gt;70,"Large Gap",
IF(Table1[[#This Row],[skill_gap_index]]&gt;40,"Medium Gap","Small Gap"))</f>
        <v>Small Gap</v>
      </c>
      <c r="X1415" s="3" t="str">
        <f>IF(Table1[[#This Row],[automation_risk_percent]]&gt;0.7,"Highly Automatable",
IF(Table1[[#This Row],[automation_risk_percent]]&gt;0.4,"Moderate Risk","Safe Job"))</f>
        <v>Moderate Risk</v>
      </c>
    </row>
    <row r="1416" spans="1:24" x14ac:dyDescent="0.3">
      <c r="A1416">
        <v>5092</v>
      </c>
      <c r="B1416" t="s">
        <v>45</v>
      </c>
      <c r="C1416" t="s">
        <v>19</v>
      </c>
      <c r="D1416" t="s">
        <v>24</v>
      </c>
      <c r="E1416" s="1">
        <v>2026</v>
      </c>
      <c r="F1416" s="11">
        <v>0.20739999999999997</v>
      </c>
      <c r="G1416">
        <v>17.690000000000001</v>
      </c>
      <c r="H1416">
        <v>8.5299999999999994</v>
      </c>
      <c r="I1416" s="2">
        <v>66252.73</v>
      </c>
      <c r="J1416" s="2">
        <v>68066.33</v>
      </c>
      <c r="K1416" s="2">
        <f>Table1[[#This Row],[Salary_after]]-Table1[[#This Row],[Salary_before]]</f>
        <v>1813.6000000000058</v>
      </c>
      <c r="L1416" s="11">
        <v>2.7400000000000001E-2</v>
      </c>
      <c r="M1416" s="11">
        <v>-0.10220000000000001</v>
      </c>
      <c r="N1416">
        <v>39.46</v>
      </c>
      <c r="O1416">
        <v>40.520000000000003</v>
      </c>
      <c r="P1416">
        <v>1</v>
      </c>
      <c r="Q1416" t="s">
        <v>21</v>
      </c>
      <c r="R1416">
        <v>14.6349999999999</v>
      </c>
      <c r="S1416">
        <v>2.74</v>
      </c>
      <c r="T1416" s="4">
        <v>11.677</v>
      </c>
      <c r="U1416" s="4">
        <v>8.403848</v>
      </c>
      <c r="V1416" t="str">
        <f>IF(Table1[[#This Row],[ai_disruption_intensity]]&gt;70,"High",
IF(Table1[[#This Row],[ai_disruption_intensity]]&gt;40,"Medium","Low"))</f>
        <v>Low</v>
      </c>
      <c r="W1416" t="str">
        <f>IF(Table1[[#This Row],[skill_gap_index]]&gt;70,"Large Gap",
IF(Table1[[#This Row],[skill_gap_index]]&gt;40,"Medium Gap","Small Gap"))</f>
        <v>Small Gap</v>
      </c>
      <c r="X1416" s="3" t="str">
        <f>IF(Table1[[#This Row],[automation_risk_percent]]&gt;0.7,"Highly Automatable",
IF(Table1[[#This Row],[automation_risk_percent]]&gt;0.4,"Moderate Risk","Safe Job"))</f>
        <v>Safe Job</v>
      </c>
    </row>
    <row r="1417" spans="1:24" x14ac:dyDescent="0.3">
      <c r="A1417">
        <v>5093</v>
      </c>
      <c r="B1417" t="s">
        <v>44</v>
      </c>
      <c r="C1417" t="s">
        <v>30</v>
      </c>
      <c r="D1417" t="s">
        <v>42</v>
      </c>
      <c r="E1417" s="1">
        <v>2025</v>
      </c>
      <c r="F1417" s="11">
        <v>0.75930000000000009</v>
      </c>
      <c r="G1417">
        <v>65.47</v>
      </c>
      <c r="H1417">
        <v>38.85</v>
      </c>
      <c r="I1417" s="2">
        <v>60849.82</v>
      </c>
      <c r="J1417" s="2">
        <v>71017.11</v>
      </c>
      <c r="K1417" s="2">
        <f>Table1[[#This Row],[Salary_after]]-Table1[[#This Row],[Salary_before]]</f>
        <v>10167.290000000001</v>
      </c>
      <c r="L1417" s="11">
        <v>0.1671</v>
      </c>
      <c r="M1417" s="11">
        <v>8.48E-2</v>
      </c>
      <c r="N1417">
        <v>83.53</v>
      </c>
      <c r="O1417">
        <v>51.53</v>
      </c>
      <c r="P1417">
        <v>5</v>
      </c>
      <c r="Q1417" t="s">
        <v>37</v>
      </c>
      <c r="R1417">
        <v>57.39</v>
      </c>
      <c r="S1417">
        <v>16.71</v>
      </c>
      <c r="T1417" s="4">
        <v>47.04</v>
      </c>
      <c r="U1417" s="4">
        <v>39.126728999999997</v>
      </c>
      <c r="V1417" t="str">
        <f>IF(Table1[[#This Row],[ai_disruption_intensity]]&gt;70,"High",
IF(Table1[[#This Row],[ai_disruption_intensity]]&gt;40,"Medium","Low"))</f>
        <v>Low</v>
      </c>
      <c r="W1417" t="str">
        <f>IF(Table1[[#This Row],[skill_gap_index]]&gt;70,"Large Gap",
IF(Table1[[#This Row],[skill_gap_index]]&gt;40,"Medium Gap","Small Gap"))</f>
        <v>Small Gap</v>
      </c>
      <c r="X1417" s="3" t="str">
        <f>IF(Table1[[#This Row],[automation_risk_percent]]&gt;0.7,"Highly Automatable",
IF(Table1[[#This Row],[automation_risk_percent]]&gt;0.4,"Moderate Risk","Safe Job"))</f>
        <v>Highly Automatable</v>
      </c>
    </row>
    <row r="1418" spans="1:24" x14ac:dyDescent="0.3">
      <c r="A1418">
        <v>5095</v>
      </c>
      <c r="B1418" t="s">
        <v>43</v>
      </c>
      <c r="C1418" t="s">
        <v>38</v>
      </c>
      <c r="D1418" t="s">
        <v>35</v>
      </c>
      <c r="E1418" s="1">
        <v>2025</v>
      </c>
      <c r="F1418" s="11">
        <v>0.58820000000000006</v>
      </c>
      <c r="G1418">
        <v>47.86</v>
      </c>
      <c r="H1418">
        <v>1.9</v>
      </c>
      <c r="I1418" s="2">
        <v>84188.01</v>
      </c>
      <c r="J1418" s="2">
        <v>76512.78</v>
      </c>
      <c r="K1418" s="2">
        <f>Table1[[#This Row],[Salary_after]]-Table1[[#This Row],[Salary_before]]</f>
        <v>-7675.2299999999959</v>
      </c>
      <c r="L1418" s="11">
        <v>-9.1199999999999989E-2</v>
      </c>
      <c r="M1418" s="11">
        <v>8.9900000000000008E-2</v>
      </c>
      <c r="N1418">
        <v>78.75</v>
      </c>
      <c r="O1418">
        <v>12.87</v>
      </c>
      <c r="P1418">
        <v>2</v>
      </c>
      <c r="Q1418" t="s">
        <v>25</v>
      </c>
      <c r="R1418">
        <v>30.36</v>
      </c>
      <c r="S1418">
        <v>9.1199999999999992</v>
      </c>
      <c r="T1418" s="4">
        <v>26.834</v>
      </c>
      <c r="U1418" s="4">
        <v>7.5701339999999897</v>
      </c>
      <c r="V1418" t="str">
        <f>IF(Table1[[#This Row],[ai_disruption_intensity]]&gt;70,"High",
IF(Table1[[#This Row],[ai_disruption_intensity]]&gt;40,"Medium","Low"))</f>
        <v>Low</v>
      </c>
      <c r="W1418" t="str">
        <f>IF(Table1[[#This Row],[skill_gap_index]]&gt;70,"Large Gap",
IF(Table1[[#This Row],[skill_gap_index]]&gt;40,"Medium Gap","Small Gap"))</f>
        <v>Small Gap</v>
      </c>
      <c r="X1418" s="3" t="str">
        <f>IF(Table1[[#This Row],[automation_risk_percent]]&gt;0.7,"Highly Automatable",
IF(Table1[[#This Row],[automation_risk_percent]]&gt;0.4,"Moderate Risk","Safe Job"))</f>
        <v>Moderate Risk</v>
      </c>
    </row>
    <row r="1419" spans="1:24" x14ac:dyDescent="0.3">
      <c r="A1419">
        <v>5097</v>
      </c>
      <c r="B1419" t="s">
        <v>26</v>
      </c>
      <c r="C1419" t="s">
        <v>38</v>
      </c>
      <c r="D1419" t="s">
        <v>35</v>
      </c>
      <c r="E1419" s="1">
        <v>2026</v>
      </c>
      <c r="F1419" s="11">
        <v>0.69640000000000002</v>
      </c>
      <c r="G1419">
        <v>81.430000000000007</v>
      </c>
      <c r="H1419">
        <v>0.2</v>
      </c>
      <c r="I1419" s="2">
        <v>96088.16</v>
      </c>
      <c r="J1419" s="2">
        <v>94229.86</v>
      </c>
      <c r="K1419" s="2">
        <f>Table1[[#This Row],[Salary_after]]-Table1[[#This Row],[Salary_before]]</f>
        <v>-1858.3000000000029</v>
      </c>
      <c r="L1419" s="11">
        <v>-1.9299999999999998E-2</v>
      </c>
      <c r="M1419" s="11">
        <v>0.15359999999999999</v>
      </c>
      <c r="N1419">
        <v>49.31</v>
      </c>
      <c r="O1419">
        <v>37.93</v>
      </c>
      <c r="P1419">
        <v>5</v>
      </c>
      <c r="Q1419" t="s">
        <v>37</v>
      </c>
      <c r="R1419">
        <v>34.92</v>
      </c>
      <c r="S1419">
        <v>1.93</v>
      </c>
      <c r="T1419" s="4">
        <v>28.495000000000001</v>
      </c>
      <c r="U1419" s="4">
        <v>26.414452000000001</v>
      </c>
      <c r="V1419" t="str">
        <f>IF(Table1[[#This Row],[ai_disruption_intensity]]&gt;70,"High",
IF(Table1[[#This Row],[ai_disruption_intensity]]&gt;40,"Medium","Low"))</f>
        <v>Low</v>
      </c>
      <c r="W1419" t="str">
        <f>IF(Table1[[#This Row],[skill_gap_index]]&gt;70,"Large Gap",
IF(Table1[[#This Row],[skill_gap_index]]&gt;40,"Medium Gap","Small Gap"))</f>
        <v>Small Gap</v>
      </c>
      <c r="X1419" s="3" t="str">
        <f>IF(Table1[[#This Row],[automation_risk_percent]]&gt;0.7,"Highly Automatable",
IF(Table1[[#This Row],[automation_risk_percent]]&gt;0.4,"Moderate Risk","Safe Job"))</f>
        <v>Moderate Risk</v>
      </c>
    </row>
    <row r="1420" spans="1:24" x14ac:dyDescent="0.3">
      <c r="A1420">
        <v>5100</v>
      </c>
      <c r="B1420" t="s">
        <v>18</v>
      </c>
      <c r="C1420" t="s">
        <v>27</v>
      </c>
      <c r="D1420" t="s">
        <v>36</v>
      </c>
      <c r="E1420" s="1">
        <v>2025</v>
      </c>
      <c r="F1420" s="11">
        <v>0.65129999999999999</v>
      </c>
      <c r="G1420">
        <v>68.91</v>
      </c>
      <c r="H1420">
        <v>9.0299999999999994</v>
      </c>
      <c r="I1420" s="2">
        <v>144579.68</v>
      </c>
      <c r="J1420" s="2">
        <v>157134.06</v>
      </c>
      <c r="K1420" s="2">
        <f>Table1[[#This Row],[Salary_after]]-Table1[[#This Row],[Salary_before]]</f>
        <v>12554.380000000005</v>
      </c>
      <c r="L1420" s="11">
        <v>8.6800000000000002E-2</v>
      </c>
      <c r="M1420" s="11">
        <v>-0.1079</v>
      </c>
      <c r="N1420">
        <v>82.28</v>
      </c>
      <c r="O1420">
        <v>13.29</v>
      </c>
      <c r="P1420">
        <v>3</v>
      </c>
      <c r="Q1420" t="s">
        <v>37</v>
      </c>
      <c r="R1420">
        <v>37.08</v>
      </c>
      <c r="S1420">
        <v>8.68</v>
      </c>
      <c r="T1420" s="4">
        <v>31.364999999999998</v>
      </c>
      <c r="U1420" s="4">
        <v>8.6557769999999898</v>
      </c>
      <c r="V1420" t="str">
        <f>IF(Table1[[#This Row],[ai_disruption_intensity]]&gt;70,"High",
IF(Table1[[#This Row],[ai_disruption_intensity]]&gt;40,"Medium","Low"))</f>
        <v>Low</v>
      </c>
      <c r="W1420" t="str">
        <f>IF(Table1[[#This Row],[skill_gap_index]]&gt;70,"Large Gap",
IF(Table1[[#This Row],[skill_gap_index]]&gt;40,"Medium Gap","Small Gap"))</f>
        <v>Small Gap</v>
      </c>
      <c r="X1420" s="3" t="str">
        <f>IF(Table1[[#This Row],[automation_risk_percent]]&gt;0.7,"Highly Automatable",
IF(Table1[[#This Row],[automation_risk_percent]]&gt;0.4,"Moderate Risk","Safe Job"))</f>
        <v>Moderate Risk</v>
      </c>
    </row>
    <row r="1421" spans="1:24" x14ac:dyDescent="0.3">
      <c r="A1421">
        <v>5102</v>
      </c>
      <c r="B1421" t="s">
        <v>45</v>
      </c>
      <c r="C1421" t="s">
        <v>33</v>
      </c>
      <c r="D1421" t="s">
        <v>28</v>
      </c>
      <c r="E1421" s="1">
        <v>2025</v>
      </c>
      <c r="F1421" s="11">
        <v>0.15410000000000001</v>
      </c>
      <c r="G1421">
        <v>16.98</v>
      </c>
      <c r="H1421">
        <v>7.9</v>
      </c>
      <c r="I1421" s="2">
        <v>130549.74</v>
      </c>
      <c r="J1421" s="2">
        <v>118594.06</v>
      </c>
      <c r="K1421" s="2">
        <f>Table1[[#This Row],[Salary_after]]-Table1[[#This Row],[Salary_before]]</f>
        <v>-11955.680000000008</v>
      </c>
      <c r="L1421" s="11">
        <v>-9.1600000000000001E-2</v>
      </c>
      <c r="M1421" s="11">
        <v>0.22850000000000001</v>
      </c>
      <c r="N1421">
        <v>87.98</v>
      </c>
      <c r="O1421">
        <v>18.61</v>
      </c>
      <c r="P1421">
        <v>1</v>
      </c>
      <c r="Q1421" t="s">
        <v>21</v>
      </c>
      <c r="R1421">
        <v>11.654999999999999</v>
      </c>
      <c r="S1421">
        <v>9.16</v>
      </c>
      <c r="T1421" s="4">
        <v>11.282</v>
      </c>
      <c r="U1421" s="4">
        <v>2.867801</v>
      </c>
      <c r="V1421" t="str">
        <f>IF(Table1[[#This Row],[ai_disruption_intensity]]&gt;70,"High",
IF(Table1[[#This Row],[ai_disruption_intensity]]&gt;40,"Medium","Low"))</f>
        <v>Low</v>
      </c>
      <c r="W1421" t="str">
        <f>IF(Table1[[#This Row],[skill_gap_index]]&gt;70,"Large Gap",
IF(Table1[[#This Row],[skill_gap_index]]&gt;40,"Medium Gap","Small Gap"))</f>
        <v>Small Gap</v>
      </c>
      <c r="X1421" s="3" t="str">
        <f>IF(Table1[[#This Row],[automation_risk_percent]]&gt;0.7,"Highly Automatable",
IF(Table1[[#This Row],[automation_risk_percent]]&gt;0.4,"Moderate Risk","Safe Job"))</f>
        <v>Safe Job</v>
      </c>
    </row>
    <row r="1422" spans="1:24" x14ac:dyDescent="0.3">
      <c r="A1422">
        <v>5105</v>
      </c>
      <c r="B1422" t="s">
        <v>22</v>
      </c>
      <c r="C1422" t="s">
        <v>23</v>
      </c>
      <c r="D1422" t="s">
        <v>20</v>
      </c>
      <c r="E1422" s="1">
        <v>2025</v>
      </c>
      <c r="F1422" s="11">
        <v>0.59570000000000001</v>
      </c>
      <c r="G1422">
        <v>66.62</v>
      </c>
      <c r="H1422">
        <v>20.94</v>
      </c>
      <c r="I1422" s="2">
        <v>78593.03</v>
      </c>
      <c r="J1422" s="2">
        <v>76374.34</v>
      </c>
      <c r="K1422" s="2">
        <f>Table1[[#This Row],[Salary_after]]-Table1[[#This Row],[Salary_before]]</f>
        <v>-2218.6900000000023</v>
      </c>
      <c r="L1422" s="11">
        <v>-2.8199999999999999E-2</v>
      </c>
      <c r="M1422" s="11">
        <v>4.07E-2</v>
      </c>
      <c r="N1422">
        <v>39.909999999999997</v>
      </c>
      <c r="O1422">
        <v>37.090000000000003</v>
      </c>
      <c r="P1422">
        <v>1</v>
      </c>
      <c r="Q1422" t="s">
        <v>25</v>
      </c>
      <c r="R1422">
        <v>40.255000000000003</v>
      </c>
      <c r="S1422">
        <v>2.82</v>
      </c>
      <c r="T1422" s="4">
        <v>30.956</v>
      </c>
      <c r="U1422" s="4">
        <v>22.094512999999999</v>
      </c>
      <c r="V1422" t="str">
        <f>IF(Table1[[#This Row],[ai_disruption_intensity]]&gt;70,"High",
IF(Table1[[#This Row],[ai_disruption_intensity]]&gt;40,"Medium","Low"))</f>
        <v>Low</v>
      </c>
      <c r="W1422" t="str">
        <f>IF(Table1[[#This Row],[skill_gap_index]]&gt;70,"Large Gap",
IF(Table1[[#This Row],[skill_gap_index]]&gt;40,"Medium Gap","Small Gap"))</f>
        <v>Small Gap</v>
      </c>
      <c r="X1422" s="3" t="str">
        <f>IF(Table1[[#This Row],[automation_risk_percent]]&gt;0.7,"Highly Automatable",
IF(Table1[[#This Row],[automation_risk_percent]]&gt;0.4,"Moderate Risk","Safe Job"))</f>
        <v>Moderate Risk</v>
      </c>
    </row>
    <row r="1423" spans="1:24" x14ac:dyDescent="0.3">
      <c r="A1423">
        <v>5107</v>
      </c>
      <c r="B1423" t="s">
        <v>39</v>
      </c>
      <c r="C1423" t="s">
        <v>27</v>
      </c>
      <c r="D1423" t="s">
        <v>42</v>
      </c>
      <c r="E1423" s="1">
        <v>2025</v>
      </c>
      <c r="F1423" s="11">
        <v>0.25920000000000004</v>
      </c>
      <c r="G1423">
        <v>30.01</v>
      </c>
      <c r="H1423">
        <v>17.95</v>
      </c>
      <c r="I1423" s="2">
        <v>135478.29999999999</v>
      </c>
      <c r="J1423" s="2">
        <v>127141.68</v>
      </c>
      <c r="K1423" s="2">
        <f>Table1[[#This Row],[Salary_after]]-Table1[[#This Row],[Salary_before]]</f>
        <v>-8336.6199999999953</v>
      </c>
      <c r="L1423" s="11">
        <v>-6.1500000000000006E-2</v>
      </c>
      <c r="M1423" s="11">
        <v>0.14800000000000002</v>
      </c>
      <c r="N1423">
        <v>13.1</v>
      </c>
      <c r="O1423">
        <v>8.26</v>
      </c>
      <c r="P1423">
        <v>3</v>
      </c>
      <c r="Q1423" t="s">
        <v>21</v>
      </c>
      <c r="R1423">
        <v>21.934999999999999</v>
      </c>
      <c r="S1423">
        <v>6.15</v>
      </c>
      <c r="T1423" s="4">
        <v>17.597999999999999</v>
      </c>
      <c r="U1423" s="4">
        <v>2.1409919999999998</v>
      </c>
      <c r="V1423" t="str">
        <f>IF(Table1[[#This Row],[ai_disruption_intensity]]&gt;70,"High",
IF(Table1[[#This Row],[ai_disruption_intensity]]&gt;40,"Medium","Low"))</f>
        <v>Low</v>
      </c>
      <c r="W1423" t="str">
        <f>IF(Table1[[#This Row],[skill_gap_index]]&gt;70,"Large Gap",
IF(Table1[[#This Row],[skill_gap_index]]&gt;40,"Medium Gap","Small Gap"))</f>
        <v>Small Gap</v>
      </c>
      <c r="X1423" s="3" t="str">
        <f>IF(Table1[[#This Row],[automation_risk_percent]]&gt;0.7,"Highly Automatable",
IF(Table1[[#This Row],[automation_risk_percent]]&gt;0.4,"Moderate Risk","Safe Job"))</f>
        <v>Safe Job</v>
      </c>
    </row>
    <row r="1424" spans="1:24" x14ac:dyDescent="0.3">
      <c r="A1424">
        <v>5109</v>
      </c>
      <c r="B1424" t="s">
        <v>43</v>
      </c>
      <c r="C1424" t="s">
        <v>30</v>
      </c>
      <c r="D1424" t="s">
        <v>36</v>
      </c>
      <c r="E1424" s="1">
        <v>2026</v>
      </c>
      <c r="F1424" s="11">
        <v>0.63340000000000007</v>
      </c>
      <c r="G1424">
        <v>50.69</v>
      </c>
      <c r="H1424">
        <v>43.9</v>
      </c>
      <c r="I1424" s="2">
        <v>40424.54</v>
      </c>
      <c r="J1424" s="2">
        <v>32313.47</v>
      </c>
      <c r="K1424" s="2">
        <f>Table1[[#This Row],[Salary_after]]-Table1[[#This Row],[Salary_before]]</f>
        <v>-8111.07</v>
      </c>
      <c r="L1424" s="11">
        <v>-0.2006</v>
      </c>
      <c r="M1424" s="11">
        <v>0.1182</v>
      </c>
      <c r="N1424">
        <v>12.55</v>
      </c>
      <c r="O1424">
        <v>46.1</v>
      </c>
      <c r="P1424">
        <v>1</v>
      </c>
      <c r="Q1424" t="s">
        <v>37</v>
      </c>
      <c r="R1424">
        <v>53.62</v>
      </c>
      <c r="S1424">
        <v>20.059999999999999</v>
      </c>
      <c r="T1424" s="4">
        <v>44.524000000000001</v>
      </c>
      <c r="U1424" s="4">
        <v>29.199739999999998</v>
      </c>
      <c r="V1424" t="str">
        <f>IF(Table1[[#This Row],[ai_disruption_intensity]]&gt;70,"High",
IF(Table1[[#This Row],[ai_disruption_intensity]]&gt;40,"Medium","Low"))</f>
        <v>Low</v>
      </c>
      <c r="W1424" t="str">
        <f>IF(Table1[[#This Row],[skill_gap_index]]&gt;70,"Large Gap",
IF(Table1[[#This Row],[skill_gap_index]]&gt;40,"Medium Gap","Small Gap"))</f>
        <v>Medium Gap</v>
      </c>
      <c r="X1424" s="3" t="str">
        <f>IF(Table1[[#This Row],[automation_risk_percent]]&gt;0.7,"Highly Automatable",
IF(Table1[[#This Row],[automation_risk_percent]]&gt;0.4,"Moderate Risk","Safe Job"))</f>
        <v>Moderate Risk</v>
      </c>
    </row>
    <row r="1425" spans="1:24" x14ac:dyDescent="0.3">
      <c r="A1425">
        <v>5114</v>
      </c>
      <c r="B1425" t="s">
        <v>29</v>
      </c>
      <c r="C1425" t="s">
        <v>23</v>
      </c>
      <c r="D1425" t="s">
        <v>36</v>
      </c>
      <c r="E1425" s="1">
        <v>2025</v>
      </c>
      <c r="F1425" s="11">
        <v>0.31370000000000003</v>
      </c>
      <c r="G1425">
        <v>37.42</v>
      </c>
      <c r="H1425">
        <v>47.61</v>
      </c>
      <c r="I1425" s="2">
        <v>52318.44</v>
      </c>
      <c r="J1425" s="2">
        <v>49798.23</v>
      </c>
      <c r="K1425" s="2">
        <f>Table1[[#This Row],[Salary_after]]-Table1[[#This Row],[Salary_before]]</f>
        <v>-2520.2099999999991</v>
      </c>
      <c r="L1425" s="11">
        <v>-4.82E-2</v>
      </c>
      <c r="M1425" s="11">
        <v>-4.7599999999999996E-2</v>
      </c>
      <c r="N1425">
        <v>59.9</v>
      </c>
      <c r="O1425">
        <v>12.95</v>
      </c>
      <c r="P1425">
        <v>2</v>
      </c>
      <c r="Q1425" t="s">
        <v>25</v>
      </c>
      <c r="R1425">
        <v>39.49</v>
      </c>
      <c r="S1425">
        <v>4.82</v>
      </c>
      <c r="T1425" s="4">
        <v>28.277000000000001</v>
      </c>
      <c r="U1425" s="4">
        <v>4.0624149999999997</v>
      </c>
      <c r="V1425" t="str">
        <f>IF(Table1[[#This Row],[ai_disruption_intensity]]&gt;70,"High",
IF(Table1[[#This Row],[ai_disruption_intensity]]&gt;40,"Medium","Low"))</f>
        <v>Low</v>
      </c>
      <c r="W1425" t="str">
        <f>IF(Table1[[#This Row],[skill_gap_index]]&gt;70,"Large Gap",
IF(Table1[[#This Row],[skill_gap_index]]&gt;40,"Medium Gap","Small Gap"))</f>
        <v>Medium Gap</v>
      </c>
      <c r="X1425" s="3" t="str">
        <f>IF(Table1[[#This Row],[automation_risk_percent]]&gt;0.7,"Highly Automatable",
IF(Table1[[#This Row],[automation_risk_percent]]&gt;0.4,"Moderate Risk","Safe Job"))</f>
        <v>Safe Job</v>
      </c>
    </row>
    <row r="1426" spans="1:24" x14ac:dyDescent="0.3">
      <c r="A1426">
        <v>5115</v>
      </c>
      <c r="B1426" t="s">
        <v>22</v>
      </c>
      <c r="C1426" t="s">
        <v>23</v>
      </c>
      <c r="D1426" t="s">
        <v>28</v>
      </c>
      <c r="E1426" s="1">
        <v>2025</v>
      </c>
      <c r="F1426" s="11">
        <v>0.57320000000000004</v>
      </c>
      <c r="G1426">
        <v>65.209999999999994</v>
      </c>
      <c r="H1426">
        <v>57.23</v>
      </c>
      <c r="I1426" s="2">
        <v>65628.17</v>
      </c>
      <c r="J1426" s="2">
        <v>70697.78</v>
      </c>
      <c r="K1426" s="2">
        <f>Table1[[#This Row],[Salary_after]]-Table1[[#This Row],[Salary_before]]</f>
        <v>5069.6100000000006</v>
      </c>
      <c r="L1426" s="11">
        <v>7.7199999999999991E-2</v>
      </c>
      <c r="M1426" s="11">
        <v>0.18940000000000001</v>
      </c>
      <c r="N1426">
        <v>52.87</v>
      </c>
      <c r="O1426">
        <v>10.199999999999999</v>
      </c>
      <c r="P1426">
        <v>4</v>
      </c>
      <c r="Q1426" t="s">
        <v>25</v>
      </c>
      <c r="R1426">
        <v>57.274999999999999</v>
      </c>
      <c r="S1426">
        <v>7.72</v>
      </c>
      <c r="T1426" s="4">
        <v>42.412999999999997</v>
      </c>
      <c r="U1426" s="4">
        <v>5.8466399999999998</v>
      </c>
      <c r="V1426" t="str">
        <f>IF(Table1[[#This Row],[ai_disruption_intensity]]&gt;70,"High",
IF(Table1[[#This Row],[ai_disruption_intensity]]&gt;40,"Medium","Low"))</f>
        <v>Low</v>
      </c>
      <c r="W1426" t="str">
        <f>IF(Table1[[#This Row],[skill_gap_index]]&gt;70,"Large Gap",
IF(Table1[[#This Row],[skill_gap_index]]&gt;40,"Medium Gap","Small Gap"))</f>
        <v>Medium Gap</v>
      </c>
      <c r="X1426" s="3" t="str">
        <f>IF(Table1[[#This Row],[automation_risk_percent]]&gt;0.7,"Highly Automatable",
IF(Table1[[#This Row],[automation_risk_percent]]&gt;0.4,"Moderate Risk","Safe Job"))</f>
        <v>Moderate Risk</v>
      </c>
    </row>
    <row r="1427" spans="1:24" x14ac:dyDescent="0.3">
      <c r="A1427">
        <v>5117</v>
      </c>
      <c r="B1427" t="s">
        <v>44</v>
      </c>
      <c r="C1427" t="s">
        <v>19</v>
      </c>
      <c r="D1427" t="s">
        <v>32</v>
      </c>
      <c r="E1427" s="1">
        <v>2025</v>
      </c>
      <c r="F1427" s="11">
        <v>0.3347</v>
      </c>
      <c r="G1427">
        <v>36.24</v>
      </c>
      <c r="H1427">
        <v>95.9</v>
      </c>
      <c r="I1427" s="2">
        <v>128351.54</v>
      </c>
      <c r="J1427" s="2">
        <v>113360.07</v>
      </c>
      <c r="K1427" s="2">
        <f>Table1[[#This Row],[Salary_after]]-Table1[[#This Row],[Salary_before]]</f>
        <v>-14991.469999999987</v>
      </c>
      <c r="L1427" s="11">
        <v>-0.1168</v>
      </c>
      <c r="M1427" s="11">
        <v>8.4399999999999989E-2</v>
      </c>
      <c r="N1427">
        <v>25.74</v>
      </c>
      <c r="O1427">
        <v>49.24</v>
      </c>
      <c r="P1427">
        <v>3</v>
      </c>
      <c r="Q1427" t="s">
        <v>25</v>
      </c>
      <c r="R1427">
        <v>64.685000000000002</v>
      </c>
      <c r="S1427">
        <v>11.68</v>
      </c>
      <c r="T1427" s="4">
        <v>45.661999999999999</v>
      </c>
      <c r="U1427" s="4">
        <v>16.480627999999999</v>
      </c>
      <c r="V1427" t="str">
        <f>IF(Table1[[#This Row],[ai_disruption_intensity]]&gt;70,"High",
IF(Table1[[#This Row],[ai_disruption_intensity]]&gt;40,"Medium","Low"))</f>
        <v>Low</v>
      </c>
      <c r="W1427" t="str">
        <f>IF(Table1[[#This Row],[skill_gap_index]]&gt;70,"Large Gap",
IF(Table1[[#This Row],[skill_gap_index]]&gt;40,"Medium Gap","Small Gap"))</f>
        <v>Large Gap</v>
      </c>
      <c r="X1427" s="3" t="str">
        <f>IF(Table1[[#This Row],[automation_risk_percent]]&gt;0.7,"Highly Automatable",
IF(Table1[[#This Row],[automation_risk_percent]]&gt;0.4,"Moderate Risk","Safe Job"))</f>
        <v>Safe Job</v>
      </c>
    </row>
    <row r="1428" spans="1:24" x14ac:dyDescent="0.3">
      <c r="A1428">
        <v>5125</v>
      </c>
      <c r="B1428" t="s">
        <v>22</v>
      </c>
      <c r="C1428" t="s">
        <v>30</v>
      </c>
      <c r="D1428" t="s">
        <v>28</v>
      </c>
      <c r="E1428" s="1">
        <v>2026</v>
      </c>
      <c r="F1428" s="11">
        <v>0.4415</v>
      </c>
      <c r="G1428">
        <v>36.29</v>
      </c>
      <c r="H1428">
        <v>99.85</v>
      </c>
      <c r="I1428" s="2">
        <v>72997.16</v>
      </c>
      <c r="J1428" s="2">
        <v>65977.119999999995</v>
      </c>
      <c r="K1428" s="2">
        <f>Table1[[#This Row],[Salary_after]]-Table1[[#This Row],[Salary_before]]</f>
        <v>-7020.0400000000081</v>
      </c>
      <c r="L1428" s="11">
        <v>-9.6199999999999994E-2</v>
      </c>
      <c r="M1428" s="11">
        <v>2.76E-2</v>
      </c>
      <c r="N1428">
        <v>31.35</v>
      </c>
      <c r="O1428">
        <v>67.3</v>
      </c>
      <c r="P1428">
        <v>4</v>
      </c>
      <c r="Q1428" t="s">
        <v>25</v>
      </c>
      <c r="R1428">
        <v>72</v>
      </c>
      <c r="S1428">
        <v>9.6199999999999992</v>
      </c>
      <c r="T1428" s="4">
        <v>50.500999999999998</v>
      </c>
      <c r="U1428" s="4">
        <v>29.7129499999999</v>
      </c>
      <c r="V1428" t="str">
        <f>IF(Table1[[#This Row],[ai_disruption_intensity]]&gt;70,"High",
IF(Table1[[#This Row],[ai_disruption_intensity]]&gt;40,"Medium","Low"))</f>
        <v>Low</v>
      </c>
      <c r="W1428" t="str">
        <f>IF(Table1[[#This Row],[skill_gap_index]]&gt;70,"Large Gap",
IF(Table1[[#This Row],[skill_gap_index]]&gt;40,"Medium Gap","Small Gap"))</f>
        <v>Large Gap</v>
      </c>
      <c r="X1428" s="3" t="str">
        <f>IF(Table1[[#This Row],[automation_risk_percent]]&gt;0.7,"Highly Automatable",
IF(Table1[[#This Row],[automation_risk_percent]]&gt;0.4,"Moderate Risk","Safe Job"))</f>
        <v>Moderate Risk</v>
      </c>
    </row>
    <row r="1429" spans="1:24" x14ac:dyDescent="0.3">
      <c r="A1429">
        <v>5146</v>
      </c>
      <c r="B1429" t="s">
        <v>22</v>
      </c>
      <c r="C1429" t="s">
        <v>19</v>
      </c>
      <c r="D1429" t="s">
        <v>20</v>
      </c>
      <c r="E1429" s="1">
        <v>2025</v>
      </c>
      <c r="F1429" s="11">
        <v>0.13159999999999999</v>
      </c>
      <c r="G1429">
        <v>11.28</v>
      </c>
      <c r="H1429">
        <v>58.94</v>
      </c>
      <c r="I1429" s="2">
        <v>85131.47</v>
      </c>
      <c r="J1429" s="2">
        <v>78890.34</v>
      </c>
      <c r="K1429" s="2">
        <f>Table1[[#This Row],[Salary_after]]-Table1[[#This Row],[Salary_before]]</f>
        <v>-6241.1300000000047</v>
      </c>
      <c r="L1429" s="11">
        <v>-7.3300000000000004E-2</v>
      </c>
      <c r="M1429" s="11">
        <v>-2.7200000000000002E-2</v>
      </c>
      <c r="N1429">
        <v>66.849999999999994</v>
      </c>
      <c r="O1429">
        <v>5.9</v>
      </c>
      <c r="P1429">
        <v>4</v>
      </c>
      <c r="Q1429" t="s">
        <v>21</v>
      </c>
      <c r="R1429">
        <v>36.049999999999997</v>
      </c>
      <c r="S1429">
        <v>7.33</v>
      </c>
      <c r="T1429" s="4">
        <v>25.1449999999999</v>
      </c>
      <c r="U1429" s="4">
        <v>0.77644000000000002</v>
      </c>
      <c r="V1429" t="str">
        <f>IF(Table1[[#This Row],[ai_disruption_intensity]]&gt;70,"High",
IF(Table1[[#This Row],[ai_disruption_intensity]]&gt;40,"Medium","Low"))</f>
        <v>Low</v>
      </c>
      <c r="W1429" t="str">
        <f>IF(Table1[[#This Row],[skill_gap_index]]&gt;70,"Large Gap",
IF(Table1[[#This Row],[skill_gap_index]]&gt;40,"Medium Gap","Small Gap"))</f>
        <v>Medium Gap</v>
      </c>
      <c r="X1429" s="3" t="str">
        <f>IF(Table1[[#This Row],[automation_risk_percent]]&gt;0.7,"Highly Automatable",
IF(Table1[[#This Row],[automation_risk_percent]]&gt;0.4,"Moderate Risk","Safe Job"))</f>
        <v>Safe Job</v>
      </c>
    </row>
    <row r="1430" spans="1:24" x14ac:dyDescent="0.3">
      <c r="A1430">
        <v>5147</v>
      </c>
      <c r="B1430" t="s">
        <v>43</v>
      </c>
      <c r="C1430" t="s">
        <v>27</v>
      </c>
      <c r="D1430" t="s">
        <v>31</v>
      </c>
      <c r="E1430" s="1">
        <v>2026</v>
      </c>
      <c r="F1430" s="11">
        <v>0.40399999999999997</v>
      </c>
      <c r="G1430">
        <v>40.770000000000003</v>
      </c>
      <c r="H1430">
        <v>30.81</v>
      </c>
      <c r="I1430" s="2">
        <v>128465.98</v>
      </c>
      <c r="J1430" s="2">
        <v>123161.69</v>
      </c>
      <c r="K1430" s="2">
        <f>Table1[[#This Row],[Salary_after]]-Table1[[#This Row],[Salary_before]]</f>
        <v>-5304.2899999999936</v>
      </c>
      <c r="L1430" s="11">
        <v>-4.1299999999999996E-2</v>
      </c>
      <c r="M1430" s="11">
        <v>0.22149999999999997</v>
      </c>
      <c r="N1430">
        <v>93.2</v>
      </c>
      <c r="O1430">
        <v>70.22</v>
      </c>
      <c r="P1430">
        <v>3</v>
      </c>
      <c r="Q1430" t="s">
        <v>25</v>
      </c>
      <c r="R1430">
        <v>35.604999999999997</v>
      </c>
      <c r="S1430">
        <v>4.13</v>
      </c>
      <c r="T1430" s="4">
        <v>26.641999999999999</v>
      </c>
      <c r="U1430" s="4">
        <v>28.368880000000001</v>
      </c>
      <c r="V1430" t="str">
        <f>IF(Table1[[#This Row],[ai_disruption_intensity]]&gt;70,"High",
IF(Table1[[#This Row],[ai_disruption_intensity]]&gt;40,"Medium","Low"))</f>
        <v>Low</v>
      </c>
      <c r="W1430" t="str">
        <f>IF(Table1[[#This Row],[skill_gap_index]]&gt;70,"Large Gap",
IF(Table1[[#This Row],[skill_gap_index]]&gt;40,"Medium Gap","Small Gap"))</f>
        <v>Small Gap</v>
      </c>
      <c r="X1430" s="3" t="str">
        <f>IF(Table1[[#This Row],[automation_risk_percent]]&gt;0.7,"Highly Automatable",
IF(Table1[[#This Row],[automation_risk_percent]]&gt;0.4,"Moderate Risk","Safe Job"))</f>
        <v>Moderate Risk</v>
      </c>
    </row>
    <row r="1431" spans="1:24" x14ac:dyDescent="0.3">
      <c r="A1431">
        <v>5148</v>
      </c>
      <c r="B1431" t="s">
        <v>29</v>
      </c>
      <c r="C1431" t="s">
        <v>33</v>
      </c>
      <c r="D1431" t="s">
        <v>35</v>
      </c>
      <c r="E1431" s="1">
        <v>2025</v>
      </c>
      <c r="F1431" s="11">
        <v>0.90170000000000006</v>
      </c>
      <c r="G1431">
        <v>89.18</v>
      </c>
      <c r="H1431">
        <v>45.3</v>
      </c>
      <c r="I1431" s="2">
        <v>93689.12</v>
      </c>
      <c r="J1431" s="2">
        <v>103850.81</v>
      </c>
      <c r="K1431" s="2">
        <f>Table1[[#This Row],[Salary_after]]-Table1[[#This Row],[Salary_before]]</f>
        <v>10161.690000000002</v>
      </c>
      <c r="L1431" s="11">
        <v>0.1085</v>
      </c>
      <c r="M1431" s="11">
        <v>0.20469999999999999</v>
      </c>
      <c r="N1431">
        <v>93.38</v>
      </c>
      <c r="O1431">
        <v>99.36</v>
      </c>
      <c r="P1431">
        <v>5</v>
      </c>
      <c r="Q1431" t="s">
        <v>37</v>
      </c>
      <c r="R1431">
        <v>67.734999999999999</v>
      </c>
      <c r="S1431">
        <v>10.85</v>
      </c>
      <c r="T1431" s="4">
        <v>52.912999999999997</v>
      </c>
      <c r="U1431" s="4">
        <v>89.592911999999998</v>
      </c>
      <c r="V1431" t="str">
        <f>IF(Table1[[#This Row],[ai_disruption_intensity]]&gt;70,"High",
IF(Table1[[#This Row],[ai_disruption_intensity]]&gt;40,"Medium","Low"))</f>
        <v>High</v>
      </c>
      <c r="W1431" t="str">
        <f>IF(Table1[[#This Row],[skill_gap_index]]&gt;70,"Large Gap",
IF(Table1[[#This Row],[skill_gap_index]]&gt;40,"Medium Gap","Small Gap"))</f>
        <v>Medium Gap</v>
      </c>
      <c r="X1431" s="3" t="str">
        <f>IF(Table1[[#This Row],[automation_risk_percent]]&gt;0.7,"Highly Automatable",
IF(Table1[[#This Row],[automation_risk_percent]]&gt;0.4,"Moderate Risk","Safe Job"))</f>
        <v>Highly Automatable</v>
      </c>
    </row>
    <row r="1432" spans="1:24" x14ac:dyDescent="0.3">
      <c r="A1432">
        <v>5152</v>
      </c>
      <c r="B1432" t="s">
        <v>45</v>
      </c>
      <c r="C1432" t="s">
        <v>38</v>
      </c>
      <c r="D1432" t="s">
        <v>47</v>
      </c>
      <c r="E1432" s="1">
        <v>2026</v>
      </c>
      <c r="F1432" s="11">
        <v>0.42090000000000005</v>
      </c>
      <c r="G1432">
        <v>41.72</v>
      </c>
      <c r="H1432">
        <v>58.27</v>
      </c>
      <c r="I1432" s="2">
        <v>73496.23</v>
      </c>
      <c r="J1432" s="2">
        <v>73435.820000000007</v>
      </c>
      <c r="K1432" s="2">
        <f>Table1[[#This Row],[Salary_after]]-Table1[[#This Row],[Salary_before]]</f>
        <v>-60.409999999988941</v>
      </c>
      <c r="L1432" s="11">
        <v>-8.0000000000000004E-4</v>
      </c>
      <c r="M1432" s="11">
        <v>0.1336</v>
      </c>
      <c r="N1432">
        <v>48.14</v>
      </c>
      <c r="O1432">
        <v>4.82</v>
      </c>
      <c r="P1432">
        <v>4</v>
      </c>
      <c r="Q1432" t="s">
        <v>25</v>
      </c>
      <c r="R1432">
        <v>50.18</v>
      </c>
      <c r="S1432">
        <v>0.08</v>
      </c>
      <c r="T1432" s="4">
        <v>34.341000000000001</v>
      </c>
      <c r="U1432" s="4">
        <v>2.0287380000000002</v>
      </c>
      <c r="V1432" t="str">
        <f>IF(Table1[[#This Row],[ai_disruption_intensity]]&gt;70,"High",
IF(Table1[[#This Row],[ai_disruption_intensity]]&gt;40,"Medium","Low"))</f>
        <v>Low</v>
      </c>
      <c r="W1432" t="str">
        <f>IF(Table1[[#This Row],[skill_gap_index]]&gt;70,"Large Gap",
IF(Table1[[#This Row],[skill_gap_index]]&gt;40,"Medium Gap","Small Gap"))</f>
        <v>Medium Gap</v>
      </c>
      <c r="X1432" s="3" t="str">
        <f>IF(Table1[[#This Row],[automation_risk_percent]]&gt;0.7,"Highly Automatable",
IF(Table1[[#This Row],[automation_risk_percent]]&gt;0.4,"Moderate Risk","Safe Job"))</f>
        <v>Moderate Risk</v>
      </c>
    </row>
    <row r="1433" spans="1:24" x14ac:dyDescent="0.3">
      <c r="A1433">
        <v>5162</v>
      </c>
      <c r="B1433" t="s">
        <v>39</v>
      </c>
      <c r="C1433" t="s">
        <v>40</v>
      </c>
      <c r="D1433" t="s">
        <v>32</v>
      </c>
      <c r="E1433" s="1">
        <v>2026</v>
      </c>
      <c r="F1433" s="11">
        <v>0.68989999999999996</v>
      </c>
      <c r="G1433">
        <v>78.09</v>
      </c>
      <c r="H1433">
        <v>39.22</v>
      </c>
      <c r="I1433" s="2">
        <v>69512.05</v>
      </c>
      <c r="J1433" s="2">
        <v>68354.850000000006</v>
      </c>
      <c r="K1433" s="2">
        <f>Table1[[#This Row],[Salary_after]]-Table1[[#This Row],[Salary_before]]</f>
        <v>-1157.1999999999971</v>
      </c>
      <c r="L1433" s="11">
        <v>-1.66E-2</v>
      </c>
      <c r="M1433" s="11">
        <v>0.16149999999999998</v>
      </c>
      <c r="N1433">
        <v>49.72</v>
      </c>
      <c r="O1433">
        <v>66.91</v>
      </c>
      <c r="P1433">
        <v>3</v>
      </c>
      <c r="Q1433" t="s">
        <v>37</v>
      </c>
      <c r="R1433">
        <v>54.104999999999997</v>
      </c>
      <c r="S1433">
        <v>1.66</v>
      </c>
      <c r="T1433" s="4">
        <v>39.86</v>
      </c>
      <c r="U1433" s="4">
        <v>46.1612089999999</v>
      </c>
      <c r="V1433" t="str">
        <f>IF(Table1[[#This Row],[ai_disruption_intensity]]&gt;70,"High",
IF(Table1[[#This Row],[ai_disruption_intensity]]&gt;40,"Medium","Low"))</f>
        <v>Medium</v>
      </c>
      <c r="W1433" t="str">
        <f>IF(Table1[[#This Row],[skill_gap_index]]&gt;70,"Large Gap",
IF(Table1[[#This Row],[skill_gap_index]]&gt;40,"Medium Gap","Small Gap"))</f>
        <v>Small Gap</v>
      </c>
      <c r="X1433" s="3" t="str">
        <f>IF(Table1[[#This Row],[automation_risk_percent]]&gt;0.7,"Highly Automatable",
IF(Table1[[#This Row],[automation_risk_percent]]&gt;0.4,"Moderate Risk","Safe Job"))</f>
        <v>Moderate Risk</v>
      </c>
    </row>
    <row r="1434" spans="1:24" x14ac:dyDescent="0.3">
      <c r="A1434">
        <v>5163</v>
      </c>
      <c r="B1434" t="s">
        <v>46</v>
      </c>
      <c r="C1434" t="s">
        <v>19</v>
      </c>
      <c r="D1434" t="s">
        <v>24</v>
      </c>
      <c r="E1434" s="1">
        <v>2026</v>
      </c>
      <c r="F1434" s="11">
        <v>0.45200000000000001</v>
      </c>
      <c r="G1434">
        <v>40.97</v>
      </c>
      <c r="H1434">
        <v>94.33</v>
      </c>
      <c r="I1434" s="2">
        <v>148359.6</v>
      </c>
      <c r="J1434" s="2">
        <v>187146.29</v>
      </c>
      <c r="K1434" s="2">
        <f>Table1[[#This Row],[Salary_after]]-Table1[[#This Row],[Salary_before]]</f>
        <v>38786.69</v>
      </c>
      <c r="L1434" s="11">
        <v>0.26140000000000002</v>
      </c>
      <c r="M1434" s="11">
        <v>0.16070000000000001</v>
      </c>
      <c r="N1434">
        <v>59.89</v>
      </c>
      <c r="O1434">
        <v>48.58</v>
      </c>
      <c r="P1434">
        <v>3</v>
      </c>
      <c r="Q1434" t="s">
        <v>25</v>
      </c>
      <c r="R1434">
        <v>69.765000000000001</v>
      </c>
      <c r="S1434">
        <v>26.14</v>
      </c>
      <c r="T1434" s="4">
        <v>54.220999999999997</v>
      </c>
      <c r="U1434" s="4">
        <v>21.958159999999999</v>
      </c>
      <c r="V1434" t="str">
        <f>IF(Table1[[#This Row],[ai_disruption_intensity]]&gt;70,"High",
IF(Table1[[#This Row],[ai_disruption_intensity]]&gt;40,"Medium","Low"))</f>
        <v>Low</v>
      </c>
      <c r="W1434" t="str">
        <f>IF(Table1[[#This Row],[skill_gap_index]]&gt;70,"Large Gap",
IF(Table1[[#This Row],[skill_gap_index]]&gt;40,"Medium Gap","Small Gap"))</f>
        <v>Large Gap</v>
      </c>
      <c r="X1434" s="3" t="str">
        <f>IF(Table1[[#This Row],[automation_risk_percent]]&gt;0.7,"Highly Automatable",
IF(Table1[[#This Row],[automation_risk_percent]]&gt;0.4,"Moderate Risk","Safe Job"))</f>
        <v>Moderate Risk</v>
      </c>
    </row>
    <row r="1435" spans="1:24" x14ac:dyDescent="0.3">
      <c r="A1435">
        <v>5164</v>
      </c>
      <c r="B1435" t="s">
        <v>41</v>
      </c>
      <c r="C1435" t="s">
        <v>19</v>
      </c>
      <c r="D1435" t="s">
        <v>31</v>
      </c>
      <c r="E1435" s="1">
        <v>2025</v>
      </c>
      <c r="F1435" s="11">
        <v>0.91159999999999997</v>
      </c>
      <c r="G1435">
        <v>81.86</v>
      </c>
      <c r="H1435">
        <v>10.8</v>
      </c>
      <c r="I1435" s="2">
        <v>141545.67000000001</v>
      </c>
      <c r="J1435" s="2">
        <v>151267.03</v>
      </c>
      <c r="K1435" s="2">
        <f>Table1[[#This Row],[Salary_after]]-Table1[[#This Row],[Salary_before]]</f>
        <v>9721.359999999986</v>
      </c>
      <c r="L1435" s="11">
        <v>6.8699999999999997E-2</v>
      </c>
      <c r="M1435" s="11">
        <v>-2.9100000000000001E-2</v>
      </c>
      <c r="N1435">
        <v>28.35</v>
      </c>
      <c r="O1435">
        <v>96.02</v>
      </c>
      <c r="P1435">
        <v>2</v>
      </c>
      <c r="Q1435" t="s">
        <v>37</v>
      </c>
      <c r="R1435">
        <v>50.98</v>
      </c>
      <c r="S1435">
        <v>6.87</v>
      </c>
      <c r="T1435" s="4">
        <v>41.765000000000001</v>
      </c>
      <c r="U1435" s="4">
        <v>87.531831999999994</v>
      </c>
      <c r="V1435" t="str">
        <f>IF(Table1[[#This Row],[ai_disruption_intensity]]&gt;70,"High",
IF(Table1[[#This Row],[ai_disruption_intensity]]&gt;40,"Medium","Low"))</f>
        <v>High</v>
      </c>
      <c r="W1435" t="str">
        <f>IF(Table1[[#This Row],[skill_gap_index]]&gt;70,"Large Gap",
IF(Table1[[#This Row],[skill_gap_index]]&gt;40,"Medium Gap","Small Gap"))</f>
        <v>Small Gap</v>
      </c>
      <c r="X1435" s="3" t="str">
        <f>IF(Table1[[#This Row],[automation_risk_percent]]&gt;0.7,"Highly Automatable",
IF(Table1[[#This Row],[automation_risk_percent]]&gt;0.4,"Moderate Risk","Safe Job"))</f>
        <v>Highly Automatable</v>
      </c>
    </row>
    <row r="1436" spans="1:24" x14ac:dyDescent="0.3">
      <c r="A1436">
        <v>5165</v>
      </c>
      <c r="B1436" t="s">
        <v>39</v>
      </c>
      <c r="C1436" t="s">
        <v>34</v>
      </c>
      <c r="D1436" t="s">
        <v>31</v>
      </c>
      <c r="E1436" s="1">
        <v>2025</v>
      </c>
      <c r="F1436" s="11">
        <v>0.65379999999999994</v>
      </c>
      <c r="G1436">
        <v>76.33</v>
      </c>
      <c r="H1436">
        <v>95.1</v>
      </c>
      <c r="I1436" s="2">
        <v>40130.93</v>
      </c>
      <c r="J1436" s="2">
        <v>47893.46</v>
      </c>
      <c r="K1436" s="2">
        <f>Table1[[#This Row],[Salary_after]]-Table1[[#This Row],[Salary_before]]</f>
        <v>7762.5299999999988</v>
      </c>
      <c r="L1436" s="11">
        <v>0.19339999999999999</v>
      </c>
      <c r="M1436" s="11">
        <v>-3.7000000000000005E-2</v>
      </c>
      <c r="N1436">
        <v>82.22</v>
      </c>
      <c r="O1436">
        <v>24.15</v>
      </c>
      <c r="P1436">
        <v>2</v>
      </c>
      <c r="Q1436" t="s">
        <v>37</v>
      </c>
      <c r="R1436">
        <v>80.239999999999995</v>
      </c>
      <c r="S1436">
        <v>19.34</v>
      </c>
      <c r="T1436" s="4">
        <v>60.484000000000002</v>
      </c>
      <c r="U1436" s="4">
        <v>15.789269999999901</v>
      </c>
      <c r="V1436" t="str">
        <f>IF(Table1[[#This Row],[ai_disruption_intensity]]&gt;70,"High",
IF(Table1[[#This Row],[ai_disruption_intensity]]&gt;40,"Medium","Low"))</f>
        <v>Low</v>
      </c>
      <c r="W1436" t="str">
        <f>IF(Table1[[#This Row],[skill_gap_index]]&gt;70,"Large Gap",
IF(Table1[[#This Row],[skill_gap_index]]&gt;40,"Medium Gap","Small Gap"))</f>
        <v>Large Gap</v>
      </c>
      <c r="X1436" s="3" t="str">
        <f>IF(Table1[[#This Row],[automation_risk_percent]]&gt;0.7,"Highly Automatable",
IF(Table1[[#This Row],[automation_risk_percent]]&gt;0.4,"Moderate Risk","Safe Job"))</f>
        <v>Moderate Risk</v>
      </c>
    </row>
    <row r="1437" spans="1:24" x14ac:dyDescent="0.3">
      <c r="A1437">
        <v>5169</v>
      </c>
      <c r="B1437" t="s">
        <v>29</v>
      </c>
      <c r="C1437" t="s">
        <v>38</v>
      </c>
      <c r="D1437" t="s">
        <v>31</v>
      </c>
      <c r="E1437" s="1">
        <v>2026</v>
      </c>
      <c r="F1437" s="11">
        <v>0.4471</v>
      </c>
      <c r="G1437">
        <v>40.33</v>
      </c>
      <c r="H1437">
        <v>39.69</v>
      </c>
      <c r="I1437" s="2">
        <v>106937.64</v>
      </c>
      <c r="J1437" s="2">
        <v>112051.54</v>
      </c>
      <c r="K1437" s="2">
        <f>Table1[[#This Row],[Salary_after]]-Table1[[#This Row],[Salary_before]]</f>
        <v>5113.8999999999942</v>
      </c>
      <c r="L1437" s="11">
        <v>4.7800000000000002E-2</v>
      </c>
      <c r="M1437" s="11">
        <v>-0.1278</v>
      </c>
      <c r="N1437">
        <v>90.93</v>
      </c>
      <c r="O1437">
        <v>29.51</v>
      </c>
      <c r="P1437">
        <v>5</v>
      </c>
      <c r="Q1437" t="s">
        <v>25</v>
      </c>
      <c r="R1437">
        <v>42.2</v>
      </c>
      <c r="S1437">
        <v>4.78</v>
      </c>
      <c r="T1437" s="4">
        <v>31.224999999999898</v>
      </c>
      <c r="U1437" s="4">
        <v>13.193921</v>
      </c>
      <c r="V1437" t="str">
        <f>IF(Table1[[#This Row],[ai_disruption_intensity]]&gt;70,"High",
IF(Table1[[#This Row],[ai_disruption_intensity]]&gt;40,"Medium","Low"))</f>
        <v>Low</v>
      </c>
      <c r="W1437" t="str">
        <f>IF(Table1[[#This Row],[skill_gap_index]]&gt;70,"Large Gap",
IF(Table1[[#This Row],[skill_gap_index]]&gt;40,"Medium Gap","Small Gap"))</f>
        <v>Small Gap</v>
      </c>
      <c r="X1437" s="3" t="str">
        <f>IF(Table1[[#This Row],[automation_risk_percent]]&gt;0.7,"Highly Automatable",
IF(Table1[[#This Row],[automation_risk_percent]]&gt;0.4,"Moderate Risk","Safe Job"))</f>
        <v>Moderate Risk</v>
      </c>
    </row>
    <row r="1438" spans="1:24" x14ac:dyDescent="0.3">
      <c r="A1438">
        <v>5170</v>
      </c>
      <c r="B1438" t="s">
        <v>44</v>
      </c>
      <c r="C1438" t="s">
        <v>33</v>
      </c>
      <c r="D1438" t="s">
        <v>32</v>
      </c>
      <c r="E1438" s="1">
        <v>2025</v>
      </c>
      <c r="F1438" s="11">
        <v>0.7762</v>
      </c>
      <c r="G1438">
        <v>76.790000000000006</v>
      </c>
      <c r="H1438">
        <v>10.09</v>
      </c>
      <c r="I1438" s="2">
        <v>36604.730000000003</v>
      </c>
      <c r="J1438" s="2">
        <v>32116.240000000002</v>
      </c>
      <c r="K1438" s="2">
        <f>Table1[[#This Row],[Salary_after]]-Table1[[#This Row],[Salary_before]]</f>
        <v>-4488.4900000000016</v>
      </c>
      <c r="L1438" s="11">
        <v>-0.1226</v>
      </c>
      <c r="M1438" s="11">
        <v>-3.2000000000000001E-2</v>
      </c>
      <c r="N1438">
        <v>85.93</v>
      </c>
      <c r="O1438">
        <v>73.760000000000005</v>
      </c>
      <c r="P1438">
        <v>3</v>
      </c>
      <c r="Q1438" t="s">
        <v>37</v>
      </c>
      <c r="R1438">
        <v>43.854999999999997</v>
      </c>
      <c r="S1438">
        <v>12.26</v>
      </c>
      <c r="T1438" s="4">
        <v>37.753</v>
      </c>
      <c r="U1438" s="4">
        <v>57.252512000000003</v>
      </c>
      <c r="V1438" t="str">
        <f>IF(Table1[[#This Row],[ai_disruption_intensity]]&gt;70,"High",
IF(Table1[[#This Row],[ai_disruption_intensity]]&gt;40,"Medium","Low"))</f>
        <v>Medium</v>
      </c>
      <c r="W1438" t="str">
        <f>IF(Table1[[#This Row],[skill_gap_index]]&gt;70,"Large Gap",
IF(Table1[[#This Row],[skill_gap_index]]&gt;40,"Medium Gap","Small Gap"))</f>
        <v>Small Gap</v>
      </c>
      <c r="X1438" s="3" t="str">
        <f>IF(Table1[[#This Row],[automation_risk_percent]]&gt;0.7,"Highly Automatable",
IF(Table1[[#This Row],[automation_risk_percent]]&gt;0.4,"Moderate Risk","Safe Job"))</f>
        <v>Highly Automatable</v>
      </c>
    </row>
    <row r="1439" spans="1:24" x14ac:dyDescent="0.3">
      <c r="A1439">
        <v>5173</v>
      </c>
      <c r="B1439" t="s">
        <v>22</v>
      </c>
      <c r="C1439" t="s">
        <v>27</v>
      </c>
      <c r="D1439" t="s">
        <v>35</v>
      </c>
      <c r="E1439" s="1">
        <v>2026</v>
      </c>
      <c r="F1439" s="11">
        <v>0.20489999999999997</v>
      </c>
      <c r="G1439">
        <v>19.78</v>
      </c>
      <c r="H1439">
        <v>31.03</v>
      </c>
      <c r="I1439" s="2">
        <v>43466.65</v>
      </c>
      <c r="J1439" s="2">
        <v>43441.57</v>
      </c>
      <c r="K1439" s="2">
        <f>Table1[[#This Row],[Salary_after]]-Table1[[#This Row],[Salary_before]]</f>
        <v>-25.080000000001746</v>
      </c>
      <c r="L1439" s="11">
        <v>-5.9999999999999995E-4</v>
      </c>
      <c r="M1439" s="11">
        <v>0.18179999999999999</v>
      </c>
      <c r="N1439">
        <v>41.17</v>
      </c>
      <c r="O1439">
        <v>50.5</v>
      </c>
      <c r="P1439">
        <v>3</v>
      </c>
      <c r="Q1439" t="s">
        <v>21</v>
      </c>
      <c r="R1439">
        <v>25.759999999999899</v>
      </c>
      <c r="S1439">
        <v>0.06</v>
      </c>
      <c r="T1439" s="4">
        <v>17.523</v>
      </c>
      <c r="U1439" s="4">
        <v>10.347449999999901</v>
      </c>
      <c r="V1439" t="str">
        <f>IF(Table1[[#This Row],[ai_disruption_intensity]]&gt;70,"High",
IF(Table1[[#This Row],[ai_disruption_intensity]]&gt;40,"Medium","Low"))</f>
        <v>Low</v>
      </c>
      <c r="W1439" t="str">
        <f>IF(Table1[[#This Row],[skill_gap_index]]&gt;70,"Large Gap",
IF(Table1[[#This Row],[skill_gap_index]]&gt;40,"Medium Gap","Small Gap"))</f>
        <v>Small Gap</v>
      </c>
      <c r="X1439" s="3" t="str">
        <f>IF(Table1[[#This Row],[automation_risk_percent]]&gt;0.7,"Highly Automatable",
IF(Table1[[#This Row],[automation_risk_percent]]&gt;0.4,"Moderate Risk","Safe Job"))</f>
        <v>Safe Job</v>
      </c>
    </row>
    <row r="1440" spans="1:24" x14ac:dyDescent="0.3">
      <c r="A1440">
        <v>5176</v>
      </c>
      <c r="B1440" t="s">
        <v>41</v>
      </c>
      <c r="C1440" t="s">
        <v>38</v>
      </c>
      <c r="D1440" t="s">
        <v>32</v>
      </c>
      <c r="E1440" s="1">
        <v>2026</v>
      </c>
      <c r="F1440" s="11">
        <v>0.39189999999999997</v>
      </c>
      <c r="G1440">
        <v>36.47</v>
      </c>
      <c r="H1440">
        <v>17.77</v>
      </c>
      <c r="I1440" s="2">
        <v>141210.76</v>
      </c>
      <c r="J1440" s="2">
        <v>152631.92000000001</v>
      </c>
      <c r="K1440" s="2">
        <f>Table1[[#This Row],[Salary_after]]-Table1[[#This Row],[Salary_before]]</f>
        <v>11421.160000000003</v>
      </c>
      <c r="L1440" s="11">
        <v>8.09E-2</v>
      </c>
      <c r="M1440" s="11">
        <v>0.14319999999999999</v>
      </c>
      <c r="N1440">
        <v>13.96</v>
      </c>
      <c r="O1440">
        <v>52.27</v>
      </c>
      <c r="P1440">
        <v>2</v>
      </c>
      <c r="Q1440" t="s">
        <v>25</v>
      </c>
      <c r="R1440">
        <v>28.479999999999901</v>
      </c>
      <c r="S1440">
        <v>8.09</v>
      </c>
      <c r="T1440" s="4">
        <v>23.433999999999902</v>
      </c>
      <c r="U1440" s="4">
        <v>20.484613</v>
      </c>
      <c r="V1440" t="str">
        <f>IF(Table1[[#This Row],[ai_disruption_intensity]]&gt;70,"High",
IF(Table1[[#This Row],[ai_disruption_intensity]]&gt;40,"Medium","Low"))</f>
        <v>Low</v>
      </c>
      <c r="W1440" t="str">
        <f>IF(Table1[[#This Row],[skill_gap_index]]&gt;70,"Large Gap",
IF(Table1[[#This Row],[skill_gap_index]]&gt;40,"Medium Gap","Small Gap"))</f>
        <v>Small Gap</v>
      </c>
      <c r="X1440" s="3" t="str">
        <f>IF(Table1[[#This Row],[automation_risk_percent]]&gt;0.7,"Highly Automatable",
IF(Table1[[#This Row],[automation_risk_percent]]&gt;0.4,"Moderate Risk","Safe Job"))</f>
        <v>Safe Job</v>
      </c>
    </row>
    <row r="1441" spans="1:24" x14ac:dyDescent="0.3">
      <c r="A1441">
        <v>5177</v>
      </c>
      <c r="B1441" t="s">
        <v>39</v>
      </c>
      <c r="C1441" t="s">
        <v>30</v>
      </c>
      <c r="D1441" t="s">
        <v>20</v>
      </c>
      <c r="E1441" s="1">
        <v>2025</v>
      </c>
      <c r="F1441" s="11">
        <v>0.50280000000000002</v>
      </c>
      <c r="G1441">
        <v>47.92</v>
      </c>
      <c r="H1441">
        <v>32.18</v>
      </c>
      <c r="I1441" s="2">
        <v>132233.14000000001</v>
      </c>
      <c r="J1441" s="2">
        <v>133020.89000000001</v>
      </c>
      <c r="K1441" s="2">
        <f>Table1[[#This Row],[Salary_after]]-Table1[[#This Row],[Salary_before]]</f>
        <v>787.75</v>
      </c>
      <c r="L1441" s="11">
        <v>6.0000000000000001E-3</v>
      </c>
      <c r="M1441" s="11">
        <v>2.7300000000000001E-2</v>
      </c>
      <c r="N1441">
        <v>45.48</v>
      </c>
      <c r="O1441">
        <v>66.599999999999994</v>
      </c>
      <c r="P1441">
        <v>4</v>
      </c>
      <c r="Q1441" t="s">
        <v>25</v>
      </c>
      <c r="R1441">
        <v>41.23</v>
      </c>
      <c r="S1441">
        <v>0.6</v>
      </c>
      <c r="T1441" s="4">
        <v>29.946000000000002</v>
      </c>
      <c r="U1441" s="4">
        <v>33.48648</v>
      </c>
      <c r="V1441" t="str">
        <f>IF(Table1[[#This Row],[ai_disruption_intensity]]&gt;70,"High",
IF(Table1[[#This Row],[ai_disruption_intensity]]&gt;40,"Medium","Low"))</f>
        <v>Low</v>
      </c>
      <c r="W1441" t="str">
        <f>IF(Table1[[#This Row],[skill_gap_index]]&gt;70,"Large Gap",
IF(Table1[[#This Row],[skill_gap_index]]&gt;40,"Medium Gap","Small Gap"))</f>
        <v>Small Gap</v>
      </c>
      <c r="X1441" s="3" t="str">
        <f>IF(Table1[[#This Row],[automation_risk_percent]]&gt;0.7,"Highly Automatable",
IF(Table1[[#This Row],[automation_risk_percent]]&gt;0.4,"Moderate Risk","Safe Job"))</f>
        <v>Moderate Risk</v>
      </c>
    </row>
    <row r="1442" spans="1:24" x14ac:dyDescent="0.3">
      <c r="A1442">
        <v>5178</v>
      </c>
      <c r="B1442" t="s">
        <v>43</v>
      </c>
      <c r="C1442" t="s">
        <v>23</v>
      </c>
      <c r="D1442" t="s">
        <v>31</v>
      </c>
      <c r="E1442" s="1">
        <v>2026</v>
      </c>
      <c r="F1442" s="11">
        <v>0.23850000000000002</v>
      </c>
      <c r="G1442">
        <v>21.36</v>
      </c>
      <c r="H1442">
        <v>58.69</v>
      </c>
      <c r="I1442" s="2">
        <v>147592.63</v>
      </c>
      <c r="J1442" s="2">
        <v>150545.48000000001</v>
      </c>
      <c r="K1442" s="2">
        <f>Table1[[#This Row],[Salary_after]]-Table1[[#This Row],[Salary_before]]</f>
        <v>2952.8500000000058</v>
      </c>
      <c r="L1442" s="11">
        <v>0.02</v>
      </c>
      <c r="M1442" s="11">
        <v>-3.8100000000000002E-2</v>
      </c>
      <c r="N1442">
        <v>47.8</v>
      </c>
      <c r="O1442">
        <v>76.17</v>
      </c>
      <c r="P1442">
        <v>5</v>
      </c>
      <c r="Q1442" t="s">
        <v>21</v>
      </c>
      <c r="R1442">
        <v>41.269999999999897</v>
      </c>
      <c r="S1442">
        <v>2</v>
      </c>
      <c r="T1442" s="4">
        <v>27.747</v>
      </c>
      <c r="U1442" s="4">
        <v>18.166544999999999</v>
      </c>
      <c r="V1442" t="str">
        <f>IF(Table1[[#This Row],[ai_disruption_intensity]]&gt;70,"High",
IF(Table1[[#This Row],[ai_disruption_intensity]]&gt;40,"Medium","Low"))</f>
        <v>Low</v>
      </c>
      <c r="W1442" t="str">
        <f>IF(Table1[[#This Row],[skill_gap_index]]&gt;70,"Large Gap",
IF(Table1[[#This Row],[skill_gap_index]]&gt;40,"Medium Gap","Small Gap"))</f>
        <v>Medium Gap</v>
      </c>
      <c r="X1442" s="3" t="str">
        <f>IF(Table1[[#This Row],[automation_risk_percent]]&gt;0.7,"Highly Automatable",
IF(Table1[[#This Row],[automation_risk_percent]]&gt;0.4,"Moderate Risk","Safe Job"))</f>
        <v>Safe Job</v>
      </c>
    </row>
    <row r="1443" spans="1:24" x14ac:dyDescent="0.3">
      <c r="A1443">
        <v>5179</v>
      </c>
      <c r="B1443" t="s">
        <v>26</v>
      </c>
      <c r="C1443" t="s">
        <v>40</v>
      </c>
      <c r="D1443" t="s">
        <v>20</v>
      </c>
      <c r="E1443" s="1">
        <v>2025</v>
      </c>
      <c r="F1443" s="11">
        <v>0.36959999999999998</v>
      </c>
      <c r="G1443">
        <v>37.119999999999997</v>
      </c>
      <c r="H1443">
        <v>64.650000000000006</v>
      </c>
      <c r="I1443" s="2">
        <v>45170.21</v>
      </c>
      <c r="J1443" s="2">
        <v>44575.76</v>
      </c>
      <c r="K1443" s="2">
        <f>Table1[[#This Row],[Salary_after]]-Table1[[#This Row],[Salary_before]]</f>
        <v>-594.44999999999709</v>
      </c>
      <c r="L1443" s="11">
        <v>-1.32E-2</v>
      </c>
      <c r="M1443" s="11">
        <v>0.25309999999999999</v>
      </c>
      <c r="N1443">
        <v>83.81</v>
      </c>
      <c r="O1443">
        <v>13.87</v>
      </c>
      <c r="P1443">
        <v>5</v>
      </c>
      <c r="Q1443" t="s">
        <v>25</v>
      </c>
      <c r="R1443">
        <v>50.805</v>
      </c>
      <c r="S1443">
        <v>1.32</v>
      </c>
      <c r="T1443" s="4">
        <v>34.575000000000003</v>
      </c>
      <c r="U1443" s="4">
        <v>5.1263519999999998</v>
      </c>
      <c r="V1443" t="str">
        <f>IF(Table1[[#This Row],[ai_disruption_intensity]]&gt;70,"High",
IF(Table1[[#This Row],[ai_disruption_intensity]]&gt;40,"Medium","Low"))</f>
        <v>Low</v>
      </c>
      <c r="W1443" t="str">
        <f>IF(Table1[[#This Row],[skill_gap_index]]&gt;70,"Large Gap",
IF(Table1[[#This Row],[skill_gap_index]]&gt;40,"Medium Gap","Small Gap"))</f>
        <v>Medium Gap</v>
      </c>
      <c r="X1443" s="3" t="str">
        <f>IF(Table1[[#This Row],[automation_risk_percent]]&gt;0.7,"Highly Automatable",
IF(Table1[[#This Row],[automation_risk_percent]]&gt;0.4,"Moderate Risk","Safe Job"))</f>
        <v>Safe Job</v>
      </c>
    </row>
    <row r="1444" spans="1:24" x14ac:dyDescent="0.3">
      <c r="A1444">
        <v>5180</v>
      </c>
      <c r="B1444" t="s">
        <v>39</v>
      </c>
      <c r="C1444" t="s">
        <v>30</v>
      </c>
      <c r="D1444" t="s">
        <v>42</v>
      </c>
      <c r="E1444" s="1">
        <v>2025</v>
      </c>
      <c r="F1444" s="11">
        <v>0.3105</v>
      </c>
      <c r="G1444">
        <v>36.64</v>
      </c>
      <c r="H1444">
        <v>55.31</v>
      </c>
      <c r="I1444" s="2">
        <v>141516.12</v>
      </c>
      <c r="J1444" s="2">
        <v>148335.1</v>
      </c>
      <c r="K1444" s="2">
        <f>Table1[[#This Row],[Salary_after]]-Table1[[#This Row],[Salary_before]]</f>
        <v>6818.9800000000105</v>
      </c>
      <c r="L1444" s="11">
        <v>4.82E-2</v>
      </c>
      <c r="M1444" s="11">
        <v>7.1399999999999991E-2</v>
      </c>
      <c r="N1444">
        <v>38.6</v>
      </c>
      <c r="O1444">
        <v>9.0500000000000007</v>
      </c>
      <c r="P1444">
        <v>2</v>
      </c>
      <c r="Q1444" t="s">
        <v>25</v>
      </c>
      <c r="R1444">
        <v>43.18</v>
      </c>
      <c r="S1444">
        <v>4.82</v>
      </c>
      <c r="T1444" s="4">
        <v>30.459</v>
      </c>
      <c r="U1444" s="4">
        <v>2.810025</v>
      </c>
      <c r="V1444" t="str">
        <f>IF(Table1[[#This Row],[ai_disruption_intensity]]&gt;70,"High",
IF(Table1[[#This Row],[ai_disruption_intensity]]&gt;40,"Medium","Low"))</f>
        <v>Low</v>
      </c>
      <c r="W1444" t="str">
        <f>IF(Table1[[#This Row],[skill_gap_index]]&gt;70,"Large Gap",
IF(Table1[[#This Row],[skill_gap_index]]&gt;40,"Medium Gap","Small Gap"))</f>
        <v>Medium Gap</v>
      </c>
      <c r="X1444" s="3" t="str">
        <f>IF(Table1[[#This Row],[automation_risk_percent]]&gt;0.7,"Highly Automatable",
IF(Table1[[#This Row],[automation_risk_percent]]&gt;0.4,"Moderate Risk","Safe Job"))</f>
        <v>Safe Job</v>
      </c>
    </row>
    <row r="1445" spans="1:24" x14ac:dyDescent="0.3">
      <c r="A1445">
        <v>5185</v>
      </c>
      <c r="B1445" t="s">
        <v>22</v>
      </c>
      <c r="C1445" t="s">
        <v>19</v>
      </c>
      <c r="D1445" t="s">
        <v>36</v>
      </c>
      <c r="E1445" s="1">
        <v>2025</v>
      </c>
      <c r="F1445" s="11">
        <v>0.57369999999999999</v>
      </c>
      <c r="G1445">
        <v>58.56</v>
      </c>
      <c r="H1445">
        <v>21.24</v>
      </c>
      <c r="I1445" s="2">
        <v>87873.36</v>
      </c>
      <c r="J1445" s="2">
        <v>90866.87</v>
      </c>
      <c r="K1445" s="2">
        <f>Table1[[#This Row],[Salary_after]]-Table1[[#This Row],[Salary_before]]</f>
        <v>2993.5099999999948</v>
      </c>
      <c r="L1445" s="11">
        <v>3.4099999999999998E-2</v>
      </c>
      <c r="M1445" s="11">
        <v>4.2800000000000005E-2</v>
      </c>
      <c r="N1445">
        <v>84.22</v>
      </c>
      <c r="O1445">
        <v>76.19</v>
      </c>
      <c r="P1445">
        <v>3</v>
      </c>
      <c r="Q1445" t="s">
        <v>25</v>
      </c>
      <c r="R1445">
        <v>39.305</v>
      </c>
      <c r="S1445">
        <v>3.41</v>
      </c>
      <c r="T1445" s="4">
        <v>30.343</v>
      </c>
      <c r="U1445" s="4">
        <v>43.7102029999999</v>
      </c>
      <c r="V1445" t="str">
        <f>IF(Table1[[#This Row],[ai_disruption_intensity]]&gt;70,"High",
IF(Table1[[#This Row],[ai_disruption_intensity]]&gt;40,"Medium","Low"))</f>
        <v>Medium</v>
      </c>
      <c r="W1445" t="str">
        <f>IF(Table1[[#This Row],[skill_gap_index]]&gt;70,"Large Gap",
IF(Table1[[#This Row],[skill_gap_index]]&gt;40,"Medium Gap","Small Gap"))</f>
        <v>Small Gap</v>
      </c>
      <c r="X1445" s="3" t="str">
        <f>IF(Table1[[#This Row],[automation_risk_percent]]&gt;0.7,"Highly Automatable",
IF(Table1[[#This Row],[automation_risk_percent]]&gt;0.4,"Moderate Risk","Safe Job"))</f>
        <v>Moderate Risk</v>
      </c>
    </row>
    <row r="1446" spans="1:24" x14ac:dyDescent="0.3">
      <c r="A1446">
        <v>5188</v>
      </c>
      <c r="B1446" t="s">
        <v>18</v>
      </c>
      <c r="C1446" t="s">
        <v>34</v>
      </c>
      <c r="D1446" t="s">
        <v>20</v>
      </c>
      <c r="E1446" s="1">
        <v>2025</v>
      </c>
      <c r="F1446" s="11">
        <v>0.28289999999999998</v>
      </c>
      <c r="G1446">
        <v>28.85</v>
      </c>
      <c r="H1446">
        <v>94.1</v>
      </c>
      <c r="I1446" s="2">
        <v>111574.82</v>
      </c>
      <c r="J1446" s="2">
        <v>99544.55</v>
      </c>
      <c r="K1446" s="2">
        <f>Table1[[#This Row],[Salary_after]]-Table1[[#This Row],[Salary_before]]</f>
        <v>-12030.270000000004</v>
      </c>
      <c r="L1446" s="11">
        <v>-0.10779999999999999</v>
      </c>
      <c r="M1446" s="11">
        <v>3.73E-2</v>
      </c>
      <c r="N1446">
        <v>54.39</v>
      </c>
      <c r="O1446">
        <v>44.11</v>
      </c>
      <c r="P1446">
        <v>3</v>
      </c>
      <c r="Q1446" t="s">
        <v>21</v>
      </c>
      <c r="R1446">
        <v>61.194999999999901</v>
      </c>
      <c r="S1446">
        <v>10.78</v>
      </c>
      <c r="T1446" s="4">
        <v>42.78</v>
      </c>
      <c r="U1446" s="4">
        <v>12.4787189999999</v>
      </c>
      <c r="V1446" t="str">
        <f>IF(Table1[[#This Row],[ai_disruption_intensity]]&gt;70,"High",
IF(Table1[[#This Row],[ai_disruption_intensity]]&gt;40,"Medium","Low"))</f>
        <v>Low</v>
      </c>
      <c r="W1446" t="str">
        <f>IF(Table1[[#This Row],[skill_gap_index]]&gt;70,"Large Gap",
IF(Table1[[#This Row],[skill_gap_index]]&gt;40,"Medium Gap","Small Gap"))</f>
        <v>Large Gap</v>
      </c>
      <c r="X1446" s="3" t="str">
        <f>IF(Table1[[#This Row],[automation_risk_percent]]&gt;0.7,"Highly Automatable",
IF(Table1[[#This Row],[automation_risk_percent]]&gt;0.4,"Moderate Risk","Safe Job"))</f>
        <v>Safe Job</v>
      </c>
    </row>
    <row r="1447" spans="1:24" x14ac:dyDescent="0.3">
      <c r="A1447">
        <v>5193</v>
      </c>
      <c r="B1447" t="s">
        <v>39</v>
      </c>
      <c r="C1447" t="s">
        <v>38</v>
      </c>
      <c r="D1447" t="s">
        <v>35</v>
      </c>
      <c r="E1447" s="1">
        <v>2025</v>
      </c>
      <c r="F1447" s="11">
        <v>0.60399999999999998</v>
      </c>
      <c r="G1447">
        <v>52.29</v>
      </c>
      <c r="H1447">
        <v>75.540000000000006</v>
      </c>
      <c r="I1447" s="2">
        <v>37224.54</v>
      </c>
      <c r="J1447" s="2">
        <v>35501.480000000003</v>
      </c>
      <c r="K1447" s="2">
        <f>Table1[[#This Row],[Salary_after]]-Table1[[#This Row],[Salary_before]]</f>
        <v>-1723.0599999999977</v>
      </c>
      <c r="L1447" s="11">
        <v>-4.6300000000000001E-2</v>
      </c>
      <c r="M1447" s="11">
        <v>-2.3799999999999998E-2</v>
      </c>
      <c r="N1447">
        <v>81.650000000000006</v>
      </c>
      <c r="O1447">
        <v>85.01</v>
      </c>
      <c r="P1447">
        <v>1</v>
      </c>
      <c r="Q1447" t="s">
        <v>37</v>
      </c>
      <c r="R1447">
        <v>67.97</v>
      </c>
      <c r="S1447">
        <v>4.63</v>
      </c>
      <c r="T1447" s="4">
        <v>48.210999999999999</v>
      </c>
      <c r="U1447" s="4">
        <v>51.346040000000002</v>
      </c>
      <c r="V1447" t="str">
        <f>IF(Table1[[#This Row],[ai_disruption_intensity]]&gt;70,"High",
IF(Table1[[#This Row],[ai_disruption_intensity]]&gt;40,"Medium","Low"))</f>
        <v>Medium</v>
      </c>
      <c r="W1447" t="str">
        <f>IF(Table1[[#This Row],[skill_gap_index]]&gt;70,"Large Gap",
IF(Table1[[#This Row],[skill_gap_index]]&gt;40,"Medium Gap","Small Gap"))</f>
        <v>Large Gap</v>
      </c>
      <c r="X1447" s="3" t="str">
        <f>IF(Table1[[#This Row],[automation_risk_percent]]&gt;0.7,"Highly Automatable",
IF(Table1[[#This Row],[automation_risk_percent]]&gt;0.4,"Moderate Risk","Safe Job"))</f>
        <v>Moderate Risk</v>
      </c>
    </row>
    <row r="1448" spans="1:24" x14ac:dyDescent="0.3">
      <c r="A1448">
        <v>5196</v>
      </c>
      <c r="B1448" t="s">
        <v>43</v>
      </c>
      <c r="C1448" t="s">
        <v>34</v>
      </c>
      <c r="D1448" t="s">
        <v>24</v>
      </c>
      <c r="E1448" s="1">
        <v>2025</v>
      </c>
      <c r="F1448" s="11">
        <v>0.79180000000000006</v>
      </c>
      <c r="G1448">
        <v>78.86</v>
      </c>
      <c r="H1448">
        <v>45.21</v>
      </c>
      <c r="I1448" s="2">
        <v>149468.29</v>
      </c>
      <c r="J1448" s="2">
        <v>147484.49</v>
      </c>
      <c r="K1448" s="2">
        <f>Table1[[#This Row],[Salary_after]]-Table1[[#This Row],[Salary_before]]</f>
        <v>-1983.8000000000175</v>
      </c>
      <c r="L1448" s="11">
        <v>-1.3300000000000001E-2</v>
      </c>
      <c r="M1448" s="11">
        <v>0.16070000000000001</v>
      </c>
      <c r="N1448">
        <v>47.69</v>
      </c>
      <c r="O1448">
        <v>9.59</v>
      </c>
      <c r="P1448">
        <v>2</v>
      </c>
      <c r="Q1448" t="s">
        <v>37</v>
      </c>
      <c r="R1448">
        <v>62.195</v>
      </c>
      <c r="S1448">
        <v>1.33</v>
      </c>
      <c r="T1448" s="4">
        <v>45.634</v>
      </c>
      <c r="U1448" s="4">
        <v>7.5933619999999999</v>
      </c>
      <c r="V1448" t="str">
        <f>IF(Table1[[#This Row],[ai_disruption_intensity]]&gt;70,"High",
IF(Table1[[#This Row],[ai_disruption_intensity]]&gt;40,"Medium","Low"))</f>
        <v>Low</v>
      </c>
      <c r="W1448" t="str">
        <f>IF(Table1[[#This Row],[skill_gap_index]]&gt;70,"Large Gap",
IF(Table1[[#This Row],[skill_gap_index]]&gt;40,"Medium Gap","Small Gap"))</f>
        <v>Medium Gap</v>
      </c>
      <c r="X1448" s="3" t="str">
        <f>IF(Table1[[#This Row],[automation_risk_percent]]&gt;0.7,"Highly Automatable",
IF(Table1[[#This Row],[automation_risk_percent]]&gt;0.4,"Moderate Risk","Safe Job"))</f>
        <v>Highly Automatable</v>
      </c>
    </row>
    <row r="1449" spans="1:24" x14ac:dyDescent="0.3">
      <c r="A1449">
        <v>5205</v>
      </c>
      <c r="B1449" t="s">
        <v>46</v>
      </c>
      <c r="C1449" t="s">
        <v>23</v>
      </c>
      <c r="D1449" t="s">
        <v>32</v>
      </c>
      <c r="E1449" s="1">
        <v>2026</v>
      </c>
      <c r="F1449" s="11">
        <v>0.10630000000000001</v>
      </c>
      <c r="G1449">
        <v>12.26</v>
      </c>
      <c r="H1449">
        <v>1.2</v>
      </c>
      <c r="I1449" s="2">
        <v>122862.04</v>
      </c>
      <c r="J1449" s="2">
        <v>127722.59</v>
      </c>
      <c r="K1449" s="2">
        <f>Table1[[#This Row],[Salary_after]]-Table1[[#This Row],[Salary_before]]</f>
        <v>4860.5500000000029</v>
      </c>
      <c r="L1449" s="11">
        <v>3.9599999999999996E-2</v>
      </c>
      <c r="M1449" s="11">
        <v>0.20610000000000001</v>
      </c>
      <c r="N1449">
        <v>28.76</v>
      </c>
      <c r="O1449">
        <v>87.81</v>
      </c>
      <c r="P1449">
        <v>4</v>
      </c>
      <c r="Q1449" t="s">
        <v>21</v>
      </c>
      <c r="R1449">
        <v>5.915</v>
      </c>
      <c r="S1449">
        <v>3.96</v>
      </c>
      <c r="T1449" s="4">
        <v>5.8</v>
      </c>
      <c r="U1449" s="4">
        <v>9.3342030000000005</v>
      </c>
      <c r="V1449" t="str">
        <f>IF(Table1[[#This Row],[ai_disruption_intensity]]&gt;70,"High",
IF(Table1[[#This Row],[ai_disruption_intensity]]&gt;40,"Medium","Low"))</f>
        <v>Low</v>
      </c>
      <c r="W1449" t="str">
        <f>IF(Table1[[#This Row],[skill_gap_index]]&gt;70,"Large Gap",
IF(Table1[[#This Row],[skill_gap_index]]&gt;40,"Medium Gap","Small Gap"))</f>
        <v>Small Gap</v>
      </c>
      <c r="X1449" s="3" t="str">
        <f>IF(Table1[[#This Row],[automation_risk_percent]]&gt;0.7,"Highly Automatable",
IF(Table1[[#This Row],[automation_risk_percent]]&gt;0.4,"Moderate Risk","Safe Job"))</f>
        <v>Safe Job</v>
      </c>
    </row>
    <row r="1450" spans="1:24" x14ac:dyDescent="0.3">
      <c r="A1450">
        <v>5212</v>
      </c>
      <c r="B1450" t="s">
        <v>26</v>
      </c>
      <c r="C1450" t="s">
        <v>19</v>
      </c>
      <c r="D1450" t="s">
        <v>36</v>
      </c>
      <c r="E1450" s="1">
        <v>2025</v>
      </c>
      <c r="F1450" s="11">
        <v>0.36849999999999999</v>
      </c>
      <c r="G1450">
        <v>30.62</v>
      </c>
      <c r="H1450">
        <v>15.64</v>
      </c>
      <c r="I1450" s="2">
        <v>50939.26</v>
      </c>
      <c r="J1450" s="2">
        <v>52553.83</v>
      </c>
      <c r="K1450" s="2">
        <f>Table1[[#This Row],[Salary_after]]-Table1[[#This Row],[Salary_before]]</f>
        <v>1614.5699999999997</v>
      </c>
      <c r="L1450" s="11">
        <v>3.1699999999999999E-2</v>
      </c>
      <c r="M1450" s="11">
        <v>-4.1599999999999998E-2</v>
      </c>
      <c r="N1450">
        <v>66.319999999999993</v>
      </c>
      <c r="O1450">
        <v>19.86</v>
      </c>
      <c r="P1450">
        <v>1</v>
      </c>
      <c r="Q1450" t="s">
        <v>25</v>
      </c>
      <c r="R1450">
        <v>26.245000000000001</v>
      </c>
      <c r="S1450">
        <v>3.17</v>
      </c>
      <c r="T1450" s="4">
        <v>20.382999999999999</v>
      </c>
      <c r="U1450" s="4">
        <v>7.3184100000000001</v>
      </c>
      <c r="V1450" t="str">
        <f>IF(Table1[[#This Row],[ai_disruption_intensity]]&gt;70,"High",
IF(Table1[[#This Row],[ai_disruption_intensity]]&gt;40,"Medium","Low"))</f>
        <v>Low</v>
      </c>
      <c r="W1450" t="str">
        <f>IF(Table1[[#This Row],[skill_gap_index]]&gt;70,"Large Gap",
IF(Table1[[#This Row],[skill_gap_index]]&gt;40,"Medium Gap","Small Gap"))</f>
        <v>Small Gap</v>
      </c>
      <c r="X1450" s="3" t="str">
        <f>IF(Table1[[#This Row],[automation_risk_percent]]&gt;0.7,"Highly Automatable",
IF(Table1[[#This Row],[automation_risk_percent]]&gt;0.4,"Moderate Risk","Safe Job"))</f>
        <v>Safe Job</v>
      </c>
    </row>
    <row r="1451" spans="1:24" x14ac:dyDescent="0.3">
      <c r="A1451">
        <v>5217</v>
      </c>
      <c r="B1451" t="s">
        <v>44</v>
      </c>
      <c r="C1451" t="s">
        <v>38</v>
      </c>
      <c r="D1451" t="s">
        <v>31</v>
      </c>
      <c r="E1451" s="1">
        <v>2025</v>
      </c>
      <c r="F1451" s="11">
        <v>0.55559999999999998</v>
      </c>
      <c r="G1451">
        <v>58.98</v>
      </c>
      <c r="H1451">
        <v>25.49</v>
      </c>
      <c r="I1451" s="2">
        <v>59575.77</v>
      </c>
      <c r="J1451" s="2">
        <v>51689.07</v>
      </c>
      <c r="K1451" s="2">
        <f>Table1[[#This Row],[Salary_after]]-Table1[[#This Row],[Salary_before]]</f>
        <v>-7886.6999999999971</v>
      </c>
      <c r="L1451" s="11">
        <v>-0.13239999999999999</v>
      </c>
      <c r="M1451" s="11">
        <v>-1.6500000000000001E-2</v>
      </c>
      <c r="N1451">
        <v>71.45</v>
      </c>
      <c r="O1451">
        <v>60.29</v>
      </c>
      <c r="P1451">
        <v>5</v>
      </c>
      <c r="Q1451" t="s">
        <v>25</v>
      </c>
      <c r="R1451">
        <v>40.524999999999999</v>
      </c>
      <c r="S1451">
        <v>13.24</v>
      </c>
      <c r="T1451" s="4">
        <v>33.843000000000004</v>
      </c>
      <c r="U1451" s="4">
        <v>33.497123999999999</v>
      </c>
      <c r="V1451" t="str">
        <f>IF(Table1[[#This Row],[ai_disruption_intensity]]&gt;70,"High",
IF(Table1[[#This Row],[ai_disruption_intensity]]&gt;40,"Medium","Low"))</f>
        <v>Low</v>
      </c>
      <c r="W1451" t="str">
        <f>IF(Table1[[#This Row],[skill_gap_index]]&gt;70,"Large Gap",
IF(Table1[[#This Row],[skill_gap_index]]&gt;40,"Medium Gap","Small Gap"))</f>
        <v>Small Gap</v>
      </c>
      <c r="X1451" s="3" t="str">
        <f>IF(Table1[[#This Row],[automation_risk_percent]]&gt;0.7,"Highly Automatable",
IF(Table1[[#This Row],[automation_risk_percent]]&gt;0.4,"Moderate Risk","Safe Job"))</f>
        <v>Moderate Risk</v>
      </c>
    </row>
    <row r="1452" spans="1:24" x14ac:dyDescent="0.3">
      <c r="A1452">
        <v>5224</v>
      </c>
      <c r="B1452" t="s">
        <v>18</v>
      </c>
      <c r="C1452" t="s">
        <v>30</v>
      </c>
      <c r="D1452" t="s">
        <v>20</v>
      </c>
      <c r="E1452" s="1">
        <v>2026</v>
      </c>
      <c r="F1452" s="11">
        <v>0.74140000000000006</v>
      </c>
      <c r="G1452">
        <v>69.39</v>
      </c>
      <c r="H1452">
        <v>3.04</v>
      </c>
      <c r="I1452" s="2">
        <v>51412.44</v>
      </c>
      <c r="J1452" s="2">
        <v>54761.279999999999</v>
      </c>
      <c r="K1452" s="2">
        <f>Table1[[#This Row],[Salary_after]]-Table1[[#This Row],[Salary_before]]</f>
        <v>3348.8399999999965</v>
      </c>
      <c r="L1452" s="11">
        <v>6.5099999999999991E-2</v>
      </c>
      <c r="M1452" s="11">
        <v>0.20879999999999999</v>
      </c>
      <c r="N1452">
        <v>95.66</v>
      </c>
      <c r="O1452">
        <v>69.44</v>
      </c>
      <c r="P1452">
        <v>2</v>
      </c>
      <c r="Q1452" t="s">
        <v>37</v>
      </c>
      <c r="R1452">
        <v>38.590000000000003</v>
      </c>
      <c r="S1452">
        <v>6.51</v>
      </c>
      <c r="T1452" s="4">
        <v>32.521000000000001</v>
      </c>
      <c r="U1452" s="4">
        <v>51.482816</v>
      </c>
      <c r="V1452" t="str">
        <f>IF(Table1[[#This Row],[ai_disruption_intensity]]&gt;70,"High",
IF(Table1[[#This Row],[ai_disruption_intensity]]&gt;40,"Medium","Low"))</f>
        <v>Medium</v>
      </c>
      <c r="W1452" t="str">
        <f>IF(Table1[[#This Row],[skill_gap_index]]&gt;70,"Large Gap",
IF(Table1[[#This Row],[skill_gap_index]]&gt;40,"Medium Gap","Small Gap"))</f>
        <v>Small Gap</v>
      </c>
      <c r="X1452" s="3" t="str">
        <f>IF(Table1[[#This Row],[automation_risk_percent]]&gt;0.7,"Highly Automatable",
IF(Table1[[#This Row],[automation_risk_percent]]&gt;0.4,"Moderate Risk","Safe Job"))</f>
        <v>Highly Automatable</v>
      </c>
    </row>
    <row r="1453" spans="1:24" x14ac:dyDescent="0.3">
      <c r="A1453">
        <v>5228</v>
      </c>
      <c r="B1453" t="s">
        <v>41</v>
      </c>
      <c r="C1453" t="s">
        <v>23</v>
      </c>
      <c r="D1453" t="s">
        <v>42</v>
      </c>
      <c r="E1453" s="1">
        <v>2025</v>
      </c>
      <c r="F1453" s="11">
        <v>0.9484999999999999</v>
      </c>
      <c r="G1453">
        <v>105.29</v>
      </c>
      <c r="H1453">
        <v>87.74</v>
      </c>
      <c r="I1453" s="2">
        <v>74228.95</v>
      </c>
      <c r="J1453" s="2">
        <v>79973.8</v>
      </c>
      <c r="K1453" s="2">
        <f>Table1[[#This Row],[Salary_after]]-Table1[[#This Row],[Salary_before]]</f>
        <v>5744.8500000000058</v>
      </c>
      <c r="L1453" s="11">
        <v>7.7399999999999997E-2</v>
      </c>
      <c r="M1453" s="11">
        <v>-2.52E-2</v>
      </c>
      <c r="N1453">
        <v>82.68</v>
      </c>
      <c r="O1453">
        <v>54.99</v>
      </c>
      <c r="P1453">
        <v>5</v>
      </c>
      <c r="Q1453" t="s">
        <v>37</v>
      </c>
      <c r="R1453">
        <v>91.294999999999902</v>
      </c>
      <c r="S1453">
        <v>7.74</v>
      </c>
      <c r="T1453" s="4">
        <v>66.584000000000003</v>
      </c>
      <c r="U1453" s="4">
        <v>52.158014999999999</v>
      </c>
      <c r="V1453" t="str">
        <f>IF(Table1[[#This Row],[ai_disruption_intensity]]&gt;70,"High",
IF(Table1[[#This Row],[ai_disruption_intensity]]&gt;40,"Medium","Low"))</f>
        <v>Medium</v>
      </c>
      <c r="W1453" t="str">
        <f>IF(Table1[[#This Row],[skill_gap_index]]&gt;70,"Large Gap",
IF(Table1[[#This Row],[skill_gap_index]]&gt;40,"Medium Gap","Small Gap"))</f>
        <v>Large Gap</v>
      </c>
      <c r="X1453" s="3" t="str">
        <f>IF(Table1[[#This Row],[automation_risk_percent]]&gt;0.7,"Highly Automatable",
IF(Table1[[#This Row],[automation_risk_percent]]&gt;0.4,"Moderate Risk","Safe Job"))</f>
        <v>Highly Automatable</v>
      </c>
    </row>
    <row r="1454" spans="1:24" x14ac:dyDescent="0.3">
      <c r="A1454">
        <v>5231</v>
      </c>
      <c r="B1454" t="s">
        <v>43</v>
      </c>
      <c r="C1454" t="s">
        <v>33</v>
      </c>
      <c r="D1454" t="s">
        <v>32</v>
      </c>
      <c r="E1454" s="1">
        <v>2026</v>
      </c>
      <c r="F1454" s="11">
        <v>0.1242</v>
      </c>
      <c r="G1454">
        <v>14.16</v>
      </c>
      <c r="H1454">
        <v>38.68</v>
      </c>
      <c r="I1454" s="2">
        <v>51566.69</v>
      </c>
      <c r="J1454" s="2">
        <v>51754.080000000002</v>
      </c>
      <c r="K1454" s="2">
        <f>Table1[[#This Row],[Salary_after]]-Table1[[#This Row],[Salary_before]]</f>
        <v>187.38999999999942</v>
      </c>
      <c r="L1454" s="11">
        <v>3.5999999999999999E-3</v>
      </c>
      <c r="M1454" s="11">
        <v>-3.9900000000000005E-2</v>
      </c>
      <c r="N1454">
        <v>23.51</v>
      </c>
      <c r="O1454">
        <v>56.67</v>
      </c>
      <c r="P1454">
        <v>4</v>
      </c>
      <c r="Q1454" t="s">
        <v>21</v>
      </c>
      <c r="R1454">
        <v>25.55</v>
      </c>
      <c r="S1454">
        <v>0.36</v>
      </c>
      <c r="T1454" s="4">
        <v>16.68</v>
      </c>
      <c r="U1454" s="4">
        <v>7.0384140000000004</v>
      </c>
      <c r="V1454" t="str">
        <f>IF(Table1[[#This Row],[ai_disruption_intensity]]&gt;70,"High",
IF(Table1[[#This Row],[ai_disruption_intensity]]&gt;40,"Medium","Low"))</f>
        <v>Low</v>
      </c>
      <c r="W1454" t="str">
        <f>IF(Table1[[#This Row],[skill_gap_index]]&gt;70,"Large Gap",
IF(Table1[[#This Row],[skill_gap_index]]&gt;40,"Medium Gap","Small Gap"))</f>
        <v>Small Gap</v>
      </c>
      <c r="X1454" s="3" t="str">
        <f>IF(Table1[[#This Row],[automation_risk_percent]]&gt;0.7,"Highly Automatable",
IF(Table1[[#This Row],[automation_risk_percent]]&gt;0.4,"Moderate Risk","Safe Job"))</f>
        <v>Safe Job</v>
      </c>
    </row>
    <row r="1455" spans="1:24" x14ac:dyDescent="0.3">
      <c r="A1455">
        <v>5232</v>
      </c>
      <c r="B1455" t="s">
        <v>39</v>
      </c>
      <c r="C1455" t="s">
        <v>40</v>
      </c>
      <c r="D1455" t="s">
        <v>35</v>
      </c>
      <c r="E1455" s="1">
        <v>2025</v>
      </c>
      <c r="F1455" s="11">
        <v>0.60909999999999997</v>
      </c>
      <c r="G1455">
        <v>61.77</v>
      </c>
      <c r="H1455">
        <v>90.37</v>
      </c>
      <c r="I1455" s="2">
        <v>48668.35</v>
      </c>
      <c r="J1455" s="2">
        <v>42552.37</v>
      </c>
      <c r="K1455" s="2">
        <f>Table1[[#This Row],[Salary_after]]-Table1[[#This Row],[Salary_before]]</f>
        <v>-6115.9799999999959</v>
      </c>
      <c r="L1455" s="11">
        <v>-0.12570000000000001</v>
      </c>
      <c r="M1455" s="11">
        <v>4.7699999999999992E-2</v>
      </c>
      <c r="N1455">
        <v>88.83</v>
      </c>
      <c r="O1455">
        <v>93.22</v>
      </c>
      <c r="P1455">
        <v>3</v>
      </c>
      <c r="Q1455" t="s">
        <v>37</v>
      </c>
      <c r="R1455">
        <v>75.64</v>
      </c>
      <c r="S1455">
        <v>12.57</v>
      </c>
      <c r="T1455" s="4">
        <v>55.246000000000002</v>
      </c>
      <c r="U1455" s="4">
        <v>56.780301999999899</v>
      </c>
      <c r="V1455" t="str">
        <f>IF(Table1[[#This Row],[ai_disruption_intensity]]&gt;70,"High",
IF(Table1[[#This Row],[ai_disruption_intensity]]&gt;40,"Medium","Low"))</f>
        <v>Medium</v>
      </c>
      <c r="W1455" t="str">
        <f>IF(Table1[[#This Row],[skill_gap_index]]&gt;70,"Large Gap",
IF(Table1[[#This Row],[skill_gap_index]]&gt;40,"Medium Gap","Small Gap"))</f>
        <v>Large Gap</v>
      </c>
      <c r="X1455" s="3" t="str">
        <f>IF(Table1[[#This Row],[automation_risk_percent]]&gt;0.7,"Highly Automatable",
IF(Table1[[#This Row],[automation_risk_percent]]&gt;0.4,"Moderate Risk","Safe Job"))</f>
        <v>Moderate Risk</v>
      </c>
    </row>
    <row r="1456" spans="1:24" x14ac:dyDescent="0.3">
      <c r="A1456">
        <v>5241</v>
      </c>
      <c r="B1456" t="s">
        <v>43</v>
      </c>
      <c r="C1456" t="s">
        <v>33</v>
      </c>
      <c r="D1456" t="s">
        <v>24</v>
      </c>
      <c r="E1456" s="1">
        <v>2026</v>
      </c>
      <c r="F1456" s="11">
        <v>0.33149999999999996</v>
      </c>
      <c r="G1456">
        <v>33.9</v>
      </c>
      <c r="H1456">
        <v>29.34</v>
      </c>
      <c r="I1456" s="2">
        <v>39607.410000000003</v>
      </c>
      <c r="J1456" s="2">
        <v>45368.12</v>
      </c>
      <c r="K1456" s="2">
        <f>Table1[[#This Row],[Salary_after]]-Table1[[#This Row],[Salary_before]]</f>
        <v>5760.7099999999991</v>
      </c>
      <c r="L1456" s="11">
        <v>0.1454</v>
      </c>
      <c r="M1456" s="11">
        <v>-8.1000000000000013E-3</v>
      </c>
      <c r="N1456">
        <v>51.28</v>
      </c>
      <c r="O1456">
        <v>40.53</v>
      </c>
      <c r="P1456">
        <v>4</v>
      </c>
      <c r="Q1456" t="s">
        <v>25</v>
      </c>
      <c r="R1456">
        <v>31.244999999999902</v>
      </c>
      <c r="S1456">
        <v>14.54</v>
      </c>
      <c r="T1456" s="4">
        <v>26.4239999999999</v>
      </c>
      <c r="U1456" s="4">
        <v>13.435695000000001</v>
      </c>
      <c r="V1456" t="str">
        <f>IF(Table1[[#This Row],[ai_disruption_intensity]]&gt;70,"High",
IF(Table1[[#This Row],[ai_disruption_intensity]]&gt;40,"Medium","Low"))</f>
        <v>Low</v>
      </c>
      <c r="W1456" t="str">
        <f>IF(Table1[[#This Row],[skill_gap_index]]&gt;70,"Large Gap",
IF(Table1[[#This Row],[skill_gap_index]]&gt;40,"Medium Gap","Small Gap"))</f>
        <v>Small Gap</v>
      </c>
      <c r="X1456" s="3" t="str">
        <f>IF(Table1[[#This Row],[automation_risk_percent]]&gt;0.7,"Highly Automatable",
IF(Table1[[#This Row],[automation_risk_percent]]&gt;0.4,"Moderate Risk","Safe Job"))</f>
        <v>Safe Job</v>
      </c>
    </row>
    <row r="1457" spans="1:24" x14ac:dyDescent="0.3">
      <c r="A1457">
        <v>5245</v>
      </c>
      <c r="B1457" t="s">
        <v>44</v>
      </c>
      <c r="C1457" t="s">
        <v>34</v>
      </c>
      <c r="D1457" t="s">
        <v>47</v>
      </c>
      <c r="E1457" s="1">
        <v>2026</v>
      </c>
      <c r="F1457" s="11">
        <v>0.69540000000000002</v>
      </c>
      <c r="G1457">
        <v>57.11</v>
      </c>
      <c r="H1457">
        <v>8.52</v>
      </c>
      <c r="I1457" s="2">
        <v>148893.75</v>
      </c>
      <c r="J1457" s="2">
        <v>160276.96</v>
      </c>
      <c r="K1457" s="2">
        <f>Table1[[#This Row],[Salary_after]]-Table1[[#This Row],[Salary_before]]</f>
        <v>11383.209999999992</v>
      </c>
      <c r="L1457" s="11">
        <v>7.6499999999999999E-2</v>
      </c>
      <c r="M1457" s="11">
        <v>0.11230000000000001</v>
      </c>
      <c r="N1457">
        <v>64.239999999999995</v>
      </c>
      <c r="O1457">
        <v>41.99</v>
      </c>
      <c r="P1457">
        <v>1</v>
      </c>
      <c r="Q1457" t="s">
        <v>37</v>
      </c>
      <c r="R1457">
        <v>39.03</v>
      </c>
      <c r="S1457">
        <v>7.65</v>
      </c>
      <c r="T1457" s="4">
        <v>32.667000000000002</v>
      </c>
      <c r="U1457" s="4">
        <v>29.199846000000001</v>
      </c>
      <c r="V1457" t="str">
        <f>IF(Table1[[#This Row],[ai_disruption_intensity]]&gt;70,"High",
IF(Table1[[#This Row],[ai_disruption_intensity]]&gt;40,"Medium","Low"))</f>
        <v>Low</v>
      </c>
      <c r="W1457" t="str">
        <f>IF(Table1[[#This Row],[skill_gap_index]]&gt;70,"Large Gap",
IF(Table1[[#This Row],[skill_gap_index]]&gt;40,"Medium Gap","Small Gap"))</f>
        <v>Small Gap</v>
      </c>
      <c r="X1457" s="3" t="str">
        <f>IF(Table1[[#This Row],[automation_risk_percent]]&gt;0.7,"Highly Automatable",
IF(Table1[[#This Row],[automation_risk_percent]]&gt;0.4,"Moderate Risk","Safe Job"))</f>
        <v>Moderate Risk</v>
      </c>
    </row>
    <row r="1458" spans="1:24" x14ac:dyDescent="0.3">
      <c r="A1458">
        <v>5248</v>
      </c>
      <c r="B1458" t="s">
        <v>26</v>
      </c>
      <c r="C1458" t="s">
        <v>38</v>
      </c>
      <c r="D1458" t="s">
        <v>42</v>
      </c>
      <c r="E1458" s="1">
        <v>2026</v>
      </c>
      <c r="F1458" s="11">
        <v>0.49229999999999996</v>
      </c>
      <c r="G1458">
        <v>45.16</v>
      </c>
      <c r="H1458">
        <v>19.07</v>
      </c>
      <c r="I1458" s="2">
        <v>104912.38</v>
      </c>
      <c r="J1458" s="2">
        <v>126614</v>
      </c>
      <c r="K1458" s="2">
        <f>Table1[[#This Row],[Salary_after]]-Table1[[#This Row],[Salary_before]]</f>
        <v>21701.619999999995</v>
      </c>
      <c r="L1458" s="11">
        <v>0.2069</v>
      </c>
      <c r="M1458" s="11">
        <v>2.8900000000000002E-2</v>
      </c>
      <c r="N1458">
        <v>20.05</v>
      </c>
      <c r="O1458">
        <v>13.59</v>
      </c>
      <c r="P1458">
        <v>1</v>
      </c>
      <c r="Q1458" t="s">
        <v>25</v>
      </c>
      <c r="R1458">
        <v>34.15</v>
      </c>
      <c r="S1458">
        <v>20.69</v>
      </c>
      <c r="T1458" s="4">
        <v>31.62</v>
      </c>
      <c r="U1458" s="4">
        <v>6.6903569999999899</v>
      </c>
      <c r="V1458" t="str">
        <f>IF(Table1[[#This Row],[ai_disruption_intensity]]&gt;70,"High",
IF(Table1[[#This Row],[ai_disruption_intensity]]&gt;40,"Medium","Low"))</f>
        <v>Low</v>
      </c>
      <c r="W1458" t="str">
        <f>IF(Table1[[#This Row],[skill_gap_index]]&gt;70,"Large Gap",
IF(Table1[[#This Row],[skill_gap_index]]&gt;40,"Medium Gap","Small Gap"))</f>
        <v>Small Gap</v>
      </c>
      <c r="X1458" s="3" t="str">
        <f>IF(Table1[[#This Row],[automation_risk_percent]]&gt;0.7,"Highly Automatable",
IF(Table1[[#This Row],[automation_risk_percent]]&gt;0.4,"Moderate Risk","Safe Job"))</f>
        <v>Moderate Risk</v>
      </c>
    </row>
    <row r="1459" spans="1:24" x14ac:dyDescent="0.3">
      <c r="A1459">
        <v>5254</v>
      </c>
      <c r="B1459" t="s">
        <v>29</v>
      </c>
      <c r="C1459" t="s">
        <v>30</v>
      </c>
      <c r="D1459" t="s">
        <v>47</v>
      </c>
      <c r="E1459" s="1">
        <v>2025</v>
      </c>
      <c r="F1459" s="11">
        <v>0.53790000000000004</v>
      </c>
      <c r="G1459">
        <v>63.95</v>
      </c>
      <c r="H1459">
        <v>18.48</v>
      </c>
      <c r="I1459" s="2">
        <v>79055.360000000001</v>
      </c>
      <c r="J1459" s="2">
        <v>80096.2</v>
      </c>
      <c r="K1459" s="2">
        <f>Table1[[#This Row],[Salary_after]]-Table1[[#This Row],[Salary_before]]</f>
        <v>1040.8399999999965</v>
      </c>
      <c r="L1459" s="11">
        <v>1.32E-2</v>
      </c>
      <c r="M1459" s="11">
        <v>5.3899999999999997E-2</v>
      </c>
      <c r="N1459">
        <v>37.35</v>
      </c>
      <c r="O1459">
        <v>39.69</v>
      </c>
      <c r="P1459">
        <v>4</v>
      </c>
      <c r="Q1459" t="s">
        <v>25</v>
      </c>
      <c r="R1459">
        <v>36.134999999999998</v>
      </c>
      <c r="S1459">
        <v>1.32</v>
      </c>
      <c r="T1459" s="4">
        <v>27.456</v>
      </c>
      <c r="U1459" s="4">
        <v>21.349250999999999</v>
      </c>
      <c r="V1459" t="str">
        <f>IF(Table1[[#This Row],[ai_disruption_intensity]]&gt;70,"High",
IF(Table1[[#This Row],[ai_disruption_intensity]]&gt;40,"Medium","Low"))</f>
        <v>Low</v>
      </c>
      <c r="W1459" t="str">
        <f>IF(Table1[[#This Row],[skill_gap_index]]&gt;70,"Large Gap",
IF(Table1[[#This Row],[skill_gap_index]]&gt;40,"Medium Gap","Small Gap"))</f>
        <v>Small Gap</v>
      </c>
      <c r="X1459" s="3" t="str">
        <f>IF(Table1[[#This Row],[automation_risk_percent]]&gt;0.7,"Highly Automatable",
IF(Table1[[#This Row],[automation_risk_percent]]&gt;0.4,"Moderate Risk","Safe Job"))</f>
        <v>Moderate Risk</v>
      </c>
    </row>
    <row r="1460" spans="1:24" x14ac:dyDescent="0.3">
      <c r="A1460">
        <v>5255</v>
      </c>
      <c r="B1460" t="s">
        <v>18</v>
      </c>
      <c r="C1460" t="s">
        <v>33</v>
      </c>
      <c r="D1460" t="s">
        <v>47</v>
      </c>
      <c r="E1460" s="1">
        <v>2025</v>
      </c>
      <c r="F1460" s="11">
        <v>0.42330000000000001</v>
      </c>
      <c r="G1460">
        <v>38.14</v>
      </c>
      <c r="H1460">
        <v>81.739999999999995</v>
      </c>
      <c r="I1460" s="2">
        <v>41039.47</v>
      </c>
      <c r="J1460" s="2">
        <v>42297.32</v>
      </c>
      <c r="K1460" s="2">
        <f>Table1[[#This Row],[Salary_after]]-Table1[[#This Row],[Salary_before]]</f>
        <v>1257.8499999999985</v>
      </c>
      <c r="L1460" s="11">
        <v>3.0600000000000002E-2</v>
      </c>
      <c r="M1460" s="11">
        <v>0.23499999999999999</v>
      </c>
      <c r="N1460">
        <v>31.77</v>
      </c>
      <c r="O1460">
        <v>49.28</v>
      </c>
      <c r="P1460">
        <v>4</v>
      </c>
      <c r="Q1460" t="s">
        <v>25</v>
      </c>
      <c r="R1460">
        <v>62.034999999999997</v>
      </c>
      <c r="S1460">
        <v>3.06</v>
      </c>
      <c r="T1460" s="4">
        <v>42.3719999999999</v>
      </c>
      <c r="U1460" s="4">
        <v>20.860223999999999</v>
      </c>
      <c r="V1460" t="str">
        <f>IF(Table1[[#This Row],[ai_disruption_intensity]]&gt;70,"High",
IF(Table1[[#This Row],[ai_disruption_intensity]]&gt;40,"Medium","Low"))</f>
        <v>Low</v>
      </c>
      <c r="W1460" t="str">
        <f>IF(Table1[[#This Row],[skill_gap_index]]&gt;70,"Large Gap",
IF(Table1[[#This Row],[skill_gap_index]]&gt;40,"Medium Gap","Small Gap"))</f>
        <v>Large Gap</v>
      </c>
      <c r="X1460" s="3" t="str">
        <f>IF(Table1[[#This Row],[automation_risk_percent]]&gt;0.7,"Highly Automatable",
IF(Table1[[#This Row],[automation_risk_percent]]&gt;0.4,"Moderate Risk","Safe Job"))</f>
        <v>Moderate Risk</v>
      </c>
    </row>
    <row r="1461" spans="1:24" x14ac:dyDescent="0.3">
      <c r="A1461">
        <v>5256</v>
      </c>
      <c r="B1461" t="s">
        <v>26</v>
      </c>
      <c r="C1461" t="s">
        <v>30</v>
      </c>
      <c r="D1461" t="s">
        <v>28</v>
      </c>
      <c r="E1461" s="1">
        <v>2025</v>
      </c>
      <c r="F1461" s="11">
        <v>0.58099999999999996</v>
      </c>
      <c r="G1461">
        <v>56.83</v>
      </c>
      <c r="H1461">
        <v>12.19</v>
      </c>
      <c r="I1461" s="2">
        <v>34896.239999999998</v>
      </c>
      <c r="J1461" s="2">
        <v>32513.54</v>
      </c>
      <c r="K1461" s="2">
        <f>Table1[[#This Row],[Salary_after]]-Table1[[#This Row],[Salary_before]]</f>
        <v>-2382.6999999999971</v>
      </c>
      <c r="L1461" s="11">
        <v>-6.83E-2</v>
      </c>
      <c r="M1461" s="11">
        <v>0.16190000000000002</v>
      </c>
      <c r="N1461">
        <v>93.81</v>
      </c>
      <c r="O1461">
        <v>61.71</v>
      </c>
      <c r="P1461">
        <v>5</v>
      </c>
      <c r="Q1461" t="s">
        <v>25</v>
      </c>
      <c r="R1461">
        <v>35.145000000000003</v>
      </c>
      <c r="S1461">
        <v>6.83</v>
      </c>
      <c r="T1461" s="4">
        <v>28.946000000000002</v>
      </c>
      <c r="U1461" s="4">
        <v>35.85351</v>
      </c>
      <c r="V1461" t="str">
        <f>IF(Table1[[#This Row],[ai_disruption_intensity]]&gt;70,"High",
IF(Table1[[#This Row],[ai_disruption_intensity]]&gt;40,"Medium","Low"))</f>
        <v>Low</v>
      </c>
      <c r="W1461" t="str">
        <f>IF(Table1[[#This Row],[skill_gap_index]]&gt;70,"Large Gap",
IF(Table1[[#This Row],[skill_gap_index]]&gt;40,"Medium Gap","Small Gap"))</f>
        <v>Small Gap</v>
      </c>
      <c r="X1461" s="3" t="str">
        <f>IF(Table1[[#This Row],[automation_risk_percent]]&gt;0.7,"Highly Automatable",
IF(Table1[[#This Row],[automation_risk_percent]]&gt;0.4,"Moderate Risk","Safe Job"))</f>
        <v>Moderate Risk</v>
      </c>
    </row>
    <row r="1462" spans="1:24" x14ac:dyDescent="0.3">
      <c r="A1462">
        <v>5257</v>
      </c>
      <c r="B1462" t="s">
        <v>45</v>
      </c>
      <c r="C1462" t="s">
        <v>38</v>
      </c>
      <c r="D1462" t="s">
        <v>36</v>
      </c>
      <c r="E1462" s="1">
        <v>2025</v>
      </c>
      <c r="F1462" s="11">
        <v>0.40539999999999998</v>
      </c>
      <c r="G1462">
        <v>41.59</v>
      </c>
      <c r="H1462">
        <v>45.71</v>
      </c>
      <c r="I1462" s="2">
        <v>138697.32999999999</v>
      </c>
      <c r="J1462" s="2">
        <v>125532.45</v>
      </c>
      <c r="K1462" s="2">
        <f>Table1[[#This Row],[Salary_after]]-Table1[[#This Row],[Salary_before]]</f>
        <v>-13164.87999999999</v>
      </c>
      <c r="L1462" s="11">
        <v>-9.4899999999999998E-2</v>
      </c>
      <c r="M1462" s="11">
        <v>3.9900000000000005E-2</v>
      </c>
      <c r="N1462">
        <v>63.74</v>
      </c>
      <c r="O1462">
        <v>62.3</v>
      </c>
      <c r="P1462">
        <v>3</v>
      </c>
      <c r="Q1462" t="s">
        <v>25</v>
      </c>
      <c r="R1462">
        <v>43.125</v>
      </c>
      <c r="S1462">
        <v>9.49</v>
      </c>
      <c r="T1462" s="4">
        <v>32.776000000000003</v>
      </c>
      <c r="U1462" s="4">
        <v>25.256419999999999</v>
      </c>
      <c r="V1462" t="str">
        <f>IF(Table1[[#This Row],[ai_disruption_intensity]]&gt;70,"High",
IF(Table1[[#This Row],[ai_disruption_intensity]]&gt;40,"Medium","Low"))</f>
        <v>Low</v>
      </c>
      <c r="W1462" t="str">
        <f>IF(Table1[[#This Row],[skill_gap_index]]&gt;70,"Large Gap",
IF(Table1[[#This Row],[skill_gap_index]]&gt;40,"Medium Gap","Small Gap"))</f>
        <v>Medium Gap</v>
      </c>
      <c r="X1462" s="3" t="str">
        <f>IF(Table1[[#This Row],[automation_risk_percent]]&gt;0.7,"Highly Automatable",
IF(Table1[[#This Row],[automation_risk_percent]]&gt;0.4,"Moderate Risk","Safe Job"))</f>
        <v>Moderate Risk</v>
      </c>
    </row>
    <row r="1463" spans="1:24" x14ac:dyDescent="0.3">
      <c r="A1463">
        <v>5261</v>
      </c>
      <c r="B1463" t="s">
        <v>45</v>
      </c>
      <c r="C1463" t="s">
        <v>33</v>
      </c>
      <c r="D1463" t="s">
        <v>47</v>
      </c>
      <c r="E1463" s="1">
        <v>2025</v>
      </c>
      <c r="F1463" s="11">
        <v>0.74040000000000006</v>
      </c>
      <c r="G1463">
        <v>63.47</v>
      </c>
      <c r="H1463">
        <v>7.37</v>
      </c>
      <c r="I1463" s="2">
        <v>142156.46</v>
      </c>
      <c r="J1463" s="2">
        <v>137492.45000000001</v>
      </c>
      <c r="K1463" s="2">
        <f>Table1[[#This Row],[Salary_after]]-Table1[[#This Row],[Salary_before]]</f>
        <v>-4664.0099999999802</v>
      </c>
      <c r="L1463" s="11">
        <v>-3.2799999999999996E-2</v>
      </c>
      <c r="M1463" s="11">
        <v>-2.9999999999999997E-4</v>
      </c>
      <c r="N1463">
        <v>93.65</v>
      </c>
      <c r="O1463">
        <v>80.290000000000006</v>
      </c>
      <c r="P1463">
        <v>4</v>
      </c>
      <c r="Q1463" t="s">
        <v>37</v>
      </c>
      <c r="R1463">
        <v>40.704999999999998</v>
      </c>
      <c r="S1463">
        <v>3.28</v>
      </c>
      <c r="T1463" s="4">
        <v>32.811</v>
      </c>
      <c r="U1463" s="4">
        <v>59.446716000000002</v>
      </c>
      <c r="V1463" t="str">
        <f>IF(Table1[[#This Row],[ai_disruption_intensity]]&gt;70,"High",
IF(Table1[[#This Row],[ai_disruption_intensity]]&gt;40,"Medium","Low"))</f>
        <v>Medium</v>
      </c>
      <c r="W1463" t="str">
        <f>IF(Table1[[#This Row],[skill_gap_index]]&gt;70,"Large Gap",
IF(Table1[[#This Row],[skill_gap_index]]&gt;40,"Medium Gap","Small Gap"))</f>
        <v>Small Gap</v>
      </c>
      <c r="X1463" s="3" t="str">
        <f>IF(Table1[[#This Row],[automation_risk_percent]]&gt;0.7,"Highly Automatable",
IF(Table1[[#This Row],[automation_risk_percent]]&gt;0.4,"Moderate Risk","Safe Job"))</f>
        <v>Highly Automatable</v>
      </c>
    </row>
    <row r="1464" spans="1:24" x14ac:dyDescent="0.3">
      <c r="A1464">
        <v>5262</v>
      </c>
      <c r="B1464" t="s">
        <v>46</v>
      </c>
      <c r="C1464" t="s">
        <v>27</v>
      </c>
      <c r="D1464" t="s">
        <v>24</v>
      </c>
      <c r="E1464" s="1">
        <v>2025</v>
      </c>
      <c r="F1464" s="11">
        <v>0.23989999999999997</v>
      </c>
      <c r="G1464">
        <v>28.36</v>
      </c>
      <c r="H1464">
        <v>56.8</v>
      </c>
      <c r="I1464" s="2">
        <v>38669.79</v>
      </c>
      <c r="J1464" s="2">
        <v>39983.08</v>
      </c>
      <c r="K1464" s="2">
        <f>Table1[[#This Row],[Salary_after]]-Table1[[#This Row],[Salary_before]]</f>
        <v>1313.2900000000009</v>
      </c>
      <c r="L1464" s="11">
        <v>3.4000000000000002E-2</v>
      </c>
      <c r="M1464" s="11">
        <v>0.23499999999999999</v>
      </c>
      <c r="N1464">
        <v>61.53</v>
      </c>
      <c r="O1464">
        <v>99.41</v>
      </c>
      <c r="P1464">
        <v>4</v>
      </c>
      <c r="Q1464" t="s">
        <v>21</v>
      </c>
      <c r="R1464">
        <v>40.394999999999897</v>
      </c>
      <c r="S1464">
        <v>3.4</v>
      </c>
      <c r="T1464" s="4">
        <v>27.655999999999999</v>
      </c>
      <c r="U1464" s="4">
        <v>23.848458999999998</v>
      </c>
      <c r="V1464" t="str">
        <f>IF(Table1[[#This Row],[ai_disruption_intensity]]&gt;70,"High",
IF(Table1[[#This Row],[ai_disruption_intensity]]&gt;40,"Medium","Low"))</f>
        <v>Low</v>
      </c>
      <c r="W1464" t="str">
        <f>IF(Table1[[#This Row],[skill_gap_index]]&gt;70,"Large Gap",
IF(Table1[[#This Row],[skill_gap_index]]&gt;40,"Medium Gap","Small Gap"))</f>
        <v>Medium Gap</v>
      </c>
      <c r="X1464" s="3" t="str">
        <f>IF(Table1[[#This Row],[automation_risk_percent]]&gt;0.7,"Highly Automatable",
IF(Table1[[#This Row],[automation_risk_percent]]&gt;0.4,"Moderate Risk","Safe Job"))</f>
        <v>Safe Job</v>
      </c>
    </row>
    <row r="1465" spans="1:24" x14ac:dyDescent="0.3">
      <c r="A1465">
        <v>5266</v>
      </c>
      <c r="B1465" t="s">
        <v>29</v>
      </c>
      <c r="C1465" t="s">
        <v>34</v>
      </c>
      <c r="D1465" t="s">
        <v>32</v>
      </c>
      <c r="E1465" s="1">
        <v>2025</v>
      </c>
      <c r="F1465" s="11">
        <v>0.44869999999999999</v>
      </c>
      <c r="G1465">
        <v>37.729999999999997</v>
      </c>
      <c r="H1465">
        <v>20.52</v>
      </c>
      <c r="I1465" s="2">
        <v>51188.21</v>
      </c>
      <c r="J1465" s="2">
        <v>47254.28</v>
      </c>
      <c r="K1465" s="2">
        <f>Table1[[#This Row],[Salary_after]]-Table1[[#This Row],[Salary_before]]</f>
        <v>-3933.9300000000003</v>
      </c>
      <c r="L1465" s="11">
        <v>-7.690000000000001E-2</v>
      </c>
      <c r="M1465" s="11">
        <v>-2.6000000000000002E-2</v>
      </c>
      <c r="N1465">
        <v>53.19</v>
      </c>
      <c r="O1465">
        <v>31.96</v>
      </c>
      <c r="P1465">
        <v>5</v>
      </c>
      <c r="Q1465" t="s">
        <v>25</v>
      </c>
      <c r="R1465">
        <v>32.695</v>
      </c>
      <c r="S1465">
        <v>7.69</v>
      </c>
      <c r="T1465" s="4">
        <v>26.410999999999898</v>
      </c>
      <c r="U1465" s="4">
        <v>14.340452000000001</v>
      </c>
      <c r="V1465" t="str">
        <f>IF(Table1[[#This Row],[ai_disruption_intensity]]&gt;70,"High",
IF(Table1[[#This Row],[ai_disruption_intensity]]&gt;40,"Medium","Low"))</f>
        <v>Low</v>
      </c>
      <c r="W1465" t="str">
        <f>IF(Table1[[#This Row],[skill_gap_index]]&gt;70,"Large Gap",
IF(Table1[[#This Row],[skill_gap_index]]&gt;40,"Medium Gap","Small Gap"))</f>
        <v>Small Gap</v>
      </c>
      <c r="X1465" s="3" t="str">
        <f>IF(Table1[[#This Row],[automation_risk_percent]]&gt;0.7,"Highly Automatable",
IF(Table1[[#This Row],[automation_risk_percent]]&gt;0.4,"Moderate Risk","Safe Job"))</f>
        <v>Moderate Risk</v>
      </c>
    </row>
    <row r="1466" spans="1:24" x14ac:dyDescent="0.3">
      <c r="A1466">
        <v>5272</v>
      </c>
      <c r="B1466" t="s">
        <v>29</v>
      </c>
      <c r="C1466" t="s">
        <v>27</v>
      </c>
      <c r="D1466" t="s">
        <v>24</v>
      </c>
      <c r="E1466" s="1">
        <v>2025</v>
      </c>
      <c r="F1466" s="11">
        <v>0.35719999999999996</v>
      </c>
      <c r="G1466">
        <v>37.69</v>
      </c>
      <c r="H1466">
        <v>77.37</v>
      </c>
      <c r="I1466" s="2">
        <v>121347.76</v>
      </c>
      <c r="J1466" s="2">
        <v>117410.82</v>
      </c>
      <c r="K1466" s="2">
        <f>Table1[[#This Row],[Salary_after]]-Table1[[#This Row],[Salary_before]]</f>
        <v>-3936.9399999999878</v>
      </c>
      <c r="L1466" s="11">
        <v>-3.2400000000000005E-2</v>
      </c>
      <c r="M1466" s="11">
        <v>-0.16339999999999999</v>
      </c>
      <c r="N1466">
        <v>37.880000000000003</v>
      </c>
      <c r="O1466">
        <v>30.98</v>
      </c>
      <c r="P1466">
        <v>5</v>
      </c>
      <c r="Q1466" t="s">
        <v>25</v>
      </c>
      <c r="R1466">
        <v>56.545000000000002</v>
      </c>
      <c r="S1466">
        <v>3.24</v>
      </c>
      <c r="T1466" s="4">
        <v>38.470999999999997</v>
      </c>
      <c r="U1466" s="4">
        <v>11.0660559999999</v>
      </c>
      <c r="V1466" t="str">
        <f>IF(Table1[[#This Row],[ai_disruption_intensity]]&gt;70,"High",
IF(Table1[[#This Row],[ai_disruption_intensity]]&gt;40,"Medium","Low"))</f>
        <v>Low</v>
      </c>
      <c r="W1466" t="str">
        <f>IF(Table1[[#This Row],[skill_gap_index]]&gt;70,"Large Gap",
IF(Table1[[#This Row],[skill_gap_index]]&gt;40,"Medium Gap","Small Gap"))</f>
        <v>Large Gap</v>
      </c>
      <c r="X1466" s="3" t="str">
        <f>IF(Table1[[#This Row],[automation_risk_percent]]&gt;0.7,"Highly Automatable",
IF(Table1[[#This Row],[automation_risk_percent]]&gt;0.4,"Moderate Risk","Safe Job"))</f>
        <v>Safe Job</v>
      </c>
    </row>
    <row r="1467" spans="1:24" x14ac:dyDescent="0.3">
      <c r="A1467">
        <v>5278</v>
      </c>
      <c r="B1467" t="s">
        <v>45</v>
      </c>
      <c r="C1467" t="s">
        <v>27</v>
      </c>
      <c r="D1467" t="s">
        <v>20</v>
      </c>
      <c r="E1467" s="1">
        <v>2026</v>
      </c>
      <c r="F1467" s="11">
        <v>0.2545</v>
      </c>
      <c r="G1467">
        <v>24.6</v>
      </c>
      <c r="H1467">
        <v>1.61</v>
      </c>
      <c r="I1467" s="2">
        <v>42585.79</v>
      </c>
      <c r="J1467" s="2">
        <v>41317.32</v>
      </c>
      <c r="K1467" s="2">
        <f>Table1[[#This Row],[Salary_after]]-Table1[[#This Row],[Salary_before]]</f>
        <v>-1268.4700000000012</v>
      </c>
      <c r="L1467" s="11">
        <v>-2.98E-2</v>
      </c>
      <c r="M1467" s="11">
        <v>0.1646</v>
      </c>
      <c r="N1467">
        <v>22.74</v>
      </c>
      <c r="O1467">
        <v>10.79</v>
      </c>
      <c r="P1467">
        <v>4</v>
      </c>
      <c r="Q1467" t="s">
        <v>21</v>
      </c>
      <c r="R1467">
        <v>13.53</v>
      </c>
      <c r="S1467">
        <v>2.98</v>
      </c>
      <c r="T1467" s="4">
        <v>11.557</v>
      </c>
      <c r="U1467" s="4">
        <v>2.7460549999999899</v>
      </c>
      <c r="V1467" t="str">
        <f>IF(Table1[[#This Row],[ai_disruption_intensity]]&gt;70,"High",
IF(Table1[[#This Row],[ai_disruption_intensity]]&gt;40,"Medium","Low"))</f>
        <v>Low</v>
      </c>
      <c r="W1467" t="str">
        <f>IF(Table1[[#This Row],[skill_gap_index]]&gt;70,"Large Gap",
IF(Table1[[#This Row],[skill_gap_index]]&gt;40,"Medium Gap","Small Gap"))</f>
        <v>Small Gap</v>
      </c>
      <c r="X1467" s="3" t="str">
        <f>IF(Table1[[#This Row],[automation_risk_percent]]&gt;0.7,"Highly Automatable",
IF(Table1[[#This Row],[automation_risk_percent]]&gt;0.4,"Moderate Risk","Safe Job"))</f>
        <v>Safe Job</v>
      </c>
    </row>
    <row r="1468" spans="1:24" x14ac:dyDescent="0.3">
      <c r="A1468">
        <v>5283</v>
      </c>
      <c r="B1468" t="s">
        <v>22</v>
      </c>
      <c r="C1468" t="s">
        <v>34</v>
      </c>
      <c r="D1468" t="s">
        <v>24</v>
      </c>
      <c r="E1468" s="1">
        <v>2025</v>
      </c>
      <c r="F1468" s="11">
        <v>0.32159999999999994</v>
      </c>
      <c r="G1468">
        <v>27.98</v>
      </c>
      <c r="H1468">
        <v>48.33</v>
      </c>
      <c r="I1468" s="2">
        <v>47679.66</v>
      </c>
      <c r="J1468" s="2">
        <v>52877.26</v>
      </c>
      <c r="K1468" s="2">
        <f>Table1[[#This Row],[Salary_after]]-Table1[[#This Row],[Salary_before]]</f>
        <v>5197.5999999999985</v>
      </c>
      <c r="L1468" s="11">
        <v>0.109</v>
      </c>
      <c r="M1468" s="11">
        <v>0.1226</v>
      </c>
      <c r="N1468">
        <v>85.22</v>
      </c>
      <c r="O1468">
        <v>65.89</v>
      </c>
      <c r="P1468">
        <v>2</v>
      </c>
      <c r="Q1468" t="s">
        <v>25</v>
      </c>
      <c r="R1468">
        <v>40.244999999999997</v>
      </c>
      <c r="S1468">
        <v>10.9</v>
      </c>
      <c r="T1468" s="4">
        <v>30.632999999999999</v>
      </c>
      <c r="U1468" s="4">
        <v>21.190223999999901</v>
      </c>
      <c r="V1468" t="str">
        <f>IF(Table1[[#This Row],[ai_disruption_intensity]]&gt;70,"High",
IF(Table1[[#This Row],[ai_disruption_intensity]]&gt;40,"Medium","Low"))</f>
        <v>Low</v>
      </c>
      <c r="W1468" t="str">
        <f>IF(Table1[[#This Row],[skill_gap_index]]&gt;70,"Large Gap",
IF(Table1[[#This Row],[skill_gap_index]]&gt;40,"Medium Gap","Small Gap"))</f>
        <v>Medium Gap</v>
      </c>
      <c r="X1468" s="3" t="str">
        <f>IF(Table1[[#This Row],[automation_risk_percent]]&gt;0.7,"Highly Automatable",
IF(Table1[[#This Row],[automation_risk_percent]]&gt;0.4,"Moderate Risk","Safe Job"))</f>
        <v>Safe Job</v>
      </c>
    </row>
    <row r="1469" spans="1:24" x14ac:dyDescent="0.3">
      <c r="A1469">
        <v>5286</v>
      </c>
      <c r="B1469" t="s">
        <v>26</v>
      </c>
      <c r="C1469" t="s">
        <v>38</v>
      </c>
      <c r="D1469" t="s">
        <v>28</v>
      </c>
      <c r="E1469" s="1">
        <v>2025</v>
      </c>
      <c r="F1469" s="11">
        <v>0.3367</v>
      </c>
      <c r="G1469">
        <v>31.37</v>
      </c>
      <c r="H1469">
        <v>51.06</v>
      </c>
      <c r="I1469" s="2">
        <v>102745.64</v>
      </c>
      <c r="J1469" s="2">
        <v>108955.96</v>
      </c>
      <c r="K1469" s="2">
        <f>Table1[[#This Row],[Salary_after]]-Table1[[#This Row],[Salary_before]]</f>
        <v>6210.320000000007</v>
      </c>
      <c r="L1469" s="11">
        <v>6.0400000000000002E-2</v>
      </c>
      <c r="M1469" s="11">
        <v>-1.44E-2</v>
      </c>
      <c r="N1469">
        <v>52.76</v>
      </c>
      <c r="O1469">
        <v>99.2</v>
      </c>
      <c r="P1469">
        <v>1</v>
      </c>
      <c r="Q1469" t="s">
        <v>25</v>
      </c>
      <c r="R1469">
        <v>42.365000000000002</v>
      </c>
      <c r="S1469">
        <v>6.04</v>
      </c>
      <c r="T1469" s="4">
        <v>30.597999999999999</v>
      </c>
      <c r="U1469" s="4">
        <v>33.400640000000003</v>
      </c>
      <c r="V1469" t="str">
        <f>IF(Table1[[#This Row],[ai_disruption_intensity]]&gt;70,"High",
IF(Table1[[#This Row],[ai_disruption_intensity]]&gt;40,"Medium","Low"))</f>
        <v>Low</v>
      </c>
      <c r="W1469" t="str">
        <f>IF(Table1[[#This Row],[skill_gap_index]]&gt;70,"Large Gap",
IF(Table1[[#This Row],[skill_gap_index]]&gt;40,"Medium Gap","Small Gap"))</f>
        <v>Medium Gap</v>
      </c>
      <c r="X1469" s="3" t="str">
        <f>IF(Table1[[#This Row],[automation_risk_percent]]&gt;0.7,"Highly Automatable",
IF(Table1[[#This Row],[automation_risk_percent]]&gt;0.4,"Moderate Risk","Safe Job"))</f>
        <v>Safe Job</v>
      </c>
    </row>
    <row r="1470" spans="1:24" x14ac:dyDescent="0.3">
      <c r="A1470">
        <v>5287</v>
      </c>
      <c r="B1470" t="s">
        <v>43</v>
      </c>
      <c r="C1470" t="s">
        <v>38</v>
      </c>
      <c r="D1470" t="s">
        <v>35</v>
      </c>
      <c r="E1470" s="1">
        <v>2025</v>
      </c>
      <c r="F1470" s="11">
        <v>0.1176</v>
      </c>
      <c r="G1470">
        <v>10.3</v>
      </c>
      <c r="H1470">
        <v>68.959999999999994</v>
      </c>
      <c r="I1470" s="2">
        <v>113421.57</v>
      </c>
      <c r="J1470" s="2">
        <v>118043.68</v>
      </c>
      <c r="K1470" s="2">
        <f>Table1[[#This Row],[Salary_after]]-Table1[[#This Row],[Salary_before]]</f>
        <v>4622.109999999986</v>
      </c>
      <c r="L1470" s="11">
        <v>4.0800000000000003E-2</v>
      </c>
      <c r="M1470" s="11">
        <v>5.7099999999999998E-2</v>
      </c>
      <c r="N1470">
        <v>47.38</v>
      </c>
      <c r="O1470">
        <v>41.7</v>
      </c>
      <c r="P1470">
        <v>4</v>
      </c>
      <c r="Q1470" t="s">
        <v>21</v>
      </c>
      <c r="R1470">
        <v>40.36</v>
      </c>
      <c r="S1470">
        <v>4.08</v>
      </c>
      <c r="T1470" s="4">
        <v>26.616</v>
      </c>
      <c r="U1470" s="4">
        <v>4.9039200000000003</v>
      </c>
      <c r="V1470" t="str">
        <f>IF(Table1[[#This Row],[ai_disruption_intensity]]&gt;70,"High",
IF(Table1[[#This Row],[ai_disruption_intensity]]&gt;40,"Medium","Low"))</f>
        <v>Low</v>
      </c>
      <c r="W1470" t="str">
        <f>IF(Table1[[#This Row],[skill_gap_index]]&gt;70,"Large Gap",
IF(Table1[[#This Row],[skill_gap_index]]&gt;40,"Medium Gap","Small Gap"))</f>
        <v>Medium Gap</v>
      </c>
      <c r="X1470" s="3" t="str">
        <f>IF(Table1[[#This Row],[automation_risk_percent]]&gt;0.7,"Highly Automatable",
IF(Table1[[#This Row],[automation_risk_percent]]&gt;0.4,"Moderate Risk","Safe Job"))</f>
        <v>Safe Job</v>
      </c>
    </row>
    <row r="1471" spans="1:24" x14ac:dyDescent="0.3">
      <c r="A1471">
        <v>5295</v>
      </c>
      <c r="B1471" t="s">
        <v>44</v>
      </c>
      <c r="C1471" t="s">
        <v>23</v>
      </c>
      <c r="D1471" t="s">
        <v>20</v>
      </c>
      <c r="E1471" s="1">
        <v>2026</v>
      </c>
      <c r="F1471" s="11">
        <v>0.35969999999999996</v>
      </c>
      <c r="G1471">
        <v>42.68</v>
      </c>
      <c r="H1471">
        <v>9.4</v>
      </c>
      <c r="I1471" s="2">
        <v>92844.94</v>
      </c>
      <c r="J1471" s="2">
        <v>115872.38</v>
      </c>
      <c r="K1471" s="2">
        <f>Table1[[#This Row],[Salary_after]]-Table1[[#This Row],[Salary_before]]</f>
        <v>23027.440000000002</v>
      </c>
      <c r="L1471" s="11">
        <v>0.248</v>
      </c>
      <c r="M1471" s="11">
        <v>6.5700000000000008E-2</v>
      </c>
      <c r="N1471">
        <v>39.770000000000003</v>
      </c>
      <c r="O1471">
        <v>92.59</v>
      </c>
      <c r="P1471">
        <v>4</v>
      </c>
      <c r="Q1471" t="s">
        <v>25</v>
      </c>
      <c r="R1471">
        <v>22.684999999999999</v>
      </c>
      <c r="S1471">
        <v>24.8</v>
      </c>
      <c r="T1471" s="4">
        <v>24.6479999999999</v>
      </c>
      <c r="U1471" s="4">
        <v>33.304622999999999</v>
      </c>
      <c r="V1471" t="str">
        <f>IF(Table1[[#This Row],[ai_disruption_intensity]]&gt;70,"High",
IF(Table1[[#This Row],[ai_disruption_intensity]]&gt;40,"Medium","Low"))</f>
        <v>Low</v>
      </c>
      <c r="W1471" t="str">
        <f>IF(Table1[[#This Row],[skill_gap_index]]&gt;70,"Large Gap",
IF(Table1[[#This Row],[skill_gap_index]]&gt;40,"Medium Gap","Small Gap"))</f>
        <v>Small Gap</v>
      </c>
      <c r="X1471" s="3" t="str">
        <f>IF(Table1[[#This Row],[automation_risk_percent]]&gt;0.7,"Highly Automatable",
IF(Table1[[#This Row],[automation_risk_percent]]&gt;0.4,"Moderate Risk","Safe Job"))</f>
        <v>Safe Job</v>
      </c>
    </row>
    <row r="1472" spans="1:24" x14ac:dyDescent="0.3">
      <c r="A1472">
        <v>5297</v>
      </c>
      <c r="B1472" t="s">
        <v>29</v>
      </c>
      <c r="C1472" t="s">
        <v>23</v>
      </c>
      <c r="D1472" t="s">
        <v>36</v>
      </c>
      <c r="E1472" s="1">
        <v>2026</v>
      </c>
      <c r="F1472" s="11">
        <v>0.74959999999999993</v>
      </c>
      <c r="G1472">
        <v>64.92</v>
      </c>
      <c r="H1472">
        <v>74.05</v>
      </c>
      <c r="I1472" s="2">
        <v>46959.44</v>
      </c>
      <c r="J1472" s="2">
        <v>49328.05</v>
      </c>
      <c r="K1472" s="2">
        <f>Table1[[#This Row],[Salary_after]]-Table1[[#This Row],[Salary_before]]</f>
        <v>2368.6100000000006</v>
      </c>
      <c r="L1472" s="11">
        <v>5.04E-2</v>
      </c>
      <c r="M1472" s="11">
        <v>0.1426</v>
      </c>
      <c r="N1472">
        <v>44.73</v>
      </c>
      <c r="O1472">
        <v>35.880000000000003</v>
      </c>
      <c r="P1472">
        <v>3</v>
      </c>
      <c r="Q1472" t="s">
        <v>37</v>
      </c>
      <c r="R1472">
        <v>74.504999999999995</v>
      </c>
      <c r="S1472">
        <v>5.04</v>
      </c>
      <c r="T1472" s="4">
        <v>53.710999999999999</v>
      </c>
      <c r="U1472" s="4">
        <v>26.895648000000001</v>
      </c>
      <c r="V1472" t="str">
        <f>IF(Table1[[#This Row],[ai_disruption_intensity]]&gt;70,"High",
IF(Table1[[#This Row],[ai_disruption_intensity]]&gt;40,"Medium","Low"))</f>
        <v>Low</v>
      </c>
      <c r="W1472" t="str">
        <f>IF(Table1[[#This Row],[skill_gap_index]]&gt;70,"Large Gap",
IF(Table1[[#This Row],[skill_gap_index]]&gt;40,"Medium Gap","Small Gap"))</f>
        <v>Large Gap</v>
      </c>
      <c r="X1472" s="3" t="str">
        <f>IF(Table1[[#This Row],[automation_risk_percent]]&gt;0.7,"Highly Automatable",
IF(Table1[[#This Row],[automation_risk_percent]]&gt;0.4,"Moderate Risk","Safe Job"))</f>
        <v>Highly Automatable</v>
      </c>
    </row>
    <row r="1473" spans="1:24" x14ac:dyDescent="0.3">
      <c r="A1473">
        <v>5299</v>
      </c>
      <c r="B1473" t="s">
        <v>22</v>
      </c>
      <c r="C1473" t="s">
        <v>23</v>
      </c>
      <c r="D1473" t="s">
        <v>42</v>
      </c>
      <c r="E1473" s="1">
        <v>2025</v>
      </c>
      <c r="F1473" s="11">
        <v>0.52349999999999997</v>
      </c>
      <c r="G1473">
        <v>51.46</v>
      </c>
      <c r="H1473">
        <v>29.33</v>
      </c>
      <c r="I1473" s="2">
        <v>41054.81</v>
      </c>
      <c r="J1473" s="2">
        <v>42276.36</v>
      </c>
      <c r="K1473" s="2">
        <f>Table1[[#This Row],[Salary_after]]-Table1[[#This Row],[Salary_before]]</f>
        <v>1221.5500000000029</v>
      </c>
      <c r="L1473" s="11">
        <v>2.98E-2</v>
      </c>
      <c r="M1473" s="11">
        <v>-0.1008</v>
      </c>
      <c r="N1473">
        <v>77.84</v>
      </c>
      <c r="O1473">
        <v>87.79</v>
      </c>
      <c r="P1473">
        <v>5</v>
      </c>
      <c r="Q1473" t="s">
        <v>25</v>
      </c>
      <c r="R1473">
        <v>40.840000000000003</v>
      </c>
      <c r="S1473">
        <v>2.98</v>
      </c>
      <c r="T1473" s="4">
        <v>30.632999999999999</v>
      </c>
      <c r="U1473" s="4">
        <v>45.958064999999998</v>
      </c>
      <c r="V1473" t="str">
        <f>IF(Table1[[#This Row],[ai_disruption_intensity]]&gt;70,"High",
IF(Table1[[#This Row],[ai_disruption_intensity]]&gt;40,"Medium","Low"))</f>
        <v>Medium</v>
      </c>
      <c r="W1473" t="str">
        <f>IF(Table1[[#This Row],[skill_gap_index]]&gt;70,"Large Gap",
IF(Table1[[#This Row],[skill_gap_index]]&gt;40,"Medium Gap","Small Gap"))</f>
        <v>Small Gap</v>
      </c>
      <c r="X1473" s="3" t="str">
        <f>IF(Table1[[#This Row],[automation_risk_percent]]&gt;0.7,"Highly Automatable",
IF(Table1[[#This Row],[automation_risk_percent]]&gt;0.4,"Moderate Risk","Safe Job"))</f>
        <v>Moderate Risk</v>
      </c>
    </row>
    <row r="1474" spans="1:24" x14ac:dyDescent="0.3">
      <c r="A1474">
        <v>5301</v>
      </c>
      <c r="B1474" t="s">
        <v>18</v>
      </c>
      <c r="C1474" t="s">
        <v>40</v>
      </c>
      <c r="D1474" t="s">
        <v>28</v>
      </c>
      <c r="E1474" s="1">
        <v>2025</v>
      </c>
      <c r="F1474" s="11">
        <v>0.46810000000000002</v>
      </c>
      <c r="G1474">
        <v>40.700000000000003</v>
      </c>
      <c r="H1474">
        <v>54.55</v>
      </c>
      <c r="I1474" s="2">
        <v>72505.63</v>
      </c>
      <c r="J1474" s="2">
        <v>73325.53</v>
      </c>
      <c r="K1474" s="2">
        <f>Table1[[#This Row],[Salary_after]]-Table1[[#This Row],[Salary_before]]</f>
        <v>819.89999999999418</v>
      </c>
      <c r="L1474" s="11">
        <v>1.1299999999999999E-2</v>
      </c>
      <c r="M1474" s="11">
        <v>8.6699999999999999E-2</v>
      </c>
      <c r="N1474">
        <v>82.83</v>
      </c>
      <c r="O1474">
        <v>13.19</v>
      </c>
      <c r="P1474">
        <v>3</v>
      </c>
      <c r="Q1474" t="s">
        <v>25</v>
      </c>
      <c r="R1474">
        <v>50.68</v>
      </c>
      <c r="S1474">
        <v>1.1299999999999999</v>
      </c>
      <c r="T1474" s="4">
        <v>35.427999999999997</v>
      </c>
      <c r="U1474" s="4">
        <v>6.174239</v>
      </c>
      <c r="V1474" t="str">
        <f>IF(Table1[[#This Row],[ai_disruption_intensity]]&gt;70,"High",
IF(Table1[[#This Row],[ai_disruption_intensity]]&gt;40,"Medium","Low"))</f>
        <v>Low</v>
      </c>
      <c r="W1474" t="str">
        <f>IF(Table1[[#This Row],[skill_gap_index]]&gt;70,"Large Gap",
IF(Table1[[#This Row],[skill_gap_index]]&gt;40,"Medium Gap","Small Gap"))</f>
        <v>Medium Gap</v>
      </c>
      <c r="X1474" s="3" t="str">
        <f>IF(Table1[[#This Row],[automation_risk_percent]]&gt;0.7,"Highly Automatable",
IF(Table1[[#This Row],[automation_risk_percent]]&gt;0.4,"Moderate Risk","Safe Job"))</f>
        <v>Moderate Risk</v>
      </c>
    </row>
    <row r="1475" spans="1:24" x14ac:dyDescent="0.3">
      <c r="A1475">
        <v>5303</v>
      </c>
      <c r="B1475" t="s">
        <v>43</v>
      </c>
      <c r="C1475" t="s">
        <v>33</v>
      </c>
      <c r="D1475" t="s">
        <v>47</v>
      </c>
      <c r="E1475" s="1">
        <v>2026</v>
      </c>
      <c r="F1475" s="11">
        <v>0.25219999999999998</v>
      </c>
      <c r="G1475">
        <v>29.52</v>
      </c>
      <c r="H1475">
        <v>77.36</v>
      </c>
      <c r="I1475" s="2">
        <v>62482.61</v>
      </c>
      <c r="J1475" s="2">
        <v>59170.05</v>
      </c>
      <c r="K1475" s="2">
        <f>Table1[[#This Row],[Salary_after]]-Table1[[#This Row],[Salary_before]]</f>
        <v>-3312.5599999999977</v>
      </c>
      <c r="L1475" s="11">
        <v>-5.2999999999999999E-2</v>
      </c>
      <c r="M1475" s="11">
        <v>0.15869999999999998</v>
      </c>
      <c r="N1475">
        <v>38.119999999999997</v>
      </c>
      <c r="O1475">
        <v>86.31</v>
      </c>
      <c r="P1475">
        <v>3</v>
      </c>
      <c r="Q1475" t="s">
        <v>21</v>
      </c>
      <c r="R1475">
        <v>51.29</v>
      </c>
      <c r="S1475">
        <v>5.3</v>
      </c>
      <c r="T1475" s="4">
        <v>34.885999999999903</v>
      </c>
      <c r="U1475" s="4">
        <v>21.767381999999898</v>
      </c>
      <c r="V1475" t="str">
        <f>IF(Table1[[#This Row],[ai_disruption_intensity]]&gt;70,"High",
IF(Table1[[#This Row],[ai_disruption_intensity]]&gt;40,"Medium","Low"))</f>
        <v>Low</v>
      </c>
      <c r="W1475" t="str">
        <f>IF(Table1[[#This Row],[skill_gap_index]]&gt;70,"Large Gap",
IF(Table1[[#This Row],[skill_gap_index]]&gt;40,"Medium Gap","Small Gap"))</f>
        <v>Large Gap</v>
      </c>
      <c r="X1475" s="3" t="str">
        <f>IF(Table1[[#This Row],[automation_risk_percent]]&gt;0.7,"Highly Automatable",
IF(Table1[[#This Row],[automation_risk_percent]]&gt;0.4,"Moderate Risk","Safe Job"))</f>
        <v>Safe Job</v>
      </c>
    </row>
    <row r="1476" spans="1:24" x14ac:dyDescent="0.3">
      <c r="A1476">
        <v>5310</v>
      </c>
      <c r="B1476" t="s">
        <v>46</v>
      </c>
      <c r="C1476" t="s">
        <v>30</v>
      </c>
      <c r="D1476" t="s">
        <v>32</v>
      </c>
      <c r="E1476" s="1">
        <v>2025</v>
      </c>
      <c r="F1476" s="11">
        <v>0.41240000000000004</v>
      </c>
      <c r="G1476">
        <v>42.34</v>
      </c>
      <c r="H1476">
        <v>52.44</v>
      </c>
      <c r="I1476" s="2">
        <v>40866.730000000003</v>
      </c>
      <c r="J1476" s="2">
        <v>41500.79</v>
      </c>
      <c r="K1476" s="2">
        <f>Table1[[#This Row],[Salary_after]]-Table1[[#This Row],[Salary_before]]</f>
        <v>634.05999999999767</v>
      </c>
      <c r="L1476" s="11">
        <v>1.55E-2</v>
      </c>
      <c r="M1476" s="11">
        <v>0.12179999999999999</v>
      </c>
      <c r="N1476">
        <v>33.76</v>
      </c>
      <c r="O1476">
        <v>68.739999999999995</v>
      </c>
      <c r="P1476">
        <v>4</v>
      </c>
      <c r="Q1476" t="s">
        <v>25</v>
      </c>
      <c r="R1476">
        <v>46.84</v>
      </c>
      <c r="S1476">
        <v>1.55</v>
      </c>
      <c r="T1476" s="4">
        <v>32.692999999999998</v>
      </c>
      <c r="U1476" s="4">
        <v>28.348375999999998</v>
      </c>
      <c r="V1476" t="str">
        <f>IF(Table1[[#This Row],[ai_disruption_intensity]]&gt;70,"High",
IF(Table1[[#This Row],[ai_disruption_intensity]]&gt;40,"Medium","Low"))</f>
        <v>Low</v>
      </c>
      <c r="W1476" t="str">
        <f>IF(Table1[[#This Row],[skill_gap_index]]&gt;70,"Large Gap",
IF(Table1[[#This Row],[skill_gap_index]]&gt;40,"Medium Gap","Small Gap"))</f>
        <v>Medium Gap</v>
      </c>
      <c r="X1476" s="3" t="str">
        <f>IF(Table1[[#This Row],[automation_risk_percent]]&gt;0.7,"Highly Automatable",
IF(Table1[[#This Row],[automation_risk_percent]]&gt;0.4,"Moderate Risk","Safe Job"))</f>
        <v>Moderate Risk</v>
      </c>
    </row>
    <row r="1477" spans="1:24" x14ac:dyDescent="0.3">
      <c r="A1477">
        <v>5313</v>
      </c>
      <c r="B1477" t="s">
        <v>44</v>
      </c>
      <c r="C1477" t="s">
        <v>23</v>
      </c>
      <c r="D1477" t="s">
        <v>36</v>
      </c>
      <c r="E1477" s="1">
        <v>2025</v>
      </c>
      <c r="F1477" s="11">
        <v>0.111</v>
      </c>
      <c r="G1477">
        <v>11.94</v>
      </c>
      <c r="H1477">
        <v>82.95</v>
      </c>
      <c r="I1477" s="2">
        <v>40227.64</v>
      </c>
      <c r="J1477" s="2">
        <v>35349.85</v>
      </c>
      <c r="K1477" s="2">
        <f>Table1[[#This Row],[Salary_after]]-Table1[[#This Row],[Salary_before]]</f>
        <v>-4877.7900000000009</v>
      </c>
      <c r="L1477" s="11">
        <v>-0.12130000000000001</v>
      </c>
      <c r="M1477" s="11">
        <v>2.8999999999999998E-2</v>
      </c>
      <c r="N1477">
        <v>64.98</v>
      </c>
      <c r="O1477">
        <v>78.56</v>
      </c>
      <c r="P1477">
        <v>4</v>
      </c>
      <c r="Q1477" t="s">
        <v>21</v>
      </c>
      <c r="R1477">
        <v>47.024999999999999</v>
      </c>
      <c r="S1477">
        <v>12.13</v>
      </c>
      <c r="T1477" s="4">
        <v>32.963999999999999</v>
      </c>
      <c r="U1477" s="4">
        <v>8.7201599999999999</v>
      </c>
      <c r="V1477" t="str">
        <f>IF(Table1[[#This Row],[ai_disruption_intensity]]&gt;70,"High",
IF(Table1[[#This Row],[ai_disruption_intensity]]&gt;40,"Medium","Low"))</f>
        <v>Low</v>
      </c>
      <c r="W1477" t="str">
        <f>IF(Table1[[#This Row],[skill_gap_index]]&gt;70,"Large Gap",
IF(Table1[[#This Row],[skill_gap_index]]&gt;40,"Medium Gap","Small Gap"))</f>
        <v>Large Gap</v>
      </c>
      <c r="X1477" s="3" t="str">
        <f>IF(Table1[[#This Row],[automation_risk_percent]]&gt;0.7,"Highly Automatable",
IF(Table1[[#This Row],[automation_risk_percent]]&gt;0.4,"Moderate Risk","Safe Job"))</f>
        <v>Safe Job</v>
      </c>
    </row>
    <row r="1478" spans="1:24" x14ac:dyDescent="0.3">
      <c r="A1478">
        <v>5314</v>
      </c>
      <c r="B1478" t="s">
        <v>45</v>
      </c>
      <c r="C1478" t="s">
        <v>40</v>
      </c>
      <c r="D1478" t="s">
        <v>31</v>
      </c>
      <c r="E1478" s="1">
        <v>2026</v>
      </c>
      <c r="F1478" s="11">
        <v>0.56669999999999998</v>
      </c>
      <c r="G1478">
        <v>52.55</v>
      </c>
      <c r="H1478">
        <v>13.97</v>
      </c>
      <c r="I1478" s="2">
        <v>125312.18</v>
      </c>
      <c r="J1478" s="2">
        <v>105988.92</v>
      </c>
      <c r="K1478" s="2">
        <f>Table1[[#This Row],[Salary_after]]-Table1[[#This Row],[Salary_before]]</f>
        <v>-19323.259999999995</v>
      </c>
      <c r="L1478" s="11">
        <v>-0.1542</v>
      </c>
      <c r="M1478" s="11">
        <v>9.35E-2</v>
      </c>
      <c r="N1478">
        <v>85.71</v>
      </c>
      <c r="O1478">
        <v>14.33</v>
      </c>
      <c r="P1478">
        <v>5</v>
      </c>
      <c r="Q1478" t="s">
        <v>25</v>
      </c>
      <c r="R1478">
        <v>35.32</v>
      </c>
      <c r="S1478">
        <v>15.42</v>
      </c>
      <c r="T1478" s="4">
        <v>31.484999999999999</v>
      </c>
      <c r="U1478" s="4">
        <v>8.1208109999999998</v>
      </c>
      <c r="V1478" t="str">
        <f>IF(Table1[[#This Row],[ai_disruption_intensity]]&gt;70,"High",
IF(Table1[[#This Row],[ai_disruption_intensity]]&gt;40,"Medium","Low"))</f>
        <v>Low</v>
      </c>
      <c r="W1478" t="str">
        <f>IF(Table1[[#This Row],[skill_gap_index]]&gt;70,"Large Gap",
IF(Table1[[#This Row],[skill_gap_index]]&gt;40,"Medium Gap","Small Gap"))</f>
        <v>Small Gap</v>
      </c>
      <c r="X1478" s="3" t="str">
        <f>IF(Table1[[#This Row],[automation_risk_percent]]&gt;0.7,"Highly Automatable",
IF(Table1[[#This Row],[automation_risk_percent]]&gt;0.4,"Moderate Risk","Safe Job"))</f>
        <v>Moderate Risk</v>
      </c>
    </row>
    <row r="1479" spans="1:24" x14ac:dyDescent="0.3">
      <c r="A1479">
        <v>5318</v>
      </c>
      <c r="B1479" t="s">
        <v>43</v>
      </c>
      <c r="C1479" t="s">
        <v>30</v>
      </c>
      <c r="D1479" t="s">
        <v>24</v>
      </c>
      <c r="E1479" s="1">
        <v>2025</v>
      </c>
      <c r="F1479" s="11">
        <v>0.68650000000000011</v>
      </c>
      <c r="G1479">
        <v>62.8</v>
      </c>
      <c r="H1479">
        <v>27.13</v>
      </c>
      <c r="I1479" s="2">
        <v>97208.21</v>
      </c>
      <c r="J1479" s="2">
        <v>100071.06</v>
      </c>
      <c r="K1479" s="2">
        <f>Table1[[#This Row],[Salary_after]]-Table1[[#This Row],[Salary_before]]</f>
        <v>2862.8499999999913</v>
      </c>
      <c r="L1479" s="11">
        <v>2.9500000000000002E-2</v>
      </c>
      <c r="M1479" s="11">
        <v>-0.21679999999999999</v>
      </c>
      <c r="N1479">
        <v>14.79</v>
      </c>
      <c r="O1479">
        <v>97.16</v>
      </c>
      <c r="P1479">
        <v>3</v>
      </c>
      <c r="Q1479" t="s">
        <v>37</v>
      </c>
      <c r="R1479">
        <v>47.89</v>
      </c>
      <c r="S1479">
        <v>2.95</v>
      </c>
      <c r="T1479" s="4">
        <v>36.484000000000002</v>
      </c>
      <c r="U1479" s="4">
        <v>66.700339999999997</v>
      </c>
      <c r="V1479" t="str">
        <f>IF(Table1[[#This Row],[ai_disruption_intensity]]&gt;70,"High",
IF(Table1[[#This Row],[ai_disruption_intensity]]&gt;40,"Medium","Low"))</f>
        <v>Medium</v>
      </c>
      <c r="W1479" t="str">
        <f>IF(Table1[[#This Row],[skill_gap_index]]&gt;70,"Large Gap",
IF(Table1[[#This Row],[skill_gap_index]]&gt;40,"Medium Gap","Small Gap"))</f>
        <v>Small Gap</v>
      </c>
      <c r="X1479" s="3" t="str">
        <f>IF(Table1[[#This Row],[automation_risk_percent]]&gt;0.7,"Highly Automatable",
IF(Table1[[#This Row],[automation_risk_percent]]&gt;0.4,"Moderate Risk","Safe Job"))</f>
        <v>Moderate Risk</v>
      </c>
    </row>
    <row r="1480" spans="1:24" x14ac:dyDescent="0.3">
      <c r="A1480">
        <v>5322</v>
      </c>
      <c r="B1480" t="s">
        <v>18</v>
      </c>
      <c r="C1480" t="s">
        <v>38</v>
      </c>
      <c r="D1480" t="s">
        <v>24</v>
      </c>
      <c r="E1480" s="1">
        <v>2025</v>
      </c>
      <c r="F1480" s="11">
        <v>0.32159999999999994</v>
      </c>
      <c r="G1480">
        <v>34.19</v>
      </c>
      <c r="H1480">
        <v>31.82</v>
      </c>
      <c r="I1480" s="2">
        <v>56780.41</v>
      </c>
      <c r="J1480" s="2">
        <v>62934.59</v>
      </c>
      <c r="K1480" s="2">
        <f>Table1[[#This Row],[Salary_after]]-Table1[[#This Row],[Salary_before]]</f>
        <v>6154.179999999993</v>
      </c>
      <c r="L1480" s="11">
        <v>0.1084</v>
      </c>
      <c r="M1480" s="11">
        <v>-3.8900000000000004E-2</v>
      </c>
      <c r="N1480">
        <v>28.51</v>
      </c>
      <c r="O1480">
        <v>29.92</v>
      </c>
      <c r="P1480">
        <v>5</v>
      </c>
      <c r="Q1480" t="s">
        <v>25</v>
      </c>
      <c r="R1480">
        <v>31.99</v>
      </c>
      <c r="S1480">
        <v>10.84</v>
      </c>
      <c r="T1480" s="4">
        <v>25.6619999999999</v>
      </c>
      <c r="U1480" s="4">
        <v>9.6222719999999899</v>
      </c>
      <c r="V1480" t="str">
        <f>IF(Table1[[#This Row],[ai_disruption_intensity]]&gt;70,"High",
IF(Table1[[#This Row],[ai_disruption_intensity]]&gt;40,"Medium","Low"))</f>
        <v>Low</v>
      </c>
      <c r="W1480" t="str">
        <f>IF(Table1[[#This Row],[skill_gap_index]]&gt;70,"Large Gap",
IF(Table1[[#This Row],[skill_gap_index]]&gt;40,"Medium Gap","Small Gap"))</f>
        <v>Small Gap</v>
      </c>
      <c r="X1480" s="3" t="str">
        <f>IF(Table1[[#This Row],[automation_risk_percent]]&gt;0.7,"Highly Automatable",
IF(Table1[[#This Row],[automation_risk_percent]]&gt;0.4,"Moderate Risk","Safe Job"))</f>
        <v>Safe Job</v>
      </c>
    </row>
    <row r="1481" spans="1:24" x14ac:dyDescent="0.3">
      <c r="A1481">
        <v>5324</v>
      </c>
      <c r="B1481" t="s">
        <v>43</v>
      </c>
      <c r="C1481" t="s">
        <v>30</v>
      </c>
      <c r="D1481" t="s">
        <v>20</v>
      </c>
      <c r="E1481" s="1">
        <v>2026</v>
      </c>
      <c r="F1481" s="11">
        <v>0.53189999999999993</v>
      </c>
      <c r="G1481">
        <v>51.6</v>
      </c>
      <c r="H1481">
        <v>11.19</v>
      </c>
      <c r="I1481" s="2">
        <v>124705.12</v>
      </c>
      <c r="J1481" s="2">
        <v>129537.84</v>
      </c>
      <c r="K1481" s="2">
        <f>Table1[[#This Row],[Salary_after]]-Table1[[#This Row],[Salary_before]]</f>
        <v>4832.7200000000012</v>
      </c>
      <c r="L1481" s="11">
        <v>3.8800000000000001E-2</v>
      </c>
      <c r="M1481" s="11">
        <v>-1.3600000000000001E-2</v>
      </c>
      <c r="N1481">
        <v>57.51</v>
      </c>
      <c r="O1481">
        <v>38.58</v>
      </c>
      <c r="P1481">
        <v>5</v>
      </c>
      <c r="Q1481" t="s">
        <v>25</v>
      </c>
      <c r="R1481">
        <v>32.19</v>
      </c>
      <c r="S1481">
        <v>3.88</v>
      </c>
      <c r="T1481" s="4">
        <v>25.797000000000001</v>
      </c>
      <c r="U1481" s="4">
        <v>20.520701999999901</v>
      </c>
      <c r="V1481" t="str">
        <f>IF(Table1[[#This Row],[ai_disruption_intensity]]&gt;70,"High",
IF(Table1[[#This Row],[ai_disruption_intensity]]&gt;40,"Medium","Low"))</f>
        <v>Low</v>
      </c>
      <c r="W1481" t="str">
        <f>IF(Table1[[#This Row],[skill_gap_index]]&gt;70,"Large Gap",
IF(Table1[[#This Row],[skill_gap_index]]&gt;40,"Medium Gap","Small Gap"))</f>
        <v>Small Gap</v>
      </c>
      <c r="X1481" s="3" t="str">
        <f>IF(Table1[[#This Row],[automation_risk_percent]]&gt;0.7,"Highly Automatable",
IF(Table1[[#This Row],[automation_risk_percent]]&gt;0.4,"Moderate Risk","Safe Job"))</f>
        <v>Moderate Risk</v>
      </c>
    </row>
    <row r="1482" spans="1:24" x14ac:dyDescent="0.3">
      <c r="A1482">
        <v>5327</v>
      </c>
      <c r="B1482" t="s">
        <v>39</v>
      </c>
      <c r="C1482" t="s">
        <v>23</v>
      </c>
      <c r="D1482" t="s">
        <v>47</v>
      </c>
      <c r="E1482" s="1">
        <v>2025</v>
      </c>
      <c r="F1482" s="11">
        <v>0.62560000000000004</v>
      </c>
      <c r="G1482">
        <v>55.9</v>
      </c>
      <c r="H1482">
        <v>24.47</v>
      </c>
      <c r="I1482" s="2">
        <v>107273.55</v>
      </c>
      <c r="J1482" s="2">
        <v>111466.2</v>
      </c>
      <c r="K1482" s="2">
        <f>Table1[[#This Row],[Salary_after]]-Table1[[#This Row],[Salary_before]]</f>
        <v>4192.6499999999942</v>
      </c>
      <c r="L1482" s="11">
        <v>3.9100000000000003E-2</v>
      </c>
      <c r="M1482" s="11">
        <v>0.18719999999999998</v>
      </c>
      <c r="N1482">
        <v>89.65</v>
      </c>
      <c r="O1482">
        <v>21.14</v>
      </c>
      <c r="P1482">
        <v>4</v>
      </c>
      <c r="Q1482" t="s">
        <v>37</v>
      </c>
      <c r="R1482">
        <v>43.515000000000001</v>
      </c>
      <c r="S1482">
        <v>3.91</v>
      </c>
      <c r="T1482" s="4">
        <v>33.537999999999997</v>
      </c>
      <c r="U1482" s="4">
        <v>13.225184</v>
      </c>
      <c r="V1482" t="str">
        <f>IF(Table1[[#This Row],[ai_disruption_intensity]]&gt;70,"High",
IF(Table1[[#This Row],[ai_disruption_intensity]]&gt;40,"Medium","Low"))</f>
        <v>Low</v>
      </c>
      <c r="W1482" t="str">
        <f>IF(Table1[[#This Row],[skill_gap_index]]&gt;70,"Large Gap",
IF(Table1[[#This Row],[skill_gap_index]]&gt;40,"Medium Gap","Small Gap"))</f>
        <v>Small Gap</v>
      </c>
      <c r="X1482" s="3" t="str">
        <f>IF(Table1[[#This Row],[automation_risk_percent]]&gt;0.7,"Highly Automatable",
IF(Table1[[#This Row],[automation_risk_percent]]&gt;0.4,"Moderate Risk","Safe Job"))</f>
        <v>Moderate Risk</v>
      </c>
    </row>
    <row r="1483" spans="1:24" x14ac:dyDescent="0.3">
      <c r="A1483">
        <v>5333</v>
      </c>
      <c r="B1483" t="s">
        <v>45</v>
      </c>
      <c r="C1483" t="s">
        <v>38</v>
      </c>
      <c r="D1483" t="s">
        <v>28</v>
      </c>
      <c r="E1483" s="1">
        <v>2026</v>
      </c>
      <c r="F1483" s="11">
        <v>0.25969999999999999</v>
      </c>
      <c r="G1483">
        <v>21.68</v>
      </c>
      <c r="H1483">
        <v>60.31</v>
      </c>
      <c r="I1483" s="2">
        <v>92536.58</v>
      </c>
      <c r="J1483" s="2">
        <v>83383.5</v>
      </c>
      <c r="K1483" s="2">
        <f>Table1[[#This Row],[Salary_after]]-Table1[[#This Row],[Salary_before]]</f>
        <v>-9153.0800000000017</v>
      </c>
      <c r="L1483" s="11">
        <v>-9.8900000000000002E-2</v>
      </c>
      <c r="M1483" s="11">
        <v>5.4199999999999998E-2</v>
      </c>
      <c r="N1483">
        <v>54.45</v>
      </c>
      <c r="O1483">
        <v>15.04</v>
      </c>
      <c r="P1483">
        <v>2</v>
      </c>
      <c r="Q1483" t="s">
        <v>21</v>
      </c>
      <c r="R1483">
        <v>43.14</v>
      </c>
      <c r="S1483">
        <v>9.89</v>
      </c>
      <c r="T1483" s="4">
        <v>31.448</v>
      </c>
      <c r="U1483" s="4">
        <v>3.9058879999999898</v>
      </c>
      <c r="V1483" t="str">
        <f>IF(Table1[[#This Row],[ai_disruption_intensity]]&gt;70,"High",
IF(Table1[[#This Row],[ai_disruption_intensity]]&gt;40,"Medium","Low"))</f>
        <v>Low</v>
      </c>
      <c r="W1483" t="str">
        <f>IF(Table1[[#This Row],[skill_gap_index]]&gt;70,"Large Gap",
IF(Table1[[#This Row],[skill_gap_index]]&gt;40,"Medium Gap","Small Gap"))</f>
        <v>Medium Gap</v>
      </c>
      <c r="X1483" s="3" t="str">
        <f>IF(Table1[[#This Row],[automation_risk_percent]]&gt;0.7,"Highly Automatable",
IF(Table1[[#This Row],[automation_risk_percent]]&gt;0.4,"Moderate Risk","Safe Job"))</f>
        <v>Safe Job</v>
      </c>
    </row>
    <row r="1484" spans="1:24" x14ac:dyDescent="0.3">
      <c r="A1484">
        <v>5336</v>
      </c>
      <c r="B1484" t="s">
        <v>44</v>
      </c>
      <c r="C1484" t="s">
        <v>27</v>
      </c>
      <c r="D1484" t="s">
        <v>35</v>
      </c>
      <c r="E1484" s="1">
        <v>2026</v>
      </c>
      <c r="F1484" s="11">
        <v>0.7248</v>
      </c>
      <c r="G1484">
        <v>86.14</v>
      </c>
      <c r="H1484">
        <v>87.78</v>
      </c>
      <c r="I1484" s="2">
        <v>111256.05</v>
      </c>
      <c r="J1484" s="2">
        <v>120848.8</v>
      </c>
      <c r="K1484" s="2">
        <f>Table1[[#This Row],[Salary_after]]-Table1[[#This Row],[Salary_before]]</f>
        <v>9592.75</v>
      </c>
      <c r="L1484" s="11">
        <v>8.6199999999999999E-2</v>
      </c>
      <c r="M1484" s="11">
        <v>0.15509999999999999</v>
      </c>
      <c r="N1484">
        <v>51.45</v>
      </c>
      <c r="O1484">
        <v>27.44</v>
      </c>
      <c r="P1484">
        <v>3</v>
      </c>
      <c r="Q1484" t="s">
        <v>37</v>
      </c>
      <c r="R1484">
        <v>80.13</v>
      </c>
      <c r="S1484">
        <v>8.6199999999999992</v>
      </c>
      <c r="T1484" s="4">
        <v>57.911999999999999</v>
      </c>
      <c r="U1484" s="4">
        <v>19.888511999999999</v>
      </c>
      <c r="V1484" t="str">
        <f>IF(Table1[[#This Row],[ai_disruption_intensity]]&gt;70,"High",
IF(Table1[[#This Row],[ai_disruption_intensity]]&gt;40,"Medium","Low"))</f>
        <v>Low</v>
      </c>
      <c r="W1484" t="str">
        <f>IF(Table1[[#This Row],[skill_gap_index]]&gt;70,"Large Gap",
IF(Table1[[#This Row],[skill_gap_index]]&gt;40,"Medium Gap","Small Gap"))</f>
        <v>Large Gap</v>
      </c>
      <c r="X1484" s="3" t="str">
        <f>IF(Table1[[#This Row],[automation_risk_percent]]&gt;0.7,"Highly Automatable",
IF(Table1[[#This Row],[automation_risk_percent]]&gt;0.4,"Moderate Risk","Safe Job"))</f>
        <v>Highly Automatable</v>
      </c>
    </row>
    <row r="1485" spans="1:24" x14ac:dyDescent="0.3">
      <c r="A1485">
        <v>5340</v>
      </c>
      <c r="B1485" t="s">
        <v>45</v>
      </c>
      <c r="C1485" t="s">
        <v>34</v>
      </c>
      <c r="D1485" t="s">
        <v>47</v>
      </c>
      <c r="E1485" s="1">
        <v>2026</v>
      </c>
      <c r="F1485" s="11">
        <v>0.31629999999999997</v>
      </c>
      <c r="G1485">
        <v>28.46</v>
      </c>
      <c r="H1485">
        <v>19.25</v>
      </c>
      <c r="I1485" s="2">
        <v>100251.67</v>
      </c>
      <c r="J1485" s="2">
        <v>103635.39</v>
      </c>
      <c r="K1485" s="2">
        <f>Table1[[#This Row],[Salary_after]]-Table1[[#This Row],[Salary_before]]</f>
        <v>3383.7200000000012</v>
      </c>
      <c r="L1485" s="11">
        <v>3.3799999999999997E-2</v>
      </c>
      <c r="M1485" s="11">
        <v>7.6399999999999996E-2</v>
      </c>
      <c r="N1485">
        <v>48.57</v>
      </c>
      <c r="O1485">
        <v>37.29</v>
      </c>
      <c r="P1485">
        <v>4</v>
      </c>
      <c r="Q1485" t="s">
        <v>25</v>
      </c>
      <c r="R1485">
        <v>25.439999999999898</v>
      </c>
      <c r="S1485">
        <v>3.38</v>
      </c>
      <c r="T1485" s="4">
        <v>19.440999999999999</v>
      </c>
      <c r="U1485" s="4">
        <v>11.794827</v>
      </c>
      <c r="V1485" t="str">
        <f>IF(Table1[[#This Row],[ai_disruption_intensity]]&gt;70,"High",
IF(Table1[[#This Row],[ai_disruption_intensity]]&gt;40,"Medium","Low"))</f>
        <v>Low</v>
      </c>
      <c r="W1485" t="str">
        <f>IF(Table1[[#This Row],[skill_gap_index]]&gt;70,"Large Gap",
IF(Table1[[#This Row],[skill_gap_index]]&gt;40,"Medium Gap","Small Gap"))</f>
        <v>Small Gap</v>
      </c>
      <c r="X1485" s="3" t="str">
        <f>IF(Table1[[#This Row],[automation_risk_percent]]&gt;0.7,"Highly Automatable",
IF(Table1[[#This Row],[automation_risk_percent]]&gt;0.4,"Moderate Risk","Safe Job"))</f>
        <v>Safe Job</v>
      </c>
    </row>
    <row r="1486" spans="1:24" x14ac:dyDescent="0.3">
      <c r="A1486">
        <v>5344</v>
      </c>
      <c r="B1486" t="s">
        <v>46</v>
      </c>
      <c r="C1486" t="s">
        <v>27</v>
      </c>
      <c r="D1486" t="s">
        <v>20</v>
      </c>
      <c r="E1486" s="1">
        <v>2026</v>
      </c>
      <c r="F1486" s="11">
        <v>0.45140000000000002</v>
      </c>
      <c r="G1486">
        <v>49.94</v>
      </c>
      <c r="H1486">
        <v>80.45</v>
      </c>
      <c r="I1486" s="2">
        <v>112740.03</v>
      </c>
      <c r="J1486" s="2">
        <v>122133.08</v>
      </c>
      <c r="K1486" s="2">
        <f>Table1[[#This Row],[Salary_after]]-Table1[[#This Row],[Salary_before]]</f>
        <v>9393.0500000000029</v>
      </c>
      <c r="L1486" s="11">
        <v>8.3299999999999999E-2</v>
      </c>
      <c r="M1486" s="11">
        <v>0.15640000000000001</v>
      </c>
      <c r="N1486">
        <v>59.54</v>
      </c>
      <c r="O1486">
        <v>56.65</v>
      </c>
      <c r="P1486">
        <v>3</v>
      </c>
      <c r="Q1486" t="s">
        <v>25</v>
      </c>
      <c r="R1486">
        <v>62.795000000000002</v>
      </c>
      <c r="S1486">
        <v>8.33</v>
      </c>
      <c r="T1486" s="4">
        <v>44.69</v>
      </c>
      <c r="U1486" s="4">
        <v>25.571809999999999</v>
      </c>
      <c r="V1486" t="str">
        <f>IF(Table1[[#This Row],[ai_disruption_intensity]]&gt;70,"High",
IF(Table1[[#This Row],[ai_disruption_intensity]]&gt;40,"Medium","Low"))</f>
        <v>Low</v>
      </c>
      <c r="W1486" t="str">
        <f>IF(Table1[[#This Row],[skill_gap_index]]&gt;70,"Large Gap",
IF(Table1[[#This Row],[skill_gap_index]]&gt;40,"Medium Gap","Small Gap"))</f>
        <v>Large Gap</v>
      </c>
      <c r="X1486" s="3" t="str">
        <f>IF(Table1[[#This Row],[automation_risk_percent]]&gt;0.7,"Highly Automatable",
IF(Table1[[#This Row],[automation_risk_percent]]&gt;0.4,"Moderate Risk","Safe Job"))</f>
        <v>Moderate Risk</v>
      </c>
    </row>
    <row r="1487" spans="1:24" x14ac:dyDescent="0.3">
      <c r="A1487">
        <v>5346</v>
      </c>
      <c r="B1487" t="s">
        <v>26</v>
      </c>
      <c r="C1487" t="s">
        <v>34</v>
      </c>
      <c r="D1487" t="s">
        <v>35</v>
      </c>
      <c r="E1487" s="1">
        <v>2025</v>
      </c>
      <c r="F1487" s="11">
        <v>0.43340000000000001</v>
      </c>
      <c r="G1487">
        <v>44.51</v>
      </c>
      <c r="H1487">
        <v>48.98</v>
      </c>
      <c r="I1487" s="2">
        <v>54596.57</v>
      </c>
      <c r="J1487" s="2">
        <v>48785.24</v>
      </c>
      <c r="K1487" s="2">
        <f>Table1[[#This Row],[Salary_after]]-Table1[[#This Row],[Salary_before]]</f>
        <v>-5811.3300000000017</v>
      </c>
      <c r="L1487" s="11">
        <v>-0.10640000000000001</v>
      </c>
      <c r="M1487" s="11">
        <v>-0.12279999999999999</v>
      </c>
      <c r="N1487">
        <v>95.01</v>
      </c>
      <c r="O1487">
        <v>42.56</v>
      </c>
      <c r="P1487">
        <v>5</v>
      </c>
      <c r="Q1487" t="s">
        <v>25</v>
      </c>
      <c r="R1487">
        <v>46.16</v>
      </c>
      <c r="S1487">
        <v>10.64</v>
      </c>
      <c r="T1487" s="4">
        <v>35.222000000000001</v>
      </c>
      <c r="U1487" s="4">
        <v>18.445504</v>
      </c>
      <c r="V1487" t="str">
        <f>IF(Table1[[#This Row],[ai_disruption_intensity]]&gt;70,"High",
IF(Table1[[#This Row],[ai_disruption_intensity]]&gt;40,"Medium","Low"))</f>
        <v>Low</v>
      </c>
      <c r="W1487" t="str">
        <f>IF(Table1[[#This Row],[skill_gap_index]]&gt;70,"Large Gap",
IF(Table1[[#This Row],[skill_gap_index]]&gt;40,"Medium Gap","Small Gap"))</f>
        <v>Medium Gap</v>
      </c>
      <c r="X1487" s="3" t="str">
        <f>IF(Table1[[#This Row],[automation_risk_percent]]&gt;0.7,"Highly Automatable",
IF(Table1[[#This Row],[automation_risk_percent]]&gt;0.4,"Moderate Risk","Safe Job"))</f>
        <v>Moderate Risk</v>
      </c>
    </row>
    <row r="1488" spans="1:24" x14ac:dyDescent="0.3">
      <c r="A1488">
        <v>5347</v>
      </c>
      <c r="B1488" t="s">
        <v>46</v>
      </c>
      <c r="C1488" t="s">
        <v>38</v>
      </c>
      <c r="D1488" t="s">
        <v>31</v>
      </c>
      <c r="E1488" s="1">
        <v>2026</v>
      </c>
      <c r="F1488" s="11">
        <v>0.4103</v>
      </c>
      <c r="G1488">
        <v>47.97</v>
      </c>
      <c r="H1488">
        <v>51.84</v>
      </c>
      <c r="I1488" s="2">
        <v>60173.97</v>
      </c>
      <c r="J1488" s="2">
        <v>51192.72</v>
      </c>
      <c r="K1488" s="2">
        <f>Table1[[#This Row],[Salary_after]]-Table1[[#This Row],[Salary_before]]</f>
        <v>-8981.25</v>
      </c>
      <c r="L1488" s="11">
        <v>-0.14929999999999999</v>
      </c>
      <c r="M1488" s="11">
        <v>-9.2699999999999991E-2</v>
      </c>
      <c r="N1488">
        <v>74.319999999999993</v>
      </c>
      <c r="O1488">
        <v>29.61</v>
      </c>
      <c r="P1488">
        <v>5</v>
      </c>
      <c r="Q1488" t="s">
        <v>25</v>
      </c>
      <c r="R1488">
        <v>46.435000000000002</v>
      </c>
      <c r="S1488">
        <v>14.93</v>
      </c>
      <c r="T1488" s="4">
        <v>36.442999999999998</v>
      </c>
      <c r="U1488" s="4">
        <v>12.148982999999999</v>
      </c>
      <c r="V1488" t="str">
        <f>IF(Table1[[#This Row],[ai_disruption_intensity]]&gt;70,"High",
IF(Table1[[#This Row],[ai_disruption_intensity]]&gt;40,"Medium","Low"))</f>
        <v>Low</v>
      </c>
      <c r="W1488" t="str">
        <f>IF(Table1[[#This Row],[skill_gap_index]]&gt;70,"Large Gap",
IF(Table1[[#This Row],[skill_gap_index]]&gt;40,"Medium Gap","Small Gap"))</f>
        <v>Medium Gap</v>
      </c>
      <c r="X1488" s="3" t="str">
        <f>IF(Table1[[#This Row],[automation_risk_percent]]&gt;0.7,"Highly Automatable",
IF(Table1[[#This Row],[automation_risk_percent]]&gt;0.4,"Moderate Risk","Safe Job"))</f>
        <v>Moderate Risk</v>
      </c>
    </row>
    <row r="1489" spans="1:24" x14ac:dyDescent="0.3">
      <c r="A1489">
        <v>5352</v>
      </c>
      <c r="B1489" t="s">
        <v>41</v>
      </c>
      <c r="C1489" t="s">
        <v>34</v>
      </c>
      <c r="D1489" t="s">
        <v>47</v>
      </c>
      <c r="E1489" s="1">
        <v>2026</v>
      </c>
      <c r="F1489" s="11">
        <v>0.33610000000000001</v>
      </c>
      <c r="G1489">
        <v>39.380000000000003</v>
      </c>
      <c r="H1489">
        <v>48.96</v>
      </c>
      <c r="I1489" s="2">
        <v>77581.08</v>
      </c>
      <c r="J1489" s="2">
        <v>70433.39</v>
      </c>
      <c r="K1489" s="2">
        <f>Table1[[#This Row],[Salary_after]]-Table1[[#This Row],[Salary_before]]</f>
        <v>-7147.6900000000023</v>
      </c>
      <c r="L1489" s="11">
        <v>-9.2100000000000015E-2</v>
      </c>
      <c r="M1489" s="11">
        <v>6.8199999999999997E-2</v>
      </c>
      <c r="N1489">
        <v>37.83</v>
      </c>
      <c r="O1489">
        <v>63.79</v>
      </c>
      <c r="P1489">
        <v>4</v>
      </c>
      <c r="Q1489" t="s">
        <v>25</v>
      </c>
      <c r="R1489">
        <v>41.284999999999997</v>
      </c>
      <c r="S1489">
        <v>9.2100000000000009</v>
      </c>
      <c r="T1489" s="4">
        <v>30.895</v>
      </c>
      <c r="U1489" s="4">
        <v>21.4398189999999</v>
      </c>
      <c r="V1489" t="str">
        <f>IF(Table1[[#This Row],[ai_disruption_intensity]]&gt;70,"High",
IF(Table1[[#This Row],[ai_disruption_intensity]]&gt;40,"Medium","Low"))</f>
        <v>Low</v>
      </c>
      <c r="W1489" t="str">
        <f>IF(Table1[[#This Row],[skill_gap_index]]&gt;70,"Large Gap",
IF(Table1[[#This Row],[skill_gap_index]]&gt;40,"Medium Gap","Small Gap"))</f>
        <v>Medium Gap</v>
      </c>
      <c r="X1489" s="3" t="str">
        <f>IF(Table1[[#This Row],[automation_risk_percent]]&gt;0.7,"Highly Automatable",
IF(Table1[[#This Row],[automation_risk_percent]]&gt;0.4,"Moderate Risk","Safe Job"))</f>
        <v>Safe Job</v>
      </c>
    </row>
    <row r="1490" spans="1:24" x14ac:dyDescent="0.3">
      <c r="A1490">
        <v>5356</v>
      </c>
      <c r="B1490" t="s">
        <v>43</v>
      </c>
      <c r="C1490" t="s">
        <v>33</v>
      </c>
      <c r="D1490" t="s">
        <v>32</v>
      </c>
      <c r="E1490" s="1">
        <v>2025</v>
      </c>
      <c r="F1490" s="11">
        <v>0.72189999999999999</v>
      </c>
      <c r="G1490">
        <v>81.93</v>
      </c>
      <c r="H1490">
        <v>48.45</v>
      </c>
      <c r="I1490" s="2">
        <v>40074.19</v>
      </c>
      <c r="J1490" s="2">
        <v>35597.9</v>
      </c>
      <c r="K1490" s="2">
        <f>Table1[[#This Row],[Salary_after]]-Table1[[#This Row],[Salary_before]]</f>
        <v>-4476.2900000000009</v>
      </c>
      <c r="L1490" s="11">
        <v>-0.11169999999999999</v>
      </c>
      <c r="M1490" s="11">
        <v>-0.13970000000000002</v>
      </c>
      <c r="N1490">
        <v>96.42</v>
      </c>
      <c r="O1490">
        <v>56.55</v>
      </c>
      <c r="P1490">
        <v>5</v>
      </c>
      <c r="Q1490" t="s">
        <v>37</v>
      </c>
      <c r="R1490">
        <v>60.32</v>
      </c>
      <c r="S1490">
        <v>11.17</v>
      </c>
      <c r="T1490" s="4">
        <v>46.762</v>
      </c>
      <c r="U1490" s="4">
        <v>40.823445</v>
      </c>
      <c r="V1490" t="str">
        <f>IF(Table1[[#This Row],[ai_disruption_intensity]]&gt;70,"High",
IF(Table1[[#This Row],[ai_disruption_intensity]]&gt;40,"Medium","Low"))</f>
        <v>Medium</v>
      </c>
      <c r="W1490" t="str">
        <f>IF(Table1[[#This Row],[skill_gap_index]]&gt;70,"Large Gap",
IF(Table1[[#This Row],[skill_gap_index]]&gt;40,"Medium Gap","Small Gap"))</f>
        <v>Medium Gap</v>
      </c>
      <c r="X1490" s="3" t="str">
        <f>IF(Table1[[#This Row],[automation_risk_percent]]&gt;0.7,"Highly Automatable",
IF(Table1[[#This Row],[automation_risk_percent]]&gt;0.4,"Moderate Risk","Safe Job"))</f>
        <v>Highly Automatable</v>
      </c>
    </row>
    <row r="1491" spans="1:24" x14ac:dyDescent="0.3">
      <c r="A1491">
        <v>5357</v>
      </c>
      <c r="B1491" t="s">
        <v>22</v>
      </c>
      <c r="C1491" t="s">
        <v>19</v>
      </c>
      <c r="D1491" t="s">
        <v>32</v>
      </c>
      <c r="E1491" s="1">
        <v>2025</v>
      </c>
      <c r="F1491" s="11">
        <v>0.54859999999999998</v>
      </c>
      <c r="G1491">
        <v>61.05</v>
      </c>
      <c r="H1491">
        <v>56.82</v>
      </c>
      <c r="I1491" s="2">
        <v>101818.15</v>
      </c>
      <c r="J1491" s="2">
        <v>109333.13</v>
      </c>
      <c r="K1491" s="2">
        <f>Table1[[#This Row],[Salary_after]]-Table1[[#This Row],[Salary_before]]</f>
        <v>7514.9800000000105</v>
      </c>
      <c r="L1491" s="11">
        <v>7.3800000000000004E-2</v>
      </c>
      <c r="M1491" s="11">
        <v>9.69E-2</v>
      </c>
      <c r="N1491">
        <v>47.08</v>
      </c>
      <c r="O1491">
        <v>54.89</v>
      </c>
      <c r="P1491">
        <v>1</v>
      </c>
      <c r="Q1491" t="s">
        <v>25</v>
      </c>
      <c r="R1491">
        <v>55.84</v>
      </c>
      <c r="S1491">
        <v>7.38</v>
      </c>
      <c r="T1491" s="4">
        <v>41.204000000000001</v>
      </c>
      <c r="U1491" s="4">
        <v>30.112653999999999</v>
      </c>
      <c r="V1491" t="str">
        <f>IF(Table1[[#This Row],[ai_disruption_intensity]]&gt;70,"High",
IF(Table1[[#This Row],[ai_disruption_intensity]]&gt;40,"Medium","Low"))</f>
        <v>Low</v>
      </c>
      <c r="W1491" t="str">
        <f>IF(Table1[[#This Row],[skill_gap_index]]&gt;70,"Large Gap",
IF(Table1[[#This Row],[skill_gap_index]]&gt;40,"Medium Gap","Small Gap"))</f>
        <v>Medium Gap</v>
      </c>
      <c r="X1491" s="3" t="str">
        <f>IF(Table1[[#This Row],[automation_risk_percent]]&gt;0.7,"Highly Automatable",
IF(Table1[[#This Row],[automation_risk_percent]]&gt;0.4,"Moderate Risk","Safe Job"))</f>
        <v>Moderate Risk</v>
      </c>
    </row>
    <row r="1492" spans="1:24" x14ac:dyDescent="0.3">
      <c r="A1492">
        <v>5360</v>
      </c>
      <c r="B1492" t="s">
        <v>46</v>
      </c>
      <c r="C1492" t="s">
        <v>40</v>
      </c>
      <c r="D1492" t="s">
        <v>24</v>
      </c>
      <c r="E1492" s="1">
        <v>2026</v>
      </c>
      <c r="F1492" s="11">
        <v>0.42979999999999996</v>
      </c>
      <c r="G1492">
        <v>44.81</v>
      </c>
      <c r="H1492">
        <v>55.93</v>
      </c>
      <c r="I1492" s="2">
        <v>128715.09</v>
      </c>
      <c r="J1492" s="2">
        <v>124361.87</v>
      </c>
      <c r="K1492" s="2">
        <f>Table1[[#This Row],[Salary_after]]-Table1[[#This Row],[Salary_before]]</f>
        <v>-4353.2200000000012</v>
      </c>
      <c r="L1492" s="11">
        <v>-3.3799999999999997E-2</v>
      </c>
      <c r="M1492" s="11">
        <v>0.17760000000000001</v>
      </c>
      <c r="N1492">
        <v>67.23</v>
      </c>
      <c r="O1492">
        <v>10.28</v>
      </c>
      <c r="P1492">
        <v>3</v>
      </c>
      <c r="Q1492" t="s">
        <v>25</v>
      </c>
      <c r="R1492">
        <v>49.454999999999998</v>
      </c>
      <c r="S1492">
        <v>3.38</v>
      </c>
      <c r="T1492" s="4">
        <v>34.984999999999999</v>
      </c>
      <c r="U1492" s="4">
        <v>4.4183439999999896</v>
      </c>
      <c r="V1492" t="str">
        <f>IF(Table1[[#This Row],[ai_disruption_intensity]]&gt;70,"High",
IF(Table1[[#This Row],[ai_disruption_intensity]]&gt;40,"Medium","Low"))</f>
        <v>Low</v>
      </c>
      <c r="W1492" t="str">
        <f>IF(Table1[[#This Row],[skill_gap_index]]&gt;70,"Large Gap",
IF(Table1[[#This Row],[skill_gap_index]]&gt;40,"Medium Gap","Small Gap"))</f>
        <v>Medium Gap</v>
      </c>
      <c r="X1492" s="3" t="str">
        <f>IF(Table1[[#This Row],[automation_risk_percent]]&gt;0.7,"Highly Automatable",
IF(Table1[[#This Row],[automation_risk_percent]]&gt;0.4,"Moderate Risk","Safe Job"))</f>
        <v>Moderate Risk</v>
      </c>
    </row>
    <row r="1493" spans="1:24" x14ac:dyDescent="0.3">
      <c r="A1493">
        <v>5366</v>
      </c>
      <c r="B1493" t="s">
        <v>45</v>
      </c>
      <c r="C1493" t="s">
        <v>27</v>
      </c>
      <c r="D1493" t="s">
        <v>47</v>
      </c>
      <c r="E1493" s="1">
        <v>2026</v>
      </c>
      <c r="F1493" s="11">
        <v>0.245</v>
      </c>
      <c r="G1493">
        <v>22.91</v>
      </c>
      <c r="H1493">
        <v>6.32</v>
      </c>
      <c r="I1493" s="2">
        <v>134811.92000000001</v>
      </c>
      <c r="J1493" s="2">
        <v>137420.35</v>
      </c>
      <c r="K1493" s="2">
        <f>Table1[[#This Row],[Salary_after]]-Table1[[#This Row],[Salary_before]]</f>
        <v>2608.429999999993</v>
      </c>
      <c r="L1493" s="11">
        <v>1.9299999999999998E-2</v>
      </c>
      <c r="M1493" s="11">
        <v>0.11230000000000001</v>
      </c>
      <c r="N1493">
        <v>78.790000000000006</v>
      </c>
      <c r="O1493">
        <v>66.87</v>
      </c>
      <c r="P1493">
        <v>5</v>
      </c>
      <c r="Q1493" t="s">
        <v>21</v>
      </c>
      <c r="R1493">
        <v>15.41</v>
      </c>
      <c r="S1493">
        <v>1.93</v>
      </c>
      <c r="T1493" s="4">
        <v>12.275</v>
      </c>
      <c r="U1493" s="4">
        <v>16.383150000000001</v>
      </c>
      <c r="V1493" t="str">
        <f>IF(Table1[[#This Row],[ai_disruption_intensity]]&gt;70,"High",
IF(Table1[[#This Row],[ai_disruption_intensity]]&gt;40,"Medium","Low"))</f>
        <v>Low</v>
      </c>
      <c r="W1493" t="str">
        <f>IF(Table1[[#This Row],[skill_gap_index]]&gt;70,"Large Gap",
IF(Table1[[#This Row],[skill_gap_index]]&gt;40,"Medium Gap","Small Gap"))</f>
        <v>Small Gap</v>
      </c>
      <c r="X1493" s="3" t="str">
        <f>IF(Table1[[#This Row],[automation_risk_percent]]&gt;0.7,"Highly Automatable",
IF(Table1[[#This Row],[automation_risk_percent]]&gt;0.4,"Moderate Risk","Safe Job"))</f>
        <v>Safe Job</v>
      </c>
    </row>
    <row r="1494" spans="1:24" x14ac:dyDescent="0.3">
      <c r="A1494">
        <v>5371</v>
      </c>
      <c r="B1494" t="s">
        <v>22</v>
      </c>
      <c r="C1494" t="s">
        <v>34</v>
      </c>
      <c r="D1494" t="s">
        <v>31</v>
      </c>
      <c r="E1494" s="1">
        <v>2026</v>
      </c>
      <c r="F1494" s="11">
        <v>0.47520000000000001</v>
      </c>
      <c r="G1494">
        <v>46.17</v>
      </c>
      <c r="H1494">
        <v>11.07</v>
      </c>
      <c r="I1494" s="2">
        <v>120596.09</v>
      </c>
      <c r="J1494" s="2">
        <v>109859.52</v>
      </c>
      <c r="K1494" s="2">
        <f>Table1[[#This Row],[Salary_after]]-Table1[[#This Row],[Salary_before]]</f>
        <v>-10736.569999999992</v>
      </c>
      <c r="L1494" s="11">
        <v>-8.900000000000001E-2</v>
      </c>
      <c r="M1494" s="11">
        <v>0.20989999999999998</v>
      </c>
      <c r="N1494">
        <v>44.27</v>
      </c>
      <c r="O1494">
        <v>15.59</v>
      </c>
      <c r="P1494">
        <v>4</v>
      </c>
      <c r="Q1494" t="s">
        <v>25</v>
      </c>
      <c r="R1494">
        <v>29.295000000000002</v>
      </c>
      <c r="S1494">
        <v>8.9</v>
      </c>
      <c r="T1494" s="4">
        <v>24.998999999999999</v>
      </c>
      <c r="U1494" s="4">
        <v>7.4083680000000003</v>
      </c>
      <c r="V1494" t="str">
        <f>IF(Table1[[#This Row],[ai_disruption_intensity]]&gt;70,"High",
IF(Table1[[#This Row],[ai_disruption_intensity]]&gt;40,"Medium","Low"))</f>
        <v>Low</v>
      </c>
      <c r="W1494" t="str">
        <f>IF(Table1[[#This Row],[skill_gap_index]]&gt;70,"Large Gap",
IF(Table1[[#This Row],[skill_gap_index]]&gt;40,"Medium Gap","Small Gap"))</f>
        <v>Small Gap</v>
      </c>
      <c r="X1494" s="3" t="str">
        <f>IF(Table1[[#This Row],[automation_risk_percent]]&gt;0.7,"Highly Automatable",
IF(Table1[[#This Row],[automation_risk_percent]]&gt;0.4,"Moderate Risk","Safe Job"))</f>
        <v>Moderate Risk</v>
      </c>
    </row>
    <row r="1495" spans="1:24" x14ac:dyDescent="0.3">
      <c r="A1495">
        <v>5382</v>
      </c>
      <c r="B1495" t="s">
        <v>45</v>
      </c>
      <c r="C1495" t="s">
        <v>40</v>
      </c>
      <c r="D1495" t="s">
        <v>20</v>
      </c>
      <c r="E1495" s="1">
        <v>2025</v>
      </c>
      <c r="F1495" s="11">
        <v>0.3407</v>
      </c>
      <c r="G1495">
        <v>36.03</v>
      </c>
      <c r="H1495">
        <v>16.57</v>
      </c>
      <c r="I1495" s="2">
        <v>97050.66</v>
      </c>
      <c r="J1495" s="2">
        <v>88955.83</v>
      </c>
      <c r="K1495" s="2">
        <f>Table1[[#This Row],[Salary_after]]-Table1[[#This Row],[Salary_before]]</f>
        <v>-8094.8300000000017</v>
      </c>
      <c r="L1495" s="11">
        <v>-8.3400000000000002E-2</v>
      </c>
      <c r="M1495" s="11">
        <v>-1.2999999999999999E-3</v>
      </c>
      <c r="N1495">
        <v>65.73</v>
      </c>
      <c r="O1495">
        <v>63.86</v>
      </c>
      <c r="P1495">
        <v>5</v>
      </c>
      <c r="Q1495" t="s">
        <v>25</v>
      </c>
      <c r="R1495">
        <v>25.32</v>
      </c>
      <c r="S1495">
        <v>8.34</v>
      </c>
      <c r="T1495" s="4">
        <v>21.100999999999999</v>
      </c>
      <c r="U1495" s="4">
        <v>21.757102</v>
      </c>
      <c r="V1495" t="str">
        <f>IF(Table1[[#This Row],[ai_disruption_intensity]]&gt;70,"High",
IF(Table1[[#This Row],[ai_disruption_intensity]]&gt;40,"Medium","Low"))</f>
        <v>Low</v>
      </c>
      <c r="W1495" t="str">
        <f>IF(Table1[[#This Row],[skill_gap_index]]&gt;70,"Large Gap",
IF(Table1[[#This Row],[skill_gap_index]]&gt;40,"Medium Gap","Small Gap"))</f>
        <v>Small Gap</v>
      </c>
      <c r="X1495" s="3" t="str">
        <f>IF(Table1[[#This Row],[automation_risk_percent]]&gt;0.7,"Highly Automatable",
IF(Table1[[#This Row],[automation_risk_percent]]&gt;0.4,"Moderate Risk","Safe Job"))</f>
        <v>Safe Job</v>
      </c>
    </row>
    <row r="1496" spans="1:24" x14ac:dyDescent="0.3">
      <c r="A1496">
        <v>5386</v>
      </c>
      <c r="B1496" t="s">
        <v>26</v>
      </c>
      <c r="C1496" t="s">
        <v>33</v>
      </c>
      <c r="D1496" t="s">
        <v>42</v>
      </c>
      <c r="E1496" s="1">
        <v>2025</v>
      </c>
      <c r="F1496" s="11">
        <v>8.0299999999999996E-2</v>
      </c>
      <c r="G1496">
        <v>6.72</v>
      </c>
      <c r="H1496">
        <v>90.21</v>
      </c>
      <c r="I1496" s="2">
        <v>119416.75</v>
      </c>
      <c r="J1496" s="2">
        <v>107193.60000000001</v>
      </c>
      <c r="K1496" s="2">
        <f>Table1[[#This Row],[Salary_after]]-Table1[[#This Row],[Salary_before]]</f>
        <v>-12223.149999999994</v>
      </c>
      <c r="L1496" s="11">
        <v>-0.1024</v>
      </c>
      <c r="M1496" s="11">
        <v>0.19600000000000001</v>
      </c>
      <c r="N1496">
        <v>75.180000000000007</v>
      </c>
      <c r="O1496">
        <v>40.450000000000003</v>
      </c>
      <c r="P1496">
        <v>2</v>
      </c>
      <c r="Q1496" t="s">
        <v>21</v>
      </c>
      <c r="R1496">
        <v>49.12</v>
      </c>
      <c r="S1496">
        <v>10.24</v>
      </c>
      <c r="T1496" s="4">
        <v>33.347000000000001</v>
      </c>
      <c r="U1496" s="4">
        <v>3.2481349999999898</v>
      </c>
      <c r="V1496" t="str">
        <f>IF(Table1[[#This Row],[ai_disruption_intensity]]&gt;70,"High",
IF(Table1[[#This Row],[ai_disruption_intensity]]&gt;40,"Medium","Low"))</f>
        <v>Low</v>
      </c>
      <c r="W1496" t="str">
        <f>IF(Table1[[#This Row],[skill_gap_index]]&gt;70,"Large Gap",
IF(Table1[[#This Row],[skill_gap_index]]&gt;40,"Medium Gap","Small Gap"))</f>
        <v>Large Gap</v>
      </c>
      <c r="X1496" s="3" t="str">
        <f>IF(Table1[[#This Row],[automation_risk_percent]]&gt;0.7,"Highly Automatable",
IF(Table1[[#This Row],[automation_risk_percent]]&gt;0.4,"Moderate Risk","Safe Job"))</f>
        <v>Safe Job</v>
      </c>
    </row>
    <row r="1497" spans="1:24" x14ac:dyDescent="0.3">
      <c r="A1497">
        <v>5392</v>
      </c>
      <c r="B1497" t="s">
        <v>46</v>
      </c>
      <c r="C1497" t="s">
        <v>27</v>
      </c>
      <c r="D1497" t="s">
        <v>20</v>
      </c>
      <c r="E1497" s="1">
        <v>2025</v>
      </c>
      <c r="F1497" s="11">
        <v>0.15240000000000001</v>
      </c>
      <c r="G1497">
        <v>16.28</v>
      </c>
      <c r="H1497">
        <v>20.440000000000001</v>
      </c>
      <c r="I1497" s="2">
        <v>88794.58</v>
      </c>
      <c r="J1497" s="2">
        <v>81104.83</v>
      </c>
      <c r="K1497" s="2">
        <f>Table1[[#This Row],[Salary_after]]-Table1[[#This Row],[Salary_before]]</f>
        <v>-7689.75</v>
      </c>
      <c r="L1497" s="11">
        <v>-8.6599999999999996E-2</v>
      </c>
      <c r="M1497" s="11">
        <v>-6.1100000000000002E-2</v>
      </c>
      <c r="N1497">
        <v>65.25</v>
      </c>
      <c r="O1497">
        <v>6.45</v>
      </c>
      <c r="P1497">
        <v>4</v>
      </c>
      <c r="Q1497" t="s">
        <v>21</v>
      </c>
      <c r="R1497">
        <v>17.84</v>
      </c>
      <c r="S1497">
        <v>8.66</v>
      </c>
      <c r="T1497" s="4">
        <v>14.826000000000001</v>
      </c>
      <c r="U1497" s="4">
        <v>0.98297999999999996</v>
      </c>
      <c r="V1497" t="str">
        <f>IF(Table1[[#This Row],[ai_disruption_intensity]]&gt;70,"High",
IF(Table1[[#This Row],[ai_disruption_intensity]]&gt;40,"Medium","Low"))</f>
        <v>Low</v>
      </c>
      <c r="W1497" t="str">
        <f>IF(Table1[[#This Row],[skill_gap_index]]&gt;70,"Large Gap",
IF(Table1[[#This Row],[skill_gap_index]]&gt;40,"Medium Gap","Small Gap"))</f>
        <v>Small Gap</v>
      </c>
      <c r="X1497" s="3" t="str">
        <f>IF(Table1[[#This Row],[automation_risk_percent]]&gt;0.7,"Highly Automatable",
IF(Table1[[#This Row],[automation_risk_percent]]&gt;0.4,"Moderate Risk","Safe Job"))</f>
        <v>Safe Job</v>
      </c>
    </row>
    <row r="1498" spans="1:24" x14ac:dyDescent="0.3">
      <c r="A1498">
        <v>5397</v>
      </c>
      <c r="B1498" t="s">
        <v>26</v>
      </c>
      <c r="C1498" t="s">
        <v>27</v>
      </c>
      <c r="D1498" t="s">
        <v>20</v>
      </c>
      <c r="E1498" s="1">
        <v>2025</v>
      </c>
      <c r="F1498" s="11">
        <v>0.69079999999999997</v>
      </c>
      <c r="G1498">
        <v>66.739999999999995</v>
      </c>
      <c r="H1498">
        <v>6.79</v>
      </c>
      <c r="I1498" s="2">
        <v>79345.440000000002</v>
      </c>
      <c r="J1498" s="2">
        <v>86650.47</v>
      </c>
      <c r="K1498" s="2">
        <f>Table1[[#This Row],[Salary_after]]-Table1[[#This Row],[Salary_before]]</f>
        <v>7305.0299999999988</v>
      </c>
      <c r="L1498" s="11">
        <v>9.2100000000000015E-2</v>
      </c>
      <c r="M1498" s="11">
        <v>-0.1152</v>
      </c>
      <c r="N1498">
        <v>30.35</v>
      </c>
      <c r="O1498">
        <v>3.6</v>
      </c>
      <c r="P1498">
        <v>4</v>
      </c>
      <c r="Q1498" t="s">
        <v>37</v>
      </c>
      <c r="R1498">
        <v>37.935000000000002</v>
      </c>
      <c r="S1498">
        <v>9.2100000000000009</v>
      </c>
      <c r="T1498" s="4">
        <v>32.432000000000002</v>
      </c>
      <c r="U1498" s="4">
        <v>2.48687999999999</v>
      </c>
      <c r="V1498" t="str">
        <f>IF(Table1[[#This Row],[ai_disruption_intensity]]&gt;70,"High",
IF(Table1[[#This Row],[ai_disruption_intensity]]&gt;40,"Medium","Low"))</f>
        <v>Low</v>
      </c>
      <c r="W1498" t="str">
        <f>IF(Table1[[#This Row],[skill_gap_index]]&gt;70,"Large Gap",
IF(Table1[[#This Row],[skill_gap_index]]&gt;40,"Medium Gap","Small Gap"))</f>
        <v>Small Gap</v>
      </c>
      <c r="X1498" s="3" t="str">
        <f>IF(Table1[[#This Row],[automation_risk_percent]]&gt;0.7,"Highly Automatable",
IF(Table1[[#This Row],[automation_risk_percent]]&gt;0.4,"Moderate Risk","Safe Job"))</f>
        <v>Moderate Risk</v>
      </c>
    </row>
    <row r="1499" spans="1:24" x14ac:dyDescent="0.3">
      <c r="A1499">
        <v>5398</v>
      </c>
      <c r="B1499" t="s">
        <v>46</v>
      </c>
      <c r="C1499" t="s">
        <v>38</v>
      </c>
      <c r="D1499" t="s">
        <v>36</v>
      </c>
      <c r="E1499" s="1">
        <v>2025</v>
      </c>
      <c r="F1499" s="11">
        <v>6.7099999999999993E-2</v>
      </c>
      <c r="G1499">
        <v>6.13</v>
      </c>
      <c r="H1499">
        <v>34.83</v>
      </c>
      <c r="I1499" s="2">
        <v>130134.06</v>
      </c>
      <c r="J1499" s="2">
        <v>135829.56</v>
      </c>
      <c r="K1499" s="2">
        <f>Table1[[#This Row],[Salary_after]]-Table1[[#This Row],[Salary_before]]</f>
        <v>5695.5</v>
      </c>
      <c r="L1499" s="11">
        <v>4.3799999999999999E-2</v>
      </c>
      <c r="M1499" s="11">
        <v>8.3299999999999999E-2</v>
      </c>
      <c r="N1499">
        <v>54.31</v>
      </c>
      <c r="O1499">
        <v>28.49</v>
      </c>
      <c r="P1499">
        <v>5</v>
      </c>
      <c r="Q1499" t="s">
        <v>21</v>
      </c>
      <c r="R1499">
        <v>20.77</v>
      </c>
      <c r="S1499">
        <v>4.38</v>
      </c>
      <c r="T1499" s="4">
        <v>14.446999999999999</v>
      </c>
      <c r="U1499" s="4">
        <v>1.9116789999999899</v>
      </c>
      <c r="V1499" t="str">
        <f>IF(Table1[[#This Row],[ai_disruption_intensity]]&gt;70,"High",
IF(Table1[[#This Row],[ai_disruption_intensity]]&gt;40,"Medium","Low"))</f>
        <v>Low</v>
      </c>
      <c r="W1499" t="str">
        <f>IF(Table1[[#This Row],[skill_gap_index]]&gt;70,"Large Gap",
IF(Table1[[#This Row],[skill_gap_index]]&gt;40,"Medium Gap","Small Gap"))</f>
        <v>Small Gap</v>
      </c>
      <c r="X1499" s="3" t="str">
        <f>IF(Table1[[#This Row],[automation_risk_percent]]&gt;0.7,"Highly Automatable",
IF(Table1[[#This Row],[automation_risk_percent]]&gt;0.4,"Moderate Risk","Safe Job"))</f>
        <v>Safe Job</v>
      </c>
    </row>
    <row r="1500" spans="1:24" x14ac:dyDescent="0.3">
      <c r="A1500">
        <v>5400</v>
      </c>
      <c r="B1500" t="s">
        <v>44</v>
      </c>
      <c r="C1500" t="s">
        <v>34</v>
      </c>
      <c r="D1500" t="s">
        <v>42</v>
      </c>
      <c r="E1500" s="1">
        <v>2026</v>
      </c>
      <c r="F1500" s="11">
        <v>0.63350000000000006</v>
      </c>
      <c r="G1500">
        <v>59.26</v>
      </c>
      <c r="H1500">
        <v>1.93</v>
      </c>
      <c r="I1500" s="2">
        <v>106715.01</v>
      </c>
      <c r="J1500" s="2">
        <v>104785.94</v>
      </c>
      <c r="K1500" s="2">
        <f>Table1[[#This Row],[Salary_after]]-Table1[[#This Row],[Salary_before]]</f>
        <v>-1929.0699999999924</v>
      </c>
      <c r="L1500" s="11">
        <v>-1.8100000000000002E-2</v>
      </c>
      <c r="M1500" s="11">
        <v>-2.7000000000000003E-2</v>
      </c>
      <c r="N1500">
        <v>19.829999999999998</v>
      </c>
      <c r="O1500">
        <v>91.22</v>
      </c>
      <c r="P1500">
        <v>2</v>
      </c>
      <c r="Q1500" t="s">
        <v>37</v>
      </c>
      <c r="R1500">
        <v>32.64</v>
      </c>
      <c r="S1500">
        <v>1.81</v>
      </c>
      <c r="T1500" s="4">
        <v>26.462</v>
      </c>
      <c r="U1500" s="4">
        <v>57.787869999999998</v>
      </c>
      <c r="V1500" t="str">
        <f>IF(Table1[[#This Row],[ai_disruption_intensity]]&gt;70,"High",
IF(Table1[[#This Row],[ai_disruption_intensity]]&gt;40,"Medium","Low"))</f>
        <v>Medium</v>
      </c>
      <c r="W1500" t="str">
        <f>IF(Table1[[#This Row],[skill_gap_index]]&gt;70,"Large Gap",
IF(Table1[[#This Row],[skill_gap_index]]&gt;40,"Medium Gap","Small Gap"))</f>
        <v>Small Gap</v>
      </c>
      <c r="X1500" s="3" t="str">
        <f>IF(Table1[[#This Row],[automation_risk_percent]]&gt;0.7,"Highly Automatable",
IF(Table1[[#This Row],[automation_risk_percent]]&gt;0.4,"Moderate Risk","Safe Job"))</f>
        <v>Moderate Risk</v>
      </c>
    </row>
    <row r="1501" spans="1:24" x14ac:dyDescent="0.3">
      <c r="A1501">
        <v>5402</v>
      </c>
      <c r="B1501" t="s">
        <v>29</v>
      </c>
      <c r="C1501" t="s">
        <v>34</v>
      </c>
      <c r="D1501" t="s">
        <v>35</v>
      </c>
      <c r="E1501" s="1">
        <v>2025</v>
      </c>
      <c r="F1501" s="11">
        <v>0.68359999999999999</v>
      </c>
      <c r="G1501">
        <v>76.459999999999994</v>
      </c>
      <c r="H1501">
        <v>62.82</v>
      </c>
      <c r="I1501" s="2">
        <v>41451.11</v>
      </c>
      <c r="J1501" s="2">
        <v>45621.760000000002</v>
      </c>
      <c r="K1501" s="2">
        <f>Table1[[#This Row],[Salary_after]]-Table1[[#This Row],[Salary_before]]</f>
        <v>4170.6500000000015</v>
      </c>
      <c r="L1501" s="11">
        <v>0.10060000000000001</v>
      </c>
      <c r="M1501" s="11">
        <v>6.1200000000000004E-2</v>
      </c>
      <c r="N1501">
        <v>88.12</v>
      </c>
      <c r="O1501">
        <v>58.5</v>
      </c>
      <c r="P1501">
        <v>5</v>
      </c>
      <c r="Q1501" t="s">
        <v>37</v>
      </c>
      <c r="R1501">
        <v>65.59</v>
      </c>
      <c r="S1501">
        <v>10.06</v>
      </c>
      <c r="T1501" s="4">
        <v>49.207999999999998</v>
      </c>
      <c r="U1501" s="4">
        <v>39.990600000000001</v>
      </c>
      <c r="V1501" t="str">
        <f>IF(Table1[[#This Row],[ai_disruption_intensity]]&gt;70,"High",
IF(Table1[[#This Row],[ai_disruption_intensity]]&gt;40,"Medium","Low"))</f>
        <v>Low</v>
      </c>
      <c r="W1501" t="str">
        <f>IF(Table1[[#This Row],[skill_gap_index]]&gt;70,"Large Gap",
IF(Table1[[#This Row],[skill_gap_index]]&gt;40,"Medium Gap","Small Gap"))</f>
        <v>Medium Gap</v>
      </c>
      <c r="X1501" s="3" t="str">
        <f>IF(Table1[[#This Row],[automation_risk_percent]]&gt;0.7,"Highly Automatable",
IF(Table1[[#This Row],[automation_risk_percent]]&gt;0.4,"Moderate Risk","Safe Job"))</f>
        <v>Moderate Risk</v>
      </c>
    </row>
    <row r="1502" spans="1:24" x14ac:dyDescent="0.3">
      <c r="A1502">
        <v>5405</v>
      </c>
      <c r="B1502" t="s">
        <v>41</v>
      </c>
      <c r="C1502" t="s">
        <v>38</v>
      </c>
      <c r="D1502" t="s">
        <v>28</v>
      </c>
      <c r="E1502" s="1">
        <v>2026</v>
      </c>
      <c r="F1502" s="11">
        <v>0.80720000000000003</v>
      </c>
      <c r="G1502">
        <v>96.52</v>
      </c>
      <c r="H1502">
        <v>30.61</v>
      </c>
      <c r="I1502" s="2">
        <v>96456.53</v>
      </c>
      <c r="J1502" s="2">
        <v>92463.15</v>
      </c>
      <c r="K1502" s="2">
        <f>Table1[[#This Row],[Salary_after]]-Table1[[#This Row],[Salary_before]]</f>
        <v>-3993.3800000000047</v>
      </c>
      <c r="L1502" s="11">
        <v>-4.1399999999999999E-2</v>
      </c>
      <c r="M1502" s="11">
        <v>0.17430000000000001</v>
      </c>
      <c r="N1502">
        <v>52.92</v>
      </c>
      <c r="O1502">
        <v>24.6</v>
      </c>
      <c r="P1502">
        <v>2</v>
      </c>
      <c r="Q1502" t="s">
        <v>37</v>
      </c>
      <c r="R1502">
        <v>55.664999999999999</v>
      </c>
      <c r="S1502">
        <v>4.1399999999999997</v>
      </c>
      <c r="T1502" s="4">
        <v>42.713000000000001</v>
      </c>
      <c r="U1502" s="4">
        <v>19.857119999999998</v>
      </c>
      <c r="V1502" t="str">
        <f>IF(Table1[[#This Row],[ai_disruption_intensity]]&gt;70,"High",
IF(Table1[[#This Row],[ai_disruption_intensity]]&gt;40,"Medium","Low"))</f>
        <v>Low</v>
      </c>
      <c r="W1502" t="str">
        <f>IF(Table1[[#This Row],[skill_gap_index]]&gt;70,"Large Gap",
IF(Table1[[#This Row],[skill_gap_index]]&gt;40,"Medium Gap","Small Gap"))</f>
        <v>Small Gap</v>
      </c>
      <c r="X1502" s="3" t="str">
        <f>IF(Table1[[#This Row],[automation_risk_percent]]&gt;0.7,"Highly Automatable",
IF(Table1[[#This Row],[automation_risk_percent]]&gt;0.4,"Moderate Risk","Safe Job"))</f>
        <v>Highly Automatable</v>
      </c>
    </row>
    <row r="1503" spans="1:24" x14ac:dyDescent="0.3">
      <c r="A1503">
        <v>5406</v>
      </c>
      <c r="B1503" t="s">
        <v>29</v>
      </c>
      <c r="C1503" t="s">
        <v>23</v>
      </c>
      <c r="D1503" t="s">
        <v>47</v>
      </c>
      <c r="E1503" s="1">
        <v>2025</v>
      </c>
      <c r="F1503" s="11">
        <v>0.77870000000000006</v>
      </c>
      <c r="G1503">
        <v>88.62</v>
      </c>
      <c r="H1503">
        <v>96.5</v>
      </c>
      <c r="I1503" s="2">
        <v>97899.47</v>
      </c>
      <c r="J1503" s="2">
        <v>91919.53</v>
      </c>
      <c r="K1503" s="2">
        <f>Table1[[#This Row],[Salary_after]]-Table1[[#This Row],[Salary_before]]</f>
        <v>-5979.9400000000023</v>
      </c>
      <c r="L1503" s="11">
        <v>-6.1100000000000002E-2</v>
      </c>
      <c r="M1503" s="11">
        <v>0.24329999999999999</v>
      </c>
      <c r="N1503">
        <v>64.819999999999993</v>
      </c>
      <c r="O1503">
        <v>34.869999999999997</v>
      </c>
      <c r="P1503">
        <v>4</v>
      </c>
      <c r="Q1503" t="s">
        <v>37</v>
      </c>
      <c r="R1503">
        <v>87.185000000000002</v>
      </c>
      <c r="S1503">
        <v>6.11</v>
      </c>
      <c r="T1503" s="4">
        <v>61.930999999999997</v>
      </c>
      <c r="U1503" s="4">
        <v>27.153269000000002</v>
      </c>
      <c r="V1503" t="str">
        <f>IF(Table1[[#This Row],[ai_disruption_intensity]]&gt;70,"High",
IF(Table1[[#This Row],[ai_disruption_intensity]]&gt;40,"Medium","Low"))</f>
        <v>Low</v>
      </c>
      <c r="W1503" t="str">
        <f>IF(Table1[[#This Row],[skill_gap_index]]&gt;70,"Large Gap",
IF(Table1[[#This Row],[skill_gap_index]]&gt;40,"Medium Gap","Small Gap"))</f>
        <v>Large Gap</v>
      </c>
      <c r="X1503" s="3" t="str">
        <f>IF(Table1[[#This Row],[automation_risk_percent]]&gt;0.7,"Highly Automatable",
IF(Table1[[#This Row],[automation_risk_percent]]&gt;0.4,"Moderate Risk","Safe Job"))</f>
        <v>Highly Automatable</v>
      </c>
    </row>
    <row r="1504" spans="1:24" x14ac:dyDescent="0.3">
      <c r="A1504">
        <v>5415</v>
      </c>
      <c r="B1504" t="s">
        <v>44</v>
      </c>
      <c r="C1504" t="s">
        <v>34</v>
      </c>
      <c r="D1504" t="s">
        <v>47</v>
      </c>
      <c r="E1504" s="1">
        <v>2026</v>
      </c>
      <c r="F1504" s="11">
        <v>0.17910000000000001</v>
      </c>
      <c r="G1504">
        <v>15.87</v>
      </c>
      <c r="H1504">
        <v>39.450000000000003</v>
      </c>
      <c r="I1504" s="2">
        <v>137349.82999999999</v>
      </c>
      <c r="J1504" s="2">
        <v>110957.46</v>
      </c>
      <c r="K1504" s="2">
        <f>Table1[[#This Row],[Salary_after]]-Table1[[#This Row],[Salary_before]]</f>
        <v>-26392.369999999981</v>
      </c>
      <c r="L1504" s="11">
        <v>-0.19219999999999998</v>
      </c>
      <c r="M1504" s="11">
        <v>0.11460000000000001</v>
      </c>
      <c r="N1504">
        <v>77.22</v>
      </c>
      <c r="O1504">
        <v>1.97</v>
      </c>
      <c r="P1504">
        <v>1</v>
      </c>
      <c r="Q1504" t="s">
        <v>21</v>
      </c>
      <c r="R1504">
        <v>28.68</v>
      </c>
      <c r="S1504">
        <v>19.22</v>
      </c>
      <c r="T1504" s="4">
        <v>24.765000000000001</v>
      </c>
      <c r="U1504" s="4">
        <v>0.352827</v>
      </c>
      <c r="V1504" t="str">
        <f>IF(Table1[[#This Row],[ai_disruption_intensity]]&gt;70,"High",
IF(Table1[[#This Row],[ai_disruption_intensity]]&gt;40,"Medium","Low"))</f>
        <v>Low</v>
      </c>
      <c r="W1504" t="str">
        <f>IF(Table1[[#This Row],[skill_gap_index]]&gt;70,"Large Gap",
IF(Table1[[#This Row],[skill_gap_index]]&gt;40,"Medium Gap","Small Gap"))</f>
        <v>Small Gap</v>
      </c>
      <c r="X1504" s="3" t="str">
        <f>IF(Table1[[#This Row],[automation_risk_percent]]&gt;0.7,"Highly Automatable",
IF(Table1[[#This Row],[automation_risk_percent]]&gt;0.4,"Moderate Risk","Safe Job"))</f>
        <v>Safe Job</v>
      </c>
    </row>
    <row r="1505" spans="1:24" x14ac:dyDescent="0.3">
      <c r="A1505">
        <v>5422</v>
      </c>
      <c r="B1505" t="s">
        <v>46</v>
      </c>
      <c r="C1505" t="s">
        <v>34</v>
      </c>
      <c r="D1505" t="s">
        <v>36</v>
      </c>
      <c r="E1505" s="1">
        <v>2025</v>
      </c>
      <c r="F1505" s="11">
        <v>0.434</v>
      </c>
      <c r="G1505">
        <v>38</v>
      </c>
      <c r="H1505">
        <v>80.33</v>
      </c>
      <c r="I1505" s="2">
        <v>53824.18</v>
      </c>
      <c r="J1505" s="2">
        <v>53876.39</v>
      </c>
      <c r="K1505" s="2">
        <f>Table1[[#This Row],[Salary_after]]-Table1[[#This Row],[Salary_before]]</f>
        <v>52.209999999999127</v>
      </c>
      <c r="L1505" s="11">
        <v>1E-3</v>
      </c>
      <c r="M1505" s="11">
        <v>3.0200000000000001E-2</v>
      </c>
      <c r="N1505">
        <v>20.36</v>
      </c>
      <c r="O1505">
        <v>69.819999999999993</v>
      </c>
      <c r="P1505">
        <v>4</v>
      </c>
      <c r="Q1505" t="s">
        <v>25</v>
      </c>
      <c r="R1505">
        <v>61.864999999999903</v>
      </c>
      <c r="S1505">
        <v>0.1</v>
      </c>
      <c r="T1505" s="4">
        <v>41.488999999999997</v>
      </c>
      <c r="U1505" s="4">
        <v>30.301879999999901</v>
      </c>
      <c r="V1505" t="str">
        <f>IF(Table1[[#This Row],[ai_disruption_intensity]]&gt;70,"High",
IF(Table1[[#This Row],[ai_disruption_intensity]]&gt;40,"Medium","Low"))</f>
        <v>Low</v>
      </c>
      <c r="W1505" t="str">
        <f>IF(Table1[[#This Row],[skill_gap_index]]&gt;70,"Large Gap",
IF(Table1[[#This Row],[skill_gap_index]]&gt;40,"Medium Gap","Small Gap"))</f>
        <v>Large Gap</v>
      </c>
      <c r="X1505" s="3" t="str">
        <f>IF(Table1[[#This Row],[automation_risk_percent]]&gt;0.7,"Highly Automatable",
IF(Table1[[#This Row],[automation_risk_percent]]&gt;0.4,"Moderate Risk","Safe Job"))</f>
        <v>Moderate Risk</v>
      </c>
    </row>
    <row r="1506" spans="1:24" x14ac:dyDescent="0.3">
      <c r="A1506">
        <v>5426</v>
      </c>
      <c r="B1506" t="s">
        <v>41</v>
      </c>
      <c r="C1506" t="s">
        <v>23</v>
      </c>
      <c r="D1506" t="s">
        <v>42</v>
      </c>
      <c r="E1506" s="1">
        <v>2025</v>
      </c>
      <c r="F1506" s="11">
        <v>0.30909999999999999</v>
      </c>
      <c r="G1506">
        <v>33.51</v>
      </c>
      <c r="H1506">
        <v>92.62</v>
      </c>
      <c r="I1506" s="2">
        <v>121620.81</v>
      </c>
      <c r="J1506" s="2">
        <v>128956.98</v>
      </c>
      <c r="K1506" s="2">
        <f>Table1[[#This Row],[Salary_after]]-Table1[[#This Row],[Salary_before]]</f>
        <v>7336.1699999999983</v>
      </c>
      <c r="L1506" s="11">
        <v>6.0299999999999999E-2</v>
      </c>
      <c r="M1506" s="11">
        <v>4.87E-2</v>
      </c>
      <c r="N1506">
        <v>83.72</v>
      </c>
      <c r="O1506">
        <v>56.27</v>
      </c>
      <c r="P1506">
        <v>2</v>
      </c>
      <c r="Q1506" t="s">
        <v>25</v>
      </c>
      <c r="R1506">
        <v>61.765000000000001</v>
      </c>
      <c r="S1506">
        <v>6.03</v>
      </c>
      <c r="T1506" s="4">
        <v>41.959000000000003</v>
      </c>
      <c r="U1506" s="4">
        <v>17.393056999999999</v>
      </c>
      <c r="V1506" t="str">
        <f>IF(Table1[[#This Row],[ai_disruption_intensity]]&gt;70,"High",
IF(Table1[[#This Row],[ai_disruption_intensity]]&gt;40,"Medium","Low"))</f>
        <v>Low</v>
      </c>
      <c r="W1506" t="str">
        <f>IF(Table1[[#This Row],[skill_gap_index]]&gt;70,"Large Gap",
IF(Table1[[#This Row],[skill_gap_index]]&gt;40,"Medium Gap","Small Gap"))</f>
        <v>Large Gap</v>
      </c>
      <c r="X1506" s="3" t="str">
        <f>IF(Table1[[#This Row],[automation_risk_percent]]&gt;0.7,"Highly Automatable",
IF(Table1[[#This Row],[automation_risk_percent]]&gt;0.4,"Moderate Risk","Safe Job"))</f>
        <v>Safe Job</v>
      </c>
    </row>
    <row r="1507" spans="1:24" x14ac:dyDescent="0.3">
      <c r="A1507">
        <v>5428</v>
      </c>
      <c r="B1507" t="s">
        <v>45</v>
      </c>
      <c r="C1507" t="s">
        <v>38</v>
      </c>
      <c r="D1507" t="s">
        <v>28</v>
      </c>
      <c r="E1507" s="1">
        <v>2026</v>
      </c>
      <c r="F1507" s="11">
        <v>0.53969999999999996</v>
      </c>
      <c r="G1507">
        <v>48.74</v>
      </c>
      <c r="H1507">
        <v>63.62</v>
      </c>
      <c r="I1507" s="2">
        <v>135569.35</v>
      </c>
      <c r="J1507" s="2">
        <v>137116.12</v>
      </c>
      <c r="K1507" s="2">
        <f>Table1[[#This Row],[Salary_after]]-Table1[[#This Row],[Salary_before]]</f>
        <v>1546.7699999999895</v>
      </c>
      <c r="L1507" s="11">
        <v>1.1399999999999999E-2</v>
      </c>
      <c r="M1507" s="11">
        <v>0.33329999999999999</v>
      </c>
      <c r="N1507">
        <v>76</v>
      </c>
      <c r="O1507">
        <v>66.099999999999994</v>
      </c>
      <c r="P1507">
        <v>2</v>
      </c>
      <c r="Q1507" t="s">
        <v>25</v>
      </c>
      <c r="R1507">
        <v>58.795000000000002</v>
      </c>
      <c r="S1507">
        <v>1.1399999999999999</v>
      </c>
      <c r="T1507" s="4">
        <v>41.015999999999998</v>
      </c>
      <c r="U1507" s="4">
        <v>35.674169999999997</v>
      </c>
      <c r="V1507" t="str">
        <f>IF(Table1[[#This Row],[ai_disruption_intensity]]&gt;70,"High",
IF(Table1[[#This Row],[ai_disruption_intensity]]&gt;40,"Medium","Low"))</f>
        <v>Low</v>
      </c>
      <c r="W1507" t="str">
        <f>IF(Table1[[#This Row],[skill_gap_index]]&gt;70,"Large Gap",
IF(Table1[[#This Row],[skill_gap_index]]&gt;40,"Medium Gap","Small Gap"))</f>
        <v>Medium Gap</v>
      </c>
      <c r="X1507" s="3" t="str">
        <f>IF(Table1[[#This Row],[automation_risk_percent]]&gt;0.7,"Highly Automatable",
IF(Table1[[#This Row],[automation_risk_percent]]&gt;0.4,"Moderate Risk","Safe Job"))</f>
        <v>Moderate Risk</v>
      </c>
    </row>
    <row r="1508" spans="1:24" x14ac:dyDescent="0.3">
      <c r="A1508">
        <v>5430</v>
      </c>
      <c r="B1508" t="s">
        <v>39</v>
      </c>
      <c r="C1508" t="s">
        <v>19</v>
      </c>
      <c r="D1508" t="s">
        <v>32</v>
      </c>
      <c r="E1508" s="1">
        <v>2026</v>
      </c>
      <c r="F1508" s="11">
        <v>0.57789999999999997</v>
      </c>
      <c r="G1508">
        <v>47.96</v>
      </c>
      <c r="H1508">
        <v>14.5</v>
      </c>
      <c r="I1508" s="2">
        <v>133743.10999999999</v>
      </c>
      <c r="J1508" s="2">
        <v>134814.18</v>
      </c>
      <c r="K1508" s="2">
        <f>Table1[[#This Row],[Salary_after]]-Table1[[#This Row],[Salary_before]]</f>
        <v>1071.070000000007</v>
      </c>
      <c r="L1508" s="11">
        <v>8.0000000000000002E-3</v>
      </c>
      <c r="M1508" s="11">
        <v>0.1467</v>
      </c>
      <c r="N1508">
        <v>40.58</v>
      </c>
      <c r="O1508">
        <v>45.1</v>
      </c>
      <c r="P1508">
        <v>2</v>
      </c>
      <c r="Q1508" t="s">
        <v>25</v>
      </c>
      <c r="R1508">
        <v>36.144999999999897</v>
      </c>
      <c r="S1508">
        <v>0.8</v>
      </c>
      <c r="T1508" s="4">
        <v>27.706</v>
      </c>
      <c r="U1508" s="4">
        <v>26.063289999999999</v>
      </c>
      <c r="V1508" t="str">
        <f>IF(Table1[[#This Row],[ai_disruption_intensity]]&gt;70,"High",
IF(Table1[[#This Row],[ai_disruption_intensity]]&gt;40,"Medium","Low"))</f>
        <v>Low</v>
      </c>
      <c r="W1508" t="str">
        <f>IF(Table1[[#This Row],[skill_gap_index]]&gt;70,"Large Gap",
IF(Table1[[#This Row],[skill_gap_index]]&gt;40,"Medium Gap","Small Gap"))</f>
        <v>Small Gap</v>
      </c>
      <c r="X1508" s="3" t="str">
        <f>IF(Table1[[#This Row],[automation_risk_percent]]&gt;0.7,"Highly Automatable",
IF(Table1[[#This Row],[automation_risk_percent]]&gt;0.4,"Moderate Risk","Safe Job"))</f>
        <v>Moderate Risk</v>
      </c>
    </row>
    <row r="1509" spans="1:24" x14ac:dyDescent="0.3">
      <c r="A1509">
        <v>5433</v>
      </c>
      <c r="B1509" t="s">
        <v>45</v>
      </c>
      <c r="C1509" t="s">
        <v>34</v>
      </c>
      <c r="D1509" t="s">
        <v>36</v>
      </c>
      <c r="E1509" s="1">
        <v>2026</v>
      </c>
      <c r="F1509" s="11">
        <v>0.25259999999999999</v>
      </c>
      <c r="G1509">
        <v>25.31</v>
      </c>
      <c r="H1509">
        <v>14.12</v>
      </c>
      <c r="I1509" s="2">
        <v>75978.09</v>
      </c>
      <c r="J1509" s="2">
        <v>83121.77</v>
      </c>
      <c r="K1509" s="2">
        <f>Table1[[#This Row],[Salary_after]]-Table1[[#This Row],[Salary_before]]</f>
        <v>7143.6800000000076</v>
      </c>
      <c r="L1509" s="11">
        <v>9.4E-2</v>
      </c>
      <c r="M1509" s="11">
        <v>-3.5900000000000001E-2</v>
      </c>
      <c r="N1509">
        <v>72.97</v>
      </c>
      <c r="O1509">
        <v>9.49</v>
      </c>
      <c r="P1509">
        <v>4</v>
      </c>
      <c r="Q1509" t="s">
        <v>21</v>
      </c>
      <c r="R1509">
        <v>19.690000000000001</v>
      </c>
      <c r="S1509">
        <v>9.4</v>
      </c>
      <c r="T1509" s="4">
        <v>17.16</v>
      </c>
      <c r="U1509" s="4">
        <v>2.3971740000000001</v>
      </c>
      <c r="V1509" t="str">
        <f>IF(Table1[[#This Row],[ai_disruption_intensity]]&gt;70,"High",
IF(Table1[[#This Row],[ai_disruption_intensity]]&gt;40,"Medium","Low"))</f>
        <v>Low</v>
      </c>
      <c r="W1509" t="str">
        <f>IF(Table1[[#This Row],[skill_gap_index]]&gt;70,"Large Gap",
IF(Table1[[#This Row],[skill_gap_index]]&gt;40,"Medium Gap","Small Gap"))</f>
        <v>Small Gap</v>
      </c>
      <c r="X1509" s="3" t="str">
        <f>IF(Table1[[#This Row],[automation_risk_percent]]&gt;0.7,"Highly Automatable",
IF(Table1[[#This Row],[automation_risk_percent]]&gt;0.4,"Moderate Risk","Safe Job"))</f>
        <v>Safe Job</v>
      </c>
    </row>
    <row r="1510" spans="1:24" x14ac:dyDescent="0.3">
      <c r="A1510">
        <v>5437</v>
      </c>
      <c r="B1510" t="s">
        <v>26</v>
      </c>
      <c r="C1510" t="s">
        <v>40</v>
      </c>
      <c r="D1510" t="s">
        <v>35</v>
      </c>
      <c r="E1510" s="1">
        <v>2025</v>
      </c>
      <c r="F1510" s="11">
        <v>0.55759999999999998</v>
      </c>
      <c r="G1510">
        <v>57.18</v>
      </c>
      <c r="H1510">
        <v>24.65</v>
      </c>
      <c r="I1510" s="2">
        <v>110507.48</v>
      </c>
      <c r="J1510" s="2">
        <v>116990.77</v>
      </c>
      <c r="K1510" s="2">
        <f>Table1[[#This Row],[Salary_after]]-Table1[[#This Row],[Salary_before]]</f>
        <v>6483.2900000000081</v>
      </c>
      <c r="L1510" s="11">
        <v>5.8700000000000002E-2</v>
      </c>
      <c r="M1510" s="11">
        <v>9.5399999999999985E-2</v>
      </c>
      <c r="N1510">
        <v>35.39</v>
      </c>
      <c r="O1510">
        <v>2.56</v>
      </c>
      <c r="P1510">
        <v>5</v>
      </c>
      <c r="Q1510" t="s">
        <v>25</v>
      </c>
      <c r="R1510">
        <v>40.204999999999998</v>
      </c>
      <c r="S1510">
        <v>5.87</v>
      </c>
      <c r="T1510" s="4">
        <v>31.46</v>
      </c>
      <c r="U1510" s="4">
        <v>1.4274560000000001</v>
      </c>
      <c r="V1510" t="str">
        <f>IF(Table1[[#This Row],[ai_disruption_intensity]]&gt;70,"High",
IF(Table1[[#This Row],[ai_disruption_intensity]]&gt;40,"Medium","Low"))</f>
        <v>Low</v>
      </c>
      <c r="W1510" t="str">
        <f>IF(Table1[[#This Row],[skill_gap_index]]&gt;70,"Large Gap",
IF(Table1[[#This Row],[skill_gap_index]]&gt;40,"Medium Gap","Small Gap"))</f>
        <v>Small Gap</v>
      </c>
      <c r="X1510" s="3" t="str">
        <f>IF(Table1[[#This Row],[automation_risk_percent]]&gt;0.7,"Highly Automatable",
IF(Table1[[#This Row],[automation_risk_percent]]&gt;0.4,"Moderate Risk","Safe Job"))</f>
        <v>Moderate Risk</v>
      </c>
    </row>
    <row r="1511" spans="1:24" x14ac:dyDescent="0.3">
      <c r="A1511">
        <v>5442</v>
      </c>
      <c r="B1511" t="s">
        <v>22</v>
      </c>
      <c r="C1511" t="s">
        <v>40</v>
      </c>
      <c r="D1511" t="s">
        <v>36</v>
      </c>
      <c r="E1511" s="1">
        <v>2025</v>
      </c>
      <c r="F1511" s="11">
        <v>0.49049999999999999</v>
      </c>
      <c r="G1511">
        <v>54.25</v>
      </c>
      <c r="H1511">
        <v>72.67</v>
      </c>
      <c r="I1511" s="2">
        <v>58050.76</v>
      </c>
      <c r="J1511" s="2">
        <v>62867.46</v>
      </c>
      <c r="K1511" s="2">
        <f>Table1[[#This Row],[Salary_after]]-Table1[[#This Row],[Salary_before]]</f>
        <v>4816.6999999999971</v>
      </c>
      <c r="L1511" s="11">
        <v>8.3000000000000004E-2</v>
      </c>
      <c r="M1511" s="11">
        <v>1.1899999999999999E-2</v>
      </c>
      <c r="N1511">
        <v>75.09</v>
      </c>
      <c r="O1511">
        <v>71.27</v>
      </c>
      <c r="P1511">
        <v>1</v>
      </c>
      <c r="Q1511" t="s">
        <v>25</v>
      </c>
      <c r="R1511">
        <v>60.86</v>
      </c>
      <c r="S1511">
        <v>8.3000000000000007</v>
      </c>
      <c r="T1511" s="4">
        <v>43.911000000000001</v>
      </c>
      <c r="U1511" s="4">
        <v>34.957934999999999</v>
      </c>
      <c r="V1511" t="str">
        <f>IF(Table1[[#This Row],[ai_disruption_intensity]]&gt;70,"High",
IF(Table1[[#This Row],[ai_disruption_intensity]]&gt;40,"Medium","Low"))</f>
        <v>Low</v>
      </c>
      <c r="W1511" t="str">
        <f>IF(Table1[[#This Row],[skill_gap_index]]&gt;70,"Large Gap",
IF(Table1[[#This Row],[skill_gap_index]]&gt;40,"Medium Gap","Small Gap"))</f>
        <v>Large Gap</v>
      </c>
      <c r="X1511" s="3" t="str">
        <f>IF(Table1[[#This Row],[automation_risk_percent]]&gt;0.7,"Highly Automatable",
IF(Table1[[#This Row],[automation_risk_percent]]&gt;0.4,"Moderate Risk","Safe Job"))</f>
        <v>Moderate Risk</v>
      </c>
    </row>
    <row r="1512" spans="1:24" x14ac:dyDescent="0.3">
      <c r="A1512">
        <v>5444</v>
      </c>
      <c r="B1512" t="s">
        <v>41</v>
      </c>
      <c r="C1512" t="s">
        <v>19</v>
      </c>
      <c r="D1512" t="s">
        <v>20</v>
      </c>
      <c r="E1512" s="1">
        <v>2025</v>
      </c>
      <c r="F1512" s="11">
        <v>0.56909999999999994</v>
      </c>
      <c r="G1512">
        <v>62.04</v>
      </c>
      <c r="H1512">
        <v>96.07</v>
      </c>
      <c r="I1512" s="2">
        <v>39433.58</v>
      </c>
      <c r="J1512" s="2">
        <v>39241.24</v>
      </c>
      <c r="K1512" s="2">
        <f>Table1[[#This Row],[Salary_after]]-Table1[[#This Row],[Salary_before]]</f>
        <v>-192.34000000000378</v>
      </c>
      <c r="L1512" s="11">
        <v>-4.8999999999999998E-3</v>
      </c>
      <c r="M1512" s="11">
        <v>-0.1318</v>
      </c>
      <c r="N1512">
        <v>25.33</v>
      </c>
      <c r="O1512">
        <v>11.68</v>
      </c>
      <c r="P1512">
        <v>2</v>
      </c>
      <c r="Q1512" t="s">
        <v>25</v>
      </c>
      <c r="R1512">
        <v>76.489999999999995</v>
      </c>
      <c r="S1512">
        <v>0.49</v>
      </c>
      <c r="T1512" s="4">
        <v>51.7319999999999</v>
      </c>
      <c r="U1512" s="4">
        <v>6.6470880000000001</v>
      </c>
      <c r="V1512" t="str">
        <f>IF(Table1[[#This Row],[ai_disruption_intensity]]&gt;70,"High",
IF(Table1[[#This Row],[ai_disruption_intensity]]&gt;40,"Medium","Low"))</f>
        <v>Low</v>
      </c>
      <c r="W1512" t="str">
        <f>IF(Table1[[#This Row],[skill_gap_index]]&gt;70,"Large Gap",
IF(Table1[[#This Row],[skill_gap_index]]&gt;40,"Medium Gap","Small Gap"))</f>
        <v>Large Gap</v>
      </c>
      <c r="X1512" s="3" t="str">
        <f>IF(Table1[[#This Row],[automation_risk_percent]]&gt;0.7,"Highly Automatable",
IF(Table1[[#This Row],[automation_risk_percent]]&gt;0.4,"Moderate Risk","Safe Job"))</f>
        <v>Moderate Risk</v>
      </c>
    </row>
    <row r="1513" spans="1:24" x14ac:dyDescent="0.3">
      <c r="A1513">
        <v>5446</v>
      </c>
      <c r="B1513" t="s">
        <v>29</v>
      </c>
      <c r="C1513" t="s">
        <v>34</v>
      </c>
      <c r="D1513" t="s">
        <v>20</v>
      </c>
      <c r="E1513" s="1">
        <v>2026</v>
      </c>
      <c r="F1513" s="11">
        <v>0.56559999999999999</v>
      </c>
      <c r="G1513">
        <v>66.41</v>
      </c>
      <c r="H1513">
        <v>70.209999999999994</v>
      </c>
      <c r="I1513" s="2">
        <v>111803.17</v>
      </c>
      <c r="J1513" s="2">
        <v>104422.38</v>
      </c>
      <c r="K1513" s="2">
        <f>Table1[[#This Row],[Salary_after]]-Table1[[#This Row],[Salary_before]]</f>
        <v>-7380.7899999999936</v>
      </c>
      <c r="L1513" s="11">
        <v>-6.6000000000000003E-2</v>
      </c>
      <c r="M1513" s="11">
        <v>0.14630000000000001</v>
      </c>
      <c r="N1513">
        <v>36.29</v>
      </c>
      <c r="O1513">
        <v>5.35</v>
      </c>
      <c r="P1513">
        <v>2</v>
      </c>
      <c r="Q1513" t="s">
        <v>25</v>
      </c>
      <c r="R1513">
        <v>63.384999999999998</v>
      </c>
      <c r="S1513">
        <v>6.6</v>
      </c>
      <c r="T1513" s="4">
        <v>45.666999999999902</v>
      </c>
      <c r="U1513" s="4">
        <v>3.02596</v>
      </c>
      <c r="V1513" t="str">
        <f>IF(Table1[[#This Row],[ai_disruption_intensity]]&gt;70,"High",
IF(Table1[[#This Row],[ai_disruption_intensity]]&gt;40,"Medium","Low"))</f>
        <v>Low</v>
      </c>
      <c r="W1513" t="str">
        <f>IF(Table1[[#This Row],[skill_gap_index]]&gt;70,"Large Gap",
IF(Table1[[#This Row],[skill_gap_index]]&gt;40,"Medium Gap","Small Gap"))</f>
        <v>Large Gap</v>
      </c>
      <c r="X1513" s="3" t="str">
        <f>IF(Table1[[#This Row],[automation_risk_percent]]&gt;0.7,"Highly Automatable",
IF(Table1[[#This Row],[automation_risk_percent]]&gt;0.4,"Moderate Risk","Safe Job"))</f>
        <v>Moderate Risk</v>
      </c>
    </row>
    <row r="1514" spans="1:24" x14ac:dyDescent="0.3">
      <c r="A1514">
        <v>5452</v>
      </c>
      <c r="B1514" t="s">
        <v>29</v>
      </c>
      <c r="C1514" t="s">
        <v>19</v>
      </c>
      <c r="D1514" t="s">
        <v>32</v>
      </c>
      <c r="E1514" s="1">
        <v>2026</v>
      </c>
      <c r="F1514" s="11">
        <v>0.38939999999999997</v>
      </c>
      <c r="G1514">
        <v>39.5</v>
      </c>
      <c r="H1514">
        <v>45.09</v>
      </c>
      <c r="I1514" s="2">
        <v>124456.6</v>
      </c>
      <c r="J1514" s="2">
        <v>108146.41</v>
      </c>
      <c r="K1514" s="2">
        <f>Table1[[#This Row],[Salary_after]]-Table1[[#This Row],[Salary_before]]</f>
        <v>-16310.190000000002</v>
      </c>
      <c r="L1514" s="11">
        <v>-0.13109999999999999</v>
      </c>
      <c r="M1514" s="11">
        <v>-1.1999999999999999E-3</v>
      </c>
      <c r="N1514">
        <v>92.3</v>
      </c>
      <c r="O1514">
        <v>38.590000000000003</v>
      </c>
      <c r="P1514">
        <v>1</v>
      </c>
      <c r="Q1514" t="s">
        <v>25</v>
      </c>
      <c r="R1514">
        <v>42.015000000000001</v>
      </c>
      <c r="S1514">
        <v>13.11</v>
      </c>
      <c r="T1514" s="4">
        <v>33.036000000000001</v>
      </c>
      <c r="U1514" s="4">
        <v>15.026946000000001</v>
      </c>
      <c r="V1514" t="str">
        <f>IF(Table1[[#This Row],[ai_disruption_intensity]]&gt;70,"High",
IF(Table1[[#This Row],[ai_disruption_intensity]]&gt;40,"Medium","Low"))</f>
        <v>Low</v>
      </c>
      <c r="W1514" t="str">
        <f>IF(Table1[[#This Row],[skill_gap_index]]&gt;70,"Large Gap",
IF(Table1[[#This Row],[skill_gap_index]]&gt;40,"Medium Gap","Small Gap"))</f>
        <v>Medium Gap</v>
      </c>
      <c r="X1514" s="3" t="str">
        <f>IF(Table1[[#This Row],[automation_risk_percent]]&gt;0.7,"Highly Automatable",
IF(Table1[[#This Row],[automation_risk_percent]]&gt;0.4,"Moderate Risk","Safe Job"))</f>
        <v>Safe Job</v>
      </c>
    </row>
    <row r="1515" spans="1:24" x14ac:dyDescent="0.3">
      <c r="A1515">
        <v>5453</v>
      </c>
      <c r="B1515" t="s">
        <v>44</v>
      </c>
      <c r="C1515" t="s">
        <v>27</v>
      </c>
      <c r="D1515" t="s">
        <v>32</v>
      </c>
      <c r="E1515" s="1">
        <v>2025</v>
      </c>
      <c r="F1515" s="11">
        <v>0.6391</v>
      </c>
      <c r="G1515">
        <v>76.430000000000007</v>
      </c>
      <c r="H1515">
        <v>57.74</v>
      </c>
      <c r="I1515" s="2">
        <v>87585.66</v>
      </c>
      <c r="J1515" s="2">
        <v>79377.399999999994</v>
      </c>
      <c r="K1515" s="2">
        <f>Table1[[#This Row],[Salary_after]]-Table1[[#This Row],[Salary_before]]</f>
        <v>-8208.2600000000093</v>
      </c>
      <c r="L1515" s="11">
        <v>-9.3699999999999992E-2</v>
      </c>
      <c r="M1515" s="11">
        <v>0.11119999999999999</v>
      </c>
      <c r="N1515">
        <v>53.94</v>
      </c>
      <c r="O1515">
        <v>31.23</v>
      </c>
      <c r="P1515">
        <v>2</v>
      </c>
      <c r="Q1515" t="s">
        <v>37</v>
      </c>
      <c r="R1515">
        <v>60.825000000000003</v>
      </c>
      <c r="S1515">
        <v>9.3699999999999992</v>
      </c>
      <c r="T1515" s="4">
        <v>45.696999999999903</v>
      </c>
      <c r="U1515" s="4">
        <v>19.959092999999999</v>
      </c>
      <c r="V1515" t="str">
        <f>IF(Table1[[#This Row],[ai_disruption_intensity]]&gt;70,"High",
IF(Table1[[#This Row],[ai_disruption_intensity]]&gt;40,"Medium","Low"))</f>
        <v>Low</v>
      </c>
      <c r="W1515" t="str">
        <f>IF(Table1[[#This Row],[skill_gap_index]]&gt;70,"Large Gap",
IF(Table1[[#This Row],[skill_gap_index]]&gt;40,"Medium Gap","Small Gap"))</f>
        <v>Medium Gap</v>
      </c>
      <c r="X1515" s="3" t="str">
        <f>IF(Table1[[#This Row],[automation_risk_percent]]&gt;0.7,"Highly Automatable",
IF(Table1[[#This Row],[automation_risk_percent]]&gt;0.4,"Moderate Risk","Safe Job"))</f>
        <v>Moderate Risk</v>
      </c>
    </row>
    <row r="1516" spans="1:24" x14ac:dyDescent="0.3">
      <c r="A1516">
        <v>5460</v>
      </c>
      <c r="B1516" t="s">
        <v>26</v>
      </c>
      <c r="C1516" t="s">
        <v>40</v>
      </c>
      <c r="D1516" t="s">
        <v>35</v>
      </c>
      <c r="E1516" s="1">
        <v>2026</v>
      </c>
      <c r="F1516" s="11">
        <v>0.59660000000000002</v>
      </c>
      <c r="G1516">
        <v>48.88</v>
      </c>
      <c r="H1516">
        <v>22.44</v>
      </c>
      <c r="I1516" s="2">
        <v>70021.429999999993</v>
      </c>
      <c r="J1516" s="2">
        <v>80064.22</v>
      </c>
      <c r="K1516" s="2">
        <f>Table1[[#This Row],[Salary_after]]-Table1[[#This Row],[Salary_before]]</f>
        <v>10042.790000000008</v>
      </c>
      <c r="L1516" s="11">
        <v>0.1434</v>
      </c>
      <c r="M1516" s="11">
        <v>0.13159999999999999</v>
      </c>
      <c r="N1516">
        <v>17.239999999999998</v>
      </c>
      <c r="O1516">
        <v>4.3499999999999996</v>
      </c>
      <c r="P1516">
        <v>4</v>
      </c>
      <c r="Q1516" t="s">
        <v>25</v>
      </c>
      <c r="R1516">
        <v>41.05</v>
      </c>
      <c r="S1516">
        <v>14.34</v>
      </c>
      <c r="T1516" s="4">
        <v>34.897999999999897</v>
      </c>
      <c r="U1516" s="4">
        <v>2.5952099999999998</v>
      </c>
      <c r="V1516" t="str">
        <f>IF(Table1[[#This Row],[ai_disruption_intensity]]&gt;70,"High",
IF(Table1[[#This Row],[ai_disruption_intensity]]&gt;40,"Medium","Low"))</f>
        <v>Low</v>
      </c>
      <c r="W1516" t="str">
        <f>IF(Table1[[#This Row],[skill_gap_index]]&gt;70,"Large Gap",
IF(Table1[[#This Row],[skill_gap_index]]&gt;40,"Medium Gap","Small Gap"))</f>
        <v>Small Gap</v>
      </c>
      <c r="X1516" s="3" t="str">
        <f>IF(Table1[[#This Row],[automation_risk_percent]]&gt;0.7,"Highly Automatable",
IF(Table1[[#This Row],[automation_risk_percent]]&gt;0.4,"Moderate Risk","Safe Job"))</f>
        <v>Moderate Risk</v>
      </c>
    </row>
    <row r="1517" spans="1:24" x14ac:dyDescent="0.3">
      <c r="A1517">
        <v>5467</v>
      </c>
      <c r="B1517" t="s">
        <v>46</v>
      </c>
      <c r="C1517" t="s">
        <v>33</v>
      </c>
      <c r="D1517" t="s">
        <v>24</v>
      </c>
      <c r="E1517" s="1">
        <v>2026</v>
      </c>
      <c r="F1517" s="11">
        <v>0.58820000000000006</v>
      </c>
      <c r="G1517">
        <v>47.27</v>
      </c>
      <c r="H1517">
        <v>0.71</v>
      </c>
      <c r="I1517" s="2">
        <v>47556.85</v>
      </c>
      <c r="J1517" s="2">
        <v>47135.37</v>
      </c>
      <c r="K1517" s="2">
        <f>Table1[[#This Row],[Salary_after]]-Table1[[#This Row],[Salary_before]]</f>
        <v>-421.47999999999593</v>
      </c>
      <c r="L1517" s="11">
        <v>-8.8999999999999999E-3</v>
      </c>
      <c r="M1517" s="11">
        <v>0.1575</v>
      </c>
      <c r="N1517">
        <v>98.46</v>
      </c>
      <c r="O1517">
        <v>88.73</v>
      </c>
      <c r="P1517">
        <v>5</v>
      </c>
      <c r="Q1517" t="s">
        <v>25</v>
      </c>
      <c r="R1517">
        <v>29.765000000000001</v>
      </c>
      <c r="S1517">
        <v>0.89</v>
      </c>
      <c r="T1517" s="4">
        <v>24.007999999999999</v>
      </c>
      <c r="U1517" s="4">
        <v>52.190986000000002</v>
      </c>
      <c r="V1517" t="str">
        <f>IF(Table1[[#This Row],[ai_disruption_intensity]]&gt;70,"High",
IF(Table1[[#This Row],[ai_disruption_intensity]]&gt;40,"Medium","Low"))</f>
        <v>Medium</v>
      </c>
      <c r="W1517" t="str">
        <f>IF(Table1[[#This Row],[skill_gap_index]]&gt;70,"Large Gap",
IF(Table1[[#This Row],[skill_gap_index]]&gt;40,"Medium Gap","Small Gap"))</f>
        <v>Small Gap</v>
      </c>
      <c r="X1517" s="3" t="str">
        <f>IF(Table1[[#This Row],[automation_risk_percent]]&gt;0.7,"Highly Automatable",
IF(Table1[[#This Row],[automation_risk_percent]]&gt;0.4,"Moderate Risk","Safe Job"))</f>
        <v>Moderate Risk</v>
      </c>
    </row>
    <row r="1518" spans="1:24" x14ac:dyDescent="0.3">
      <c r="A1518">
        <v>5468</v>
      </c>
      <c r="B1518" t="s">
        <v>39</v>
      </c>
      <c r="C1518" t="s">
        <v>33</v>
      </c>
      <c r="D1518" t="s">
        <v>32</v>
      </c>
      <c r="E1518" s="1">
        <v>2025</v>
      </c>
      <c r="F1518" s="11">
        <v>0.72310000000000008</v>
      </c>
      <c r="G1518">
        <v>61.56</v>
      </c>
      <c r="H1518">
        <v>47.52</v>
      </c>
      <c r="I1518" s="2">
        <v>149230.87</v>
      </c>
      <c r="J1518" s="2">
        <v>152789.99</v>
      </c>
      <c r="K1518" s="2">
        <f>Table1[[#This Row],[Salary_after]]-Table1[[#This Row],[Salary_before]]</f>
        <v>3559.1199999999953</v>
      </c>
      <c r="L1518" s="11">
        <v>2.3799999999999998E-2</v>
      </c>
      <c r="M1518" s="11">
        <v>-6.2800000000000009E-2</v>
      </c>
      <c r="N1518">
        <v>40.99</v>
      </c>
      <c r="O1518">
        <v>38.79</v>
      </c>
      <c r="P1518">
        <v>3</v>
      </c>
      <c r="Q1518" t="s">
        <v>37</v>
      </c>
      <c r="R1518">
        <v>59.914999999999999</v>
      </c>
      <c r="S1518">
        <v>2.38</v>
      </c>
      <c r="T1518" s="4">
        <v>43.893999999999998</v>
      </c>
      <c r="U1518" s="4">
        <v>28.049049</v>
      </c>
      <c r="V1518" t="str">
        <f>IF(Table1[[#This Row],[ai_disruption_intensity]]&gt;70,"High",
IF(Table1[[#This Row],[ai_disruption_intensity]]&gt;40,"Medium","Low"))</f>
        <v>Low</v>
      </c>
      <c r="W1518" t="str">
        <f>IF(Table1[[#This Row],[skill_gap_index]]&gt;70,"Large Gap",
IF(Table1[[#This Row],[skill_gap_index]]&gt;40,"Medium Gap","Small Gap"))</f>
        <v>Medium Gap</v>
      </c>
      <c r="X1518" s="3" t="str">
        <f>IF(Table1[[#This Row],[automation_risk_percent]]&gt;0.7,"Highly Automatable",
IF(Table1[[#This Row],[automation_risk_percent]]&gt;0.4,"Moderate Risk","Safe Job"))</f>
        <v>Highly Automatable</v>
      </c>
    </row>
    <row r="1519" spans="1:24" x14ac:dyDescent="0.3">
      <c r="A1519">
        <v>5469</v>
      </c>
      <c r="B1519" t="s">
        <v>39</v>
      </c>
      <c r="C1519" t="s">
        <v>30</v>
      </c>
      <c r="D1519" t="s">
        <v>24</v>
      </c>
      <c r="E1519" s="1">
        <v>2026</v>
      </c>
      <c r="F1519" s="11">
        <v>0.72360000000000002</v>
      </c>
      <c r="G1519">
        <v>74.900000000000006</v>
      </c>
      <c r="H1519">
        <v>75.88</v>
      </c>
      <c r="I1519" s="2">
        <v>110788.13</v>
      </c>
      <c r="J1519" s="2">
        <v>126899.18</v>
      </c>
      <c r="K1519" s="2">
        <f>Table1[[#This Row],[Salary_after]]-Table1[[#This Row],[Salary_before]]</f>
        <v>16111.049999999988</v>
      </c>
      <c r="L1519" s="11">
        <v>0.1454</v>
      </c>
      <c r="M1519" s="11">
        <v>6.4500000000000002E-2</v>
      </c>
      <c r="N1519">
        <v>97.37</v>
      </c>
      <c r="O1519">
        <v>96.68</v>
      </c>
      <c r="P1519">
        <v>3</v>
      </c>
      <c r="Q1519" t="s">
        <v>37</v>
      </c>
      <c r="R1519">
        <v>74.12</v>
      </c>
      <c r="S1519">
        <v>14.54</v>
      </c>
      <c r="T1519" s="4">
        <v>56.07</v>
      </c>
      <c r="U1519" s="4">
        <v>69.957648000000006</v>
      </c>
      <c r="V1519" t="str">
        <f>IF(Table1[[#This Row],[ai_disruption_intensity]]&gt;70,"High",
IF(Table1[[#This Row],[ai_disruption_intensity]]&gt;40,"Medium","Low"))</f>
        <v>Medium</v>
      </c>
      <c r="W1519" t="str">
        <f>IF(Table1[[#This Row],[skill_gap_index]]&gt;70,"Large Gap",
IF(Table1[[#This Row],[skill_gap_index]]&gt;40,"Medium Gap","Small Gap"))</f>
        <v>Large Gap</v>
      </c>
      <c r="X1519" s="3" t="str">
        <f>IF(Table1[[#This Row],[automation_risk_percent]]&gt;0.7,"Highly Automatable",
IF(Table1[[#This Row],[automation_risk_percent]]&gt;0.4,"Moderate Risk","Safe Job"))</f>
        <v>Highly Automatable</v>
      </c>
    </row>
    <row r="1520" spans="1:24" x14ac:dyDescent="0.3">
      <c r="A1520">
        <v>5474</v>
      </c>
      <c r="B1520" t="s">
        <v>43</v>
      </c>
      <c r="C1520" t="s">
        <v>30</v>
      </c>
      <c r="D1520" t="s">
        <v>47</v>
      </c>
      <c r="E1520" s="1">
        <v>2025</v>
      </c>
      <c r="F1520" s="11">
        <v>0.21410000000000001</v>
      </c>
      <c r="G1520">
        <v>18.489999999999998</v>
      </c>
      <c r="H1520">
        <v>19.43</v>
      </c>
      <c r="I1520" s="2">
        <v>42387.7</v>
      </c>
      <c r="J1520" s="2">
        <v>43976.82</v>
      </c>
      <c r="K1520" s="2">
        <f>Table1[[#This Row],[Salary_after]]-Table1[[#This Row],[Salary_before]]</f>
        <v>1589.1200000000026</v>
      </c>
      <c r="L1520" s="11">
        <v>3.7499999999999999E-2</v>
      </c>
      <c r="M1520" s="11">
        <v>8.9800000000000005E-2</v>
      </c>
      <c r="N1520">
        <v>23.62</v>
      </c>
      <c r="O1520">
        <v>70.55</v>
      </c>
      <c r="P1520">
        <v>4</v>
      </c>
      <c r="Q1520" t="s">
        <v>21</v>
      </c>
      <c r="R1520">
        <v>20.420000000000002</v>
      </c>
      <c r="S1520">
        <v>3.75</v>
      </c>
      <c r="T1520" s="4">
        <v>15.518000000000001</v>
      </c>
      <c r="U1520" s="4">
        <v>15.104755000000001</v>
      </c>
      <c r="V1520" t="str">
        <f>IF(Table1[[#This Row],[ai_disruption_intensity]]&gt;70,"High",
IF(Table1[[#This Row],[ai_disruption_intensity]]&gt;40,"Medium","Low"))</f>
        <v>Low</v>
      </c>
      <c r="W1520" t="str">
        <f>IF(Table1[[#This Row],[skill_gap_index]]&gt;70,"Large Gap",
IF(Table1[[#This Row],[skill_gap_index]]&gt;40,"Medium Gap","Small Gap"))</f>
        <v>Small Gap</v>
      </c>
      <c r="X1520" s="3" t="str">
        <f>IF(Table1[[#This Row],[automation_risk_percent]]&gt;0.7,"Highly Automatable",
IF(Table1[[#This Row],[automation_risk_percent]]&gt;0.4,"Moderate Risk","Safe Job"))</f>
        <v>Safe Job</v>
      </c>
    </row>
    <row r="1521" spans="1:24" x14ac:dyDescent="0.3">
      <c r="A1521">
        <v>5485</v>
      </c>
      <c r="B1521" t="s">
        <v>43</v>
      </c>
      <c r="C1521" t="s">
        <v>27</v>
      </c>
      <c r="D1521" t="s">
        <v>31</v>
      </c>
      <c r="E1521" s="1">
        <v>2026</v>
      </c>
      <c r="F1521" s="11">
        <v>0.63890000000000002</v>
      </c>
      <c r="G1521">
        <v>57.95</v>
      </c>
      <c r="H1521">
        <v>59.57</v>
      </c>
      <c r="I1521" s="2">
        <v>92330.53</v>
      </c>
      <c r="J1521" s="2">
        <v>84964.08</v>
      </c>
      <c r="K1521" s="2">
        <f>Table1[[#This Row],[Salary_after]]-Table1[[#This Row],[Salary_before]]</f>
        <v>-7366.4499999999971</v>
      </c>
      <c r="L1521" s="11">
        <v>-7.980000000000001E-2</v>
      </c>
      <c r="M1521" s="11">
        <v>3.8300000000000001E-2</v>
      </c>
      <c r="N1521">
        <v>36.340000000000003</v>
      </c>
      <c r="O1521">
        <v>28</v>
      </c>
      <c r="P1521">
        <v>1</v>
      </c>
      <c r="Q1521" t="s">
        <v>37</v>
      </c>
      <c r="R1521">
        <v>61.73</v>
      </c>
      <c r="S1521">
        <v>7.98</v>
      </c>
      <c r="T1521" s="4">
        <v>45.820999999999998</v>
      </c>
      <c r="U1521" s="4">
        <v>17.889199999999999</v>
      </c>
      <c r="V1521" t="str">
        <f>IF(Table1[[#This Row],[ai_disruption_intensity]]&gt;70,"High",
IF(Table1[[#This Row],[ai_disruption_intensity]]&gt;40,"Medium","Low"))</f>
        <v>Low</v>
      </c>
      <c r="W1521" t="str">
        <f>IF(Table1[[#This Row],[skill_gap_index]]&gt;70,"Large Gap",
IF(Table1[[#This Row],[skill_gap_index]]&gt;40,"Medium Gap","Small Gap"))</f>
        <v>Medium Gap</v>
      </c>
      <c r="X1521" s="3" t="str">
        <f>IF(Table1[[#This Row],[automation_risk_percent]]&gt;0.7,"Highly Automatable",
IF(Table1[[#This Row],[automation_risk_percent]]&gt;0.4,"Moderate Risk","Safe Job"))</f>
        <v>Moderate Risk</v>
      </c>
    </row>
    <row r="1522" spans="1:24" x14ac:dyDescent="0.3">
      <c r="A1522">
        <v>5488</v>
      </c>
      <c r="B1522" t="s">
        <v>22</v>
      </c>
      <c r="C1522" t="s">
        <v>27</v>
      </c>
      <c r="D1522" t="s">
        <v>47</v>
      </c>
      <c r="E1522" s="1">
        <v>2026</v>
      </c>
      <c r="F1522" s="11">
        <v>0.17550000000000002</v>
      </c>
      <c r="G1522">
        <v>16.82</v>
      </c>
      <c r="H1522">
        <v>96.73</v>
      </c>
      <c r="I1522" s="2">
        <v>50223.68</v>
      </c>
      <c r="J1522" s="2">
        <v>56638.68</v>
      </c>
      <c r="K1522" s="2">
        <f>Table1[[#This Row],[Salary_after]]-Table1[[#This Row],[Salary_before]]</f>
        <v>6415</v>
      </c>
      <c r="L1522" s="11">
        <v>0.12770000000000001</v>
      </c>
      <c r="M1522" s="11">
        <v>-2.0000000000000001E-4</v>
      </c>
      <c r="N1522">
        <v>69.89</v>
      </c>
      <c r="O1522">
        <v>63.15</v>
      </c>
      <c r="P1522">
        <v>4</v>
      </c>
      <c r="Q1522" t="s">
        <v>21</v>
      </c>
      <c r="R1522">
        <v>57.14</v>
      </c>
      <c r="S1522">
        <v>12.77</v>
      </c>
      <c r="T1522" s="4">
        <v>39.869999999999997</v>
      </c>
      <c r="U1522" s="4">
        <v>11.082825</v>
      </c>
      <c r="V1522" t="str">
        <f>IF(Table1[[#This Row],[ai_disruption_intensity]]&gt;70,"High",
IF(Table1[[#This Row],[ai_disruption_intensity]]&gt;40,"Medium","Low"))</f>
        <v>Low</v>
      </c>
      <c r="W1522" t="str">
        <f>IF(Table1[[#This Row],[skill_gap_index]]&gt;70,"Large Gap",
IF(Table1[[#This Row],[skill_gap_index]]&gt;40,"Medium Gap","Small Gap"))</f>
        <v>Large Gap</v>
      </c>
      <c r="X1522" s="3" t="str">
        <f>IF(Table1[[#This Row],[automation_risk_percent]]&gt;0.7,"Highly Automatable",
IF(Table1[[#This Row],[automation_risk_percent]]&gt;0.4,"Moderate Risk","Safe Job"))</f>
        <v>Safe Job</v>
      </c>
    </row>
    <row r="1523" spans="1:24" x14ac:dyDescent="0.3">
      <c r="A1523">
        <v>5489</v>
      </c>
      <c r="B1523" t="s">
        <v>46</v>
      </c>
      <c r="C1523" t="s">
        <v>38</v>
      </c>
      <c r="D1523" t="s">
        <v>28</v>
      </c>
      <c r="E1523" s="1">
        <v>2025</v>
      </c>
      <c r="F1523" s="11">
        <v>0.59729999999999994</v>
      </c>
      <c r="G1523">
        <v>48.48</v>
      </c>
      <c r="H1523">
        <v>77.12</v>
      </c>
      <c r="I1523" s="2">
        <v>135905.88</v>
      </c>
      <c r="J1523" s="2">
        <v>136431.09</v>
      </c>
      <c r="K1523" s="2">
        <f>Table1[[#This Row],[Salary_after]]-Table1[[#This Row],[Salary_before]]</f>
        <v>525.20999999999185</v>
      </c>
      <c r="L1523" s="11">
        <v>3.9000000000000003E-3</v>
      </c>
      <c r="M1523" s="11">
        <v>1.83E-2</v>
      </c>
      <c r="N1523">
        <v>41.37</v>
      </c>
      <c r="O1523">
        <v>5.08</v>
      </c>
      <c r="P1523">
        <v>1</v>
      </c>
      <c r="Q1523" t="s">
        <v>25</v>
      </c>
      <c r="R1523">
        <v>68.424999999999997</v>
      </c>
      <c r="S1523">
        <v>0.39</v>
      </c>
      <c r="T1523" s="4">
        <v>47.144999999999897</v>
      </c>
      <c r="U1523" s="4">
        <v>3.034284</v>
      </c>
      <c r="V1523" t="str">
        <f>IF(Table1[[#This Row],[ai_disruption_intensity]]&gt;70,"High",
IF(Table1[[#This Row],[ai_disruption_intensity]]&gt;40,"Medium","Low"))</f>
        <v>Low</v>
      </c>
      <c r="W1523" t="str">
        <f>IF(Table1[[#This Row],[skill_gap_index]]&gt;70,"Large Gap",
IF(Table1[[#This Row],[skill_gap_index]]&gt;40,"Medium Gap","Small Gap"))</f>
        <v>Large Gap</v>
      </c>
      <c r="X1523" s="3" t="str">
        <f>IF(Table1[[#This Row],[automation_risk_percent]]&gt;0.7,"Highly Automatable",
IF(Table1[[#This Row],[automation_risk_percent]]&gt;0.4,"Moderate Risk","Safe Job"))</f>
        <v>Moderate Risk</v>
      </c>
    </row>
    <row r="1524" spans="1:24" x14ac:dyDescent="0.3">
      <c r="A1524">
        <v>5491</v>
      </c>
      <c r="B1524" t="s">
        <v>39</v>
      </c>
      <c r="C1524" t="s">
        <v>19</v>
      </c>
      <c r="D1524" t="s">
        <v>32</v>
      </c>
      <c r="E1524" s="1">
        <v>2025</v>
      </c>
      <c r="F1524" s="11">
        <v>0.42799999999999999</v>
      </c>
      <c r="G1524">
        <v>48.98</v>
      </c>
      <c r="H1524">
        <v>73.569999999999993</v>
      </c>
      <c r="I1524" s="2">
        <v>58613.11</v>
      </c>
      <c r="J1524" s="2">
        <v>51883.62</v>
      </c>
      <c r="K1524" s="2">
        <f>Table1[[#This Row],[Salary_after]]-Table1[[#This Row],[Salary_before]]</f>
        <v>-6729.489999999998</v>
      </c>
      <c r="L1524" s="11">
        <v>-0.1148</v>
      </c>
      <c r="M1524" s="11">
        <v>-5.0499999999999996E-2</v>
      </c>
      <c r="N1524">
        <v>80.260000000000005</v>
      </c>
      <c r="O1524">
        <v>49.01</v>
      </c>
      <c r="P1524">
        <v>2</v>
      </c>
      <c r="Q1524" t="s">
        <v>25</v>
      </c>
      <c r="R1524">
        <v>58.184999999999903</v>
      </c>
      <c r="S1524">
        <v>11.48</v>
      </c>
      <c r="T1524" s="4">
        <v>42.634999999999998</v>
      </c>
      <c r="U1524" s="4">
        <v>20.9762799999999</v>
      </c>
      <c r="V1524" t="str">
        <f>IF(Table1[[#This Row],[ai_disruption_intensity]]&gt;70,"High",
IF(Table1[[#This Row],[ai_disruption_intensity]]&gt;40,"Medium","Low"))</f>
        <v>Low</v>
      </c>
      <c r="W1524" t="str">
        <f>IF(Table1[[#This Row],[skill_gap_index]]&gt;70,"Large Gap",
IF(Table1[[#This Row],[skill_gap_index]]&gt;40,"Medium Gap","Small Gap"))</f>
        <v>Large Gap</v>
      </c>
      <c r="X1524" s="3" t="str">
        <f>IF(Table1[[#This Row],[automation_risk_percent]]&gt;0.7,"Highly Automatable",
IF(Table1[[#This Row],[automation_risk_percent]]&gt;0.4,"Moderate Risk","Safe Job"))</f>
        <v>Moderate Risk</v>
      </c>
    </row>
    <row r="1525" spans="1:24" x14ac:dyDescent="0.3">
      <c r="A1525">
        <v>5494</v>
      </c>
      <c r="B1525" t="s">
        <v>39</v>
      </c>
      <c r="C1525" t="s">
        <v>23</v>
      </c>
      <c r="D1525" t="s">
        <v>20</v>
      </c>
      <c r="E1525" s="1">
        <v>2025</v>
      </c>
      <c r="F1525" s="11">
        <v>0.45549999999999996</v>
      </c>
      <c r="G1525">
        <v>42.21</v>
      </c>
      <c r="H1525">
        <v>78.36</v>
      </c>
      <c r="I1525" s="2">
        <v>43768</v>
      </c>
      <c r="J1525" s="2">
        <v>45918.28</v>
      </c>
      <c r="K1525" s="2">
        <f>Table1[[#This Row],[Salary_after]]-Table1[[#This Row],[Salary_before]]</f>
        <v>2150.2799999999988</v>
      </c>
      <c r="L1525" s="11">
        <v>4.9100000000000005E-2</v>
      </c>
      <c r="M1525" s="11">
        <v>0.1741</v>
      </c>
      <c r="N1525">
        <v>36.04</v>
      </c>
      <c r="O1525">
        <v>34.450000000000003</v>
      </c>
      <c r="P1525">
        <v>3</v>
      </c>
      <c r="Q1525" t="s">
        <v>25</v>
      </c>
      <c r="R1525">
        <v>61.954999999999998</v>
      </c>
      <c r="S1525">
        <v>4.91</v>
      </c>
      <c r="T1525" s="4">
        <v>43.200999999999901</v>
      </c>
      <c r="U1525" s="4">
        <v>15.691974999999999</v>
      </c>
      <c r="V1525" t="str">
        <f>IF(Table1[[#This Row],[ai_disruption_intensity]]&gt;70,"High",
IF(Table1[[#This Row],[ai_disruption_intensity]]&gt;40,"Medium","Low"))</f>
        <v>Low</v>
      </c>
      <c r="W1525" t="str">
        <f>IF(Table1[[#This Row],[skill_gap_index]]&gt;70,"Large Gap",
IF(Table1[[#This Row],[skill_gap_index]]&gt;40,"Medium Gap","Small Gap"))</f>
        <v>Large Gap</v>
      </c>
      <c r="X1525" s="3" t="str">
        <f>IF(Table1[[#This Row],[automation_risk_percent]]&gt;0.7,"Highly Automatable",
IF(Table1[[#This Row],[automation_risk_percent]]&gt;0.4,"Moderate Risk","Safe Job"))</f>
        <v>Moderate Risk</v>
      </c>
    </row>
    <row r="1526" spans="1:24" x14ac:dyDescent="0.3">
      <c r="A1526">
        <v>5495</v>
      </c>
      <c r="B1526" t="s">
        <v>44</v>
      </c>
      <c r="C1526" t="s">
        <v>27</v>
      </c>
      <c r="D1526" t="s">
        <v>35</v>
      </c>
      <c r="E1526" s="1">
        <v>2025</v>
      </c>
      <c r="F1526" s="11">
        <v>0.22800000000000001</v>
      </c>
      <c r="G1526">
        <v>20.55</v>
      </c>
      <c r="H1526">
        <v>71.73</v>
      </c>
      <c r="I1526" s="2">
        <v>75106.100000000006</v>
      </c>
      <c r="J1526" s="2">
        <v>76220.789999999994</v>
      </c>
      <c r="K1526" s="2">
        <f>Table1[[#This Row],[Salary_after]]-Table1[[#This Row],[Salary_before]]</f>
        <v>1114.6899999999878</v>
      </c>
      <c r="L1526" s="11">
        <v>1.4800000000000001E-2</v>
      </c>
      <c r="M1526" s="11">
        <v>0.24719999999999998</v>
      </c>
      <c r="N1526">
        <v>23.08</v>
      </c>
      <c r="O1526">
        <v>49.91</v>
      </c>
      <c r="P1526">
        <v>1</v>
      </c>
      <c r="Q1526" t="s">
        <v>21</v>
      </c>
      <c r="R1526">
        <v>47.265000000000001</v>
      </c>
      <c r="S1526">
        <v>1.48</v>
      </c>
      <c r="T1526" s="4">
        <v>31.082999999999998</v>
      </c>
      <c r="U1526" s="4">
        <v>11.379479999999999</v>
      </c>
      <c r="V1526" t="str">
        <f>IF(Table1[[#This Row],[ai_disruption_intensity]]&gt;70,"High",
IF(Table1[[#This Row],[ai_disruption_intensity]]&gt;40,"Medium","Low"))</f>
        <v>Low</v>
      </c>
      <c r="W1526" t="str">
        <f>IF(Table1[[#This Row],[skill_gap_index]]&gt;70,"Large Gap",
IF(Table1[[#This Row],[skill_gap_index]]&gt;40,"Medium Gap","Small Gap"))</f>
        <v>Large Gap</v>
      </c>
      <c r="X1526" s="3" t="str">
        <f>IF(Table1[[#This Row],[automation_risk_percent]]&gt;0.7,"Highly Automatable",
IF(Table1[[#This Row],[automation_risk_percent]]&gt;0.4,"Moderate Risk","Safe Job"))</f>
        <v>Safe Job</v>
      </c>
    </row>
    <row r="1527" spans="1:24" x14ac:dyDescent="0.3">
      <c r="A1527">
        <v>5498</v>
      </c>
      <c r="B1527" t="s">
        <v>26</v>
      </c>
      <c r="C1527" t="s">
        <v>19</v>
      </c>
      <c r="D1527" t="s">
        <v>47</v>
      </c>
      <c r="E1527" s="1">
        <v>2025</v>
      </c>
      <c r="F1527" s="11">
        <v>0.23379999999999998</v>
      </c>
      <c r="G1527">
        <v>23.02</v>
      </c>
      <c r="H1527">
        <v>92.92</v>
      </c>
      <c r="I1527" s="2">
        <v>121348.78</v>
      </c>
      <c r="J1527" s="2">
        <v>123016.16</v>
      </c>
      <c r="K1527" s="2">
        <f>Table1[[#This Row],[Salary_after]]-Table1[[#This Row],[Salary_before]]</f>
        <v>1667.3800000000047</v>
      </c>
      <c r="L1527" s="11">
        <v>1.37E-2</v>
      </c>
      <c r="M1527" s="11">
        <v>-2.4700000000000003E-2</v>
      </c>
      <c r="N1527">
        <v>37.93</v>
      </c>
      <c r="O1527">
        <v>50.85</v>
      </c>
      <c r="P1527">
        <v>5</v>
      </c>
      <c r="Q1527" t="s">
        <v>21</v>
      </c>
      <c r="R1527">
        <v>58.15</v>
      </c>
      <c r="S1527">
        <v>1.37</v>
      </c>
      <c r="T1527" s="4">
        <v>37.639000000000003</v>
      </c>
      <c r="U1527" s="4">
        <v>11.888730000000001</v>
      </c>
      <c r="V1527" t="str">
        <f>IF(Table1[[#This Row],[ai_disruption_intensity]]&gt;70,"High",
IF(Table1[[#This Row],[ai_disruption_intensity]]&gt;40,"Medium","Low"))</f>
        <v>Low</v>
      </c>
      <c r="W1527" t="str">
        <f>IF(Table1[[#This Row],[skill_gap_index]]&gt;70,"Large Gap",
IF(Table1[[#This Row],[skill_gap_index]]&gt;40,"Medium Gap","Small Gap"))</f>
        <v>Large Gap</v>
      </c>
      <c r="X1527" s="3" t="str">
        <f>IF(Table1[[#This Row],[automation_risk_percent]]&gt;0.7,"Highly Automatable",
IF(Table1[[#This Row],[automation_risk_percent]]&gt;0.4,"Moderate Risk","Safe Job"))</f>
        <v>Safe Job</v>
      </c>
    </row>
    <row r="1528" spans="1:24" x14ac:dyDescent="0.3">
      <c r="A1528">
        <v>5500</v>
      </c>
      <c r="B1528" t="s">
        <v>43</v>
      </c>
      <c r="C1528" t="s">
        <v>34</v>
      </c>
      <c r="D1528" t="s">
        <v>24</v>
      </c>
      <c r="E1528" s="1">
        <v>2026</v>
      </c>
      <c r="F1528" s="11">
        <v>0.45429999999999998</v>
      </c>
      <c r="G1528">
        <v>39.11</v>
      </c>
      <c r="H1528">
        <v>93.22</v>
      </c>
      <c r="I1528" s="2">
        <v>108035.96</v>
      </c>
      <c r="J1528" s="2">
        <v>116200.91</v>
      </c>
      <c r="K1528" s="2">
        <f>Table1[[#This Row],[Salary_after]]-Table1[[#This Row],[Salary_before]]</f>
        <v>8164.9499999999971</v>
      </c>
      <c r="L1528" s="11">
        <v>7.5600000000000001E-2</v>
      </c>
      <c r="M1528" s="11">
        <v>0.24559999999999998</v>
      </c>
      <c r="N1528">
        <v>27.35</v>
      </c>
      <c r="O1528">
        <v>23.35</v>
      </c>
      <c r="P1528">
        <v>5</v>
      </c>
      <c r="Q1528" t="s">
        <v>25</v>
      </c>
      <c r="R1528">
        <v>69.325000000000003</v>
      </c>
      <c r="S1528">
        <v>7.56</v>
      </c>
      <c r="T1528" s="4">
        <v>48.405999999999999</v>
      </c>
      <c r="U1528" s="4">
        <v>10.607905000000001</v>
      </c>
      <c r="V1528" t="str">
        <f>IF(Table1[[#This Row],[ai_disruption_intensity]]&gt;70,"High",
IF(Table1[[#This Row],[ai_disruption_intensity]]&gt;40,"Medium","Low"))</f>
        <v>Low</v>
      </c>
      <c r="W1528" t="str">
        <f>IF(Table1[[#This Row],[skill_gap_index]]&gt;70,"Large Gap",
IF(Table1[[#This Row],[skill_gap_index]]&gt;40,"Medium Gap","Small Gap"))</f>
        <v>Large Gap</v>
      </c>
      <c r="X1528" s="3" t="str">
        <f>IF(Table1[[#This Row],[automation_risk_percent]]&gt;0.7,"Highly Automatable",
IF(Table1[[#This Row],[automation_risk_percent]]&gt;0.4,"Moderate Risk","Safe Job"))</f>
        <v>Moderate Risk</v>
      </c>
    </row>
    <row r="1529" spans="1:24" x14ac:dyDescent="0.3">
      <c r="A1529">
        <v>5501</v>
      </c>
      <c r="B1529" t="s">
        <v>44</v>
      </c>
      <c r="C1529" t="s">
        <v>27</v>
      </c>
      <c r="D1529" t="s">
        <v>32</v>
      </c>
      <c r="E1529" s="1">
        <v>2026</v>
      </c>
      <c r="F1529" s="11">
        <v>0.49459999999999998</v>
      </c>
      <c r="G1529">
        <v>45.93</v>
      </c>
      <c r="H1529">
        <v>83.48</v>
      </c>
      <c r="I1529" s="2">
        <v>41728.71</v>
      </c>
      <c r="J1529" s="2">
        <v>38026.06</v>
      </c>
      <c r="K1529" s="2">
        <f>Table1[[#This Row],[Salary_after]]-Table1[[#This Row],[Salary_before]]</f>
        <v>-3702.6500000000015</v>
      </c>
      <c r="L1529" s="11">
        <v>-8.8699999999999987E-2</v>
      </c>
      <c r="M1529" s="11">
        <v>0.13919999999999999</v>
      </c>
      <c r="N1529">
        <v>74.349999999999994</v>
      </c>
      <c r="O1529">
        <v>43.88</v>
      </c>
      <c r="P1529">
        <v>2</v>
      </c>
      <c r="Q1529" t="s">
        <v>25</v>
      </c>
      <c r="R1529">
        <v>66.47</v>
      </c>
      <c r="S1529">
        <v>8.8699999999999992</v>
      </c>
      <c r="T1529" s="4">
        <v>47.488999999999997</v>
      </c>
      <c r="U1529" s="4">
        <v>21.703047999999999</v>
      </c>
      <c r="V1529" t="str">
        <f>IF(Table1[[#This Row],[ai_disruption_intensity]]&gt;70,"High",
IF(Table1[[#This Row],[ai_disruption_intensity]]&gt;40,"Medium","Low"))</f>
        <v>Low</v>
      </c>
      <c r="W1529" t="str">
        <f>IF(Table1[[#This Row],[skill_gap_index]]&gt;70,"Large Gap",
IF(Table1[[#This Row],[skill_gap_index]]&gt;40,"Medium Gap","Small Gap"))</f>
        <v>Large Gap</v>
      </c>
      <c r="X1529" s="3" t="str">
        <f>IF(Table1[[#This Row],[automation_risk_percent]]&gt;0.7,"Highly Automatable",
IF(Table1[[#This Row],[automation_risk_percent]]&gt;0.4,"Moderate Risk","Safe Job"))</f>
        <v>Moderate Risk</v>
      </c>
    </row>
    <row r="1530" spans="1:24" x14ac:dyDescent="0.3">
      <c r="A1530">
        <v>5503</v>
      </c>
      <c r="B1530" t="s">
        <v>18</v>
      </c>
      <c r="C1530" t="s">
        <v>27</v>
      </c>
      <c r="D1530" t="s">
        <v>32</v>
      </c>
      <c r="E1530" s="1">
        <v>2025</v>
      </c>
      <c r="F1530" s="11">
        <v>0.29949999999999999</v>
      </c>
      <c r="G1530">
        <v>30.13</v>
      </c>
      <c r="H1530">
        <v>32.94</v>
      </c>
      <c r="I1530" s="2">
        <v>30589.97</v>
      </c>
      <c r="J1530" s="2">
        <v>35356.720000000001</v>
      </c>
      <c r="K1530" s="2">
        <f>Table1[[#This Row],[Salary_after]]-Table1[[#This Row],[Salary_before]]</f>
        <v>4766.75</v>
      </c>
      <c r="L1530" s="11">
        <v>0.15579999999999999</v>
      </c>
      <c r="M1530" s="11">
        <v>1.54E-2</v>
      </c>
      <c r="N1530">
        <v>21.3</v>
      </c>
      <c r="O1530">
        <v>92.65</v>
      </c>
      <c r="P1530">
        <v>2</v>
      </c>
      <c r="Q1530" t="s">
        <v>21</v>
      </c>
      <c r="R1530">
        <v>31.445</v>
      </c>
      <c r="S1530">
        <v>15.58</v>
      </c>
      <c r="T1530" s="4">
        <v>26.536000000000001</v>
      </c>
      <c r="U1530" s="4">
        <v>27.748674999999999</v>
      </c>
      <c r="V1530" t="str">
        <f>IF(Table1[[#This Row],[ai_disruption_intensity]]&gt;70,"High",
IF(Table1[[#This Row],[ai_disruption_intensity]]&gt;40,"Medium","Low"))</f>
        <v>Low</v>
      </c>
      <c r="W1530" t="str">
        <f>IF(Table1[[#This Row],[skill_gap_index]]&gt;70,"Large Gap",
IF(Table1[[#This Row],[skill_gap_index]]&gt;40,"Medium Gap","Small Gap"))</f>
        <v>Small Gap</v>
      </c>
      <c r="X1530" s="3" t="str">
        <f>IF(Table1[[#This Row],[automation_risk_percent]]&gt;0.7,"Highly Automatable",
IF(Table1[[#This Row],[automation_risk_percent]]&gt;0.4,"Moderate Risk","Safe Job"))</f>
        <v>Safe Job</v>
      </c>
    </row>
    <row r="1531" spans="1:24" x14ac:dyDescent="0.3">
      <c r="A1531">
        <v>5507</v>
      </c>
      <c r="B1531" t="s">
        <v>26</v>
      </c>
      <c r="C1531" t="s">
        <v>34</v>
      </c>
      <c r="D1531" t="s">
        <v>24</v>
      </c>
      <c r="E1531" s="1">
        <v>2025</v>
      </c>
      <c r="F1531" s="11">
        <v>0.63280000000000003</v>
      </c>
      <c r="G1531">
        <v>70.010000000000005</v>
      </c>
      <c r="H1531">
        <v>23.57</v>
      </c>
      <c r="I1531" s="2">
        <v>58278.62</v>
      </c>
      <c r="J1531" s="2">
        <v>62422.38</v>
      </c>
      <c r="K1531" s="2">
        <f>Table1[[#This Row],[Salary_after]]-Table1[[#This Row],[Salary_before]]</f>
        <v>4143.7599999999948</v>
      </c>
      <c r="L1531" s="11">
        <v>7.1099999999999997E-2</v>
      </c>
      <c r="M1531" s="11">
        <v>0.14130000000000001</v>
      </c>
      <c r="N1531">
        <v>34.049999999999997</v>
      </c>
      <c r="O1531">
        <v>84.74</v>
      </c>
      <c r="P1531">
        <v>2</v>
      </c>
      <c r="Q1531" t="s">
        <v>37</v>
      </c>
      <c r="R1531">
        <v>43.424999999999997</v>
      </c>
      <c r="S1531">
        <v>7.11</v>
      </c>
      <c r="T1531" s="4">
        <v>34.515999999999998</v>
      </c>
      <c r="U1531" s="4">
        <v>53.623472</v>
      </c>
      <c r="V1531" t="str">
        <f>IF(Table1[[#This Row],[ai_disruption_intensity]]&gt;70,"High",
IF(Table1[[#This Row],[ai_disruption_intensity]]&gt;40,"Medium","Low"))</f>
        <v>Medium</v>
      </c>
      <c r="W1531" t="str">
        <f>IF(Table1[[#This Row],[skill_gap_index]]&gt;70,"Large Gap",
IF(Table1[[#This Row],[skill_gap_index]]&gt;40,"Medium Gap","Small Gap"))</f>
        <v>Small Gap</v>
      </c>
      <c r="X1531" s="3" t="str">
        <f>IF(Table1[[#This Row],[automation_risk_percent]]&gt;0.7,"Highly Automatable",
IF(Table1[[#This Row],[automation_risk_percent]]&gt;0.4,"Moderate Risk","Safe Job"))</f>
        <v>Moderate Risk</v>
      </c>
    </row>
    <row r="1532" spans="1:24" x14ac:dyDescent="0.3">
      <c r="A1532">
        <v>5509</v>
      </c>
      <c r="B1532" t="s">
        <v>29</v>
      </c>
      <c r="C1532" t="s">
        <v>27</v>
      </c>
      <c r="D1532" t="s">
        <v>24</v>
      </c>
      <c r="E1532" s="1">
        <v>2025</v>
      </c>
      <c r="F1532" s="11">
        <v>0.42499999999999999</v>
      </c>
      <c r="G1532">
        <v>45.29</v>
      </c>
      <c r="H1532">
        <v>79.06</v>
      </c>
      <c r="I1532" s="2">
        <v>87479.51</v>
      </c>
      <c r="J1532" s="2">
        <v>91855.22</v>
      </c>
      <c r="K1532" s="2">
        <f>Table1[[#This Row],[Salary_after]]-Table1[[#This Row],[Salary_before]]</f>
        <v>4375.7100000000064</v>
      </c>
      <c r="L1532" s="11">
        <v>0.05</v>
      </c>
      <c r="M1532" s="11">
        <v>0.26140000000000002</v>
      </c>
      <c r="N1532">
        <v>15.31</v>
      </c>
      <c r="O1532">
        <v>42.31</v>
      </c>
      <c r="P1532">
        <v>5</v>
      </c>
      <c r="Q1532" t="s">
        <v>25</v>
      </c>
      <c r="R1532">
        <v>60.78</v>
      </c>
      <c r="S1532">
        <v>5</v>
      </c>
      <c r="T1532" s="4">
        <v>42.218000000000004</v>
      </c>
      <c r="U1532" s="4">
        <v>17.981750000000002</v>
      </c>
      <c r="V1532" t="str">
        <f>IF(Table1[[#This Row],[ai_disruption_intensity]]&gt;70,"High",
IF(Table1[[#This Row],[ai_disruption_intensity]]&gt;40,"Medium","Low"))</f>
        <v>Low</v>
      </c>
      <c r="W1532" t="str">
        <f>IF(Table1[[#This Row],[skill_gap_index]]&gt;70,"Large Gap",
IF(Table1[[#This Row],[skill_gap_index]]&gt;40,"Medium Gap","Small Gap"))</f>
        <v>Large Gap</v>
      </c>
      <c r="X1532" s="3" t="str">
        <f>IF(Table1[[#This Row],[automation_risk_percent]]&gt;0.7,"Highly Automatable",
IF(Table1[[#This Row],[automation_risk_percent]]&gt;0.4,"Moderate Risk","Safe Job"))</f>
        <v>Moderate Risk</v>
      </c>
    </row>
    <row r="1533" spans="1:24" x14ac:dyDescent="0.3">
      <c r="A1533">
        <v>5510</v>
      </c>
      <c r="B1533" t="s">
        <v>22</v>
      </c>
      <c r="C1533" t="s">
        <v>23</v>
      </c>
      <c r="D1533" t="s">
        <v>36</v>
      </c>
      <c r="E1533" s="1">
        <v>2025</v>
      </c>
      <c r="F1533" s="11">
        <v>0.1069</v>
      </c>
      <c r="G1533">
        <v>11.38</v>
      </c>
      <c r="H1533">
        <v>50.82</v>
      </c>
      <c r="I1533" s="2">
        <v>45219.78</v>
      </c>
      <c r="J1533" s="2">
        <v>49452.65</v>
      </c>
      <c r="K1533" s="2">
        <f>Table1[[#This Row],[Salary_after]]-Table1[[#This Row],[Salary_before]]</f>
        <v>4232.8700000000026</v>
      </c>
      <c r="L1533" s="11">
        <v>9.3599999999999989E-2</v>
      </c>
      <c r="M1533" s="11">
        <v>5.9900000000000002E-2</v>
      </c>
      <c r="N1533">
        <v>40.64</v>
      </c>
      <c r="O1533">
        <v>98.24</v>
      </c>
      <c r="P1533">
        <v>3</v>
      </c>
      <c r="Q1533" t="s">
        <v>21</v>
      </c>
      <c r="R1533">
        <v>30.754999999999999</v>
      </c>
      <c r="S1533">
        <v>9.36</v>
      </c>
      <c r="T1533" s="4">
        <v>22.33</v>
      </c>
      <c r="U1533" s="4">
        <v>10.501855999999901</v>
      </c>
      <c r="V1533" t="str">
        <f>IF(Table1[[#This Row],[ai_disruption_intensity]]&gt;70,"High",
IF(Table1[[#This Row],[ai_disruption_intensity]]&gt;40,"Medium","Low"))</f>
        <v>Low</v>
      </c>
      <c r="W1533" t="str">
        <f>IF(Table1[[#This Row],[skill_gap_index]]&gt;70,"Large Gap",
IF(Table1[[#This Row],[skill_gap_index]]&gt;40,"Medium Gap","Small Gap"))</f>
        <v>Medium Gap</v>
      </c>
      <c r="X1533" s="3" t="str">
        <f>IF(Table1[[#This Row],[automation_risk_percent]]&gt;0.7,"Highly Automatable",
IF(Table1[[#This Row],[automation_risk_percent]]&gt;0.4,"Moderate Risk","Safe Job"))</f>
        <v>Safe Job</v>
      </c>
    </row>
    <row r="1534" spans="1:24" x14ac:dyDescent="0.3">
      <c r="A1534">
        <v>5512</v>
      </c>
      <c r="B1534" t="s">
        <v>45</v>
      </c>
      <c r="C1534" t="s">
        <v>38</v>
      </c>
      <c r="D1534" t="s">
        <v>35</v>
      </c>
      <c r="E1534" s="1">
        <v>2026</v>
      </c>
      <c r="F1534" s="11">
        <v>0.2069</v>
      </c>
      <c r="G1534">
        <v>22.43</v>
      </c>
      <c r="H1534">
        <v>38.299999999999997</v>
      </c>
      <c r="I1534" s="2">
        <v>53921.14</v>
      </c>
      <c r="J1534" s="2">
        <v>53655.8</v>
      </c>
      <c r="K1534" s="2">
        <f>Table1[[#This Row],[Salary_after]]-Table1[[#This Row],[Salary_before]]</f>
        <v>-265.33999999999651</v>
      </c>
      <c r="L1534" s="11">
        <v>-4.8999999999999998E-3</v>
      </c>
      <c r="M1534" s="11">
        <v>0.18629999999999999</v>
      </c>
      <c r="N1534">
        <v>61.09</v>
      </c>
      <c r="O1534">
        <v>15.39</v>
      </c>
      <c r="P1534">
        <v>3</v>
      </c>
      <c r="Q1534" t="s">
        <v>21</v>
      </c>
      <c r="R1534">
        <v>29.494999999999902</v>
      </c>
      <c r="S1534">
        <v>0.49</v>
      </c>
      <c r="T1534" s="4">
        <v>19.912999999999901</v>
      </c>
      <c r="U1534" s="4">
        <v>3.1841910000000002</v>
      </c>
      <c r="V1534" t="str">
        <f>IF(Table1[[#This Row],[ai_disruption_intensity]]&gt;70,"High",
IF(Table1[[#This Row],[ai_disruption_intensity]]&gt;40,"Medium","Low"))</f>
        <v>Low</v>
      </c>
      <c r="W1534" t="str">
        <f>IF(Table1[[#This Row],[skill_gap_index]]&gt;70,"Large Gap",
IF(Table1[[#This Row],[skill_gap_index]]&gt;40,"Medium Gap","Small Gap"))</f>
        <v>Small Gap</v>
      </c>
      <c r="X1534" s="3" t="str">
        <f>IF(Table1[[#This Row],[automation_risk_percent]]&gt;0.7,"Highly Automatable",
IF(Table1[[#This Row],[automation_risk_percent]]&gt;0.4,"Moderate Risk","Safe Job"))</f>
        <v>Safe Job</v>
      </c>
    </row>
    <row r="1535" spans="1:24" x14ac:dyDescent="0.3">
      <c r="A1535">
        <v>5513</v>
      </c>
      <c r="B1535" t="s">
        <v>18</v>
      </c>
      <c r="C1535" t="s">
        <v>40</v>
      </c>
      <c r="D1535" t="s">
        <v>36</v>
      </c>
      <c r="E1535" s="1">
        <v>2026</v>
      </c>
      <c r="F1535" s="11">
        <v>0.2349</v>
      </c>
      <c r="G1535">
        <v>19.98</v>
      </c>
      <c r="H1535">
        <v>51.45</v>
      </c>
      <c r="I1535" s="2">
        <v>123078.84</v>
      </c>
      <c r="J1535" s="2">
        <v>111834.91</v>
      </c>
      <c r="K1535" s="2">
        <f>Table1[[#This Row],[Salary_after]]-Table1[[#This Row],[Salary_before]]</f>
        <v>-11243.929999999993</v>
      </c>
      <c r="L1535" s="11">
        <v>-9.1400000000000009E-2</v>
      </c>
      <c r="M1535" s="11">
        <v>0.1389</v>
      </c>
      <c r="N1535">
        <v>86.64</v>
      </c>
      <c r="O1535">
        <v>10.57</v>
      </c>
      <c r="P1535">
        <v>1</v>
      </c>
      <c r="Q1535" t="s">
        <v>21</v>
      </c>
      <c r="R1535">
        <v>37.47</v>
      </c>
      <c r="S1535">
        <v>9.14</v>
      </c>
      <c r="T1535" s="4">
        <v>27.573</v>
      </c>
      <c r="U1535" s="4">
        <v>2.4828929999999998</v>
      </c>
      <c r="V1535" t="str">
        <f>IF(Table1[[#This Row],[ai_disruption_intensity]]&gt;70,"High",
IF(Table1[[#This Row],[ai_disruption_intensity]]&gt;40,"Medium","Low"))</f>
        <v>Low</v>
      </c>
      <c r="W1535" t="str">
        <f>IF(Table1[[#This Row],[skill_gap_index]]&gt;70,"Large Gap",
IF(Table1[[#This Row],[skill_gap_index]]&gt;40,"Medium Gap","Small Gap"))</f>
        <v>Medium Gap</v>
      </c>
      <c r="X1535" s="3" t="str">
        <f>IF(Table1[[#This Row],[automation_risk_percent]]&gt;0.7,"Highly Automatable",
IF(Table1[[#This Row],[automation_risk_percent]]&gt;0.4,"Moderate Risk","Safe Job"))</f>
        <v>Safe Job</v>
      </c>
    </row>
    <row r="1536" spans="1:24" x14ac:dyDescent="0.3">
      <c r="A1536">
        <v>5515</v>
      </c>
      <c r="B1536" t="s">
        <v>29</v>
      </c>
      <c r="C1536" t="s">
        <v>19</v>
      </c>
      <c r="D1536" t="s">
        <v>32</v>
      </c>
      <c r="E1536" s="1">
        <v>2025</v>
      </c>
      <c r="F1536" s="11">
        <v>0.48139999999999999</v>
      </c>
      <c r="G1536">
        <v>53.96</v>
      </c>
      <c r="H1536">
        <v>81.88</v>
      </c>
      <c r="I1536" s="2">
        <v>103730.77</v>
      </c>
      <c r="J1536" s="2">
        <v>100212.94</v>
      </c>
      <c r="K1536" s="2">
        <f>Table1[[#This Row],[Salary_after]]-Table1[[#This Row],[Salary_before]]</f>
        <v>-3517.8300000000017</v>
      </c>
      <c r="L1536" s="11">
        <v>-3.39E-2</v>
      </c>
      <c r="M1536" s="11">
        <v>-0.13289999999999999</v>
      </c>
      <c r="N1536">
        <v>73.2</v>
      </c>
      <c r="O1536">
        <v>6.93</v>
      </c>
      <c r="P1536">
        <v>1</v>
      </c>
      <c r="Q1536" t="s">
        <v>25</v>
      </c>
      <c r="R1536">
        <v>65.009999999999906</v>
      </c>
      <c r="S1536">
        <v>3.39</v>
      </c>
      <c r="T1536" s="4">
        <v>44.836999999999897</v>
      </c>
      <c r="U1536" s="4">
        <v>3.3361019999999901</v>
      </c>
      <c r="V1536" t="str">
        <f>IF(Table1[[#This Row],[ai_disruption_intensity]]&gt;70,"High",
IF(Table1[[#This Row],[ai_disruption_intensity]]&gt;40,"Medium","Low"))</f>
        <v>Low</v>
      </c>
      <c r="W1536" t="str">
        <f>IF(Table1[[#This Row],[skill_gap_index]]&gt;70,"Large Gap",
IF(Table1[[#This Row],[skill_gap_index]]&gt;40,"Medium Gap","Small Gap"))</f>
        <v>Large Gap</v>
      </c>
      <c r="X1536" s="3" t="str">
        <f>IF(Table1[[#This Row],[automation_risk_percent]]&gt;0.7,"Highly Automatable",
IF(Table1[[#This Row],[automation_risk_percent]]&gt;0.4,"Moderate Risk","Safe Job"))</f>
        <v>Moderate Risk</v>
      </c>
    </row>
    <row r="1537" spans="1:24" x14ac:dyDescent="0.3">
      <c r="A1537">
        <v>5517</v>
      </c>
      <c r="B1537" t="s">
        <v>41</v>
      </c>
      <c r="C1537" t="s">
        <v>34</v>
      </c>
      <c r="D1537" t="s">
        <v>35</v>
      </c>
      <c r="E1537" s="1">
        <v>2025</v>
      </c>
      <c r="F1537" s="11">
        <v>0.3246</v>
      </c>
      <c r="G1537">
        <v>37.54</v>
      </c>
      <c r="H1537">
        <v>36.380000000000003</v>
      </c>
      <c r="I1537" s="2">
        <v>104943.69</v>
      </c>
      <c r="J1537" s="2">
        <v>109410.46</v>
      </c>
      <c r="K1537" s="2">
        <f>Table1[[#This Row],[Salary_after]]-Table1[[#This Row],[Salary_before]]</f>
        <v>4466.7700000000041</v>
      </c>
      <c r="L1537" s="11">
        <v>4.2599999999999999E-2</v>
      </c>
      <c r="M1537" s="11">
        <v>2.5600000000000001E-2</v>
      </c>
      <c r="N1537">
        <v>44.94</v>
      </c>
      <c r="O1537">
        <v>70.64</v>
      </c>
      <c r="P1537">
        <v>5</v>
      </c>
      <c r="Q1537" t="s">
        <v>25</v>
      </c>
      <c r="R1537">
        <v>34.42</v>
      </c>
      <c r="S1537">
        <v>4.26</v>
      </c>
      <c r="T1537" s="4">
        <v>25.175999999999998</v>
      </c>
      <c r="U1537" s="4">
        <v>22.929743999999999</v>
      </c>
      <c r="V1537" t="str">
        <f>IF(Table1[[#This Row],[ai_disruption_intensity]]&gt;70,"High",
IF(Table1[[#This Row],[ai_disruption_intensity]]&gt;40,"Medium","Low"))</f>
        <v>Low</v>
      </c>
      <c r="W1537" t="str">
        <f>IF(Table1[[#This Row],[skill_gap_index]]&gt;70,"Large Gap",
IF(Table1[[#This Row],[skill_gap_index]]&gt;40,"Medium Gap","Small Gap"))</f>
        <v>Small Gap</v>
      </c>
      <c r="X1537" s="3" t="str">
        <f>IF(Table1[[#This Row],[automation_risk_percent]]&gt;0.7,"Highly Automatable",
IF(Table1[[#This Row],[automation_risk_percent]]&gt;0.4,"Moderate Risk","Safe Job"))</f>
        <v>Safe Job</v>
      </c>
    </row>
    <row r="1538" spans="1:24" x14ac:dyDescent="0.3">
      <c r="A1538">
        <v>5519</v>
      </c>
      <c r="B1538" t="s">
        <v>29</v>
      </c>
      <c r="C1538" t="s">
        <v>23</v>
      </c>
      <c r="D1538" t="s">
        <v>36</v>
      </c>
      <c r="E1538" s="1">
        <v>2026</v>
      </c>
      <c r="F1538" s="11">
        <v>0.48630000000000001</v>
      </c>
      <c r="G1538">
        <v>46.36</v>
      </c>
      <c r="H1538">
        <v>65.22</v>
      </c>
      <c r="I1538" s="2">
        <v>51463.4</v>
      </c>
      <c r="J1538" s="2">
        <v>53785.29</v>
      </c>
      <c r="K1538" s="2">
        <f>Table1[[#This Row],[Salary_after]]-Table1[[#This Row],[Salary_before]]</f>
        <v>2321.8899999999994</v>
      </c>
      <c r="L1538" s="11">
        <v>4.5100000000000001E-2</v>
      </c>
      <c r="M1538" s="11">
        <v>0.1164</v>
      </c>
      <c r="N1538">
        <v>62</v>
      </c>
      <c r="O1538">
        <v>12.83</v>
      </c>
      <c r="P1538">
        <v>1</v>
      </c>
      <c r="Q1538" t="s">
        <v>25</v>
      </c>
      <c r="R1538">
        <v>56.924999999999997</v>
      </c>
      <c r="S1538">
        <v>4.51</v>
      </c>
      <c r="T1538" s="4">
        <v>40.371000000000002</v>
      </c>
      <c r="U1538" s="4">
        <v>6.2392289999999999</v>
      </c>
      <c r="V1538" t="str">
        <f>IF(Table1[[#This Row],[ai_disruption_intensity]]&gt;70,"High",
IF(Table1[[#This Row],[ai_disruption_intensity]]&gt;40,"Medium","Low"))</f>
        <v>Low</v>
      </c>
      <c r="W1538" t="str">
        <f>IF(Table1[[#This Row],[skill_gap_index]]&gt;70,"Large Gap",
IF(Table1[[#This Row],[skill_gap_index]]&gt;40,"Medium Gap","Small Gap"))</f>
        <v>Medium Gap</v>
      </c>
      <c r="X1538" s="3" t="str">
        <f>IF(Table1[[#This Row],[automation_risk_percent]]&gt;0.7,"Highly Automatable",
IF(Table1[[#This Row],[automation_risk_percent]]&gt;0.4,"Moderate Risk","Safe Job"))</f>
        <v>Moderate Risk</v>
      </c>
    </row>
    <row r="1539" spans="1:24" x14ac:dyDescent="0.3">
      <c r="A1539">
        <v>5522</v>
      </c>
      <c r="B1539" t="s">
        <v>44</v>
      </c>
      <c r="C1539" t="s">
        <v>23</v>
      </c>
      <c r="D1539" t="s">
        <v>24</v>
      </c>
      <c r="E1539" s="1">
        <v>2026</v>
      </c>
      <c r="F1539" s="11">
        <v>0.61870000000000003</v>
      </c>
      <c r="G1539">
        <v>67.540000000000006</v>
      </c>
      <c r="H1539">
        <v>81.89</v>
      </c>
      <c r="I1539" s="2">
        <v>121461.65</v>
      </c>
      <c r="J1539" s="2">
        <v>111725.02</v>
      </c>
      <c r="K1539" s="2">
        <f>Table1[[#This Row],[Salary_after]]-Table1[[#This Row],[Salary_before]]</f>
        <v>-9736.6299999999901</v>
      </c>
      <c r="L1539" s="11">
        <v>-8.0199999999999994E-2</v>
      </c>
      <c r="M1539" s="11">
        <v>0.1333</v>
      </c>
      <c r="N1539">
        <v>19.149999999999999</v>
      </c>
      <c r="O1539">
        <v>76.180000000000007</v>
      </c>
      <c r="P1539">
        <v>5</v>
      </c>
      <c r="Q1539" t="s">
        <v>37</v>
      </c>
      <c r="R1539">
        <v>71.88</v>
      </c>
      <c r="S1539">
        <v>8.02</v>
      </c>
      <c r="T1539" s="4">
        <v>51.720999999999997</v>
      </c>
      <c r="U1539" s="4">
        <v>47.132565999999997</v>
      </c>
      <c r="V1539" t="str">
        <f>IF(Table1[[#This Row],[ai_disruption_intensity]]&gt;70,"High",
IF(Table1[[#This Row],[ai_disruption_intensity]]&gt;40,"Medium","Low"))</f>
        <v>Medium</v>
      </c>
      <c r="W1539" t="str">
        <f>IF(Table1[[#This Row],[skill_gap_index]]&gt;70,"Large Gap",
IF(Table1[[#This Row],[skill_gap_index]]&gt;40,"Medium Gap","Small Gap"))</f>
        <v>Large Gap</v>
      </c>
      <c r="X1539" s="3" t="str">
        <f>IF(Table1[[#This Row],[automation_risk_percent]]&gt;0.7,"Highly Automatable",
IF(Table1[[#This Row],[automation_risk_percent]]&gt;0.4,"Moderate Risk","Safe Job"))</f>
        <v>Moderate Risk</v>
      </c>
    </row>
    <row r="1540" spans="1:24" x14ac:dyDescent="0.3">
      <c r="A1540">
        <v>5526</v>
      </c>
      <c r="B1540" t="s">
        <v>22</v>
      </c>
      <c r="C1540" t="s">
        <v>38</v>
      </c>
      <c r="D1540" t="s">
        <v>36</v>
      </c>
      <c r="E1540" s="1">
        <v>2025</v>
      </c>
      <c r="F1540" s="11">
        <v>0.53180000000000005</v>
      </c>
      <c r="G1540">
        <v>55.13</v>
      </c>
      <c r="H1540">
        <v>40.71</v>
      </c>
      <c r="I1540" s="2">
        <v>106363.04</v>
      </c>
      <c r="J1540" s="2">
        <v>110023.91</v>
      </c>
      <c r="K1540" s="2">
        <f>Table1[[#This Row],[Salary_after]]-Table1[[#This Row],[Salary_before]]</f>
        <v>3660.8700000000099</v>
      </c>
      <c r="L1540" s="11">
        <v>3.44E-2</v>
      </c>
      <c r="M1540" s="11">
        <v>-2.18E-2</v>
      </c>
      <c r="N1540">
        <v>19.350000000000001</v>
      </c>
      <c r="O1540">
        <v>86.17</v>
      </c>
      <c r="P1540">
        <v>3</v>
      </c>
      <c r="Q1540" t="s">
        <v>25</v>
      </c>
      <c r="R1540">
        <v>46.945</v>
      </c>
      <c r="S1540">
        <v>3.44</v>
      </c>
      <c r="T1540" s="4">
        <v>34.516999999999904</v>
      </c>
      <c r="U1540" s="4">
        <v>45.825206000000001</v>
      </c>
      <c r="V1540" t="str">
        <f>IF(Table1[[#This Row],[ai_disruption_intensity]]&gt;70,"High",
IF(Table1[[#This Row],[ai_disruption_intensity]]&gt;40,"Medium","Low"))</f>
        <v>Medium</v>
      </c>
      <c r="W1540" t="str">
        <f>IF(Table1[[#This Row],[skill_gap_index]]&gt;70,"Large Gap",
IF(Table1[[#This Row],[skill_gap_index]]&gt;40,"Medium Gap","Small Gap"))</f>
        <v>Medium Gap</v>
      </c>
      <c r="X1540" s="3" t="str">
        <f>IF(Table1[[#This Row],[automation_risk_percent]]&gt;0.7,"Highly Automatable",
IF(Table1[[#This Row],[automation_risk_percent]]&gt;0.4,"Moderate Risk","Safe Job"))</f>
        <v>Moderate Risk</v>
      </c>
    </row>
    <row r="1541" spans="1:24" x14ac:dyDescent="0.3">
      <c r="A1541">
        <v>5529</v>
      </c>
      <c r="B1541" t="s">
        <v>44</v>
      </c>
      <c r="C1541" t="s">
        <v>19</v>
      </c>
      <c r="D1541" t="s">
        <v>24</v>
      </c>
      <c r="E1541" s="1">
        <v>2025</v>
      </c>
      <c r="F1541" s="11">
        <v>0.70489999999999997</v>
      </c>
      <c r="G1541">
        <v>59.09</v>
      </c>
      <c r="H1541">
        <v>36.590000000000003</v>
      </c>
      <c r="I1541" s="2">
        <v>142072.91</v>
      </c>
      <c r="J1541" s="2">
        <v>145250.81</v>
      </c>
      <c r="K1541" s="2">
        <f>Table1[[#This Row],[Salary_after]]-Table1[[#This Row],[Salary_before]]</f>
        <v>3177.8999999999942</v>
      </c>
      <c r="L1541" s="11">
        <v>2.2400000000000003E-2</v>
      </c>
      <c r="M1541" s="11">
        <v>-0.11869999999999999</v>
      </c>
      <c r="N1541">
        <v>35.090000000000003</v>
      </c>
      <c r="O1541">
        <v>86.99</v>
      </c>
      <c r="P1541">
        <v>4</v>
      </c>
      <c r="Q1541" t="s">
        <v>37</v>
      </c>
      <c r="R1541">
        <v>53.54</v>
      </c>
      <c r="S1541">
        <v>2.2400000000000002</v>
      </c>
      <c r="T1541" s="4">
        <v>39.844999999999999</v>
      </c>
      <c r="U1541" s="4">
        <v>61.319250999999902</v>
      </c>
      <c r="V1541" t="str">
        <f>IF(Table1[[#This Row],[ai_disruption_intensity]]&gt;70,"High",
IF(Table1[[#This Row],[ai_disruption_intensity]]&gt;40,"Medium","Low"))</f>
        <v>Medium</v>
      </c>
      <c r="W1541" t="str">
        <f>IF(Table1[[#This Row],[skill_gap_index]]&gt;70,"Large Gap",
IF(Table1[[#This Row],[skill_gap_index]]&gt;40,"Medium Gap","Small Gap"))</f>
        <v>Small Gap</v>
      </c>
      <c r="X1541" s="3" t="str">
        <f>IF(Table1[[#This Row],[automation_risk_percent]]&gt;0.7,"Highly Automatable",
IF(Table1[[#This Row],[automation_risk_percent]]&gt;0.4,"Moderate Risk","Safe Job"))</f>
        <v>Highly Automatable</v>
      </c>
    </row>
    <row r="1542" spans="1:24" x14ac:dyDescent="0.3">
      <c r="A1542">
        <v>5531</v>
      </c>
      <c r="B1542" t="s">
        <v>41</v>
      </c>
      <c r="C1542" t="s">
        <v>30</v>
      </c>
      <c r="D1542" t="s">
        <v>32</v>
      </c>
      <c r="E1542" s="1">
        <v>2025</v>
      </c>
      <c r="F1542" s="11">
        <v>0.76</v>
      </c>
      <c r="G1542">
        <v>64.52</v>
      </c>
      <c r="H1542">
        <v>54.97</v>
      </c>
      <c r="I1542" s="2">
        <v>148450.56</v>
      </c>
      <c r="J1542" s="2">
        <v>130586.67</v>
      </c>
      <c r="K1542" s="2">
        <f>Table1[[#This Row],[Salary_after]]-Table1[[#This Row],[Salary_before]]</f>
        <v>-17863.89</v>
      </c>
      <c r="L1542" s="11">
        <v>-0.12029999999999999</v>
      </c>
      <c r="M1542" s="11">
        <v>-5.5500000000000001E-2</v>
      </c>
      <c r="N1542">
        <v>91.3</v>
      </c>
      <c r="O1542">
        <v>11.74</v>
      </c>
      <c r="P1542">
        <v>4</v>
      </c>
      <c r="Q1542" t="s">
        <v>37</v>
      </c>
      <c r="R1542">
        <v>65.484999999999999</v>
      </c>
      <c r="S1542">
        <v>12.03</v>
      </c>
      <c r="T1542" s="4">
        <v>50.5</v>
      </c>
      <c r="U1542" s="4">
        <v>8.9223999999999997</v>
      </c>
      <c r="V1542" t="str">
        <f>IF(Table1[[#This Row],[ai_disruption_intensity]]&gt;70,"High",
IF(Table1[[#This Row],[ai_disruption_intensity]]&gt;40,"Medium","Low"))</f>
        <v>Low</v>
      </c>
      <c r="W1542" t="str">
        <f>IF(Table1[[#This Row],[skill_gap_index]]&gt;70,"Large Gap",
IF(Table1[[#This Row],[skill_gap_index]]&gt;40,"Medium Gap","Small Gap"))</f>
        <v>Medium Gap</v>
      </c>
      <c r="X1542" s="3" t="str">
        <f>IF(Table1[[#This Row],[automation_risk_percent]]&gt;0.7,"Highly Automatable",
IF(Table1[[#This Row],[automation_risk_percent]]&gt;0.4,"Moderate Risk","Safe Job"))</f>
        <v>Highly Automatable</v>
      </c>
    </row>
    <row r="1543" spans="1:24" x14ac:dyDescent="0.3">
      <c r="A1543">
        <v>5534</v>
      </c>
      <c r="B1543" t="s">
        <v>39</v>
      </c>
      <c r="C1543" t="s">
        <v>38</v>
      </c>
      <c r="D1543" t="s">
        <v>24</v>
      </c>
      <c r="E1543" s="1">
        <v>2025</v>
      </c>
      <c r="F1543" s="11">
        <v>0.51849999999999996</v>
      </c>
      <c r="G1543">
        <v>60.65</v>
      </c>
      <c r="H1543">
        <v>51.05</v>
      </c>
      <c r="I1543" s="2">
        <v>63556.97</v>
      </c>
      <c r="J1543" s="2">
        <v>55255.040000000001</v>
      </c>
      <c r="K1543" s="2">
        <f>Table1[[#This Row],[Salary_after]]-Table1[[#This Row],[Salary_before]]</f>
        <v>-8301.93</v>
      </c>
      <c r="L1543" s="11">
        <v>-0.13059999999999999</v>
      </c>
      <c r="M1543" s="11">
        <v>-3.4999999999999996E-3</v>
      </c>
      <c r="N1543">
        <v>29.8</v>
      </c>
      <c r="O1543">
        <v>47.04</v>
      </c>
      <c r="P1543">
        <v>5</v>
      </c>
      <c r="Q1543" t="s">
        <v>25</v>
      </c>
      <c r="R1543">
        <v>51.45</v>
      </c>
      <c r="S1543">
        <v>13.06</v>
      </c>
      <c r="T1543" s="4">
        <v>39.972999999999999</v>
      </c>
      <c r="U1543" s="4">
        <v>24.390239999999999</v>
      </c>
      <c r="V1543" t="str">
        <f>IF(Table1[[#This Row],[ai_disruption_intensity]]&gt;70,"High",
IF(Table1[[#This Row],[ai_disruption_intensity]]&gt;40,"Medium","Low"))</f>
        <v>Low</v>
      </c>
      <c r="W1543" t="str">
        <f>IF(Table1[[#This Row],[skill_gap_index]]&gt;70,"Large Gap",
IF(Table1[[#This Row],[skill_gap_index]]&gt;40,"Medium Gap","Small Gap"))</f>
        <v>Medium Gap</v>
      </c>
      <c r="X1543" s="3" t="str">
        <f>IF(Table1[[#This Row],[automation_risk_percent]]&gt;0.7,"Highly Automatable",
IF(Table1[[#This Row],[automation_risk_percent]]&gt;0.4,"Moderate Risk","Safe Job"))</f>
        <v>Moderate Risk</v>
      </c>
    </row>
    <row r="1544" spans="1:24" x14ac:dyDescent="0.3">
      <c r="A1544">
        <v>5541</v>
      </c>
      <c r="B1544" t="s">
        <v>43</v>
      </c>
      <c r="C1544" t="s">
        <v>33</v>
      </c>
      <c r="D1544" t="s">
        <v>42</v>
      </c>
      <c r="E1544" s="1">
        <v>2025</v>
      </c>
      <c r="F1544" s="11">
        <v>0.71920000000000006</v>
      </c>
      <c r="G1544">
        <v>84.35</v>
      </c>
      <c r="H1544">
        <v>50.48</v>
      </c>
      <c r="I1544" s="2">
        <v>32196.89</v>
      </c>
      <c r="J1544" s="2">
        <v>31880.69</v>
      </c>
      <c r="K1544" s="2">
        <f>Table1[[#This Row],[Salary_after]]-Table1[[#This Row],[Salary_before]]</f>
        <v>-316.20000000000073</v>
      </c>
      <c r="L1544" s="11">
        <v>-9.7999999999999997E-3</v>
      </c>
      <c r="M1544" s="11">
        <v>0.18469999999999998</v>
      </c>
      <c r="N1544">
        <v>16.75</v>
      </c>
      <c r="O1544">
        <v>18.940000000000001</v>
      </c>
      <c r="P1544">
        <v>2</v>
      </c>
      <c r="Q1544" t="s">
        <v>37</v>
      </c>
      <c r="R1544">
        <v>61.2</v>
      </c>
      <c r="S1544">
        <v>0.98</v>
      </c>
      <c r="T1544" s="4">
        <v>44.205999999999896</v>
      </c>
      <c r="U1544" s="4">
        <v>13.621648</v>
      </c>
      <c r="V1544" t="str">
        <f>IF(Table1[[#This Row],[ai_disruption_intensity]]&gt;70,"High",
IF(Table1[[#This Row],[ai_disruption_intensity]]&gt;40,"Medium","Low"))</f>
        <v>Low</v>
      </c>
      <c r="W1544" t="str">
        <f>IF(Table1[[#This Row],[skill_gap_index]]&gt;70,"Large Gap",
IF(Table1[[#This Row],[skill_gap_index]]&gt;40,"Medium Gap","Small Gap"))</f>
        <v>Medium Gap</v>
      </c>
      <c r="X1544" s="3" t="str">
        <f>IF(Table1[[#This Row],[automation_risk_percent]]&gt;0.7,"Highly Automatable",
IF(Table1[[#This Row],[automation_risk_percent]]&gt;0.4,"Moderate Risk","Safe Job"))</f>
        <v>Highly Automatable</v>
      </c>
    </row>
    <row r="1545" spans="1:24" x14ac:dyDescent="0.3">
      <c r="A1545">
        <v>5543</v>
      </c>
      <c r="B1545" t="s">
        <v>43</v>
      </c>
      <c r="C1545" t="s">
        <v>40</v>
      </c>
      <c r="D1545" t="s">
        <v>28</v>
      </c>
      <c r="E1545" s="1">
        <v>2025</v>
      </c>
      <c r="F1545" s="11">
        <v>0.21100000000000002</v>
      </c>
      <c r="G1545">
        <v>19.72</v>
      </c>
      <c r="H1545">
        <v>94.92</v>
      </c>
      <c r="I1545" s="2">
        <v>145493.06</v>
      </c>
      <c r="J1545" s="2">
        <v>152556.39000000001</v>
      </c>
      <c r="K1545" s="2">
        <f>Table1[[#This Row],[Salary_after]]-Table1[[#This Row],[Salary_before]]</f>
        <v>7063.3300000000163</v>
      </c>
      <c r="L1545" s="11">
        <v>4.8499999999999995E-2</v>
      </c>
      <c r="M1545" s="11">
        <v>0.1348</v>
      </c>
      <c r="N1545">
        <v>74.86</v>
      </c>
      <c r="O1545">
        <v>46.96</v>
      </c>
      <c r="P1545">
        <v>1</v>
      </c>
      <c r="Q1545" t="s">
        <v>21</v>
      </c>
      <c r="R1545">
        <v>58.01</v>
      </c>
      <c r="S1545">
        <v>4.8499999999999996</v>
      </c>
      <c r="T1545" s="4">
        <v>38.370999999999903</v>
      </c>
      <c r="U1545" s="4">
        <v>9.9085599999999996</v>
      </c>
      <c r="V1545" t="str">
        <f>IF(Table1[[#This Row],[ai_disruption_intensity]]&gt;70,"High",
IF(Table1[[#This Row],[ai_disruption_intensity]]&gt;40,"Medium","Low"))</f>
        <v>Low</v>
      </c>
      <c r="W1545" t="str">
        <f>IF(Table1[[#This Row],[skill_gap_index]]&gt;70,"Large Gap",
IF(Table1[[#This Row],[skill_gap_index]]&gt;40,"Medium Gap","Small Gap"))</f>
        <v>Large Gap</v>
      </c>
      <c r="X1545" s="3" t="str">
        <f>IF(Table1[[#This Row],[automation_risk_percent]]&gt;0.7,"Highly Automatable",
IF(Table1[[#This Row],[automation_risk_percent]]&gt;0.4,"Moderate Risk","Safe Job"))</f>
        <v>Safe Job</v>
      </c>
    </row>
    <row r="1546" spans="1:24" x14ac:dyDescent="0.3">
      <c r="A1546">
        <v>5544</v>
      </c>
      <c r="B1546" t="s">
        <v>45</v>
      </c>
      <c r="C1546" t="s">
        <v>27</v>
      </c>
      <c r="D1546" t="s">
        <v>36</v>
      </c>
      <c r="E1546" s="1">
        <v>2025</v>
      </c>
      <c r="F1546" s="11">
        <v>0.47110000000000002</v>
      </c>
      <c r="G1546">
        <v>49.64</v>
      </c>
      <c r="H1546">
        <v>73.13</v>
      </c>
      <c r="I1546" s="2">
        <v>41621.54</v>
      </c>
      <c r="J1546" s="2">
        <v>36525.22</v>
      </c>
      <c r="K1546" s="2">
        <f>Table1[[#This Row],[Salary_after]]-Table1[[#This Row],[Salary_before]]</f>
        <v>-5096.32</v>
      </c>
      <c r="L1546" s="11">
        <v>-0.12240000000000001</v>
      </c>
      <c r="M1546" s="11">
        <v>-3.7200000000000004E-2</v>
      </c>
      <c r="N1546">
        <v>47.97</v>
      </c>
      <c r="O1546">
        <v>29.09</v>
      </c>
      <c r="P1546">
        <v>3</v>
      </c>
      <c r="Q1546" t="s">
        <v>25</v>
      </c>
      <c r="R1546">
        <v>60.12</v>
      </c>
      <c r="S1546">
        <v>12.24</v>
      </c>
      <c r="T1546" s="4">
        <v>44.454999999999998</v>
      </c>
      <c r="U1546" s="4">
        <v>13.704299000000001</v>
      </c>
      <c r="V1546" t="str">
        <f>IF(Table1[[#This Row],[ai_disruption_intensity]]&gt;70,"High",
IF(Table1[[#This Row],[ai_disruption_intensity]]&gt;40,"Medium","Low"))</f>
        <v>Low</v>
      </c>
      <c r="W1546" t="str">
        <f>IF(Table1[[#This Row],[skill_gap_index]]&gt;70,"Large Gap",
IF(Table1[[#This Row],[skill_gap_index]]&gt;40,"Medium Gap","Small Gap"))</f>
        <v>Large Gap</v>
      </c>
      <c r="X1546" s="3" t="str">
        <f>IF(Table1[[#This Row],[automation_risk_percent]]&gt;0.7,"Highly Automatable",
IF(Table1[[#This Row],[automation_risk_percent]]&gt;0.4,"Moderate Risk","Safe Job"))</f>
        <v>Moderate Risk</v>
      </c>
    </row>
    <row r="1547" spans="1:24" x14ac:dyDescent="0.3">
      <c r="A1547">
        <v>5548</v>
      </c>
      <c r="B1547" t="s">
        <v>44</v>
      </c>
      <c r="C1547" t="s">
        <v>27</v>
      </c>
      <c r="D1547" t="s">
        <v>36</v>
      </c>
      <c r="E1547" s="1">
        <v>2026</v>
      </c>
      <c r="F1547" s="11">
        <v>0.34549999999999997</v>
      </c>
      <c r="G1547">
        <v>35.369999999999997</v>
      </c>
      <c r="H1547">
        <v>11.39</v>
      </c>
      <c r="I1547" s="2">
        <v>142010.32999999999</v>
      </c>
      <c r="J1547" s="2">
        <v>153260.26</v>
      </c>
      <c r="K1547" s="2">
        <f>Table1[[#This Row],[Salary_after]]-Table1[[#This Row],[Salary_before]]</f>
        <v>11249.930000000022</v>
      </c>
      <c r="L1547" s="11">
        <v>7.9199999999999993E-2</v>
      </c>
      <c r="M1547" s="11">
        <v>5.91E-2</v>
      </c>
      <c r="N1547">
        <v>83.52</v>
      </c>
      <c r="O1547">
        <v>19.16</v>
      </c>
      <c r="P1547">
        <v>3</v>
      </c>
      <c r="Q1547" t="s">
        <v>25</v>
      </c>
      <c r="R1547">
        <v>22.97</v>
      </c>
      <c r="S1547">
        <v>7.92</v>
      </c>
      <c r="T1547" s="4">
        <v>19.613</v>
      </c>
      <c r="U1547" s="4">
        <v>6.6197799999999898</v>
      </c>
      <c r="V1547" t="str">
        <f>IF(Table1[[#This Row],[ai_disruption_intensity]]&gt;70,"High",
IF(Table1[[#This Row],[ai_disruption_intensity]]&gt;40,"Medium","Low"))</f>
        <v>Low</v>
      </c>
      <c r="W1547" t="str">
        <f>IF(Table1[[#This Row],[skill_gap_index]]&gt;70,"Large Gap",
IF(Table1[[#This Row],[skill_gap_index]]&gt;40,"Medium Gap","Small Gap"))</f>
        <v>Small Gap</v>
      </c>
      <c r="X1547" s="3" t="str">
        <f>IF(Table1[[#This Row],[automation_risk_percent]]&gt;0.7,"Highly Automatable",
IF(Table1[[#This Row],[automation_risk_percent]]&gt;0.4,"Moderate Risk","Safe Job"))</f>
        <v>Safe Job</v>
      </c>
    </row>
    <row r="1548" spans="1:24" x14ac:dyDescent="0.3">
      <c r="A1548">
        <v>5549</v>
      </c>
      <c r="B1548" t="s">
        <v>39</v>
      </c>
      <c r="C1548" t="s">
        <v>38</v>
      </c>
      <c r="D1548" t="s">
        <v>24</v>
      </c>
      <c r="E1548" s="1">
        <v>2026</v>
      </c>
      <c r="F1548" s="11">
        <v>0.19260000000000002</v>
      </c>
      <c r="G1548">
        <v>22.05</v>
      </c>
      <c r="H1548">
        <v>53.61</v>
      </c>
      <c r="I1548" s="2">
        <v>32369.13</v>
      </c>
      <c r="J1548" s="2">
        <v>32219.439999999999</v>
      </c>
      <c r="K1548" s="2">
        <f>Table1[[#This Row],[Salary_after]]-Table1[[#This Row],[Salary_before]]</f>
        <v>-149.69000000000233</v>
      </c>
      <c r="L1548" s="11">
        <v>-4.5999999999999999E-3</v>
      </c>
      <c r="M1548" s="11">
        <v>0.1245</v>
      </c>
      <c r="N1548">
        <v>37.08</v>
      </c>
      <c r="O1548">
        <v>51.66</v>
      </c>
      <c r="P1548">
        <v>2</v>
      </c>
      <c r="Q1548" t="s">
        <v>21</v>
      </c>
      <c r="R1548">
        <v>36.435000000000002</v>
      </c>
      <c r="S1548">
        <v>0.46</v>
      </c>
      <c r="T1548" s="4">
        <v>23.925000000000001</v>
      </c>
      <c r="U1548" s="4">
        <v>9.9497160000000004</v>
      </c>
      <c r="V1548" t="str">
        <f>IF(Table1[[#This Row],[ai_disruption_intensity]]&gt;70,"High",
IF(Table1[[#This Row],[ai_disruption_intensity]]&gt;40,"Medium","Low"))</f>
        <v>Low</v>
      </c>
      <c r="W1548" t="str">
        <f>IF(Table1[[#This Row],[skill_gap_index]]&gt;70,"Large Gap",
IF(Table1[[#This Row],[skill_gap_index]]&gt;40,"Medium Gap","Small Gap"))</f>
        <v>Medium Gap</v>
      </c>
      <c r="X1548" s="3" t="str">
        <f>IF(Table1[[#This Row],[automation_risk_percent]]&gt;0.7,"Highly Automatable",
IF(Table1[[#This Row],[automation_risk_percent]]&gt;0.4,"Moderate Risk","Safe Job"))</f>
        <v>Safe Job</v>
      </c>
    </row>
    <row r="1549" spans="1:24" x14ac:dyDescent="0.3">
      <c r="A1549">
        <v>5552</v>
      </c>
      <c r="B1549" t="s">
        <v>18</v>
      </c>
      <c r="C1549" t="s">
        <v>19</v>
      </c>
      <c r="D1549" t="s">
        <v>28</v>
      </c>
      <c r="E1549" s="1">
        <v>2026</v>
      </c>
      <c r="F1549" s="11">
        <v>0.52929999999999999</v>
      </c>
      <c r="G1549">
        <v>61.23</v>
      </c>
      <c r="H1549">
        <v>21.04</v>
      </c>
      <c r="I1549" s="2">
        <v>135113.04999999999</v>
      </c>
      <c r="J1549" s="2">
        <v>130681.62</v>
      </c>
      <c r="K1549" s="2">
        <f>Table1[[#This Row],[Salary_after]]-Table1[[#This Row],[Salary_before]]</f>
        <v>-4431.429999999993</v>
      </c>
      <c r="L1549" s="11">
        <v>-3.2799999999999996E-2</v>
      </c>
      <c r="M1549" s="11">
        <v>0.10249999999999999</v>
      </c>
      <c r="N1549">
        <v>17.29</v>
      </c>
      <c r="O1549">
        <v>95.86</v>
      </c>
      <c r="P1549">
        <v>1</v>
      </c>
      <c r="Q1549" t="s">
        <v>25</v>
      </c>
      <c r="R1549">
        <v>36.984999999999999</v>
      </c>
      <c r="S1549">
        <v>3.28</v>
      </c>
      <c r="T1549" s="4">
        <v>28.468</v>
      </c>
      <c r="U1549" s="4">
        <v>50.738697999999999</v>
      </c>
      <c r="V1549" t="str">
        <f>IF(Table1[[#This Row],[ai_disruption_intensity]]&gt;70,"High",
IF(Table1[[#This Row],[ai_disruption_intensity]]&gt;40,"Medium","Low"))</f>
        <v>Medium</v>
      </c>
      <c r="W1549" t="str">
        <f>IF(Table1[[#This Row],[skill_gap_index]]&gt;70,"Large Gap",
IF(Table1[[#This Row],[skill_gap_index]]&gt;40,"Medium Gap","Small Gap"))</f>
        <v>Small Gap</v>
      </c>
      <c r="X1549" s="3" t="str">
        <f>IF(Table1[[#This Row],[automation_risk_percent]]&gt;0.7,"Highly Automatable",
IF(Table1[[#This Row],[automation_risk_percent]]&gt;0.4,"Moderate Risk","Safe Job"))</f>
        <v>Moderate Risk</v>
      </c>
    </row>
    <row r="1550" spans="1:24" x14ac:dyDescent="0.3">
      <c r="A1550">
        <v>5553</v>
      </c>
      <c r="B1550" t="s">
        <v>26</v>
      </c>
      <c r="C1550" t="s">
        <v>27</v>
      </c>
      <c r="D1550" t="s">
        <v>36</v>
      </c>
      <c r="E1550" s="1">
        <v>2025</v>
      </c>
      <c r="F1550" s="11">
        <v>0.27449999999999997</v>
      </c>
      <c r="G1550">
        <v>28.8</v>
      </c>
      <c r="H1550">
        <v>55.29</v>
      </c>
      <c r="I1550" s="2">
        <v>55581.83</v>
      </c>
      <c r="J1550" s="2">
        <v>53735.4</v>
      </c>
      <c r="K1550" s="2">
        <f>Table1[[#This Row],[Salary_after]]-Table1[[#This Row],[Salary_before]]</f>
        <v>-1846.4300000000003</v>
      </c>
      <c r="L1550" s="11">
        <v>-3.32E-2</v>
      </c>
      <c r="M1550" s="11">
        <v>6.2400000000000004E-2</v>
      </c>
      <c r="N1550">
        <v>28.28</v>
      </c>
      <c r="O1550">
        <v>94.47</v>
      </c>
      <c r="P1550">
        <v>4</v>
      </c>
      <c r="Q1550" t="s">
        <v>21</v>
      </c>
      <c r="R1550">
        <v>41.37</v>
      </c>
      <c r="S1550">
        <v>3.32</v>
      </c>
      <c r="T1550" s="4">
        <v>28.562999999999999</v>
      </c>
      <c r="U1550" s="4">
        <v>25.932015</v>
      </c>
      <c r="V1550" t="str">
        <f>IF(Table1[[#This Row],[ai_disruption_intensity]]&gt;70,"High",
IF(Table1[[#This Row],[ai_disruption_intensity]]&gt;40,"Medium","Low"))</f>
        <v>Low</v>
      </c>
      <c r="W1550" t="str">
        <f>IF(Table1[[#This Row],[skill_gap_index]]&gt;70,"Large Gap",
IF(Table1[[#This Row],[skill_gap_index]]&gt;40,"Medium Gap","Small Gap"))</f>
        <v>Medium Gap</v>
      </c>
      <c r="X1550" s="3" t="str">
        <f>IF(Table1[[#This Row],[automation_risk_percent]]&gt;0.7,"Highly Automatable",
IF(Table1[[#This Row],[automation_risk_percent]]&gt;0.4,"Moderate Risk","Safe Job"))</f>
        <v>Safe Job</v>
      </c>
    </row>
    <row r="1551" spans="1:24" x14ac:dyDescent="0.3">
      <c r="A1551">
        <v>5555</v>
      </c>
      <c r="B1551" t="s">
        <v>41</v>
      </c>
      <c r="C1551" t="s">
        <v>33</v>
      </c>
      <c r="D1551" t="s">
        <v>36</v>
      </c>
      <c r="E1551" s="1">
        <v>2025</v>
      </c>
      <c r="F1551" s="11">
        <v>0.59310000000000007</v>
      </c>
      <c r="G1551">
        <v>51.31</v>
      </c>
      <c r="H1551">
        <v>89.41</v>
      </c>
      <c r="I1551" s="2">
        <v>131433.47</v>
      </c>
      <c r="J1551" s="2">
        <v>132231.99</v>
      </c>
      <c r="K1551" s="2">
        <f>Table1[[#This Row],[Salary_after]]-Table1[[#This Row],[Salary_before]]</f>
        <v>798.51999999998952</v>
      </c>
      <c r="L1551" s="11">
        <v>6.0999999999999995E-3</v>
      </c>
      <c r="M1551" s="11">
        <v>1.4199999999999999E-2</v>
      </c>
      <c r="N1551">
        <v>31.99</v>
      </c>
      <c r="O1551">
        <v>53.31</v>
      </c>
      <c r="P1551">
        <v>5</v>
      </c>
      <c r="Q1551" t="s">
        <v>25</v>
      </c>
      <c r="R1551">
        <v>74.36</v>
      </c>
      <c r="S1551">
        <v>0.61</v>
      </c>
      <c r="T1551" s="4">
        <v>50.73</v>
      </c>
      <c r="U1551" s="4">
        <v>31.618161000000001</v>
      </c>
      <c r="V1551" t="str">
        <f>IF(Table1[[#This Row],[ai_disruption_intensity]]&gt;70,"High",
IF(Table1[[#This Row],[ai_disruption_intensity]]&gt;40,"Medium","Low"))</f>
        <v>Low</v>
      </c>
      <c r="W1551" t="str">
        <f>IF(Table1[[#This Row],[skill_gap_index]]&gt;70,"Large Gap",
IF(Table1[[#This Row],[skill_gap_index]]&gt;40,"Medium Gap","Small Gap"))</f>
        <v>Large Gap</v>
      </c>
      <c r="X1551" s="3" t="str">
        <f>IF(Table1[[#This Row],[automation_risk_percent]]&gt;0.7,"Highly Automatable",
IF(Table1[[#This Row],[automation_risk_percent]]&gt;0.4,"Moderate Risk","Safe Job"))</f>
        <v>Moderate Risk</v>
      </c>
    </row>
    <row r="1552" spans="1:24" x14ac:dyDescent="0.3">
      <c r="A1552">
        <v>5559</v>
      </c>
      <c r="B1552" t="s">
        <v>29</v>
      </c>
      <c r="C1552" t="s">
        <v>19</v>
      </c>
      <c r="D1552" t="s">
        <v>20</v>
      </c>
      <c r="E1552" s="1">
        <v>2026</v>
      </c>
      <c r="F1552" s="11">
        <v>0.44700000000000001</v>
      </c>
      <c r="G1552">
        <v>37.42</v>
      </c>
      <c r="H1552">
        <v>86.61</v>
      </c>
      <c r="I1552" s="2">
        <v>37928.85</v>
      </c>
      <c r="J1552" s="2">
        <v>38832.080000000002</v>
      </c>
      <c r="K1552" s="2">
        <f>Table1[[#This Row],[Salary_after]]-Table1[[#This Row],[Salary_before]]</f>
        <v>903.2300000000032</v>
      </c>
      <c r="L1552" s="11">
        <v>2.3799999999999998E-2</v>
      </c>
      <c r="M1552" s="11">
        <v>7.6600000000000001E-2</v>
      </c>
      <c r="N1552">
        <v>19.07</v>
      </c>
      <c r="O1552">
        <v>2.52</v>
      </c>
      <c r="P1552">
        <v>1</v>
      </c>
      <c r="Q1552" t="s">
        <v>25</v>
      </c>
      <c r="R1552">
        <v>65.655000000000001</v>
      </c>
      <c r="S1552">
        <v>2.38</v>
      </c>
      <c r="T1552" s="4">
        <v>44.576999999999998</v>
      </c>
      <c r="U1552" s="4">
        <v>1.1264400000000001</v>
      </c>
      <c r="V1552" t="str">
        <f>IF(Table1[[#This Row],[ai_disruption_intensity]]&gt;70,"High",
IF(Table1[[#This Row],[ai_disruption_intensity]]&gt;40,"Medium","Low"))</f>
        <v>Low</v>
      </c>
      <c r="W1552" t="str">
        <f>IF(Table1[[#This Row],[skill_gap_index]]&gt;70,"Large Gap",
IF(Table1[[#This Row],[skill_gap_index]]&gt;40,"Medium Gap","Small Gap"))</f>
        <v>Large Gap</v>
      </c>
      <c r="X1552" s="3" t="str">
        <f>IF(Table1[[#This Row],[automation_risk_percent]]&gt;0.7,"Highly Automatable",
IF(Table1[[#This Row],[automation_risk_percent]]&gt;0.4,"Moderate Risk","Safe Job"))</f>
        <v>Moderate Risk</v>
      </c>
    </row>
    <row r="1553" spans="1:24" x14ac:dyDescent="0.3">
      <c r="A1553">
        <v>5561</v>
      </c>
      <c r="B1553" t="s">
        <v>29</v>
      </c>
      <c r="C1553" t="s">
        <v>40</v>
      </c>
      <c r="D1553" t="s">
        <v>36</v>
      </c>
      <c r="E1553" s="1">
        <v>2026</v>
      </c>
      <c r="F1553" s="11">
        <v>0.94030000000000002</v>
      </c>
      <c r="G1553">
        <v>89.7</v>
      </c>
      <c r="H1553">
        <v>26.3</v>
      </c>
      <c r="I1553" s="2">
        <v>137310.1</v>
      </c>
      <c r="J1553" s="2">
        <v>160343.60999999999</v>
      </c>
      <c r="K1553" s="2">
        <f>Table1[[#This Row],[Salary_after]]-Table1[[#This Row],[Salary_before]]</f>
        <v>23033.50999999998</v>
      </c>
      <c r="L1553" s="11">
        <v>0.16769999999999999</v>
      </c>
      <c r="M1553" s="11">
        <v>0.10099999999999999</v>
      </c>
      <c r="N1553">
        <v>46.76</v>
      </c>
      <c r="O1553">
        <v>88.69</v>
      </c>
      <c r="P1553">
        <v>4</v>
      </c>
      <c r="Q1553" t="s">
        <v>37</v>
      </c>
      <c r="R1553">
        <v>60.164999999999999</v>
      </c>
      <c r="S1553">
        <v>16.77</v>
      </c>
      <c r="T1553" s="4">
        <v>50.533000000000001</v>
      </c>
      <c r="U1553" s="4">
        <v>83.3952069999999</v>
      </c>
      <c r="V1553" t="str">
        <f>IF(Table1[[#This Row],[ai_disruption_intensity]]&gt;70,"High",
IF(Table1[[#This Row],[ai_disruption_intensity]]&gt;40,"Medium","Low"))</f>
        <v>High</v>
      </c>
      <c r="W1553" t="str">
        <f>IF(Table1[[#This Row],[skill_gap_index]]&gt;70,"Large Gap",
IF(Table1[[#This Row],[skill_gap_index]]&gt;40,"Medium Gap","Small Gap"))</f>
        <v>Small Gap</v>
      </c>
      <c r="X1553" s="3" t="str">
        <f>IF(Table1[[#This Row],[automation_risk_percent]]&gt;0.7,"Highly Automatable",
IF(Table1[[#This Row],[automation_risk_percent]]&gt;0.4,"Moderate Risk","Safe Job"))</f>
        <v>Highly Automatable</v>
      </c>
    </row>
    <row r="1554" spans="1:24" x14ac:dyDescent="0.3">
      <c r="A1554">
        <v>5562</v>
      </c>
      <c r="B1554" t="s">
        <v>29</v>
      </c>
      <c r="C1554" t="s">
        <v>19</v>
      </c>
      <c r="D1554" t="s">
        <v>28</v>
      </c>
      <c r="E1554" s="1">
        <v>2026</v>
      </c>
      <c r="F1554" s="11">
        <v>0.89239999999999997</v>
      </c>
      <c r="G1554">
        <v>86.98</v>
      </c>
      <c r="H1554">
        <v>24.07</v>
      </c>
      <c r="I1554" s="2">
        <v>107720.57</v>
      </c>
      <c r="J1554" s="2">
        <v>109095.43</v>
      </c>
      <c r="K1554" s="2">
        <f>Table1[[#This Row],[Salary_after]]-Table1[[#This Row],[Salary_before]]</f>
        <v>1374.859999999986</v>
      </c>
      <c r="L1554" s="11">
        <v>1.2800000000000001E-2</v>
      </c>
      <c r="M1554" s="11">
        <v>9.74E-2</v>
      </c>
      <c r="N1554">
        <v>95.88</v>
      </c>
      <c r="O1554">
        <v>34.380000000000003</v>
      </c>
      <c r="P1554">
        <v>1</v>
      </c>
      <c r="Q1554" t="s">
        <v>37</v>
      </c>
      <c r="R1554">
        <v>56.655000000000001</v>
      </c>
      <c r="S1554">
        <v>1.28</v>
      </c>
      <c r="T1554" s="4">
        <v>43.301000000000002</v>
      </c>
      <c r="U1554" s="4">
        <v>30.680712</v>
      </c>
      <c r="V1554" t="str">
        <f>IF(Table1[[#This Row],[ai_disruption_intensity]]&gt;70,"High",
IF(Table1[[#This Row],[ai_disruption_intensity]]&gt;40,"Medium","Low"))</f>
        <v>Low</v>
      </c>
      <c r="W1554" t="str">
        <f>IF(Table1[[#This Row],[skill_gap_index]]&gt;70,"Large Gap",
IF(Table1[[#This Row],[skill_gap_index]]&gt;40,"Medium Gap","Small Gap"))</f>
        <v>Small Gap</v>
      </c>
      <c r="X1554" s="3" t="str">
        <f>IF(Table1[[#This Row],[automation_risk_percent]]&gt;0.7,"Highly Automatable",
IF(Table1[[#This Row],[automation_risk_percent]]&gt;0.4,"Moderate Risk","Safe Job"))</f>
        <v>Highly Automatable</v>
      </c>
    </row>
    <row r="1555" spans="1:24" x14ac:dyDescent="0.3">
      <c r="A1555">
        <v>5563</v>
      </c>
      <c r="B1555" t="s">
        <v>22</v>
      </c>
      <c r="C1555" t="s">
        <v>33</v>
      </c>
      <c r="D1555" t="s">
        <v>28</v>
      </c>
      <c r="E1555" s="1">
        <v>2026</v>
      </c>
      <c r="F1555" s="11">
        <v>0.74060000000000004</v>
      </c>
      <c r="G1555">
        <v>62.58</v>
      </c>
      <c r="H1555">
        <v>35.880000000000003</v>
      </c>
      <c r="I1555" s="2">
        <v>89336.55</v>
      </c>
      <c r="J1555" s="2">
        <v>77625.5</v>
      </c>
      <c r="K1555" s="2">
        <f>Table1[[#This Row],[Salary_after]]-Table1[[#This Row],[Salary_before]]</f>
        <v>-11711.050000000003</v>
      </c>
      <c r="L1555" s="11">
        <v>-0.13109999999999999</v>
      </c>
      <c r="M1555" s="11">
        <v>0.14749999999999999</v>
      </c>
      <c r="N1555">
        <v>93.18</v>
      </c>
      <c r="O1555">
        <v>90.35</v>
      </c>
      <c r="P1555">
        <v>3</v>
      </c>
      <c r="Q1555" t="s">
        <v>37</v>
      </c>
      <c r="R1555">
        <v>54.97</v>
      </c>
      <c r="S1555">
        <v>13.11</v>
      </c>
      <c r="T1555" s="4">
        <v>44.320999999999998</v>
      </c>
      <c r="U1555" s="4">
        <v>66.913209999999907</v>
      </c>
      <c r="V1555" t="str">
        <f>IF(Table1[[#This Row],[ai_disruption_intensity]]&gt;70,"High",
IF(Table1[[#This Row],[ai_disruption_intensity]]&gt;40,"Medium","Low"))</f>
        <v>Medium</v>
      </c>
      <c r="W1555" t="str">
        <f>IF(Table1[[#This Row],[skill_gap_index]]&gt;70,"Large Gap",
IF(Table1[[#This Row],[skill_gap_index]]&gt;40,"Medium Gap","Small Gap"))</f>
        <v>Small Gap</v>
      </c>
      <c r="X1555" s="3" t="str">
        <f>IF(Table1[[#This Row],[automation_risk_percent]]&gt;0.7,"Highly Automatable",
IF(Table1[[#This Row],[automation_risk_percent]]&gt;0.4,"Moderate Risk","Safe Job"))</f>
        <v>Highly Automatable</v>
      </c>
    </row>
    <row r="1556" spans="1:24" x14ac:dyDescent="0.3">
      <c r="A1556">
        <v>5564</v>
      </c>
      <c r="B1556" t="s">
        <v>26</v>
      </c>
      <c r="C1556" t="s">
        <v>33</v>
      </c>
      <c r="D1556" t="s">
        <v>31</v>
      </c>
      <c r="E1556" s="1">
        <v>2026</v>
      </c>
      <c r="F1556" s="11">
        <v>0.5595</v>
      </c>
      <c r="G1556">
        <v>47.32</v>
      </c>
      <c r="H1556">
        <v>7.83</v>
      </c>
      <c r="I1556" s="2">
        <v>89775.77</v>
      </c>
      <c r="J1556" s="2">
        <v>85582.54</v>
      </c>
      <c r="K1556" s="2">
        <f>Table1[[#This Row],[Salary_after]]-Table1[[#This Row],[Salary_before]]</f>
        <v>-4193.2300000000105</v>
      </c>
      <c r="L1556" s="11">
        <v>-4.6699999999999998E-2</v>
      </c>
      <c r="M1556" s="11">
        <v>8.2899999999999988E-2</v>
      </c>
      <c r="N1556">
        <v>67.73</v>
      </c>
      <c r="O1556">
        <v>52.79</v>
      </c>
      <c r="P1556">
        <v>4</v>
      </c>
      <c r="Q1556" t="s">
        <v>25</v>
      </c>
      <c r="R1556">
        <v>31.89</v>
      </c>
      <c r="S1556">
        <v>4.67</v>
      </c>
      <c r="T1556" s="4">
        <v>26.13</v>
      </c>
      <c r="U1556" s="4">
        <v>29.536004999999999</v>
      </c>
      <c r="V1556" t="str">
        <f>IF(Table1[[#This Row],[ai_disruption_intensity]]&gt;70,"High",
IF(Table1[[#This Row],[ai_disruption_intensity]]&gt;40,"Medium","Low"))</f>
        <v>Low</v>
      </c>
      <c r="W1556" t="str">
        <f>IF(Table1[[#This Row],[skill_gap_index]]&gt;70,"Large Gap",
IF(Table1[[#This Row],[skill_gap_index]]&gt;40,"Medium Gap","Small Gap"))</f>
        <v>Small Gap</v>
      </c>
      <c r="X1556" s="3" t="str">
        <f>IF(Table1[[#This Row],[automation_risk_percent]]&gt;0.7,"Highly Automatable",
IF(Table1[[#This Row],[automation_risk_percent]]&gt;0.4,"Moderate Risk","Safe Job"))</f>
        <v>Moderate Risk</v>
      </c>
    </row>
    <row r="1557" spans="1:24" x14ac:dyDescent="0.3">
      <c r="A1557">
        <v>5576</v>
      </c>
      <c r="B1557" t="s">
        <v>46</v>
      </c>
      <c r="C1557" t="s">
        <v>30</v>
      </c>
      <c r="D1557" t="s">
        <v>47</v>
      </c>
      <c r="E1557" s="1">
        <v>2026</v>
      </c>
      <c r="F1557" s="11">
        <v>7.3800000000000004E-2</v>
      </c>
      <c r="G1557">
        <v>7.37</v>
      </c>
      <c r="H1557">
        <v>6.27</v>
      </c>
      <c r="I1557" s="2">
        <v>40846.92</v>
      </c>
      <c r="J1557" s="2">
        <v>46517.599999999999</v>
      </c>
      <c r="K1557" s="2">
        <f>Table1[[#This Row],[Salary_after]]-Table1[[#This Row],[Salary_before]]</f>
        <v>5670.68</v>
      </c>
      <c r="L1557" s="11">
        <v>0.13880000000000001</v>
      </c>
      <c r="M1557" s="11">
        <v>0.1918</v>
      </c>
      <c r="N1557">
        <v>27.38</v>
      </c>
      <c r="O1557">
        <v>87.25</v>
      </c>
      <c r="P1557">
        <v>4</v>
      </c>
      <c r="Q1557" t="s">
        <v>21</v>
      </c>
      <c r="R1557">
        <v>6.8249999999999904</v>
      </c>
      <c r="S1557">
        <v>13.88</v>
      </c>
      <c r="T1557" s="4">
        <v>8.9969999999999999</v>
      </c>
      <c r="U1557" s="4">
        <v>6.4390499999999999</v>
      </c>
      <c r="V1557" t="str">
        <f>IF(Table1[[#This Row],[ai_disruption_intensity]]&gt;70,"High",
IF(Table1[[#This Row],[ai_disruption_intensity]]&gt;40,"Medium","Low"))</f>
        <v>Low</v>
      </c>
      <c r="W1557" t="str">
        <f>IF(Table1[[#This Row],[skill_gap_index]]&gt;70,"Large Gap",
IF(Table1[[#This Row],[skill_gap_index]]&gt;40,"Medium Gap","Small Gap"))</f>
        <v>Small Gap</v>
      </c>
      <c r="X1557" s="3" t="str">
        <f>IF(Table1[[#This Row],[automation_risk_percent]]&gt;0.7,"Highly Automatable",
IF(Table1[[#This Row],[automation_risk_percent]]&gt;0.4,"Moderate Risk","Safe Job"))</f>
        <v>Safe Job</v>
      </c>
    </row>
    <row r="1558" spans="1:24" x14ac:dyDescent="0.3">
      <c r="A1558">
        <v>5578</v>
      </c>
      <c r="B1558" t="s">
        <v>44</v>
      </c>
      <c r="C1558" t="s">
        <v>30</v>
      </c>
      <c r="D1558" t="s">
        <v>35</v>
      </c>
      <c r="E1558" s="1">
        <v>2026</v>
      </c>
      <c r="F1558" s="11">
        <v>0.30590000000000001</v>
      </c>
      <c r="G1558">
        <v>27.99</v>
      </c>
      <c r="H1558">
        <v>97.6</v>
      </c>
      <c r="I1558" s="2">
        <v>120025.36</v>
      </c>
      <c r="J1558" s="2">
        <v>111382.76</v>
      </c>
      <c r="K1558" s="2">
        <f>Table1[[#This Row],[Salary_after]]-Table1[[#This Row],[Salary_before]]</f>
        <v>-8642.6000000000058</v>
      </c>
      <c r="L1558" s="11">
        <v>-7.2000000000000008E-2</v>
      </c>
      <c r="M1558" s="11">
        <v>0.1406</v>
      </c>
      <c r="N1558">
        <v>10.050000000000001</v>
      </c>
      <c r="O1558">
        <v>5.82</v>
      </c>
      <c r="P1558">
        <v>1</v>
      </c>
      <c r="Q1558" t="s">
        <v>25</v>
      </c>
      <c r="R1558">
        <v>64.094999999999999</v>
      </c>
      <c r="S1558">
        <v>7.2</v>
      </c>
      <c r="T1558" s="4">
        <v>43.676000000000002</v>
      </c>
      <c r="U1558" s="4">
        <v>1.780338</v>
      </c>
      <c r="V1558" t="str">
        <f>IF(Table1[[#This Row],[ai_disruption_intensity]]&gt;70,"High",
IF(Table1[[#This Row],[ai_disruption_intensity]]&gt;40,"Medium","Low"))</f>
        <v>Low</v>
      </c>
      <c r="W1558" t="str">
        <f>IF(Table1[[#This Row],[skill_gap_index]]&gt;70,"Large Gap",
IF(Table1[[#This Row],[skill_gap_index]]&gt;40,"Medium Gap","Small Gap"))</f>
        <v>Large Gap</v>
      </c>
      <c r="X1558" s="3" t="str">
        <f>IF(Table1[[#This Row],[automation_risk_percent]]&gt;0.7,"Highly Automatable",
IF(Table1[[#This Row],[automation_risk_percent]]&gt;0.4,"Moderate Risk","Safe Job"))</f>
        <v>Safe Job</v>
      </c>
    </row>
    <row r="1559" spans="1:24" x14ac:dyDescent="0.3">
      <c r="A1559">
        <v>5579</v>
      </c>
      <c r="B1559" t="s">
        <v>44</v>
      </c>
      <c r="C1559" t="s">
        <v>19</v>
      </c>
      <c r="D1559" t="s">
        <v>42</v>
      </c>
      <c r="E1559" s="1">
        <v>2025</v>
      </c>
      <c r="F1559" s="11">
        <v>0.48710000000000003</v>
      </c>
      <c r="G1559">
        <v>44.53</v>
      </c>
      <c r="H1559">
        <v>19.3</v>
      </c>
      <c r="I1559" s="2">
        <v>35956.910000000003</v>
      </c>
      <c r="J1559" s="2">
        <v>36884.410000000003</v>
      </c>
      <c r="K1559" s="2">
        <f>Table1[[#This Row],[Salary_after]]-Table1[[#This Row],[Salary_before]]</f>
        <v>927.5</v>
      </c>
      <c r="L1559" s="11">
        <v>2.58E-2</v>
      </c>
      <c r="M1559" s="11">
        <v>0.14679999999999999</v>
      </c>
      <c r="N1559">
        <v>19.66</v>
      </c>
      <c r="O1559">
        <v>76.64</v>
      </c>
      <c r="P1559">
        <v>1</v>
      </c>
      <c r="Q1559" t="s">
        <v>25</v>
      </c>
      <c r="R1559">
        <v>34.005000000000003</v>
      </c>
      <c r="S1559">
        <v>2.58</v>
      </c>
      <c r="T1559" s="4">
        <v>26.047999999999998</v>
      </c>
      <c r="U1559" s="4">
        <v>37.331344000000001</v>
      </c>
      <c r="V1559" t="str">
        <f>IF(Table1[[#This Row],[ai_disruption_intensity]]&gt;70,"High",
IF(Table1[[#This Row],[ai_disruption_intensity]]&gt;40,"Medium","Low"))</f>
        <v>Low</v>
      </c>
      <c r="W1559" t="str">
        <f>IF(Table1[[#This Row],[skill_gap_index]]&gt;70,"Large Gap",
IF(Table1[[#This Row],[skill_gap_index]]&gt;40,"Medium Gap","Small Gap"))</f>
        <v>Small Gap</v>
      </c>
      <c r="X1559" s="3" t="str">
        <f>IF(Table1[[#This Row],[automation_risk_percent]]&gt;0.7,"Highly Automatable",
IF(Table1[[#This Row],[automation_risk_percent]]&gt;0.4,"Moderate Risk","Safe Job"))</f>
        <v>Moderate Risk</v>
      </c>
    </row>
    <row r="1560" spans="1:24" x14ac:dyDescent="0.3">
      <c r="A1560">
        <v>5586</v>
      </c>
      <c r="B1560" t="s">
        <v>26</v>
      </c>
      <c r="C1560" t="s">
        <v>38</v>
      </c>
      <c r="D1560" t="s">
        <v>31</v>
      </c>
      <c r="E1560" s="1">
        <v>2026</v>
      </c>
      <c r="F1560" s="11">
        <v>0.17019999999999999</v>
      </c>
      <c r="G1560">
        <v>20.399999999999999</v>
      </c>
      <c r="H1560">
        <v>32.51</v>
      </c>
      <c r="I1560" s="2">
        <v>110604.69</v>
      </c>
      <c r="J1560" s="2">
        <v>107080.87</v>
      </c>
      <c r="K1560" s="2">
        <f>Table1[[#This Row],[Salary_after]]-Table1[[#This Row],[Salary_before]]</f>
        <v>-3523.820000000007</v>
      </c>
      <c r="L1560" s="11">
        <v>-3.1899999999999998E-2</v>
      </c>
      <c r="M1560" s="11">
        <v>8.3800000000000013E-2</v>
      </c>
      <c r="N1560">
        <v>64.81</v>
      </c>
      <c r="O1560">
        <v>37.520000000000003</v>
      </c>
      <c r="P1560">
        <v>5</v>
      </c>
      <c r="Q1560" t="s">
        <v>21</v>
      </c>
      <c r="R1560">
        <v>24.765000000000001</v>
      </c>
      <c r="S1560">
        <v>3.19</v>
      </c>
      <c r="T1560" s="4">
        <v>17.518000000000001</v>
      </c>
      <c r="U1560" s="4">
        <v>6.385904</v>
      </c>
      <c r="V1560" t="str">
        <f>IF(Table1[[#This Row],[ai_disruption_intensity]]&gt;70,"High",
IF(Table1[[#This Row],[ai_disruption_intensity]]&gt;40,"Medium","Low"))</f>
        <v>Low</v>
      </c>
      <c r="W1560" t="str">
        <f>IF(Table1[[#This Row],[skill_gap_index]]&gt;70,"Large Gap",
IF(Table1[[#This Row],[skill_gap_index]]&gt;40,"Medium Gap","Small Gap"))</f>
        <v>Small Gap</v>
      </c>
      <c r="X1560" s="3" t="str">
        <f>IF(Table1[[#This Row],[automation_risk_percent]]&gt;0.7,"Highly Automatable",
IF(Table1[[#This Row],[automation_risk_percent]]&gt;0.4,"Moderate Risk","Safe Job"))</f>
        <v>Safe Job</v>
      </c>
    </row>
    <row r="1561" spans="1:24" x14ac:dyDescent="0.3">
      <c r="A1561">
        <v>5587</v>
      </c>
      <c r="B1561" t="s">
        <v>22</v>
      </c>
      <c r="C1561" t="s">
        <v>27</v>
      </c>
      <c r="D1561" t="s">
        <v>24</v>
      </c>
      <c r="E1561" s="1">
        <v>2025</v>
      </c>
      <c r="F1561" s="11">
        <v>0.27100000000000002</v>
      </c>
      <c r="G1561">
        <v>21.81</v>
      </c>
      <c r="H1561">
        <v>87.2</v>
      </c>
      <c r="I1561" s="2">
        <v>46305.79</v>
      </c>
      <c r="J1561" s="2">
        <v>47485.74</v>
      </c>
      <c r="K1561" s="2">
        <f>Table1[[#This Row],[Salary_after]]-Table1[[#This Row],[Salary_before]]</f>
        <v>1179.9499999999971</v>
      </c>
      <c r="L1561" s="11">
        <v>2.5499999999999998E-2</v>
      </c>
      <c r="M1561" s="11">
        <v>0.1457</v>
      </c>
      <c r="N1561">
        <v>65.89</v>
      </c>
      <c r="O1561">
        <v>82.87</v>
      </c>
      <c r="P1561">
        <v>2</v>
      </c>
      <c r="Q1561" t="s">
        <v>21</v>
      </c>
      <c r="R1561">
        <v>57.15</v>
      </c>
      <c r="S1561">
        <v>2.5499999999999998</v>
      </c>
      <c r="T1561" s="4">
        <v>37.765000000000001</v>
      </c>
      <c r="U1561" s="4">
        <v>22.45777</v>
      </c>
      <c r="V1561" t="str">
        <f>IF(Table1[[#This Row],[ai_disruption_intensity]]&gt;70,"High",
IF(Table1[[#This Row],[ai_disruption_intensity]]&gt;40,"Medium","Low"))</f>
        <v>Low</v>
      </c>
      <c r="W1561" t="str">
        <f>IF(Table1[[#This Row],[skill_gap_index]]&gt;70,"Large Gap",
IF(Table1[[#This Row],[skill_gap_index]]&gt;40,"Medium Gap","Small Gap"))</f>
        <v>Large Gap</v>
      </c>
      <c r="X1561" s="3" t="str">
        <f>IF(Table1[[#This Row],[automation_risk_percent]]&gt;0.7,"Highly Automatable",
IF(Table1[[#This Row],[automation_risk_percent]]&gt;0.4,"Moderate Risk","Safe Job"))</f>
        <v>Safe Job</v>
      </c>
    </row>
    <row r="1562" spans="1:24" x14ac:dyDescent="0.3">
      <c r="A1562">
        <v>5590</v>
      </c>
      <c r="B1562" t="s">
        <v>46</v>
      </c>
      <c r="C1562" t="s">
        <v>38</v>
      </c>
      <c r="D1562" t="s">
        <v>36</v>
      </c>
      <c r="E1562" s="1">
        <v>2025</v>
      </c>
      <c r="F1562" s="11">
        <v>0.28010000000000002</v>
      </c>
      <c r="G1562">
        <v>32.86</v>
      </c>
      <c r="H1562">
        <v>22.33</v>
      </c>
      <c r="I1562" s="2">
        <v>44574.93</v>
      </c>
      <c r="J1562" s="2">
        <v>45835.360000000001</v>
      </c>
      <c r="K1562" s="2">
        <f>Table1[[#This Row],[Salary_after]]-Table1[[#This Row],[Salary_before]]</f>
        <v>1260.4300000000003</v>
      </c>
      <c r="L1562" s="11">
        <v>2.8300000000000002E-2</v>
      </c>
      <c r="M1562" s="11">
        <v>0.1714</v>
      </c>
      <c r="N1562">
        <v>35.619999999999997</v>
      </c>
      <c r="O1562">
        <v>43.24</v>
      </c>
      <c r="P1562">
        <v>2</v>
      </c>
      <c r="Q1562" t="s">
        <v>21</v>
      </c>
      <c r="R1562">
        <v>25.17</v>
      </c>
      <c r="S1562">
        <v>2.83</v>
      </c>
      <c r="T1562" s="4">
        <v>18.751999999999999</v>
      </c>
      <c r="U1562" s="4">
        <v>12.111523999999999</v>
      </c>
      <c r="V1562" t="str">
        <f>IF(Table1[[#This Row],[ai_disruption_intensity]]&gt;70,"High",
IF(Table1[[#This Row],[ai_disruption_intensity]]&gt;40,"Medium","Low"))</f>
        <v>Low</v>
      </c>
      <c r="W1562" t="str">
        <f>IF(Table1[[#This Row],[skill_gap_index]]&gt;70,"Large Gap",
IF(Table1[[#This Row],[skill_gap_index]]&gt;40,"Medium Gap","Small Gap"))</f>
        <v>Small Gap</v>
      </c>
      <c r="X1562" s="3" t="str">
        <f>IF(Table1[[#This Row],[automation_risk_percent]]&gt;0.7,"Highly Automatable",
IF(Table1[[#This Row],[automation_risk_percent]]&gt;0.4,"Moderate Risk","Safe Job"))</f>
        <v>Safe Job</v>
      </c>
    </row>
    <row r="1563" spans="1:24" x14ac:dyDescent="0.3">
      <c r="A1563">
        <v>5594</v>
      </c>
      <c r="B1563" t="s">
        <v>39</v>
      </c>
      <c r="C1563" t="s">
        <v>19</v>
      </c>
      <c r="D1563" t="s">
        <v>42</v>
      </c>
      <c r="E1563" s="1">
        <v>2025</v>
      </c>
      <c r="F1563" s="11">
        <v>0.33520000000000005</v>
      </c>
      <c r="G1563">
        <v>27.45</v>
      </c>
      <c r="H1563">
        <v>50.98</v>
      </c>
      <c r="I1563" s="2">
        <v>86892.11</v>
      </c>
      <c r="J1563" s="2">
        <v>94721.35</v>
      </c>
      <c r="K1563" s="2">
        <f>Table1[[#This Row],[Salary_after]]-Table1[[#This Row],[Salary_before]]</f>
        <v>7829.2400000000052</v>
      </c>
      <c r="L1563" s="11">
        <v>9.01E-2</v>
      </c>
      <c r="M1563" s="11">
        <v>-8.3800000000000013E-2</v>
      </c>
      <c r="N1563">
        <v>19.13</v>
      </c>
      <c r="O1563">
        <v>86.07</v>
      </c>
      <c r="P1563">
        <v>1</v>
      </c>
      <c r="Q1563" t="s">
        <v>25</v>
      </c>
      <c r="R1563">
        <v>42.25</v>
      </c>
      <c r="S1563">
        <v>9.01</v>
      </c>
      <c r="T1563" s="4">
        <v>31.404999999999902</v>
      </c>
      <c r="U1563" s="4">
        <v>28.850663999999998</v>
      </c>
      <c r="V1563" t="str">
        <f>IF(Table1[[#This Row],[ai_disruption_intensity]]&gt;70,"High",
IF(Table1[[#This Row],[ai_disruption_intensity]]&gt;40,"Medium","Low"))</f>
        <v>Low</v>
      </c>
      <c r="W1563" t="str">
        <f>IF(Table1[[#This Row],[skill_gap_index]]&gt;70,"Large Gap",
IF(Table1[[#This Row],[skill_gap_index]]&gt;40,"Medium Gap","Small Gap"))</f>
        <v>Medium Gap</v>
      </c>
      <c r="X1563" s="3" t="str">
        <f>IF(Table1[[#This Row],[automation_risk_percent]]&gt;0.7,"Highly Automatable",
IF(Table1[[#This Row],[automation_risk_percent]]&gt;0.4,"Moderate Risk","Safe Job"))</f>
        <v>Safe Job</v>
      </c>
    </row>
    <row r="1564" spans="1:24" x14ac:dyDescent="0.3">
      <c r="A1564">
        <v>5605</v>
      </c>
      <c r="B1564" t="s">
        <v>46</v>
      </c>
      <c r="C1564" t="s">
        <v>38</v>
      </c>
      <c r="D1564" t="s">
        <v>28</v>
      </c>
      <c r="E1564" s="1">
        <v>2025</v>
      </c>
      <c r="F1564" s="11">
        <v>0.48399999999999999</v>
      </c>
      <c r="G1564">
        <v>54.84</v>
      </c>
      <c r="H1564">
        <v>33.5</v>
      </c>
      <c r="I1564" s="2">
        <v>91000.960000000006</v>
      </c>
      <c r="J1564" s="2">
        <v>96825.12</v>
      </c>
      <c r="K1564" s="2">
        <f>Table1[[#This Row],[Salary_after]]-Table1[[#This Row],[Salary_before]]</f>
        <v>5824.1599999999889</v>
      </c>
      <c r="L1564" s="11">
        <v>6.4000000000000001E-2</v>
      </c>
      <c r="M1564" s="11">
        <v>0.1229</v>
      </c>
      <c r="N1564">
        <v>40.06</v>
      </c>
      <c r="O1564">
        <v>32.44</v>
      </c>
      <c r="P1564">
        <v>4</v>
      </c>
      <c r="Q1564" t="s">
        <v>25</v>
      </c>
      <c r="R1564">
        <v>40.950000000000003</v>
      </c>
      <c r="S1564">
        <v>6.4</v>
      </c>
      <c r="T1564" s="4">
        <v>31.33</v>
      </c>
      <c r="U1564" s="4">
        <v>15.700959999999901</v>
      </c>
      <c r="V1564" t="str">
        <f>IF(Table1[[#This Row],[ai_disruption_intensity]]&gt;70,"High",
IF(Table1[[#This Row],[ai_disruption_intensity]]&gt;40,"Medium","Low"))</f>
        <v>Low</v>
      </c>
      <c r="W1564" t="str">
        <f>IF(Table1[[#This Row],[skill_gap_index]]&gt;70,"Large Gap",
IF(Table1[[#This Row],[skill_gap_index]]&gt;40,"Medium Gap","Small Gap"))</f>
        <v>Small Gap</v>
      </c>
      <c r="X1564" s="3" t="str">
        <f>IF(Table1[[#This Row],[automation_risk_percent]]&gt;0.7,"Highly Automatable",
IF(Table1[[#This Row],[automation_risk_percent]]&gt;0.4,"Moderate Risk","Safe Job"))</f>
        <v>Moderate Risk</v>
      </c>
    </row>
    <row r="1565" spans="1:24" x14ac:dyDescent="0.3">
      <c r="A1565">
        <v>5606</v>
      </c>
      <c r="B1565" t="s">
        <v>44</v>
      </c>
      <c r="C1565" t="s">
        <v>19</v>
      </c>
      <c r="D1565" t="s">
        <v>20</v>
      </c>
      <c r="E1565" s="1">
        <v>2026</v>
      </c>
      <c r="F1565" s="11">
        <v>0.56399999999999995</v>
      </c>
      <c r="G1565">
        <v>66.180000000000007</v>
      </c>
      <c r="H1565">
        <v>43.88</v>
      </c>
      <c r="I1565" s="2">
        <v>72353.02</v>
      </c>
      <c r="J1565" s="2">
        <v>74623.77</v>
      </c>
      <c r="K1565" s="2">
        <f>Table1[[#This Row],[Salary_after]]-Table1[[#This Row],[Salary_before]]</f>
        <v>2270.75</v>
      </c>
      <c r="L1565" s="11">
        <v>3.1400000000000004E-2</v>
      </c>
      <c r="M1565" s="11">
        <v>0.1177</v>
      </c>
      <c r="N1565">
        <v>44.94</v>
      </c>
      <c r="O1565">
        <v>5.73</v>
      </c>
      <c r="P1565">
        <v>5</v>
      </c>
      <c r="Q1565" t="s">
        <v>25</v>
      </c>
      <c r="R1565">
        <v>50.14</v>
      </c>
      <c r="S1565">
        <v>3.14</v>
      </c>
      <c r="T1565" s="4">
        <v>36.665999999999997</v>
      </c>
      <c r="U1565" s="4">
        <v>3.2317200000000001</v>
      </c>
      <c r="V1565" t="str">
        <f>IF(Table1[[#This Row],[ai_disruption_intensity]]&gt;70,"High",
IF(Table1[[#This Row],[ai_disruption_intensity]]&gt;40,"Medium","Low"))</f>
        <v>Low</v>
      </c>
      <c r="W1565" t="str">
        <f>IF(Table1[[#This Row],[skill_gap_index]]&gt;70,"Large Gap",
IF(Table1[[#This Row],[skill_gap_index]]&gt;40,"Medium Gap","Small Gap"))</f>
        <v>Medium Gap</v>
      </c>
      <c r="X1565" s="3" t="str">
        <f>IF(Table1[[#This Row],[automation_risk_percent]]&gt;0.7,"Highly Automatable",
IF(Table1[[#This Row],[automation_risk_percent]]&gt;0.4,"Moderate Risk","Safe Job"))</f>
        <v>Moderate Risk</v>
      </c>
    </row>
    <row r="1566" spans="1:24" x14ac:dyDescent="0.3">
      <c r="A1566">
        <v>5608</v>
      </c>
      <c r="B1566" t="s">
        <v>43</v>
      </c>
      <c r="C1566" t="s">
        <v>33</v>
      </c>
      <c r="D1566" t="s">
        <v>35</v>
      </c>
      <c r="E1566" s="1">
        <v>2026</v>
      </c>
      <c r="F1566" s="11">
        <v>0.29339999999999999</v>
      </c>
      <c r="G1566">
        <v>24.42</v>
      </c>
      <c r="H1566">
        <v>42.44</v>
      </c>
      <c r="I1566" s="2">
        <v>36591.050000000003</v>
      </c>
      <c r="J1566" s="2">
        <v>36718.86</v>
      </c>
      <c r="K1566" s="2">
        <f>Table1[[#This Row],[Salary_after]]-Table1[[#This Row],[Salary_before]]</f>
        <v>127.80999999999767</v>
      </c>
      <c r="L1566" s="11">
        <v>3.4999999999999996E-3</v>
      </c>
      <c r="M1566" s="11">
        <v>5.1500000000000004E-2</v>
      </c>
      <c r="N1566">
        <v>69.290000000000006</v>
      </c>
      <c r="O1566">
        <v>27.54</v>
      </c>
      <c r="P1566">
        <v>1</v>
      </c>
      <c r="Q1566" t="s">
        <v>21</v>
      </c>
      <c r="R1566">
        <v>35.89</v>
      </c>
      <c r="S1566">
        <v>0.35</v>
      </c>
      <c r="T1566" s="4">
        <v>24.573</v>
      </c>
      <c r="U1566" s="4">
        <v>8.0802359999999993</v>
      </c>
      <c r="V1566" t="str">
        <f>IF(Table1[[#This Row],[ai_disruption_intensity]]&gt;70,"High",
IF(Table1[[#This Row],[ai_disruption_intensity]]&gt;40,"Medium","Low"))</f>
        <v>Low</v>
      </c>
      <c r="W1566" t="str">
        <f>IF(Table1[[#This Row],[skill_gap_index]]&gt;70,"Large Gap",
IF(Table1[[#This Row],[skill_gap_index]]&gt;40,"Medium Gap","Small Gap"))</f>
        <v>Medium Gap</v>
      </c>
      <c r="X1566" s="3" t="str">
        <f>IF(Table1[[#This Row],[automation_risk_percent]]&gt;0.7,"Highly Automatable",
IF(Table1[[#This Row],[automation_risk_percent]]&gt;0.4,"Moderate Risk","Safe Job"))</f>
        <v>Safe Job</v>
      </c>
    </row>
    <row r="1567" spans="1:24" x14ac:dyDescent="0.3">
      <c r="A1567">
        <v>5611</v>
      </c>
      <c r="B1567" t="s">
        <v>26</v>
      </c>
      <c r="C1567" t="s">
        <v>30</v>
      </c>
      <c r="D1567" t="s">
        <v>47</v>
      </c>
      <c r="E1567" s="1">
        <v>2026</v>
      </c>
      <c r="F1567" s="11">
        <v>0.25420000000000004</v>
      </c>
      <c r="G1567">
        <v>22.56</v>
      </c>
      <c r="H1567">
        <v>48.7</v>
      </c>
      <c r="I1567" s="2">
        <v>34418.81</v>
      </c>
      <c r="J1567" s="2">
        <v>29411.03</v>
      </c>
      <c r="K1567" s="2">
        <f>Table1[[#This Row],[Salary_after]]-Table1[[#This Row],[Salary_before]]</f>
        <v>-5007.7799999999988</v>
      </c>
      <c r="L1567" s="11">
        <v>-0.14550000000000002</v>
      </c>
      <c r="M1567" s="11">
        <v>0.10800000000000001</v>
      </c>
      <c r="N1567">
        <v>63.84</v>
      </c>
      <c r="O1567">
        <v>61.41</v>
      </c>
      <c r="P1567">
        <v>2</v>
      </c>
      <c r="Q1567" t="s">
        <v>21</v>
      </c>
      <c r="R1567">
        <v>37.06</v>
      </c>
      <c r="S1567">
        <v>14.55</v>
      </c>
      <c r="T1567" s="4">
        <v>29.143000000000001</v>
      </c>
      <c r="U1567" s="4">
        <v>15.610422</v>
      </c>
      <c r="V1567" t="str">
        <f>IF(Table1[[#This Row],[ai_disruption_intensity]]&gt;70,"High",
IF(Table1[[#This Row],[ai_disruption_intensity]]&gt;40,"Medium","Low"))</f>
        <v>Low</v>
      </c>
      <c r="W1567" t="str">
        <f>IF(Table1[[#This Row],[skill_gap_index]]&gt;70,"Large Gap",
IF(Table1[[#This Row],[skill_gap_index]]&gt;40,"Medium Gap","Small Gap"))</f>
        <v>Medium Gap</v>
      </c>
      <c r="X1567" s="3" t="str">
        <f>IF(Table1[[#This Row],[automation_risk_percent]]&gt;0.7,"Highly Automatable",
IF(Table1[[#This Row],[automation_risk_percent]]&gt;0.4,"Moderate Risk","Safe Job"))</f>
        <v>Safe Job</v>
      </c>
    </row>
    <row r="1568" spans="1:24" x14ac:dyDescent="0.3">
      <c r="A1568">
        <v>5619</v>
      </c>
      <c r="B1568" t="s">
        <v>26</v>
      </c>
      <c r="C1568" t="s">
        <v>34</v>
      </c>
      <c r="D1568" t="s">
        <v>47</v>
      </c>
      <c r="E1568" s="1">
        <v>2025</v>
      </c>
      <c r="F1568" s="11">
        <v>0.20960000000000001</v>
      </c>
      <c r="G1568">
        <v>22.13</v>
      </c>
      <c r="H1568">
        <v>96.52</v>
      </c>
      <c r="I1568" s="2">
        <v>55664.58</v>
      </c>
      <c r="J1568" s="2">
        <v>59553.34</v>
      </c>
      <c r="K1568" s="2">
        <f>Table1[[#This Row],[Salary_after]]-Table1[[#This Row],[Salary_before]]</f>
        <v>3888.7599999999948</v>
      </c>
      <c r="L1568" s="11">
        <v>6.9900000000000004E-2</v>
      </c>
      <c r="M1568" s="11">
        <v>7.6499999999999999E-2</v>
      </c>
      <c r="N1568">
        <v>51.58</v>
      </c>
      <c r="O1568">
        <v>31.68</v>
      </c>
      <c r="P1568">
        <v>1</v>
      </c>
      <c r="Q1568" t="s">
        <v>21</v>
      </c>
      <c r="R1568">
        <v>58.739999999999903</v>
      </c>
      <c r="S1568">
        <v>6.99</v>
      </c>
      <c r="T1568" s="4">
        <v>39.436999999999998</v>
      </c>
      <c r="U1568" s="4">
        <v>6.6401279999999998</v>
      </c>
      <c r="V1568" t="str">
        <f>IF(Table1[[#This Row],[ai_disruption_intensity]]&gt;70,"High",
IF(Table1[[#This Row],[ai_disruption_intensity]]&gt;40,"Medium","Low"))</f>
        <v>Low</v>
      </c>
      <c r="W1568" t="str">
        <f>IF(Table1[[#This Row],[skill_gap_index]]&gt;70,"Large Gap",
IF(Table1[[#This Row],[skill_gap_index]]&gt;40,"Medium Gap","Small Gap"))</f>
        <v>Large Gap</v>
      </c>
      <c r="X1568" s="3" t="str">
        <f>IF(Table1[[#This Row],[automation_risk_percent]]&gt;0.7,"Highly Automatable",
IF(Table1[[#This Row],[automation_risk_percent]]&gt;0.4,"Moderate Risk","Safe Job"))</f>
        <v>Safe Job</v>
      </c>
    </row>
    <row r="1569" spans="1:24" x14ac:dyDescent="0.3">
      <c r="A1569">
        <v>5620</v>
      </c>
      <c r="B1569" t="s">
        <v>39</v>
      </c>
      <c r="C1569" t="s">
        <v>34</v>
      </c>
      <c r="D1569" t="s">
        <v>47</v>
      </c>
      <c r="E1569" s="1">
        <v>2026</v>
      </c>
      <c r="F1569" s="11">
        <v>0.56679999999999997</v>
      </c>
      <c r="G1569">
        <v>46.06</v>
      </c>
      <c r="H1569">
        <v>36.020000000000003</v>
      </c>
      <c r="I1569" s="2">
        <v>60956.88</v>
      </c>
      <c r="J1569" s="2">
        <v>57159.61</v>
      </c>
      <c r="K1569" s="2">
        <f>Table1[[#This Row],[Salary_after]]-Table1[[#This Row],[Salary_before]]</f>
        <v>-3797.2699999999968</v>
      </c>
      <c r="L1569" s="11">
        <v>-6.2300000000000001E-2</v>
      </c>
      <c r="M1569" s="11">
        <v>-3.5999999999999999E-3</v>
      </c>
      <c r="N1569">
        <v>76.34</v>
      </c>
      <c r="O1569">
        <v>95.51</v>
      </c>
      <c r="P1569">
        <v>4</v>
      </c>
      <c r="Q1569" t="s">
        <v>25</v>
      </c>
      <c r="R1569">
        <v>46.35</v>
      </c>
      <c r="S1569">
        <v>6.23</v>
      </c>
      <c r="T1569" s="4">
        <v>35.347000000000001</v>
      </c>
      <c r="U1569" s="4">
        <v>54.135067999999997</v>
      </c>
      <c r="V1569" t="str">
        <f>IF(Table1[[#This Row],[ai_disruption_intensity]]&gt;70,"High",
IF(Table1[[#This Row],[ai_disruption_intensity]]&gt;40,"Medium","Low"))</f>
        <v>Medium</v>
      </c>
      <c r="W1569" t="str">
        <f>IF(Table1[[#This Row],[skill_gap_index]]&gt;70,"Large Gap",
IF(Table1[[#This Row],[skill_gap_index]]&gt;40,"Medium Gap","Small Gap"))</f>
        <v>Small Gap</v>
      </c>
      <c r="X1569" s="3" t="str">
        <f>IF(Table1[[#This Row],[automation_risk_percent]]&gt;0.7,"Highly Automatable",
IF(Table1[[#This Row],[automation_risk_percent]]&gt;0.4,"Moderate Risk","Safe Job"))</f>
        <v>Moderate Risk</v>
      </c>
    </row>
    <row r="1570" spans="1:24" x14ac:dyDescent="0.3">
      <c r="A1570">
        <v>5627</v>
      </c>
      <c r="B1570" t="s">
        <v>39</v>
      </c>
      <c r="C1570" t="s">
        <v>27</v>
      </c>
      <c r="D1570" t="s">
        <v>28</v>
      </c>
      <c r="E1570" s="1">
        <v>2026</v>
      </c>
      <c r="F1570" s="11">
        <v>0.58829999999999993</v>
      </c>
      <c r="G1570">
        <v>65.37</v>
      </c>
      <c r="H1570">
        <v>82.74</v>
      </c>
      <c r="I1570" s="2">
        <v>49877.08</v>
      </c>
      <c r="J1570" s="2">
        <v>45669.75</v>
      </c>
      <c r="K1570" s="2">
        <f>Table1[[#This Row],[Salary_after]]-Table1[[#This Row],[Salary_before]]</f>
        <v>-4207.3300000000017</v>
      </c>
      <c r="L1570" s="11">
        <v>-8.4399999999999989E-2</v>
      </c>
      <c r="M1570" s="11">
        <v>5.74E-2</v>
      </c>
      <c r="N1570">
        <v>82.43</v>
      </c>
      <c r="O1570">
        <v>48.65</v>
      </c>
      <c r="P1570">
        <v>1</v>
      </c>
      <c r="Q1570" t="s">
        <v>25</v>
      </c>
      <c r="R1570">
        <v>70.784999999999997</v>
      </c>
      <c r="S1570">
        <v>8.44</v>
      </c>
      <c r="T1570" s="4">
        <v>50.885999999999903</v>
      </c>
      <c r="U1570" s="4">
        <v>28.620794999999902</v>
      </c>
      <c r="V1570" t="str">
        <f>IF(Table1[[#This Row],[ai_disruption_intensity]]&gt;70,"High",
IF(Table1[[#This Row],[ai_disruption_intensity]]&gt;40,"Medium","Low"))</f>
        <v>Low</v>
      </c>
      <c r="W1570" t="str">
        <f>IF(Table1[[#This Row],[skill_gap_index]]&gt;70,"Large Gap",
IF(Table1[[#This Row],[skill_gap_index]]&gt;40,"Medium Gap","Small Gap"))</f>
        <v>Large Gap</v>
      </c>
      <c r="X1570" s="3" t="str">
        <f>IF(Table1[[#This Row],[automation_risk_percent]]&gt;0.7,"Highly Automatable",
IF(Table1[[#This Row],[automation_risk_percent]]&gt;0.4,"Moderate Risk","Safe Job"))</f>
        <v>Moderate Risk</v>
      </c>
    </row>
    <row r="1571" spans="1:24" x14ac:dyDescent="0.3">
      <c r="A1571">
        <v>5630</v>
      </c>
      <c r="B1571" t="s">
        <v>44</v>
      </c>
      <c r="C1571" t="s">
        <v>30</v>
      </c>
      <c r="D1571" t="s">
        <v>28</v>
      </c>
      <c r="E1571" s="1">
        <v>2025</v>
      </c>
      <c r="F1571" s="11">
        <v>0.47609999999999997</v>
      </c>
      <c r="G1571">
        <v>48.68</v>
      </c>
      <c r="H1571">
        <v>64.81</v>
      </c>
      <c r="I1571" s="2">
        <v>121459.66</v>
      </c>
      <c r="J1571" s="2">
        <v>127029.09</v>
      </c>
      <c r="K1571" s="2">
        <f>Table1[[#This Row],[Salary_after]]-Table1[[#This Row],[Salary_before]]</f>
        <v>5569.429999999993</v>
      </c>
      <c r="L1571" s="11">
        <v>4.5899999999999996E-2</v>
      </c>
      <c r="M1571" s="11">
        <v>8.8599999999999998E-2</v>
      </c>
      <c r="N1571">
        <v>47.39</v>
      </c>
      <c r="O1571">
        <v>35.49</v>
      </c>
      <c r="P1571">
        <v>5</v>
      </c>
      <c r="Q1571" t="s">
        <v>25</v>
      </c>
      <c r="R1571">
        <v>56.21</v>
      </c>
      <c r="S1571">
        <v>4.59</v>
      </c>
      <c r="T1571" s="4">
        <v>39.863999999999997</v>
      </c>
      <c r="U1571" s="4">
        <v>16.896788999999998</v>
      </c>
      <c r="V1571" t="str">
        <f>IF(Table1[[#This Row],[ai_disruption_intensity]]&gt;70,"High",
IF(Table1[[#This Row],[ai_disruption_intensity]]&gt;40,"Medium","Low"))</f>
        <v>Low</v>
      </c>
      <c r="W1571" t="str">
        <f>IF(Table1[[#This Row],[skill_gap_index]]&gt;70,"Large Gap",
IF(Table1[[#This Row],[skill_gap_index]]&gt;40,"Medium Gap","Small Gap"))</f>
        <v>Medium Gap</v>
      </c>
      <c r="X1571" s="3" t="str">
        <f>IF(Table1[[#This Row],[automation_risk_percent]]&gt;0.7,"Highly Automatable",
IF(Table1[[#This Row],[automation_risk_percent]]&gt;0.4,"Moderate Risk","Safe Job"))</f>
        <v>Moderate Risk</v>
      </c>
    </row>
    <row r="1572" spans="1:24" x14ac:dyDescent="0.3">
      <c r="A1572">
        <v>5632</v>
      </c>
      <c r="B1572" t="s">
        <v>39</v>
      </c>
      <c r="C1572" t="s">
        <v>40</v>
      </c>
      <c r="D1572" t="s">
        <v>28</v>
      </c>
      <c r="E1572" s="1">
        <v>2025</v>
      </c>
      <c r="F1572" s="11">
        <v>0.47539999999999999</v>
      </c>
      <c r="G1572">
        <v>44.67</v>
      </c>
      <c r="H1572">
        <v>3</v>
      </c>
      <c r="I1572" s="2">
        <v>108695.92</v>
      </c>
      <c r="J1572" s="2">
        <v>118775.43</v>
      </c>
      <c r="K1572" s="2">
        <f>Table1[[#This Row],[Salary_after]]-Table1[[#This Row],[Salary_before]]</f>
        <v>10079.509999999995</v>
      </c>
      <c r="L1572" s="11">
        <v>9.2699999999999991E-2</v>
      </c>
      <c r="M1572" s="11">
        <v>-5.4600000000000003E-2</v>
      </c>
      <c r="N1572">
        <v>88.41</v>
      </c>
      <c r="O1572">
        <v>19.079999999999998</v>
      </c>
      <c r="P1572">
        <v>1</v>
      </c>
      <c r="Q1572" t="s">
        <v>25</v>
      </c>
      <c r="R1572">
        <v>25.27</v>
      </c>
      <c r="S1572">
        <v>9.27</v>
      </c>
      <c r="T1572" s="4">
        <v>22.696999999999999</v>
      </c>
      <c r="U1572" s="4">
        <v>9.0706319999999998</v>
      </c>
      <c r="V1572" t="str">
        <f>IF(Table1[[#This Row],[ai_disruption_intensity]]&gt;70,"High",
IF(Table1[[#This Row],[ai_disruption_intensity]]&gt;40,"Medium","Low"))</f>
        <v>Low</v>
      </c>
      <c r="W1572" t="str">
        <f>IF(Table1[[#This Row],[skill_gap_index]]&gt;70,"Large Gap",
IF(Table1[[#This Row],[skill_gap_index]]&gt;40,"Medium Gap","Small Gap"))</f>
        <v>Small Gap</v>
      </c>
      <c r="X1572" s="3" t="str">
        <f>IF(Table1[[#This Row],[automation_risk_percent]]&gt;0.7,"Highly Automatable",
IF(Table1[[#This Row],[automation_risk_percent]]&gt;0.4,"Moderate Risk","Safe Job"))</f>
        <v>Moderate Risk</v>
      </c>
    </row>
    <row r="1573" spans="1:24" x14ac:dyDescent="0.3">
      <c r="A1573">
        <v>5634</v>
      </c>
      <c r="B1573" t="s">
        <v>44</v>
      </c>
      <c r="C1573" t="s">
        <v>30</v>
      </c>
      <c r="D1573" t="s">
        <v>24</v>
      </c>
      <c r="E1573" s="1">
        <v>2026</v>
      </c>
      <c r="F1573" s="11">
        <v>0.42479999999999996</v>
      </c>
      <c r="G1573">
        <v>34.14</v>
      </c>
      <c r="H1573">
        <v>23.94</v>
      </c>
      <c r="I1573" s="2">
        <v>74290.33</v>
      </c>
      <c r="J1573" s="2">
        <v>75308.160000000003</v>
      </c>
      <c r="K1573" s="2">
        <f>Table1[[#This Row],[Salary_after]]-Table1[[#This Row],[Salary_before]]</f>
        <v>1017.8300000000017</v>
      </c>
      <c r="L1573" s="11">
        <v>1.37E-2</v>
      </c>
      <c r="M1573" s="11">
        <v>3.3300000000000003E-2</v>
      </c>
      <c r="N1573">
        <v>28.11</v>
      </c>
      <c r="O1573">
        <v>75.489999999999995</v>
      </c>
      <c r="P1573">
        <v>5</v>
      </c>
      <c r="Q1573" t="s">
        <v>25</v>
      </c>
      <c r="R1573">
        <v>33.21</v>
      </c>
      <c r="S1573">
        <v>1.37</v>
      </c>
      <c r="T1573" s="4">
        <v>24.585000000000001</v>
      </c>
      <c r="U1573" s="4">
        <v>32.068151999999998</v>
      </c>
      <c r="V1573" t="str">
        <f>IF(Table1[[#This Row],[ai_disruption_intensity]]&gt;70,"High",
IF(Table1[[#This Row],[ai_disruption_intensity]]&gt;40,"Medium","Low"))</f>
        <v>Low</v>
      </c>
      <c r="W1573" t="str">
        <f>IF(Table1[[#This Row],[skill_gap_index]]&gt;70,"Large Gap",
IF(Table1[[#This Row],[skill_gap_index]]&gt;40,"Medium Gap","Small Gap"))</f>
        <v>Small Gap</v>
      </c>
      <c r="X1573" s="3" t="str">
        <f>IF(Table1[[#This Row],[automation_risk_percent]]&gt;0.7,"Highly Automatable",
IF(Table1[[#This Row],[automation_risk_percent]]&gt;0.4,"Moderate Risk","Safe Job"))</f>
        <v>Moderate Risk</v>
      </c>
    </row>
    <row r="1574" spans="1:24" x14ac:dyDescent="0.3">
      <c r="A1574">
        <v>5635</v>
      </c>
      <c r="B1574" t="s">
        <v>41</v>
      </c>
      <c r="C1574" t="s">
        <v>19</v>
      </c>
      <c r="D1574" t="s">
        <v>24</v>
      </c>
      <c r="E1574" s="1">
        <v>2026</v>
      </c>
      <c r="F1574" s="11">
        <v>0.58169999999999999</v>
      </c>
      <c r="G1574">
        <v>57.7</v>
      </c>
      <c r="H1574">
        <v>64.52</v>
      </c>
      <c r="I1574" s="2">
        <v>35313.33</v>
      </c>
      <c r="J1574" s="2">
        <v>34492.949999999997</v>
      </c>
      <c r="K1574" s="2">
        <f>Table1[[#This Row],[Salary_after]]-Table1[[#This Row],[Salary_before]]</f>
        <v>-820.38000000000466</v>
      </c>
      <c r="L1574" s="11">
        <v>-2.3199999999999998E-2</v>
      </c>
      <c r="M1574" s="11">
        <v>-6.5000000000000006E-3</v>
      </c>
      <c r="N1574">
        <v>47.51</v>
      </c>
      <c r="O1574">
        <v>42.99</v>
      </c>
      <c r="P1574">
        <v>4</v>
      </c>
      <c r="Q1574" t="s">
        <v>25</v>
      </c>
      <c r="R1574">
        <v>61.344999999999999</v>
      </c>
      <c r="S1574">
        <v>2.3199999999999998</v>
      </c>
      <c r="T1574" s="4">
        <v>43.319999999999901</v>
      </c>
      <c r="U1574" s="4">
        <v>25.007283000000001</v>
      </c>
      <c r="V1574" t="str">
        <f>IF(Table1[[#This Row],[ai_disruption_intensity]]&gt;70,"High",
IF(Table1[[#This Row],[ai_disruption_intensity]]&gt;40,"Medium","Low"))</f>
        <v>Low</v>
      </c>
      <c r="W1574" t="str">
        <f>IF(Table1[[#This Row],[skill_gap_index]]&gt;70,"Large Gap",
IF(Table1[[#This Row],[skill_gap_index]]&gt;40,"Medium Gap","Small Gap"))</f>
        <v>Medium Gap</v>
      </c>
      <c r="X1574" s="3" t="str">
        <f>IF(Table1[[#This Row],[automation_risk_percent]]&gt;0.7,"Highly Automatable",
IF(Table1[[#This Row],[automation_risk_percent]]&gt;0.4,"Moderate Risk","Safe Job"))</f>
        <v>Moderate Risk</v>
      </c>
    </row>
    <row r="1575" spans="1:24" x14ac:dyDescent="0.3">
      <c r="A1575">
        <v>5636</v>
      </c>
      <c r="B1575" t="s">
        <v>18</v>
      </c>
      <c r="C1575" t="s">
        <v>33</v>
      </c>
      <c r="D1575" t="s">
        <v>47</v>
      </c>
      <c r="E1575" s="1">
        <v>2026</v>
      </c>
      <c r="F1575" s="11">
        <v>0.57379999999999998</v>
      </c>
      <c r="G1575">
        <v>45.92</v>
      </c>
      <c r="H1575">
        <v>95.91</v>
      </c>
      <c r="I1575" s="2">
        <v>50938.49</v>
      </c>
      <c r="J1575" s="2">
        <v>52809.33</v>
      </c>
      <c r="K1575" s="2">
        <f>Table1[[#This Row],[Salary_after]]-Table1[[#This Row],[Salary_before]]</f>
        <v>1870.8400000000038</v>
      </c>
      <c r="L1575" s="11">
        <v>3.6699999999999997E-2</v>
      </c>
      <c r="M1575" s="11">
        <v>2.7200000000000002E-2</v>
      </c>
      <c r="N1575">
        <v>10.49</v>
      </c>
      <c r="O1575">
        <v>99.13</v>
      </c>
      <c r="P1575">
        <v>3</v>
      </c>
      <c r="Q1575" t="s">
        <v>25</v>
      </c>
      <c r="R1575">
        <v>76.644999999999996</v>
      </c>
      <c r="S1575">
        <v>3.67</v>
      </c>
      <c r="T1575" s="4">
        <v>52.826000000000001</v>
      </c>
      <c r="U1575" s="4">
        <v>56.880793999999902</v>
      </c>
      <c r="V1575" t="str">
        <f>IF(Table1[[#This Row],[ai_disruption_intensity]]&gt;70,"High",
IF(Table1[[#This Row],[ai_disruption_intensity]]&gt;40,"Medium","Low"))</f>
        <v>Medium</v>
      </c>
      <c r="W1575" t="str">
        <f>IF(Table1[[#This Row],[skill_gap_index]]&gt;70,"Large Gap",
IF(Table1[[#This Row],[skill_gap_index]]&gt;40,"Medium Gap","Small Gap"))</f>
        <v>Large Gap</v>
      </c>
      <c r="X1575" s="3" t="str">
        <f>IF(Table1[[#This Row],[automation_risk_percent]]&gt;0.7,"Highly Automatable",
IF(Table1[[#This Row],[automation_risk_percent]]&gt;0.4,"Moderate Risk","Safe Job"))</f>
        <v>Moderate Risk</v>
      </c>
    </row>
    <row r="1576" spans="1:24" x14ac:dyDescent="0.3">
      <c r="A1576">
        <v>5643</v>
      </c>
      <c r="B1576" t="s">
        <v>29</v>
      </c>
      <c r="C1576" t="s">
        <v>34</v>
      </c>
      <c r="D1576" t="s">
        <v>42</v>
      </c>
      <c r="E1576" s="1">
        <v>2026</v>
      </c>
      <c r="F1576" s="11">
        <v>0.44500000000000001</v>
      </c>
      <c r="G1576">
        <v>50.05</v>
      </c>
      <c r="H1576">
        <v>81.37</v>
      </c>
      <c r="I1576" s="2">
        <v>112968.28</v>
      </c>
      <c r="J1576" s="2">
        <v>102537.71</v>
      </c>
      <c r="K1576" s="2">
        <f>Table1[[#This Row],[Salary_after]]-Table1[[#This Row],[Salary_before]]</f>
        <v>-10430.569999999992</v>
      </c>
      <c r="L1576" s="11">
        <v>-9.2300000000000007E-2</v>
      </c>
      <c r="M1576" s="11">
        <v>-5.3399999999999996E-2</v>
      </c>
      <c r="N1576">
        <v>37.479999999999997</v>
      </c>
      <c r="O1576">
        <v>32.799999999999997</v>
      </c>
      <c r="P1576">
        <v>3</v>
      </c>
      <c r="Q1576" t="s">
        <v>25</v>
      </c>
      <c r="R1576">
        <v>62.935000000000002</v>
      </c>
      <c r="S1576">
        <v>9.23</v>
      </c>
      <c r="T1576" s="4">
        <v>44.98</v>
      </c>
      <c r="U1576" s="4">
        <v>14.595999999999901</v>
      </c>
      <c r="V1576" t="str">
        <f>IF(Table1[[#This Row],[ai_disruption_intensity]]&gt;70,"High",
IF(Table1[[#This Row],[ai_disruption_intensity]]&gt;40,"Medium","Low"))</f>
        <v>Low</v>
      </c>
      <c r="W1576" t="str">
        <f>IF(Table1[[#This Row],[skill_gap_index]]&gt;70,"Large Gap",
IF(Table1[[#This Row],[skill_gap_index]]&gt;40,"Medium Gap","Small Gap"))</f>
        <v>Large Gap</v>
      </c>
      <c r="X1576" s="3" t="str">
        <f>IF(Table1[[#This Row],[automation_risk_percent]]&gt;0.7,"Highly Automatable",
IF(Table1[[#This Row],[automation_risk_percent]]&gt;0.4,"Moderate Risk","Safe Job"))</f>
        <v>Moderate Risk</v>
      </c>
    </row>
    <row r="1577" spans="1:24" x14ac:dyDescent="0.3">
      <c r="A1577">
        <v>5650</v>
      </c>
      <c r="B1577" t="s">
        <v>22</v>
      </c>
      <c r="C1577" t="s">
        <v>40</v>
      </c>
      <c r="D1577" t="s">
        <v>42</v>
      </c>
      <c r="E1577" s="1">
        <v>2026</v>
      </c>
      <c r="F1577" s="11">
        <v>0.50790000000000002</v>
      </c>
      <c r="G1577">
        <v>46.56</v>
      </c>
      <c r="H1577">
        <v>99.24</v>
      </c>
      <c r="I1577" s="2">
        <v>118440.56</v>
      </c>
      <c r="J1577" s="2">
        <v>128379.04</v>
      </c>
      <c r="K1577" s="2">
        <f>Table1[[#This Row],[Salary_after]]-Table1[[#This Row],[Salary_before]]</f>
        <v>9938.4799999999959</v>
      </c>
      <c r="L1577" s="11">
        <v>8.3900000000000002E-2</v>
      </c>
      <c r="M1577" s="11">
        <v>-8.4900000000000003E-2</v>
      </c>
      <c r="N1577">
        <v>49.18</v>
      </c>
      <c r="O1577">
        <v>86.03</v>
      </c>
      <c r="P1577">
        <v>2</v>
      </c>
      <c r="Q1577" t="s">
        <v>25</v>
      </c>
      <c r="R1577">
        <v>75.015000000000001</v>
      </c>
      <c r="S1577">
        <v>8.39</v>
      </c>
      <c r="T1577" s="4">
        <v>52.604999999999997</v>
      </c>
      <c r="U1577" s="4">
        <v>43.694637</v>
      </c>
      <c r="V1577" t="str">
        <f>IF(Table1[[#This Row],[ai_disruption_intensity]]&gt;70,"High",
IF(Table1[[#This Row],[ai_disruption_intensity]]&gt;40,"Medium","Low"))</f>
        <v>Medium</v>
      </c>
      <c r="W1577" t="str">
        <f>IF(Table1[[#This Row],[skill_gap_index]]&gt;70,"Large Gap",
IF(Table1[[#This Row],[skill_gap_index]]&gt;40,"Medium Gap","Small Gap"))</f>
        <v>Large Gap</v>
      </c>
      <c r="X1577" s="3" t="str">
        <f>IF(Table1[[#This Row],[automation_risk_percent]]&gt;0.7,"Highly Automatable",
IF(Table1[[#This Row],[automation_risk_percent]]&gt;0.4,"Moderate Risk","Safe Job"))</f>
        <v>Moderate Risk</v>
      </c>
    </row>
    <row r="1578" spans="1:24" x14ac:dyDescent="0.3">
      <c r="A1578">
        <v>5662</v>
      </c>
      <c r="B1578" t="s">
        <v>26</v>
      </c>
      <c r="C1578" t="s">
        <v>23</v>
      </c>
      <c r="D1578" t="s">
        <v>28</v>
      </c>
      <c r="E1578" s="1">
        <v>2026</v>
      </c>
      <c r="F1578" s="11">
        <v>0.21829999999999999</v>
      </c>
      <c r="G1578">
        <v>19.55</v>
      </c>
      <c r="H1578">
        <v>82.28</v>
      </c>
      <c r="I1578" s="2">
        <v>49533.24</v>
      </c>
      <c r="J1578" s="2">
        <v>51935.21</v>
      </c>
      <c r="K1578" s="2">
        <f>Table1[[#This Row],[Salary_after]]-Table1[[#This Row],[Salary_before]]</f>
        <v>2401.9700000000012</v>
      </c>
      <c r="L1578" s="11">
        <v>4.8499999999999995E-2</v>
      </c>
      <c r="M1578" s="11">
        <v>7.0000000000000007E-2</v>
      </c>
      <c r="N1578">
        <v>30.9</v>
      </c>
      <c r="O1578">
        <v>8.6999999999999993</v>
      </c>
      <c r="P1578">
        <v>2</v>
      </c>
      <c r="Q1578" t="s">
        <v>21</v>
      </c>
      <c r="R1578">
        <v>52.055</v>
      </c>
      <c r="S1578">
        <v>4.8499999999999996</v>
      </c>
      <c r="T1578" s="4">
        <v>34.870999999999903</v>
      </c>
      <c r="U1578" s="4">
        <v>1.8992099999999901</v>
      </c>
      <c r="V1578" t="str">
        <f>IF(Table1[[#This Row],[ai_disruption_intensity]]&gt;70,"High",
IF(Table1[[#This Row],[ai_disruption_intensity]]&gt;40,"Medium","Low"))</f>
        <v>Low</v>
      </c>
      <c r="W1578" t="str">
        <f>IF(Table1[[#This Row],[skill_gap_index]]&gt;70,"Large Gap",
IF(Table1[[#This Row],[skill_gap_index]]&gt;40,"Medium Gap","Small Gap"))</f>
        <v>Large Gap</v>
      </c>
      <c r="X1578" s="3" t="str">
        <f>IF(Table1[[#This Row],[automation_risk_percent]]&gt;0.7,"Highly Automatable",
IF(Table1[[#This Row],[automation_risk_percent]]&gt;0.4,"Moderate Risk","Safe Job"))</f>
        <v>Safe Job</v>
      </c>
    </row>
    <row r="1579" spans="1:24" x14ac:dyDescent="0.3">
      <c r="A1579">
        <v>5674</v>
      </c>
      <c r="B1579" t="s">
        <v>46</v>
      </c>
      <c r="C1579" t="s">
        <v>38</v>
      </c>
      <c r="D1579" t="s">
        <v>31</v>
      </c>
      <c r="E1579" s="1">
        <v>2025</v>
      </c>
      <c r="F1579" s="11">
        <v>0.29189999999999999</v>
      </c>
      <c r="G1579">
        <v>28.63</v>
      </c>
      <c r="H1579">
        <v>38.840000000000003</v>
      </c>
      <c r="I1579" s="2">
        <v>67303.63</v>
      </c>
      <c r="J1579" s="2">
        <v>62223.3</v>
      </c>
      <c r="K1579" s="2">
        <f>Table1[[#This Row],[Salary_after]]-Table1[[#This Row],[Salary_before]]</f>
        <v>-5080.3300000000017</v>
      </c>
      <c r="L1579" s="11">
        <v>-7.5499999999999998E-2</v>
      </c>
      <c r="M1579" s="11">
        <v>6.5000000000000006E-3</v>
      </c>
      <c r="N1579">
        <v>21.59</v>
      </c>
      <c r="O1579">
        <v>27.7</v>
      </c>
      <c r="P1579">
        <v>5</v>
      </c>
      <c r="Q1579" t="s">
        <v>21</v>
      </c>
      <c r="R1579">
        <v>34.015000000000001</v>
      </c>
      <c r="S1579">
        <v>7.55</v>
      </c>
      <c r="T1579" s="4">
        <v>25.593</v>
      </c>
      <c r="U1579" s="4">
        <v>8.0856300000000001</v>
      </c>
      <c r="V1579" t="str">
        <f>IF(Table1[[#This Row],[ai_disruption_intensity]]&gt;70,"High",
IF(Table1[[#This Row],[ai_disruption_intensity]]&gt;40,"Medium","Low"))</f>
        <v>Low</v>
      </c>
      <c r="W1579" t="str">
        <f>IF(Table1[[#This Row],[skill_gap_index]]&gt;70,"Large Gap",
IF(Table1[[#This Row],[skill_gap_index]]&gt;40,"Medium Gap","Small Gap"))</f>
        <v>Small Gap</v>
      </c>
      <c r="X1579" s="3" t="str">
        <f>IF(Table1[[#This Row],[automation_risk_percent]]&gt;0.7,"Highly Automatable",
IF(Table1[[#This Row],[automation_risk_percent]]&gt;0.4,"Moderate Risk","Safe Job"))</f>
        <v>Safe Job</v>
      </c>
    </row>
    <row r="1580" spans="1:24" x14ac:dyDescent="0.3">
      <c r="A1580">
        <v>5675</v>
      </c>
      <c r="B1580" t="s">
        <v>46</v>
      </c>
      <c r="C1580" t="s">
        <v>30</v>
      </c>
      <c r="D1580" t="s">
        <v>24</v>
      </c>
      <c r="E1580" s="1">
        <v>2025</v>
      </c>
      <c r="F1580" s="11">
        <v>0.53349999999999997</v>
      </c>
      <c r="G1580">
        <v>63.37</v>
      </c>
      <c r="H1580">
        <v>51.46</v>
      </c>
      <c r="I1580" s="2">
        <v>70676.62</v>
      </c>
      <c r="J1580" s="2">
        <v>68805.990000000005</v>
      </c>
      <c r="K1580" s="2">
        <f>Table1[[#This Row],[Salary_after]]-Table1[[#This Row],[Salary_before]]</f>
        <v>-1870.6299999999901</v>
      </c>
      <c r="L1580" s="11">
        <v>-2.6499999999999999E-2</v>
      </c>
      <c r="M1580" s="11">
        <v>-1.9599999999999999E-2</v>
      </c>
      <c r="N1580">
        <v>50.36</v>
      </c>
      <c r="O1580">
        <v>79.78</v>
      </c>
      <c r="P1580">
        <v>2</v>
      </c>
      <c r="Q1580" t="s">
        <v>25</v>
      </c>
      <c r="R1580">
        <v>52.405000000000001</v>
      </c>
      <c r="S1580">
        <v>2.65</v>
      </c>
      <c r="T1580" s="4">
        <v>37.573</v>
      </c>
      <c r="U1580" s="4">
        <v>42.562629999999999</v>
      </c>
      <c r="V1580" t="str">
        <f>IF(Table1[[#This Row],[ai_disruption_intensity]]&gt;70,"High",
IF(Table1[[#This Row],[ai_disruption_intensity]]&gt;40,"Medium","Low"))</f>
        <v>Medium</v>
      </c>
      <c r="W1580" t="str">
        <f>IF(Table1[[#This Row],[skill_gap_index]]&gt;70,"Large Gap",
IF(Table1[[#This Row],[skill_gap_index]]&gt;40,"Medium Gap","Small Gap"))</f>
        <v>Medium Gap</v>
      </c>
      <c r="X1580" s="3" t="str">
        <f>IF(Table1[[#This Row],[automation_risk_percent]]&gt;0.7,"Highly Automatable",
IF(Table1[[#This Row],[automation_risk_percent]]&gt;0.4,"Moderate Risk","Safe Job"))</f>
        <v>Moderate Risk</v>
      </c>
    </row>
    <row r="1581" spans="1:24" x14ac:dyDescent="0.3">
      <c r="A1581">
        <v>5679</v>
      </c>
      <c r="B1581" t="s">
        <v>43</v>
      </c>
      <c r="C1581" t="s">
        <v>27</v>
      </c>
      <c r="D1581" t="s">
        <v>32</v>
      </c>
      <c r="E1581" s="1">
        <v>2026</v>
      </c>
      <c r="F1581" s="11">
        <v>0.21299999999999999</v>
      </c>
      <c r="G1581">
        <v>23.36</v>
      </c>
      <c r="H1581">
        <v>14.81</v>
      </c>
      <c r="I1581" s="2">
        <v>75459.520000000004</v>
      </c>
      <c r="J1581" s="2">
        <v>72141.09</v>
      </c>
      <c r="K1581" s="2">
        <f>Table1[[#This Row],[Salary_after]]-Table1[[#This Row],[Salary_before]]</f>
        <v>-3318.4300000000076</v>
      </c>
      <c r="L1581" s="11">
        <v>-4.4000000000000004E-2</v>
      </c>
      <c r="M1581" s="11">
        <v>-1.84E-2</v>
      </c>
      <c r="N1581">
        <v>98.61</v>
      </c>
      <c r="O1581">
        <v>10.77</v>
      </c>
      <c r="P1581">
        <v>3</v>
      </c>
      <c r="Q1581" t="s">
        <v>21</v>
      </c>
      <c r="R1581">
        <v>18.055</v>
      </c>
      <c r="S1581">
        <v>4.4000000000000004</v>
      </c>
      <c r="T1581" s="4">
        <v>14.282999999999999</v>
      </c>
      <c r="U1581" s="4">
        <v>2.2940100000000001</v>
      </c>
      <c r="V1581" t="str">
        <f>IF(Table1[[#This Row],[ai_disruption_intensity]]&gt;70,"High",
IF(Table1[[#This Row],[ai_disruption_intensity]]&gt;40,"Medium","Low"))</f>
        <v>Low</v>
      </c>
      <c r="W1581" t="str">
        <f>IF(Table1[[#This Row],[skill_gap_index]]&gt;70,"Large Gap",
IF(Table1[[#This Row],[skill_gap_index]]&gt;40,"Medium Gap","Small Gap"))</f>
        <v>Small Gap</v>
      </c>
      <c r="X1581" s="3" t="str">
        <f>IF(Table1[[#This Row],[automation_risk_percent]]&gt;0.7,"Highly Automatable",
IF(Table1[[#This Row],[automation_risk_percent]]&gt;0.4,"Moderate Risk","Safe Job"))</f>
        <v>Safe Job</v>
      </c>
    </row>
    <row r="1582" spans="1:24" x14ac:dyDescent="0.3">
      <c r="A1582">
        <v>5683</v>
      </c>
      <c r="B1582" t="s">
        <v>39</v>
      </c>
      <c r="C1582" t="s">
        <v>34</v>
      </c>
      <c r="D1582" t="s">
        <v>32</v>
      </c>
      <c r="E1582" s="1">
        <v>2025</v>
      </c>
      <c r="F1582" s="11">
        <v>0.48049999999999998</v>
      </c>
      <c r="G1582">
        <v>40.880000000000003</v>
      </c>
      <c r="H1582">
        <v>39.11</v>
      </c>
      <c r="I1582" s="2">
        <v>34291.72</v>
      </c>
      <c r="J1582" s="2">
        <v>32136.75</v>
      </c>
      <c r="K1582" s="2">
        <f>Table1[[#This Row],[Salary_after]]-Table1[[#This Row],[Salary_before]]</f>
        <v>-2154.9700000000012</v>
      </c>
      <c r="L1582" s="11">
        <v>-6.2800000000000009E-2</v>
      </c>
      <c r="M1582" s="11">
        <v>9.8800000000000013E-2</v>
      </c>
      <c r="N1582">
        <v>63.5</v>
      </c>
      <c r="O1582">
        <v>69.94</v>
      </c>
      <c r="P1582">
        <v>2</v>
      </c>
      <c r="Q1582" t="s">
        <v>25</v>
      </c>
      <c r="R1582">
        <v>43.58</v>
      </c>
      <c r="S1582">
        <v>6.28</v>
      </c>
      <c r="T1582" s="4">
        <v>32.836999999999897</v>
      </c>
      <c r="U1582" s="4">
        <v>33.606169999999999</v>
      </c>
      <c r="V1582" t="str">
        <f>IF(Table1[[#This Row],[ai_disruption_intensity]]&gt;70,"High",
IF(Table1[[#This Row],[ai_disruption_intensity]]&gt;40,"Medium","Low"))</f>
        <v>Low</v>
      </c>
      <c r="W1582" t="str">
        <f>IF(Table1[[#This Row],[skill_gap_index]]&gt;70,"Large Gap",
IF(Table1[[#This Row],[skill_gap_index]]&gt;40,"Medium Gap","Small Gap"))</f>
        <v>Small Gap</v>
      </c>
      <c r="X1582" s="3" t="str">
        <f>IF(Table1[[#This Row],[automation_risk_percent]]&gt;0.7,"Highly Automatable",
IF(Table1[[#This Row],[automation_risk_percent]]&gt;0.4,"Moderate Risk","Safe Job"))</f>
        <v>Moderate Risk</v>
      </c>
    </row>
    <row r="1583" spans="1:24" x14ac:dyDescent="0.3">
      <c r="A1583">
        <v>5692</v>
      </c>
      <c r="B1583" t="s">
        <v>41</v>
      </c>
      <c r="C1583" t="s">
        <v>33</v>
      </c>
      <c r="D1583" t="s">
        <v>36</v>
      </c>
      <c r="E1583" s="1">
        <v>2025</v>
      </c>
      <c r="F1583" s="11">
        <v>0.89989999999999992</v>
      </c>
      <c r="G1583">
        <v>84.74</v>
      </c>
      <c r="H1583">
        <v>88.64</v>
      </c>
      <c r="I1583" s="2">
        <v>124360.77</v>
      </c>
      <c r="J1583" s="2">
        <v>132587.75</v>
      </c>
      <c r="K1583" s="2">
        <f>Table1[[#This Row],[Salary_after]]-Table1[[#This Row],[Salary_before]]</f>
        <v>8226.9799999999959</v>
      </c>
      <c r="L1583" s="11">
        <v>6.6199999999999995E-2</v>
      </c>
      <c r="M1583" s="11">
        <v>2.0499999999999997E-2</v>
      </c>
      <c r="N1583">
        <v>70.28</v>
      </c>
      <c r="O1583">
        <v>16.21</v>
      </c>
      <c r="P1583">
        <v>1</v>
      </c>
      <c r="Q1583" t="s">
        <v>37</v>
      </c>
      <c r="R1583">
        <v>89.314999999999998</v>
      </c>
      <c r="S1583">
        <v>6.62</v>
      </c>
      <c r="T1583" s="4">
        <v>64.573999999999998</v>
      </c>
      <c r="U1583" s="4">
        <v>14.587379</v>
      </c>
      <c r="V1583" t="str">
        <f>IF(Table1[[#This Row],[ai_disruption_intensity]]&gt;70,"High",
IF(Table1[[#This Row],[ai_disruption_intensity]]&gt;40,"Medium","Low"))</f>
        <v>Low</v>
      </c>
      <c r="W1583" t="str">
        <f>IF(Table1[[#This Row],[skill_gap_index]]&gt;70,"Large Gap",
IF(Table1[[#This Row],[skill_gap_index]]&gt;40,"Medium Gap","Small Gap"))</f>
        <v>Large Gap</v>
      </c>
      <c r="X1583" s="3" t="str">
        <f>IF(Table1[[#This Row],[automation_risk_percent]]&gt;0.7,"Highly Automatable",
IF(Table1[[#This Row],[automation_risk_percent]]&gt;0.4,"Moderate Risk","Safe Job"))</f>
        <v>Highly Automatable</v>
      </c>
    </row>
    <row r="1584" spans="1:24" x14ac:dyDescent="0.3">
      <c r="A1584">
        <v>5695</v>
      </c>
      <c r="B1584" t="s">
        <v>41</v>
      </c>
      <c r="C1584" t="s">
        <v>33</v>
      </c>
      <c r="D1584" t="s">
        <v>36</v>
      </c>
      <c r="E1584" s="1">
        <v>2025</v>
      </c>
      <c r="F1584" s="11">
        <v>0.54759999999999998</v>
      </c>
      <c r="G1584">
        <v>54.89</v>
      </c>
      <c r="H1584">
        <v>64.760000000000005</v>
      </c>
      <c r="I1584" s="2">
        <v>52985.34</v>
      </c>
      <c r="J1584" s="2">
        <v>49576.74</v>
      </c>
      <c r="K1584" s="2">
        <f>Table1[[#This Row],[Salary_after]]-Table1[[#This Row],[Salary_before]]</f>
        <v>-3408.5999999999985</v>
      </c>
      <c r="L1584" s="11">
        <v>-6.4299999999999996E-2</v>
      </c>
      <c r="M1584" s="11">
        <v>-8.1000000000000013E-3</v>
      </c>
      <c r="N1584">
        <v>44.6</v>
      </c>
      <c r="O1584">
        <v>19.97</v>
      </c>
      <c r="P1584">
        <v>4</v>
      </c>
      <c r="Q1584" t="s">
        <v>25</v>
      </c>
      <c r="R1584">
        <v>59.76</v>
      </c>
      <c r="S1584">
        <v>6.43</v>
      </c>
      <c r="T1584" s="4">
        <v>43.261000000000003</v>
      </c>
      <c r="U1584" s="4">
        <v>10.935572000000001</v>
      </c>
      <c r="V1584" t="str">
        <f>IF(Table1[[#This Row],[ai_disruption_intensity]]&gt;70,"High",
IF(Table1[[#This Row],[ai_disruption_intensity]]&gt;40,"Medium","Low"))</f>
        <v>Low</v>
      </c>
      <c r="W1584" t="str">
        <f>IF(Table1[[#This Row],[skill_gap_index]]&gt;70,"Large Gap",
IF(Table1[[#This Row],[skill_gap_index]]&gt;40,"Medium Gap","Small Gap"))</f>
        <v>Medium Gap</v>
      </c>
      <c r="X1584" s="3" t="str">
        <f>IF(Table1[[#This Row],[automation_risk_percent]]&gt;0.7,"Highly Automatable",
IF(Table1[[#This Row],[automation_risk_percent]]&gt;0.4,"Moderate Risk","Safe Job"))</f>
        <v>Moderate Risk</v>
      </c>
    </row>
    <row r="1585" spans="1:24" x14ac:dyDescent="0.3">
      <c r="A1585">
        <v>5698</v>
      </c>
      <c r="B1585" t="s">
        <v>39</v>
      </c>
      <c r="C1585" t="s">
        <v>27</v>
      </c>
      <c r="D1585" t="s">
        <v>31</v>
      </c>
      <c r="E1585" s="1">
        <v>2026</v>
      </c>
      <c r="F1585" s="11">
        <v>0.6179</v>
      </c>
      <c r="G1585">
        <v>70.3</v>
      </c>
      <c r="H1585">
        <v>47.63</v>
      </c>
      <c r="I1585" s="2">
        <v>41470.089999999997</v>
      </c>
      <c r="J1585" s="2">
        <v>37593.82</v>
      </c>
      <c r="K1585" s="2">
        <f>Table1[[#This Row],[Salary_after]]-Table1[[#This Row],[Salary_before]]</f>
        <v>-3876.2699999999968</v>
      </c>
      <c r="L1585" s="11">
        <v>-9.35E-2</v>
      </c>
      <c r="M1585" s="11">
        <v>0.13699999999999998</v>
      </c>
      <c r="N1585">
        <v>44.95</v>
      </c>
      <c r="O1585">
        <v>70.31</v>
      </c>
      <c r="P1585">
        <v>2</v>
      </c>
      <c r="Q1585" t="s">
        <v>37</v>
      </c>
      <c r="R1585">
        <v>54.71</v>
      </c>
      <c r="S1585">
        <v>9.35</v>
      </c>
      <c r="T1585" s="4">
        <v>41.81</v>
      </c>
      <c r="U1585" s="4">
        <v>43.444548999999903</v>
      </c>
      <c r="V1585" t="str">
        <f>IF(Table1[[#This Row],[ai_disruption_intensity]]&gt;70,"High",
IF(Table1[[#This Row],[ai_disruption_intensity]]&gt;40,"Medium","Low"))</f>
        <v>Medium</v>
      </c>
      <c r="W1585" t="str">
        <f>IF(Table1[[#This Row],[skill_gap_index]]&gt;70,"Large Gap",
IF(Table1[[#This Row],[skill_gap_index]]&gt;40,"Medium Gap","Small Gap"))</f>
        <v>Medium Gap</v>
      </c>
      <c r="X1585" s="3" t="str">
        <f>IF(Table1[[#This Row],[automation_risk_percent]]&gt;0.7,"Highly Automatable",
IF(Table1[[#This Row],[automation_risk_percent]]&gt;0.4,"Moderate Risk","Safe Job"))</f>
        <v>Moderate Risk</v>
      </c>
    </row>
    <row r="1586" spans="1:24" x14ac:dyDescent="0.3">
      <c r="A1586">
        <v>5702</v>
      </c>
      <c r="B1586" t="s">
        <v>46</v>
      </c>
      <c r="C1586" t="s">
        <v>34</v>
      </c>
      <c r="D1586" t="s">
        <v>42</v>
      </c>
      <c r="E1586" s="1">
        <v>2026</v>
      </c>
      <c r="F1586" s="11">
        <v>0.65480000000000005</v>
      </c>
      <c r="G1586">
        <v>55.14</v>
      </c>
      <c r="H1586">
        <v>70.3</v>
      </c>
      <c r="I1586" s="2">
        <v>33987.85</v>
      </c>
      <c r="J1586" s="2">
        <v>30333.43</v>
      </c>
      <c r="K1586" s="2">
        <f>Table1[[#This Row],[Salary_after]]-Table1[[#This Row],[Salary_before]]</f>
        <v>-3654.4199999999983</v>
      </c>
      <c r="L1586" s="11">
        <v>-0.1075</v>
      </c>
      <c r="M1586" s="11">
        <v>0.16940000000000002</v>
      </c>
      <c r="N1586">
        <v>70.290000000000006</v>
      </c>
      <c r="O1586">
        <v>84.58</v>
      </c>
      <c r="P1586">
        <v>3</v>
      </c>
      <c r="Q1586" t="s">
        <v>37</v>
      </c>
      <c r="R1586">
        <v>67.89</v>
      </c>
      <c r="S1586">
        <v>10.75</v>
      </c>
      <c r="T1586" s="4">
        <v>50.506999999999998</v>
      </c>
      <c r="U1586" s="4">
        <v>55.382984</v>
      </c>
      <c r="V1586" t="str">
        <f>IF(Table1[[#This Row],[ai_disruption_intensity]]&gt;70,"High",
IF(Table1[[#This Row],[ai_disruption_intensity]]&gt;40,"Medium","Low"))</f>
        <v>Medium</v>
      </c>
      <c r="W1586" t="str">
        <f>IF(Table1[[#This Row],[skill_gap_index]]&gt;70,"Large Gap",
IF(Table1[[#This Row],[skill_gap_index]]&gt;40,"Medium Gap","Small Gap"))</f>
        <v>Large Gap</v>
      </c>
      <c r="X1586" s="3" t="str">
        <f>IF(Table1[[#This Row],[automation_risk_percent]]&gt;0.7,"Highly Automatable",
IF(Table1[[#This Row],[automation_risk_percent]]&gt;0.4,"Moderate Risk","Safe Job"))</f>
        <v>Moderate Risk</v>
      </c>
    </row>
    <row r="1587" spans="1:24" x14ac:dyDescent="0.3">
      <c r="A1587">
        <v>5703</v>
      </c>
      <c r="B1587" t="s">
        <v>29</v>
      </c>
      <c r="C1587" t="s">
        <v>27</v>
      </c>
      <c r="D1587" t="s">
        <v>24</v>
      </c>
      <c r="E1587" s="1">
        <v>2025</v>
      </c>
      <c r="F1587" s="11">
        <v>0.85959999999999992</v>
      </c>
      <c r="G1587">
        <v>69.48</v>
      </c>
      <c r="H1587">
        <v>81.819999999999993</v>
      </c>
      <c r="I1587" s="2">
        <v>132384.32999999999</v>
      </c>
      <c r="J1587" s="2">
        <v>125421.75</v>
      </c>
      <c r="K1587" s="2">
        <f>Table1[[#This Row],[Salary_after]]-Table1[[#This Row],[Salary_before]]</f>
        <v>-6962.5799999999872</v>
      </c>
      <c r="L1587" s="11">
        <v>-5.2600000000000001E-2</v>
      </c>
      <c r="M1587" s="11">
        <v>0.30010000000000003</v>
      </c>
      <c r="N1587">
        <v>19.989999999999998</v>
      </c>
      <c r="O1587">
        <v>23.96</v>
      </c>
      <c r="P1587">
        <v>1</v>
      </c>
      <c r="Q1587" t="s">
        <v>37</v>
      </c>
      <c r="R1587">
        <v>83.889999999999901</v>
      </c>
      <c r="S1587">
        <v>5.26</v>
      </c>
      <c r="T1587" s="4">
        <v>60.507999999999903</v>
      </c>
      <c r="U1587" s="4">
        <v>20.596015999999999</v>
      </c>
      <c r="V1587" t="str">
        <f>IF(Table1[[#This Row],[ai_disruption_intensity]]&gt;70,"High",
IF(Table1[[#This Row],[ai_disruption_intensity]]&gt;40,"Medium","Low"))</f>
        <v>Low</v>
      </c>
      <c r="W1587" t="str">
        <f>IF(Table1[[#This Row],[skill_gap_index]]&gt;70,"Large Gap",
IF(Table1[[#This Row],[skill_gap_index]]&gt;40,"Medium Gap","Small Gap"))</f>
        <v>Large Gap</v>
      </c>
      <c r="X1587" s="3" t="str">
        <f>IF(Table1[[#This Row],[automation_risk_percent]]&gt;0.7,"Highly Automatable",
IF(Table1[[#This Row],[automation_risk_percent]]&gt;0.4,"Moderate Risk","Safe Job"))</f>
        <v>Highly Automatable</v>
      </c>
    </row>
    <row r="1588" spans="1:24" x14ac:dyDescent="0.3">
      <c r="A1588">
        <v>5706</v>
      </c>
      <c r="B1588" t="s">
        <v>44</v>
      </c>
      <c r="C1588" t="s">
        <v>40</v>
      </c>
      <c r="D1588" t="s">
        <v>28</v>
      </c>
      <c r="E1588" s="1">
        <v>2025</v>
      </c>
      <c r="F1588" s="11">
        <v>0.2923</v>
      </c>
      <c r="G1588">
        <v>30.89</v>
      </c>
      <c r="H1588">
        <v>49.87</v>
      </c>
      <c r="I1588" s="2">
        <v>104858.93</v>
      </c>
      <c r="J1588" s="2">
        <v>117577.62</v>
      </c>
      <c r="K1588" s="2">
        <f>Table1[[#This Row],[Salary_after]]-Table1[[#This Row],[Salary_before]]</f>
        <v>12718.690000000002</v>
      </c>
      <c r="L1588" s="11">
        <v>0.12130000000000001</v>
      </c>
      <c r="M1588" s="11">
        <v>-0.2014</v>
      </c>
      <c r="N1588">
        <v>98.96</v>
      </c>
      <c r="O1588">
        <v>32.93</v>
      </c>
      <c r="P1588">
        <v>3</v>
      </c>
      <c r="Q1588" t="s">
        <v>21</v>
      </c>
      <c r="R1588">
        <v>39.549999999999997</v>
      </c>
      <c r="S1588">
        <v>12.13</v>
      </c>
      <c r="T1588" s="4">
        <v>30.291999999999899</v>
      </c>
      <c r="U1588" s="4">
        <v>9.6254390000000001</v>
      </c>
      <c r="V1588" t="str">
        <f>IF(Table1[[#This Row],[ai_disruption_intensity]]&gt;70,"High",
IF(Table1[[#This Row],[ai_disruption_intensity]]&gt;40,"Medium","Low"))</f>
        <v>Low</v>
      </c>
      <c r="W1588" t="str">
        <f>IF(Table1[[#This Row],[skill_gap_index]]&gt;70,"Large Gap",
IF(Table1[[#This Row],[skill_gap_index]]&gt;40,"Medium Gap","Small Gap"))</f>
        <v>Medium Gap</v>
      </c>
      <c r="X1588" s="3" t="str">
        <f>IF(Table1[[#This Row],[automation_risk_percent]]&gt;0.7,"Highly Automatable",
IF(Table1[[#This Row],[automation_risk_percent]]&gt;0.4,"Moderate Risk","Safe Job"))</f>
        <v>Safe Job</v>
      </c>
    </row>
    <row r="1589" spans="1:24" x14ac:dyDescent="0.3">
      <c r="A1589">
        <v>5710</v>
      </c>
      <c r="B1589" t="s">
        <v>22</v>
      </c>
      <c r="C1589" t="s">
        <v>33</v>
      </c>
      <c r="D1589" t="s">
        <v>36</v>
      </c>
      <c r="E1589" s="1">
        <v>2026</v>
      </c>
      <c r="F1589" s="11">
        <v>0.27929999999999999</v>
      </c>
      <c r="G1589">
        <v>28.51</v>
      </c>
      <c r="H1589">
        <v>7.51</v>
      </c>
      <c r="I1589" s="2">
        <v>103786.55</v>
      </c>
      <c r="J1589" s="2">
        <v>105356.89</v>
      </c>
      <c r="K1589" s="2">
        <f>Table1[[#This Row],[Salary_after]]-Table1[[#This Row],[Salary_before]]</f>
        <v>1570.3399999999965</v>
      </c>
      <c r="L1589" s="11">
        <v>1.5100000000000001E-2</v>
      </c>
      <c r="M1589" s="11">
        <v>0.14050000000000001</v>
      </c>
      <c r="N1589">
        <v>81.400000000000006</v>
      </c>
      <c r="O1589">
        <v>36.36</v>
      </c>
      <c r="P1589">
        <v>3</v>
      </c>
      <c r="Q1589" t="s">
        <v>21</v>
      </c>
      <c r="R1589">
        <v>17.72</v>
      </c>
      <c r="S1589">
        <v>1.51</v>
      </c>
      <c r="T1589" s="4">
        <v>13.878</v>
      </c>
      <c r="U1589" s="4">
        <v>10.155348</v>
      </c>
      <c r="V1589" t="str">
        <f>IF(Table1[[#This Row],[ai_disruption_intensity]]&gt;70,"High",
IF(Table1[[#This Row],[ai_disruption_intensity]]&gt;40,"Medium","Low"))</f>
        <v>Low</v>
      </c>
      <c r="W1589" t="str">
        <f>IF(Table1[[#This Row],[skill_gap_index]]&gt;70,"Large Gap",
IF(Table1[[#This Row],[skill_gap_index]]&gt;40,"Medium Gap","Small Gap"))</f>
        <v>Small Gap</v>
      </c>
      <c r="X1589" s="3" t="str">
        <f>IF(Table1[[#This Row],[automation_risk_percent]]&gt;0.7,"Highly Automatable",
IF(Table1[[#This Row],[automation_risk_percent]]&gt;0.4,"Moderate Risk","Safe Job"))</f>
        <v>Safe Job</v>
      </c>
    </row>
    <row r="1590" spans="1:24" x14ac:dyDescent="0.3">
      <c r="A1590">
        <v>5712</v>
      </c>
      <c r="B1590" t="s">
        <v>43</v>
      </c>
      <c r="C1590" t="s">
        <v>40</v>
      </c>
      <c r="D1590" t="s">
        <v>24</v>
      </c>
      <c r="E1590" s="1">
        <v>2026</v>
      </c>
      <c r="F1590" s="11">
        <v>0.21929999999999999</v>
      </c>
      <c r="G1590">
        <v>20.89</v>
      </c>
      <c r="H1590">
        <v>88.79</v>
      </c>
      <c r="I1590" s="2">
        <v>31836.53</v>
      </c>
      <c r="J1590" s="2">
        <v>37605.230000000003</v>
      </c>
      <c r="K1590" s="2">
        <f>Table1[[#This Row],[Salary_after]]-Table1[[#This Row],[Salary_before]]</f>
        <v>5768.7000000000044</v>
      </c>
      <c r="L1590" s="11">
        <v>0.1812</v>
      </c>
      <c r="M1590" s="11">
        <v>-4.7300000000000002E-2</v>
      </c>
      <c r="N1590">
        <v>99.2</v>
      </c>
      <c r="O1590">
        <v>55.49</v>
      </c>
      <c r="P1590">
        <v>3</v>
      </c>
      <c r="Q1590" t="s">
        <v>21</v>
      </c>
      <c r="R1590">
        <v>55.36</v>
      </c>
      <c r="S1590">
        <v>18.12</v>
      </c>
      <c r="T1590" s="4">
        <v>40.844999999999999</v>
      </c>
      <c r="U1590" s="4">
        <v>12.168957000000001</v>
      </c>
      <c r="V1590" t="str">
        <f>IF(Table1[[#This Row],[ai_disruption_intensity]]&gt;70,"High",
IF(Table1[[#This Row],[ai_disruption_intensity]]&gt;40,"Medium","Low"))</f>
        <v>Low</v>
      </c>
      <c r="W1590" t="str">
        <f>IF(Table1[[#This Row],[skill_gap_index]]&gt;70,"Large Gap",
IF(Table1[[#This Row],[skill_gap_index]]&gt;40,"Medium Gap","Small Gap"))</f>
        <v>Large Gap</v>
      </c>
      <c r="X1590" s="3" t="str">
        <f>IF(Table1[[#This Row],[automation_risk_percent]]&gt;0.7,"Highly Automatable",
IF(Table1[[#This Row],[automation_risk_percent]]&gt;0.4,"Moderate Risk","Safe Job"))</f>
        <v>Safe Job</v>
      </c>
    </row>
    <row r="1591" spans="1:24" x14ac:dyDescent="0.3">
      <c r="A1591">
        <v>5714</v>
      </c>
      <c r="B1591" t="s">
        <v>39</v>
      </c>
      <c r="C1591" t="s">
        <v>23</v>
      </c>
      <c r="D1591" t="s">
        <v>24</v>
      </c>
      <c r="E1591" s="1">
        <v>2026</v>
      </c>
      <c r="F1591" s="11">
        <v>0.63180000000000003</v>
      </c>
      <c r="G1591">
        <v>56.42</v>
      </c>
      <c r="H1591">
        <v>41.96</v>
      </c>
      <c r="I1591" s="2">
        <v>68179.360000000001</v>
      </c>
      <c r="J1591" s="2">
        <v>62613.93</v>
      </c>
      <c r="K1591" s="2">
        <f>Table1[[#This Row],[Salary_after]]-Table1[[#This Row],[Salary_before]]</f>
        <v>-5565.43</v>
      </c>
      <c r="L1591" s="11">
        <v>-8.1600000000000006E-2</v>
      </c>
      <c r="M1591" s="11">
        <v>-6.0400000000000002E-2</v>
      </c>
      <c r="N1591">
        <v>39.07</v>
      </c>
      <c r="O1591">
        <v>95.54</v>
      </c>
      <c r="P1591">
        <v>2</v>
      </c>
      <c r="Q1591" t="s">
        <v>37</v>
      </c>
      <c r="R1591">
        <v>52.57</v>
      </c>
      <c r="S1591">
        <v>8.16</v>
      </c>
      <c r="T1591" s="4">
        <v>40.308</v>
      </c>
      <c r="U1591" s="4">
        <v>60.362172000000001</v>
      </c>
      <c r="V1591" t="str">
        <f>IF(Table1[[#This Row],[ai_disruption_intensity]]&gt;70,"High",
IF(Table1[[#This Row],[ai_disruption_intensity]]&gt;40,"Medium","Low"))</f>
        <v>Medium</v>
      </c>
      <c r="W1591" t="str">
        <f>IF(Table1[[#This Row],[skill_gap_index]]&gt;70,"Large Gap",
IF(Table1[[#This Row],[skill_gap_index]]&gt;40,"Medium Gap","Small Gap"))</f>
        <v>Medium Gap</v>
      </c>
      <c r="X1591" s="3" t="str">
        <f>IF(Table1[[#This Row],[automation_risk_percent]]&gt;0.7,"Highly Automatable",
IF(Table1[[#This Row],[automation_risk_percent]]&gt;0.4,"Moderate Risk","Safe Job"))</f>
        <v>Moderate Risk</v>
      </c>
    </row>
    <row r="1592" spans="1:24" x14ac:dyDescent="0.3">
      <c r="A1592">
        <v>5718</v>
      </c>
      <c r="B1592" t="s">
        <v>22</v>
      </c>
      <c r="C1592" t="s">
        <v>19</v>
      </c>
      <c r="D1592" t="s">
        <v>47</v>
      </c>
      <c r="E1592" s="1">
        <v>2026</v>
      </c>
      <c r="F1592" s="11">
        <v>0.16320000000000001</v>
      </c>
      <c r="G1592">
        <v>15.7</v>
      </c>
      <c r="H1592">
        <v>20.43</v>
      </c>
      <c r="I1592" s="2">
        <v>94048.320000000007</v>
      </c>
      <c r="J1592" s="2">
        <v>98393.919999999998</v>
      </c>
      <c r="K1592" s="2">
        <f>Table1[[#This Row],[Salary_after]]-Table1[[#This Row],[Salary_before]]</f>
        <v>4345.5999999999913</v>
      </c>
      <c r="L1592" s="11">
        <v>4.6199999999999998E-2</v>
      </c>
      <c r="M1592" s="11">
        <v>0.2</v>
      </c>
      <c r="N1592">
        <v>29.96</v>
      </c>
      <c r="O1592">
        <v>20.78</v>
      </c>
      <c r="P1592">
        <v>1</v>
      </c>
      <c r="Q1592" t="s">
        <v>21</v>
      </c>
      <c r="R1592">
        <v>18.375</v>
      </c>
      <c r="S1592">
        <v>4.62</v>
      </c>
      <c r="T1592" s="4">
        <v>14.042999999999999</v>
      </c>
      <c r="U1592" s="4">
        <v>3.3912960000000001</v>
      </c>
      <c r="V1592" t="str">
        <f>IF(Table1[[#This Row],[ai_disruption_intensity]]&gt;70,"High",
IF(Table1[[#This Row],[ai_disruption_intensity]]&gt;40,"Medium","Low"))</f>
        <v>Low</v>
      </c>
      <c r="W1592" t="str">
        <f>IF(Table1[[#This Row],[skill_gap_index]]&gt;70,"Large Gap",
IF(Table1[[#This Row],[skill_gap_index]]&gt;40,"Medium Gap","Small Gap"))</f>
        <v>Small Gap</v>
      </c>
      <c r="X1592" s="3" t="str">
        <f>IF(Table1[[#This Row],[automation_risk_percent]]&gt;0.7,"Highly Automatable",
IF(Table1[[#This Row],[automation_risk_percent]]&gt;0.4,"Moderate Risk","Safe Job"))</f>
        <v>Safe Job</v>
      </c>
    </row>
    <row r="1593" spans="1:24" x14ac:dyDescent="0.3">
      <c r="A1593">
        <v>5719</v>
      </c>
      <c r="B1593" t="s">
        <v>46</v>
      </c>
      <c r="C1593" t="s">
        <v>19</v>
      </c>
      <c r="D1593" t="s">
        <v>36</v>
      </c>
      <c r="E1593" s="1">
        <v>2025</v>
      </c>
      <c r="F1593" s="11">
        <v>0.05</v>
      </c>
      <c r="G1593">
        <v>4.8499999999999996</v>
      </c>
      <c r="H1593">
        <v>43.29</v>
      </c>
      <c r="I1593" s="2">
        <v>58372.36</v>
      </c>
      <c r="J1593" s="2">
        <v>54945.85</v>
      </c>
      <c r="K1593" s="2">
        <f>Table1[[#This Row],[Salary_after]]-Table1[[#This Row],[Salary_before]]</f>
        <v>-3426.510000000002</v>
      </c>
      <c r="L1593" s="11">
        <v>-5.8700000000000002E-2</v>
      </c>
      <c r="M1593" s="11">
        <v>0.1867</v>
      </c>
      <c r="N1593">
        <v>70.25</v>
      </c>
      <c r="O1593">
        <v>64.010000000000005</v>
      </c>
      <c r="P1593">
        <v>2</v>
      </c>
      <c r="Q1593" t="s">
        <v>21</v>
      </c>
      <c r="R1593">
        <v>24.145</v>
      </c>
      <c r="S1593">
        <v>5.87</v>
      </c>
      <c r="T1593" s="4">
        <v>16.748000000000001</v>
      </c>
      <c r="U1593" s="4">
        <v>3.2004999999999999</v>
      </c>
      <c r="V1593" t="str">
        <f>IF(Table1[[#This Row],[ai_disruption_intensity]]&gt;70,"High",
IF(Table1[[#This Row],[ai_disruption_intensity]]&gt;40,"Medium","Low"))</f>
        <v>Low</v>
      </c>
      <c r="W1593" t="str">
        <f>IF(Table1[[#This Row],[skill_gap_index]]&gt;70,"Large Gap",
IF(Table1[[#This Row],[skill_gap_index]]&gt;40,"Medium Gap","Small Gap"))</f>
        <v>Medium Gap</v>
      </c>
      <c r="X1593" s="3" t="str">
        <f>IF(Table1[[#This Row],[automation_risk_percent]]&gt;0.7,"Highly Automatable",
IF(Table1[[#This Row],[automation_risk_percent]]&gt;0.4,"Moderate Risk","Safe Job"))</f>
        <v>Safe Job</v>
      </c>
    </row>
    <row r="1594" spans="1:24" x14ac:dyDescent="0.3">
      <c r="A1594">
        <v>5722</v>
      </c>
      <c r="B1594" t="s">
        <v>39</v>
      </c>
      <c r="C1594" t="s">
        <v>30</v>
      </c>
      <c r="D1594" t="s">
        <v>32</v>
      </c>
      <c r="E1594" s="1">
        <v>2026</v>
      </c>
      <c r="F1594" s="11">
        <v>0.19440000000000002</v>
      </c>
      <c r="G1594">
        <v>15.82</v>
      </c>
      <c r="H1594">
        <v>98.77</v>
      </c>
      <c r="I1594" s="2">
        <v>109243.92</v>
      </c>
      <c r="J1594" s="2">
        <v>109668.22</v>
      </c>
      <c r="K1594" s="2">
        <f>Table1[[#This Row],[Salary_after]]-Table1[[#This Row],[Salary_before]]</f>
        <v>424.30000000000291</v>
      </c>
      <c r="L1594" s="11">
        <v>3.9000000000000003E-3</v>
      </c>
      <c r="M1594" s="11">
        <v>3.1200000000000002E-2</v>
      </c>
      <c r="N1594">
        <v>75.14</v>
      </c>
      <c r="O1594">
        <v>39.49</v>
      </c>
      <c r="P1594">
        <v>1</v>
      </c>
      <c r="Q1594" t="s">
        <v>21</v>
      </c>
      <c r="R1594">
        <v>59.104999999999997</v>
      </c>
      <c r="S1594">
        <v>0.39</v>
      </c>
      <c r="T1594" s="4">
        <v>37.523999999999901</v>
      </c>
      <c r="U1594" s="4">
        <v>7.6768559999999999</v>
      </c>
      <c r="V1594" t="str">
        <f>IF(Table1[[#This Row],[ai_disruption_intensity]]&gt;70,"High",
IF(Table1[[#This Row],[ai_disruption_intensity]]&gt;40,"Medium","Low"))</f>
        <v>Low</v>
      </c>
      <c r="W1594" t="str">
        <f>IF(Table1[[#This Row],[skill_gap_index]]&gt;70,"Large Gap",
IF(Table1[[#This Row],[skill_gap_index]]&gt;40,"Medium Gap","Small Gap"))</f>
        <v>Large Gap</v>
      </c>
      <c r="X1594" s="3" t="str">
        <f>IF(Table1[[#This Row],[automation_risk_percent]]&gt;0.7,"Highly Automatable",
IF(Table1[[#This Row],[automation_risk_percent]]&gt;0.4,"Moderate Risk","Safe Job"))</f>
        <v>Safe Job</v>
      </c>
    </row>
    <row r="1595" spans="1:24" x14ac:dyDescent="0.3">
      <c r="A1595">
        <v>5724</v>
      </c>
      <c r="B1595" t="s">
        <v>44</v>
      </c>
      <c r="C1595" t="s">
        <v>34</v>
      </c>
      <c r="D1595" t="s">
        <v>47</v>
      </c>
      <c r="E1595" s="1">
        <v>2025</v>
      </c>
      <c r="F1595" s="11">
        <v>0.63639999999999997</v>
      </c>
      <c r="G1595">
        <v>73.8</v>
      </c>
      <c r="H1595">
        <v>5.16</v>
      </c>
      <c r="I1595" s="2">
        <v>100994.86</v>
      </c>
      <c r="J1595" s="2">
        <v>93409.84</v>
      </c>
      <c r="K1595" s="2">
        <f>Table1[[#This Row],[Salary_after]]-Table1[[#This Row],[Salary_before]]</f>
        <v>-7585.0200000000041</v>
      </c>
      <c r="L1595" s="11">
        <v>-7.51E-2</v>
      </c>
      <c r="M1595" s="11">
        <v>3.3700000000000001E-2</v>
      </c>
      <c r="N1595">
        <v>71.400000000000006</v>
      </c>
      <c r="O1595">
        <v>61.23</v>
      </c>
      <c r="P1595">
        <v>1</v>
      </c>
      <c r="Q1595" t="s">
        <v>37</v>
      </c>
      <c r="R1595">
        <v>34.4</v>
      </c>
      <c r="S1595">
        <v>7.51</v>
      </c>
      <c r="T1595" s="4">
        <v>29.257000000000001</v>
      </c>
      <c r="U1595" s="4">
        <v>38.966771999999999</v>
      </c>
      <c r="V1595" t="str">
        <f>IF(Table1[[#This Row],[ai_disruption_intensity]]&gt;70,"High",
IF(Table1[[#This Row],[ai_disruption_intensity]]&gt;40,"Medium","Low"))</f>
        <v>Low</v>
      </c>
      <c r="W1595" t="str">
        <f>IF(Table1[[#This Row],[skill_gap_index]]&gt;70,"Large Gap",
IF(Table1[[#This Row],[skill_gap_index]]&gt;40,"Medium Gap","Small Gap"))</f>
        <v>Small Gap</v>
      </c>
      <c r="X1595" s="3" t="str">
        <f>IF(Table1[[#This Row],[automation_risk_percent]]&gt;0.7,"Highly Automatable",
IF(Table1[[#This Row],[automation_risk_percent]]&gt;0.4,"Moderate Risk","Safe Job"))</f>
        <v>Moderate Risk</v>
      </c>
    </row>
    <row r="1596" spans="1:24" x14ac:dyDescent="0.3">
      <c r="A1596">
        <v>5733</v>
      </c>
      <c r="B1596" t="s">
        <v>22</v>
      </c>
      <c r="C1596" t="s">
        <v>40</v>
      </c>
      <c r="D1596" t="s">
        <v>28</v>
      </c>
      <c r="E1596" s="1">
        <v>2025</v>
      </c>
      <c r="F1596" s="11">
        <v>0.23769999999999999</v>
      </c>
      <c r="G1596">
        <v>21.95</v>
      </c>
      <c r="H1596">
        <v>82.95</v>
      </c>
      <c r="I1596" s="2">
        <v>99205.6</v>
      </c>
      <c r="J1596" s="2">
        <v>101229.48</v>
      </c>
      <c r="K1596" s="2">
        <f>Table1[[#This Row],[Salary_after]]-Table1[[#This Row],[Salary_before]]</f>
        <v>2023.8799999999901</v>
      </c>
      <c r="L1596" s="11">
        <v>2.0400000000000001E-2</v>
      </c>
      <c r="M1596" s="11">
        <v>-4.2099999999999999E-2</v>
      </c>
      <c r="N1596">
        <v>67.02</v>
      </c>
      <c r="O1596">
        <v>88.48</v>
      </c>
      <c r="P1596">
        <v>2</v>
      </c>
      <c r="Q1596" t="s">
        <v>21</v>
      </c>
      <c r="R1596">
        <v>53.36</v>
      </c>
      <c r="S1596">
        <v>2.04</v>
      </c>
      <c r="T1596" s="4">
        <v>35.005000000000003</v>
      </c>
      <c r="U1596" s="4">
        <v>21.031696</v>
      </c>
      <c r="V1596" t="str">
        <f>IF(Table1[[#This Row],[ai_disruption_intensity]]&gt;70,"High",
IF(Table1[[#This Row],[ai_disruption_intensity]]&gt;40,"Medium","Low"))</f>
        <v>Low</v>
      </c>
      <c r="W1596" t="str">
        <f>IF(Table1[[#This Row],[skill_gap_index]]&gt;70,"Large Gap",
IF(Table1[[#This Row],[skill_gap_index]]&gt;40,"Medium Gap","Small Gap"))</f>
        <v>Large Gap</v>
      </c>
      <c r="X1596" s="3" t="str">
        <f>IF(Table1[[#This Row],[automation_risk_percent]]&gt;0.7,"Highly Automatable",
IF(Table1[[#This Row],[automation_risk_percent]]&gt;0.4,"Moderate Risk","Safe Job"))</f>
        <v>Safe Job</v>
      </c>
    </row>
    <row r="1597" spans="1:24" x14ac:dyDescent="0.3">
      <c r="A1597">
        <v>5734</v>
      </c>
      <c r="B1597" t="s">
        <v>29</v>
      </c>
      <c r="C1597" t="s">
        <v>34</v>
      </c>
      <c r="D1597" t="s">
        <v>42</v>
      </c>
      <c r="E1597" s="1">
        <v>2025</v>
      </c>
      <c r="F1597" s="11">
        <v>0.85180000000000011</v>
      </c>
      <c r="G1597">
        <v>70.28</v>
      </c>
      <c r="H1597">
        <v>86.67</v>
      </c>
      <c r="I1597" s="2">
        <v>36106.17</v>
      </c>
      <c r="J1597" s="2">
        <v>37892.800000000003</v>
      </c>
      <c r="K1597" s="2">
        <f>Table1[[#This Row],[Salary_after]]-Table1[[#This Row],[Salary_before]]</f>
        <v>1786.6300000000047</v>
      </c>
      <c r="L1597" s="11">
        <v>4.9500000000000002E-2</v>
      </c>
      <c r="M1597" s="11">
        <v>-1.9E-3</v>
      </c>
      <c r="N1597">
        <v>71.75</v>
      </c>
      <c r="O1597">
        <v>68.7</v>
      </c>
      <c r="P1597">
        <v>2</v>
      </c>
      <c r="Q1597" t="s">
        <v>37</v>
      </c>
      <c r="R1597">
        <v>85.924999999999997</v>
      </c>
      <c r="S1597">
        <v>4.95</v>
      </c>
      <c r="T1597" s="4">
        <v>61.558</v>
      </c>
      <c r="U1597" s="4">
        <v>58.518659999999997</v>
      </c>
      <c r="V1597" t="str">
        <f>IF(Table1[[#This Row],[ai_disruption_intensity]]&gt;70,"High",
IF(Table1[[#This Row],[ai_disruption_intensity]]&gt;40,"Medium","Low"))</f>
        <v>Medium</v>
      </c>
      <c r="W1597" t="str">
        <f>IF(Table1[[#This Row],[skill_gap_index]]&gt;70,"Large Gap",
IF(Table1[[#This Row],[skill_gap_index]]&gt;40,"Medium Gap","Small Gap"))</f>
        <v>Large Gap</v>
      </c>
      <c r="X1597" s="3" t="str">
        <f>IF(Table1[[#This Row],[automation_risk_percent]]&gt;0.7,"Highly Automatable",
IF(Table1[[#This Row],[automation_risk_percent]]&gt;0.4,"Moderate Risk","Safe Job"))</f>
        <v>Highly Automatable</v>
      </c>
    </row>
    <row r="1598" spans="1:24" x14ac:dyDescent="0.3">
      <c r="A1598">
        <v>5737</v>
      </c>
      <c r="B1598" t="s">
        <v>29</v>
      </c>
      <c r="C1598" t="s">
        <v>38</v>
      </c>
      <c r="D1598" t="s">
        <v>24</v>
      </c>
      <c r="E1598" s="1">
        <v>2025</v>
      </c>
      <c r="F1598" s="11">
        <v>0.38640000000000002</v>
      </c>
      <c r="G1598">
        <v>34.14</v>
      </c>
      <c r="H1598">
        <v>77.599999999999994</v>
      </c>
      <c r="I1598" s="2">
        <v>136915.85999999999</v>
      </c>
      <c r="J1598" s="2">
        <v>144515.65</v>
      </c>
      <c r="K1598" s="2">
        <f>Table1[[#This Row],[Salary_after]]-Table1[[#This Row],[Salary_before]]</f>
        <v>7599.7900000000081</v>
      </c>
      <c r="L1598" s="11">
        <v>5.5500000000000001E-2</v>
      </c>
      <c r="M1598" s="11">
        <v>5.7599999999999998E-2</v>
      </c>
      <c r="N1598">
        <v>75.52</v>
      </c>
      <c r="O1598">
        <v>56.37</v>
      </c>
      <c r="P1598">
        <v>2</v>
      </c>
      <c r="Q1598" t="s">
        <v>25</v>
      </c>
      <c r="R1598">
        <v>58.12</v>
      </c>
      <c r="S1598">
        <v>5.55</v>
      </c>
      <c r="T1598" s="4">
        <v>40.400999999999897</v>
      </c>
      <c r="U1598" s="4">
        <v>21.781367999999901</v>
      </c>
      <c r="V1598" t="str">
        <f>IF(Table1[[#This Row],[ai_disruption_intensity]]&gt;70,"High",
IF(Table1[[#This Row],[ai_disruption_intensity]]&gt;40,"Medium","Low"))</f>
        <v>Low</v>
      </c>
      <c r="W1598" t="str">
        <f>IF(Table1[[#This Row],[skill_gap_index]]&gt;70,"Large Gap",
IF(Table1[[#This Row],[skill_gap_index]]&gt;40,"Medium Gap","Small Gap"))</f>
        <v>Large Gap</v>
      </c>
      <c r="X1598" s="3" t="str">
        <f>IF(Table1[[#This Row],[automation_risk_percent]]&gt;0.7,"Highly Automatable",
IF(Table1[[#This Row],[automation_risk_percent]]&gt;0.4,"Moderate Risk","Safe Job"))</f>
        <v>Safe Job</v>
      </c>
    </row>
    <row r="1599" spans="1:24" x14ac:dyDescent="0.3">
      <c r="A1599">
        <v>5742</v>
      </c>
      <c r="B1599" t="s">
        <v>29</v>
      </c>
      <c r="C1599" t="s">
        <v>38</v>
      </c>
      <c r="D1599" t="s">
        <v>42</v>
      </c>
      <c r="E1599" s="1">
        <v>2025</v>
      </c>
      <c r="F1599" s="11">
        <v>0.61380000000000001</v>
      </c>
      <c r="G1599">
        <v>59.49</v>
      </c>
      <c r="H1599">
        <v>70.06</v>
      </c>
      <c r="I1599" s="2">
        <v>122563.67</v>
      </c>
      <c r="J1599" s="2">
        <v>93719.360000000001</v>
      </c>
      <c r="K1599" s="2">
        <f>Table1[[#This Row],[Salary_after]]-Table1[[#This Row],[Salary_before]]</f>
        <v>-28844.309999999998</v>
      </c>
      <c r="L1599" s="11">
        <v>-0.23530000000000001</v>
      </c>
      <c r="M1599" s="11">
        <v>-7.5800000000000006E-2</v>
      </c>
      <c r="N1599">
        <v>73.48</v>
      </c>
      <c r="O1599">
        <v>55.53</v>
      </c>
      <c r="P1599">
        <v>5</v>
      </c>
      <c r="Q1599" t="s">
        <v>37</v>
      </c>
      <c r="R1599">
        <v>65.72</v>
      </c>
      <c r="S1599">
        <v>23.53</v>
      </c>
      <c r="T1599" s="4">
        <v>52.628999999999998</v>
      </c>
      <c r="U1599" s="4">
        <v>34.084313999999999</v>
      </c>
      <c r="V1599" t="str">
        <f>IF(Table1[[#This Row],[ai_disruption_intensity]]&gt;70,"High",
IF(Table1[[#This Row],[ai_disruption_intensity]]&gt;40,"Medium","Low"))</f>
        <v>Low</v>
      </c>
      <c r="W1599" t="str">
        <f>IF(Table1[[#This Row],[skill_gap_index]]&gt;70,"Large Gap",
IF(Table1[[#This Row],[skill_gap_index]]&gt;40,"Medium Gap","Small Gap"))</f>
        <v>Large Gap</v>
      </c>
      <c r="X1599" s="3" t="str">
        <f>IF(Table1[[#This Row],[automation_risk_percent]]&gt;0.7,"Highly Automatable",
IF(Table1[[#This Row],[automation_risk_percent]]&gt;0.4,"Moderate Risk","Safe Job"))</f>
        <v>Moderate Risk</v>
      </c>
    </row>
    <row r="1600" spans="1:24" x14ac:dyDescent="0.3">
      <c r="A1600">
        <v>5744</v>
      </c>
      <c r="B1600" t="s">
        <v>18</v>
      </c>
      <c r="C1600" t="s">
        <v>38</v>
      </c>
      <c r="D1600" t="s">
        <v>42</v>
      </c>
      <c r="E1600" s="1">
        <v>2025</v>
      </c>
      <c r="F1600" s="11">
        <v>0.1007</v>
      </c>
      <c r="G1600">
        <v>9.67</v>
      </c>
      <c r="H1600">
        <v>14.75</v>
      </c>
      <c r="I1600" s="2">
        <v>77833.81</v>
      </c>
      <c r="J1600" s="2">
        <v>69767.83</v>
      </c>
      <c r="K1600" s="2">
        <f>Table1[[#This Row],[Salary_after]]-Table1[[#This Row],[Salary_before]]</f>
        <v>-8065.9799999999959</v>
      </c>
      <c r="L1600" s="11">
        <v>-0.1036</v>
      </c>
      <c r="M1600" s="11">
        <v>-1.2199999999999999E-2</v>
      </c>
      <c r="N1600">
        <v>21.14</v>
      </c>
      <c r="O1600">
        <v>72.86</v>
      </c>
      <c r="P1600">
        <v>1</v>
      </c>
      <c r="Q1600" t="s">
        <v>21</v>
      </c>
      <c r="R1600">
        <v>12.41</v>
      </c>
      <c r="S1600">
        <v>10.36</v>
      </c>
      <c r="T1600" s="4">
        <v>11.561</v>
      </c>
      <c r="U1600" s="4">
        <v>7.337002</v>
      </c>
      <c r="V1600" t="str">
        <f>IF(Table1[[#This Row],[ai_disruption_intensity]]&gt;70,"High",
IF(Table1[[#This Row],[ai_disruption_intensity]]&gt;40,"Medium","Low"))</f>
        <v>Low</v>
      </c>
      <c r="W1600" t="str">
        <f>IF(Table1[[#This Row],[skill_gap_index]]&gt;70,"Large Gap",
IF(Table1[[#This Row],[skill_gap_index]]&gt;40,"Medium Gap","Small Gap"))</f>
        <v>Small Gap</v>
      </c>
      <c r="X1600" s="3" t="str">
        <f>IF(Table1[[#This Row],[automation_risk_percent]]&gt;0.7,"Highly Automatable",
IF(Table1[[#This Row],[automation_risk_percent]]&gt;0.4,"Moderate Risk","Safe Job"))</f>
        <v>Safe Job</v>
      </c>
    </row>
    <row r="1601" spans="1:24" x14ac:dyDescent="0.3">
      <c r="A1601">
        <v>5745</v>
      </c>
      <c r="B1601" t="s">
        <v>29</v>
      </c>
      <c r="C1601" t="s">
        <v>38</v>
      </c>
      <c r="D1601" t="s">
        <v>20</v>
      </c>
      <c r="E1601" s="1">
        <v>2026</v>
      </c>
      <c r="F1601" s="11">
        <v>0.77839999999999998</v>
      </c>
      <c r="G1601">
        <v>70.52</v>
      </c>
      <c r="H1601">
        <v>49.52</v>
      </c>
      <c r="I1601" s="2">
        <v>85688.51</v>
      </c>
      <c r="J1601" s="2">
        <v>74255.63</v>
      </c>
      <c r="K1601" s="2">
        <f>Table1[[#This Row],[Salary_after]]-Table1[[#This Row],[Salary_before]]</f>
        <v>-11432.87999999999</v>
      </c>
      <c r="L1601" s="11">
        <v>-0.13339999999999999</v>
      </c>
      <c r="M1601" s="11">
        <v>-3.6900000000000002E-2</v>
      </c>
      <c r="N1601">
        <v>26.74</v>
      </c>
      <c r="O1601">
        <v>87.29</v>
      </c>
      <c r="P1601">
        <v>3</v>
      </c>
      <c r="Q1601" t="s">
        <v>37</v>
      </c>
      <c r="R1601">
        <v>63.68</v>
      </c>
      <c r="S1601">
        <v>13.34</v>
      </c>
      <c r="T1601" s="4">
        <v>49.994</v>
      </c>
      <c r="U1601" s="4">
        <v>67.946535999999995</v>
      </c>
      <c r="V1601" t="str">
        <f>IF(Table1[[#This Row],[ai_disruption_intensity]]&gt;70,"High",
IF(Table1[[#This Row],[ai_disruption_intensity]]&gt;40,"Medium","Low"))</f>
        <v>Medium</v>
      </c>
      <c r="W1601" t="str">
        <f>IF(Table1[[#This Row],[skill_gap_index]]&gt;70,"Large Gap",
IF(Table1[[#This Row],[skill_gap_index]]&gt;40,"Medium Gap","Small Gap"))</f>
        <v>Medium Gap</v>
      </c>
      <c r="X1601" s="3" t="str">
        <f>IF(Table1[[#This Row],[automation_risk_percent]]&gt;0.7,"Highly Automatable",
IF(Table1[[#This Row],[automation_risk_percent]]&gt;0.4,"Moderate Risk","Safe Job"))</f>
        <v>Highly Automatable</v>
      </c>
    </row>
    <row r="1602" spans="1:24" x14ac:dyDescent="0.3">
      <c r="A1602">
        <v>5756</v>
      </c>
      <c r="B1602" t="s">
        <v>39</v>
      </c>
      <c r="C1602" t="s">
        <v>30</v>
      </c>
      <c r="D1602" t="s">
        <v>24</v>
      </c>
      <c r="E1602" s="1">
        <v>2026</v>
      </c>
      <c r="F1602" s="11">
        <v>0.56259999999999999</v>
      </c>
      <c r="G1602">
        <v>66.349999999999994</v>
      </c>
      <c r="H1602">
        <v>60.69</v>
      </c>
      <c r="I1602" s="2">
        <v>59058.42</v>
      </c>
      <c r="J1602" s="2">
        <v>55147.89</v>
      </c>
      <c r="K1602" s="2">
        <f>Table1[[#This Row],[Salary_after]]-Table1[[#This Row],[Salary_before]]</f>
        <v>-3910.5299999999988</v>
      </c>
      <c r="L1602" s="11">
        <v>-6.6199999999999995E-2</v>
      </c>
      <c r="M1602" s="11">
        <v>-9.3299999999999994E-2</v>
      </c>
      <c r="N1602">
        <v>27.64</v>
      </c>
      <c r="O1602">
        <v>60.4</v>
      </c>
      <c r="P1602">
        <v>3</v>
      </c>
      <c r="Q1602" t="s">
        <v>25</v>
      </c>
      <c r="R1602">
        <v>58.474999999999902</v>
      </c>
      <c r="S1602">
        <v>6.62</v>
      </c>
      <c r="T1602" s="4">
        <v>42.696999999999903</v>
      </c>
      <c r="U1602" s="4">
        <v>33.98104</v>
      </c>
      <c r="V1602" t="str">
        <f>IF(Table1[[#This Row],[ai_disruption_intensity]]&gt;70,"High",
IF(Table1[[#This Row],[ai_disruption_intensity]]&gt;40,"Medium","Low"))</f>
        <v>Low</v>
      </c>
      <c r="W1602" t="str">
        <f>IF(Table1[[#This Row],[skill_gap_index]]&gt;70,"Large Gap",
IF(Table1[[#This Row],[skill_gap_index]]&gt;40,"Medium Gap","Small Gap"))</f>
        <v>Medium Gap</v>
      </c>
      <c r="X1602" s="3" t="str">
        <f>IF(Table1[[#This Row],[automation_risk_percent]]&gt;0.7,"Highly Automatable",
IF(Table1[[#This Row],[automation_risk_percent]]&gt;0.4,"Moderate Risk","Safe Job"))</f>
        <v>Moderate Risk</v>
      </c>
    </row>
    <row r="1603" spans="1:24" x14ac:dyDescent="0.3">
      <c r="A1603">
        <v>5763</v>
      </c>
      <c r="B1603" t="s">
        <v>46</v>
      </c>
      <c r="C1603" t="s">
        <v>27</v>
      </c>
      <c r="D1603" t="s">
        <v>42</v>
      </c>
      <c r="E1603" s="1">
        <v>2026</v>
      </c>
      <c r="F1603" s="11">
        <v>0.2984</v>
      </c>
      <c r="G1603">
        <v>23.92</v>
      </c>
      <c r="H1603">
        <v>29.56</v>
      </c>
      <c r="I1603" s="2">
        <v>134150.57999999999</v>
      </c>
      <c r="J1603" s="2">
        <v>109413.04</v>
      </c>
      <c r="K1603" s="2">
        <f>Table1[[#This Row],[Salary_after]]-Table1[[#This Row],[Salary_before]]</f>
        <v>-24737.539999999994</v>
      </c>
      <c r="L1603" s="11">
        <v>-0.18440000000000001</v>
      </c>
      <c r="M1603" s="11">
        <v>-0.1174</v>
      </c>
      <c r="N1603">
        <v>54.05</v>
      </c>
      <c r="O1603">
        <v>28.63</v>
      </c>
      <c r="P1603">
        <v>1</v>
      </c>
      <c r="Q1603" t="s">
        <v>21</v>
      </c>
      <c r="R1603">
        <v>29.7</v>
      </c>
      <c r="S1603">
        <v>18.440000000000001</v>
      </c>
      <c r="T1603" s="4">
        <v>26.335999999999999</v>
      </c>
      <c r="U1603" s="4">
        <v>8.5431919999999995</v>
      </c>
      <c r="V1603" t="str">
        <f>IF(Table1[[#This Row],[ai_disruption_intensity]]&gt;70,"High",
IF(Table1[[#This Row],[ai_disruption_intensity]]&gt;40,"Medium","Low"))</f>
        <v>Low</v>
      </c>
      <c r="W1603" t="str">
        <f>IF(Table1[[#This Row],[skill_gap_index]]&gt;70,"Large Gap",
IF(Table1[[#This Row],[skill_gap_index]]&gt;40,"Medium Gap","Small Gap"))</f>
        <v>Small Gap</v>
      </c>
      <c r="X1603" s="3" t="str">
        <f>IF(Table1[[#This Row],[automation_risk_percent]]&gt;0.7,"Highly Automatable",
IF(Table1[[#This Row],[automation_risk_percent]]&gt;0.4,"Moderate Risk","Safe Job"))</f>
        <v>Safe Job</v>
      </c>
    </row>
    <row r="1604" spans="1:24" x14ac:dyDescent="0.3">
      <c r="A1604">
        <v>5764</v>
      </c>
      <c r="B1604" t="s">
        <v>43</v>
      </c>
      <c r="C1604" t="s">
        <v>34</v>
      </c>
      <c r="D1604" t="s">
        <v>42</v>
      </c>
      <c r="E1604" s="1">
        <v>2025</v>
      </c>
      <c r="F1604" s="11">
        <v>0.44409999999999994</v>
      </c>
      <c r="G1604">
        <v>42.2</v>
      </c>
      <c r="H1604">
        <v>90.94</v>
      </c>
      <c r="I1604" s="2">
        <v>97676.01</v>
      </c>
      <c r="J1604" s="2">
        <v>102602.59</v>
      </c>
      <c r="K1604" s="2">
        <f>Table1[[#This Row],[Salary_after]]-Table1[[#This Row],[Salary_before]]</f>
        <v>4926.5800000000017</v>
      </c>
      <c r="L1604" s="11">
        <v>5.04E-2</v>
      </c>
      <c r="M1604" s="11">
        <v>0.14019999999999999</v>
      </c>
      <c r="N1604">
        <v>29.13</v>
      </c>
      <c r="O1604">
        <v>86.77</v>
      </c>
      <c r="P1604">
        <v>1</v>
      </c>
      <c r="Q1604" t="s">
        <v>25</v>
      </c>
      <c r="R1604">
        <v>67.674999999999997</v>
      </c>
      <c r="S1604">
        <v>5.04</v>
      </c>
      <c r="T1604" s="4">
        <v>46.558</v>
      </c>
      <c r="U1604" s="4">
        <v>38.5345569999999</v>
      </c>
      <c r="V1604" t="str">
        <f>IF(Table1[[#This Row],[ai_disruption_intensity]]&gt;70,"High",
IF(Table1[[#This Row],[ai_disruption_intensity]]&gt;40,"Medium","Low"))</f>
        <v>Low</v>
      </c>
      <c r="W1604" t="str">
        <f>IF(Table1[[#This Row],[skill_gap_index]]&gt;70,"Large Gap",
IF(Table1[[#This Row],[skill_gap_index]]&gt;40,"Medium Gap","Small Gap"))</f>
        <v>Large Gap</v>
      </c>
      <c r="X1604" s="3" t="str">
        <f>IF(Table1[[#This Row],[automation_risk_percent]]&gt;0.7,"Highly Automatable",
IF(Table1[[#This Row],[automation_risk_percent]]&gt;0.4,"Moderate Risk","Safe Job"))</f>
        <v>Moderate Risk</v>
      </c>
    </row>
    <row r="1605" spans="1:24" x14ac:dyDescent="0.3">
      <c r="A1605">
        <v>5769</v>
      </c>
      <c r="B1605" t="s">
        <v>26</v>
      </c>
      <c r="C1605" t="s">
        <v>40</v>
      </c>
      <c r="D1605" t="s">
        <v>20</v>
      </c>
      <c r="E1605" s="1">
        <v>2025</v>
      </c>
      <c r="F1605" s="11">
        <v>0.23780000000000001</v>
      </c>
      <c r="G1605">
        <v>25.65</v>
      </c>
      <c r="H1605">
        <v>97.67</v>
      </c>
      <c r="I1605" s="2">
        <v>54813.91</v>
      </c>
      <c r="J1605" s="2">
        <v>50679.06</v>
      </c>
      <c r="K1605" s="2">
        <f>Table1[[#This Row],[Salary_after]]-Table1[[#This Row],[Salary_before]]</f>
        <v>-4134.8500000000058</v>
      </c>
      <c r="L1605" s="11">
        <v>-7.5399999999999995E-2</v>
      </c>
      <c r="M1605" s="11">
        <v>-6.9099999999999995E-2</v>
      </c>
      <c r="N1605">
        <v>51.93</v>
      </c>
      <c r="O1605">
        <v>69.77</v>
      </c>
      <c r="P1605">
        <v>3</v>
      </c>
      <c r="Q1605" t="s">
        <v>21</v>
      </c>
      <c r="R1605">
        <v>60.725000000000001</v>
      </c>
      <c r="S1605">
        <v>7.54</v>
      </c>
      <c r="T1605" s="4">
        <v>41.075000000000003</v>
      </c>
      <c r="U1605" s="4">
        <v>16.591305999999999</v>
      </c>
      <c r="V1605" t="str">
        <f>IF(Table1[[#This Row],[ai_disruption_intensity]]&gt;70,"High",
IF(Table1[[#This Row],[ai_disruption_intensity]]&gt;40,"Medium","Low"))</f>
        <v>Low</v>
      </c>
      <c r="W1605" t="str">
        <f>IF(Table1[[#This Row],[skill_gap_index]]&gt;70,"Large Gap",
IF(Table1[[#This Row],[skill_gap_index]]&gt;40,"Medium Gap","Small Gap"))</f>
        <v>Large Gap</v>
      </c>
      <c r="X1605" s="3" t="str">
        <f>IF(Table1[[#This Row],[automation_risk_percent]]&gt;0.7,"Highly Automatable",
IF(Table1[[#This Row],[automation_risk_percent]]&gt;0.4,"Moderate Risk","Safe Job"))</f>
        <v>Safe Job</v>
      </c>
    </row>
    <row r="1606" spans="1:24" x14ac:dyDescent="0.3">
      <c r="A1606">
        <v>5771</v>
      </c>
      <c r="B1606" t="s">
        <v>29</v>
      </c>
      <c r="C1606" t="s">
        <v>19</v>
      </c>
      <c r="D1606" t="s">
        <v>47</v>
      </c>
      <c r="E1606" s="1">
        <v>2025</v>
      </c>
      <c r="F1606" s="11">
        <v>0.51190000000000002</v>
      </c>
      <c r="G1606">
        <v>56.87</v>
      </c>
      <c r="H1606">
        <v>21.96</v>
      </c>
      <c r="I1606" s="2">
        <v>126751.11</v>
      </c>
      <c r="J1606" s="2">
        <v>112863.64</v>
      </c>
      <c r="K1606" s="2">
        <f>Table1[[#This Row],[Salary_after]]-Table1[[#This Row],[Salary_before]]</f>
        <v>-13887.470000000001</v>
      </c>
      <c r="L1606" s="11">
        <v>-0.1096</v>
      </c>
      <c r="M1606" s="11">
        <v>0.11800000000000001</v>
      </c>
      <c r="N1606">
        <v>57.38</v>
      </c>
      <c r="O1606">
        <v>61.41</v>
      </c>
      <c r="P1606">
        <v>5</v>
      </c>
      <c r="Q1606" t="s">
        <v>25</v>
      </c>
      <c r="R1606">
        <v>36.575000000000003</v>
      </c>
      <c r="S1606">
        <v>10.96</v>
      </c>
      <c r="T1606" s="4">
        <v>30.352</v>
      </c>
      <c r="U1606" s="4">
        <v>31.435778999999901</v>
      </c>
      <c r="V1606" t="str">
        <f>IF(Table1[[#This Row],[ai_disruption_intensity]]&gt;70,"High",
IF(Table1[[#This Row],[ai_disruption_intensity]]&gt;40,"Medium","Low"))</f>
        <v>Low</v>
      </c>
      <c r="W1606" t="str">
        <f>IF(Table1[[#This Row],[skill_gap_index]]&gt;70,"Large Gap",
IF(Table1[[#This Row],[skill_gap_index]]&gt;40,"Medium Gap","Small Gap"))</f>
        <v>Small Gap</v>
      </c>
      <c r="X1606" s="3" t="str">
        <f>IF(Table1[[#This Row],[automation_risk_percent]]&gt;0.7,"Highly Automatable",
IF(Table1[[#This Row],[automation_risk_percent]]&gt;0.4,"Moderate Risk","Safe Job"))</f>
        <v>Moderate Risk</v>
      </c>
    </row>
    <row r="1607" spans="1:24" x14ac:dyDescent="0.3">
      <c r="A1607">
        <v>5776</v>
      </c>
      <c r="B1607" t="s">
        <v>39</v>
      </c>
      <c r="C1607" t="s">
        <v>33</v>
      </c>
      <c r="D1607" t="s">
        <v>31</v>
      </c>
      <c r="E1607" s="1">
        <v>2025</v>
      </c>
      <c r="F1607" s="11">
        <v>0.50659999999999994</v>
      </c>
      <c r="G1607">
        <v>47.13</v>
      </c>
      <c r="H1607">
        <v>77.81</v>
      </c>
      <c r="I1607" s="2">
        <v>86391.42</v>
      </c>
      <c r="J1607" s="2">
        <v>89777.88</v>
      </c>
      <c r="K1607" s="2">
        <f>Table1[[#This Row],[Salary_after]]-Table1[[#This Row],[Salary_before]]</f>
        <v>3386.4600000000064</v>
      </c>
      <c r="L1607" s="11">
        <v>3.9199999999999999E-2</v>
      </c>
      <c r="M1607" s="11">
        <v>7.3099999999999998E-2</v>
      </c>
      <c r="N1607">
        <v>42.6</v>
      </c>
      <c r="O1607">
        <v>98.94</v>
      </c>
      <c r="P1607">
        <v>3</v>
      </c>
      <c r="Q1607" t="s">
        <v>25</v>
      </c>
      <c r="R1607">
        <v>64.234999999999999</v>
      </c>
      <c r="S1607">
        <v>3.92</v>
      </c>
      <c r="T1607" s="4">
        <v>44.783000000000001</v>
      </c>
      <c r="U1607" s="4">
        <v>50.123003999999902</v>
      </c>
      <c r="V1607" t="str">
        <f>IF(Table1[[#This Row],[ai_disruption_intensity]]&gt;70,"High",
IF(Table1[[#This Row],[ai_disruption_intensity]]&gt;40,"Medium","Low"))</f>
        <v>Medium</v>
      </c>
      <c r="W1607" t="str">
        <f>IF(Table1[[#This Row],[skill_gap_index]]&gt;70,"Large Gap",
IF(Table1[[#This Row],[skill_gap_index]]&gt;40,"Medium Gap","Small Gap"))</f>
        <v>Large Gap</v>
      </c>
      <c r="X1607" s="3" t="str">
        <f>IF(Table1[[#This Row],[automation_risk_percent]]&gt;0.7,"Highly Automatable",
IF(Table1[[#This Row],[automation_risk_percent]]&gt;0.4,"Moderate Risk","Safe Job"))</f>
        <v>Moderate Risk</v>
      </c>
    </row>
    <row r="1608" spans="1:24" x14ac:dyDescent="0.3">
      <c r="A1608">
        <v>5778</v>
      </c>
      <c r="B1608" t="s">
        <v>41</v>
      </c>
      <c r="C1608" t="s">
        <v>34</v>
      </c>
      <c r="D1608" t="s">
        <v>20</v>
      </c>
      <c r="E1608" s="1">
        <v>2026</v>
      </c>
      <c r="F1608" s="11">
        <v>0.65290000000000004</v>
      </c>
      <c r="G1608">
        <v>52.65</v>
      </c>
      <c r="H1608">
        <v>48.24</v>
      </c>
      <c r="I1608" s="2">
        <v>105089.25</v>
      </c>
      <c r="J1608" s="2">
        <v>97970.19</v>
      </c>
      <c r="K1608" s="2">
        <f>Table1[[#This Row],[Salary_after]]-Table1[[#This Row],[Salary_before]]</f>
        <v>-7119.0599999999977</v>
      </c>
      <c r="L1608" s="11">
        <v>-6.7699999999999996E-2</v>
      </c>
      <c r="M1608" s="11">
        <v>3.4700000000000002E-2</v>
      </c>
      <c r="N1608">
        <v>64.98</v>
      </c>
      <c r="O1608">
        <v>60.58</v>
      </c>
      <c r="P1608">
        <v>2</v>
      </c>
      <c r="Q1608" t="s">
        <v>37</v>
      </c>
      <c r="R1608">
        <v>56.765000000000001</v>
      </c>
      <c r="S1608">
        <v>6.77</v>
      </c>
      <c r="T1608" s="4">
        <v>42.619</v>
      </c>
      <c r="U1608" s="4">
        <v>39.552681999999997</v>
      </c>
      <c r="V1608" t="str">
        <f>IF(Table1[[#This Row],[ai_disruption_intensity]]&gt;70,"High",
IF(Table1[[#This Row],[ai_disruption_intensity]]&gt;40,"Medium","Low"))</f>
        <v>Low</v>
      </c>
      <c r="W1608" t="str">
        <f>IF(Table1[[#This Row],[skill_gap_index]]&gt;70,"Large Gap",
IF(Table1[[#This Row],[skill_gap_index]]&gt;40,"Medium Gap","Small Gap"))</f>
        <v>Medium Gap</v>
      </c>
      <c r="X1608" s="3" t="str">
        <f>IF(Table1[[#This Row],[automation_risk_percent]]&gt;0.7,"Highly Automatable",
IF(Table1[[#This Row],[automation_risk_percent]]&gt;0.4,"Moderate Risk","Safe Job"))</f>
        <v>Moderate Risk</v>
      </c>
    </row>
    <row r="1609" spans="1:24" x14ac:dyDescent="0.3">
      <c r="A1609">
        <v>5785</v>
      </c>
      <c r="B1609" t="s">
        <v>46</v>
      </c>
      <c r="C1609" t="s">
        <v>40</v>
      </c>
      <c r="D1609" t="s">
        <v>32</v>
      </c>
      <c r="E1609" s="1">
        <v>2025</v>
      </c>
      <c r="F1609" s="11">
        <v>0.3236</v>
      </c>
      <c r="G1609">
        <v>37.14</v>
      </c>
      <c r="H1609">
        <v>3.77</v>
      </c>
      <c r="I1609" s="2">
        <v>103657.03</v>
      </c>
      <c r="J1609" s="2">
        <v>130860.59</v>
      </c>
      <c r="K1609" s="2">
        <f>Table1[[#This Row],[Salary_after]]-Table1[[#This Row],[Salary_before]]</f>
        <v>27203.559999999998</v>
      </c>
      <c r="L1609" s="11">
        <v>0.26239999999999997</v>
      </c>
      <c r="M1609" s="11">
        <v>3.9100000000000003E-2</v>
      </c>
      <c r="N1609">
        <v>27.18</v>
      </c>
      <c r="O1609">
        <v>25.25</v>
      </c>
      <c r="P1609">
        <v>1</v>
      </c>
      <c r="Q1609" t="s">
        <v>25</v>
      </c>
      <c r="R1609">
        <v>18.065000000000001</v>
      </c>
      <c r="S1609">
        <v>26.24</v>
      </c>
      <c r="T1609" s="4">
        <v>21.946999999999999</v>
      </c>
      <c r="U1609" s="4">
        <v>8.1708999999999996</v>
      </c>
      <c r="V1609" t="str">
        <f>IF(Table1[[#This Row],[ai_disruption_intensity]]&gt;70,"High",
IF(Table1[[#This Row],[ai_disruption_intensity]]&gt;40,"Medium","Low"))</f>
        <v>Low</v>
      </c>
      <c r="W1609" t="str">
        <f>IF(Table1[[#This Row],[skill_gap_index]]&gt;70,"Large Gap",
IF(Table1[[#This Row],[skill_gap_index]]&gt;40,"Medium Gap","Small Gap"))</f>
        <v>Small Gap</v>
      </c>
      <c r="X1609" s="3" t="str">
        <f>IF(Table1[[#This Row],[automation_risk_percent]]&gt;0.7,"Highly Automatable",
IF(Table1[[#This Row],[automation_risk_percent]]&gt;0.4,"Moderate Risk","Safe Job"))</f>
        <v>Safe Job</v>
      </c>
    </row>
    <row r="1610" spans="1:24" x14ac:dyDescent="0.3">
      <c r="A1610">
        <v>5786</v>
      </c>
      <c r="B1610" t="s">
        <v>41</v>
      </c>
      <c r="C1610" t="s">
        <v>34</v>
      </c>
      <c r="D1610" t="s">
        <v>28</v>
      </c>
      <c r="E1610" s="1">
        <v>2026</v>
      </c>
      <c r="F1610" s="11">
        <v>0.79989999999999994</v>
      </c>
      <c r="G1610">
        <v>82.15</v>
      </c>
      <c r="H1610">
        <v>31.58</v>
      </c>
      <c r="I1610" s="2">
        <v>121770.63</v>
      </c>
      <c r="J1610" s="2">
        <v>112261.03</v>
      </c>
      <c r="K1610" s="2">
        <f>Table1[[#This Row],[Salary_after]]-Table1[[#This Row],[Salary_before]]</f>
        <v>-9509.6000000000058</v>
      </c>
      <c r="L1610" s="11">
        <v>-7.8100000000000003E-2</v>
      </c>
      <c r="M1610" s="11">
        <v>0.17460000000000001</v>
      </c>
      <c r="N1610">
        <v>53.98</v>
      </c>
      <c r="O1610">
        <v>66.45</v>
      </c>
      <c r="P1610">
        <v>2</v>
      </c>
      <c r="Q1610" t="s">
        <v>37</v>
      </c>
      <c r="R1610">
        <v>55.784999999999997</v>
      </c>
      <c r="S1610">
        <v>7.81</v>
      </c>
      <c r="T1610" s="4">
        <v>43.813000000000002</v>
      </c>
      <c r="U1610" s="4">
        <v>53.153354999999998</v>
      </c>
      <c r="V1610" t="str">
        <f>IF(Table1[[#This Row],[ai_disruption_intensity]]&gt;70,"High",
IF(Table1[[#This Row],[ai_disruption_intensity]]&gt;40,"Medium","Low"))</f>
        <v>Medium</v>
      </c>
      <c r="W1610" t="str">
        <f>IF(Table1[[#This Row],[skill_gap_index]]&gt;70,"Large Gap",
IF(Table1[[#This Row],[skill_gap_index]]&gt;40,"Medium Gap","Small Gap"))</f>
        <v>Small Gap</v>
      </c>
      <c r="X1610" s="3" t="str">
        <f>IF(Table1[[#This Row],[automation_risk_percent]]&gt;0.7,"Highly Automatable",
IF(Table1[[#This Row],[automation_risk_percent]]&gt;0.4,"Moderate Risk","Safe Job"))</f>
        <v>Highly Automatable</v>
      </c>
    </row>
    <row r="1611" spans="1:24" x14ac:dyDescent="0.3">
      <c r="A1611">
        <v>5791</v>
      </c>
      <c r="B1611" t="s">
        <v>26</v>
      </c>
      <c r="C1611" t="s">
        <v>33</v>
      </c>
      <c r="D1611" t="s">
        <v>32</v>
      </c>
      <c r="E1611" s="1">
        <v>2025</v>
      </c>
      <c r="F1611" s="11">
        <v>0.67969999999999997</v>
      </c>
      <c r="G1611">
        <v>64.13</v>
      </c>
      <c r="H1611">
        <v>2.04</v>
      </c>
      <c r="I1611" s="2">
        <v>104001.54</v>
      </c>
      <c r="J1611" s="2">
        <v>96081.23</v>
      </c>
      <c r="K1611" s="2">
        <f>Table1[[#This Row],[Salary_after]]-Table1[[#This Row],[Salary_before]]</f>
        <v>-7920.3099999999977</v>
      </c>
      <c r="L1611" s="11">
        <v>-7.6200000000000004E-2</v>
      </c>
      <c r="M1611" s="11">
        <v>0.20649999999999999</v>
      </c>
      <c r="N1611">
        <v>26.51</v>
      </c>
      <c r="O1611">
        <v>30.6</v>
      </c>
      <c r="P1611">
        <v>3</v>
      </c>
      <c r="Q1611" t="s">
        <v>37</v>
      </c>
      <c r="R1611">
        <v>35.005000000000003</v>
      </c>
      <c r="S1611">
        <v>7.62</v>
      </c>
      <c r="T1611" s="4">
        <v>30.085999999999999</v>
      </c>
      <c r="U1611" s="4">
        <v>20.798819999999999</v>
      </c>
      <c r="V1611" t="str">
        <f>IF(Table1[[#This Row],[ai_disruption_intensity]]&gt;70,"High",
IF(Table1[[#This Row],[ai_disruption_intensity]]&gt;40,"Medium","Low"))</f>
        <v>Low</v>
      </c>
      <c r="W1611" t="str">
        <f>IF(Table1[[#This Row],[skill_gap_index]]&gt;70,"Large Gap",
IF(Table1[[#This Row],[skill_gap_index]]&gt;40,"Medium Gap","Small Gap"))</f>
        <v>Small Gap</v>
      </c>
      <c r="X1611" s="3" t="str">
        <f>IF(Table1[[#This Row],[automation_risk_percent]]&gt;0.7,"Highly Automatable",
IF(Table1[[#This Row],[automation_risk_percent]]&gt;0.4,"Moderate Risk","Safe Job"))</f>
        <v>Moderate Risk</v>
      </c>
    </row>
    <row r="1612" spans="1:24" x14ac:dyDescent="0.3">
      <c r="A1612">
        <v>5792</v>
      </c>
      <c r="B1612" t="s">
        <v>44</v>
      </c>
      <c r="C1612" t="s">
        <v>34</v>
      </c>
      <c r="D1612" t="s">
        <v>35</v>
      </c>
      <c r="E1612" s="1">
        <v>2025</v>
      </c>
      <c r="F1612" s="11">
        <v>0.55909999999999993</v>
      </c>
      <c r="G1612">
        <v>55.78</v>
      </c>
      <c r="H1612">
        <v>74.34</v>
      </c>
      <c r="I1612" s="2">
        <v>56180.43</v>
      </c>
      <c r="J1612" s="2">
        <v>54796.53</v>
      </c>
      <c r="K1612" s="2">
        <f>Table1[[#This Row],[Salary_after]]-Table1[[#This Row],[Salary_before]]</f>
        <v>-1383.9000000000015</v>
      </c>
      <c r="L1612" s="11">
        <v>-2.46E-2</v>
      </c>
      <c r="M1612" s="11">
        <v>7.4499999999999997E-2</v>
      </c>
      <c r="N1612">
        <v>39.69</v>
      </c>
      <c r="O1612">
        <v>59.12</v>
      </c>
      <c r="P1612">
        <v>3</v>
      </c>
      <c r="Q1612" t="s">
        <v>25</v>
      </c>
      <c r="R1612">
        <v>65.125</v>
      </c>
      <c r="S1612">
        <v>2.46</v>
      </c>
      <c r="T1612" s="4">
        <v>45.403999999999897</v>
      </c>
      <c r="U1612" s="4">
        <v>33.053992000000001</v>
      </c>
      <c r="V1612" t="str">
        <f>IF(Table1[[#This Row],[ai_disruption_intensity]]&gt;70,"High",
IF(Table1[[#This Row],[ai_disruption_intensity]]&gt;40,"Medium","Low"))</f>
        <v>Low</v>
      </c>
      <c r="W1612" t="str">
        <f>IF(Table1[[#This Row],[skill_gap_index]]&gt;70,"Large Gap",
IF(Table1[[#This Row],[skill_gap_index]]&gt;40,"Medium Gap","Small Gap"))</f>
        <v>Large Gap</v>
      </c>
      <c r="X1612" s="3" t="str">
        <f>IF(Table1[[#This Row],[automation_risk_percent]]&gt;0.7,"Highly Automatable",
IF(Table1[[#This Row],[automation_risk_percent]]&gt;0.4,"Moderate Risk","Safe Job"))</f>
        <v>Moderate Risk</v>
      </c>
    </row>
    <row r="1613" spans="1:24" x14ac:dyDescent="0.3">
      <c r="A1613">
        <v>5794</v>
      </c>
      <c r="B1613" t="s">
        <v>41</v>
      </c>
      <c r="C1613" t="s">
        <v>40</v>
      </c>
      <c r="D1613" t="s">
        <v>31</v>
      </c>
      <c r="E1613" s="1">
        <v>2026</v>
      </c>
      <c r="F1613" s="11">
        <v>0.8911</v>
      </c>
      <c r="G1613">
        <v>96.66</v>
      </c>
      <c r="H1613">
        <v>35.19</v>
      </c>
      <c r="I1613" s="2">
        <v>124862.1</v>
      </c>
      <c r="J1613" s="2">
        <v>133119.94</v>
      </c>
      <c r="K1613" s="2">
        <f>Table1[[#This Row],[Salary_after]]-Table1[[#This Row],[Salary_before]]</f>
        <v>8257.8399999999965</v>
      </c>
      <c r="L1613" s="11">
        <v>6.6100000000000006E-2</v>
      </c>
      <c r="M1613" s="11">
        <v>0.22440000000000002</v>
      </c>
      <c r="N1613">
        <v>41.84</v>
      </c>
      <c r="O1613">
        <v>92.1</v>
      </c>
      <c r="P1613">
        <v>5</v>
      </c>
      <c r="Q1613" t="s">
        <v>37</v>
      </c>
      <c r="R1613">
        <v>62.15</v>
      </c>
      <c r="S1613">
        <v>6.61</v>
      </c>
      <c r="T1613" s="4">
        <v>48.183999999999898</v>
      </c>
      <c r="U1613" s="4">
        <v>82.070309999999907</v>
      </c>
      <c r="V1613" t="str">
        <f>IF(Table1[[#This Row],[ai_disruption_intensity]]&gt;70,"High",
IF(Table1[[#This Row],[ai_disruption_intensity]]&gt;40,"Medium","Low"))</f>
        <v>High</v>
      </c>
      <c r="W1613" t="str">
        <f>IF(Table1[[#This Row],[skill_gap_index]]&gt;70,"Large Gap",
IF(Table1[[#This Row],[skill_gap_index]]&gt;40,"Medium Gap","Small Gap"))</f>
        <v>Small Gap</v>
      </c>
      <c r="X1613" s="3" t="str">
        <f>IF(Table1[[#This Row],[automation_risk_percent]]&gt;0.7,"Highly Automatable",
IF(Table1[[#This Row],[automation_risk_percent]]&gt;0.4,"Moderate Risk","Safe Job"))</f>
        <v>Highly Automatable</v>
      </c>
    </row>
    <row r="1614" spans="1:24" x14ac:dyDescent="0.3">
      <c r="A1614">
        <v>5796</v>
      </c>
      <c r="B1614" t="s">
        <v>39</v>
      </c>
      <c r="C1614" t="s">
        <v>38</v>
      </c>
      <c r="D1614" t="s">
        <v>47</v>
      </c>
      <c r="E1614" s="1">
        <v>2026</v>
      </c>
      <c r="F1614" s="11">
        <v>0.43380000000000002</v>
      </c>
      <c r="G1614">
        <v>46.83</v>
      </c>
      <c r="H1614">
        <v>53.14</v>
      </c>
      <c r="I1614" s="2">
        <v>46116.76</v>
      </c>
      <c r="J1614" s="2">
        <v>48593.67</v>
      </c>
      <c r="K1614" s="2">
        <f>Table1[[#This Row],[Salary_after]]-Table1[[#This Row],[Salary_before]]</f>
        <v>2476.9099999999962</v>
      </c>
      <c r="L1614" s="11">
        <v>5.3699999999999998E-2</v>
      </c>
      <c r="M1614" s="11">
        <v>4.7300000000000002E-2</v>
      </c>
      <c r="N1614">
        <v>77.94</v>
      </c>
      <c r="O1614">
        <v>30.02</v>
      </c>
      <c r="P1614">
        <v>4</v>
      </c>
      <c r="Q1614" t="s">
        <v>25</v>
      </c>
      <c r="R1614">
        <v>48.26</v>
      </c>
      <c r="S1614">
        <v>5.37</v>
      </c>
      <c r="T1614" s="4">
        <v>34.904999999999902</v>
      </c>
      <c r="U1614" s="4">
        <v>13.022676000000001</v>
      </c>
      <c r="V1614" t="str">
        <f>IF(Table1[[#This Row],[ai_disruption_intensity]]&gt;70,"High",
IF(Table1[[#This Row],[ai_disruption_intensity]]&gt;40,"Medium","Low"))</f>
        <v>Low</v>
      </c>
      <c r="W1614" t="str">
        <f>IF(Table1[[#This Row],[skill_gap_index]]&gt;70,"Large Gap",
IF(Table1[[#This Row],[skill_gap_index]]&gt;40,"Medium Gap","Small Gap"))</f>
        <v>Medium Gap</v>
      </c>
      <c r="X1614" s="3" t="str">
        <f>IF(Table1[[#This Row],[automation_risk_percent]]&gt;0.7,"Highly Automatable",
IF(Table1[[#This Row],[automation_risk_percent]]&gt;0.4,"Moderate Risk","Safe Job"))</f>
        <v>Moderate Risk</v>
      </c>
    </row>
    <row r="1615" spans="1:24" x14ac:dyDescent="0.3">
      <c r="A1615">
        <v>5798</v>
      </c>
      <c r="B1615" t="s">
        <v>18</v>
      </c>
      <c r="C1615" t="s">
        <v>38</v>
      </c>
      <c r="D1615" t="s">
        <v>28</v>
      </c>
      <c r="E1615" s="1">
        <v>2026</v>
      </c>
      <c r="F1615" s="11">
        <v>0.42060000000000003</v>
      </c>
      <c r="G1615">
        <v>45.47</v>
      </c>
      <c r="H1615">
        <v>93.22</v>
      </c>
      <c r="I1615" s="2">
        <v>37527.129999999997</v>
      </c>
      <c r="J1615" s="2">
        <v>43444.12</v>
      </c>
      <c r="K1615" s="2">
        <f>Table1[[#This Row],[Salary_after]]-Table1[[#This Row],[Salary_before]]</f>
        <v>5916.9900000000052</v>
      </c>
      <c r="L1615" s="11">
        <v>0.15770000000000001</v>
      </c>
      <c r="M1615" s="11">
        <v>-9.6799999999999997E-2</v>
      </c>
      <c r="N1615">
        <v>80.14</v>
      </c>
      <c r="O1615">
        <v>92.09</v>
      </c>
      <c r="P1615">
        <v>2</v>
      </c>
      <c r="Q1615" t="s">
        <v>25</v>
      </c>
      <c r="R1615">
        <v>67.64</v>
      </c>
      <c r="S1615">
        <v>15.77</v>
      </c>
      <c r="T1615" s="4">
        <v>49.521000000000001</v>
      </c>
      <c r="U1615" s="4">
        <v>38.733054000000003</v>
      </c>
      <c r="V1615" t="str">
        <f>IF(Table1[[#This Row],[ai_disruption_intensity]]&gt;70,"High",
IF(Table1[[#This Row],[ai_disruption_intensity]]&gt;40,"Medium","Low"))</f>
        <v>Low</v>
      </c>
      <c r="W1615" t="str">
        <f>IF(Table1[[#This Row],[skill_gap_index]]&gt;70,"Large Gap",
IF(Table1[[#This Row],[skill_gap_index]]&gt;40,"Medium Gap","Small Gap"))</f>
        <v>Large Gap</v>
      </c>
      <c r="X1615" s="3" t="str">
        <f>IF(Table1[[#This Row],[automation_risk_percent]]&gt;0.7,"Highly Automatable",
IF(Table1[[#This Row],[automation_risk_percent]]&gt;0.4,"Moderate Risk","Safe Job"))</f>
        <v>Moderate Risk</v>
      </c>
    </row>
    <row r="1616" spans="1:24" x14ac:dyDescent="0.3">
      <c r="A1616">
        <v>5810</v>
      </c>
      <c r="B1616" t="s">
        <v>18</v>
      </c>
      <c r="C1616" t="s">
        <v>34</v>
      </c>
      <c r="D1616" t="s">
        <v>35</v>
      </c>
      <c r="E1616" s="1">
        <v>2026</v>
      </c>
      <c r="F1616" s="11">
        <v>0.1739</v>
      </c>
      <c r="G1616">
        <v>18.46</v>
      </c>
      <c r="H1616">
        <v>66.73</v>
      </c>
      <c r="I1616" s="2">
        <v>61265.74</v>
      </c>
      <c r="J1616" s="2">
        <v>61742.45</v>
      </c>
      <c r="K1616" s="2">
        <f>Table1[[#This Row],[Salary_after]]-Table1[[#This Row],[Salary_before]]</f>
        <v>476.70999999999913</v>
      </c>
      <c r="L1616" s="11">
        <v>7.8000000000000005E-3</v>
      </c>
      <c r="M1616" s="11">
        <v>2.81E-2</v>
      </c>
      <c r="N1616">
        <v>73.31</v>
      </c>
      <c r="O1616">
        <v>2.61</v>
      </c>
      <c r="P1616">
        <v>4</v>
      </c>
      <c r="Q1616" t="s">
        <v>21</v>
      </c>
      <c r="R1616">
        <v>42.06</v>
      </c>
      <c r="S1616">
        <v>0.78</v>
      </c>
      <c r="T1616" s="4">
        <v>27.209</v>
      </c>
      <c r="U1616" s="4">
        <v>0.45387899999999998</v>
      </c>
      <c r="V1616" t="str">
        <f>IF(Table1[[#This Row],[ai_disruption_intensity]]&gt;70,"High",
IF(Table1[[#This Row],[ai_disruption_intensity]]&gt;40,"Medium","Low"))</f>
        <v>Low</v>
      </c>
      <c r="W1616" t="str">
        <f>IF(Table1[[#This Row],[skill_gap_index]]&gt;70,"Large Gap",
IF(Table1[[#This Row],[skill_gap_index]]&gt;40,"Medium Gap","Small Gap"))</f>
        <v>Medium Gap</v>
      </c>
      <c r="X1616" s="3" t="str">
        <f>IF(Table1[[#This Row],[automation_risk_percent]]&gt;0.7,"Highly Automatable",
IF(Table1[[#This Row],[automation_risk_percent]]&gt;0.4,"Moderate Risk","Safe Job"))</f>
        <v>Safe Job</v>
      </c>
    </row>
    <row r="1617" spans="1:24" x14ac:dyDescent="0.3">
      <c r="A1617">
        <v>5811</v>
      </c>
      <c r="B1617" t="s">
        <v>39</v>
      </c>
      <c r="C1617" t="s">
        <v>40</v>
      </c>
      <c r="D1617" t="s">
        <v>28</v>
      </c>
      <c r="E1617" s="1">
        <v>2026</v>
      </c>
      <c r="F1617" s="11">
        <v>0.58520000000000005</v>
      </c>
      <c r="G1617">
        <v>68.8</v>
      </c>
      <c r="H1617">
        <v>17.88</v>
      </c>
      <c r="I1617" s="2">
        <v>92558.85</v>
      </c>
      <c r="J1617" s="2">
        <v>83058.38</v>
      </c>
      <c r="K1617" s="2">
        <f>Table1[[#This Row],[Salary_after]]-Table1[[#This Row],[Salary_before]]</f>
        <v>-9500.4700000000012</v>
      </c>
      <c r="L1617" s="11">
        <v>-0.1026</v>
      </c>
      <c r="M1617" s="11">
        <v>0.12480000000000001</v>
      </c>
      <c r="N1617">
        <v>77.64</v>
      </c>
      <c r="O1617">
        <v>86.81</v>
      </c>
      <c r="P1617">
        <v>2</v>
      </c>
      <c r="Q1617" t="s">
        <v>25</v>
      </c>
      <c r="R1617">
        <v>38.200000000000003</v>
      </c>
      <c r="S1617">
        <v>10.26</v>
      </c>
      <c r="T1617" s="4">
        <v>31.85</v>
      </c>
      <c r="U1617" s="4">
        <v>50.801212</v>
      </c>
      <c r="V1617" t="str">
        <f>IF(Table1[[#This Row],[ai_disruption_intensity]]&gt;70,"High",
IF(Table1[[#This Row],[ai_disruption_intensity]]&gt;40,"Medium","Low"))</f>
        <v>Medium</v>
      </c>
      <c r="W1617" t="str">
        <f>IF(Table1[[#This Row],[skill_gap_index]]&gt;70,"Large Gap",
IF(Table1[[#This Row],[skill_gap_index]]&gt;40,"Medium Gap","Small Gap"))</f>
        <v>Small Gap</v>
      </c>
      <c r="X1617" s="3" t="str">
        <f>IF(Table1[[#This Row],[automation_risk_percent]]&gt;0.7,"Highly Automatable",
IF(Table1[[#This Row],[automation_risk_percent]]&gt;0.4,"Moderate Risk","Safe Job"))</f>
        <v>Moderate Risk</v>
      </c>
    </row>
    <row r="1618" spans="1:24" x14ac:dyDescent="0.3">
      <c r="A1618">
        <v>5816</v>
      </c>
      <c r="B1618" t="s">
        <v>45</v>
      </c>
      <c r="C1618" t="s">
        <v>38</v>
      </c>
      <c r="D1618" t="s">
        <v>36</v>
      </c>
      <c r="E1618" s="1">
        <v>2026</v>
      </c>
      <c r="F1618" s="11">
        <v>0.18629999999999999</v>
      </c>
      <c r="G1618">
        <v>20.29</v>
      </c>
      <c r="H1618">
        <v>92.42</v>
      </c>
      <c r="I1618" s="2">
        <v>34217.800000000003</v>
      </c>
      <c r="J1618" s="2">
        <v>35763.730000000003</v>
      </c>
      <c r="K1618" s="2">
        <f>Table1[[#This Row],[Salary_after]]-Table1[[#This Row],[Salary_before]]</f>
        <v>1545.9300000000003</v>
      </c>
      <c r="L1618" s="11">
        <v>4.5199999999999997E-2</v>
      </c>
      <c r="M1618" s="11">
        <v>0.20489999999999997</v>
      </c>
      <c r="N1618">
        <v>73.05</v>
      </c>
      <c r="O1618">
        <v>23.07</v>
      </c>
      <c r="P1618">
        <v>3</v>
      </c>
      <c r="Q1618" t="s">
        <v>21</v>
      </c>
      <c r="R1618">
        <v>55.524999999999999</v>
      </c>
      <c r="S1618">
        <v>4.5199999999999996</v>
      </c>
      <c r="T1618" s="4">
        <v>36.533999999999999</v>
      </c>
      <c r="U1618" s="4">
        <v>4.2979409999999998</v>
      </c>
      <c r="V1618" t="str">
        <f>IF(Table1[[#This Row],[ai_disruption_intensity]]&gt;70,"High",
IF(Table1[[#This Row],[ai_disruption_intensity]]&gt;40,"Medium","Low"))</f>
        <v>Low</v>
      </c>
      <c r="W1618" t="str">
        <f>IF(Table1[[#This Row],[skill_gap_index]]&gt;70,"Large Gap",
IF(Table1[[#This Row],[skill_gap_index]]&gt;40,"Medium Gap","Small Gap"))</f>
        <v>Large Gap</v>
      </c>
      <c r="X1618" s="3" t="str">
        <f>IF(Table1[[#This Row],[automation_risk_percent]]&gt;0.7,"Highly Automatable",
IF(Table1[[#This Row],[automation_risk_percent]]&gt;0.4,"Moderate Risk","Safe Job"))</f>
        <v>Safe Job</v>
      </c>
    </row>
    <row r="1619" spans="1:24" x14ac:dyDescent="0.3">
      <c r="A1619">
        <v>5820</v>
      </c>
      <c r="B1619" t="s">
        <v>39</v>
      </c>
      <c r="C1619" t="s">
        <v>19</v>
      </c>
      <c r="D1619" t="s">
        <v>32</v>
      </c>
      <c r="E1619" s="1">
        <v>2025</v>
      </c>
      <c r="F1619" s="11">
        <v>0.41710000000000003</v>
      </c>
      <c r="G1619">
        <v>44.92</v>
      </c>
      <c r="H1619">
        <v>17.28</v>
      </c>
      <c r="I1619" s="2">
        <v>96058.38</v>
      </c>
      <c r="J1619" s="2">
        <v>102459.49</v>
      </c>
      <c r="K1619" s="2">
        <f>Table1[[#This Row],[Salary_after]]-Table1[[#This Row],[Salary_before]]</f>
        <v>6401.1100000000006</v>
      </c>
      <c r="L1619" s="11">
        <v>6.6600000000000006E-2</v>
      </c>
      <c r="M1619" s="11">
        <v>6.8400000000000002E-2</v>
      </c>
      <c r="N1619">
        <v>16.02</v>
      </c>
      <c r="O1619">
        <v>37.479999999999997</v>
      </c>
      <c r="P1619">
        <v>4</v>
      </c>
      <c r="Q1619" t="s">
        <v>25</v>
      </c>
      <c r="R1619">
        <v>29.495000000000001</v>
      </c>
      <c r="S1619">
        <v>6.66</v>
      </c>
      <c r="T1619" s="4">
        <v>23.866</v>
      </c>
      <c r="U1619" s="4">
        <v>15.632908</v>
      </c>
      <c r="V1619" t="str">
        <f>IF(Table1[[#This Row],[ai_disruption_intensity]]&gt;70,"High",
IF(Table1[[#This Row],[ai_disruption_intensity]]&gt;40,"Medium","Low"))</f>
        <v>Low</v>
      </c>
      <c r="W1619" t="str">
        <f>IF(Table1[[#This Row],[skill_gap_index]]&gt;70,"Large Gap",
IF(Table1[[#This Row],[skill_gap_index]]&gt;40,"Medium Gap","Small Gap"))</f>
        <v>Small Gap</v>
      </c>
      <c r="X1619" s="3" t="str">
        <f>IF(Table1[[#This Row],[automation_risk_percent]]&gt;0.7,"Highly Automatable",
IF(Table1[[#This Row],[automation_risk_percent]]&gt;0.4,"Moderate Risk","Safe Job"))</f>
        <v>Moderate Risk</v>
      </c>
    </row>
    <row r="1620" spans="1:24" x14ac:dyDescent="0.3">
      <c r="A1620">
        <v>5823</v>
      </c>
      <c r="B1620" t="s">
        <v>26</v>
      </c>
      <c r="C1620" t="s">
        <v>19</v>
      </c>
      <c r="D1620" t="s">
        <v>36</v>
      </c>
      <c r="E1620" s="1">
        <v>2026</v>
      </c>
      <c r="F1620" s="11">
        <v>0.1923</v>
      </c>
      <c r="G1620">
        <v>18.3</v>
      </c>
      <c r="H1620">
        <v>82.16</v>
      </c>
      <c r="I1620" s="2">
        <v>141567.6</v>
      </c>
      <c r="J1620" s="2">
        <v>151056.91</v>
      </c>
      <c r="K1620" s="2">
        <f>Table1[[#This Row],[Salary_after]]-Table1[[#This Row],[Salary_before]]</f>
        <v>9489.3099999999977</v>
      </c>
      <c r="L1620" s="11">
        <v>6.7000000000000004E-2</v>
      </c>
      <c r="M1620" s="11">
        <v>-8.2599999999999993E-2</v>
      </c>
      <c r="N1620">
        <v>70.900000000000006</v>
      </c>
      <c r="O1620">
        <v>84.25</v>
      </c>
      <c r="P1620">
        <v>1</v>
      </c>
      <c r="Q1620" t="s">
        <v>21</v>
      </c>
      <c r="R1620">
        <v>50.695</v>
      </c>
      <c r="S1620">
        <v>6.7</v>
      </c>
      <c r="T1620" s="4">
        <v>34.35</v>
      </c>
      <c r="U1620" s="4">
        <v>16.201274999999999</v>
      </c>
      <c r="V1620" t="str">
        <f>IF(Table1[[#This Row],[ai_disruption_intensity]]&gt;70,"High",
IF(Table1[[#This Row],[ai_disruption_intensity]]&gt;40,"Medium","Low"))</f>
        <v>Low</v>
      </c>
      <c r="W1620" t="str">
        <f>IF(Table1[[#This Row],[skill_gap_index]]&gt;70,"Large Gap",
IF(Table1[[#This Row],[skill_gap_index]]&gt;40,"Medium Gap","Small Gap"))</f>
        <v>Large Gap</v>
      </c>
      <c r="X1620" s="3" t="str">
        <f>IF(Table1[[#This Row],[automation_risk_percent]]&gt;0.7,"Highly Automatable",
IF(Table1[[#This Row],[automation_risk_percent]]&gt;0.4,"Moderate Risk","Safe Job"))</f>
        <v>Safe Job</v>
      </c>
    </row>
    <row r="1621" spans="1:24" x14ac:dyDescent="0.3">
      <c r="A1621">
        <v>5826</v>
      </c>
      <c r="B1621" t="s">
        <v>43</v>
      </c>
      <c r="C1621" t="s">
        <v>34</v>
      </c>
      <c r="D1621" t="s">
        <v>20</v>
      </c>
      <c r="E1621" s="1">
        <v>2025</v>
      </c>
      <c r="F1621" s="11">
        <v>0.48590000000000005</v>
      </c>
      <c r="G1621">
        <v>48.5</v>
      </c>
      <c r="H1621">
        <v>85.34</v>
      </c>
      <c r="I1621" s="2">
        <v>112020.8</v>
      </c>
      <c r="J1621" s="2">
        <v>131068.06</v>
      </c>
      <c r="K1621" s="2">
        <f>Table1[[#This Row],[Salary_after]]-Table1[[#This Row],[Salary_before]]</f>
        <v>19047.259999999995</v>
      </c>
      <c r="L1621" s="11">
        <v>0.17</v>
      </c>
      <c r="M1621" s="11">
        <v>-2.8799999999999999E-2</v>
      </c>
      <c r="N1621">
        <v>96.85</v>
      </c>
      <c r="O1621">
        <v>8.0299999999999994</v>
      </c>
      <c r="P1621">
        <v>2</v>
      </c>
      <c r="Q1621" t="s">
        <v>25</v>
      </c>
      <c r="R1621">
        <v>66.965000000000003</v>
      </c>
      <c r="S1621">
        <v>17</v>
      </c>
      <c r="T1621" s="4">
        <v>50.137999999999998</v>
      </c>
      <c r="U1621" s="4">
        <v>3.9017770000000001</v>
      </c>
      <c r="V1621" t="str">
        <f>IF(Table1[[#This Row],[ai_disruption_intensity]]&gt;70,"High",
IF(Table1[[#This Row],[ai_disruption_intensity]]&gt;40,"Medium","Low"))</f>
        <v>Low</v>
      </c>
      <c r="W1621" t="str">
        <f>IF(Table1[[#This Row],[skill_gap_index]]&gt;70,"Large Gap",
IF(Table1[[#This Row],[skill_gap_index]]&gt;40,"Medium Gap","Small Gap"))</f>
        <v>Large Gap</v>
      </c>
      <c r="X1621" s="3" t="str">
        <f>IF(Table1[[#This Row],[automation_risk_percent]]&gt;0.7,"Highly Automatable",
IF(Table1[[#This Row],[automation_risk_percent]]&gt;0.4,"Moderate Risk","Safe Job"))</f>
        <v>Moderate Risk</v>
      </c>
    </row>
    <row r="1622" spans="1:24" x14ac:dyDescent="0.3">
      <c r="A1622">
        <v>5827</v>
      </c>
      <c r="B1622" t="s">
        <v>29</v>
      </c>
      <c r="C1622" t="s">
        <v>23</v>
      </c>
      <c r="D1622" t="s">
        <v>36</v>
      </c>
      <c r="E1622" s="1">
        <v>2026</v>
      </c>
      <c r="F1622" s="11">
        <v>0.52170000000000005</v>
      </c>
      <c r="G1622">
        <v>59.9</v>
      </c>
      <c r="H1622">
        <v>73.91</v>
      </c>
      <c r="I1622" s="2">
        <v>142191.47</v>
      </c>
      <c r="J1622" s="2">
        <v>150330.66</v>
      </c>
      <c r="K1622" s="2">
        <f>Table1[[#This Row],[Salary_after]]-Table1[[#This Row],[Salary_before]]</f>
        <v>8139.1900000000023</v>
      </c>
      <c r="L1622" s="11">
        <v>5.7200000000000001E-2</v>
      </c>
      <c r="M1622" s="11">
        <v>0.10300000000000001</v>
      </c>
      <c r="N1622">
        <v>63.75</v>
      </c>
      <c r="O1622">
        <v>5.19</v>
      </c>
      <c r="P1622">
        <v>2</v>
      </c>
      <c r="Q1622" t="s">
        <v>25</v>
      </c>
      <c r="R1622">
        <v>63.04</v>
      </c>
      <c r="S1622">
        <v>5.72</v>
      </c>
      <c r="T1622" s="4">
        <v>44.756999999999998</v>
      </c>
      <c r="U1622" s="4">
        <v>2.7076229999999999</v>
      </c>
      <c r="V1622" t="str">
        <f>IF(Table1[[#This Row],[ai_disruption_intensity]]&gt;70,"High",
IF(Table1[[#This Row],[ai_disruption_intensity]]&gt;40,"Medium","Low"))</f>
        <v>Low</v>
      </c>
      <c r="W1622" t="str">
        <f>IF(Table1[[#This Row],[skill_gap_index]]&gt;70,"Large Gap",
IF(Table1[[#This Row],[skill_gap_index]]&gt;40,"Medium Gap","Small Gap"))</f>
        <v>Large Gap</v>
      </c>
      <c r="X1622" s="3" t="str">
        <f>IF(Table1[[#This Row],[automation_risk_percent]]&gt;0.7,"Highly Automatable",
IF(Table1[[#This Row],[automation_risk_percent]]&gt;0.4,"Moderate Risk","Safe Job"))</f>
        <v>Moderate Risk</v>
      </c>
    </row>
    <row r="1623" spans="1:24" x14ac:dyDescent="0.3">
      <c r="A1623">
        <v>5831</v>
      </c>
      <c r="B1623" t="s">
        <v>45</v>
      </c>
      <c r="C1623" t="s">
        <v>30</v>
      </c>
      <c r="D1623" t="s">
        <v>20</v>
      </c>
      <c r="E1623" s="1">
        <v>2026</v>
      </c>
      <c r="F1623" s="11">
        <v>0.24390000000000001</v>
      </c>
      <c r="G1623">
        <v>21.29</v>
      </c>
      <c r="H1623">
        <v>24.79</v>
      </c>
      <c r="I1623" s="2">
        <v>33503.57</v>
      </c>
      <c r="J1623" s="2">
        <v>30206.1</v>
      </c>
      <c r="K1623" s="2">
        <f>Table1[[#This Row],[Salary_after]]-Table1[[#This Row],[Salary_before]]</f>
        <v>-3297.4700000000012</v>
      </c>
      <c r="L1623" s="11">
        <v>-9.8400000000000001E-2</v>
      </c>
      <c r="M1623" s="11">
        <v>0.16010000000000002</v>
      </c>
      <c r="N1623">
        <v>72.83</v>
      </c>
      <c r="O1623">
        <v>65.349999999999994</v>
      </c>
      <c r="P1623">
        <v>3</v>
      </c>
      <c r="Q1623" t="s">
        <v>21</v>
      </c>
      <c r="R1623">
        <v>24.59</v>
      </c>
      <c r="S1623">
        <v>9.84</v>
      </c>
      <c r="T1623" s="4">
        <v>20.1449999999999</v>
      </c>
      <c r="U1623" s="4">
        <v>15.9388649999999</v>
      </c>
      <c r="V1623" t="str">
        <f>IF(Table1[[#This Row],[ai_disruption_intensity]]&gt;70,"High",
IF(Table1[[#This Row],[ai_disruption_intensity]]&gt;40,"Medium","Low"))</f>
        <v>Low</v>
      </c>
      <c r="W1623" t="str">
        <f>IF(Table1[[#This Row],[skill_gap_index]]&gt;70,"Large Gap",
IF(Table1[[#This Row],[skill_gap_index]]&gt;40,"Medium Gap","Small Gap"))</f>
        <v>Small Gap</v>
      </c>
      <c r="X1623" s="3" t="str">
        <f>IF(Table1[[#This Row],[automation_risk_percent]]&gt;0.7,"Highly Automatable",
IF(Table1[[#This Row],[automation_risk_percent]]&gt;0.4,"Moderate Risk","Safe Job"))</f>
        <v>Safe Job</v>
      </c>
    </row>
    <row r="1624" spans="1:24" x14ac:dyDescent="0.3">
      <c r="A1624">
        <v>5835</v>
      </c>
      <c r="B1624" t="s">
        <v>46</v>
      </c>
      <c r="C1624" t="s">
        <v>19</v>
      </c>
      <c r="D1624" t="s">
        <v>24</v>
      </c>
      <c r="E1624" s="1">
        <v>2025</v>
      </c>
      <c r="F1624" s="11">
        <v>0.4168</v>
      </c>
      <c r="G1624">
        <v>42.33</v>
      </c>
      <c r="H1624">
        <v>4.2699999999999996</v>
      </c>
      <c r="I1624" s="2">
        <v>111757.39</v>
      </c>
      <c r="J1624" s="2">
        <v>118039.72</v>
      </c>
      <c r="K1624" s="2">
        <f>Table1[[#This Row],[Salary_after]]-Table1[[#This Row],[Salary_before]]</f>
        <v>6282.3300000000017</v>
      </c>
      <c r="L1624" s="11">
        <v>5.62E-2</v>
      </c>
      <c r="M1624" s="11">
        <v>3.1699999999999999E-2</v>
      </c>
      <c r="N1624">
        <v>26.81</v>
      </c>
      <c r="O1624">
        <v>30.21</v>
      </c>
      <c r="P1624">
        <v>4</v>
      </c>
      <c r="Q1624" t="s">
        <v>25</v>
      </c>
      <c r="R1624">
        <v>22.975000000000001</v>
      </c>
      <c r="S1624">
        <v>5.62</v>
      </c>
      <c r="T1624" s="4">
        <v>19.638999999999999</v>
      </c>
      <c r="U1624" s="4">
        <v>12.591528</v>
      </c>
      <c r="V1624" t="str">
        <f>IF(Table1[[#This Row],[ai_disruption_intensity]]&gt;70,"High",
IF(Table1[[#This Row],[ai_disruption_intensity]]&gt;40,"Medium","Low"))</f>
        <v>Low</v>
      </c>
      <c r="W1624" t="str">
        <f>IF(Table1[[#This Row],[skill_gap_index]]&gt;70,"Large Gap",
IF(Table1[[#This Row],[skill_gap_index]]&gt;40,"Medium Gap","Small Gap"))</f>
        <v>Small Gap</v>
      </c>
      <c r="X1624" s="3" t="str">
        <f>IF(Table1[[#This Row],[automation_risk_percent]]&gt;0.7,"Highly Automatable",
IF(Table1[[#This Row],[automation_risk_percent]]&gt;0.4,"Moderate Risk","Safe Job"))</f>
        <v>Moderate Risk</v>
      </c>
    </row>
    <row r="1625" spans="1:24" x14ac:dyDescent="0.3">
      <c r="A1625">
        <v>5837</v>
      </c>
      <c r="B1625" t="s">
        <v>43</v>
      </c>
      <c r="C1625" t="s">
        <v>27</v>
      </c>
      <c r="D1625" t="s">
        <v>28</v>
      </c>
      <c r="E1625" s="1">
        <v>2025</v>
      </c>
      <c r="F1625" s="11">
        <v>0.48259999999999997</v>
      </c>
      <c r="G1625">
        <v>49.72</v>
      </c>
      <c r="H1625">
        <v>70.48</v>
      </c>
      <c r="I1625" s="2">
        <v>105525.72</v>
      </c>
      <c r="J1625" s="2">
        <v>109795.42</v>
      </c>
      <c r="K1625" s="2">
        <f>Table1[[#This Row],[Salary_after]]-Table1[[#This Row],[Salary_before]]</f>
        <v>4269.6999999999971</v>
      </c>
      <c r="L1625" s="11">
        <v>4.0500000000000001E-2</v>
      </c>
      <c r="M1625" s="11">
        <v>-0.12029999999999999</v>
      </c>
      <c r="N1625">
        <v>32.01</v>
      </c>
      <c r="O1625">
        <v>58.88</v>
      </c>
      <c r="P1625">
        <v>1</v>
      </c>
      <c r="Q1625" t="s">
        <v>25</v>
      </c>
      <c r="R1625">
        <v>59.37</v>
      </c>
      <c r="S1625">
        <v>4.05</v>
      </c>
      <c r="T1625" s="4">
        <v>41.662999999999997</v>
      </c>
      <c r="U1625" s="4">
        <v>28.415488</v>
      </c>
      <c r="V1625" t="str">
        <f>IF(Table1[[#This Row],[ai_disruption_intensity]]&gt;70,"High",
IF(Table1[[#This Row],[ai_disruption_intensity]]&gt;40,"Medium","Low"))</f>
        <v>Low</v>
      </c>
      <c r="W1625" t="str">
        <f>IF(Table1[[#This Row],[skill_gap_index]]&gt;70,"Large Gap",
IF(Table1[[#This Row],[skill_gap_index]]&gt;40,"Medium Gap","Small Gap"))</f>
        <v>Large Gap</v>
      </c>
      <c r="X1625" s="3" t="str">
        <f>IF(Table1[[#This Row],[automation_risk_percent]]&gt;0.7,"Highly Automatable",
IF(Table1[[#This Row],[automation_risk_percent]]&gt;0.4,"Moderate Risk","Safe Job"))</f>
        <v>Moderate Risk</v>
      </c>
    </row>
    <row r="1626" spans="1:24" x14ac:dyDescent="0.3">
      <c r="A1626">
        <v>5839</v>
      </c>
      <c r="B1626" t="s">
        <v>45</v>
      </c>
      <c r="C1626" t="s">
        <v>30</v>
      </c>
      <c r="D1626" t="s">
        <v>47</v>
      </c>
      <c r="E1626" s="1">
        <v>2026</v>
      </c>
      <c r="F1626" s="11">
        <v>0.11849999999999999</v>
      </c>
      <c r="G1626">
        <v>9.84</v>
      </c>
      <c r="H1626">
        <v>8.2100000000000009</v>
      </c>
      <c r="I1626" s="2">
        <v>36745.730000000003</v>
      </c>
      <c r="J1626" s="2">
        <v>33486.870000000003</v>
      </c>
      <c r="K1626" s="2">
        <f>Table1[[#This Row],[Salary_after]]-Table1[[#This Row],[Salary_before]]</f>
        <v>-3258.8600000000006</v>
      </c>
      <c r="L1626" s="11">
        <v>-8.8699999999999987E-2</v>
      </c>
      <c r="M1626" s="11">
        <v>-6.7400000000000002E-2</v>
      </c>
      <c r="N1626">
        <v>20.02</v>
      </c>
      <c r="O1626">
        <v>43.81</v>
      </c>
      <c r="P1626">
        <v>5</v>
      </c>
      <c r="Q1626" t="s">
        <v>21</v>
      </c>
      <c r="R1626">
        <v>10.029999999999999</v>
      </c>
      <c r="S1626">
        <v>8.8699999999999992</v>
      </c>
      <c r="T1626" s="4">
        <v>9.8640000000000008</v>
      </c>
      <c r="U1626" s="4">
        <v>5.1914850000000001</v>
      </c>
      <c r="V1626" t="str">
        <f>IF(Table1[[#This Row],[ai_disruption_intensity]]&gt;70,"High",
IF(Table1[[#This Row],[ai_disruption_intensity]]&gt;40,"Medium","Low"))</f>
        <v>Low</v>
      </c>
      <c r="W1626" t="str">
        <f>IF(Table1[[#This Row],[skill_gap_index]]&gt;70,"Large Gap",
IF(Table1[[#This Row],[skill_gap_index]]&gt;40,"Medium Gap","Small Gap"))</f>
        <v>Small Gap</v>
      </c>
      <c r="X1626" s="3" t="str">
        <f>IF(Table1[[#This Row],[automation_risk_percent]]&gt;0.7,"Highly Automatable",
IF(Table1[[#This Row],[automation_risk_percent]]&gt;0.4,"Moderate Risk","Safe Job"))</f>
        <v>Safe Job</v>
      </c>
    </row>
    <row r="1627" spans="1:24" x14ac:dyDescent="0.3">
      <c r="A1627">
        <v>5840</v>
      </c>
      <c r="B1627" t="s">
        <v>22</v>
      </c>
      <c r="C1627" t="s">
        <v>40</v>
      </c>
      <c r="D1627" t="s">
        <v>35</v>
      </c>
      <c r="E1627" s="1">
        <v>2026</v>
      </c>
      <c r="F1627" s="11">
        <v>0.35570000000000002</v>
      </c>
      <c r="G1627">
        <v>37.51</v>
      </c>
      <c r="H1627">
        <v>19.59</v>
      </c>
      <c r="I1627" s="2">
        <v>139678.26</v>
      </c>
      <c r="J1627" s="2">
        <v>172321.1</v>
      </c>
      <c r="K1627" s="2">
        <f>Table1[[#This Row],[Salary_after]]-Table1[[#This Row],[Salary_before]]</f>
        <v>32642.839999999997</v>
      </c>
      <c r="L1627" s="11">
        <v>0.23370000000000002</v>
      </c>
      <c r="M1627" s="11">
        <v>8.0199999999999994E-2</v>
      </c>
      <c r="N1627">
        <v>13.56</v>
      </c>
      <c r="O1627">
        <v>55.91</v>
      </c>
      <c r="P1627">
        <v>4</v>
      </c>
      <c r="Q1627" t="s">
        <v>25</v>
      </c>
      <c r="R1627">
        <v>27.58</v>
      </c>
      <c r="S1627">
        <v>23.37</v>
      </c>
      <c r="T1627" s="4">
        <v>27.116</v>
      </c>
      <c r="U1627" s="4">
        <v>19.887186999999901</v>
      </c>
      <c r="V1627" t="str">
        <f>IF(Table1[[#This Row],[ai_disruption_intensity]]&gt;70,"High",
IF(Table1[[#This Row],[ai_disruption_intensity]]&gt;40,"Medium","Low"))</f>
        <v>Low</v>
      </c>
      <c r="W1627" t="str">
        <f>IF(Table1[[#This Row],[skill_gap_index]]&gt;70,"Large Gap",
IF(Table1[[#This Row],[skill_gap_index]]&gt;40,"Medium Gap","Small Gap"))</f>
        <v>Small Gap</v>
      </c>
      <c r="X1627" s="3" t="str">
        <f>IF(Table1[[#This Row],[automation_risk_percent]]&gt;0.7,"Highly Automatable",
IF(Table1[[#This Row],[automation_risk_percent]]&gt;0.4,"Moderate Risk","Safe Job"))</f>
        <v>Safe Job</v>
      </c>
    </row>
    <row r="1628" spans="1:24" x14ac:dyDescent="0.3">
      <c r="A1628">
        <v>5847</v>
      </c>
      <c r="B1628" t="s">
        <v>46</v>
      </c>
      <c r="C1628" t="s">
        <v>30</v>
      </c>
      <c r="D1628" t="s">
        <v>36</v>
      </c>
      <c r="E1628" s="1">
        <v>2026</v>
      </c>
      <c r="F1628" s="11">
        <v>0.3105</v>
      </c>
      <c r="G1628">
        <v>27.91</v>
      </c>
      <c r="H1628">
        <v>39.65</v>
      </c>
      <c r="I1628" s="2">
        <v>148330</v>
      </c>
      <c r="J1628" s="2">
        <v>167873.46</v>
      </c>
      <c r="K1628" s="2">
        <f>Table1[[#This Row],[Salary_after]]-Table1[[#This Row],[Salary_before]]</f>
        <v>19543.459999999992</v>
      </c>
      <c r="L1628" s="11">
        <v>0.1318</v>
      </c>
      <c r="M1628" s="11">
        <v>-4.5999999999999999E-2</v>
      </c>
      <c r="N1628">
        <v>32.54</v>
      </c>
      <c r="O1628">
        <v>30.34</v>
      </c>
      <c r="P1628">
        <v>4</v>
      </c>
      <c r="Q1628" t="s">
        <v>25</v>
      </c>
      <c r="R1628">
        <v>35.35</v>
      </c>
      <c r="S1628">
        <v>13.18</v>
      </c>
      <c r="T1628" s="4">
        <v>28.268999999999998</v>
      </c>
      <c r="U1628" s="4">
        <v>9.4205699999999997</v>
      </c>
      <c r="V1628" t="str">
        <f>IF(Table1[[#This Row],[ai_disruption_intensity]]&gt;70,"High",
IF(Table1[[#This Row],[ai_disruption_intensity]]&gt;40,"Medium","Low"))</f>
        <v>Low</v>
      </c>
      <c r="W1628" t="str">
        <f>IF(Table1[[#This Row],[skill_gap_index]]&gt;70,"Large Gap",
IF(Table1[[#This Row],[skill_gap_index]]&gt;40,"Medium Gap","Small Gap"))</f>
        <v>Small Gap</v>
      </c>
      <c r="X1628" s="3" t="str">
        <f>IF(Table1[[#This Row],[automation_risk_percent]]&gt;0.7,"Highly Automatable",
IF(Table1[[#This Row],[automation_risk_percent]]&gt;0.4,"Moderate Risk","Safe Job"))</f>
        <v>Safe Job</v>
      </c>
    </row>
    <row r="1629" spans="1:24" x14ac:dyDescent="0.3">
      <c r="A1629">
        <v>5849</v>
      </c>
      <c r="B1629" t="s">
        <v>41</v>
      </c>
      <c r="C1629" t="s">
        <v>38</v>
      </c>
      <c r="D1629" t="s">
        <v>32</v>
      </c>
      <c r="E1629" s="1">
        <v>2025</v>
      </c>
      <c r="F1629" s="11">
        <v>0.623</v>
      </c>
      <c r="G1629">
        <v>70.75</v>
      </c>
      <c r="H1629">
        <v>59.89</v>
      </c>
      <c r="I1629" s="2">
        <v>82278.06</v>
      </c>
      <c r="J1629" s="2">
        <v>80662.759999999995</v>
      </c>
      <c r="K1629" s="2">
        <f>Table1[[#This Row],[Salary_after]]-Table1[[#This Row],[Salary_before]]</f>
        <v>-1615.3000000000029</v>
      </c>
      <c r="L1629" s="11">
        <v>-1.9599999999999999E-2</v>
      </c>
      <c r="M1629" s="11">
        <v>7.4800000000000005E-2</v>
      </c>
      <c r="N1629">
        <v>42.35</v>
      </c>
      <c r="O1629">
        <v>56.53</v>
      </c>
      <c r="P1629">
        <v>5</v>
      </c>
      <c r="Q1629" t="s">
        <v>37</v>
      </c>
      <c r="R1629">
        <v>61.094999999999999</v>
      </c>
      <c r="S1629">
        <v>1.96</v>
      </c>
      <c r="T1629" s="4">
        <v>43.475000000000001</v>
      </c>
      <c r="U1629" s="4">
        <v>35.21819</v>
      </c>
      <c r="V1629" t="str">
        <f>IF(Table1[[#This Row],[ai_disruption_intensity]]&gt;70,"High",
IF(Table1[[#This Row],[ai_disruption_intensity]]&gt;40,"Medium","Low"))</f>
        <v>Low</v>
      </c>
      <c r="W1629" t="str">
        <f>IF(Table1[[#This Row],[skill_gap_index]]&gt;70,"Large Gap",
IF(Table1[[#This Row],[skill_gap_index]]&gt;40,"Medium Gap","Small Gap"))</f>
        <v>Medium Gap</v>
      </c>
      <c r="X1629" s="3" t="str">
        <f>IF(Table1[[#This Row],[automation_risk_percent]]&gt;0.7,"Highly Automatable",
IF(Table1[[#This Row],[automation_risk_percent]]&gt;0.4,"Moderate Risk","Safe Job"))</f>
        <v>Moderate Risk</v>
      </c>
    </row>
    <row r="1630" spans="1:24" x14ac:dyDescent="0.3">
      <c r="A1630">
        <v>5863</v>
      </c>
      <c r="B1630" t="s">
        <v>26</v>
      </c>
      <c r="C1630" t="s">
        <v>40</v>
      </c>
      <c r="D1630" t="s">
        <v>31</v>
      </c>
      <c r="E1630" s="1">
        <v>2026</v>
      </c>
      <c r="F1630" s="11">
        <v>0.66739999999999999</v>
      </c>
      <c r="G1630">
        <v>79.95</v>
      </c>
      <c r="H1630">
        <v>79.81</v>
      </c>
      <c r="I1630" s="2">
        <v>91825.13</v>
      </c>
      <c r="J1630" s="2">
        <v>90302.64</v>
      </c>
      <c r="K1630" s="2">
        <f>Table1[[#This Row],[Salary_after]]-Table1[[#This Row],[Salary_before]]</f>
        <v>-1522.4900000000052</v>
      </c>
      <c r="L1630" s="11">
        <v>-1.66E-2</v>
      </c>
      <c r="M1630" s="11">
        <v>9.9499999999999991E-2</v>
      </c>
      <c r="N1630">
        <v>87.53</v>
      </c>
      <c r="O1630">
        <v>66.84</v>
      </c>
      <c r="P1630">
        <v>4</v>
      </c>
      <c r="Q1630" t="s">
        <v>37</v>
      </c>
      <c r="R1630">
        <v>73.275000000000006</v>
      </c>
      <c r="S1630">
        <v>1.66</v>
      </c>
      <c r="T1630" s="4">
        <v>51.136999999999901</v>
      </c>
      <c r="U1630" s="4">
        <v>44.609015999999997</v>
      </c>
      <c r="V1630" t="str">
        <f>IF(Table1[[#This Row],[ai_disruption_intensity]]&gt;70,"High",
IF(Table1[[#This Row],[ai_disruption_intensity]]&gt;40,"Medium","Low"))</f>
        <v>Medium</v>
      </c>
      <c r="W1630" t="str">
        <f>IF(Table1[[#This Row],[skill_gap_index]]&gt;70,"Large Gap",
IF(Table1[[#This Row],[skill_gap_index]]&gt;40,"Medium Gap","Small Gap"))</f>
        <v>Large Gap</v>
      </c>
      <c r="X1630" s="3" t="str">
        <f>IF(Table1[[#This Row],[automation_risk_percent]]&gt;0.7,"Highly Automatable",
IF(Table1[[#This Row],[automation_risk_percent]]&gt;0.4,"Moderate Risk","Safe Job"))</f>
        <v>Moderate Risk</v>
      </c>
    </row>
    <row r="1631" spans="1:24" x14ac:dyDescent="0.3">
      <c r="A1631">
        <v>5867</v>
      </c>
      <c r="B1631" t="s">
        <v>41</v>
      </c>
      <c r="C1631" t="s">
        <v>30</v>
      </c>
      <c r="D1631" t="s">
        <v>31</v>
      </c>
      <c r="E1631" s="1">
        <v>2026</v>
      </c>
      <c r="F1631" s="11">
        <v>0.60619999999999996</v>
      </c>
      <c r="G1631">
        <v>58.64</v>
      </c>
      <c r="H1631">
        <v>41.08</v>
      </c>
      <c r="I1631" s="2">
        <v>65635.38</v>
      </c>
      <c r="J1631" s="2">
        <v>72162.64</v>
      </c>
      <c r="K1631" s="2">
        <f>Table1[[#This Row],[Salary_after]]-Table1[[#This Row],[Salary_before]]</f>
        <v>6527.2599999999948</v>
      </c>
      <c r="L1631" s="11">
        <v>9.9399999999999988E-2</v>
      </c>
      <c r="M1631" s="11">
        <v>6.5700000000000008E-2</v>
      </c>
      <c r="N1631">
        <v>24.48</v>
      </c>
      <c r="O1631">
        <v>21.53</v>
      </c>
      <c r="P1631">
        <v>3</v>
      </c>
      <c r="Q1631" t="s">
        <v>37</v>
      </c>
      <c r="R1631">
        <v>50.849999999999902</v>
      </c>
      <c r="S1631">
        <v>9.94</v>
      </c>
      <c r="T1631" s="4">
        <v>39.554000000000002</v>
      </c>
      <c r="U1631" s="4">
        <v>13.051486000000001</v>
      </c>
      <c r="V1631" t="str">
        <f>IF(Table1[[#This Row],[ai_disruption_intensity]]&gt;70,"High",
IF(Table1[[#This Row],[ai_disruption_intensity]]&gt;40,"Medium","Low"))</f>
        <v>Low</v>
      </c>
      <c r="W1631" t="str">
        <f>IF(Table1[[#This Row],[skill_gap_index]]&gt;70,"Large Gap",
IF(Table1[[#This Row],[skill_gap_index]]&gt;40,"Medium Gap","Small Gap"))</f>
        <v>Medium Gap</v>
      </c>
      <c r="X1631" s="3" t="str">
        <f>IF(Table1[[#This Row],[automation_risk_percent]]&gt;0.7,"Highly Automatable",
IF(Table1[[#This Row],[automation_risk_percent]]&gt;0.4,"Moderate Risk","Safe Job"))</f>
        <v>Moderate Risk</v>
      </c>
    </row>
    <row r="1632" spans="1:24" x14ac:dyDescent="0.3">
      <c r="A1632">
        <v>5873</v>
      </c>
      <c r="B1632" t="s">
        <v>26</v>
      </c>
      <c r="C1632" t="s">
        <v>27</v>
      </c>
      <c r="D1632" t="s">
        <v>47</v>
      </c>
      <c r="E1632" s="1">
        <v>2025</v>
      </c>
      <c r="F1632" s="11">
        <v>0.68879999999999997</v>
      </c>
      <c r="G1632">
        <v>81.84</v>
      </c>
      <c r="H1632">
        <v>65.599999999999994</v>
      </c>
      <c r="I1632" s="2">
        <v>114864.31</v>
      </c>
      <c r="J1632" s="2">
        <v>120689.83</v>
      </c>
      <c r="K1632" s="2">
        <f>Table1[[#This Row],[Salary_after]]-Table1[[#This Row],[Salary_before]]</f>
        <v>5825.5200000000041</v>
      </c>
      <c r="L1632" s="11">
        <v>5.0700000000000002E-2</v>
      </c>
      <c r="M1632" s="11">
        <v>4.1900000000000007E-2</v>
      </c>
      <c r="N1632">
        <v>48.14</v>
      </c>
      <c r="O1632">
        <v>23.95</v>
      </c>
      <c r="P1632">
        <v>1</v>
      </c>
      <c r="Q1632" t="s">
        <v>37</v>
      </c>
      <c r="R1632">
        <v>67.239999999999995</v>
      </c>
      <c r="S1632">
        <v>5.07</v>
      </c>
      <c r="T1632" s="4">
        <v>48.753</v>
      </c>
      <c r="U1632" s="4">
        <v>16.496759999999998</v>
      </c>
      <c r="V1632" t="str">
        <f>IF(Table1[[#This Row],[ai_disruption_intensity]]&gt;70,"High",
IF(Table1[[#This Row],[ai_disruption_intensity]]&gt;40,"Medium","Low"))</f>
        <v>Low</v>
      </c>
      <c r="W1632" t="str">
        <f>IF(Table1[[#This Row],[skill_gap_index]]&gt;70,"Large Gap",
IF(Table1[[#This Row],[skill_gap_index]]&gt;40,"Medium Gap","Small Gap"))</f>
        <v>Medium Gap</v>
      </c>
      <c r="X1632" s="3" t="str">
        <f>IF(Table1[[#This Row],[automation_risk_percent]]&gt;0.7,"Highly Automatable",
IF(Table1[[#This Row],[automation_risk_percent]]&gt;0.4,"Moderate Risk","Safe Job"))</f>
        <v>Moderate Risk</v>
      </c>
    </row>
    <row r="1633" spans="1:24" x14ac:dyDescent="0.3">
      <c r="A1633">
        <v>5875</v>
      </c>
      <c r="B1633" t="s">
        <v>44</v>
      </c>
      <c r="C1633" t="s">
        <v>33</v>
      </c>
      <c r="D1633" t="s">
        <v>36</v>
      </c>
      <c r="E1633" s="1">
        <v>2025</v>
      </c>
      <c r="F1633" s="11">
        <v>0.53579999999999994</v>
      </c>
      <c r="G1633">
        <v>54.79</v>
      </c>
      <c r="H1633">
        <v>88.56</v>
      </c>
      <c r="I1633" s="2">
        <v>37610.35</v>
      </c>
      <c r="J1633" s="2">
        <v>38294.410000000003</v>
      </c>
      <c r="K1633" s="2">
        <f>Table1[[#This Row],[Salary_after]]-Table1[[#This Row],[Salary_before]]</f>
        <v>684.06000000000495</v>
      </c>
      <c r="L1633" s="11">
        <v>1.8200000000000001E-2</v>
      </c>
      <c r="M1633" s="11">
        <v>1.1000000000000001E-2</v>
      </c>
      <c r="N1633">
        <v>79.12</v>
      </c>
      <c r="O1633">
        <v>43.36</v>
      </c>
      <c r="P1633">
        <v>5</v>
      </c>
      <c r="Q1633" t="s">
        <v>25</v>
      </c>
      <c r="R1633">
        <v>71.069999999999993</v>
      </c>
      <c r="S1633">
        <v>1.82</v>
      </c>
      <c r="T1633" s="4">
        <v>48.545999999999999</v>
      </c>
      <c r="U1633" s="4">
        <v>23.232287999999901</v>
      </c>
      <c r="V1633" t="str">
        <f>IF(Table1[[#This Row],[ai_disruption_intensity]]&gt;70,"High",
IF(Table1[[#This Row],[ai_disruption_intensity]]&gt;40,"Medium","Low"))</f>
        <v>Low</v>
      </c>
      <c r="W1633" t="str">
        <f>IF(Table1[[#This Row],[skill_gap_index]]&gt;70,"Large Gap",
IF(Table1[[#This Row],[skill_gap_index]]&gt;40,"Medium Gap","Small Gap"))</f>
        <v>Large Gap</v>
      </c>
      <c r="X1633" s="3" t="str">
        <f>IF(Table1[[#This Row],[automation_risk_percent]]&gt;0.7,"Highly Automatable",
IF(Table1[[#This Row],[automation_risk_percent]]&gt;0.4,"Moderate Risk","Safe Job"))</f>
        <v>Moderate Risk</v>
      </c>
    </row>
    <row r="1634" spans="1:24" x14ac:dyDescent="0.3">
      <c r="A1634">
        <v>5877</v>
      </c>
      <c r="B1634" t="s">
        <v>29</v>
      </c>
      <c r="C1634" t="s">
        <v>38</v>
      </c>
      <c r="D1634" t="s">
        <v>24</v>
      </c>
      <c r="E1634" s="1">
        <v>2026</v>
      </c>
      <c r="F1634" s="11">
        <v>0.2737</v>
      </c>
      <c r="G1634">
        <v>25.54</v>
      </c>
      <c r="H1634">
        <v>69.599999999999994</v>
      </c>
      <c r="I1634" s="2">
        <v>61295.839999999997</v>
      </c>
      <c r="J1634" s="2">
        <v>60733.24</v>
      </c>
      <c r="K1634" s="2">
        <f>Table1[[#This Row],[Salary_after]]-Table1[[#This Row],[Salary_before]]</f>
        <v>-562.59999999999854</v>
      </c>
      <c r="L1634" s="11">
        <v>-9.1999999999999998E-3</v>
      </c>
      <c r="M1634" s="11">
        <v>3.6600000000000001E-2</v>
      </c>
      <c r="N1634">
        <v>39.99</v>
      </c>
      <c r="O1634">
        <v>12.81</v>
      </c>
      <c r="P1634">
        <v>1</v>
      </c>
      <c r="Q1634" t="s">
        <v>21</v>
      </c>
      <c r="R1634">
        <v>48.484999999999999</v>
      </c>
      <c r="S1634">
        <v>0.92</v>
      </c>
      <c r="T1634" s="4">
        <v>32.103999999999999</v>
      </c>
      <c r="U1634" s="4">
        <v>3.506097</v>
      </c>
      <c r="V1634" t="str">
        <f>IF(Table1[[#This Row],[ai_disruption_intensity]]&gt;70,"High",
IF(Table1[[#This Row],[ai_disruption_intensity]]&gt;40,"Medium","Low"))</f>
        <v>Low</v>
      </c>
      <c r="W1634" t="str">
        <f>IF(Table1[[#This Row],[skill_gap_index]]&gt;70,"Large Gap",
IF(Table1[[#This Row],[skill_gap_index]]&gt;40,"Medium Gap","Small Gap"))</f>
        <v>Medium Gap</v>
      </c>
      <c r="X1634" s="3" t="str">
        <f>IF(Table1[[#This Row],[automation_risk_percent]]&gt;0.7,"Highly Automatable",
IF(Table1[[#This Row],[automation_risk_percent]]&gt;0.4,"Moderate Risk","Safe Job"))</f>
        <v>Safe Job</v>
      </c>
    </row>
    <row r="1635" spans="1:24" x14ac:dyDescent="0.3">
      <c r="A1635">
        <v>5880</v>
      </c>
      <c r="B1635" t="s">
        <v>22</v>
      </c>
      <c r="C1635" t="s">
        <v>27</v>
      </c>
      <c r="D1635" t="s">
        <v>36</v>
      </c>
      <c r="E1635" s="1">
        <v>2025</v>
      </c>
      <c r="F1635" s="11">
        <v>0.14929999999999999</v>
      </c>
      <c r="G1635">
        <v>16.2</v>
      </c>
      <c r="H1635">
        <v>15.07</v>
      </c>
      <c r="I1635" s="2">
        <v>141243.01</v>
      </c>
      <c r="J1635" s="2">
        <v>130151.63</v>
      </c>
      <c r="K1635" s="2">
        <f>Table1[[#This Row],[Salary_after]]-Table1[[#This Row],[Salary_before]]</f>
        <v>-11091.380000000005</v>
      </c>
      <c r="L1635" s="11">
        <v>-7.85E-2</v>
      </c>
      <c r="M1635" s="11">
        <v>3.4500000000000003E-2</v>
      </c>
      <c r="N1635">
        <v>30.56</v>
      </c>
      <c r="O1635">
        <v>86.25</v>
      </c>
      <c r="P1635">
        <v>4</v>
      </c>
      <c r="Q1635" t="s">
        <v>21</v>
      </c>
      <c r="R1635">
        <v>15</v>
      </c>
      <c r="S1635">
        <v>7.85</v>
      </c>
      <c r="T1635" s="4">
        <v>12.848000000000001</v>
      </c>
      <c r="U1635" s="4">
        <v>12.877124999999999</v>
      </c>
      <c r="V1635" t="str">
        <f>IF(Table1[[#This Row],[ai_disruption_intensity]]&gt;70,"High",
IF(Table1[[#This Row],[ai_disruption_intensity]]&gt;40,"Medium","Low"))</f>
        <v>Low</v>
      </c>
      <c r="W1635" t="str">
        <f>IF(Table1[[#This Row],[skill_gap_index]]&gt;70,"Large Gap",
IF(Table1[[#This Row],[skill_gap_index]]&gt;40,"Medium Gap","Small Gap"))</f>
        <v>Small Gap</v>
      </c>
      <c r="X1635" s="3" t="str">
        <f>IF(Table1[[#This Row],[automation_risk_percent]]&gt;0.7,"Highly Automatable",
IF(Table1[[#This Row],[automation_risk_percent]]&gt;0.4,"Moderate Risk","Safe Job"))</f>
        <v>Safe Job</v>
      </c>
    </row>
    <row r="1636" spans="1:24" x14ac:dyDescent="0.3">
      <c r="A1636">
        <v>5882</v>
      </c>
      <c r="B1636" t="s">
        <v>41</v>
      </c>
      <c r="C1636" t="s">
        <v>19</v>
      </c>
      <c r="D1636" t="s">
        <v>20</v>
      </c>
      <c r="E1636" s="1">
        <v>2025</v>
      </c>
      <c r="F1636" s="11">
        <v>0.83950000000000002</v>
      </c>
      <c r="G1636">
        <v>84.74</v>
      </c>
      <c r="H1636">
        <v>84.54</v>
      </c>
      <c r="I1636" s="2">
        <v>106651.75</v>
      </c>
      <c r="J1636" s="2">
        <v>97454.41</v>
      </c>
      <c r="K1636" s="2">
        <f>Table1[[#This Row],[Salary_after]]-Table1[[#This Row],[Salary_before]]</f>
        <v>-9197.3399999999965</v>
      </c>
      <c r="L1636" s="11">
        <v>-8.6199999999999999E-2</v>
      </c>
      <c r="M1636" s="11">
        <v>9.6099999999999991E-2</v>
      </c>
      <c r="N1636">
        <v>94.51</v>
      </c>
      <c r="O1636">
        <v>79.61</v>
      </c>
      <c r="P1636">
        <v>3</v>
      </c>
      <c r="Q1636" t="s">
        <v>37</v>
      </c>
      <c r="R1636">
        <v>84.245000000000005</v>
      </c>
      <c r="S1636">
        <v>8.6199999999999992</v>
      </c>
      <c r="T1636" s="4">
        <v>61.527999999999999</v>
      </c>
      <c r="U1636" s="4">
        <v>66.832594999999998</v>
      </c>
      <c r="V1636" t="str">
        <f>IF(Table1[[#This Row],[ai_disruption_intensity]]&gt;70,"High",
IF(Table1[[#This Row],[ai_disruption_intensity]]&gt;40,"Medium","Low"))</f>
        <v>Medium</v>
      </c>
      <c r="W1636" t="str">
        <f>IF(Table1[[#This Row],[skill_gap_index]]&gt;70,"Large Gap",
IF(Table1[[#This Row],[skill_gap_index]]&gt;40,"Medium Gap","Small Gap"))</f>
        <v>Large Gap</v>
      </c>
      <c r="X1636" s="3" t="str">
        <f>IF(Table1[[#This Row],[automation_risk_percent]]&gt;0.7,"Highly Automatable",
IF(Table1[[#This Row],[automation_risk_percent]]&gt;0.4,"Moderate Risk","Safe Job"))</f>
        <v>Highly Automatable</v>
      </c>
    </row>
    <row r="1637" spans="1:24" x14ac:dyDescent="0.3">
      <c r="A1637">
        <v>5884</v>
      </c>
      <c r="B1637" t="s">
        <v>18</v>
      </c>
      <c r="C1637" t="s">
        <v>23</v>
      </c>
      <c r="D1637" t="s">
        <v>36</v>
      </c>
      <c r="E1637" s="1">
        <v>2025</v>
      </c>
      <c r="F1637" s="11">
        <v>0.68379999999999996</v>
      </c>
      <c r="G1637">
        <v>62.74</v>
      </c>
      <c r="H1637">
        <v>7.04</v>
      </c>
      <c r="I1637" s="2">
        <v>105874.04</v>
      </c>
      <c r="J1637" s="2">
        <v>89032.88</v>
      </c>
      <c r="K1637" s="2">
        <f>Table1[[#This Row],[Salary_after]]-Table1[[#This Row],[Salary_before]]</f>
        <v>-16841.159999999989</v>
      </c>
      <c r="L1637" s="11">
        <v>-0.15909999999999999</v>
      </c>
      <c r="M1637" s="11">
        <v>3.9199999999999999E-2</v>
      </c>
      <c r="N1637">
        <v>96.65</v>
      </c>
      <c r="O1637">
        <v>23.84</v>
      </c>
      <c r="P1637">
        <v>4</v>
      </c>
      <c r="Q1637" t="s">
        <v>37</v>
      </c>
      <c r="R1637">
        <v>37.71</v>
      </c>
      <c r="S1637">
        <v>15.91</v>
      </c>
      <c r="T1637" s="4">
        <v>34.236999999999902</v>
      </c>
      <c r="U1637" s="4">
        <v>16.301791999999999</v>
      </c>
      <c r="V1637" t="str">
        <f>IF(Table1[[#This Row],[ai_disruption_intensity]]&gt;70,"High",
IF(Table1[[#This Row],[ai_disruption_intensity]]&gt;40,"Medium","Low"))</f>
        <v>Low</v>
      </c>
      <c r="W1637" t="str">
        <f>IF(Table1[[#This Row],[skill_gap_index]]&gt;70,"Large Gap",
IF(Table1[[#This Row],[skill_gap_index]]&gt;40,"Medium Gap","Small Gap"))</f>
        <v>Small Gap</v>
      </c>
      <c r="X1637" s="3" t="str">
        <f>IF(Table1[[#This Row],[automation_risk_percent]]&gt;0.7,"Highly Automatable",
IF(Table1[[#This Row],[automation_risk_percent]]&gt;0.4,"Moderate Risk","Safe Job"))</f>
        <v>Moderate Risk</v>
      </c>
    </row>
    <row r="1638" spans="1:24" x14ac:dyDescent="0.3">
      <c r="A1638">
        <v>5887</v>
      </c>
      <c r="B1638" t="s">
        <v>29</v>
      </c>
      <c r="C1638" t="s">
        <v>19</v>
      </c>
      <c r="D1638" t="s">
        <v>47</v>
      </c>
      <c r="E1638" s="1">
        <v>2025</v>
      </c>
      <c r="F1638" s="11">
        <v>0.86069999999999991</v>
      </c>
      <c r="G1638">
        <v>89.84</v>
      </c>
      <c r="H1638">
        <v>88.37</v>
      </c>
      <c r="I1638" s="2">
        <v>111596.7</v>
      </c>
      <c r="J1638" s="2">
        <v>120130.86</v>
      </c>
      <c r="K1638" s="2">
        <f>Table1[[#This Row],[Salary_after]]-Table1[[#This Row],[Salary_before]]</f>
        <v>8534.1600000000035</v>
      </c>
      <c r="L1638" s="11">
        <v>7.6499999999999999E-2</v>
      </c>
      <c r="M1638" s="11">
        <v>5.2000000000000005E-2</v>
      </c>
      <c r="N1638">
        <v>49.57</v>
      </c>
      <c r="O1638">
        <v>50.06</v>
      </c>
      <c r="P1638">
        <v>1</v>
      </c>
      <c r="Q1638" t="s">
        <v>37</v>
      </c>
      <c r="R1638">
        <v>87.22</v>
      </c>
      <c r="S1638">
        <v>7.65</v>
      </c>
      <c r="T1638" s="4">
        <v>63.233999999999902</v>
      </c>
      <c r="U1638" s="4">
        <v>43.086641999999998</v>
      </c>
      <c r="V1638" t="str">
        <f>IF(Table1[[#This Row],[ai_disruption_intensity]]&gt;70,"High",
IF(Table1[[#This Row],[ai_disruption_intensity]]&gt;40,"Medium","Low"))</f>
        <v>Medium</v>
      </c>
      <c r="W1638" t="str">
        <f>IF(Table1[[#This Row],[skill_gap_index]]&gt;70,"Large Gap",
IF(Table1[[#This Row],[skill_gap_index]]&gt;40,"Medium Gap","Small Gap"))</f>
        <v>Large Gap</v>
      </c>
      <c r="X1638" s="3" t="str">
        <f>IF(Table1[[#This Row],[automation_risk_percent]]&gt;0.7,"Highly Automatable",
IF(Table1[[#This Row],[automation_risk_percent]]&gt;0.4,"Moderate Risk","Safe Job"))</f>
        <v>Highly Automatable</v>
      </c>
    </row>
    <row r="1639" spans="1:24" x14ac:dyDescent="0.3">
      <c r="A1639">
        <v>5891</v>
      </c>
      <c r="B1639" t="s">
        <v>39</v>
      </c>
      <c r="C1639" t="s">
        <v>38</v>
      </c>
      <c r="D1639" t="s">
        <v>32</v>
      </c>
      <c r="E1639" s="1">
        <v>2026</v>
      </c>
      <c r="F1639" s="11">
        <v>0.71599999999999997</v>
      </c>
      <c r="G1639">
        <v>69.989999999999995</v>
      </c>
      <c r="H1639">
        <v>15.72</v>
      </c>
      <c r="I1639" s="2">
        <v>99782.09</v>
      </c>
      <c r="J1639" s="2">
        <v>98931.3</v>
      </c>
      <c r="K1639" s="2">
        <f>Table1[[#This Row],[Salary_after]]-Table1[[#This Row],[Salary_before]]</f>
        <v>-850.7899999999936</v>
      </c>
      <c r="L1639" s="11">
        <v>-8.5000000000000006E-3</v>
      </c>
      <c r="M1639" s="11">
        <v>-3.8E-3</v>
      </c>
      <c r="N1639">
        <v>63.13</v>
      </c>
      <c r="O1639">
        <v>95.71</v>
      </c>
      <c r="P1639">
        <v>4</v>
      </c>
      <c r="Q1639" t="s">
        <v>37</v>
      </c>
      <c r="R1639">
        <v>43.66</v>
      </c>
      <c r="S1639">
        <v>0.85</v>
      </c>
      <c r="T1639" s="4">
        <v>33.610999999999997</v>
      </c>
      <c r="U1639" s="4">
        <v>68.528359999999907</v>
      </c>
      <c r="V1639" t="str">
        <f>IF(Table1[[#This Row],[ai_disruption_intensity]]&gt;70,"High",
IF(Table1[[#This Row],[ai_disruption_intensity]]&gt;40,"Medium","Low"))</f>
        <v>Medium</v>
      </c>
      <c r="W1639" t="str">
        <f>IF(Table1[[#This Row],[skill_gap_index]]&gt;70,"Large Gap",
IF(Table1[[#This Row],[skill_gap_index]]&gt;40,"Medium Gap","Small Gap"))</f>
        <v>Small Gap</v>
      </c>
      <c r="X1639" s="3" t="str">
        <f>IF(Table1[[#This Row],[automation_risk_percent]]&gt;0.7,"Highly Automatable",
IF(Table1[[#This Row],[automation_risk_percent]]&gt;0.4,"Moderate Risk","Safe Job"))</f>
        <v>Highly Automatable</v>
      </c>
    </row>
    <row r="1640" spans="1:24" x14ac:dyDescent="0.3">
      <c r="A1640">
        <v>5898</v>
      </c>
      <c r="B1640" t="s">
        <v>46</v>
      </c>
      <c r="C1640" t="s">
        <v>19</v>
      </c>
      <c r="D1640" t="s">
        <v>47</v>
      </c>
      <c r="E1640" s="1">
        <v>2026</v>
      </c>
      <c r="F1640" s="11">
        <v>5.4100000000000002E-2</v>
      </c>
      <c r="G1640">
        <v>4.38</v>
      </c>
      <c r="H1640">
        <v>11.65</v>
      </c>
      <c r="I1640" s="2">
        <v>143123.03</v>
      </c>
      <c r="J1640" s="2">
        <v>145993.99</v>
      </c>
      <c r="K1640" s="2">
        <f>Table1[[#This Row],[Salary_after]]-Table1[[#This Row],[Salary_before]]</f>
        <v>2870.9599999999919</v>
      </c>
      <c r="L1640" s="11">
        <v>2.0099999999999996E-2</v>
      </c>
      <c r="M1640" s="11">
        <v>-3.32E-2</v>
      </c>
      <c r="N1640">
        <v>92.89</v>
      </c>
      <c r="O1640">
        <v>62.78</v>
      </c>
      <c r="P1640">
        <v>1</v>
      </c>
      <c r="Q1640" t="s">
        <v>21</v>
      </c>
      <c r="R1640">
        <v>8.5299999999999994</v>
      </c>
      <c r="S1640">
        <v>2.0099999999999998</v>
      </c>
      <c r="T1640" s="4">
        <v>6.2619999999999996</v>
      </c>
      <c r="U1640" s="4">
        <v>3.396398</v>
      </c>
      <c r="V1640" t="str">
        <f>IF(Table1[[#This Row],[ai_disruption_intensity]]&gt;70,"High",
IF(Table1[[#This Row],[ai_disruption_intensity]]&gt;40,"Medium","Low"))</f>
        <v>Low</v>
      </c>
      <c r="W1640" t="str">
        <f>IF(Table1[[#This Row],[skill_gap_index]]&gt;70,"Large Gap",
IF(Table1[[#This Row],[skill_gap_index]]&gt;40,"Medium Gap","Small Gap"))</f>
        <v>Small Gap</v>
      </c>
      <c r="X1640" s="3" t="str">
        <f>IF(Table1[[#This Row],[automation_risk_percent]]&gt;0.7,"Highly Automatable",
IF(Table1[[#This Row],[automation_risk_percent]]&gt;0.4,"Moderate Risk","Safe Job"))</f>
        <v>Safe Job</v>
      </c>
    </row>
    <row r="1641" spans="1:24" x14ac:dyDescent="0.3">
      <c r="A1641">
        <v>5900</v>
      </c>
      <c r="B1641" t="s">
        <v>43</v>
      </c>
      <c r="C1641" t="s">
        <v>40</v>
      </c>
      <c r="D1641" t="s">
        <v>32</v>
      </c>
      <c r="E1641" s="1">
        <v>2025</v>
      </c>
      <c r="F1641" s="11">
        <v>0.60670000000000002</v>
      </c>
      <c r="G1641">
        <v>64.180000000000007</v>
      </c>
      <c r="H1641">
        <v>40.08</v>
      </c>
      <c r="I1641" s="2">
        <v>116706.61</v>
      </c>
      <c r="J1641" s="2">
        <v>119624.63</v>
      </c>
      <c r="K1641" s="2">
        <f>Table1[[#This Row],[Salary_after]]-Table1[[#This Row],[Salary_before]]</f>
        <v>2918.0200000000041</v>
      </c>
      <c r="L1641" s="11">
        <v>2.5000000000000001E-2</v>
      </c>
      <c r="M1641" s="11">
        <v>9.7999999999999997E-3</v>
      </c>
      <c r="N1641">
        <v>64.260000000000005</v>
      </c>
      <c r="O1641">
        <v>63.01</v>
      </c>
      <c r="P1641">
        <v>1</v>
      </c>
      <c r="Q1641" t="s">
        <v>37</v>
      </c>
      <c r="R1641">
        <v>50.375</v>
      </c>
      <c r="S1641">
        <v>2.5</v>
      </c>
      <c r="T1641" s="4">
        <v>37.042000000000002</v>
      </c>
      <c r="U1641" s="4">
        <v>38.228166999999999</v>
      </c>
      <c r="V1641" t="str">
        <f>IF(Table1[[#This Row],[ai_disruption_intensity]]&gt;70,"High",
IF(Table1[[#This Row],[ai_disruption_intensity]]&gt;40,"Medium","Low"))</f>
        <v>Low</v>
      </c>
      <c r="W1641" t="str">
        <f>IF(Table1[[#This Row],[skill_gap_index]]&gt;70,"Large Gap",
IF(Table1[[#This Row],[skill_gap_index]]&gt;40,"Medium Gap","Small Gap"))</f>
        <v>Medium Gap</v>
      </c>
      <c r="X1641" s="3" t="str">
        <f>IF(Table1[[#This Row],[automation_risk_percent]]&gt;0.7,"Highly Automatable",
IF(Table1[[#This Row],[automation_risk_percent]]&gt;0.4,"Moderate Risk","Safe Job"))</f>
        <v>Moderate Risk</v>
      </c>
    </row>
    <row r="1642" spans="1:24" x14ac:dyDescent="0.3">
      <c r="A1642">
        <v>5902</v>
      </c>
      <c r="B1642" t="s">
        <v>18</v>
      </c>
      <c r="C1642" t="s">
        <v>34</v>
      </c>
      <c r="D1642" t="s">
        <v>20</v>
      </c>
      <c r="E1642" s="1">
        <v>2025</v>
      </c>
      <c r="F1642" s="11">
        <v>0.30990000000000001</v>
      </c>
      <c r="G1642">
        <v>28.13</v>
      </c>
      <c r="H1642">
        <v>49.78</v>
      </c>
      <c r="I1642" s="2">
        <v>101078.12</v>
      </c>
      <c r="J1642" s="2">
        <v>111127.35</v>
      </c>
      <c r="K1642" s="2">
        <f>Table1[[#This Row],[Salary_after]]-Table1[[#This Row],[Salary_before]]</f>
        <v>10049.23000000001</v>
      </c>
      <c r="L1642" s="11">
        <v>9.9399999999999988E-2</v>
      </c>
      <c r="M1642" s="11">
        <v>6.7500000000000004E-2</v>
      </c>
      <c r="N1642">
        <v>79.22</v>
      </c>
      <c r="O1642">
        <v>5.22</v>
      </c>
      <c r="P1642">
        <v>4</v>
      </c>
      <c r="Q1642" t="s">
        <v>25</v>
      </c>
      <c r="R1642">
        <v>40.384999999999998</v>
      </c>
      <c r="S1642">
        <v>9.94</v>
      </c>
      <c r="T1642" s="4">
        <v>30.311999999999902</v>
      </c>
      <c r="U1642" s="4">
        <v>1.6176779999999999</v>
      </c>
      <c r="V1642" t="str">
        <f>IF(Table1[[#This Row],[ai_disruption_intensity]]&gt;70,"High",
IF(Table1[[#This Row],[ai_disruption_intensity]]&gt;40,"Medium","Low"))</f>
        <v>Low</v>
      </c>
      <c r="W1642" t="str">
        <f>IF(Table1[[#This Row],[skill_gap_index]]&gt;70,"Large Gap",
IF(Table1[[#This Row],[skill_gap_index]]&gt;40,"Medium Gap","Small Gap"))</f>
        <v>Medium Gap</v>
      </c>
      <c r="X1642" s="3" t="str">
        <f>IF(Table1[[#This Row],[automation_risk_percent]]&gt;0.7,"Highly Automatable",
IF(Table1[[#This Row],[automation_risk_percent]]&gt;0.4,"Moderate Risk","Safe Job"))</f>
        <v>Safe Job</v>
      </c>
    </row>
    <row r="1643" spans="1:24" x14ac:dyDescent="0.3">
      <c r="A1643">
        <v>5904</v>
      </c>
      <c r="B1643" t="s">
        <v>39</v>
      </c>
      <c r="C1643" t="s">
        <v>19</v>
      </c>
      <c r="D1643" t="s">
        <v>47</v>
      </c>
      <c r="E1643" s="1">
        <v>2025</v>
      </c>
      <c r="F1643" s="11">
        <v>0.13819999999999999</v>
      </c>
      <c r="G1643">
        <v>12.79</v>
      </c>
      <c r="H1643">
        <v>4.4400000000000004</v>
      </c>
      <c r="I1643" s="2">
        <v>44011.75</v>
      </c>
      <c r="J1643" s="2">
        <v>48748.7</v>
      </c>
      <c r="K1643" s="2">
        <f>Table1[[#This Row],[Salary_after]]-Table1[[#This Row],[Salary_before]]</f>
        <v>4736.9499999999971</v>
      </c>
      <c r="L1643" s="11">
        <v>0.1076</v>
      </c>
      <c r="M1643" s="11">
        <v>0.13140000000000002</v>
      </c>
      <c r="N1643">
        <v>22.64</v>
      </c>
      <c r="O1643">
        <v>59.52</v>
      </c>
      <c r="P1643">
        <v>1</v>
      </c>
      <c r="Q1643" t="s">
        <v>21</v>
      </c>
      <c r="R1643">
        <v>9.1300000000000008</v>
      </c>
      <c r="S1643">
        <v>10.76</v>
      </c>
      <c r="T1643" s="4">
        <v>10.087999999999999</v>
      </c>
      <c r="U1643" s="4">
        <v>8.2256640000000001</v>
      </c>
      <c r="V1643" t="str">
        <f>IF(Table1[[#This Row],[ai_disruption_intensity]]&gt;70,"High",
IF(Table1[[#This Row],[ai_disruption_intensity]]&gt;40,"Medium","Low"))</f>
        <v>Low</v>
      </c>
      <c r="W1643" t="str">
        <f>IF(Table1[[#This Row],[skill_gap_index]]&gt;70,"Large Gap",
IF(Table1[[#This Row],[skill_gap_index]]&gt;40,"Medium Gap","Small Gap"))</f>
        <v>Small Gap</v>
      </c>
      <c r="X1643" s="3" t="str">
        <f>IF(Table1[[#This Row],[automation_risk_percent]]&gt;0.7,"Highly Automatable",
IF(Table1[[#This Row],[automation_risk_percent]]&gt;0.4,"Moderate Risk","Safe Job"))</f>
        <v>Safe Job</v>
      </c>
    </row>
    <row r="1644" spans="1:24" x14ac:dyDescent="0.3">
      <c r="A1644">
        <v>5910</v>
      </c>
      <c r="B1644" t="s">
        <v>22</v>
      </c>
      <c r="C1644" t="s">
        <v>34</v>
      </c>
      <c r="D1644" t="s">
        <v>24</v>
      </c>
      <c r="E1644" s="1">
        <v>2026</v>
      </c>
      <c r="F1644" s="11">
        <v>0.60539999999999994</v>
      </c>
      <c r="G1644">
        <v>56.04</v>
      </c>
      <c r="H1644">
        <v>2.33</v>
      </c>
      <c r="I1644" s="2">
        <v>129111.2</v>
      </c>
      <c r="J1644" s="2">
        <v>123258.24000000001</v>
      </c>
      <c r="K1644" s="2">
        <f>Table1[[#This Row],[Salary_after]]-Table1[[#This Row],[Salary_before]]</f>
        <v>-5852.9599999999919</v>
      </c>
      <c r="L1644" s="11">
        <v>-4.53E-2</v>
      </c>
      <c r="M1644" s="11">
        <v>-3.4999999999999996E-3</v>
      </c>
      <c r="N1644">
        <v>40.64</v>
      </c>
      <c r="O1644">
        <v>78.84</v>
      </c>
      <c r="P1644">
        <v>4</v>
      </c>
      <c r="Q1644" t="s">
        <v>37</v>
      </c>
      <c r="R1644">
        <v>31.434999999999999</v>
      </c>
      <c r="S1644">
        <v>4.53</v>
      </c>
      <c r="T1644" s="4">
        <v>26.274000000000001</v>
      </c>
      <c r="U1644" s="4">
        <v>47.729736000000003</v>
      </c>
      <c r="V1644" t="str">
        <f>IF(Table1[[#This Row],[ai_disruption_intensity]]&gt;70,"High",
IF(Table1[[#This Row],[ai_disruption_intensity]]&gt;40,"Medium","Low"))</f>
        <v>Medium</v>
      </c>
      <c r="W1644" t="str">
        <f>IF(Table1[[#This Row],[skill_gap_index]]&gt;70,"Large Gap",
IF(Table1[[#This Row],[skill_gap_index]]&gt;40,"Medium Gap","Small Gap"))</f>
        <v>Small Gap</v>
      </c>
      <c r="X1644" s="3" t="str">
        <f>IF(Table1[[#This Row],[automation_risk_percent]]&gt;0.7,"Highly Automatable",
IF(Table1[[#This Row],[automation_risk_percent]]&gt;0.4,"Moderate Risk","Safe Job"))</f>
        <v>Moderate Risk</v>
      </c>
    </row>
    <row r="1645" spans="1:24" x14ac:dyDescent="0.3">
      <c r="A1645">
        <v>5912</v>
      </c>
      <c r="B1645" t="s">
        <v>26</v>
      </c>
      <c r="C1645" t="s">
        <v>27</v>
      </c>
      <c r="D1645" t="s">
        <v>24</v>
      </c>
      <c r="E1645" s="1">
        <v>2025</v>
      </c>
      <c r="F1645" s="11">
        <v>0.42570000000000002</v>
      </c>
      <c r="G1645">
        <v>43.85</v>
      </c>
      <c r="H1645">
        <v>70.67</v>
      </c>
      <c r="I1645" s="2">
        <v>113877.19</v>
      </c>
      <c r="J1645" s="2">
        <v>111056.77</v>
      </c>
      <c r="K1645" s="2">
        <f>Table1[[#This Row],[Salary_after]]-Table1[[#This Row],[Salary_before]]</f>
        <v>-2820.4199999999983</v>
      </c>
      <c r="L1645" s="11">
        <v>-2.4799999999999999E-2</v>
      </c>
      <c r="M1645" s="11">
        <v>2.3E-3</v>
      </c>
      <c r="N1645">
        <v>90.09</v>
      </c>
      <c r="O1645">
        <v>59</v>
      </c>
      <c r="P1645">
        <v>3</v>
      </c>
      <c r="Q1645" t="s">
        <v>25</v>
      </c>
      <c r="R1645">
        <v>56.62</v>
      </c>
      <c r="S1645">
        <v>2.48</v>
      </c>
      <c r="T1645" s="4">
        <v>38.972999999999999</v>
      </c>
      <c r="U1645" s="4">
        <v>25.116299999999999</v>
      </c>
      <c r="V1645" t="str">
        <f>IF(Table1[[#This Row],[ai_disruption_intensity]]&gt;70,"High",
IF(Table1[[#This Row],[ai_disruption_intensity]]&gt;40,"Medium","Low"))</f>
        <v>Low</v>
      </c>
      <c r="W1645" t="str">
        <f>IF(Table1[[#This Row],[skill_gap_index]]&gt;70,"Large Gap",
IF(Table1[[#This Row],[skill_gap_index]]&gt;40,"Medium Gap","Small Gap"))</f>
        <v>Large Gap</v>
      </c>
      <c r="X1645" s="3" t="str">
        <f>IF(Table1[[#This Row],[automation_risk_percent]]&gt;0.7,"Highly Automatable",
IF(Table1[[#This Row],[automation_risk_percent]]&gt;0.4,"Moderate Risk","Safe Job"))</f>
        <v>Moderate Risk</v>
      </c>
    </row>
    <row r="1646" spans="1:24" x14ac:dyDescent="0.3">
      <c r="A1646">
        <v>5913</v>
      </c>
      <c r="B1646" t="s">
        <v>18</v>
      </c>
      <c r="C1646" t="s">
        <v>33</v>
      </c>
      <c r="D1646" t="s">
        <v>35</v>
      </c>
      <c r="E1646" s="1">
        <v>2026</v>
      </c>
      <c r="F1646" s="11">
        <v>0.33</v>
      </c>
      <c r="G1646">
        <v>37.619999999999997</v>
      </c>
      <c r="H1646">
        <v>24.9</v>
      </c>
      <c r="I1646" s="2">
        <v>79103.98</v>
      </c>
      <c r="J1646" s="2">
        <v>84221.38</v>
      </c>
      <c r="K1646" s="2">
        <f>Table1[[#This Row],[Salary_after]]-Table1[[#This Row],[Salary_before]]</f>
        <v>5117.4000000000087</v>
      </c>
      <c r="L1646" s="11">
        <v>6.4699999999999994E-2</v>
      </c>
      <c r="M1646" s="11">
        <v>1.1000000000000001E-2</v>
      </c>
      <c r="N1646">
        <v>75.55</v>
      </c>
      <c r="O1646">
        <v>46.02</v>
      </c>
      <c r="P1646">
        <v>2</v>
      </c>
      <c r="Q1646" t="s">
        <v>25</v>
      </c>
      <c r="R1646">
        <v>28.95</v>
      </c>
      <c r="S1646">
        <v>6.47</v>
      </c>
      <c r="T1646" s="4">
        <v>22.611000000000001</v>
      </c>
      <c r="U1646" s="4">
        <v>15.1866</v>
      </c>
      <c r="V1646" t="str">
        <f>IF(Table1[[#This Row],[ai_disruption_intensity]]&gt;70,"High",
IF(Table1[[#This Row],[ai_disruption_intensity]]&gt;40,"Medium","Low"))</f>
        <v>Low</v>
      </c>
      <c r="W1646" t="str">
        <f>IF(Table1[[#This Row],[skill_gap_index]]&gt;70,"Large Gap",
IF(Table1[[#This Row],[skill_gap_index]]&gt;40,"Medium Gap","Small Gap"))</f>
        <v>Small Gap</v>
      </c>
      <c r="X1646" s="3" t="str">
        <f>IF(Table1[[#This Row],[automation_risk_percent]]&gt;0.7,"Highly Automatable",
IF(Table1[[#This Row],[automation_risk_percent]]&gt;0.4,"Moderate Risk","Safe Job"))</f>
        <v>Safe Job</v>
      </c>
    </row>
    <row r="1647" spans="1:24" x14ac:dyDescent="0.3">
      <c r="A1647">
        <v>5917</v>
      </c>
      <c r="B1647" t="s">
        <v>29</v>
      </c>
      <c r="C1647" t="s">
        <v>34</v>
      </c>
      <c r="D1647" t="s">
        <v>28</v>
      </c>
      <c r="E1647" s="1">
        <v>2025</v>
      </c>
      <c r="F1647" s="11">
        <v>0.37579999999999997</v>
      </c>
      <c r="G1647">
        <v>39.24</v>
      </c>
      <c r="H1647">
        <v>79.95</v>
      </c>
      <c r="I1647" s="2">
        <v>101447.85</v>
      </c>
      <c r="J1647" s="2">
        <v>103372.99</v>
      </c>
      <c r="K1647" s="2">
        <f>Table1[[#This Row],[Salary_after]]-Table1[[#This Row],[Salary_before]]</f>
        <v>1925.1399999999994</v>
      </c>
      <c r="L1647" s="11">
        <v>1.9E-2</v>
      </c>
      <c r="M1647" s="11">
        <v>-2.1700000000000001E-2</v>
      </c>
      <c r="N1647">
        <v>79.040000000000006</v>
      </c>
      <c r="O1647">
        <v>18.78</v>
      </c>
      <c r="P1647">
        <v>3</v>
      </c>
      <c r="Q1647" t="s">
        <v>25</v>
      </c>
      <c r="R1647">
        <v>58.765000000000001</v>
      </c>
      <c r="S1647">
        <v>1.9</v>
      </c>
      <c r="T1647" s="4">
        <v>39.586999999999897</v>
      </c>
      <c r="U1647" s="4">
        <v>7.0575239999999999</v>
      </c>
      <c r="V1647" t="str">
        <f>IF(Table1[[#This Row],[ai_disruption_intensity]]&gt;70,"High",
IF(Table1[[#This Row],[ai_disruption_intensity]]&gt;40,"Medium","Low"))</f>
        <v>Low</v>
      </c>
      <c r="W1647" t="str">
        <f>IF(Table1[[#This Row],[skill_gap_index]]&gt;70,"Large Gap",
IF(Table1[[#This Row],[skill_gap_index]]&gt;40,"Medium Gap","Small Gap"))</f>
        <v>Large Gap</v>
      </c>
      <c r="X1647" s="3" t="str">
        <f>IF(Table1[[#This Row],[automation_risk_percent]]&gt;0.7,"Highly Automatable",
IF(Table1[[#This Row],[automation_risk_percent]]&gt;0.4,"Moderate Risk","Safe Job"))</f>
        <v>Safe Job</v>
      </c>
    </row>
    <row r="1648" spans="1:24" x14ac:dyDescent="0.3">
      <c r="A1648">
        <v>5921</v>
      </c>
      <c r="B1648" t="s">
        <v>39</v>
      </c>
      <c r="C1648" t="s">
        <v>23</v>
      </c>
      <c r="D1648" t="s">
        <v>47</v>
      </c>
      <c r="E1648" s="1">
        <v>2026</v>
      </c>
      <c r="F1648" s="11">
        <v>0.22489999999999999</v>
      </c>
      <c r="G1648">
        <v>22.42</v>
      </c>
      <c r="H1648">
        <v>58.37</v>
      </c>
      <c r="I1648" s="2">
        <v>138521.94</v>
      </c>
      <c r="J1648" s="2">
        <v>165187.12</v>
      </c>
      <c r="K1648" s="2">
        <f>Table1[[#This Row],[Salary_after]]-Table1[[#This Row],[Salary_before]]</f>
        <v>26665.179999999993</v>
      </c>
      <c r="L1648" s="11">
        <v>0.1925</v>
      </c>
      <c r="M1648" s="11">
        <v>0.08</v>
      </c>
      <c r="N1648">
        <v>26.26</v>
      </c>
      <c r="O1648">
        <v>71.349999999999994</v>
      </c>
      <c r="P1648">
        <v>2</v>
      </c>
      <c r="Q1648" t="s">
        <v>21</v>
      </c>
      <c r="R1648">
        <v>40.43</v>
      </c>
      <c r="S1648">
        <v>19.25</v>
      </c>
      <c r="T1648" s="4">
        <v>32.281999999999996</v>
      </c>
      <c r="U1648" s="4">
        <v>16.0466149999999</v>
      </c>
      <c r="V1648" t="str">
        <f>IF(Table1[[#This Row],[ai_disruption_intensity]]&gt;70,"High",
IF(Table1[[#This Row],[ai_disruption_intensity]]&gt;40,"Medium","Low"))</f>
        <v>Low</v>
      </c>
      <c r="W1648" t="str">
        <f>IF(Table1[[#This Row],[skill_gap_index]]&gt;70,"Large Gap",
IF(Table1[[#This Row],[skill_gap_index]]&gt;40,"Medium Gap","Small Gap"))</f>
        <v>Medium Gap</v>
      </c>
      <c r="X1648" s="3" t="str">
        <f>IF(Table1[[#This Row],[automation_risk_percent]]&gt;0.7,"Highly Automatable",
IF(Table1[[#This Row],[automation_risk_percent]]&gt;0.4,"Moderate Risk","Safe Job"))</f>
        <v>Safe Job</v>
      </c>
    </row>
    <row r="1649" spans="1:24" x14ac:dyDescent="0.3">
      <c r="A1649">
        <v>5925</v>
      </c>
      <c r="B1649" t="s">
        <v>44</v>
      </c>
      <c r="C1649" t="s">
        <v>30</v>
      </c>
      <c r="D1649" t="s">
        <v>47</v>
      </c>
      <c r="E1649" s="1">
        <v>2026</v>
      </c>
      <c r="F1649" s="11">
        <v>0.24929999999999999</v>
      </c>
      <c r="G1649">
        <v>29.11</v>
      </c>
      <c r="H1649">
        <v>2.83</v>
      </c>
      <c r="I1649" s="2">
        <v>95130.27</v>
      </c>
      <c r="J1649" s="2">
        <v>95431.25</v>
      </c>
      <c r="K1649" s="2">
        <f>Table1[[#This Row],[Salary_after]]-Table1[[#This Row],[Salary_before]]</f>
        <v>300.97999999999593</v>
      </c>
      <c r="L1649" s="11">
        <v>3.2000000000000002E-3</v>
      </c>
      <c r="M1649" s="11">
        <v>6.4000000000000001E-2</v>
      </c>
      <c r="N1649">
        <v>59.94</v>
      </c>
      <c r="O1649">
        <v>68.25</v>
      </c>
      <c r="P1649">
        <v>4</v>
      </c>
      <c r="Q1649" t="s">
        <v>21</v>
      </c>
      <c r="R1649">
        <v>13.8799999999999</v>
      </c>
      <c r="S1649">
        <v>0.32</v>
      </c>
      <c r="T1649" s="4">
        <v>10.917</v>
      </c>
      <c r="U1649" s="4">
        <v>17.014724999999999</v>
      </c>
      <c r="V1649" t="str">
        <f>IF(Table1[[#This Row],[ai_disruption_intensity]]&gt;70,"High",
IF(Table1[[#This Row],[ai_disruption_intensity]]&gt;40,"Medium","Low"))</f>
        <v>Low</v>
      </c>
      <c r="W1649" t="str">
        <f>IF(Table1[[#This Row],[skill_gap_index]]&gt;70,"Large Gap",
IF(Table1[[#This Row],[skill_gap_index]]&gt;40,"Medium Gap","Small Gap"))</f>
        <v>Small Gap</v>
      </c>
      <c r="X1649" s="3" t="str">
        <f>IF(Table1[[#This Row],[automation_risk_percent]]&gt;0.7,"Highly Automatable",
IF(Table1[[#This Row],[automation_risk_percent]]&gt;0.4,"Moderate Risk","Safe Job"))</f>
        <v>Safe Job</v>
      </c>
    </row>
    <row r="1650" spans="1:24" x14ac:dyDescent="0.3">
      <c r="A1650">
        <v>5926</v>
      </c>
      <c r="B1650" t="s">
        <v>39</v>
      </c>
      <c r="C1650" t="s">
        <v>38</v>
      </c>
      <c r="D1650" t="s">
        <v>32</v>
      </c>
      <c r="E1650" s="1">
        <v>2026</v>
      </c>
      <c r="F1650" s="11">
        <v>0.30249999999999999</v>
      </c>
      <c r="G1650">
        <v>24.85</v>
      </c>
      <c r="H1650">
        <v>25.11</v>
      </c>
      <c r="I1650" s="2">
        <v>51149.66</v>
      </c>
      <c r="J1650" s="2">
        <v>55807.839999999997</v>
      </c>
      <c r="K1650" s="2">
        <f>Table1[[#This Row],[Salary_after]]-Table1[[#This Row],[Salary_before]]</f>
        <v>4658.179999999993</v>
      </c>
      <c r="L1650" s="11">
        <v>9.11E-2</v>
      </c>
      <c r="M1650" s="11">
        <v>5.9999999999999995E-4</v>
      </c>
      <c r="N1650">
        <v>29.06</v>
      </c>
      <c r="O1650">
        <v>19.96</v>
      </c>
      <c r="P1650">
        <v>4</v>
      </c>
      <c r="Q1650" t="s">
        <v>25</v>
      </c>
      <c r="R1650">
        <v>27.68</v>
      </c>
      <c r="S1650">
        <v>9.11</v>
      </c>
      <c r="T1650" s="4">
        <v>22.366</v>
      </c>
      <c r="U1650" s="4">
        <v>6.0378999999999996</v>
      </c>
      <c r="V1650" t="str">
        <f>IF(Table1[[#This Row],[ai_disruption_intensity]]&gt;70,"High",
IF(Table1[[#This Row],[ai_disruption_intensity]]&gt;40,"Medium","Low"))</f>
        <v>Low</v>
      </c>
      <c r="W1650" t="str">
        <f>IF(Table1[[#This Row],[skill_gap_index]]&gt;70,"Large Gap",
IF(Table1[[#This Row],[skill_gap_index]]&gt;40,"Medium Gap","Small Gap"))</f>
        <v>Small Gap</v>
      </c>
      <c r="X1650" s="3" t="str">
        <f>IF(Table1[[#This Row],[automation_risk_percent]]&gt;0.7,"Highly Automatable",
IF(Table1[[#This Row],[automation_risk_percent]]&gt;0.4,"Moderate Risk","Safe Job"))</f>
        <v>Safe Job</v>
      </c>
    </row>
    <row r="1651" spans="1:24" x14ac:dyDescent="0.3">
      <c r="A1651">
        <v>5927</v>
      </c>
      <c r="B1651" t="s">
        <v>22</v>
      </c>
      <c r="C1651" t="s">
        <v>30</v>
      </c>
      <c r="D1651" t="s">
        <v>32</v>
      </c>
      <c r="E1651" s="1">
        <v>2026</v>
      </c>
      <c r="F1651" s="11">
        <v>0.63729999999999998</v>
      </c>
      <c r="G1651">
        <v>59.32</v>
      </c>
      <c r="H1651">
        <v>6.48</v>
      </c>
      <c r="I1651" s="2">
        <v>116398.39</v>
      </c>
      <c r="J1651" s="2">
        <v>116739.22</v>
      </c>
      <c r="K1651" s="2">
        <f>Table1[[#This Row],[Salary_after]]-Table1[[#This Row],[Salary_before]]</f>
        <v>340.83000000000175</v>
      </c>
      <c r="L1651" s="11">
        <v>2.8999999999999998E-3</v>
      </c>
      <c r="M1651" s="11">
        <v>7.17E-2</v>
      </c>
      <c r="N1651">
        <v>33.729999999999997</v>
      </c>
      <c r="O1651">
        <v>37.29</v>
      </c>
      <c r="P1651">
        <v>4</v>
      </c>
      <c r="Q1651" t="s">
        <v>37</v>
      </c>
      <c r="R1651">
        <v>35.104999999999997</v>
      </c>
      <c r="S1651">
        <v>0.28999999999999998</v>
      </c>
      <c r="T1651" s="4">
        <v>27.523</v>
      </c>
      <c r="U1651" s="4">
        <v>23.764917000000001</v>
      </c>
      <c r="V1651" t="str">
        <f>IF(Table1[[#This Row],[ai_disruption_intensity]]&gt;70,"High",
IF(Table1[[#This Row],[ai_disruption_intensity]]&gt;40,"Medium","Low"))</f>
        <v>Low</v>
      </c>
      <c r="W1651" t="str">
        <f>IF(Table1[[#This Row],[skill_gap_index]]&gt;70,"Large Gap",
IF(Table1[[#This Row],[skill_gap_index]]&gt;40,"Medium Gap","Small Gap"))</f>
        <v>Small Gap</v>
      </c>
      <c r="X1651" s="3" t="str">
        <f>IF(Table1[[#This Row],[automation_risk_percent]]&gt;0.7,"Highly Automatable",
IF(Table1[[#This Row],[automation_risk_percent]]&gt;0.4,"Moderate Risk","Safe Job"))</f>
        <v>Moderate Risk</v>
      </c>
    </row>
    <row r="1652" spans="1:24" x14ac:dyDescent="0.3">
      <c r="A1652">
        <v>5934</v>
      </c>
      <c r="B1652" t="s">
        <v>18</v>
      </c>
      <c r="C1652" t="s">
        <v>27</v>
      </c>
      <c r="D1652" t="s">
        <v>32</v>
      </c>
      <c r="E1652" s="1">
        <v>2025</v>
      </c>
      <c r="F1652" s="11">
        <v>0.25640000000000002</v>
      </c>
      <c r="G1652">
        <v>20.8</v>
      </c>
      <c r="H1652">
        <v>38.46</v>
      </c>
      <c r="I1652" s="2">
        <v>136124.53</v>
      </c>
      <c r="J1652" s="2">
        <v>180989.87</v>
      </c>
      <c r="K1652" s="2">
        <f>Table1[[#This Row],[Salary_after]]-Table1[[#This Row],[Salary_before]]</f>
        <v>44865.34</v>
      </c>
      <c r="L1652" s="11">
        <v>0.3296</v>
      </c>
      <c r="M1652" s="11">
        <v>0.10529999999999999</v>
      </c>
      <c r="N1652">
        <v>72.23</v>
      </c>
      <c r="O1652">
        <v>57.45</v>
      </c>
      <c r="P1652">
        <v>4</v>
      </c>
      <c r="Q1652" t="s">
        <v>21</v>
      </c>
      <c r="R1652">
        <v>32.049999999999997</v>
      </c>
      <c r="S1652">
        <v>32.96</v>
      </c>
      <c r="T1652" s="4">
        <v>31.681999999999999</v>
      </c>
      <c r="U1652" s="4">
        <v>14.730180000000001</v>
      </c>
      <c r="V1652" t="str">
        <f>IF(Table1[[#This Row],[ai_disruption_intensity]]&gt;70,"High",
IF(Table1[[#This Row],[ai_disruption_intensity]]&gt;40,"Medium","Low"))</f>
        <v>Low</v>
      </c>
      <c r="W1652" t="str">
        <f>IF(Table1[[#This Row],[skill_gap_index]]&gt;70,"Large Gap",
IF(Table1[[#This Row],[skill_gap_index]]&gt;40,"Medium Gap","Small Gap"))</f>
        <v>Small Gap</v>
      </c>
      <c r="X1652" s="3" t="str">
        <f>IF(Table1[[#This Row],[automation_risk_percent]]&gt;0.7,"Highly Automatable",
IF(Table1[[#This Row],[automation_risk_percent]]&gt;0.4,"Moderate Risk","Safe Job"))</f>
        <v>Safe Job</v>
      </c>
    </row>
    <row r="1653" spans="1:24" x14ac:dyDescent="0.3">
      <c r="A1653">
        <v>5943</v>
      </c>
      <c r="B1653" t="s">
        <v>44</v>
      </c>
      <c r="C1653" t="s">
        <v>30</v>
      </c>
      <c r="D1653" t="s">
        <v>31</v>
      </c>
      <c r="E1653" s="1">
        <v>2025</v>
      </c>
      <c r="F1653" s="11">
        <v>0.64080000000000004</v>
      </c>
      <c r="G1653">
        <v>58.85</v>
      </c>
      <c r="H1653">
        <v>53.2</v>
      </c>
      <c r="I1653" s="2">
        <v>67624.92</v>
      </c>
      <c r="J1653" s="2">
        <v>69294.509999999995</v>
      </c>
      <c r="K1653" s="2">
        <f>Table1[[#This Row],[Salary_after]]-Table1[[#This Row],[Salary_before]]</f>
        <v>1669.5899999999965</v>
      </c>
      <c r="L1653" s="11">
        <v>2.4700000000000003E-2</v>
      </c>
      <c r="M1653" s="11">
        <v>-0.1182</v>
      </c>
      <c r="N1653">
        <v>98.9</v>
      </c>
      <c r="O1653">
        <v>21.46</v>
      </c>
      <c r="P1653">
        <v>3</v>
      </c>
      <c r="Q1653" t="s">
        <v>37</v>
      </c>
      <c r="R1653">
        <v>58.64</v>
      </c>
      <c r="S1653">
        <v>2.4700000000000002</v>
      </c>
      <c r="T1653" s="4">
        <v>42.332999999999998</v>
      </c>
      <c r="U1653" s="4">
        <v>13.751567999999899</v>
      </c>
      <c r="V1653" t="str">
        <f>IF(Table1[[#This Row],[ai_disruption_intensity]]&gt;70,"High",
IF(Table1[[#This Row],[ai_disruption_intensity]]&gt;40,"Medium","Low"))</f>
        <v>Low</v>
      </c>
      <c r="W1653" t="str">
        <f>IF(Table1[[#This Row],[skill_gap_index]]&gt;70,"Large Gap",
IF(Table1[[#This Row],[skill_gap_index]]&gt;40,"Medium Gap","Small Gap"))</f>
        <v>Medium Gap</v>
      </c>
      <c r="X1653" s="3" t="str">
        <f>IF(Table1[[#This Row],[automation_risk_percent]]&gt;0.7,"Highly Automatable",
IF(Table1[[#This Row],[automation_risk_percent]]&gt;0.4,"Moderate Risk","Safe Job"))</f>
        <v>Moderate Risk</v>
      </c>
    </row>
    <row r="1654" spans="1:24" x14ac:dyDescent="0.3">
      <c r="A1654">
        <v>5944</v>
      </c>
      <c r="B1654" t="s">
        <v>22</v>
      </c>
      <c r="C1654" t="s">
        <v>33</v>
      </c>
      <c r="D1654" t="s">
        <v>35</v>
      </c>
      <c r="E1654" s="1">
        <v>2025</v>
      </c>
      <c r="F1654" s="11">
        <v>0.26979999999999998</v>
      </c>
      <c r="G1654">
        <v>24.2</v>
      </c>
      <c r="H1654">
        <v>79.17</v>
      </c>
      <c r="I1654" s="2">
        <v>91257.85</v>
      </c>
      <c r="J1654" s="2">
        <v>101067.72</v>
      </c>
      <c r="K1654" s="2">
        <f>Table1[[#This Row],[Salary_after]]-Table1[[#This Row],[Salary_before]]</f>
        <v>9809.8699999999953</v>
      </c>
      <c r="L1654" s="11">
        <v>0.1075</v>
      </c>
      <c r="M1654" s="11">
        <v>1.3999999999999999E-2</v>
      </c>
      <c r="N1654">
        <v>36.770000000000003</v>
      </c>
      <c r="O1654">
        <v>39.22</v>
      </c>
      <c r="P1654">
        <v>3</v>
      </c>
      <c r="Q1654" t="s">
        <v>21</v>
      </c>
      <c r="R1654">
        <v>53.075000000000003</v>
      </c>
      <c r="S1654">
        <v>10.75</v>
      </c>
      <c r="T1654" s="4">
        <v>37.768000000000001</v>
      </c>
      <c r="U1654" s="4">
        <v>10.581556000000001</v>
      </c>
      <c r="V1654" t="str">
        <f>IF(Table1[[#This Row],[ai_disruption_intensity]]&gt;70,"High",
IF(Table1[[#This Row],[ai_disruption_intensity]]&gt;40,"Medium","Low"))</f>
        <v>Low</v>
      </c>
      <c r="W1654" t="str">
        <f>IF(Table1[[#This Row],[skill_gap_index]]&gt;70,"Large Gap",
IF(Table1[[#This Row],[skill_gap_index]]&gt;40,"Medium Gap","Small Gap"))</f>
        <v>Large Gap</v>
      </c>
      <c r="X1654" s="3" t="str">
        <f>IF(Table1[[#This Row],[automation_risk_percent]]&gt;0.7,"Highly Automatable",
IF(Table1[[#This Row],[automation_risk_percent]]&gt;0.4,"Moderate Risk","Safe Job"))</f>
        <v>Safe Job</v>
      </c>
    </row>
    <row r="1655" spans="1:24" x14ac:dyDescent="0.3">
      <c r="A1655">
        <v>5945</v>
      </c>
      <c r="B1655" t="s">
        <v>29</v>
      </c>
      <c r="C1655" t="s">
        <v>30</v>
      </c>
      <c r="D1655" t="s">
        <v>28</v>
      </c>
      <c r="E1655" s="1">
        <v>2026</v>
      </c>
      <c r="F1655" s="11">
        <v>0.30149999999999999</v>
      </c>
      <c r="G1655">
        <v>25.56</v>
      </c>
      <c r="H1655">
        <v>13.67</v>
      </c>
      <c r="I1655" s="2">
        <v>71637.03</v>
      </c>
      <c r="J1655" s="2">
        <v>71378.080000000002</v>
      </c>
      <c r="K1655" s="2">
        <f>Table1[[#This Row],[Salary_after]]-Table1[[#This Row],[Salary_before]]</f>
        <v>-258.94999999999709</v>
      </c>
      <c r="L1655" s="11">
        <v>-3.5999999999999999E-3</v>
      </c>
      <c r="M1655" s="11">
        <v>5.0199999999999995E-2</v>
      </c>
      <c r="N1655">
        <v>27.09</v>
      </c>
      <c r="O1655">
        <v>17.57</v>
      </c>
      <c r="P1655">
        <v>2</v>
      </c>
      <c r="Q1655" t="s">
        <v>25</v>
      </c>
      <c r="R1655">
        <v>21.91</v>
      </c>
      <c r="S1655">
        <v>0.36</v>
      </c>
      <c r="T1655" s="4">
        <v>16.268999999999998</v>
      </c>
      <c r="U1655" s="4">
        <v>5.2973549999999996</v>
      </c>
      <c r="V1655" t="str">
        <f>IF(Table1[[#This Row],[ai_disruption_intensity]]&gt;70,"High",
IF(Table1[[#This Row],[ai_disruption_intensity]]&gt;40,"Medium","Low"))</f>
        <v>Low</v>
      </c>
      <c r="W1655" t="str">
        <f>IF(Table1[[#This Row],[skill_gap_index]]&gt;70,"Large Gap",
IF(Table1[[#This Row],[skill_gap_index]]&gt;40,"Medium Gap","Small Gap"))</f>
        <v>Small Gap</v>
      </c>
      <c r="X1655" s="3" t="str">
        <f>IF(Table1[[#This Row],[automation_risk_percent]]&gt;0.7,"Highly Automatable",
IF(Table1[[#This Row],[automation_risk_percent]]&gt;0.4,"Moderate Risk","Safe Job"))</f>
        <v>Safe Job</v>
      </c>
    </row>
    <row r="1656" spans="1:24" x14ac:dyDescent="0.3">
      <c r="A1656">
        <v>5947</v>
      </c>
      <c r="B1656" t="s">
        <v>29</v>
      </c>
      <c r="C1656" t="s">
        <v>30</v>
      </c>
      <c r="D1656" t="s">
        <v>20</v>
      </c>
      <c r="E1656" s="1">
        <v>2025</v>
      </c>
      <c r="F1656" s="11">
        <v>0.74290000000000012</v>
      </c>
      <c r="G1656">
        <v>78.22</v>
      </c>
      <c r="H1656">
        <v>64.94</v>
      </c>
      <c r="I1656" s="2">
        <v>141413.96</v>
      </c>
      <c r="J1656" s="2">
        <v>133059.62</v>
      </c>
      <c r="K1656" s="2">
        <f>Table1[[#This Row],[Salary_after]]-Table1[[#This Row],[Salary_before]]</f>
        <v>-8354.3399999999965</v>
      </c>
      <c r="L1656" s="11">
        <v>-5.91E-2</v>
      </c>
      <c r="M1656" s="11">
        <v>-3.2400000000000005E-2</v>
      </c>
      <c r="N1656">
        <v>18.39</v>
      </c>
      <c r="O1656">
        <v>83.73</v>
      </c>
      <c r="P1656">
        <v>2</v>
      </c>
      <c r="Q1656" t="s">
        <v>37</v>
      </c>
      <c r="R1656">
        <v>69.614999999999995</v>
      </c>
      <c r="S1656">
        <v>5.91</v>
      </c>
      <c r="T1656" s="4">
        <v>50.970999999999997</v>
      </c>
      <c r="U1656" s="4">
        <v>62.203017000000003</v>
      </c>
      <c r="V1656" t="str">
        <f>IF(Table1[[#This Row],[ai_disruption_intensity]]&gt;70,"High",
IF(Table1[[#This Row],[ai_disruption_intensity]]&gt;40,"Medium","Low"))</f>
        <v>Medium</v>
      </c>
      <c r="W1656" t="str">
        <f>IF(Table1[[#This Row],[skill_gap_index]]&gt;70,"Large Gap",
IF(Table1[[#This Row],[skill_gap_index]]&gt;40,"Medium Gap","Small Gap"))</f>
        <v>Medium Gap</v>
      </c>
      <c r="X1656" s="3" t="str">
        <f>IF(Table1[[#This Row],[automation_risk_percent]]&gt;0.7,"Highly Automatable",
IF(Table1[[#This Row],[automation_risk_percent]]&gt;0.4,"Moderate Risk","Safe Job"))</f>
        <v>Highly Automatable</v>
      </c>
    </row>
    <row r="1657" spans="1:24" x14ac:dyDescent="0.3">
      <c r="A1657">
        <v>5951</v>
      </c>
      <c r="B1657" t="s">
        <v>26</v>
      </c>
      <c r="C1657" t="s">
        <v>40</v>
      </c>
      <c r="D1657" t="s">
        <v>24</v>
      </c>
      <c r="E1657" s="1">
        <v>2026</v>
      </c>
      <c r="F1657" s="11">
        <v>0.2621</v>
      </c>
      <c r="G1657">
        <v>21.37</v>
      </c>
      <c r="H1657">
        <v>73.819999999999993</v>
      </c>
      <c r="I1657" s="2">
        <v>115949.37</v>
      </c>
      <c r="J1657" s="2">
        <v>87281.01</v>
      </c>
      <c r="K1657" s="2">
        <f>Table1[[#This Row],[Salary_after]]-Table1[[#This Row],[Salary_before]]</f>
        <v>-28668.36</v>
      </c>
      <c r="L1657" s="11">
        <v>-0.24719999999999998</v>
      </c>
      <c r="M1657" s="11">
        <v>0.13900000000000001</v>
      </c>
      <c r="N1657">
        <v>58.45</v>
      </c>
      <c r="O1657">
        <v>74.680000000000007</v>
      </c>
      <c r="P1657">
        <v>2</v>
      </c>
      <c r="Q1657" t="s">
        <v>21</v>
      </c>
      <c r="R1657">
        <v>50.015000000000001</v>
      </c>
      <c r="S1657">
        <v>24.72</v>
      </c>
      <c r="T1657" s="4">
        <v>40.0459999999999</v>
      </c>
      <c r="U1657" s="4">
        <v>19.573627999999999</v>
      </c>
      <c r="V1657" t="str">
        <f>IF(Table1[[#This Row],[ai_disruption_intensity]]&gt;70,"High",
IF(Table1[[#This Row],[ai_disruption_intensity]]&gt;40,"Medium","Low"))</f>
        <v>Low</v>
      </c>
      <c r="W1657" t="str">
        <f>IF(Table1[[#This Row],[skill_gap_index]]&gt;70,"Large Gap",
IF(Table1[[#This Row],[skill_gap_index]]&gt;40,"Medium Gap","Small Gap"))</f>
        <v>Large Gap</v>
      </c>
      <c r="X1657" s="3" t="str">
        <f>IF(Table1[[#This Row],[automation_risk_percent]]&gt;0.7,"Highly Automatable",
IF(Table1[[#This Row],[automation_risk_percent]]&gt;0.4,"Moderate Risk","Safe Job"))</f>
        <v>Safe Job</v>
      </c>
    </row>
    <row r="1658" spans="1:24" x14ac:dyDescent="0.3">
      <c r="A1658">
        <v>5956</v>
      </c>
      <c r="B1658" t="s">
        <v>39</v>
      </c>
      <c r="C1658" t="s">
        <v>40</v>
      </c>
      <c r="D1658" t="s">
        <v>24</v>
      </c>
      <c r="E1658" s="1">
        <v>2025</v>
      </c>
      <c r="F1658" s="11">
        <v>0.50649999999999995</v>
      </c>
      <c r="G1658">
        <v>53.67</v>
      </c>
      <c r="H1658">
        <v>6.08</v>
      </c>
      <c r="I1658" s="2">
        <v>103979.77</v>
      </c>
      <c r="J1658" s="2">
        <v>93822.61</v>
      </c>
      <c r="K1658" s="2">
        <f>Table1[[#This Row],[Salary_after]]-Table1[[#This Row],[Salary_before]]</f>
        <v>-10157.160000000003</v>
      </c>
      <c r="L1658" s="11">
        <v>-9.7699999999999995E-2</v>
      </c>
      <c r="M1658" s="11">
        <v>0.16200000000000001</v>
      </c>
      <c r="N1658">
        <v>98.07</v>
      </c>
      <c r="O1658">
        <v>14.44</v>
      </c>
      <c r="P1658">
        <v>4</v>
      </c>
      <c r="Q1658" t="s">
        <v>25</v>
      </c>
      <c r="R1658">
        <v>28.364999999999998</v>
      </c>
      <c r="S1658">
        <v>9.77</v>
      </c>
      <c r="T1658" s="4">
        <v>25.015000000000001</v>
      </c>
      <c r="U1658" s="4">
        <v>7.31386</v>
      </c>
      <c r="V1658" t="str">
        <f>IF(Table1[[#This Row],[ai_disruption_intensity]]&gt;70,"High",
IF(Table1[[#This Row],[ai_disruption_intensity]]&gt;40,"Medium","Low"))</f>
        <v>Low</v>
      </c>
      <c r="W1658" t="str">
        <f>IF(Table1[[#This Row],[skill_gap_index]]&gt;70,"Large Gap",
IF(Table1[[#This Row],[skill_gap_index]]&gt;40,"Medium Gap","Small Gap"))</f>
        <v>Small Gap</v>
      </c>
      <c r="X1658" s="3" t="str">
        <f>IF(Table1[[#This Row],[automation_risk_percent]]&gt;0.7,"Highly Automatable",
IF(Table1[[#This Row],[automation_risk_percent]]&gt;0.4,"Moderate Risk","Safe Job"))</f>
        <v>Moderate Risk</v>
      </c>
    </row>
    <row r="1659" spans="1:24" x14ac:dyDescent="0.3">
      <c r="A1659">
        <v>5957</v>
      </c>
      <c r="B1659" t="s">
        <v>43</v>
      </c>
      <c r="C1659" t="s">
        <v>40</v>
      </c>
      <c r="D1659" t="s">
        <v>31</v>
      </c>
      <c r="E1659" s="1">
        <v>2026</v>
      </c>
      <c r="F1659" s="11">
        <v>0.73730000000000007</v>
      </c>
      <c r="G1659">
        <v>78.930000000000007</v>
      </c>
      <c r="H1659">
        <v>66.430000000000007</v>
      </c>
      <c r="I1659" s="2">
        <v>135122.72</v>
      </c>
      <c r="J1659" s="2">
        <v>128746.85</v>
      </c>
      <c r="K1659" s="2">
        <f>Table1[[#This Row],[Salary_after]]-Table1[[#This Row],[Salary_before]]</f>
        <v>-6375.8699999999953</v>
      </c>
      <c r="L1659" s="11">
        <v>-4.7199999999999999E-2</v>
      </c>
      <c r="M1659" s="11">
        <v>0.15130000000000002</v>
      </c>
      <c r="N1659">
        <v>73.48</v>
      </c>
      <c r="O1659">
        <v>5.0599999999999996</v>
      </c>
      <c r="P1659">
        <v>1</v>
      </c>
      <c r="Q1659" t="s">
        <v>37</v>
      </c>
      <c r="R1659">
        <v>70.08</v>
      </c>
      <c r="S1659">
        <v>4.72</v>
      </c>
      <c r="T1659" s="4">
        <v>50.837000000000003</v>
      </c>
      <c r="U1659" s="4">
        <v>3.7307380000000001</v>
      </c>
      <c r="V1659" t="str">
        <f>IF(Table1[[#This Row],[ai_disruption_intensity]]&gt;70,"High",
IF(Table1[[#This Row],[ai_disruption_intensity]]&gt;40,"Medium","Low"))</f>
        <v>Low</v>
      </c>
      <c r="W1659" t="str">
        <f>IF(Table1[[#This Row],[skill_gap_index]]&gt;70,"Large Gap",
IF(Table1[[#This Row],[skill_gap_index]]&gt;40,"Medium Gap","Small Gap"))</f>
        <v>Medium Gap</v>
      </c>
      <c r="X1659" s="3" t="str">
        <f>IF(Table1[[#This Row],[automation_risk_percent]]&gt;0.7,"Highly Automatable",
IF(Table1[[#This Row],[automation_risk_percent]]&gt;0.4,"Moderate Risk","Safe Job"))</f>
        <v>Highly Automatable</v>
      </c>
    </row>
    <row r="1660" spans="1:24" x14ac:dyDescent="0.3">
      <c r="A1660">
        <v>5958</v>
      </c>
      <c r="B1660" t="s">
        <v>39</v>
      </c>
      <c r="C1660" t="s">
        <v>27</v>
      </c>
      <c r="D1660" t="s">
        <v>28</v>
      </c>
      <c r="E1660" s="1">
        <v>2025</v>
      </c>
      <c r="F1660" s="11">
        <v>0.42479999999999996</v>
      </c>
      <c r="G1660">
        <v>49.92</v>
      </c>
      <c r="H1660">
        <v>27.41</v>
      </c>
      <c r="I1660" s="2">
        <v>35996.49</v>
      </c>
      <c r="J1660" s="2">
        <v>29452.880000000001</v>
      </c>
      <c r="K1660" s="2">
        <f>Table1[[#This Row],[Salary_after]]-Table1[[#This Row],[Salary_before]]</f>
        <v>-6543.6099999999969</v>
      </c>
      <c r="L1660" s="11">
        <v>-0.18179999999999999</v>
      </c>
      <c r="M1660" s="11">
        <v>0.15410000000000001</v>
      </c>
      <c r="N1660">
        <v>44.17</v>
      </c>
      <c r="O1660">
        <v>58.25</v>
      </c>
      <c r="P1660">
        <v>4</v>
      </c>
      <c r="Q1660" t="s">
        <v>25</v>
      </c>
      <c r="R1660">
        <v>34.945</v>
      </c>
      <c r="S1660">
        <v>18.18</v>
      </c>
      <c r="T1660" s="4">
        <v>30.669</v>
      </c>
      <c r="U1660" s="4">
        <v>24.744599999999998</v>
      </c>
      <c r="V1660" t="str">
        <f>IF(Table1[[#This Row],[ai_disruption_intensity]]&gt;70,"High",
IF(Table1[[#This Row],[ai_disruption_intensity]]&gt;40,"Medium","Low"))</f>
        <v>Low</v>
      </c>
      <c r="W1660" t="str">
        <f>IF(Table1[[#This Row],[skill_gap_index]]&gt;70,"Large Gap",
IF(Table1[[#This Row],[skill_gap_index]]&gt;40,"Medium Gap","Small Gap"))</f>
        <v>Small Gap</v>
      </c>
      <c r="X1660" s="3" t="str">
        <f>IF(Table1[[#This Row],[automation_risk_percent]]&gt;0.7,"Highly Automatable",
IF(Table1[[#This Row],[automation_risk_percent]]&gt;0.4,"Moderate Risk","Safe Job"))</f>
        <v>Moderate Risk</v>
      </c>
    </row>
    <row r="1661" spans="1:24" x14ac:dyDescent="0.3">
      <c r="A1661">
        <v>5959</v>
      </c>
      <c r="B1661" t="s">
        <v>41</v>
      </c>
      <c r="C1661" t="s">
        <v>33</v>
      </c>
      <c r="D1661" t="s">
        <v>42</v>
      </c>
      <c r="E1661" s="1">
        <v>2025</v>
      </c>
      <c r="F1661" s="11">
        <v>0.68510000000000004</v>
      </c>
      <c r="G1661">
        <v>66.790000000000006</v>
      </c>
      <c r="H1661">
        <v>50.75</v>
      </c>
      <c r="I1661" s="2">
        <v>149190.69</v>
      </c>
      <c r="J1661" s="2">
        <v>142829.45000000001</v>
      </c>
      <c r="K1661" s="2">
        <f>Table1[[#This Row],[Salary_after]]-Table1[[#This Row],[Salary_before]]</f>
        <v>-6361.2399999999907</v>
      </c>
      <c r="L1661" s="11">
        <v>-4.2599999999999999E-2</v>
      </c>
      <c r="M1661" s="11">
        <v>-5.3099999999999994E-2</v>
      </c>
      <c r="N1661">
        <v>89.48</v>
      </c>
      <c r="O1661">
        <v>42.36</v>
      </c>
      <c r="P1661">
        <v>3</v>
      </c>
      <c r="Q1661" t="s">
        <v>37</v>
      </c>
      <c r="R1661">
        <v>59.63</v>
      </c>
      <c r="S1661">
        <v>4.26</v>
      </c>
      <c r="T1661" s="4">
        <v>43.906999999999996</v>
      </c>
      <c r="U1661" s="4">
        <v>29.020835999999999</v>
      </c>
      <c r="V1661" t="str">
        <f>IF(Table1[[#This Row],[ai_disruption_intensity]]&gt;70,"High",
IF(Table1[[#This Row],[ai_disruption_intensity]]&gt;40,"Medium","Low"))</f>
        <v>Low</v>
      </c>
      <c r="W1661" t="str">
        <f>IF(Table1[[#This Row],[skill_gap_index]]&gt;70,"Large Gap",
IF(Table1[[#This Row],[skill_gap_index]]&gt;40,"Medium Gap","Small Gap"))</f>
        <v>Medium Gap</v>
      </c>
      <c r="X1661" s="3" t="str">
        <f>IF(Table1[[#This Row],[automation_risk_percent]]&gt;0.7,"Highly Automatable",
IF(Table1[[#This Row],[automation_risk_percent]]&gt;0.4,"Moderate Risk","Safe Job"))</f>
        <v>Moderate Risk</v>
      </c>
    </row>
    <row r="1662" spans="1:24" x14ac:dyDescent="0.3">
      <c r="A1662">
        <v>5960</v>
      </c>
      <c r="B1662" t="s">
        <v>39</v>
      </c>
      <c r="C1662" t="s">
        <v>30</v>
      </c>
      <c r="D1662" t="s">
        <v>47</v>
      </c>
      <c r="E1662" s="1">
        <v>2026</v>
      </c>
      <c r="F1662" s="11">
        <v>0.76879999999999993</v>
      </c>
      <c r="G1662">
        <v>76.52</v>
      </c>
      <c r="H1662">
        <v>86.18</v>
      </c>
      <c r="I1662" s="2">
        <v>34245.47</v>
      </c>
      <c r="J1662" s="2">
        <v>40292.21</v>
      </c>
      <c r="K1662" s="2">
        <f>Table1[[#This Row],[Salary_after]]-Table1[[#This Row],[Salary_before]]</f>
        <v>6046.739999999998</v>
      </c>
      <c r="L1662" s="11">
        <v>0.17660000000000001</v>
      </c>
      <c r="M1662" s="11">
        <v>-8.0000000000000002E-3</v>
      </c>
      <c r="N1662">
        <v>87.72</v>
      </c>
      <c r="O1662">
        <v>60.96</v>
      </c>
      <c r="P1662">
        <v>2</v>
      </c>
      <c r="Q1662" t="s">
        <v>37</v>
      </c>
      <c r="R1662">
        <v>81.53</v>
      </c>
      <c r="S1662">
        <v>17.66</v>
      </c>
      <c r="T1662" s="4">
        <v>61.904000000000003</v>
      </c>
      <c r="U1662" s="4">
        <v>46.866047999999999</v>
      </c>
      <c r="V1662" t="str">
        <f>IF(Table1[[#This Row],[ai_disruption_intensity]]&gt;70,"High",
IF(Table1[[#This Row],[ai_disruption_intensity]]&gt;40,"Medium","Low"))</f>
        <v>Medium</v>
      </c>
      <c r="W1662" t="str">
        <f>IF(Table1[[#This Row],[skill_gap_index]]&gt;70,"Large Gap",
IF(Table1[[#This Row],[skill_gap_index]]&gt;40,"Medium Gap","Small Gap"))</f>
        <v>Large Gap</v>
      </c>
      <c r="X1662" s="3" t="str">
        <f>IF(Table1[[#This Row],[automation_risk_percent]]&gt;0.7,"Highly Automatable",
IF(Table1[[#This Row],[automation_risk_percent]]&gt;0.4,"Moderate Risk","Safe Job"))</f>
        <v>Highly Automatable</v>
      </c>
    </row>
    <row r="1663" spans="1:24" x14ac:dyDescent="0.3">
      <c r="A1663">
        <v>5964</v>
      </c>
      <c r="B1663" t="s">
        <v>18</v>
      </c>
      <c r="C1663" t="s">
        <v>33</v>
      </c>
      <c r="D1663" t="s">
        <v>24</v>
      </c>
      <c r="E1663" s="1">
        <v>2025</v>
      </c>
      <c r="F1663" s="11">
        <v>0.4587</v>
      </c>
      <c r="G1663">
        <v>47.63</v>
      </c>
      <c r="H1663">
        <v>41.82</v>
      </c>
      <c r="I1663" s="2">
        <v>77257.02</v>
      </c>
      <c r="J1663" s="2">
        <v>79002.289999999994</v>
      </c>
      <c r="K1663" s="2">
        <f>Table1[[#This Row],[Salary_after]]-Table1[[#This Row],[Salary_before]]</f>
        <v>1745.2699999999895</v>
      </c>
      <c r="L1663" s="11">
        <v>2.2599999999999999E-2</v>
      </c>
      <c r="M1663" s="11">
        <v>6.0100000000000001E-2</v>
      </c>
      <c r="N1663">
        <v>89</v>
      </c>
      <c r="O1663">
        <v>11.86</v>
      </c>
      <c r="P1663">
        <v>3</v>
      </c>
      <c r="Q1663" t="s">
        <v>25</v>
      </c>
      <c r="R1663">
        <v>43.844999999999999</v>
      </c>
      <c r="S1663">
        <v>2.2599999999999998</v>
      </c>
      <c r="T1663" s="4">
        <v>31.571999999999999</v>
      </c>
      <c r="U1663" s="4">
        <v>5.4401820000000001</v>
      </c>
      <c r="V1663" t="str">
        <f>IF(Table1[[#This Row],[ai_disruption_intensity]]&gt;70,"High",
IF(Table1[[#This Row],[ai_disruption_intensity]]&gt;40,"Medium","Low"))</f>
        <v>Low</v>
      </c>
      <c r="W1663" t="str">
        <f>IF(Table1[[#This Row],[skill_gap_index]]&gt;70,"Large Gap",
IF(Table1[[#This Row],[skill_gap_index]]&gt;40,"Medium Gap","Small Gap"))</f>
        <v>Medium Gap</v>
      </c>
      <c r="X1663" s="3" t="str">
        <f>IF(Table1[[#This Row],[automation_risk_percent]]&gt;0.7,"Highly Automatable",
IF(Table1[[#This Row],[automation_risk_percent]]&gt;0.4,"Moderate Risk","Safe Job"))</f>
        <v>Moderate Risk</v>
      </c>
    </row>
    <row r="1664" spans="1:24" x14ac:dyDescent="0.3">
      <c r="A1664">
        <v>5966</v>
      </c>
      <c r="B1664" t="s">
        <v>45</v>
      </c>
      <c r="C1664" t="s">
        <v>38</v>
      </c>
      <c r="D1664" t="s">
        <v>42</v>
      </c>
      <c r="E1664" s="1">
        <v>2026</v>
      </c>
      <c r="F1664" s="11">
        <v>0.13109999999999999</v>
      </c>
      <c r="G1664">
        <v>14.35</v>
      </c>
      <c r="H1664">
        <v>82.98</v>
      </c>
      <c r="I1664" s="2">
        <v>38180.71</v>
      </c>
      <c r="J1664" s="2">
        <v>42212.11</v>
      </c>
      <c r="K1664" s="2">
        <f>Table1[[#This Row],[Salary_after]]-Table1[[#This Row],[Salary_before]]</f>
        <v>4031.4000000000015</v>
      </c>
      <c r="L1664" s="11">
        <v>0.1056</v>
      </c>
      <c r="M1664" s="11">
        <v>-1.3999999999999999E-2</v>
      </c>
      <c r="N1664">
        <v>54.38</v>
      </c>
      <c r="O1664">
        <v>69.489999999999995</v>
      </c>
      <c r="P1664">
        <v>4</v>
      </c>
      <c r="Q1664" t="s">
        <v>21</v>
      </c>
      <c r="R1664">
        <v>48.045000000000002</v>
      </c>
      <c r="S1664">
        <v>10.56</v>
      </c>
      <c r="T1664" s="4">
        <v>33.305999999999997</v>
      </c>
      <c r="U1664" s="4">
        <v>9.1101389999999896</v>
      </c>
      <c r="V1664" t="str">
        <f>IF(Table1[[#This Row],[ai_disruption_intensity]]&gt;70,"High",
IF(Table1[[#This Row],[ai_disruption_intensity]]&gt;40,"Medium","Low"))</f>
        <v>Low</v>
      </c>
      <c r="W1664" t="str">
        <f>IF(Table1[[#This Row],[skill_gap_index]]&gt;70,"Large Gap",
IF(Table1[[#This Row],[skill_gap_index]]&gt;40,"Medium Gap","Small Gap"))</f>
        <v>Large Gap</v>
      </c>
      <c r="X1664" s="3" t="str">
        <f>IF(Table1[[#This Row],[automation_risk_percent]]&gt;0.7,"Highly Automatable",
IF(Table1[[#This Row],[automation_risk_percent]]&gt;0.4,"Moderate Risk","Safe Job"))</f>
        <v>Safe Job</v>
      </c>
    </row>
    <row r="1665" spans="1:24" x14ac:dyDescent="0.3">
      <c r="A1665">
        <v>5971</v>
      </c>
      <c r="B1665" t="s">
        <v>46</v>
      </c>
      <c r="C1665" t="s">
        <v>30</v>
      </c>
      <c r="D1665" t="s">
        <v>24</v>
      </c>
      <c r="E1665" s="1">
        <v>2026</v>
      </c>
      <c r="F1665" s="11">
        <v>0.64739999999999998</v>
      </c>
      <c r="G1665">
        <v>70.88</v>
      </c>
      <c r="H1665">
        <v>5.33</v>
      </c>
      <c r="I1665" s="2">
        <v>133812.79999999999</v>
      </c>
      <c r="J1665" s="2">
        <v>134269.29999999999</v>
      </c>
      <c r="K1665" s="2">
        <f>Table1[[#This Row],[Salary_after]]-Table1[[#This Row],[Salary_before]]</f>
        <v>456.5</v>
      </c>
      <c r="L1665" s="11">
        <v>3.4000000000000002E-3</v>
      </c>
      <c r="M1665" s="11">
        <v>4.9500000000000002E-2</v>
      </c>
      <c r="N1665">
        <v>21.2</v>
      </c>
      <c r="O1665">
        <v>53.66</v>
      </c>
      <c r="P1665">
        <v>5</v>
      </c>
      <c r="Q1665" t="s">
        <v>37</v>
      </c>
      <c r="R1665">
        <v>35.034999999999997</v>
      </c>
      <c r="S1665">
        <v>0.34</v>
      </c>
      <c r="T1665" s="4">
        <v>27.597000000000001</v>
      </c>
      <c r="U1665" s="4">
        <v>34.739483999999898</v>
      </c>
      <c r="V1665" t="str">
        <f>IF(Table1[[#This Row],[ai_disruption_intensity]]&gt;70,"High",
IF(Table1[[#This Row],[ai_disruption_intensity]]&gt;40,"Medium","Low"))</f>
        <v>Low</v>
      </c>
      <c r="W1665" t="str">
        <f>IF(Table1[[#This Row],[skill_gap_index]]&gt;70,"Large Gap",
IF(Table1[[#This Row],[skill_gap_index]]&gt;40,"Medium Gap","Small Gap"))</f>
        <v>Small Gap</v>
      </c>
      <c r="X1665" s="3" t="str">
        <f>IF(Table1[[#This Row],[automation_risk_percent]]&gt;0.7,"Highly Automatable",
IF(Table1[[#This Row],[automation_risk_percent]]&gt;0.4,"Moderate Risk","Safe Job"))</f>
        <v>Moderate Risk</v>
      </c>
    </row>
    <row r="1666" spans="1:24" x14ac:dyDescent="0.3">
      <c r="A1666">
        <v>5976</v>
      </c>
      <c r="B1666" t="s">
        <v>45</v>
      </c>
      <c r="C1666" t="s">
        <v>27</v>
      </c>
      <c r="D1666" t="s">
        <v>47</v>
      </c>
      <c r="E1666" s="1">
        <v>2026</v>
      </c>
      <c r="F1666" s="11">
        <v>0.748</v>
      </c>
      <c r="G1666">
        <v>78.09</v>
      </c>
      <c r="H1666">
        <v>70.349999999999994</v>
      </c>
      <c r="I1666" s="2">
        <v>133908.98000000001</v>
      </c>
      <c r="J1666" s="2">
        <v>128195.93</v>
      </c>
      <c r="K1666" s="2">
        <f>Table1[[#This Row],[Salary_after]]-Table1[[#This Row],[Salary_before]]</f>
        <v>-5713.0500000000175</v>
      </c>
      <c r="L1666" s="11">
        <v>-4.2699999999999995E-2</v>
      </c>
      <c r="M1666" s="11">
        <v>0.14880000000000002</v>
      </c>
      <c r="N1666">
        <v>99.25</v>
      </c>
      <c r="O1666">
        <v>2.86</v>
      </c>
      <c r="P1666">
        <v>2</v>
      </c>
      <c r="Q1666" t="s">
        <v>37</v>
      </c>
      <c r="R1666">
        <v>72.574999999999903</v>
      </c>
      <c r="S1666">
        <v>4.2699999999999996</v>
      </c>
      <c r="T1666" s="4">
        <v>52.305999999999997</v>
      </c>
      <c r="U1666" s="4">
        <v>2.1392799999999998</v>
      </c>
      <c r="V1666" t="str">
        <f>IF(Table1[[#This Row],[ai_disruption_intensity]]&gt;70,"High",
IF(Table1[[#This Row],[ai_disruption_intensity]]&gt;40,"Medium","Low"))</f>
        <v>Low</v>
      </c>
      <c r="W1666" t="str">
        <f>IF(Table1[[#This Row],[skill_gap_index]]&gt;70,"Large Gap",
IF(Table1[[#This Row],[skill_gap_index]]&gt;40,"Medium Gap","Small Gap"))</f>
        <v>Large Gap</v>
      </c>
      <c r="X1666" s="3" t="str">
        <f>IF(Table1[[#This Row],[automation_risk_percent]]&gt;0.7,"Highly Automatable",
IF(Table1[[#This Row],[automation_risk_percent]]&gt;0.4,"Moderate Risk","Safe Job"))</f>
        <v>Highly Automatable</v>
      </c>
    </row>
    <row r="1667" spans="1:24" x14ac:dyDescent="0.3">
      <c r="A1667">
        <v>5977</v>
      </c>
      <c r="B1667" t="s">
        <v>44</v>
      </c>
      <c r="C1667" t="s">
        <v>33</v>
      </c>
      <c r="D1667" t="s">
        <v>28</v>
      </c>
      <c r="E1667" s="1">
        <v>2025</v>
      </c>
      <c r="F1667" s="11">
        <v>0.79069999999999996</v>
      </c>
      <c r="G1667">
        <v>71.040000000000006</v>
      </c>
      <c r="H1667">
        <v>44.04</v>
      </c>
      <c r="I1667" s="2">
        <v>136042.65</v>
      </c>
      <c r="J1667" s="2">
        <v>125382.96</v>
      </c>
      <c r="K1667" s="2">
        <f>Table1[[#This Row],[Salary_after]]-Table1[[#This Row],[Salary_before]]</f>
        <v>-10659.689999999988</v>
      </c>
      <c r="L1667" s="11">
        <v>-7.8399999999999997E-2</v>
      </c>
      <c r="M1667" s="11">
        <v>-2.2799999999999997E-2</v>
      </c>
      <c r="N1667">
        <v>67.88</v>
      </c>
      <c r="O1667">
        <v>70.55</v>
      </c>
      <c r="P1667">
        <v>2</v>
      </c>
      <c r="Q1667" t="s">
        <v>37</v>
      </c>
      <c r="R1667">
        <v>61.5549999999999</v>
      </c>
      <c r="S1667">
        <v>7.84</v>
      </c>
      <c r="T1667" s="4">
        <v>47.192</v>
      </c>
      <c r="U1667" s="4">
        <v>55.783884999999898</v>
      </c>
      <c r="V1667" t="str">
        <f>IF(Table1[[#This Row],[ai_disruption_intensity]]&gt;70,"High",
IF(Table1[[#This Row],[ai_disruption_intensity]]&gt;40,"Medium","Low"))</f>
        <v>Medium</v>
      </c>
      <c r="W1667" t="str">
        <f>IF(Table1[[#This Row],[skill_gap_index]]&gt;70,"Large Gap",
IF(Table1[[#This Row],[skill_gap_index]]&gt;40,"Medium Gap","Small Gap"))</f>
        <v>Medium Gap</v>
      </c>
      <c r="X1667" s="3" t="str">
        <f>IF(Table1[[#This Row],[automation_risk_percent]]&gt;0.7,"Highly Automatable",
IF(Table1[[#This Row],[automation_risk_percent]]&gt;0.4,"Moderate Risk","Safe Job"))</f>
        <v>Highly Automatable</v>
      </c>
    </row>
    <row r="1668" spans="1:24" x14ac:dyDescent="0.3">
      <c r="A1668">
        <v>5981</v>
      </c>
      <c r="B1668" t="s">
        <v>18</v>
      </c>
      <c r="C1668" t="s">
        <v>33</v>
      </c>
      <c r="D1668" t="s">
        <v>42</v>
      </c>
      <c r="E1668" s="1">
        <v>2025</v>
      </c>
      <c r="F1668" s="11">
        <v>0.1157</v>
      </c>
      <c r="G1668">
        <v>13.35</v>
      </c>
      <c r="H1668">
        <v>88.45</v>
      </c>
      <c r="I1668" s="2">
        <v>85316.53</v>
      </c>
      <c r="J1668" s="2">
        <v>77715.240000000005</v>
      </c>
      <c r="K1668" s="2">
        <f>Table1[[#This Row],[Salary_after]]-Table1[[#This Row],[Salary_before]]</f>
        <v>-7601.2899999999936</v>
      </c>
      <c r="L1668" s="11">
        <v>-8.9099999999999999E-2</v>
      </c>
      <c r="M1668" s="11">
        <v>0.10550000000000001</v>
      </c>
      <c r="N1668">
        <v>55.34</v>
      </c>
      <c r="O1668">
        <v>43.89</v>
      </c>
      <c r="P1668">
        <v>5</v>
      </c>
      <c r="Q1668" t="s">
        <v>21</v>
      </c>
      <c r="R1668">
        <v>50.01</v>
      </c>
      <c r="S1668">
        <v>8.91</v>
      </c>
      <c r="T1668" s="4">
        <v>33.835999999999999</v>
      </c>
      <c r="U1668" s="4">
        <v>5.0780729999999998</v>
      </c>
      <c r="V1668" t="str">
        <f>IF(Table1[[#This Row],[ai_disruption_intensity]]&gt;70,"High",
IF(Table1[[#This Row],[ai_disruption_intensity]]&gt;40,"Medium","Low"))</f>
        <v>Low</v>
      </c>
      <c r="W1668" t="str">
        <f>IF(Table1[[#This Row],[skill_gap_index]]&gt;70,"Large Gap",
IF(Table1[[#This Row],[skill_gap_index]]&gt;40,"Medium Gap","Small Gap"))</f>
        <v>Large Gap</v>
      </c>
      <c r="X1668" s="3" t="str">
        <f>IF(Table1[[#This Row],[automation_risk_percent]]&gt;0.7,"Highly Automatable",
IF(Table1[[#This Row],[automation_risk_percent]]&gt;0.4,"Moderate Risk","Safe Job"))</f>
        <v>Safe Job</v>
      </c>
    </row>
    <row r="1669" spans="1:24" x14ac:dyDescent="0.3">
      <c r="A1669">
        <v>5984</v>
      </c>
      <c r="B1669" t="s">
        <v>44</v>
      </c>
      <c r="C1669" t="s">
        <v>30</v>
      </c>
      <c r="D1669" t="s">
        <v>35</v>
      </c>
      <c r="E1669" s="1">
        <v>2025</v>
      </c>
      <c r="F1669" s="11">
        <v>0.58069999999999999</v>
      </c>
      <c r="G1669">
        <v>62.89</v>
      </c>
      <c r="H1669">
        <v>89.08</v>
      </c>
      <c r="I1669" s="2">
        <v>77823.13</v>
      </c>
      <c r="J1669" s="2">
        <v>79945.14</v>
      </c>
      <c r="K1669" s="2">
        <f>Table1[[#This Row],[Salary_after]]-Table1[[#This Row],[Salary_before]]</f>
        <v>2122.0099999999948</v>
      </c>
      <c r="L1669" s="11">
        <v>2.7300000000000001E-2</v>
      </c>
      <c r="M1669" s="11">
        <v>-0.1094</v>
      </c>
      <c r="N1669">
        <v>15.63</v>
      </c>
      <c r="O1669">
        <v>33.39</v>
      </c>
      <c r="P1669">
        <v>1</v>
      </c>
      <c r="Q1669" t="s">
        <v>25</v>
      </c>
      <c r="R1669">
        <v>73.575000000000003</v>
      </c>
      <c r="S1669">
        <v>2.73</v>
      </c>
      <c r="T1669" s="4">
        <v>50.771000000000001</v>
      </c>
      <c r="U1669" s="4">
        <v>19.389572999999999</v>
      </c>
      <c r="V1669" t="str">
        <f>IF(Table1[[#This Row],[ai_disruption_intensity]]&gt;70,"High",
IF(Table1[[#This Row],[ai_disruption_intensity]]&gt;40,"Medium","Low"))</f>
        <v>Low</v>
      </c>
      <c r="W1669" t="str">
        <f>IF(Table1[[#This Row],[skill_gap_index]]&gt;70,"Large Gap",
IF(Table1[[#This Row],[skill_gap_index]]&gt;40,"Medium Gap","Small Gap"))</f>
        <v>Large Gap</v>
      </c>
      <c r="X1669" s="3" t="str">
        <f>IF(Table1[[#This Row],[automation_risk_percent]]&gt;0.7,"Highly Automatable",
IF(Table1[[#This Row],[automation_risk_percent]]&gt;0.4,"Moderate Risk","Safe Job"))</f>
        <v>Moderate Risk</v>
      </c>
    </row>
    <row r="1670" spans="1:24" x14ac:dyDescent="0.3">
      <c r="A1670">
        <v>5989</v>
      </c>
      <c r="B1670" t="s">
        <v>26</v>
      </c>
      <c r="C1670" t="s">
        <v>30</v>
      </c>
      <c r="D1670" t="s">
        <v>35</v>
      </c>
      <c r="E1670" s="1">
        <v>2026</v>
      </c>
      <c r="F1670" s="11">
        <v>0.64129999999999998</v>
      </c>
      <c r="G1670">
        <v>67.84</v>
      </c>
      <c r="H1670">
        <v>16.57</v>
      </c>
      <c r="I1670" s="2">
        <v>144068.21</v>
      </c>
      <c r="J1670" s="2">
        <v>172286.2</v>
      </c>
      <c r="K1670" s="2">
        <f>Table1[[#This Row],[Salary_after]]-Table1[[#This Row],[Salary_before]]</f>
        <v>28217.99000000002</v>
      </c>
      <c r="L1670" s="11">
        <v>0.19589999999999999</v>
      </c>
      <c r="M1670" s="11">
        <v>-0.1517</v>
      </c>
      <c r="N1670">
        <v>18.29</v>
      </c>
      <c r="O1670">
        <v>18.97</v>
      </c>
      <c r="P1670">
        <v>3</v>
      </c>
      <c r="Q1670" t="s">
        <v>37</v>
      </c>
      <c r="R1670">
        <v>40.349999999999902</v>
      </c>
      <c r="S1670">
        <v>19.59</v>
      </c>
      <c r="T1670" s="4">
        <v>36.5</v>
      </c>
      <c r="U1670" s="4">
        <v>12.165460999999899</v>
      </c>
      <c r="V1670" t="str">
        <f>IF(Table1[[#This Row],[ai_disruption_intensity]]&gt;70,"High",
IF(Table1[[#This Row],[ai_disruption_intensity]]&gt;40,"Medium","Low"))</f>
        <v>Low</v>
      </c>
      <c r="W1670" t="str">
        <f>IF(Table1[[#This Row],[skill_gap_index]]&gt;70,"Large Gap",
IF(Table1[[#This Row],[skill_gap_index]]&gt;40,"Medium Gap","Small Gap"))</f>
        <v>Small Gap</v>
      </c>
      <c r="X1670" s="3" t="str">
        <f>IF(Table1[[#This Row],[automation_risk_percent]]&gt;0.7,"Highly Automatable",
IF(Table1[[#This Row],[automation_risk_percent]]&gt;0.4,"Moderate Risk","Safe Job"))</f>
        <v>Moderate Risk</v>
      </c>
    </row>
    <row r="1671" spans="1:24" x14ac:dyDescent="0.3">
      <c r="A1671">
        <v>5994</v>
      </c>
      <c r="B1671" t="s">
        <v>26</v>
      </c>
      <c r="C1671" t="s">
        <v>38</v>
      </c>
      <c r="D1671" t="s">
        <v>32</v>
      </c>
      <c r="E1671" s="1">
        <v>2026</v>
      </c>
      <c r="F1671" s="11">
        <v>0.37380000000000002</v>
      </c>
      <c r="G1671">
        <v>35.35</v>
      </c>
      <c r="H1671">
        <v>28.6</v>
      </c>
      <c r="I1671" s="2">
        <v>100317.84</v>
      </c>
      <c r="J1671" s="2">
        <v>102229.93</v>
      </c>
      <c r="K1671" s="2">
        <f>Table1[[#This Row],[Salary_after]]-Table1[[#This Row],[Salary_before]]</f>
        <v>1912.0899999999965</v>
      </c>
      <c r="L1671" s="11">
        <v>1.9099999999999999E-2</v>
      </c>
      <c r="M1671" s="11">
        <v>0.1016</v>
      </c>
      <c r="N1671">
        <v>37.28</v>
      </c>
      <c r="O1671">
        <v>62.6</v>
      </c>
      <c r="P1671">
        <v>4</v>
      </c>
      <c r="Q1671" t="s">
        <v>25</v>
      </c>
      <c r="R1671">
        <v>32.99</v>
      </c>
      <c r="S1671">
        <v>1.91</v>
      </c>
      <c r="T1671" s="4">
        <v>24.105</v>
      </c>
      <c r="U1671" s="4">
        <v>23.39988</v>
      </c>
      <c r="V1671" t="str">
        <f>IF(Table1[[#This Row],[ai_disruption_intensity]]&gt;70,"High",
IF(Table1[[#This Row],[ai_disruption_intensity]]&gt;40,"Medium","Low"))</f>
        <v>Low</v>
      </c>
      <c r="W1671" t="str">
        <f>IF(Table1[[#This Row],[skill_gap_index]]&gt;70,"Large Gap",
IF(Table1[[#This Row],[skill_gap_index]]&gt;40,"Medium Gap","Small Gap"))</f>
        <v>Small Gap</v>
      </c>
      <c r="X1671" s="3" t="str">
        <f>IF(Table1[[#This Row],[automation_risk_percent]]&gt;0.7,"Highly Automatable",
IF(Table1[[#This Row],[automation_risk_percent]]&gt;0.4,"Moderate Risk","Safe Job"))</f>
        <v>Safe Job</v>
      </c>
    </row>
    <row r="1672" spans="1:24" x14ac:dyDescent="0.3">
      <c r="A1672">
        <v>6011</v>
      </c>
      <c r="B1672" t="s">
        <v>41</v>
      </c>
      <c r="C1672" t="s">
        <v>34</v>
      </c>
      <c r="D1672" t="s">
        <v>36</v>
      </c>
      <c r="E1672" s="1">
        <v>2025</v>
      </c>
      <c r="F1672" s="11">
        <v>0.85640000000000005</v>
      </c>
      <c r="G1672">
        <v>81.63</v>
      </c>
      <c r="H1672">
        <v>56.2</v>
      </c>
      <c r="I1672" s="2">
        <v>143722.76999999999</v>
      </c>
      <c r="J1672" s="2">
        <v>162779.88</v>
      </c>
      <c r="K1672" s="2">
        <f>Table1[[#This Row],[Salary_after]]-Table1[[#This Row],[Salary_before]]</f>
        <v>19057.110000000015</v>
      </c>
      <c r="L1672" s="11">
        <v>0.1326</v>
      </c>
      <c r="M1672" s="11">
        <v>0.16449999999999998</v>
      </c>
      <c r="N1672">
        <v>32.369999999999997</v>
      </c>
      <c r="O1672">
        <v>66.83</v>
      </c>
      <c r="P1672">
        <v>2</v>
      </c>
      <c r="Q1672" t="s">
        <v>37</v>
      </c>
      <c r="R1672">
        <v>70.92</v>
      </c>
      <c r="S1672">
        <v>13.26</v>
      </c>
      <c r="T1672" s="4">
        <v>55.094000000000001</v>
      </c>
      <c r="U1672" s="4">
        <v>57.233212000000002</v>
      </c>
      <c r="V1672" t="str">
        <f>IF(Table1[[#This Row],[ai_disruption_intensity]]&gt;70,"High",
IF(Table1[[#This Row],[ai_disruption_intensity]]&gt;40,"Medium","Low"))</f>
        <v>Medium</v>
      </c>
      <c r="W1672" t="str">
        <f>IF(Table1[[#This Row],[skill_gap_index]]&gt;70,"Large Gap",
IF(Table1[[#This Row],[skill_gap_index]]&gt;40,"Medium Gap","Small Gap"))</f>
        <v>Medium Gap</v>
      </c>
      <c r="X1672" s="3" t="str">
        <f>IF(Table1[[#This Row],[automation_risk_percent]]&gt;0.7,"Highly Automatable",
IF(Table1[[#This Row],[automation_risk_percent]]&gt;0.4,"Moderate Risk","Safe Job"))</f>
        <v>Highly Automatable</v>
      </c>
    </row>
    <row r="1673" spans="1:24" x14ac:dyDescent="0.3">
      <c r="A1673">
        <v>6012</v>
      </c>
      <c r="B1673" t="s">
        <v>26</v>
      </c>
      <c r="C1673" t="s">
        <v>23</v>
      </c>
      <c r="D1673" t="s">
        <v>32</v>
      </c>
      <c r="E1673" s="1">
        <v>2025</v>
      </c>
      <c r="F1673" s="11">
        <v>0.2757</v>
      </c>
      <c r="G1673">
        <v>32.1</v>
      </c>
      <c r="H1673">
        <v>12.95</v>
      </c>
      <c r="I1673" s="2">
        <v>64276.84</v>
      </c>
      <c r="J1673" s="2">
        <v>63173.1</v>
      </c>
      <c r="K1673" s="2">
        <f>Table1[[#This Row],[Salary_after]]-Table1[[#This Row],[Salary_before]]</f>
        <v>-1103.739999999998</v>
      </c>
      <c r="L1673" s="11">
        <v>-1.72E-2</v>
      </c>
      <c r="M1673" s="11">
        <v>-1.26E-2</v>
      </c>
      <c r="N1673">
        <v>23.35</v>
      </c>
      <c r="O1673">
        <v>84.51</v>
      </c>
      <c r="P1673">
        <v>2</v>
      </c>
      <c r="Q1673" t="s">
        <v>21</v>
      </c>
      <c r="R1673">
        <v>20.259999999999899</v>
      </c>
      <c r="S1673">
        <v>1.72</v>
      </c>
      <c r="T1673" s="4">
        <v>15.429</v>
      </c>
      <c r="U1673" s="4">
        <v>23.299406999999999</v>
      </c>
      <c r="V1673" t="str">
        <f>IF(Table1[[#This Row],[ai_disruption_intensity]]&gt;70,"High",
IF(Table1[[#This Row],[ai_disruption_intensity]]&gt;40,"Medium","Low"))</f>
        <v>Low</v>
      </c>
      <c r="W1673" t="str">
        <f>IF(Table1[[#This Row],[skill_gap_index]]&gt;70,"Large Gap",
IF(Table1[[#This Row],[skill_gap_index]]&gt;40,"Medium Gap","Small Gap"))</f>
        <v>Small Gap</v>
      </c>
      <c r="X1673" s="3" t="str">
        <f>IF(Table1[[#This Row],[automation_risk_percent]]&gt;0.7,"Highly Automatable",
IF(Table1[[#This Row],[automation_risk_percent]]&gt;0.4,"Moderate Risk","Safe Job"))</f>
        <v>Safe Job</v>
      </c>
    </row>
    <row r="1674" spans="1:24" x14ac:dyDescent="0.3">
      <c r="A1674">
        <v>6019</v>
      </c>
      <c r="B1674" t="s">
        <v>26</v>
      </c>
      <c r="C1674" t="s">
        <v>30</v>
      </c>
      <c r="D1674" t="s">
        <v>42</v>
      </c>
      <c r="E1674" s="1">
        <v>2025</v>
      </c>
      <c r="F1674" s="11">
        <v>0.42969999999999997</v>
      </c>
      <c r="G1674">
        <v>45.85</v>
      </c>
      <c r="H1674">
        <v>33.46</v>
      </c>
      <c r="I1674" s="2">
        <v>113117.08</v>
      </c>
      <c r="J1674" s="2">
        <v>129461.59</v>
      </c>
      <c r="K1674" s="2">
        <f>Table1[[#This Row],[Salary_after]]-Table1[[#This Row],[Salary_before]]</f>
        <v>16344.509999999995</v>
      </c>
      <c r="L1674" s="11">
        <v>0.14449999999999999</v>
      </c>
      <c r="M1674" s="11">
        <v>0.24670000000000003</v>
      </c>
      <c r="N1674">
        <v>69.67</v>
      </c>
      <c r="O1674">
        <v>60.34</v>
      </c>
      <c r="P1674">
        <v>5</v>
      </c>
      <c r="Q1674" t="s">
        <v>25</v>
      </c>
      <c r="R1674">
        <v>38.215000000000003</v>
      </c>
      <c r="S1674">
        <v>14.45</v>
      </c>
      <c r="T1674" s="4">
        <v>31.561</v>
      </c>
      <c r="U1674" s="4">
        <v>25.928097999999999</v>
      </c>
      <c r="V1674" t="str">
        <f>IF(Table1[[#This Row],[ai_disruption_intensity]]&gt;70,"High",
IF(Table1[[#This Row],[ai_disruption_intensity]]&gt;40,"Medium","Low"))</f>
        <v>Low</v>
      </c>
      <c r="W1674" t="str">
        <f>IF(Table1[[#This Row],[skill_gap_index]]&gt;70,"Large Gap",
IF(Table1[[#This Row],[skill_gap_index]]&gt;40,"Medium Gap","Small Gap"))</f>
        <v>Small Gap</v>
      </c>
      <c r="X1674" s="3" t="str">
        <f>IF(Table1[[#This Row],[automation_risk_percent]]&gt;0.7,"Highly Automatable",
IF(Table1[[#This Row],[automation_risk_percent]]&gt;0.4,"Moderate Risk","Safe Job"))</f>
        <v>Moderate Risk</v>
      </c>
    </row>
    <row r="1675" spans="1:24" x14ac:dyDescent="0.3">
      <c r="A1675">
        <v>6027</v>
      </c>
      <c r="B1675" t="s">
        <v>29</v>
      </c>
      <c r="C1675" t="s">
        <v>23</v>
      </c>
      <c r="D1675" t="s">
        <v>36</v>
      </c>
      <c r="E1675" s="1">
        <v>2026</v>
      </c>
      <c r="F1675" s="11">
        <v>0.91839999999999999</v>
      </c>
      <c r="G1675">
        <v>105.6</v>
      </c>
      <c r="H1675">
        <v>16.940000000000001</v>
      </c>
      <c r="I1675" s="2">
        <v>143690.29999999999</v>
      </c>
      <c r="J1675" s="2">
        <v>156928</v>
      </c>
      <c r="K1675" s="2">
        <f>Table1[[#This Row],[Salary_after]]-Table1[[#This Row],[Salary_before]]</f>
        <v>13237.700000000012</v>
      </c>
      <c r="L1675" s="11">
        <v>9.2100000000000015E-2</v>
      </c>
      <c r="M1675" s="11">
        <v>0.19539999999999999</v>
      </c>
      <c r="N1675">
        <v>39.19</v>
      </c>
      <c r="O1675">
        <v>13.31</v>
      </c>
      <c r="P1675">
        <v>2</v>
      </c>
      <c r="Q1675" t="s">
        <v>37</v>
      </c>
      <c r="R1675">
        <v>54.39</v>
      </c>
      <c r="S1675">
        <v>9.2100000000000009</v>
      </c>
      <c r="T1675" s="4">
        <v>44.581000000000003</v>
      </c>
      <c r="U1675" s="4">
        <v>12.223903999999999</v>
      </c>
      <c r="V1675" t="str">
        <f>IF(Table1[[#This Row],[ai_disruption_intensity]]&gt;70,"High",
IF(Table1[[#This Row],[ai_disruption_intensity]]&gt;40,"Medium","Low"))</f>
        <v>Low</v>
      </c>
      <c r="W1675" t="str">
        <f>IF(Table1[[#This Row],[skill_gap_index]]&gt;70,"Large Gap",
IF(Table1[[#This Row],[skill_gap_index]]&gt;40,"Medium Gap","Small Gap"))</f>
        <v>Small Gap</v>
      </c>
      <c r="X1675" s="3" t="str">
        <f>IF(Table1[[#This Row],[automation_risk_percent]]&gt;0.7,"Highly Automatable",
IF(Table1[[#This Row],[automation_risk_percent]]&gt;0.4,"Moderate Risk","Safe Job"))</f>
        <v>Highly Automatable</v>
      </c>
    </row>
    <row r="1676" spans="1:24" x14ac:dyDescent="0.3">
      <c r="A1676">
        <v>6028</v>
      </c>
      <c r="B1676" t="s">
        <v>26</v>
      </c>
      <c r="C1676" t="s">
        <v>38</v>
      </c>
      <c r="D1676" t="s">
        <v>24</v>
      </c>
      <c r="E1676" s="1">
        <v>2026</v>
      </c>
      <c r="F1676" s="11">
        <v>8.8300000000000003E-2</v>
      </c>
      <c r="G1676">
        <v>10.130000000000001</v>
      </c>
      <c r="H1676">
        <v>43.24</v>
      </c>
      <c r="I1676" s="2">
        <v>97182.22</v>
      </c>
      <c r="J1676" s="2">
        <v>96358.81</v>
      </c>
      <c r="K1676" s="2">
        <f>Table1[[#This Row],[Salary_after]]-Table1[[#This Row],[Salary_before]]</f>
        <v>-823.41000000000349</v>
      </c>
      <c r="L1676" s="11">
        <v>-8.5000000000000006E-3</v>
      </c>
      <c r="M1676" s="11">
        <v>6.5000000000000002E-2</v>
      </c>
      <c r="N1676">
        <v>78.75</v>
      </c>
      <c r="O1676">
        <v>47.05</v>
      </c>
      <c r="P1676">
        <v>1</v>
      </c>
      <c r="Q1676" t="s">
        <v>21</v>
      </c>
      <c r="R1676">
        <v>26.035</v>
      </c>
      <c r="S1676">
        <v>0.85</v>
      </c>
      <c r="T1676" s="4">
        <v>16.758999999999901</v>
      </c>
      <c r="U1676" s="4">
        <v>4.154515</v>
      </c>
      <c r="V1676" t="str">
        <f>IF(Table1[[#This Row],[ai_disruption_intensity]]&gt;70,"High",
IF(Table1[[#This Row],[ai_disruption_intensity]]&gt;40,"Medium","Low"))</f>
        <v>Low</v>
      </c>
      <c r="W1676" t="str">
        <f>IF(Table1[[#This Row],[skill_gap_index]]&gt;70,"Large Gap",
IF(Table1[[#This Row],[skill_gap_index]]&gt;40,"Medium Gap","Small Gap"))</f>
        <v>Medium Gap</v>
      </c>
      <c r="X1676" s="3" t="str">
        <f>IF(Table1[[#This Row],[automation_risk_percent]]&gt;0.7,"Highly Automatable",
IF(Table1[[#This Row],[automation_risk_percent]]&gt;0.4,"Moderate Risk","Safe Job"))</f>
        <v>Safe Job</v>
      </c>
    </row>
    <row r="1677" spans="1:24" x14ac:dyDescent="0.3">
      <c r="A1677">
        <v>6029</v>
      </c>
      <c r="B1677" t="s">
        <v>44</v>
      </c>
      <c r="C1677" t="s">
        <v>40</v>
      </c>
      <c r="D1677" t="s">
        <v>47</v>
      </c>
      <c r="E1677" s="1">
        <v>2026</v>
      </c>
      <c r="F1677" s="11">
        <v>0.24890000000000001</v>
      </c>
      <c r="G1677">
        <v>28.41</v>
      </c>
      <c r="H1677">
        <v>67.989999999999995</v>
      </c>
      <c r="I1677" s="2">
        <v>41390.6</v>
      </c>
      <c r="J1677" s="2">
        <v>46216.56</v>
      </c>
      <c r="K1677" s="2">
        <f>Table1[[#This Row],[Salary_after]]-Table1[[#This Row],[Salary_before]]</f>
        <v>4825.9599999999991</v>
      </c>
      <c r="L1677" s="11">
        <v>0.1166</v>
      </c>
      <c r="M1677" s="11">
        <v>6.3799999999999996E-2</v>
      </c>
      <c r="N1677">
        <v>16.02</v>
      </c>
      <c r="O1677">
        <v>41.63</v>
      </c>
      <c r="P1677">
        <v>3</v>
      </c>
      <c r="Q1677" t="s">
        <v>21</v>
      </c>
      <c r="R1677">
        <v>46.44</v>
      </c>
      <c r="S1677">
        <v>11.66</v>
      </c>
      <c r="T1677" s="4">
        <v>33.850999999999999</v>
      </c>
      <c r="U1677" s="4">
        <v>10.361706999999999</v>
      </c>
      <c r="V1677" t="str">
        <f>IF(Table1[[#This Row],[ai_disruption_intensity]]&gt;70,"High",
IF(Table1[[#This Row],[ai_disruption_intensity]]&gt;40,"Medium","Low"))</f>
        <v>Low</v>
      </c>
      <c r="W1677" t="str">
        <f>IF(Table1[[#This Row],[skill_gap_index]]&gt;70,"Large Gap",
IF(Table1[[#This Row],[skill_gap_index]]&gt;40,"Medium Gap","Small Gap"))</f>
        <v>Medium Gap</v>
      </c>
      <c r="X1677" s="3" t="str">
        <f>IF(Table1[[#This Row],[automation_risk_percent]]&gt;0.7,"Highly Automatable",
IF(Table1[[#This Row],[automation_risk_percent]]&gt;0.4,"Moderate Risk","Safe Job"))</f>
        <v>Safe Job</v>
      </c>
    </row>
    <row r="1678" spans="1:24" x14ac:dyDescent="0.3">
      <c r="A1678">
        <v>6034</v>
      </c>
      <c r="B1678" t="s">
        <v>46</v>
      </c>
      <c r="C1678" t="s">
        <v>30</v>
      </c>
      <c r="D1678" t="s">
        <v>24</v>
      </c>
      <c r="E1678" s="1">
        <v>2025</v>
      </c>
      <c r="F1678" s="11">
        <v>0.66599999999999993</v>
      </c>
      <c r="G1678">
        <v>57.39</v>
      </c>
      <c r="H1678">
        <v>54.54</v>
      </c>
      <c r="I1678" s="2">
        <v>52394.080000000002</v>
      </c>
      <c r="J1678" s="2">
        <v>54056.31</v>
      </c>
      <c r="K1678" s="2">
        <f>Table1[[#This Row],[Salary_after]]-Table1[[#This Row],[Salary_before]]</f>
        <v>1662.2299999999959</v>
      </c>
      <c r="L1678" s="11">
        <v>3.1699999999999999E-2</v>
      </c>
      <c r="M1678" s="11">
        <v>0.19409999999999999</v>
      </c>
      <c r="N1678">
        <v>28.2</v>
      </c>
      <c r="O1678">
        <v>86.62</v>
      </c>
      <c r="P1678">
        <v>1</v>
      </c>
      <c r="Q1678" t="s">
        <v>37</v>
      </c>
      <c r="R1678">
        <v>60.569999999999901</v>
      </c>
      <c r="S1678">
        <v>3.17</v>
      </c>
      <c r="T1678" s="4">
        <v>43.952999999999903</v>
      </c>
      <c r="U1678" s="4">
        <v>57.688919999999897</v>
      </c>
      <c r="V1678" t="str">
        <f>IF(Table1[[#This Row],[ai_disruption_intensity]]&gt;70,"High",
IF(Table1[[#This Row],[ai_disruption_intensity]]&gt;40,"Medium","Low"))</f>
        <v>Medium</v>
      </c>
      <c r="W1678" t="str">
        <f>IF(Table1[[#This Row],[skill_gap_index]]&gt;70,"Large Gap",
IF(Table1[[#This Row],[skill_gap_index]]&gt;40,"Medium Gap","Small Gap"))</f>
        <v>Medium Gap</v>
      </c>
      <c r="X1678" s="3" t="str">
        <f>IF(Table1[[#This Row],[automation_risk_percent]]&gt;0.7,"Highly Automatable",
IF(Table1[[#This Row],[automation_risk_percent]]&gt;0.4,"Moderate Risk","Safe Job"))</f>
        <v>Moderate Risk</v>
      </c>
    </row>
    <row r="1679" spans="1:24" x14ac:dyDescent="0.3">
      <c r="A1679">
        <v>6037</v>
      </c>
      <c r="B1679" t="s">
        <v>29</v>
      </c>
      <c r="C1679" t="s">
        <v>38</v>
      </c>
      <c r="D1679" t="s">
        <v>31</v>
      </c>
      <c r="E1679" s="1">
        <v>2026</v>
      </c>
      <c r="F1679" s="11">
        <v>0.70950000000000002</v>
      </c>
      <c r="G1679">
        <v>79.599999999999994</v>
      </c>
      <c r="H1679">
        <v>45.34</v>
      </c>
      <c r="I1679" s="2">
        <v>134985.67000000001</v>
      </c>
      <c r="J1679" s="2">
        <v>145390.94</v>
      </c>
      <c r="K1679" s="2">
        <f>Table1[[#This Row],[Salary_after]]-Table1[[#This Row],[Salary_before]]</f>
        <v>10405.26999999999</v>
      </c>
      <c r="L1679" s="11">
        <v>7.7100000000000002E-2</v>
      </c>
      <c r="M1679" s="11">
        <v>-5.0099999999999999E-2</v>
      </c>
      <c r="N1679">
        <v>31.76</v>
      </c>
      <c r="O1679">
        <v>3.99</v>
      </c>
      <c r="P1679">
        <v>2</v>
      </c>
      <c r="Q1679" t="s">
        <v>37</v>
      </c>
      <c r="R1679">
        <v>58.145000000000003</v>
      </c>
      <c r="S1679">
        <v>7.71</v>
      </c>
      <c r="T1679" s="4">
        <v>44.295000000000002</v>
      </c>
      <c r="U1679" s="4">
        <v>2.830905</v>
      </c>
      <c r="V1679" t="str">
        <f>IF(Table1[[#This Row],[ai_disruption_intensity]]&gt;70,"High",
IF(Table1[[#This Row],[ai_disruption_intensity]]&gt;40,"Medium","Low"))</f>
        <v>Low</v>
      </c>
      <c r="W1679" t="str">
        <f>IF(Table1[[#This Row],[skill_gap_index]]&gt;70,"Large Gap",
IF(Table1[[#This Row],[skill_gap_index]]&gt;40,"Medium Gap","Small Gap"))</f>
        <v>Medium Gap</v>
      </c>
      <c r="X1679" s="3" t="str">
        <f>IF(Table1[[#This Row],[automation_risk_percent]]&gt;0.7,"Highly Automatable",
IF(Table1[[#This Row],[automation_risk_percent]]&gt;0.4,"Moderate Risk","Safe Job"))</f>
        <v>Highly Automatable</v>
      </c>
    </row>
    <row r="1680" spans="1:24" x14ac:dyDescent="0.3">
      <c r="A1680">
        <v>6040</v>
      </c>
      <c r="B1680" t="s">
        <v>46</v>
      </c>
      <c r="C1680" t="s">
        <v>34</v>
      </c>
      <c r="D1680" t="s">
        <v>42</v>
      </c>
      <c r="E1680" s="1">
        <v>2025</v>
      </c>
      <c r="F1680" s="11">
        <v>0.25690000000000002</v>
      </c>
      <c r="G1680">
        <v>21.21</v>
      </c>
      <c r="H1680">
        <v>63.08</v>
      </c>
      <c r="I1680" s="2">
        <v>68067.210000000006</v>
      </c>
      <c r="J1680" s="2">
        <v>67407.11</v>
      </c>
      <c r="K1680" s="2">
        <f>Table1[[#This Row],[Salary_after]]-Table1[[#This Row],[Salary_before]]</f>
        <v>-660.10000000000582</v>
      </c>
      <c r="L1680" s="11">
        <v>-9.7000000000000003E-3</v>
      </c>
      <c r="M1680" s="11">
        <v>5.5500000000000001E-2</v>
      </c>
      <c r="N1680">
        <v>43.27</v>
      </c>
      <c r="O1680">
        <v>10.88</v>
      </c>
      <c r="P1680">
        <v>2</v>
      </c>
      <c r="Q1680" t="s">
        <v>21</v>
      </c>
      <c r="R1680">
        <v>44.384999999999998</v>
      </c>
      <c r="S1680">
        <v>0.97</v>
      </c>
      <c r="T1680" s="4">
        <v>29.491</v>
      </c>
      <c r="U1680" s="4">
        <v>2.7950719999999998</v>
      </c>
      <c r="V1680" t="str">
        <f>IF(Table1[[#This Row],[ai_disruption_intensity]]&gt;70,"High",
IF(Table1[[#This Row],[ai_disruption_intensity]]&gt;40,"Medium","Low"))</f>
        <v>Low</v>
      </c>
      <c r="W1680" t="str">
        <f>IF(Table1[[#This Row],[skill_gap_index]]&gt;70,"Large Gap",
IF(Table1[[#This Row],[skill_gap_index]]&gt;40,"Medium Gap","Small Gap"))</f>
        <v>Medium Gap</v>
      </c>
      <c r="X1680" s="3" t="str">
        <f>IF(Table1[[#This Row],[automation_risk_percent]]&gt;0.7,"Highly Automatable",
IF(Table1[[#This Row],[automation_risk_percent]]&gt;0.4,"Moderate Risk","Safe Job"))</f>
        <v>Safe Job</v>
      </c>
    </row>
    <row r="1681" spans="1:24" x14ac:dyDescent="0.3">
      <c r="A1681">
        <v>6042</v>
      </c>
      <c r="B1681" t="s">
        <v>39</v>
      </c>
      <c r="C1681" t="s">
        <v>34</v>
      </c>
      <c r="D1681" t="s">
        <v>47</v>
      </c>
      <c r="E1681" s="1">
        <v>2025</v>
      </c>
      <c r="F1681" s="11">
        <v>0.1472</v>
      </c>
      <c r="G1681">
        <v>12.75</v>
      </c>
      <c r="H1681">
        <v>12.85</v>
      </c>
      <c r="I1681" s="2">
        <v>82305.33</v>
      </c>
      <c r="J1681" s="2">
        <v>80530.75</v>
      </c>
      <c r="K1681" s="2">
        <f>Table1[[#This Row],[Salary_after]]-Table1[[#This Row],[Salary_before]]</f>
        <v>-1774.5800000000017</v>
      </c>
      <c r="L1681" s="11">
        <v>-2.1600000000000001E-2</v>
      </c>
      <c r="M1681" s="11">
        <v>8.5000000000000006E-2</v>
      </c>
      <c r="N1681">
        <v>53.7</v>
      </c>
      <c r="O1681">
        <v>51.91</v>
      </c>
      <c r="P1681">
        <v>4</v>
      </c>
      <c r="Q1681" t="s">
        <v>21</v>
      </c>
      <c r="R1681">
        <v>13.785</v>
      </c>
      <c r="S1681">
        <v>2.16</v>
      </c>
      <c r="T1681" s="4">
        <v>10.391</v>
      </c>
      <c r="U1681" s="4">
        <v>7.6411519999999999</v>
      </c>
      <c r="V1681" t="str">
        <f>IF(Table1[[#This Row],[ai_disruption_intensity]]&gt;70,"High",
IF(Table1[[#This Row],[ai_disruption_intensity]]&gt;40,"Medium","Low"))</f>
        <v>Low</v>
      </c>
      <c r="W1681" t="str">
        <f>IF(Table1[[#This Row],[skill_gap_index]]&gt;70,"Large Gap",
IF(Table1[[#This Row],[skill_gap_index]]&gt;40,"Medium Gap","Small Gap"))</f>
        <v>Small Gap</v>
      </c>
      <c r="X1681" s="3" t="str">
        <f>IF(Table1[[#This Row],[automation_risk_percent]]&gt;0.7,"Highly Automatable",
IF(Table1[[#This Row],[automation_risk_percent]]&gt;0.4,"Moderate Risk","Safe Job"))</f>
        <v>Safe Job</v>
      </c>
    </row>
    <row r="1682" spans="1:24" x14ac:dyDescent="0.3">
      <c r="A1682">
        <v>6052</v>
      </c>
      <c r="B1682" t="s">
        <v>46</v>
      </c>
      <c r="C1682" t="s">
        <v>34</v>
      </c>
      <c r="D1682" t="s">
        <v>20</v>
      </c>
      <c r="E1682" s="1">
        <v>2026</v>
      </c>
      <c r="F1682" s="11">
        <v>0.39679999999999999</v>
      </c>
      <c r="G1682">
        <v>39.49</v>
      </c>
      <c r="H1682">
        <v>73.53</v>
      </c>
      <c r="I1682" s="2">
        <v>71957.48</v>
      </c>
      <c r="J1682" s="2">
        <v>70311.77</v>
      </c>
      <c r="K1682" s="2">
        <f>Table1[[#This Row],[Salary_after]]-Table1[[#This Row],[Salary_before]]</f>
        <v>-1645.7099999999919</v>
      </c>
      <c r="L1682" s="11">
        <v>-2.29E-2</v>
      </c>
      <c r="M1682" s="11">
        <v>5.5999999999999994E-2</v>
      </c>
      <c r="N1682">
        <v>84.19</v>
      </c>
      <c r="O1682">
        <v>99.8</v>
      </c>
      <c r="P1682">
        <v>4</v>
      </c>
      <c r="Q1682" t="s">
        <v>25</v>
      </c>
      <c r="R1682">
        <v>56.604999999999997</v>
      </c>
      <c r="S1682">
        <v>2.29</v>
      </c>
      <c r="T1682" s="4">
        <v>38.617999999999903</v>
      </c>
      <c r="U1682" s="4">
        <v>39.600639999999999</v>
      </c>
      <c r="V1682" t="str">
        <f>IF(Table1[[#This Row],[ai_disruption_intensity]]&gt;70,"High",
IF(Table1[[#This Row],[ai_disruption_intensity]]&gt;40,"Medium","Low"))</f>
        <v>Low</v>
      </c>
      <c r="W1682" t="str">
        <f>IF(Table1[[#This Row],[skill_gap_index]]&gt;70,"Large Gap",
IF(Table1[[#This Row],[skill_gap_index]]&gt;40,"Medium Gap","Small Gap"))</f>
        <v>Large Gap</v>
      </c>
      <c r="X1682" s="3" t="str">
        <f>IF(Table1[[#This Row],[automation_risk_percent]]&gt;0.7,"Highly Automatable",
IF(Table1[[#This Row],[automation_risk_percent]]&gt;0.4,"Moderate Risk","Safe Job"))</f>
        <v>Safe Job</v>
      </c>
    </row>
    <row r="1683" spans="1:24" x14ac:dyDescent="0.3">
      <c r="A1683">
        <v>6053</v>
      </c>
      <c r="B1683" t="s">
        <v>18</v>
      </c>
      <c r="C1683" t="s">
        <v>38</v>
      </c>
      <c r="D1683" t="s">
        <v>28</v>
      </c>
      <c r="E1683" s="1">
        <v>2025</v>
      </c>
      <c r="F1683" s="11">
        <v>0.76829999999999998</v>
      </c>
      <c r="G1683">
        <v>72.52</v>
      </c>
      <c r="H1683">
        <v>53.11</v>
      </c>
      <c r="I1683" s="2">
        <v>58346.04</v>
      </c>
      <c r="J1683" s="2">
        <v>55992.58</v>
      </c>
      <c r="K1683" s="2">
        <f>Table1[[#This Row],[Salary_after]]-Table1[[#This Row],[Salary_before]]</f>
        <v>-2353.4599999999991</v>
      </c>
      <c r="L1683" s="11">
        <v>-4.0300000000000002E-2</v>
      </c>
      <c r="M1683" s="11">
        <v>-0.1363</v>
      </c>
      <c r="N1683">
        <v>77.239999999999995</v>
      </c>
      <c r="O1683">
        <v>1.79</v>
      </c>
      <c r="P1683">
        <v>3</v>
      </c>
      <c r="Q1683" t="s">
        <v>37</v>
      </c>
      <c r="R1683">
        <v>64.97</v>
      </c>
      <c r="S1683">
        <v>4.03</v>
      </c>
      <c r="T1683" s="4">
        <v>47.874000000000002</v>
      </c>
      <c r="U1683" s="4">
        <v>1.375257</v>
      </c>
      <c r="V1683" t="str">
        <f>IF(Table1[[#This Row],[ai_disruption_intensity]]&gt;70,"High",
IF(Table1[[#This Row],[ai_disruption_intensity]]&gt;40,"Medium","Low"))</f>
        <v>Low</v>
      </c>
      <c r="W1683" t="str">
        <f>IF(Table1[[#This Row],[skill_gap_index]]&gt;70,"Large Gap",
IF(Table1[[#This Row],[skill_gap_index]]&gt;40,"Medium Gap","Small Gap"))</f>
        <v>Medium Gap</v>
      </c>
      <c r="X1683" s="3" t="str">
        <f>IF(Table1[[#This Row],[automation_risk_percent]]&gt;0.7,"Highly Automatable",
IF(Table1[[#This Row],[automation_risk_percent]]&gt;0.4,"Moderate Risk","Safe Job"))</f>
        <v>Highly Automatable</v>
      </c>
    </row>
    <row r="1684" spans="1:24" x14ac:dyDescent="0.3">
      <c r="A1684">
        <v>6054</v>
      </c>
      <c r="B1684" t="s">
        <v>18</v>
      </c>
      <c r="C1684" t="s">
        <v>33</v>
      </c>
      <c r="D1684" t="s">
        <v>36</v>
      </c>
      <c r="E1684" s="1">
        <v>2025</v>
      </c>
      <c r="F1684" s="11">
        <v>0.37560000000000004</v>
      </c>
      <c r="G1684">
        <v>38.409999999999997</v>
      </c>
      <c r="H1684">
        <v>21.52</v>
      </c>
      <c r="I1684" s="2">
        <v>39417.440000000002</v>
      </c>
      <c r="J1684" s="2">
        <v>47886.07</v>
      </c>
      <c r="K1684" s="2">
        <f>Table1[[#This Row],[Salary_after]]-Table1[[#This Row],[Salary_before]]</f>
        <v>8468.6299999999974</v>
      </c>
      <c r="L1684" s="11">
        <v>0.21479999999999999</v>
      </c>
      <c r="M1684" s="11">
        <v>0.11169999999999999</v>
      </c>
      <c r="N1684">
        <v>67.69</v>
      </c>
      <c r="O1684">
        <v>35.659999999999997</v>
      </c>
      <c r="P1684">
        <v>3</v>
      </c>
      <c r="Q1684" t="s">
        <v>25</v>
      </c>
      <c r="R1684">
        <v>29.54</v>
      </c>
      <c r="S1684">
        <v>21.48</v>
      </c>
      <c r="T1684" s="4">
        <v>27.923999999999999</v>
      </c>
      <c r="U1684" s="4">
        <v>13.393896</v>
      </c>
      <c r="V1684" t="str">
        <f>IF(Table1[[#This Row],[ai_disruption_intensity]]&gt;70,"High",
IF(Table1[[#This Row],[ai_disruption_intensity]]&gt;40,"Medium","Low"))</f>
        <v>Low</v>
      </c>
      <c r="W1684" t="str">
        <f>IF(Table1[[#This Row],[skill_gap_index]]&gt;70,"Large Gap",
IF(Table1[[#This Row],[skill_gap_index]]&gt;40,"Medium Gap","Small Gap"))</f>
        <v>Small Gap</v>
      </c>
      <c r="X1684" s="3" t="str">
        <f>IF(Table1[[#This Row],[automation_risk_percent]]&gt;0.7,"Highly Automatable",
IF(Table1[[#This Row],[automation_risk_percent]]&gt;0.4,"Moderate Risk","Safe Job"))</f>
        <v>Safe Job</v>
      </c>
    </row>
    <row r="1685" spans="1:24" x14ac:dyDescent="0.3">
      <c r="A1685">
        <v>6055</v>
      </c>
      <c r="B1685" t="s">
        <v>39</v>
      </c>
      <c r="C1685" t="s">
        <v>40</v>
      </c>
      <c r="D1685" t="s">
        <v>32</v>
      </c>
      <c r="E1685" s="1">
        <v>2025</v>
      </c>
      <c r="F1685" s="11">
        <v>0.26619999999999999</v>
      </c>
      <c r="G1685">
        <v>23.64</v>
      </c>
      <c r="H1685">
        <v>4.05</v>
      </c>
      <c r="I1685" s="2">
        <v>52162</v>
      </c>
      <c r="J1685" s="2">
        <v>42767.78</v>
      </c>
      <c r="K1685" s="2">
        <f>Table1[[#This Row],[Salary_after]]-Table1[[#This Row],[Salary_before]]</f>
        <v>-9394.2200000000012</v>
      </c>
      <c r="L1685" s="11">
        <v>-0.18010000000000001</v>
      </c>
      <c r="M1685" s="11">
        <v>-3.6400000000000002E-2</v>
      </c>
      <c r="N1685">
        <v>26.01</v>
      </c>
      <c r="O1685">
        <v>11.09</v>
      </c>
      <c r="P1685">
        <v>3</v>
      </c>
      <c r="Q1685" t="s">
        <v>21</v>
      </c>
      <c r="R1685">
        <v>15.335000000000001</v>
      </c>
      <c r="S1685">
        <v>18.010000000000002</v>
      </c>
      <c r="T1685" s="4">
        <v>17.265999999999998</v>
      </c>
      <c r="U1685" s="4">
        <v>2.9521579999999998</v>
      </c>
      <c r="V1685" t="str">
        <f>IF(Table1[[#This Row],[ai_disruption_intensity]]&gt;70,"High",
IF(Table1[[#This Row],[ai_disruption_intensity]]&gt;40,"Medium","Low"))</f>
        <v>Low</v>
      </c>
      <c r="W1685" t="str">
        <f>IF(Table1[[#This Row],[skill_gap_index]]&gt;70,"Large Gap",
IF(Table1[[#This Row],[skill_gap_index]]&gt;40,"Medium Gap","Small Gap"))</f>
        <v>Small Gap</v>
      </c>
      <c r="X1685" s="3" t="str">
        <f>IF(Table1[[#This Row],[automation_risk_percent]]&gt;0.7,"Highly Automatable",
IF(Table1[[#This Row],[automation_risk_percent]]&gt;0.4,"Moderate Risk","Safe Job"))</f>
        <v>Safe Job</v>
      </c>
    </row>
    <row r="1686" spans="1:24" x14ac:dyDescent="0.3">
      <c r="A1686">
        <v>6061</v>
      </c>
      <c r="B1686" t="s">
        <v>29</v>
      </c>
      <c r="C1686" t="s">
        <v>19</v>
      </c>
      <c r="D1686" t="s">
        <v>20</v>
      </c>
      <c r="E1686" s="1">
        <v>2025</v>
      </c>
      <c r="F1686" s="11">
        <v>0.88239999999999996</v>
      </c>
      <c r="G1686">
        <v>74.959999999999994</v>
      </c>
      <c r="H1686">
        <v>67.010000000000005</v>
      </c>
      <c r="I1686" s="2">
        <v>125454.53</v>
      </c>
      <c r="J1686" s="2">
        <v>148877.85999999999</v>
      </c>
      <c r="K1686" s="2">
        <f>Table1[[#This Row],[Salary_after]]-Table1[[#This Row],[Salary_before]]</f>
        <v>23423.329999999987</v>
      </c>
      <c r="L1686" s="11">
        <v>0.1867</v>
      </c>
      <c r="M1686" s="11">
        <v>-0.1595</v>
      </c>
      <c r="N1686">
        <v>30.46</v>
      </c>
      <c r="O1686">
        <v>92.36</v>
      </c>
      <c r="P1686">
        <v>2</v>
      </c>
      <c r="Q1686" t="s">
        <v>37</v>
      </c>
      <c r="R1686">
        <v>77.625</v>
      </c>
      <c r="S1686">
        <v>18.670000000000002</v>
      </c>
      <c r="T1686" s="4">
        <v>61</v>
      </c>
      <c r="U1686" s="4">
        <v>81.498463999999998</v>
      </c>
      <c r="V1686" t="str">
        <f>IF(Table1[[#This Row],[ai_disruption_intensity]]&gt;70,"High",
IF(Table1[[#This Row],[ai_disruption_intensity]]&gt;40,"Medium","Low"))</f>
        <v>High</v>
      </c>
      <c r="W1686" t="str">
        <f>IF(Table1[[#This Row],[skill_gap_index]]&gt;70,"Large Gap",
IF(Table1[[#This Row],[skill_gap_index]]&gt;40,"Medium Gap","Small Gap"))</f>
        <v>Medium Gap</v>
      </c>
      <c r="X1686" s="3" t="str">
        <f>IF(Table1[[#This Row],[automation_risk_percent]]&gt;0.7,"Highly Automatable",
IF(Table1[[#This Row],[automation_risk_percent]]&gt;0.4,"Moderate Risk","Safe Job"))</f>
        <v>Highly Automatable</v>
      </c>
    </row>
    <row r="1687" spans="1:24" x14ac:dyDescent="0.3">
      <c r="A1687">
        <v>6062</v>
      </c>
      <c r="B1687" t="s">
        <v>22</v>
      </c>
      <c r="C1687" t="s">
        <v>27</v>
      </c>
      <c r="D1687" t="s">
        <v>32</v>
      </c>
      <c r="E1687" s="1">
        <v>2025</v>
      </c>
      <c r="F1687" s="11">
        <v>0.31129999999999997</v>
      </c>
      <c r="G1687">
        <v>27.61</v>
      </c>
      <c r="H1687">
        <v>52.54</v>
      </c>
      <c r="I1687" s="2">
        <v>52861.65</v>
      </c>
      <c r="J1687" s="2">
        <v>53707.08</v>
      </c>
      <c r="K1687" s="2">
        <f>Table1[[#This Row],[Salary_after]]-Table1[[#This Row],[Salary_before]]</f>
        <v>845.43000000000029</v>
      </c>
      <c r="L1687" s="11">
        <v>1.6E-2</v>
      </c>
      <c r="M1687" s="11">
        <v>0.2475</v>
      </c>
      <c r="N1687">
        <v>23.3</v>
      </c>
      <c r="O1687">
        <v>6.72</v>
      </c>
      <c r="P1687">
        <v>2</v>
      </c>
      <c r="Q1687" t="s">
        <v>25</v>
      </c>
      <c r="R1687">
        <v>41.835000000000001</v>
      </c>
      <c r="S1687">
        <v>1.6</v>
      </c>
      <c r="T1687" s="4">
        <v>28.693999999999999</v>
      </c>
      <c r="U1687" s="4">
        <v>2.0919359999999898</v>
      </c>
      <c r="V1687" t="str">
        <f>IF(Table1[[#This Row],[ai_disruption_intensity]]&gt;70,"High",
IF(Table1[[#This Row],[ai_disruption_intensity]]&gt;40,"Medium","Low"))</f>
        <v>Low</v>
      </c>
      <c r="W1687" t="str">
        <f>IF(Table1[[#This Row],[skill_gap_index]]&gt;70,"Large Gap",
IF(Table1[[#This Row],[skill_gap_index]]&gt;40,"Medium Gap","Small Gap"))</f>
        <v>Medium Gap</v>
      </c>
      <c r="X1687" s="3" t="str">
        <f>IF(Table1[[#This Row],[automation_risk_percent]]&gt;0.7,"Highly Automatable",
IF(Table1[[#This Row],[automation_risk_percent]]&gt;0.4,"Moderate Risk","Safe Job"))</f>
        <v>Safe Job</v>
      </c>
    </row>
    <row r="1688" spans="1:24" x14ac:dyDescent="0.3">
      <c r="A1688">
        <v>6063</v>
      </c>
      <c r="B1688" t="s">
        <v>22</v>
      </c>
      <c r="C1688" t="s">
        <v>30</v>
      </c>
      <c r="D1688" t="s">
        <v>28</v>
      </c>
      <c r="E1688" s="1">
        <v>2026</v>
      </c>
      <c r="F1688" s="11">
        <v>0.19589999999999999</v>
      </c>
      <c r="G1688">
        <v>16.739999999999998</v>
      </c>
      <c r="H1688">
        <v>31.29</v>
      </c>
      <c r="I1688" s="2">
        <v>129992.48</v>
      </c>
      <c r="J1688" s="2">
        <v>136418.78</v>
      </c>
      <c r="K1688" s="2">
        <f>Table1[[#This Row],[Salary_after]]-Table1[[#This Row],[Salary_before]]</f>
        <v>6426.3000000000029</v>
      </c>
      <c r="L1688" s="11">
        <v>4.9400000000000006E-2</v>
      </c>
      <c r="M1688" s="11">
        <v>-0.13269999999999998</v>
      </c>
      <c r="N1688">
        <v>78.66</v>
      </c>
      <c r="O1688">
        <v>92.12</v>
      </c>
      <c r="P1688">
        <v>2</v>
      </c>
      <c r="Q1688" t="s">
        <v>21</v>
      </c>
      <c r="R1688">
        <v>25.439999999999898</v>
      </c>
      <c r="S1688">
        <v>4.9400000000000004</v>
      </c>
      <c r="T1688" s="4">
        <v>18.704999999999998</v>
      </c>
      <c r="U1688" s="4">
        <v>18.046308</v>
      </c>
      <c r="V1688" t="str">
        <f>IF(Table1[[#This Row],[ai_disruption_intensity]]&gt;70,"High",
IF(Table1[[#This Row],[ai_disruption_intensity]]&gt;40,"Medium","Low"))</f>
        <v>Low</v>
      </c>
      <c r="W1688" t="str">
        <f>IF(Table1[[#This Row],[skill_gap_index]]&gt;70,"Large Gap",
IF(Table1[[#This Row],[skill_gap_index]]&gt;40,"Medium Gap","Small Gap"))</f>
        <v>Small Gap</v>
      </c>
      <c r="X1688" s="3" t="str">
        <f>IF(Table1[[#This Row],[automation_risk_percent]]&gt;0.7,"Highly Automatable",
IF(Table1[[#This Row],[automation_risk_percent]]&gt;0.4,"Moderate Risk","Safe Job"))</f>
        <v>Safe Job</v>
      </c>
    </row>
    <row r="1689" spans="1:24" x14ac:dyDescent="0.3">
      <c r="A1689">
        <v>6067</v>
      </c>
      <c r="B1689" t="s">
        <v>44</v>
      </c>
      <c r="C1689" t="s">
        <v>19</v>
      </c>
      <c r="D1689" t="s">
        <v>28</v>
      </c>
      <c r="E1689" s="1">
        <v>2026</v>
      </c>
      <c r="F1689" s="11">
        <v>0.69499999999999995</v>
      </c>
      <c r="G1689">
        <v>78.45</v>
      </c>
      <c r="H1689">
        <v>69.23</v>
      </c>
      <c r="I1689" s="2">
        <v>44218.400000000001</v>
      </c>
      <c r="J1689" s="2">
        <v>37229.89</v>
      </c>
      <c r="K1689" s="2">
        <f>Table1[[#This Row],[Salary_after]]-Table1[[#This Row],[Salary_before]]</f>
        <v>-6988.510000000002</v>
      </c>
      <c r="L1689" s="11">
        <v>-0.158</v>
      </c>
      <c r="M1689" s="11">
        <v>-4.2699999999999995E-2</v>
      </c>
      <c r="N1689">
        <v>57.02</v>
      </c>
      <c r="O1689">
        <v>95.65</v>
      </c>
      <c r="P1689">
        <v>3</v>
      </c>
      <c r="Q1689" t="s">
        <v>37</v>
      </c>
      <c r="R1689">
        <v>69.364999999999995</v>
      </c>
      <c r="S1689">
        <v>15.8</v>
      </c>
      <c r="T1689" s="4">
        <v>53.308999999999997</v>
      </c>
      <c r="U1689" s="4">
        <v>66.476749999999996</v>
      </c>
      <c r="V1689" t="str">
        <f>IF(Table1[[#This Row],[ai_disruption_intensity]]&gt;70,"High",
IF(Table1[[#This Row],[ai_disruption_intensity]]&gt;40,"Medium","Low"))</f>
        <v>Medium</v>
      </c>
      <c r="W1689" t="str">
        <f>IF(Table1[[#This Row],[skill_gap_index]]&gt;70,"Large Gap",
IF(Table1[[#This Row],[skill_gap_index]]&gt;40,"Medium Gap","Small Gap"))</f>
        <v>Medium Gap</v>
      </c>
      <c r="X1689" s="3" t="str">
        <f>IF(Table1[[#This Row],[automation_risk_percent]]&gt;0.7,"Highly Automatable",
IF(Table1[[#This Row],[automation_risk_percent]]&gt;0.4,"Moderate Risk","Safe Job"))</f>
        <v>Moderate Risk</v>
      </c>
    </row>
    <row r="1690" spans="1:24" x14ac:dyDescent="0.3">
      <c r="A1690">
        <v>6068</v>
      </c>
      <c r="B1690" t="s">
        <v>44</v>
      </c>
      <c r="C1690" t="s">
        <v>33</v>
      </c>
      <c r="D1690" t="s">
        <v>32</v>
      </c>
      <c r="E1690" s="1">
        <v>2025</v>
      </c>
      <c r="F1690" s="11">
        <v>0.1356</v>
      </c>
      <c r="G1690">
        <v>14.69</v>
      </c>
      <c r="H1690">
        <v>81.47</v>
      </c>
      <c r="I1690" s="2">
        <v>124649.9</v>
      </c>
      <c r="J1690" s="2">
        <v>134515.92000000001</v>
      </c>
      <c r="K1690" s="2">
        <f>Table1[[#This Row],[Salary_after]]-Table1[[#This Row],[Salary_before]]</f>
        <v>9866.0200000000186</v>
      </c>
      <c r="L1690" s="11">
        <v>7.9100000000000004E-2</v>
      </c>
      <c r="M1690" s="11">
        <v>6.2600000000000003E-2</v>
      </c>
      <c r="N1690">
        <v>22.11</v>
      </c>
      <c r="O1690">
        <v>24.52</v>
      </c>
      <c r="P1690">
        <v>3</v>
      </c>
      <c r="Q1690" t="s">
        <v>21</v>
      </c>
      <c r="R1690">
        <v>47.515000000000001</v>
      </c>
      <c r="S1690">
        <v>7.91</v>
      </c>
      <c r="T1690" s="4">
        <v>32.238</v>
      </c>
      <c r="U1690" s="4">
        <v>3.3249119999999999</v>
      </c>
      <c r="V1690" t="str">
        <f>IF(Table1[[#This Row],[ai_disruption_intensity]]&gt;70,"High",
IF(Table1[[#This Row],[ai_disruption_intensity]]&gt;40,"Medium","Low"))</f>
        <v>Low</v>
      </c>
      <c r="W1690" t="str">
        <f>IF(Table1[[#This Row],[skill_gap_index]]&gt;70,"Large Gap",
IF(Table1[[#This Row],[skill_gap_index]]&gt;40,"Medium Gap","Small Gap"))</f>
        <v>Large Gap</v>
      </c>
      <c r="X1690" s="3" t="str">
        <f>IF(Table1[[#This Row],[automation_risk_percent]]&gt;0.7,"Highly Automatable",
IF(Table1[[#This Row],[automation_risk_percent]]&gt;0.4,"Moderate Risk","Safe Job"))</f>
        <v>Safe Job</v>
      </c>
    </row>
    <row r="1691" spans="1:24" x14ac:dyDescent="0.3">
      <c r="A1691">
        <v>6069</v>
      </c>
      <c r="B1691" t="s">
        <v>29</v>
      </c>
      <c r="C1691" t="s">
        <v>23</v>
      </c>
      <c r="D1691" t="s">
        <v>20</v>
      </c>
      <c r="E1691" s="1">
        <v>2025</v>
      </c>
      <c r="F1691" s="11">
        <v>0.46490000000000004</v>
      </c>
      <c r="G1691">
        <v>37.35</v>
      </c>
      <c r="H1691">
        <v>37.07</v>
      </c>
      <c r="I1691" s="2">
        <v>49279.18</v>
      </c>
      <c r="J1691" s="2">
        <v>46290.97</v>
      </c>
      <c r="K1691" s="2">
        <f>Table1[[#This Row],[Salary_after]]-Table1[[#This Row],[Salary_before]]</f>
        <v>-2988.2099999999991</v>
      </c>
      <c r="L1691" s="11">
        <v>-6.0599999999999994E-2</v>
      </c>
      <c r="M1691" s="11">
        <v>0.2102</v>
      </c>
      <c r="N1691">
        <v>73.400000000000006</v>
      </c>
      <c r="O1691">
        <v>29.37</v>
      </c>
      <c r="P1691">
        <v>5</v>
      </c>
      <c r="Q1691" t="s">
        <v>25</v>
      </c>
      <c r="R1691">
        <v>41.78</v>
      </c>
      <c r="S1691">
        <v>6.06</v>
      </c>
      <c r="T1691" s="4">
        <v>31.535</v>
      </c>
      <c r="U1691" s="4">
        <v>13.654113000000001</v>
      </c>
      <c r="V1691" t="str">
        <f>IF(Table1[[#This Row],[ai_disruption_intensity]]&gt;70,"High",
IF(Table1[[#This Row],[ai_disruption_intensity]]&gt;40,"Medium","Low"))</f>
        <v>Low</v>
      </c>
      <c r="W1691" t="str">
        <f>IF(Table1[[#This Row],[skill_gap_index]]&gt;70,"Large Gap",
IF(Table1[[#This Row],[skill_gap_index]]&gt;40,"Medium Gap","Small Gap"))</f>
        <v>Small Gap</v>
      </c>
      <c r="X1691" s="3" t="str">
        <f>IF(Table1[[#This Row],[automation_risk_percent]]&gt;0.7,"Highly Automatable",
IF(Table1[[#This Row],[automation_risk_percent]]&gt;0.4,"Moderate Risk","Safe Job"))</f>
        <v>Moderate Risk</v>
      </c>
    </row>
    <row r="1692" spans="1:24" x14ac:dyDescent="0.3">
      <c r="A1692">
        <v>6076</v>
      </c>
      <c r="B1692" t="s">
        <v>26</v>
      </c>
      <c r="C1692" t="s">
        <v>33</v>
      </c>
      <c r="D1692" t="s">
        <v>28</v>
      </c>
      <c r="E1692" s="1">
        <v>2026</v>
      </c>
      <c r="F1692" s="11">
        <v>0.12859999999999999</v>
      </c>
      <c r="G1692">
        <v>12.31</v>
      </c>
      <c r="H1692">
        <v>20.74</v>
      </c>
      <c r="I1692" s="2">
        <v>134185.96</v>
      </c>
      <c r="J1692" s="2">
        <v>132840.78</v>
      </c>
      <c r="K1692" s="2">
        <f>Table1[[#This Row],[Salary_after]]-Table1[[#This Row],[Salary_before]]</f>
        <v>-1345.179999999993</v>
      </c>
      <c r="L1692" s="11">
        <v>-0.01</v>
      </c>
      <c r="M1692" s="11">
        <v>0.33240000000000003</v>
      </c>
      <c r="N1692">
        <v>80.900000000000006</v>
      </c>
      <c r="O1692">
        <v>13.04</v>
      </c>
      <c r="P1692">
        <v>2</v>
      </c>
      <c r="Q1692" t="s">
        <v>21</v>
      </c>
      <c r="R1692">
        <v>16.799999999999901</v>
      </c>
      <c r="S1692">
        <v>1</v>
      </c>
      <c r="T1692" s="4">
        <v>11.666</v>
      </c>
      <c r="U1692" s="4">
        <v>1.67694399999999</v>
      </c>
      <c r="V1692" t="str">
        <f>IF(Table1[[#This Row],[ai_disruption_intensity]]&gt;70,"High",
IF(Table1[[#This Row],[ai_disruption_intensity]]&gt;40,"Medium","Low"))</f>
        <v>Low</v>
      </c>
      <c r="W1692" t="str">
        <f>IF(Table1[[#This Row],[skill_gap_index]]&gt;70,"Large Gap",
IF(Table1[[#This Row],[skill_gap_index]]&gt;40,"Medium Gap","Small Gap"))</f>
        <v>Small Gap</v>
      </c>
      <c r="X1692" s="3" t="str">
        <f>IF(Table1[[#This Row],[automation_risk_percent]]&gt;0.7,"Highly Automatable",
IF(Table1[[#This Row],[automation_risk_percent]]&gt;0.4,"Moderate Risk","Safe Job"))</f>
        <v>Safe Job</v>
      </c>
    </row>
    <row r="1693" spans="1:24" x14ac:dyDescent="0.3">
      <c r="A1693">
        <v>6079</v>
      </c>
      <c r="B1693" t="s">
        <v>44</v>
      </c>
      <c r="C1693" t="s">
        <v>27</v>
      </c>
      <c r="D1693" t="s">
        <v>20</v>
      </c>
      <c r="E1693" s="1">
        <v>2025</v>
      </c>
      <c r="F1693" s="11">
        <v>0.66400000000000003</v>
      </c>
      <c r="G1693">
        <v>78.42</v>
      </c>
      <c r="H1693">
        <v>36.35</v>
      </c>
      <c r="I1693" s="2">
        <v>48130.23</v>
      </c>
      <c r="J1693" s="2">
        <v>48058.92</v>
      </c>
      <c r="K1693" s="2">
        <f>Table1[[#This Row],[Salary_after]]-Table1[[#This Row],[Salary_before]]</f>
        <v>-71.310000000004948</v>
      </c>
      <c r="L1693" s="11">
        <v>-1.5E-3</v>
      </c>
      <c r="M1693" s="11">
        <v>0.13880000000000001</v>
      </c>
      <c r="N1693">
        <v>90.05</v>
      </c>
      <c r="O1693">
        <v>73.209999999999994</v>
      </c>
      <c r="P1693">
        <v>2</v>
      </c>
      <c r="Q1693" t="s">
        <v>37</v>
      </c>
      <c r="R1693">
        <v>51.375</v>
      </c>
      <c r="S1693">
        <v>0.15</v>
      </c>
      <c r="T1693" s="4">
        <v>37.51</v>
      </c>
      <c r="U1693" s="4">
        <v>48.611440000000002</v>
      </c>
      <c r="V1693" t="str">
        <f>IF(Table1[[#This Row],[ai_disruption_intensity]]&gt;70,"High",
IF(Table1[[#This Row],[ai_disruption_intensity]]&gt;40,"Medium","Low"))</f>
        <v>Medium</v>
      </c>
      <c r="W1693" t="str">
        <f>IF(Table1[[#This Row],[skill_gap_index]]&gt;70,"Large Gap",
IF(Table1[[#This Row],[skill_gap_index]]&gt;40,"Medium Gap","Small Gap"))</f>
        <v>Small Gap</v>
      </c>
      <c r="X1693" s="3" t="str">
        <f>IF(Table1[[#This Row],[automation_risk_percent]]&gt;0.7,"Highly Automatable",
IF(Table1[[#This Row],[automation_risk_percent]]&gt;0.4,"Moderate Risk","Safe Job"))</f>
        <v>Moderate Risk</v>
      </c>
    </row>
    <row r="1694" spans="1:24" x14ac:dyDescent="0.3">
      <c r="A1694">
        <v>6080</v>
      </c>
      <c r="B1694" t="s">
        <v>29</v>
      </c>
      <c r="C1694" t="s">
        <v>40</v>
      </c>
      <c r="D1694" t="s">
        <v>36</v>
      </c>
      <c r="E1694" s="1">
        <v>2025</v>
      </c>
      <c r="F1694" s="11">
        <v>0.86239999999999994</v>
      </c>
      <c r="G1694">
        <v>91.57</v>
      </c>
      <c r="H1694">
        <v>81.239999999999995</v>
      </c>
      <c r="I1694" s="2">
        <v>44440.32</v>
      </c>
      <c r="J1694" s="2">
        <v>44566.42</v>
      </c>
      <c r="K1694" s="2">
        <f>Table1[[#This Row],[Salary_after]]-Table1[[#This Row],[Salary_before]]</f>
        <v>126.09999999999854</v>
      </c>
      <c r="L1694" s="11">
        <v>2.8000000000000004E-3</v>
      </c>
      <c r="M1694" s="11">
        <v>6.1999999999999998E-3</v>
      </c>
      <c r="N1694">
        <v>74.069999999999993</v>
      </c>
      <c r="O1694">
        <v>71.64</v>
      </c>
      <c r="P1694">
        <v>4</v>
      </c>
      <c r="Q1694" t="s">
        <v>37</v>
      </c>
      <c r="R1694">
        <v>83.74</v>
      </c>
      <c r="S1694">
        <v>0.28000000000000003</v>
      </c>
      <c r="T1694" s="4">
        <v>58.951999999999998</v>
      </c>
      <c r="U1694" s="4">
        <v>61.782335999999901</v>
      </c>
      <c r="V1694" t="str">
        <f>IF(Table1[[#This Row],[ai_disruption_intensity]]&gt;70,"High",
IF(Table1[[#This Row],[ai_disruption_intensity]]&gt;40,"Medium","Low"))</f>
        <v>Medium</v>
      </c>
      <c r="W1694" t="str">
        <f>IF(Table1[[#This Row],[skill_gap_index]]&gt;70,"Large Gap",
IF(Table1[[#This Row],[skill_gap_index]]&gt;40,"Medium Gap","Small Gap"))</f>
        <v>Large Gap</v>
      </c>
      <c r="X1694" s="3" t="str">
        <f>IF(Table1[[#This Row],[automation_risk_percent]]&gt;0.7,"Highly Automatable",
IF(Table1[[#This Row],[automation_risk_percent]]&gt;0.4,"Moderate Risk","Safe Job"))</f>
        <v>Highly Automatable</v>
      </c>
    </row>
    <row r="1695" spans="1:24" x14ac:dyDescent="0.3">
      <c r="A1695">
        <v>6081</v>
      </c>
      <c r="B1695" t="s">
        <v>43</v>
      </c>
      <c r="C1695" t="s">
        <v>38</v>
      </c>
      <c r="D1695" t="s">
        <v>32</v>
      </c>
      <c r="E1695" s="1">
        <v>2026</v>
      </c>
      <c r="F1695" s="11">
        <v>0.33750000000000002</v>
      </c>
      <c r="G1695">
        <v>37.17</v>
      </c>
      <c r="H1695">
        <v>84.26</v>
      </c>
      <c r="I1695" s="2">
        <v>103201.41</v>
      </c>
      <c r="J1695" s="2">
        <v>118711.51</v>
      </c>
      <c r="K1695" s="2">
        <f>Table1[[#This Row],[Salary_after]]-Table1[[#This Row],[Salary_before]]</f>
        <v>15510.099999999991</v>
      </c>
      <c r="L1695" s="11">
        <v>0.15029999999999999</v>
      </c>
      <c r="M1695" s="11">
        <v>-0.1009</v>
      </c>
      <c r="N1695">
        <v>87.6</v>
      </c>
      <c r="O1695">
        <v>90.05</v>
      </c>
      <c r="P1695">
        <v>2</v>
      </c>
      <c r="Q1695" t="s">
        <v>25</v>
      </c>
      <c r="R1695">
        <v>59.005000000000003</v>
      </c>
      <c r="S1695">
        <v>15.03</v>
      </c>
      <c r="T1695" s="4">
        <v>43.286999999999999</v>
      </c>
      <c r="U1695" s="4">
        <v>30.391874999999999</v>
      </c>
      <c r="V1695" t="str">
        <f>IF(Table1[[#This Row],[ai_disruption_intensity]]&gt;70,"High",
IF(Table1[[#This Row],[ai_disruption_intensity]]&gt;40,"Medium","Low"))</f>
        <v>Low</v>
      </c>
      <c r="W1695" t="str">
        <f>IF(Table1[[#This Row],[skill_gap_index]]&gt;70,"Large Gap",
IF(Table1[[#This Row],[skill_gap_index]]&gt;40,"Medium Gap","Small Gap"))</f>
        <v>Large Gap</v>
      </c>
      <c r="X1695" s="3" t="str">
        <f>IF(Table1[[#This Row],[automation_risk_percent]]&gt;0.7,"Highly Automatable",
IF(Table1[[#This Row],[automation_risk_percent]]&gt;0.4,"Moderate Risk","Safe Job"))</f>
        <v>Safe Job</v>
      </c>
    </row>
    <row r="1696" spans="1:24" x14ac:dyDescent="0.3">
      <c r="A1696">
        <v>6084</v>
      </c>
      <c r="B1696" t="s">
        <v>45</v>
      </c>
      <c r="C1696" t="s">
        <v>34</v>
      </c>
      <c r="D1696" t="s">
        <v>20</v>
      </c>
      <c r="E1696" s="1">
        <v>2026</v>
      </c>
      <c r="F1696" s="11">
        <v>0.4783</v>
      </c>
      <c r="G1696">
        <v>42.25</v>
      </c>
      <c r="H1696">
        <v>62.53</v>
      </c>
      <c r="I1696" s="2">
        <v>43154.69</v>
      </c>
      <c r="J1696" s="2">
        <v>50931.360000000001</v>
      </c>
      <c r="K1696" s="2">
        <f>Table1[[#This Row],[Salary_after]]-Table1[[#This Row],[Salary_before]]</f>
        <v>7776.6699999999983</v>
      </c>
      <c r="L1696" s="11">
        <v>0.1802</v>
      </c>
      <c r="M1696" s="11">
        <v>3.4500000000000003E-2</v>
      </c>
      <c r="N1696">
        <v>59.42</v>
      </c>
      <c r="O1696">
        <v>74.63</v>
      </c>
      <c r="P1696">
        <v>5</v>
      </c>
      <c r="Q1696" t="s">
        <v>25</v>
      </c>
      <c r="R1696">
        <v>55.18</v>
      </c>
      <c r="S1696">
        <v>18.02</v>
      </c>
      <c r="T1696" s="4">
        <v>43.296999999999997</v>
      </c>
      <c r="U1696" s="4">
        <v>35.695528999999901</v>
      </c>
      <c r="V1696" t="str">
        <f>IF(Table1[[#This Row],[ai_disruption_intensity]]&gt;70,"High",
IF(Table1[[#This Row],[ai_disruption_intensity]]&gt;40,"Medium","Low"))</f>
        <v>Low</v>
      </c>
      <c r="W1696" t="str">
        <f>IF(Table1[[#This Row],[skill_gap_index]]&gt;70,"Large Gap",
IF(Table1[[#This Row],[skill_gap_index]]&gt;40,"Medium Gap","Small Gap"))</f>
        <v>Medium Gap</v>
      </c>
      <c r="X1696" s="3" t="str">
        <f>IF(Table1[[#This Row],[automation_risk_percent]]&gt;0.7,"Highly Automatable",
IF(Table1[[#This Row],[automation_risk_percent]]&gt;0.4,"Moderate Risk","Safe Job"))</f>
        <v>Moderate Risk</v>
      </c>
    </row>
    <row r="1697" spans="1:24" x14ac:dyDescent="0.3">
      <c r="A1697">
        <v>6095</v>
      </c>
      <c r="B1697" t="s">
        <v>22</v>
      </c>
      <c r="C1697" t="s">
        <v>34</v>
      </c>
      <c r="D1697" t="s">
        <v>47</v>
      </c>
      <c r="E1697" s="1">
        <v>2026</v>
      </c>
      <c r="F1697" s="11">
        <v>0.64080000000000004</v>
      </c>
      <c r="G1697">
        <v>73.53</v>
      </c>
      <c r="H1697">
        <v>31.15</v>
      </c>
      <c r="I1697" s="2">
        <v>107316.49</v>
      </c>
      <c r="J1697" s="2">
        <v>97876.38</v>
      </c>
      <c r="K1697" s="2">
        <f>Table1[[#This Row],[Salary_after]]-Table1[[#This Row],[Salary_before]]</f>
        <v>-9440.11</v>
      </c>
      <c r="L1697" s="11">
        <v>-8.8000000000000009E-2</v>
      </c>
      <c r="M1697" s="11">
        <v>-7.8700000000000006E-2</v>
      </c>
      <c r="N1697">
        <v>56.86</v>
      </c>
      <c r="O1697">
        <v>43.42</v>
      </c>
      <c r="P1697">
        <v>1</v>
      </c>
      <c r="Q1697" t="s">
        <v>37</v>
      </c>
      <c r="R1697">
        <v>47.614999999999903</v>
      </c>
      <c r="S1697">
        <v>8.8000000000000007</v>
      </c>
      <c r="T1697" s="4">
        <v>37.616999999999997</v>
      </c>
      <c r="U1697" s="4">
        <v>27.823536000000001</v>
      </c>
      <c r="V1697" t="str">
        <f>IF(Table1[[#This Row],[ai_disruption_intensity]]&gt;70,"High",
IF(Table1[[#This Row],[ai_disruption_intensity]]&gt;40,"Medium","Low"))</f>
        <v>Low</v>
      </c>
      <c r="W1697" t="str">
        <f>IF(Table1[[#This Row],[skill_gap_index]]&gt;70,"Large Gap",
IF(Table1[[#This Row],[skill_gap_index]]&gt;40,"Medium Gap","Small Gap"))</f>
        <v>Small Gap</v>
      </c>
      <c r="X1697" s="3" t="str">
        <f>IF(Table1[[#This Row],[automation_risk_percent]]&gt;0.7,"Highly Automatable",
IF(Table1[[#This Row],[automation_risk_percent]]&gt;0.4,"Moderate Risk","Safe Job"))</f>
        <v>Moderate Risk</v>
      </c>
    </row>
    <row r="1698" spans="1:24" x14ac:dyDescent="0.3">
      <c r="A1698">
        <v>6096</v>
      </c>
      <c r="B1698" t="s">
        <v>18</v>
      </c>
      <c r="C1698" t="s">
        <v>23</v>
      </c>
      <c r="D1698" t="s">
        <v>32</v>
      </c>
      <c r="E1698" s="1">
        <v>2026</v>
      </c>
      <c r="F1698" s="11">
        <v>0.52039999999999997</v>
      </c>
      <c r="G1698">
        <v>57.43</v>
      </c>
      <c r="H1698">
        <v>60.5</v>
      </c>
      <c r="I1698" s="2">
        <v>146376.06</v>
      </c>
      <c r="J1698" s="2">
        <v>147183.23000000001</v>
      </c>
      <c r="K1698" s="2">
        <f>Table1[[#This Row],[Salary_after]]-Table1[[#This Row],[Salary_before]]</f>
        <v>807.17000000001281</v>
      </c>
      <c r="L1698" s="11">
        <v>5.5000000000000005E-3</v>
      </c>
      <c r="M1698" s="11">
        <v>0.2195</v>
      </c>
      <c r="N1698">
        <v>46.99</v>
      </c>
      <c r="O1698">
        <v>73.569999999999993</v>
      </c>
      <c r="P1698">
        <v>5</v>
      </c>
      <c r="Q1698" t="s">
        <v>25</v>
      </c>
      <c r="R1698">
        <v>56.269999999999897</v>
      </c>
      <c r="S1698">
        <v>0.55000000000000004</v>
      </c>
      <c r="T1698" s="4">
        <v>39.131</v>
      </c>
      <c r="U1698" s="4">
        <v>38.285827999999903</v>
      </c>
      <c r="V1698" t="str">
        <f>IF(Table1[[#This Row],[ai_disruption_intensity]]&gt;70,"High",
IF(Table1[[#This Row],[ai_disruption_intensity]]&gt;40,"Medium","Low"))</f>
        <v>Low</v>
      </c>
      <c r="W1698" t="str">
        <f>IF(Table1[[#This Row],[skill_gap_index]]&gt;70,"Large Gap",
IF(Table1[[#This Row],[skill_gap_index]]&gt;40,"Medium Gap","Small Gap"))</f>
        <v>Medium Gap</v>
      </c>
      <c r="X1698" s="3" t="str">
        <f>IF(Table1[[#This Row],[automation_risk_percent]]&gt;0.7,"Highly Automatable",
IF(Table1[[#This Row],[automation_risk_percent]]&gt;0.4,"Moderate Risk","Safe Job"))</f>
        <v>Moderate Risk</v>
      </c>
    </row>
    <row r="1699" spans="1:24" x14ac:dyDescent="0.3">
      <c r="A1699">
        <v>6099</v>
      </c>
      <c r="B1699" t="s">
        <v>29</v>
      </c>
      <c r="C1699" t="s">
        <v>23</v>
      </c>
      <c r="D1699" t="s">
        <v>31</v>
      </c>
      <c r="E1699" s="1">
        <v>2026</v>
      </c>
      <c r="F1699" s="11">
        <v>0.48249999999999998</v>
      </c>
      <c r="G1699">
        <v>55.29</v>
      </c>
      <c r="H1699">
        <v>91.36</v>
      </c>
      <c r="I1699" s="2">
        <v>96295.06</v>
      </c>
      <c r="J1699" s="2">
        <v>100762.94</v>
      </c>
      <c r="K1699" s="2">
        <f>Table1[[#This Row],[Salary_after]]-Table1[[#This Row],[Salary_before]]</f>
        <v>4467.8800000000047</v>
      </c>
      <c r="L1699" s="11">
        <v>4.6399999999999997E-2</v>
      </c>
      <c r="M1699" s="11">
        <v>-8.5000000000000006E-3</v>
      </c>
      <c r="N1699">
        <v>38.74</v>
      </c>
      <c r="O1699">
        <v>52.73</v>
      </c>
      <c r="P1699">
        <v>4</v>
      </c>
      <c r="Q1699" t="s">
        <v>25</v>
      </c>
      <c r="R1699">
        <v>69.805000000000007</v>
      </c>
      <c r="S1699">
        <v>4.6399999999999997</v>
      </c>
      <c r="T1699" s="4">
        <v>48.1</v>
      </c>
      <c r="U1699" s="4">
        <v>25.442224999999901</v>
      </c>
      <c r="V1699" t="str">
        <f>IF(Table1[[#This Row],[ai_disruption_intensity]]&gt;70,"High",
IF(Table1[[#This Row],[ai_disruption_intensity]]&gt;40,"Medium","Low"))</f>
        <v>Low</v>
      </c>
      <c r="W1699" t="str">
        <f>IF(Table1[[#This Row],[skill_gap_index]]&gt;70,"Large Gap",
IF(Table1[[#This Row],[skill_gap_index]]&gt;40,"Medium Gap","Small Gap"))</f>
        <v>Large Gap</v>
      </c>
      <c r="X1699" s="3" t="str">
        <f>IF(Table1[[#This Row],[automation_risk_percent]]&gt;0.7,"Highly Automatable",
IF(Table1[[#This Row],[automation_risk_percent]]&gt;0.4,"Moderate Risk","Safe Job"))</f>
        <v>Moderate Risk</v>
      </c>
    </row>
    <row r="1700" spans="1:24" x14ac:dyDescent="0.3">
      <c r="A1700">
        <v>6112</v>
      </c>
      <c r="B1700" t="s">
        <v>26</v>
      </c>
      <c r="C1700" t="s">
        <v>38</v>
      </c>
      <c r="D1700" t="s">
        <v>20</v>
      </c>
      <c r="E1700" s="1">
        <v>2025</v>
      </c>
      <c r="F1700" s="11">
        <v>0.50240000000000007</v>
      </c>
      <c r="G1700">
        <v>60.07</v>
      </c>
      <c r="H1700">
        <v>59.65</v>
      </c>
      <c r="I1700" s="2">
        <v>34779.69</v>
      </c>
      <c r="J1700" s="2">
        <v>29320.9</v>
      </c>
      <c r="K1700" s="2">
        <f>Table1[[#This Row],[Salary_after]]-Table1[[#This Row],[Salary_before]]</f>
        <v>-5458.7900000000009</v>
      </c>
      <c r="L1700" s="11">
        <v>-0.157</v>
      </c>
      <c r="M1700" s="11">
        <v>5.28E-2</v>
      </c>
      <c r="N1700">
        <v>40.03</v>
      </c>
      <c r="O1700">
        <v>49.01</v>
      </c>
      <c r="P1700">
        <v>1</v>
      </c>
      <c r="Q1700" t="s">
        <v>25</v>
      </c>
      <c r="R1700">
        <v>54.945</v>
      </c>
      <c r="S1700">
        <v>15.7</v>
      </c>
      <c r="T1700" s="4">
        <v>42.701000000000001</v>
      </c>
      <c r="U1700" s="4">
        <v>24.622623999999998</v>
      </c>
      <c r="V1700" t="str">
        <f>IF(Table1[[#This Row],[ai_disruption_intensity]]&gt;70,"High",
IF(Table1[[#This Row],[ai_disruption_intensity]]&gt;40,"Medium","Low"))</f>
        <v>Low</v>
      </c>
      <c r="W1700" t="str">
        <f>IF(Table1[[#This Row],[skill_gap_index]]&gt;70,"Large Gap",
IF(Table1[[#This Row],[skill_gap_index]]&gt;40,"Medium Gap","Small Gap"))</f>
        <v>Medium Gap</v>
      </c>
      <c r="X1700" s="3" t="str">
        <f>IF(Table1[[#This Row],[automation_risk_percent]]&gt;0.7,"Highly Automatable",
IF(Table1[[#This Row],[automation_risk_percent]]&gt;0.4,"Moderate Risk","Safe Job"))</f>
        <v>Moderate Risk</v>
      </c>
    </row>
    <row r="1701" spans="1:24" x14ac:dyDescent="0.3">
      <c r="A1701">
        <v>6114</v>
      </c>
      <c r="B1701" t="s">
        <v>44</v>
      </c>
      <c r="C1701" t="s">
        <v>34</v>
      </c>
      <c r="D1701" t="s">
        <v>35</v>
      </c>
      <c r="E1701" s="1">
        <v>2025</v>
      </c>
      <c r="F1701" s="11">
        <v>0.71790000000000009</v>
      </c>
      <c r="G1701">
        <v>79</v>
      </c>
      <c r="H1701">
        <v>39.67</v>
      </c>
      <c r="I1701" s="2">
        <v>116558.65</v>
      </c>
      <c r="J1701" s="2">
        <v>121714.74</v>
      </c>
      <c r="K1701" s="2">
        <f>Table1[[#This Row],[Salary_after]]-Table1[[#This Row],[Salary_before]]</f>
        <v>5156.0900000000111</v>
      </c>
      <c r="L1701" s="11">
        <v>4.4199999999999996E-2</v>
      </c>
      <c r="M1701" s="11">
        <v>-4.4699999999999997E-2</v>
      </c>
      <c r="N1701">
        <v>46.54</v>
      </c>
      <c r="O1701">
        <v>65.56</v>
      </c>
      <c r="P1701">
        <v>2</v>
      </c>
      <c r="Q1701" t="s">
        <v>37</v>
      </c>
      <c r="R1701">
        <v>55.73</v>
      </c>
      <c r="S1701">
        <v>4.42</v>
      </c>
      <c r="T1701" s="4">
        <v>41.942999999999998</v>
      </c>
      <c r="U1701" s="4">
        <v>47.065524000000003</v>
      </c>
      <c r="V1701" t="str">
        <f>IF(Table1[[#This Row],[ai_disruption_intensity]]&gt;70,"High",
IF(Table1[[#This Row],[ai_disruption_intensity]]&gt;40,"Medium","Low"))</f>
        <v>Medium</v>
      </c>
      <c r="W1701" t="str">
        <f>IF(Table1[[#This Row],[skill_gap_index]]&gt;70,"Large Gap",
IF(Table1[[#This Row],[skill_gap_index]]&gt;40,"Medium Gap","Small Gap"))</f>
        <v>Small Gap</v>
      </c>
      <c r="X1701" s="3" t="str">
        <f>IF(Table1[[#This Row],[automation_risk_percent]]&gt;0.7,"Highly Automatable",
IF(Table1[[#This Row],[automation_risk_percent]]&gt;0.4,"Moderate Risk","Safe Job"))</f>
        <v>Highly Automatable</v>
      </c>
    </row>
    <row r="1702" spans="1:24" x14ac:dyDescent="0.3">
      <c r="A1702">
        <v>6116</v>
      </c>
      <c r="B1702" t="s">
        <v>22</v>
      </c>
      <c r="C1702" t="s">
        <v>23</v>
      </c>
      <c r="D1702" t="s">
        <v>20</v>
      </c>
      <c r="E1702" s="1">
        <v>2025</v>
      </c>
      <c r="F1702" s="11">
        <v>0.31759999999999999</v>
      </c>
      <c r="G1702">
        <v>29.29</v>
      </c>
      <c r="H1702">
        <v>69.97</v>
      </c>
      <c r="I1702" s="2">
        <v>96935.97</v>
      </c>
      <c r="J1702" s="2">
        <v>108133.33</v>
      </c>
      <c r="K1702" s="2">
        <f>Table1[[#This Row],[Salary_after]]-Table1[[#This Row],[Salary_before]]</f>
        <v>11197.36</v>
      </c>
      <c r="L1702" s="11">
        <v>0.11550000000000001</v>
      </c>
      <c r="M1702" s="11">
        <v>7.3399999999999993E-2</v>
      </c>
      <c r="N1702">
        <v>13.96</v>
      </c>
      <c r="O1702">
        <v>50.72</v>
      </c>
      <c r="P1702">
        <v>3</v>
      </c>
      <c r="Q1702" t="s">
        <v>25</v>
      </c>
      <c r="R1702">
        <v>50.865000000000002</v>
      </c>
      <c r="S1702">
        <v>11.55</v>
      </c>
      <c r="T1702" s="4">
        <v>37.159999999999997</v>
      </c>
      <c r="U1702" s="4">
        <v>16.108671999999999</v>
      </c>
      <c r="V1702" t="str">
        <f>IF(Table1[[#This Row],[ai_disruption_intensity]]&gt;70,"High",
IF(Table1[[#This Row],[ai_disruption_intensity]]&gt;40,"Medium","Low"))</f>
        <v>Low</v>
      </c>
      <c r="W1702" t="str">
        <f>IF(Table1[[#This Row],[skill_gap_index]]&gt;70,"Large Gap",
IF(Table1[[#This Row],[skill_gap_index]]&gt;40,"Medium Gap","Small Gap"))</f>
        <v>Medium Gap</v>
      </c>
      <c r="X1702" s="3" t="str">
        <f>IF(Table1[[#This Row],[automation_risk_percent]]&gt;0.7,"Highly Automatable",
IF(Table1[[#This Row],[automation_risk_percent]]&gt;0.4,"Moderate Risk","Safe Job"))</f>
        <v>Safe Job</v>
      </c>
    </row>
    <row r="1703" spans="1:24" x14ac:dyDescent="0.3">
      <c r="A1703">
        <v>6118</v>
      </c>
      <c r="B1703" t="s">
        <v>22</v>
      </c>
      <c r="C1703" t="s">
        <v>33</v>
      </c>
      <c r="D1703" t="s">
        <v>32</v>
      </c>
      <c r="E1703" s="1">
        <v>2026</v>
      </c>
      <c r="F1703" s="11">
        <v>0.12970000000000001</v>
      </c>
      <c r="G1703">
        <v>12.99</v>
      </c>
      <c r="H1703">
        <v>73.510000000000005</v>
      </c>
      <c r="I1703" s="2">
        <v>51269.13</v>
      </c>
      <c r="J1703" s="2">
        <v>53601.61</v>
      </c>
      <c r="K1703" s="2">
        <f>Table1[[#This Row],[Salary_after]]-Table1[[#This Row],[Salary_before]]</f>
        <v>2332.4800000000032</v>
      </c>
      <c r="L1703" s="11">
        <v>4.5499999999999999E-2</v>
      </c>
      <c r="M1703" s="11">
        <v>0.23769999999999999</v>
      </c>
      <c r="N1703">
        <v>42.21</v>
      </c>
      <c r="O1703">
        <v>66.44</v>
      </c>
      <c r="P1703">
        <v>3</v>
      </c>
      <c r="Q1703" t="s">
        <v>21</v>
      </c>
      <c r="R1703">
        <v>43.24</v>
      </c>
      <c r="S1703">
        <v>4.55</v>
      </c>
      <c r="T1703" s="4">
        <v>28.605999999999899</v>
      </c>
      <c r="U1703" s="4">
        <v>8.6172679999999993</v>
      </c>
      <c r="V1703" t="str">
        <f>IF(Table1[[#This Row],[ai_disruption_intensity]]&gt;70,"High",
IF(Table1[[#This Row],[ai_disruption_intensity]]&gt;40,"Medium","Low"))</f>
        <v>Low</v>
      </c>
      <c r="W1703" t="str">
        <f>IF(Table1[[#This Row],[skill_gap_index]]&gt;70,"Large Gap",
IF(Table1[[#This Row],[skill_gap_index]]&gt;40,"Medium Gap","Small Gap"))</f>
        <v>Large Gap</v>
      </c>
      <c r="X1703" s="3" t="str">
        <f>IF(Table1[[#This Row],[automation_risk_percent]]&gt;0.7,"Highly Automatable",
IF(Table1[[#This Row],[automation_risk_percent]]&gt;0.4,"Moderate Risk","Safe Job"))</f>
        <v>Safe Job</v>
      </c>
    </row>
    <row r="1704" spans="1:24" x14ac:dyDescent="0.3">
      <c r="A1704">
        <v>6120</v>
      </c>
      <c r="B1704" t="s">
        <v>18</v>
      </c>
      <c r="C1704" t="s">
        <v>27</v>
      </c>
      <c r="D1704" t="s">
        <v>47</v>
      </c>
      <c r="E1704" s="1">
        <v>2026</v>
      </c>
      <c r="F1704" s="11">
        <v>0.72430000000000005</v>
      </c>
      <c r="G1704">
        <v>86.72</v>
      </c>
      <c r="H1704">
        <v>56.72</v>
      </c>
      <c r="I1704" s="2">
        <v>71792.149999999994</v>
      </c>
      <c r="J1704" s="2">
        <v>68262.460000000006</v>
      </c>
      <c r="K1704" s="2">
        <f>Table1[[#This Row],[Salary_after]]-Table1[[#This Row],[Salary_before]]</f>
        <v>-3529.6899999999878</v>
      </c>
      <c r="L1704" s="11">
        <v>-4.9200000000000001E-2</v>
      </c>
      <c r="M1704" s="11">
        <v>8.8300000000000003E-2</v>
      </c>
      <c r="N1704">
        <v>56.16</v>
      </c>
      <c r="O1704">
        <v>52.45</v>
      </c>
      <c r="P1704">
        <v>4</v>
      </c>
      <c r="Q1704" t="s">
        <v>37</v>
      </c>
      <c r="R1704">
        <v>64.575000000000003</v>
      </c>
      <c r="S1704">
        <v>4.92</v>
      </c>
      <c r="T1704" s="4">
        <v>47.463999999999999</v>
      </c>
      <c r="U1704" s="4">
        <v>37.989534999999997</v>
      </c>
      <c r="V1704" t="str">
        <f>IF(Table1[[#This Row],[ai_disruption_intensity]]&gt;70,"High",
IF(Table1[[#This Row],[ai_disruption_intensity]]&gt;40,"Medium","Low"))</f>
        <v>Low</v>
      </c>
      <c r="W1704" t="str">
        <f>IF(Table1[[#This Row],[skill_gap_index]]&gt;70,"Large Gap",
IF(Table1[[#This Row],[skill_gap_index]]&gt;40,"Medium Gap","Small Gap"))</f>
        <v>Medium Gap</v>
      </c>
      <c r="X1704" s="3" t="str">
        <f>IF(Table1[[#This Row],[automation_risk_percent]]&gt;0.7,"Highly Automatable",
IF(Table1[[#This Row],[automation_risk_percent]]&gt;0.4,"Moderate Risk","Safe Job"))</f>
        <v>Highly Automatable</v>
      </c>
    </row>
    <row r="1705" spans="1:24" x14ac:dyDescent="0.3">
      <c r="A1705">
        <v>6121</v>
      </c>
      <c r="B1705" t="s">
        <v>26</v>
      </c>
      <c r="C1705" t="s">
        <v>19</v>
      </c>
      <c r="D1705" t="s">
        <v>20</v>
      </c>
      <c r="E1705" s="1">
        <v>2026</v>
      </c>
      <c r="F1705" s="11">
        <v>0.68840000000000001</v>
      </c>
      <c r="G1705">
        <v>82.36</v>
      </c>
      <c r="H1705">
        <v>79.92</v>
      </c>
      <c r="I1705" s="2">
        <v>86761.88</v>
      </c>
      <c r="J1705" s="2">
        <v>70085.279999999999</v>
      </c>
      <c r="K1705" s="2">
        <f>Table1[[#This Row],[Salary_after]]-Table1[[#This Row],[Salary_before]]</f>
        <v>-16676.600000000006</v>
      </c>
      <c r="L1705" s="11">
        <v>-0.19219999999999998</v>
      </c>
      <c r="M1705" s="11">
        <v>0.10039999999999999</v>
      </c>
      <c r="N1705">
        <v>84.69</v>
      </c>
      <c r="O1705">
        <v>74.650000000000006</v>
      </c>
      <c r="P1705">
        <v>2</v>
      </c>
      <c r="Q1705" t="s">
        <v>37</v>
      </c>
      <c r="R1705">
        <v>74.38</v>
      </c>
      <c r="S1705">
        <v>19.22</v>
      </c>
      <c r="T1705" s="4">
        <v>57.277999999999999</v>
      </c>
      <c r="U1705" s="4">
        <v>51.389060000000001</v>
      </c>
      <c r="V1705" t="str">
        <f>IF(Table1[[#This Row],[ai_disruption_intensity]]&gt;70,"High",
IF(Table1[[#This Row],[ai_disruption_intensity]]&gt;40,"Medium","Low"))</f>
        <v>Medium</v>
      </c>
      <c r="W1705" t="str">
        <f>IF(Table1[[#This Row],[skill_gap_index]]&gt;70,"Large Gap",
IF(Table1[[#This Row],[skill_gap_index]]&gt;40,"Medium Gap","Small Gap"))</f>
        <v>Large Gap</v>
      </c>
      <c r="X1705" s="3" t="str">
        <f>IF(Table1[[#This Row],[automation_risk_percent]]&gt;0.7,"Highly Automatable",
IF(Table1[[#This Row],[automation_risk_percent]]&gt;0.4,"Moderate Risk","Safe Job"))</f>
        <v>Moderate Risk</v>
      </c>
    </row>
    <row r="1706" spans="1:24" x14ac:dyDescent="0.3">
      <c r="A1706">
        <v>6123</v>
      </c>
      <c r="B1706" t="s">
        <v>41</v>
      </c>
      <c r="C1706" t="s">
        <v>38</v>
      </c>
      <c r="D1706" t="s">
        <v>32</v>
      </c>
      <c r="E1706" s="1">
        <v>2026</v>
      </c>
      <c r="F1706" s="11">
        <v>0.77590000000000003</v>
      </c>
      <c r="G1706">
        <v>81.34</v>
      </c>
      <c r="H1706">
        <v>20.49</v>
      </c>
      <c r="I1706" s="2">
        <v>70095.289999999994</v>
      </c>
      <c r="J1706" s="2">
        <v>70916.56</v>
      </c>
      <c r="K1706" s="2">
        <f>Table1[[#This Row],[Salary_after]]-Table1[[#This Row],[Salary_before]]</f>
        <v>821.27000000000407</v>
      </c>
      <c r="L1706" s="11">
        <v>1.1699999999999999E-2</v>
      </c>
      <c r="M1706" s="11">
        <v>-6.5299999999999997E-2</v>
      </c>
      <c r="N1706">
        <v>83.85</v>
      </c>
      <c r="O1706">
        <v>1.9</v>
      </c>
      <c r="P1706">
        <v>4</v>
      </c>
      <c r="Q1706" t="s">
        <v>37</v>
      </c>
      <c r="R1706">
        <v>49.04</v>
      </c>
      <c r="S1706">
        <v>1.17</v>
      </c>
      <c r="T1706" s="4">
        <v>37.533999999999999</v>
      </c>
      <c r="U1706" s="4">
        <v>1.47421</v>
      </c>
      <c r="V1706" t="str">
        <f>IF(Table1[[#This Row],[ai_disruption_intensity]]&gt;70,"High",
IF(Table1[[#This Row],[ai_disruption_intensity]]&gt;40,"Medium","Low"))</f>
        <v>Low</v>
      </c>
      <c r="W1706" t="str">
        <f>IF(Table1[[#This Row],[skill_gap_index]]&gt;70,"Large Gap",
IF(Table1[[#This Row],[skill_gap_index]]&gt;40,"Medium Gap","Small Gap"))</f>
        <v>Small Gap</v>
      </c>
      <c r="X1706" s="3" t="str">
        <f>IF(Table1[[#This Row],[automation_risk_percent]]&gt;0.7,"Highly Automatable",
IF(Table1[[#This Row],[automation_risk_percent]]&gt;0.4,"Moderate Risk","Safe Job"))</f>
        <v>Highly Automatable</v>
      </c>
    </row>
    <row r="1707" spans="1:24" x14ac:dyDescent="0.3">
      <c r="A1707">
        <v>6124</v>
      </c>
      <c r="B1707" t="s">
        <v>22</v>
      </c>
      <c r="C1707" t="s">
        <v>30</v>
      </c>
      <c r="D1707" t="s">
        <v>36</v>
      </c>
      <c r="E1707" s="1">
        <v>2026</v>
      </c>
      <c r="F1707" s="11">
        <v>0.17230000000000001</v>
      </c>
      <c r="G1707">
        <v>15.37</v>
      </c>
      <c r="H1707">
        <v>71.41</v>
      </c>
      <c r="I1707" s="2">
        <v>137277.57999999999</v>
      </c>
      <c r="J1707" s="2">
        <v>139493.20000000001</v>
      </c>
      <c r="K1707" s="2">
        <f>Table1[[#This Row],[Salary_after]]-Table1[[#This Row],[Salary_before]]</f>
        <v>2215.6200000000244</v>
      </c>
      <c r="L1707" s="11">
        <v>1.61E-2</v>
      </c>
      <c r="M1707" s="11">
        <v>0.2137</v>
      </c>
      <c r="N1707">
        <v>19.46</v>
      </c>
      <c r="O1707">
        <v>75.489999999999995</v>
      </c>
      <c r="P1707">
        <v>2</v>
      </c>
      <c r="Q1707" t="s">
        <v>21</v>
      </c>
      <c r="R1707">
        <v>44.32</v>
      </c>
      <c r="S1707">
        <v>1.61</v>
      </c>
      <c r="T1707" s="4">
        <v>28.797999999999998</v>
      </c>
      <c r="U1707" s="4">
        <v>13.0069269999999</v>
      </c>
      <c r="V1707" t="str">
        <f>IF(Table1[[#This Row],[ai_disruption_intensity]]&gt;70,"High",
IF(Table1[[#This Row],[ai_disruption_intensity]]&gt;40,"Medium","Low"))</f>
        <v>Low</v>
      </c>
      <c r="W1707" t="str">
        <f>IF(Table1[[#This Row],[skill_gap_index]]&gt;70,"Large Gap",
IF(Table1[[#This Row],[skill_gap_index]]&gt;40,"Medium Gap","Small Gap"))</f>
        <v>Large Gap</v>
      </c>
      <c r="X1707" s="3" t="str">
        <f>IF(Table1[[#This Row],[automation_risk_percent]]&gt;0.7,"Highly Automatable",
IF(Table1[[#This Row],[automation_risk_percent]]&gt;0.4,"Moderate Risk","Safe Job"))</f>
        <v>Safe Job</v>
      </c>
    </row>
    <row r="1708" spans="1:24" x14ac:dyDescent="0.3">
      <c r="A1708">
        <v>6125</v>
      </c>
      <c r="B1708" t="s">
        <v>45</v>
      </c>
      <c r="C1708" t="s">
        <v>19</v>
      </c>
      <c r="D1708" t="s">
        <v>24</v>
      </c>
      <c r="E1708" s="1">
        <v>2026</v>
      </c>
      <c r="F1708" s="11">
        <v>0.1739</v>
      </c>
      <c r="G1708">
        <v>16.34</v>
      </c>
      <c r="H1708">
        <v>30.8</v>
      </c>
      <c r="I1708" s="2">
        <v>73106.820000000007</v>
      </c>
      <c r="J1708" s="2">
        <v>81398.83</v>
      </c>
      <c r="K1708" s="2">
        <f>Table1[[#This Row],[Salary_after]]-Table1[[#This Row],[Salary_before]]</f>
        <v>8292.0099999999948</v>
      </c>
      <c r="L1708" s="11">
        <v>0.1134</v>
      </c>
      <c r="M1708" s="11">
        <v>-2.18E-2</v>
      </c>
      <c r="N1708">
        <v>25.46</v>
      </c>
      <c r="O1708">
        <v>84.58</v>
      </c>
      <c r="P1708">
        <v>4</v>
      </c>
      <c r="Q1708" t="s">
        <v>21</v>
      </c>
      <c r="R1708">
        <v>24.094999999999999</v>
      </c>
      <c r="S1708">
        <v>11.34</v>
      </c>
      <c r="T1708" s="4">
        <v>19.597999999999999</v>
      </c>
      <c r="U1708" s="4">
        <v>14.7084619999999</v>
      </c>
      <c r="V1708" t="str">
        <f>IF(Table1[[#This Row],[ai_disruption_intensity]]&gt;70,"High",
IF(Table1[[#This Row],[ai_disruption_intensity]]&gt;40,"Medium","Low"))</f>
        <v>Low</v>
      </c>
      <c r="W1708" t="str">
        <f>IF(Table1[[#This Row],[skill_gap_index]]&gt;70,"Large Gap",
IF(Table1[[#This Row],[skill_gap_index]]&gt;40,"Medium Gap","Small Gap"))</f>
        <v>Small Gap</v>
      </c>
      <c r="X1708" s="3" t="str">
        <f>IF(Table1[[#This Row],[automation_risk_percent]]&gt;0.7,"Highly Automatable",
IF(Table1[[#This Row],[automation_risk_percent]]&gt;0.4,"Moderate Risk","Safe Job"))</f>
        <v>Safe Job</v>
      </c>
    </row>
    <row r="1709" spans="1:24" x14ac:dyDescent="0.3">
      <c r="A1709">
        <v>6130</v>
      </c>
      <c r="B1709" t="s">
        <v>29</v>
      </c>
      <c r="C1709" t="s">
        <v>33</v>
      </c>
      <c r="D1709" t="s">
        <v>35</v>
      </c>
      <c r="E1709" s="1">
        <v>2025</v>
      </c>
      <c r="F1709" s="11">
        <v>0.65339999999999998</v>
      </c>
      <c r="G1709">
        <v>70.58</v>
      </c>
      <c r="H1709">
        <v>71.47</v>
      </c>
      <c r="I1709" s="2">
        <v>147952.22</v>
      </c>
      <c r="J1709" s="2">
        <v>146754.79999999999</v>
      </c>
      <c r="K1709" s="2">
        <f>Table1[[#This Row],[Salary_after]]-Table1[[#This Row],[Salary_before]]</f>
        <v>-1197.4200000000128</v>
      </c>
      <c r="L1709" s="11">
        <v>-8.1000000000000013E-3</v>
      </c>
      <c r="M1709" s="11">
        <v>-8.4000000000000005E-2</v>
      </c>
      <c r="N1709">
        <v>89.21</v>
      </c>
      <c r="O1709">
        <v>56.15</v>
      </c>
      <c r="P1709">
        <v>5</v>
      </c>
      <c r="Q1709" t="s">
        <v>37</v>
      </c>
      <c r="R1709">
        <v>68.405000000000001</v>
      </c>
      <c r="S1709">
        <v>0.81</v>
      </c>
      <c r="T1709" s="4">
        <v>47.82</v>
      </c>
      <c r="U1709" s="4">
        <v>36.688409999999998</v>
      </c>
      <c r="V1709" t="str">
        <f>IF(Table1[[#This Row],[ai_disruption_intensity]]&gt;70,"High",
IF(Table1[[#This Row],[ai_disruption_intensity]]&gt;40,"Medium","Low"))</f>
        <v>Low</v>
      </c>
      <c r="W1709" t="str">
        <f>IF(Table1[[#This Row],[skill_gap_index]]&gt;70,"Large Gap",
IF(Table1[[#This Row],[skill_gap_index]]&gt;40,"Medium Gap","Small Gap"))</f>
        <v>Large Gap</v>
      </c>
      <c r="X1709" s="3" t="str">
        <f>IF(Table1[[#This Row],[automation_risk_percent]]&gt;0.7,"Highly Automatable",
IF(Table1[[#This Row],[automation_risk_percent]]&gt;0.4,"Moderate Risk","Safe Job"))</f>
        <v>Moderate Risk</v>
      </c>
    </row>
    <row r="1710" spans="1:24" x14ac:dyDescent="0.3">
      <c r="A1710">
        <v>6139</v>
      </c>
      <c r="B1710" t="s">
        <v>46</v>
      </c>
      <c r="C1710" t="s">
        <v>40</v>
      </c>
      <c r="D1710" t="s">
        <v>24</v>
      </c>
      <c r="E1710" s="1">
        <v>2026</v>
      </c>
      <c r="F1710" s="11">
        <v>0.41820000000000002</v>
      </c>
      <c r="G1710">
        <v>34.64</v>
      </c>
      <c r="H1710">
        <v>66.94</v>
      </c>
      <c r="I1710" s="2">
        <v>63439.46</v>
      </c>
      <c r="J1710" s="2">
        <v>56578.239999999998</v>
      </c>
      <c r="K1710" s="2">
        <f>Table1[[#This Row],[Salary_after]]-Table1[[#This Row],[Salary_before]]</f>
        <v>-6861.2200000000012</v>
      </c>
      <c r="L1710" s="11">
        <v>-0.1082</v>
      </c>
      <c r="M1710" s="11">
        <v>-7.6700000000000004E-2</v>
      </c>
      <c r="N1710">
        <v>28.46</v>
      </c>
      <c r="O1710">
        <v>94.17</v>
      </c>
      <c r="P1710">
        <v>1</v>
      </c>
      <c r="Q1710" t="s">
        <v>25</v>
      </c>
      <c r="R1710">
        <v>54.379999999999903</v>
      </c>
      <c r="S1710">
        <v>10.82</v>
      </c>
      <c r="T1710" s="4">
        <v>40.055999999999997</v>
      </c>
      <c r="U1710" s="4">
        <v>39.381894000000003</v>
      </c>
      <c r="V1710" t="str">
        <f>IF(Table1[[#This Row],[ai_disruption_intensity]]&gt;70,"High",
IF(Table1[[#This Row],[ai_disruption_intensity]]&gt;40,"Medium","Low"))</f>
        <v>Low</v>
      </c>
      <c r="W1710" t="str">
        <f>IF(Table1[[#This Row],[skill_gap_index]]&gt;70,"Large Gap",
IF(Table1[[#This Row],[skill_gap_index]]&gt;40,"Medium Gap","Small Gap"))</f>
        <v>Medium Gap</v>
      </c>
      <c r="X1710" s="3" t="str">
        <f>IF(Table1[[#This Row],[automation_risk_percent]]&gt;0.7,"Highly Automatable",
IF(Table1[[#This Row],[automation_risk_percent]]&gt;0.4,"Moderate Risk","Safe Job"))</f>
        <v>Moderate Risk</v>
      </c>
    </row>
    <row r="1711" spans="1:24" x14ac:dyDescent="0.3">
      <c r="A1711">
        <v>6140</v>
      </c>
      <c r="B1711" t="s">
        <v>41</v>
      </c>
      <c r="C1711" t="s">
        <v>19</v>
      </c>
      <c r="D1711" t="s">
        <v>35</v>
      </c>
      <c r="E1711" s="1">
        <v>2026</v>
      </c>
      <c r="F1711" s="11">
        <v>0.8841</v>
      </c>
      <c r="G1711">
        <v>101.49</v>
      </c>
      <c r="H1711">
        <v>10.64</v>
      </c>
      <c r="I1711" s="2">
        <v>58013.38</v>
      </c>
      <c r="J1711" s="2">
        <v>60076.09</v>
      </c>
      <c r="K1711" s="2">
        <f>Table1[[#This Row],[Salary_after]]-Table1[[#This Row],[Salary_before]]</f>
        <v>2062.7099999999991</v>
      </c>
      <c r="L1711" s="11">
        <v>3.56E-2</v>
      </c>
      <c r="M1711" s="11">
        <v>5.8499999999999996E-2</v>
      </c>
      <c r="N1711">
        <v>64.430000000000007</v>
      </c>
      <c r="O1711">
        <v>32.71</v>
      </c>
      <c r="P1711">
        <v>3</v>
      </c>
      <c r="Q1711" t="s">
        <v>37</v>
      </c>
      <c r="R1711">
        <v>49.524999999999999</v>
      </c>
      <c r="S1711">
        <v>3.56</v>
      </c>
      <c r="T1711" s="4">
        <v>39.623999999999903</v>
      </c>
      <c r="U1711" s="4">
        <v>28.918910999999898</v>
      </c>
      <c r="V1711" t="str">
        <f>IF(Table1[[#This Row],[ai_disruption_intensity]]&gt;70,"High",
IF(Table1[[#This Row],[ai_disruption_intensity]]&gt;40,"Medium","Low"))</f>
        <v>Low</v>
      </c>
      <c r="W1711" t="str">
        <f>IF(Table1[[#This Row],[skill_gap_index]]&gt;70,"Large Gap",
IF(Table1[[#This Row],[skill_gap_index]]&gt;40,"Medium Gap","Small Gap"))</f>
        <v>Small Gap</v>
      </c>
      <c r="X1711" s="3" t="str">
        <f>IF(Table1[[#This Row],[automation_risk_percent]]&gt;0.7,"Highly Automatable",
IF(Table1[[#This Row],[automation_risk_percent]]&gt;0.4,"Moderate Risk","Safe Job"))</f>
        <v>Highly Automatable</v>
      </c>
    </row>
    <row r="1712" spans="1:24" x14ac:dyDescent="0.3">
      <c r="A1712">
        <v>6145</v>
      </c>
      <c r="B1712" t="s">
        <v>39</v>
      </c>
      <c r="C1712" t="s">
        <v>19</v>
      </c>
      <c r="D1712" t="s">
        <v>35</v>
      </c>
      <c r="E1712" s="1">
        <v>2025</v>
      </c>
      <c r="F1712" s="11">
        <v>0.1542</v>
      </c>
      <c r="G1712">
        <v>17.45</v>
      </c>
      <c r="H1712">
        <v>46.31</v>
      </c>
      <c r="I1712" s="2">
        <v>100440.45</v>
      </c>
      <c r="J1712" s="2">
        <v>103988.85</v>
      </c>
      <c r="K1712" s="2">
        <f>Table1[[#This Row],[Salary_after]]-Table1[[#This Row],[Salary_before]]</f>
        <v>3548.4000000000087</v>
      </c>
      <c r="L1712" s="11">
        <v>3.5299999999999998E-2</v>
      </c>
      <c r="M1712" s="11">
        <v>5.57E-2</v>
      </c>
      <c r="N1712">
        <v>92.42</v>
      </c>
      <c r="O1712">
        <v>84.91</v>
      </c>
      <c r="P1712">
        <v>2</v>
      </c>
      <c r="Q1712" t="s">
        <v>21</v>
      </c>
      <c r="R1712">
        <v>30.864999999999998</v>
      </c>
      <c r="S1712">
        <v>3.53</v>
      </c>
      <c r="T1712" s="4">
        <v>21.12</v>
      </c>
      <c r="U1712" s="4">
        <v>13.093121999999999</v>
      </c>
      <c r="V1712" t="str">
        <f>IF(Table1[[#This Row],[ai_disruption_intensity]]&gt;70,"High",
IF(Table1[[#This Row],[ai_disruption_intensity]]&gt;40,"Medium","Low"))</f>
        <v>Low</v>
      </c>
      <c r="W1712" t="str">
        <f>IF(Table1[[#This Row],[skill_gap_index]]&gt;70,"Large Gap",
IF(Table1[[#This Row],[skill_gap_index]]&gt;40,"Medium Gap","Small Gap"))</f>
        <v>Medium Gap</v>
      </c>
      <c r="X1712" s="3" t="str">
        <f>IF(Table1[[#This Row],[automation_risk_percent]]&gt;0.7,"Highly Automatable",
IF(Table1[[#This Row],[automation_risk_percent]]&gt;0.4,"Moderate Risk","Safe Job"))</f>
        <v>Safe Job</v>
      </c>
    </row>
    <row r="1713" spans="1:24" x14ac:dyDescent="0.3">
      <c r="A1713">
        <v>6147</v>
      </c>
      <c r="B1713" t="s">
        <v>29</v>
      </c>
      <c r="C1713" t="s">
        <v>40</v>
      </c>
      <c r="D1713" t="s">
        <v>42</v>
      </c>
      <c r="E1713" s="1">
        <v>2026</v>
      </c>
      <c r="F1713" s="11">
        <v>0.68779999999999997</v>
      </c>
      <c r="G1713">
        <v>76.31</v>
      </c>
      <c r="H1713">
        <v>46.66</v>
      </c>
      <c r="I1713" s="2">
        <v>68596.75</v>
      </c>
      <c r="J1713" s="2">
        <v>71591.72</v>
      </c>
      <c r="K1713" s="2">
        <f>Table1[[#This Row],[Salary_after]]-Table1[[#This Row],[Salary_before]]</f>
        <v>2994.9700000000012</v>
      </c>
      <c r="L1713" s="11">
        <v>4.3700000000000003E-2</v>
      </c>
      <c r="M1713" s="11">
        <v>5.3600000000000002E-2</v>
      </c>
      <c r="N1713">
        <v>14.06</v>
      </c>
      <c r="O1713">
        <v>52.87</v>
      </c>
      <c r="P1713">
        <v>3</v>
      </c>
      <c r="Q1713" t="s">
        <v>37</v>
      </c>
      <c r="R1713">
        <v>57.72</v>
      </c>
      <c r="S1713">
        <v>4.37</v>
      </c>
      <c r="T1713" s="4">
        <v>42.820999999999998</v>
      </c>
      <c r="U1713" s="4">
        <v>36.363985999999997</v>
      </c>
      <c r="V1713" t="str">
        <f>IF(Table1[[#This Row],[ai_disruption_intensity]]&gt;70,"High",
IF(Table1[[#This Row],[ai_disruption_intensity]]&gt;40,"Medium","Low"))</f>
        <v>Low</v>
      </c>
      <c r="W1713" t="str">
        <f>IF(Table1[[#This Row],[skill_gap_index]]&gt;70,"Large Gap",
IF(Table1[[#This Row],[skill_gap_index]]&gt;40,"Medium Gap","Small Gap"))</f>
        <v>Medium Gap</v>
      </c>
      <c r="X1713" s="3" t="str">
        <f>IF(Table1[[#This Row],[automation_risk_percent]]&gt;0.7,"Highly Automatable",
IF(Table1[[#This Row],[automation_risk_percent]]&gt;0.4,"Moderate Risk","Safe Job"))</f>
        <v>Moderate Risk</v>
      </c>
    </row>
    <row r="1714" spans="1:24" x14ac:dyDescent="0.3">
      <c r="A1714">
        <v>6153</v>
      </c>
      <c r="B1714" t="s">
        <v>39</v>
      </c>
      <c r="C1714" t="s">
        <v>40</v>
      </c>
      <c r="D1714" t="s">
        <v>24</v>
      </c>
      <c r="E1714" s="1">
        <v>2025</v>
      </c>
      <c r="F1714" s="11">
        <v>0.61360000000000003</v>
      </c>
      <c r="G1714">
        <v>57.53</v>
      </c>
      <c r="H1714">
        <v>13.54</v>
      </c>
      <c r="I1714" s="2">
        <v>87873.67</v>
      </c>
      <c r="J1714" s="2">
        <v>79414.47</v>
      </c>
      <c r="K1714" s="2">
        <f>Table1[[#This Row],[Salary_after]]-Table1[[#This Row],[Salary_before]]</f>
        <v>-8459.1999999999971</v>
      </c>
      <c r="L1714" s="11">
        <v>-9.6300000000000011E-2</v>
      </c>
      <c r="M1714" s="11">
        <v>0.10349999999999999</v>
      </c>
      <c r="N1714">
        <v>68.45</v>
      </c>
      <c r="O1714">
        <v>82.56</v>
      </c>
      <c r="P1714">
        <v>2</v>
      </c>
      <c r="Q1714" t="s">
        <v>37</v>
      </c>
      <c r="R1714">
        <v>37.450000000000003</v>
      </c>
      <c r="S1714">
        <v>9.6300000000000008</v>
      </c>
      <c r="T1714" s="4">
        <v>31.495000000000001</v>
      </c>
      <c r="U1714" s="4">
        <v>50.658815999999902</v>
      </c>
      <c r="V1714" t="str">
        <f>IF(Table1[[#This Row],[ai_disruption_intensity]]&gt;70,"High",
IF(Table1[[#This Row],[ai_disruption_intensity]]&gt;40,"Medium","Low"))</f>
        <v>Medium</v>
      </c>
      <c r="W1714" t="str">
        <f>IF(Table1[[#This Row],[skill_gap_index]]&gt;70,"Large Gap",
IF(Table1[[#This Row],[skill_gap_index]]&gt;40,"Medium Gap","Small Gap"))</f>
        <v>Small Gap</v>
      </c>
      <c r="X1714" s="3" t="str">
        <f>IF(Table1[[#This Row],[automation_risk_percent]]&gt;0.7,"Highly Automatable",
IF(Table1[[#This Row],[automation_risk_percent]]&gt;0.4,"Moderate Risk","Safe Job"))</f>
        <v>Moderate Risk</v>
      </c>
    </row>
    <row r="1715" spans="1:24" x14ac:dyDescent="0.3">
      <c r="A1715">
        <v>6154</v>
      </c>
      <c r="B1715" t="s">
        <v>46</v>
      </c>
      <c r="C1715" t="s">
        <v>33</v>
      </c>
      <c r="D1715" t="s">
        <v>20</v>
      </c>
      <c r="E1715" s="1">
        <v>2025</v>
      </c>
      <c r="F1715" s="11">
        <v>0.1099</v>
      </c>
      <c r="G1715">
        <v>11.9</v>
      </c>
      <c r="H1715">
        <v>6.83</v>
      </c>
      <c r="I1715" s="2">
        <v>30954.01</v>
      </c>
      <c r="J1715" s="2">
        <v>31241.52</v>
      </c>
      <c r="K1715" s="2">
        <f>Table1[[#This Row],[Salary_after]]-Table1[[#This Row],[Salary_before]]</f>
        <v>287.51000000000204</v>
      </c>
      <c r="L1715" s="11">
        <v>9.300000000000001E-3</v>
      </c>
      <c r="M1715" s="11">
        <v>1.7000000000000001E-2</v>
      </c>
      <c r="N1715">
        <v>97.6</v>
      </c>
      <c r="O1715">
        <v>77.14</v>
      </c>
      <c r="P1715">
        <v>1</v>
      </c>
      <c r="Q1715" t="s">
        <v>21</v>
      </c>
      <c r="R1715">
        <v>8.91</v>
      </c>
      <c r="S1715">
        <v>0.93</v>
      </c>
      <c r="T1715" s="4">
        <v>6.7240000000000002</v>
      </c>
      <c r="U1715" s="4">
        <v>8.4776860000000003</v>
      </c>
      <c r="V1715" t="str">
        <f>IF(Table1[[#This Row],[ai_disruption_intensity]]&gt;70,"High",
IF(Table1[[#This Row],[ai_disruption_intensity]]&gt;40,"Medium","Low"))</f>
        <v>Low</v>
      </c>
      <c r="W1715" t="str">
        <f>IF(Table1[[#This Row],[skill_gap_index]]&gt;70,"Large Gap",
IF(Table1[[#This Row],[skill_gap_index]]&gt;40,"Medium Gap","Small Gap"))</f>
        <v>Small Gap</v>
      </c>
      <c r="X1715" s="3" t="str">
        <f>IF(Table1[[#This Row],[automation_risk_percent]]&gt;0.7,"Highly Automatable",
IF(Table1[[#This Row],[automation_risk_percent]]&gt;0.4,"Moderate Risk","Safe Job"))</f>
        <v>Safe Job</v>
      </c>
    </row>
    <row r="1716" spans="1:24" x14ac:dyDescent="0.3">
      <c r="A1716">
        <v>6155</v>
      </c>
      <c r="B1716" t="s">
        <v>18</v>
      </c>
      <c r="C1716" t="s">
        <v>19</v>
      </c>
      <c r="D1716" t="s">
        <v>20</v>
      </c>
      <c r="E1716" s="1">
        <v>2026</v>
      </c>
      <c r="F1716" s="11">
        <v>0.27810000000000001</v>
      </c>
      <c r="G1716">
        <v>23.04</v>
      </c>
      <c r="H1716">
        <v>61.67</v>
      </c>
      <c r="I1716" s="2">
        <v>30387.47</v>
      </c>
      <c r="J1716" s="2">
        <v>28382.09</v>
      </c>
      <c r="K1716" s="2">
        <f>Table1[[#This Row],[Salary_after]]-Table1[[#This Row],[Salary_before]]</f>
        <v>-2005.380000000001</v>
      </c>
      <c r="L1716" s="11">
        <v>-6.6000000000000003E-2</v>
      </c>
      <c r="M1716" s="11">
        <v>0.12520000000000001</v>
      </c>
      <c r="N1716">
        <v>36.93</v>
      </c>
      <c r="O1716">
        <v>34.4</v>
      </c>
      <c r="P1716">
        <v>4</v>
      </c>
      <c r="Q1716" t="s">
        <v>21</v>
      </c>
      <c r="R1716">
        <v>44.74</v>
      </c>
      <c r="S1716">
        <v>6.6</v>
      </c>
      <c r="T1716" s="4">
        <v>31.605</v>
      </c>
      <c r="U1716" s="4">
        <v>9.5666399999999996</v>
      </c>
      <c r="V1716" t="str">
        <f>IF(Table1[[#This Row],[ai_disruption_intensity]]&gt;70,"High",
IF(Table1[[#This Row],[ai_disruption_intensity]]&gt;40,"Medium","Low"))</f>
        <v>Low</v>
      </c>
      <c r="W1716" t="str">
        <f>IF(Table1[[#This Row],[skill_gap_index]]&gt;70,"Large Gap",
IF(Table1[[#This Row],[skill_gap_index]]&gt;40,"Medium Gap","Small Gap"))</f>
        <v>Medium Gap</v>
      </c>
      <c r="X1716" s="3" t="str">
        <f>IF(Table1[[#This Row],[automation_risk_percent]]&gt;0.7,"Highly Automatable",
IF(Table1[[#This Row],[automation_risk_percent]]&gt;0.4,"Moderate Risk","Safe Job"))</f>
        <v>Safe Job</v>
      </c>
    </row>
    <row r="1717" spans="1:24" x14ac:dyDescent="0.3">
      <c r="A1717">
        <v>6156</v>
      </c>
      <c r="B1717" t="s">
        <v>39</v>
      </c>
      <c r="C1717" t="s">
        <v>38</v>
      </c>
      <c r="D1717" t="s">
        <v>47</v>
      </c>
      <c r="E1717" s="1">
        <v>2025</v>
      </c>
      <c r="F1717" s="11">
        <v>0.63450000000000006</v>
      </c>
      <c r="G1717">
        <v>57.5</v>
      </c>
      <c r="H1717">
        <v>28.45</v>
      </c>
      <c r="I1717" s="2">
        <v>94919.03</v>
      </c>
      <c r="J1717" s="2">
        <v>100588.3</v>
      </c>
      <c r="K1717" s="2">
        <f>Table1[[#This Row],[Salary_after]]-Table1[[#This Row],[Salary_before]]</f>
        <v>5669.2700000000041</v>
      </c>
      <c r="L1717" s="11">
        <v>5.9699999999999996E-2</v>
      </c>
      <c r="M1717" s="11">
        <v>4.5100000000000001E-2</v>
      </c>
      <c r="N1717">
        <v>33.71</v>
      </c>
      <c r="O1717">
        <v>9.19</v>
      </c>
      <c r="P1717">
        <v>5</v>
      </c>
      <c r="Q1717" t="s">
        <v>37</v>
      </c>
      <c r="R1717">
        <v>45.95</v>
      </c>
      <c r="S1717">
        <v>5.97</v>
      </c>
      <c r="T1717" s="4">
        <v>35.706000000000003</v>
      </c>
      <c r="U1717" s="4">
        <v>5.8310550000000001</v>
      </c>
      <c r="V1717" t="str">
        <f>IF(Table1[[#This Row],[ai_disruption_intensity]]&gt;70,"High",
IF(Table1[[#This Row],[ai_disruption_intensity]]&gt;40,"Medium","Low"))</f>
        <v>Low</v>
      </c>
      <c r="W1717" t="str">
        <f>IF(Table1[[#This Row],[skill_gap_index]]&gt;70,"Large Gap",
IF(Table1[[#This Row],[skill_gap_index]]&gt;40,"Medium Gap","Small Gap"))</f>
        <v>Small Gap</v>
      </c>
      <c r="X1717" s="3" t="str">
        <f>IF(Table1[[#This Row],[automation_risk_percent]]&gt;0.7,"Highly Automatable",
IF(Table1[[#This Row],[automation_risk_percent]]&gt;0.4,"Moderate Risk","Safe Job"))</f>
        <v>Moderate Risk</v>
      </c>
    </row>
    <row r="1718" spans="1:24" x14ac:dyDescent="0.3">
      <c r="A1718">
        <v>6157</v>
      </c>
      <c r="B1718" t="s">
        <v>44</v>
      </c>
      <c r="C1718" t="s">
        <v>34</v>
      </c>
      <c r="D1718" t="s">
        <v>35</v>
      </c>
      <c r="E1718" s="1">
        <v>2025</v>
      </c>
      <c r="F1718" s="11">
        <v>0.47869999999999996</v>
      </c>
      <c r="G1718">
        <v>41.83</v>
      </c>
      <c r="H1718">
        <v>41.36</v>
      </c>
      <c r="I1718" s="2">
        <v>52463.75</v>
      </c>
      <c r="J1718" s="2">
        <v>50634.29</v>
      </c>
      <c r="K1718" s="2">
        <f>Table1[[#This Row],[Salary_after]]-Table1[[#This Row],[Salary_before]]</f>
        <v>-1829.4599999999991</v>
      </c>
      <c r="L1718" s="11">
        <v>-3.49E-2</v>
      </c>
      <c r="M1718" s="11">
        <v>0.127</v>
      </c>
      <c r="N1718">
        <v>79.739999999999995</v>
      </c>
      <c r="O1718">
        <v>94.86</v>
      </c>
      <c r="P1718">
        <v>3</v>
      </c>
      <c r="Q1718" t="s">
        <v>25</v>
      </c>
      <c r="R1718">
        <v>44.614999999999903</v>
      </c>
      <c r="S1718">
        <v>3.49</v>
      </c>
      <c r="T1718" s="4">
        <v>32.602999999999902</v>
      </c>
      <c r="U1718" s="4">
        <v>45.409481999999997</v>
      </c>
      <c r="V1718" t="str">
        <f>IF(Table1[[#This Row],[ai_disruption_intensity]]&gt;70,"High",
IF(Table1[[#This Row],[ai_disruption_intensity]]&gt;40,"Medium","Low"))</f>
        <v>Medium</v>
      </c>
      <c r="W1718" t="str">
        <f>IF(Table1[[#This Row],[skill_gap_index]]&gt;70,"Large Gap",
IF(Table1[[#This Row],[skill_gap_index]]&gt;40,"Medium Gap","Small Gap"))</f>
        <v>Medium Gap</v>
      </c>
      <c r="X1718" s="3" t="str">
        <f>IF(Table1[[#This Row],[automation_risk_percent]]&gt;0.7,"Highly Automatable",
IF(Table1[[#This Row],[automation_risk_percent]]&gt;0.4,"Moderate Risk","Safe Job"))</f>
        <v>Moderate Risk</v>
      </c>
    </row>
    <row r="1719" spans="1:24" x14ac:dyDescent="0.3">
      <c r="A1719">
        <v>6158</v>
      </c>
      <c r="B1719" t="s">
        <v>39</v>
      </c>
      <c r="C1719" t="s">
        <v>34</v>
      </c>
      <c r="D1719" t="s">
        <v>28</v>
      </c>
      <c r="E1719" s="1">
        <v>2026</v>
      </c>
      <c r="F1719" s="11">
        <v>0.75840000000000007</v>
      </c>
      <c r="G1719">
        <v>76.59</v>
      </c>
      <c r="H1719">
        <v>98.33</v>
      </c>
      <c r="I1719" s="2">
        <v>108712.47</v>
      </c>
      <c r="J1719" s="2">
        <v>95713.25</v>
      </c>
      <c r="K1719" s="2">
        <f>Table1[[#This Row],[Salary_after]]-Table1[[#This Row],[Salary_before]]</f>
        <v>-12999.220000000001</v>
      </c>
      <c r="L1719" s="11">
        <v>-0.11960000000000001</v>
      </c>
      <c r="M1719" s="11">
        <v>3.9199999999999999E-2</v>
      </c>
      <c r="N1719">
        <v>81.23</v>
      </c>
      <c r="O1719">
        <v>62.44</v>
      </c>
      <c r="P1719">
        <v>3</v>
      </c>
      <c r="Q1719" t="s">
        <v>37</v>
      </c>
      <c r="R1719">
        <v>87.084999999999994</v>
      </c>
      <c r="S1719">
        <v>11.96</v>
      </c>
      <c r="T1719" s="4">
        <v>63.423000000000002</v>
      </c>
      <c r="U1719" s="4">
        <v>47.354495999999997</v>
      </c>
      <c r="V1719" t="str">
        <f>IF(Table1[[#This Row],[ai_disruption_intensity]]&gt;70,"High",
IF(Table1[[#This Row],[ai_disruption_intensity]]&gt;40,"Medium","Low"))</f>
        <v>Medium</v>
      </c>
      <c r="W1719" t="str">
        <f>IF(Table1[[#This Row],[skill_gap_index]]&gt;70,"Large Gap",
IF(Table1[[#This Row],[skill_gap_index]]&gt;40,"Medium Gap","Small Gap"))</f>
        <v>Large Gap</v>
      </c>
      <c r="X1719" s="3" t="str">
        <f>IF(Table1[[#This Row],[automation_risk_percent]]&gt;0.7,"Highly Automatable",
IF(Table1[[#This Row],[automation_risk_percent]]&gt;0.4,"Moderate Risk","Safe Job"))</f>
        <v>Highly Automatable</v>
      </c>
    </row>
    <row r="1720" spans="1:24" x14ac:dyDescent="0.3">
      <c r="A1720">
        <v>6170</v>
      </c>
      <c r="B1720" t="s">
        <v>45</v>
      </c>
      <c r="C1720" t="s">
        <v>27</v>
      </c>
      <c r="D1720" t="s">
        <v>20</v>
      </c>
      <c r="E1720" s="1">
        <v>2025</v>
      </c>
      <c r="F1720" s="11">
        <v>0.28610000000000002</v>
      </c>
      <c r="G1720">
        <v>29.64</v>
      </c>
      <c r="H1720">
        <v>78.459999999999994</v>
      </c>
      <c r="I1720" s="2">
        <v>60881</v>
      </c>
      <c r="J1720" s="2">
        <v>65944.850000000006</v>
      </c>
      <c r="K1720" s="2">
        <f>Table1[[#This Row],[Salary_after]]-Table1[[#This Row],[Salary_before]]</f>
        <v>5063.8500000000058</v>
      </c>
      <c r="L1720" s="11">
        <v>8.3199999999999996E-2</v>
      </c>
      <c r="M1720" s="11">
        <v>0.16750000000000001</v>
      </c>
      <c r="N1720">
        <v>57.3</v>
      </c>
      <c r="O1720">
        <v>32.54</v>
      </c>
      <c r="P1720">
        <v>3</v>
      </c>
      <c r="Q1720" t="s">
        <v>21</v>
      </c>
      <c r="R1720">
        <v>53.534999999999997</v>
      </c>
      <c r="S1720">
        <v>8.32</v>
      </c>
      <c r="T1720" s="4">
        <v>37.478000000000002</v>
      </c>
      <c r="U1720" s="4">
        <v>9.3096940000000004</v>
      </c>
      <c r="V1720" t="str">
        <f>IF(Table1[[#This Row],[ai_disruption_intensity]]&gt;70,"High",
IF(Table1[[#This Row],[ai_disruption_intensity]]&gt;40,"Medium","Low"))</f>
        <v>Low</v>
      </c>
      <c r="W1720" t="str">
        <f>IF(Table1[[#This Row],[skill_gap_index]]&gt;70,"Large Gap",
IF(Table1[[#This Row],[skill_gap_index]]&gt;40,"Medium Gap","Small Gap"))</f>
        <v>Large Gap</v>
      </c>
      <c r="X1720" s="3" t="str">
        <f>IF(Table1[[#This Row],[automation_risk_percent]]&gt;0.7,"Highly Automatable",
IF(Table1[[#This Row],[automation_risk_percent]]&gt;0.4,"Moderate Risk","Safe Job"))</f>
        <v>Safe Job</v>
      </c>
    </row>
    <row r="1721" spans="1:24" x14ac:dyDescent="0.3">
      <c r="A1721">
        <v>6173</v>
      </c>
      <c r="B1721" t="s">
        <v>26</v>
      </c>
      <c r="C1721" t="s">
        <v>19</v>
      </c>
      <c r="D1721" t="s">
        <v>32</v>
      </c>
      <c r="E1721" s="1">
        <v>2025</v>
      </c>
      <c r="F1721" s="11">
        <v>0.34710000000000002</v>
      </c>
      <c r="G1721">
        <v>34.01</v>
      </c>
      <c r="H1721">
        <v>34.81</v>
      </c>
      <c r="I1721" s="2">
        <v>106563.23</v>
      </c>
      <c r="J1721" s="2">
        <v>89318.080000000002</v>
      </c>
      <c r="K1721" s="2">
        <f>Table1[[#This Row],[Salary_after]]-Table1[[#This Row],[Salary_before]]</f>
        <v>-17245.149999999994</v>
      </c>
      <c r="L1721" s="11">
        <v>-0.1618</v>
      </c>
      <c r="M1721" s="11">
        <v>0.16159999999999999</v>
      </c>
      <c r="N1721">
        <v>40.880000000000003</v>
      </c>
      <c r="O1721">
        <v>64.48</v>
      </c>
      <c r="P1721">
        <v>2</v>
      </c>
      <c r="Q1721" t="s">
        <v>25</v>
      </c>
      <c r="R1721">
        <v>34.76</v>
      </c>
      <c r="S1721">
        <v>16.18</v>
      </c>
      <c r="T1721" s="4">
        <v>29.180999999999901</v>
      </c>
      <c r="U1721" s="4">
        <v>22.381008000000001</v>
      </c>
      <c r="V1721" t="str">
        <f>IF(Table1[[#This Row],[ai_disruption_intensity]]&gt;70,"High",
IF(Table1[[#This Row],[ai_disruption_intensity]]&gt;40,"Medium","Low"))</f>
        <v>Low</v>
      </c>
      <c r="W1721" t="str">
        <f>IF(Table1[[#This Row],[skill_gap_index]]&gt;70,"Large Gap",
IF(Table1[[#This Row],[skill_gap_index]]&gt;40,"Medium Gap","Small Gap"))</f>
        <v>Small Gap</v>
      </c>
      <c r="X1721" s="3" t="str">
        <f>IF(Table1[[#This Row],[automation_risk_percent]]&gt;0.7,"Highly Automatable",
IF(Table1[[#This Row],[automation_risk_percent]]&gt;0.4,"Moderate Risk","Safe Job"))</f>
        <v>Safe Job</v>
      </c>
    </row>
    <row r="1722" spans="1:24" x14ac:dyDescent="0.3">
      <c r="A1722">
        <v>6175</v>
      </c>
      <c r="B1722" t="s">
        <v>41</v>
      </c>
      <c r="C1722" t="s">
        <v>38</v>
      </c>
      <c r="D1722" t="s">
        <v>35</v>
      </c>
      <c r="E1722" s="1">
        <v>2026</v>
      </c>
      <c r="F1722" s="11">
        <v>0.87060000000000004</v>
      </c>
      <c r="G1722">
        <v>78.349999999999994</v>
      </c>
      <c r="H1722">
        <v>23.86</v>
      </c>
      <c r="I1722" s="2">
        <v>81914.990000000005</v>
      </c>
      <c r="J1722" s="2">
        <v>82994.36</v>
      </c>
      <c r="K1722" s="2">
        <f>Table1[[#This Row],[Salary_after]]-Table1[[#This Row],[Salary_before]]</f>
        <v>1079.3699999999953</v>
      </c>
      <c r="L1722" s="11">
        <v>1.32E-2</v>
      </c>
      <c r="M1722" s="11">
        <v>1.8200000000000001E-2</v>
      </c>
      <c r="N1722">
        <v>77.47</v>
      </c>
      <c r="O1722">
        <v>34.54</v>
      </c>
      <c r="P1722">
        <v>1</v>
      </c>
      <c r="Q1722" t="s">
        <v>37</v>
      </c>
      <c r="R1722">
        <v>55.46</v>
      </c>
      <c r="S1722">
        <v>1.32</v>
      </c>
      <c r="T1722" s="4">
        <v>42.378</v>
      </c>
      <c r="U1722" s="4">
        <v>30.070523999999999</v>
      </c>
      <c r="V1722" t="str">
        <f>IF(Table1[[#This Row],[ai_disruption_intensity]]&gt;70,"High",
IF(Table1[[#This Row],[ai_disruption_intensity]]&gt;40,"Medium","Low"))</f>
        <v>Low</v>
      </c>
      <c r="W1722" t="str">
        <f>IF(Table1[[#This Row],[skill_gap_index]]&gt;70,"Large Gap",
IF(Table1[[#This Row],[skill_gap_index]]&gt;40,"Medium Gap","Small Gap"))</f>
        <v>Small Gap</v>
      </c>
      <c r="X1722" s="3" t="str">
        <f>IF(Table1[[#This Row],[automation_risk_percent]]&gt;0.7,"Highly Automatable",
IF(Table1[[#This Row],[automation_risk_percent]]&gt;0.4,"Moderate Risk","Safe Job"))</f>
        <v>Highly Automatable</v>
      </c>
    </row>
    <row r="1723" spans="1:24" x14ac:dyDescent="0.3">
      <c r="A1723">
        <v>6176</v>
      </c>
      <c r="B1723" t="s">
        <v>39</v>
      </c>
      <c r="C1723" t="s">
        <v>19</v>
      </c>
      <c r="D1723" t="s">
        <v>42</v>
      </c>
      <c r="E1723" s="1">
        <v>2025</v>
      </c>
      <c r="F1723" s="11">
        <v>0.42570000000000002</v>
      </c>
      <c r="G1723">
        <v>44.11</v>
      </c>
      <c r="H1723">
        <v>7.36</v>
      </c>
      <c r="I1723" s="2">
        <v>115355.7</v>
      </c>
      <c r="J1723" s="2">
        <v>141753.70000000001</v>
      </c>
      <c r="K1723" s="2">
        <f>Table1[[#This Row],[Salary_after]]-Table1[[#This Row],[Salary_before]]</f>
        <v>26398.000000000015</v>
      </c>
      <c r="L1723" s="11">
        <v>0.2288</v>
      </c>
      <c r="M1723" s="11">
        <v>9.9199999999999997E-2</v>
      </c>
      <c r="N1723">
        <v>75.14</v>
      </c>
      <c r="O1723">
        <v>67.56</v>
      </c>
      <c r="P1723">
        <v>2</v>
      </c>
      <c r="Q1723" t="s">
        <v>25</v>
      </c>
      <c r="R1723">
        <v>24.965</v>
      </c>
      <c r="S1723">
        <v>22.88</v>
      </c>
      <c r="T1723" s="4">
        <v>26.1</v>
      </c>
      <c r="U1723" s="4">
        <v>28.760292</v>
      </c>
      <c r="V1723" t="str">
        <f>IF(Table1[[#This Row],[ai_disruption_intensity]]&gt;70,"High",
IF(Table1[[#This Row],[ai_disruption_intensity]]&gt;40,"Medium","Low"))</f>
        <v>Low</v>
      </c>
      <c r="W1723" t="str">
        <f>IF(Table1[[#This Row],[skill_gap_index]]&gt;70,"Large Gap",
IF(Table1[[#This Row],[skill_gap_index]]&gt;40,"Medium Gap","Small Gap"))</f>
        <v>Small Gap</v>
      </c>
      <c r="X1723" s="3" t="str">
        <f>IF(Table1[[#This Row],[automation_risk_percent]]&gt;0.7,"Highly Automatable",
IF(Table1[[#This Row],[automation_risk_percent]]&gt;0.4,"Moderate Risk","Safe Job"))</f>
        <v>Moderate Risk</v>
      </c>
    </row>
    <row r="1724" spans="1:24" x14ac:dyDescent="0.3">
      <c r="A1724">
        <v>6180</v>
      </c>
      <c r="B1724" t="s">
        <v>41</v>
      </c>
      <c r="C1724" t="s">
        <v>19</v>
      </c>
      <c r="D1724" t="s">
        <v>42</v>
      </c>
      <c r="E1724" s="1">
        <v>2026</v>
      </c>
      <c r="F1724" s="11">
        <v>0.48609999999999998</v>
      </c>
      <c r="G1724">
        <v>40.020000000000003</v>
      </c>
      <c r="H1724">
        <v>16.66</v>
      </c>
      <c r="I1724" s="2">
        <v>122678.85</v>
      </c>
      <c r="J1724" s="2">
        <v>116744.15</v>
      </c>
      <c r="K1724" s="2">
        <f>Table1[[#This Row],[Salary_after]]-Table1[[#This Row],[Salary_before]]</f>
        <v>-5934.7000000000116</v>
      </c>
      <c r="L1724" s="11">
        <v>-4.8399999999999999E-2</v>
      </c>
      <c r="M1724" s="11">
        <v>5.7200000000000001E-2</v>
      </c>
      <c r="N1724">
        <v>36.18</v>
      </c>
      <c r="O1724">
        <v>44.88</v>
      </c>
      <c r="P1724">
        <v>2</v>
      </c>
      <c r="Q1724" t="s">
        <v>25</v>
      </c>
      <c r="R1724">
        <v>32.634999999999998</v>
      </c>
      <c r="S1724">
        <v>4.84</v>
      </c>
      <c r="T1724" s="4">
        <v>25.893999999999998</v>
      </c>
      <c r="U1724" s="4">
        <v>21.816168000000001</v>
      </c>
      <c r="V1724" t="str">
        <f>IF(Table1[[#This Row],[ai_disruption_intensity]]&gt;70,"High",
IF(Table1[[#This Row],[ai_disruption_intensity]]&gt;40,"Medium","Low"))</f>
        <v>Low</v>
      </c>
      <c r="W1724" t="str">
        <f>IF(Table1[[#This Row],[skill_gap_index]]&gt;70,"Large Gap",
IF(Table1[[#This Row],[skill_gap_index]]&gt;40,"Medium Gap","Small Gap"))</f>
        <v>Small Gap</v>
      </c>
      <c r="X1724" s="3" t="str">
        <f>IF(Table1[[#This Row],[automation_risk_percent]]&gt;0.7,"Highly Automatable",
IF(Table1[[#This Row],[automation_risk_percent]]&gt;0.4,"Moderate Risk","Safe Job"))</f>
        <v>Moderate Risk</v>
      </c>
    </row>
    <row r="1725" spans="1:24" x14ac:dyDescent="0.3">
      <c r="A1725">
        <v>6186</v>
      </c>
      <c r="B1725" t="s">
        <v>39</v>
      </c>
      <c r="C1725" t="s">
        <v>30</v>
      </c>
      <c r="D1725" t="s">
        <v>28</v>
      </c>
      <c r="E1725" s="1">
        <v>2025</v>
      </c>
      <c r="F1725" s="11">
        <v>0.55649999999999999</v>
      </c>
      <c r="G1725">
        <v>61.73</v>
      </c>
      <c r="H1725">
        <v>88.38</v>
      </c>
      <c r="I1725" s="2">
        <v>133277.82</v>
      </c>
      <c r="J1725" s="2">
        <v>101922.36</v>
      </c>
      <c r="K1725" s="2">
        <f>Table1[[#This Row],[Salary_after]]-Table1[[#This Row],[Salary_before]]</f>
        <v>-31355.460000000006</v>
      </c>
      <c r="L1725" s="11">
        <v>-0.23530000000000001</v>
      </c>
      <c r="M1725" s="11">
        <v>-8.3299999999999999E-2</v>
      </c>
      <c r="N1725">
        <v>59.75</v>
      </c>
      <c r="O1725">
        <v>59.66</v>
      </c>
      <c r="P1725">
        <v>4</v>
      </c>
      <c r="Q1725" t="s">
        <v>25</v>
      </c>
      <c r="R1725">
        <v>72.015000000000001</v>
      </c>
      <c r="S1725">
        <v>23.53</v>
      </c>
      <c r="T1725" s="4">
        <v>55.832999999999998</v>
      </c>
      <c r="U1725" s="4">
        <v>33.200789999999998</v>
      </c>
      <c r="V1725" t="str">
        <f>IF(Table1[[#This Row],[ai_disruption_intensity]]&gt;70,"High",
IF(Table1[[#This Row],[ai_disruption_intensity]]&gt;40,"Medium","Low"))</f>
        <v>Low</v>
      </c>
      <c r="W1725" t="str">
        <f>IF(Table1[[#This Row],[skill_gap_index]]&gt;70,"Large Gap",
IF(Table1[[#This Row],[skill_gap_index]]&gt;40,"Medium Gap","Small Gap"))</f>
        <v>Large Gap</v>
      </c>
      <c r="X1725" s="3" t="str">
        <f>IF(Table1[[#This Row],[automation_risk_percent]]&gt;0.7,"Highly Automatable",
IF(Table1[[#This Row],[automation_risk_percent]]&gt;0.4,"Moderate Risk","Safe Job"))</f>
        <v>Moderate Risk</v>
      </c>
    </row>
    <row r="1726" spans="1:24" x14ac:dyDescent="0.3">
      <c r="A1726">
        <v>6192</v>
      </c>
      <c r="B1726" t="s">
        <v>45</v>
      </c>
      <c r="C1726" t="s">
        <v>23</v>
      </c>
      <c r="D1726" t="s">
        <v>32</v>
      </c>
      <c r="E1726" s="1">
        <v>2025</v>
      </c>
      <c r="F1726" s="11">
        <v>0.16519999999999999</v>
      </c>
      <c r="G1726">
        <v>17.059999999999999</v>
      </c>
      <c r="H1726">
        <v>2.1800000000000002</v>
      </c>
      <c r="I1726" s="2">
        <v>60885.02</v>
      </c>
      <c r="J1726" s="2">
        <v>72962.039999999994</v>
      </c>
      <c r="K1726" s="2">
        <f>Table1[[#This Row],[Salary_after]]-Table1[[#This Row],[Salary_before]]</f>
        <v>12077.019999999997</v>
      </c>
      <c r="L1726" s="11">
        <v>0.19839999999999999</v>
      </c>
      <c r="M1726" s="11">
        <v>5.2300000000000006E-2</v>
      </c>
      <c r="N1726">
        <v>79.41</v>
      </c>
      <c r="O1726">
        <v>3.56</v>
      </c>
      <c r="P1726">
        <v>1</v>
      </c>
      <c r="Q1726" t="s">
        <v>21</v>
      </c>
      <c r="R1726">
        <v>9.35</v>
      </c>
      <c r="S1726">
        <v>19.84</v>
      </c>
      <c r="T1726" s="4">
        <v>13.214</v>
      </c>
      <c r="U1726" s="4">
        <v>0.58811199999999997</v>
      </c>
      <c r="V1726" t="str">
        <f>IF(Table1[[#This Row],[ai_disruption_intensity]]&gt;70,"High",
IF(Table1[[#This Row],[ai_disruption_intensity]]&gt;40,"Medium","Low"))</f>
        <v>Low</v>
      </c>
      <c r="W1726" t="str">
        <f>IF(Table1[[#This Row],[skill_gap_index]]&gt;70,"Large Gap",
IF(Table1[[#This Row],[skill_gap_index]]&gt;40,"Medium Gap","Small Gap"))</f>
        <v>Small Gap</v>
      </c>
      <c r="X1726" s="3" t="str">
        <f>IF(Table1[[#This Row],[automation_risk_percent]]&gt;0.7,"Highly Automatable",
IF(Table1[[#This Row],[automation_risk_percent]]&gt;0.4,"Moderate Risk","Safe Job"))</f>
        <v>Safe Job</v>
      </c>
    </row>
    <row r="1727" spans="1:24" x14ac:dyDescent="0.3">
      <c r="A1727">
        <v>6195</v>
      </c>
      <c r="B1727" t="s">
        <v>43</v>
      </c>
      <c r="C1727" t="s">
        <v>23</v>
      </c>
      <c r="D1727" t="s">
        <v>47</v>
      </c>
      <c r="E1727" s="1">
        <v>2026</v>
      </c>
      <c r="F1727" s="11">
        <v>0.31359999999999999</v>
      </c>
      <c r="G1727">
        <v>33.479999999999997</v>
      </c>
      <c r="H1727">
        <v>3.99</v>
      </c>
      <c r="I1727" s="2">
        <v>86474.35</v>
      </c>
      <c r="J1727" s="2">
        <v>93756.31</v>
      </c>
      <c r="K1727" s="2">
        <f>Table1[[#This Row],[Salary_after]]-Table1[[#This Row],[Salary_before]]</f>
        <v>7281.9599999999919</v>
      </c>
      <c r="L1727" s="11">
        <v>8.4199999999999997E-2</v>
      </c>
      <c r="M1727" s="11">
        <v>-4.4699999999999997E-2</v>
      </c>
      <c r="N1727">
        <v>59.61</v>
      </c>
      <c r="O1727">
        <v>2.34</v>
      </c>
      <c r="P1727">
        <v>5</v>
      </c>
      <c r="Q1727" t="s">
        <v>25</v>
      </c>
      <c r="R1727">
        <v>17.675000000000001</v>
      </c>
      <c r="S1727">
        <v>8.42</v>
      </c>
      <c r="T1727" s="4">
        <v>16.266999999999999</v>
      </c>
      <c r="U1727" s="4">
        <v>0.73382399999999903</v>
      </c>
      <c r="V1727" t="str">
        <f>IF(Table1[[#This Row],[ai_disruption_intensity]]&gt;70,"High",
IF(Table1[[#This Row],[ai_disruption_intensity]]&gt;40,"Medium","Low"))</f>
        <v>Low</v>
      </c>
      <c r="W1727" t="str">
        <f>IF(Table1[[#This Row],[skill_gap_index]]&gt;70,"Large Gap",
IF(Table1[[#This Row],[skill_gap_index]]&gt;40,"Medium Gap","Small Gap"))</f>
        <v>Small Gap</v>
      </c>
      <c r="X1727" s="3" t="str">
        <f>IF(Table1[[#This Row],[automation_risk_percent]]&gt;0.7,"Highly Automatable",
IF(Table1[[#This Row],[automation_risk_percent]]&gt;0.4,"Moderate Risk","Safe Job"))</f>
        <v>Safe Job</v>
      </c>
    </row>
    <row r="1728" spans="1:24" x14ac:dyDescent="0.3">
      <c r="A1728">
        <v>6202</v>
      </c>
      <c r="B1728" t="s">
        <v>18</v>
      </c>
      <c r="C1728" t="s">
        <v>23</v>
      </c>
      <c r="D1728" t="s">
        <v>42</v>
      </c>
      <c r="E1728" s="1">
        <v>2025</v>
      </c>
      <c r="F1728" s="11">
        <v>0.16309999999999999</v>
      </c>
      <c r="G1728">
        <v>14.24</v>
      </c>
      <c r="H1728">
        <v>46.29</v>
      </c>
      <c r="I1728" s="2">
        <v>106492.41</v>
      </c>
      <c r="J1728" s="2">
        <v>121548.13</v>
      </c>
      <c r="K1728" s="2">
        <f>Table1[[#This Row],[Salary_after]]-Table1[[#This Row],[Salary_before]]</f>
        <v>15055.720000000001</v>
      </c>
      <c r="L1728" s="11">
        <v>0.1414</v>
      </c>
      <c r="M1728" s="11">
        <v>0.1656</v>
      </c>
      <c r="N1728">
        <v>74.3</v>
      </c>
      <c r="O1728">
        <v>50.58</v>
      </c>
      <c r="P1728">
        <v>2</v>
      </c>
      <c r="Q1728" t="s">
        <v>21</v>
      </c>
      <c r="R1728">
        <v>31.299999999999901</v>
      </c>
      <c r="S1728">
        <v>14.14</v>
      </c>
      <c r="T1728" s="4">
        <v>24.652999999999999</v>
      </c>
      <c r="U1728" s="4">
        <v>8.24959799999999</v>
      </c>
      <c r="V1728" t="str">
        <f>IF(Table1[[#This Row],[ai_disruption_intensity]]&gt;70,"High",
IF(Table1[[#This Row],[ai_disruption_intensity]]&gt;40,"Medium","Low"))</f>
        <v>Low</v>
      </c>
      <c r="W1728" t="str">
        <f>IF(Table1[[#This Row],[skill_gap_index]]&gt;70,"Large Gap",
IF(Table1[[#This Row],[skill_gap_index]]&gt;40,"Medium Gap","Small Gap"))</f>
        <v>Medium Gap</v>
      </c>
      <c r="X1728" s="3" t="str">
        <f>IF(Table1[[#This Row],[automation_risk_percent]]&gt;0.7,"Highly Automatable",
IF(Table1[[#This Row],[automation_risk_percent]]&gt;0.4,"Moderate Risk","Safe Job"))</f>
        <v>Safe Job</v>
      </c>
    </row>
    <row r="1729" spans="1:24" x14ac:dyDescent="0.3">
      <c r="A1729">
        <v>6205</v>
      </c>
      <c r="B1729" t="s">
        <v>26</v>
      </c>
      <c r="C1729" t="s">
        <v>30</v>
      </c>
      <c r="D1729" t="s">
        <v>35</v>
      </c>
      <c r="E1729" s="1">
        <v>2025</v>
      </c>
      <c r="F1729" s="11">
        <v>0.05</v>
      </c>
      <c r="G1729">
        <v>5.53</v>
      </c>
      <c r="H1729">
        <v>29.01</v>
      </c>
      <c r="I1729" s="2">
        <v>136464.63</v>
      </c>
      <c r="J1729" s="2">
        <v>141132.97</v>
      </c>
      <c r="K1729" s="2">
        <f>Table1[[#This Row],[Salary_after]]-Table1[[#This Row],[Salary_before]]</f>
        <v>4668.3399999999965</v>
      </c>
      <c r="L1729" s="11">
        <v>3.4200000000000001E-2</v>
      </c>
      <c r="M1729" s="11">
        <v>-7.5999999999999998E-2</v>
      </c>
      <c r="N1729">
        <v>19.850000000000001</v>
      </c>
      <c r="O1729">
        <v>40.270000000000003</v>
      </c>
      <c r="P1729">
        <v>4</v>
      </c>
      <c r="Q1729" t="s">
        <v>21</v>
      </c>
      <c r="R1729">
        <v>17.004999999999999</v>
      </c>
      <c r="S1729">
        <v>3.42</v>
      </c>
      <c r="T1729" s="4">
        <v>11.728999999999999</v>
      </c>
      <c r="U1729" s="4">
        <v>2.0135000000000001</v>
      </c>
      <c r="V1729" t="str">
        <f>IF(Table1[[#This Row],[ai_disruption_intensity]]&gt;70,"High",
IF(Table1[[#This Row],[ai_disruption_intensity]]&gt;40,"Medium","Low"))</f>
        <v>Low</v>
      </c>
      <c r="W1729" t="str">
        <f>IF(Table1[[#This Row],[skill_gap_index]]&gt;70,"Large Gap",
IF(Table1[[#This Row],[skill_gap_index]]&gt;40,"Medium Gap","Small Gap"))</f>
        <v>Small Gap</v>
      </c>
      <c r="X1729" s="3" t="str">
        <f>IF(Table1[[#This Row],[automation_risk_percent]]&gt;0.7,"Highly Automatable",
IF(Table1[[#This Row],[automation_risk_percent]]&gt;0.4,"Moderate Risk","Safe Job"))</f>
        <v>Safe Job</v>
      </c>
    </row>
    <row r="1730" spans="1:24" x14ac:dyDescent="0.3">
      <c r="A1730">
        <v>6207</v>
      </c>
      <c r="B1730" t="s">
        <v>39</v>
      </c>
      <c r="C1730" t="s">
        <v>23</v>
      </c>
      <c r="D1730" t="s">
        <v>24</v>
      </c>
      <c r="E1730" s="1">
        <v>2026</v>
      </c>
      <c r="F1730" s="11">
        <v>0.11109999999999999</v>
      </c>
      <c r="G1730">
        <v>9.1199999999999992</v>
      </c>
      <c r="H1730">
        <v>91.16</v>
      </c>
      <c r="I1730" s="2">
        <v>73005.45</v>
      </c>
      <c r="J1730" s="2">
        <v>67925.679999999993</v>
      </c>
      <c r="K1730" s="2">
        <f>Table1[[#This Row],[Salary_after]]-Table1[[#This Row],[Salary_before]]</f>
        <v>-5079.7700000000041</v>
      </c>
      <c r="L1730" s="11">
        <v>-6.9599999999999995E-2</v>
      </c>
      <c r="M1730" s="11">
        <v>-0.1182</v>
      </c>
      <c r="N1730">
        <v>46.86</v>
      </c>
      <c r="O1730">
        <v>23.85</v>
      </c>
      <c r="P1730">
        <v>1</v>
      </c>
      <c r="Q1730" t="s">
        <v>21</v>
      </c>
      <c r="R1730">
        <v>51.134999999999998</v>
      </c>
      <c r="S1730">
        <v>6.96</v>
      </c>
      <c r="T1730" s="4">
        <v>33.879999999999903</v>
      </c>
      <c r="U1730" s="4">
        <v>2.6497350000000002</v>
      </c>
      <c r="V1730" t="str">
        <f>IF(Table1[[#This Row],[ai_disruption_intensity]]&gt;70,"High",
IF(Table1[[#This Row],[ai_disruption_intensity]]&gt;40,"Medium","Low"))</f>
        <v>Low</v>
      </c>
      <c r="W1730" t="str">
        <f>IF(Table1[[#This Row],[skill_gap_index]]&gt;70,"Large Gap",
IF(Table1[[#This Row],[skill_gap_index]]&gt;40,"Medium Gap","Small Gap"))</f>
        <v>Large Gap</v>
      </c>
      <c r="X1730" s="3" t="str">
        <f>IF(Table1[[#This Row],[automation_risk_percent]]&gt;0.7,"Highly Automatable",
IF(Table1[[#This Row],[automation_risk_percent]]&gt;0.4,"Moderate Risk","Safe Job"))</f>
        <v>Safe Job</v>
      </c>
    </row>
    <row r="1731" spans="1:24" x14ac:dyDescent="0.3">
      <c r="A1731">
        <v>6212</v>
      </c>
      <c r="B1731" t="s">
        <v>39</v>
      </c>
      <c r="C1731" t="s">
        <v>40</v>
      </c>
      <c r="D1731" t="s">
        <v>36</v>
      </c>
      <c r="E1731" s="1">
        <v>2025</v>
      </c>
      <c r="F1731" s="11">
        <v>0.64430000000000009</v>
      </c>
      <c r="G1731">
        <v>63.71</v>
      </c>
      <c r="H1731">
        <v>5.41</v>
      </c>
      <c r="I1731" s="2">
        <v>72930.399999999994</v>
      </c>
      <c r="J1731" s="2">
        <v>82826.39</v>
      </c>
      <c r="K1731" s="2">
        <f>Table1[[#This Row],[Salary_after]]-Table1[[#This Row],[Salary_before]]</f>
        <v>9895.9900000000052</v>
      </c>
      <c r="L1731" s="11">
        <v>0.13570000000000002</v>
      </c>
      <c r="M1731" s="11">
        <v>0.182</v>
      </c>
      <c r="N1731">
        <v>27.57</v>
      </c>
      <c r="O1731">
        <v>25.3</v>
      </c>
      <c r="P1731">
        <v>4</v>
      </c>
      <c r="Q1731" t="s">
        <v>37</v>
      </c>
      <c r="R1731">
        <v>34.92</v>
      </c>
      <c r="S1731">
        <v>13.57</v>
      </c>
      <c r="T1731" s="4">
        <v>31.466000000000001</v>
      </c>
      <c r="U1731" s="4">
        <v>16.300789999999999</v>
      </c>
      <c r="V1731" t="str">
        <f>IF(Table1[[#This Row],[ai_disruption_intensity]]&gt;70,"High",
IF(Table1[[#This Row],[ai_disruption_intensity]]&gt;40,"Medium","Low"))</f>
        <v>Low</v>
      </c>
      <c r="W1731" t="str">
        <f>IF(Table1[[#This Row],[skill_gap_index]]&gt;70,"Large Gap",
IF(Table1[[#This Row],[skill_gap_index]]&gt;40,"Medium Gap","Small Gap"))</f>
        <v>Small Gap</v>
      </c>
      <c r="X1731" s="3" t="str">
        <f>IF(Table1[[#This Row],[automation_risk_percent]]&gt;0.7,"Highly Automatable",
IF(Table1[[#This Row],[automation_risk_percent]]&gt;0.4,"Moderate Risk","Safe Job"))</f>
        <v>Moderate Risk</v>
      </c>
    </row>
    <row r="1732" spans="1:24" x14ac:dyDescent="0.3">
      <c r="A1732">
        <v>6217</v>
      </c>
      <c r="B1732" t="s">
        <v>46</v>
      </c>
      <c r="C1732" t="s">
        <v>38</v>
      </c>
      <c r="D1732" t="s">
        <v>31</v>
      </c>
      <c r="E1732" s="1">
        <v>2025</v>
      </c>
      <c r="F1732" s="11">
        <v>0.21510000000000001</v>
      </c>
      <c r="G1732">
        <v>19.53</v>
      </c>
      <c r="H1732">
        <v>28.31</v>
      </c>
      <c r="I1732" s="2">
        <v>146379.16</v>
      </c>
      <c r="J1732" s="2">
        <v>146322.85999999999</v>
      </c>
      <c r="K1732" s="2">
        <f>Table1[[#This Row],[Salary_after]]-Table1[[#This Row],[Salary_before]]</f>
        <v>-56.300000000017462</v>
      </c>
      <c r="L1732" s="11">
        <v>-4.0000000000000002E-4</v>
      </c>
      <c r="M1732" s="11">
        <v>-6.6E-3</v>
      </c>
      <c r="N1732">
        <v>66.63</v>
      </c>
      <c r="O1732">
        <v>66.08</v>
      </c>
      <c r="P1732">
        <v>4</v>
      </c>
      <c r="Q1732" t="s">
        <v>21</v>
      </c>
      <c r="R1732">
        <v>24.91</v>
      </c>
      <c r="S1732">
        <v>0.04</v>
      </c>
      <c r="T1732" s="4">
        <v>17.109000000000002</v>
      </c>
      <c r="U1732" s="4">
        <v>14.213808</v>
      </c>
      <c r="V1732" t="str">
        <f>IF(Table1[[#This Row],[ai_disruption_intensity]]&gt;70,"High",
IF(Table1[[#This Row],[ai_disruption_intensity]]&gt;40,"Medium","Low"))</f>
        <v>Low</v>
      </c>
      <c r="W1732" t="str">
        <f>IF(Table1[[#This Row],[skill_gap_index]]&gt;70,"Large Gap",
IF(Table1[[#This Row],[skill_gap_index]]&gt;40,"Medium Gap","Small Gap"))</f>
        <v>Small Gap</v>
      </c>
      <c r="X1732" s="3" t="str">
        <f>IF(Table1[[#This Row],[automation_risk_percent]]&gt;0.7,"Highly Automatable",
IF(Table1[[#This Row],[automation_risk_percent]]&gt;0.4,"Moderate Risk","Safe Job"))</f>
        <v>Safe Job</v>
      </c>
    </row>
    <row r="1733" spans="1:24" x14ac:dyDescent="0.3">
      <c r="A1733">
        <v>6220</v>
      </c>
      <c r="B1733" t="s">
        <v>43</v>
      </c>
      <c r="C1733" t="s">
        <v>27</v>
      </c>
      <c r="D1733" t="s">
        <v>36</v>
      </c>
      <c r="E1733" s="1">
        <v>2026</v>
      </c>
      <c r="F1733" s="11">
        <v>0.38420000000000004</v>
      </c>
      <c r="G1733">
        <v>34.159999999999997</v>
      </c>
      <c r="H1733">
        <v>34.69</v>
      </c>
      <c r="I1733" s="2">
        <v>135226.48000000001</v>
      </c>
      <c r="J1733" s="2">
        <v>124430.25</v>
      </c>
      <c r="K1733" s="2">
        <f>Table1[[#This Row],[Salary_after]]-Table1[[#This Row],[Salary_before]]</f>
        <v>-10796.23000000001</v>
      </c>
      <c r="L1733" s="11">
        <v>-7.980000000000001E-2</v>
      </c>
      <c r="M1733" s="11">
        <v>-0.1014</v>
      </c>
      <c r="N1733">
        <v>97.74</v>
      </c>
      <c r="O1733">
        <v>32.39</v>
      </c>
      <c r="P1733">
        <v>5</v>
      </c>
      <c r="Q1733" t="s">
        <v>25</v>
      </c>
      <c r="R1733">
        <v>36.555</v>
      </c>
      <c r="S1733">
        <v>7.98</v>
      </c>
      <c r="T1733" s="4">
        <v>28.168999999999901</v>
      </c>
      <c r="U1733" s="4">
        <v>12.444238</v>
      </c>
      <c r="V1733" t="str">
        <f>IF(Table1[[#This Row],[ai_disruption_intensity]]&gt;70,"High",
IF(Table1[[#This Row],[ai_disruption_intensity]]&gt;40,"Medium","Low"))</f>
        <v>Low</v>
      </c>
      <c r="W1733" t="str">
        <f>IF(Table1[[#This Row],[skill_gap_index]]&gt;70,"Large Gap",
IF(Table1[[#This Row],[skill_gap_index]]&gt;40,"Medium Gap","Small Gap"))</f>
        <v>Small Gap</v>
      </c>
      <c r="X1733" s="3" t="str">
        <f>IF(Table1[[#This Row],[automation_risk_percent]]&gt;0.7,"Highly Automatable",
IF(Table1[[#This Row],[automation_risk_percent]]&gt;0.4,"Moderate Risk","Safe Job"))</f>
        <v>Safe Job</v>
      </c>
    </row>
    <row r="1734" spans="1:24" x14ac:dyDescent="0.3">
      <c r="A1734">
        <v>6221</v>
      </c>
      <c r="B1734" t="s">
        <v>44</v>
      </c>
      <c r="C1734" t="s">
        <v>27</v>
      </c>
      <c r="D1734" t="s">
        <v>31</v>
      </c>
      <c r="E1734" s="1">
        <v>2025</v>
      </c>
      <c r="F1734" s="11">
        <v>0.19649999999999998</v>
      </c>
      <c r="G1734">
        <v>17.940000000000001</v>
      </c>
      <c r="H1734">
        <v>96.4</v>
      </c>
      <c r="I1734" s="2">
        <v>79905.05</v>
      </c>
      <c r="J1734" s="2">
        <v>77647.97</v>
      </c>
      <c r="K1734" s="2">
        <f>Table1[[#This Row],[Salary_after]]-Table1[[#This Row],[Salary_before]]</f>
        <v>-2257.0800000000017</v>
      </c>
      <c r="L1734" s="11">
        <v>-2.8199999999999999E-2</v>
      </c>
      <c r="M1734" s="11">
        <v>6.8499999999999991E-2</v>
      </c>
      <c r="N1734">
        <v>27.77</v>
      </c>
      <c r="O1734">
        <v>61.61</v>
      </c>
      <c r="P1734">
        <v>4</v>
      </c>
      <c r="Q1734" t="s">
        <v>21</v>
      </c>
      <c r="R1734">
        <v>58.024999999999999</v>
      </c>
      <c r="S1734">
        <v>2.82</v>
      </c>
      <c r="T1734" s="4">
        <v>37.625999999999998</v>
      </c>
      <c r="U1734" s="4">
        <v>12.106364999999901</v>
      </c>
      <c r="V1734" t="str">
        <f>IF(Table1[[#This Row],[ai_disruption_intensity]]&gt;70,"High",
IF(Table1[[#This Row],[ai_disruption_intensity]]&gt;40,"Medium","Low"))</f>
        <v>Low</v>
      </c>
      <c r="W1734" t="str">
        <f>IF(Table1[[#This Row],[skill_gap_index]]&gt;70,"Large Gap",
IF(Table1[[#This Row],[skill_gap_index]]&gt;40,"Medium Gap","Small Gap"))</f>
        <v>Large Gap</v>
      </c>
      <c r="X1734" s="3" t="str">
        <f>IF(Table1[[#This Row],[automation_risk_percent]]&gt;0.7,"Highly Automatable",
IF(Table1[[#This Row],[automation_risk_percent]]&gt;0.4,"Moderate Risk","Safe Job"))</f>
        <v>Safe Job</v>
      </c>
    </row>
    <row r="1735" spans="1:24" x14ac:dyDescent="0.3">
      <c r="A1735">
        <v>6222</v>
      </c>
      <c r="B1735" t="s">
        <v>39</v>
      </c>
      <c r="C1735" t="s">
        <v>38</v>
      </c>
      <c r="D1735" t="s">
        <v>32</v>
      </c>
      <c r="E1735" s="1">
        <v>2025</v>
      </c>
      <c r="F1735" s="11">
        <v>0.40409999999999996</v>
      </c>
      <c r="G1735">
        <v>43.11</v>
      </c>
      <c r="H1735">
        <v>97.34</v>
      </c>
      <c r="I1735" s="2">
        <v>36325.65</v>
      </c>
      <c r="J1735" s="2">
        <v>38202.07</v>
      </c>
      <c r="K1735" s="2">
        <f>Table1[[#This Row],[Salary_after]]-Table1[[#This Row],[Salary_before]]</f>
        <v>1876.4199999999983</v>
      </c>
      <c r="L1735" s="11">
        <v>5.1699999999999996E-2</v>
      </c>
      <c r="M1735" s="11">
        <v>-6.3600000000000004E-2</v>
      </c>
      <c r="N1735">
        <v>90.69</v>
      </c>
      <c r="O1735">
        <v>79.760000000000005</v>
      </c>
      <c r="P1735">
        <v>4</v>
      </c>
      <c r="Q1735" t="s">
        <v>25</v>
      </c>
      <c r="R1735">
        <v>68.875</v>
      </c>
      <c r="S1735">
        <v>5.17</v>
      </c>
      <c r="T1735" s="4">
        <v>46.917000000000002</v>
      </c>
      <c r="U1735" s="4">
        <v>32.231015999999997</v>
      </c>
      <c r="V1735" t="str">
        <f>IF(Table1[[#This Row],[ai_disruption_intensity]]&gt;70,"High",
IF(Table1[[#This Row],[ai_disruption_intensity]]&gt;40,"Medium","Low"))</f>
        <v>Low</v>
      </c>
      <c r="W1735" t="str">
        <f>IF(Table1[[#This Row],[skill_gap_index]]&gt;70,"Large Gap",
IF(Table1[[#This Row],[skill_gap_index]]&gt;40,"Medium Gap","Small Gap"))</f>
        <v>Large Gap</v>
      </c>
      <c r="X1735" s="3" t="str">
        <f>IF(Table1[[#This Row],[automation_risk_percent]]&gt;0.7,"Highly Automatable",
IF(Table1[[#This Row],[automation_risk_percent]]&gt;0.4,"Moderate Risk","Safe Job"))</f>
        <v>Moderate Risk</v>
      </c>
    </row>
    <row r="1736" spans="1:24" x14ac:dyDescent="0.3">
      <c r="A1736">
        <v>6227</v>
      </c>
      <c r="B1736" t="s">
        <v>45</v>
      </c>
      <c r="C1736" t="s">
        <v>40</v>
      </c>
      <c r="D1736" t="s">
        <v>20</v>
      </c>
      <c r="E1736" s="1">
        <v>2025</v>
      </c>
      <c r="F1736" s="11">
        <v>0.5161</v>
      </c>
      <c r="G1736">
        <v>43.8</v>
      </c>
      <c r="H1736">
        <v>60.18</v>
      </c>
      <c r="I1736" s="2">
        <v>35038.6</v>
      </c>
      <c r="J1736" s="2">
        <v>36413.14</v>
      </c>
      <c r="K1736" s="2">
        <f>Table1[[#This Row],[Salary_after]]-Table1[[#This Row],[Salary_before]]</f>
        <v>1374.5400000000009</v>
      </c>
      <c r="L1736" s="11">
        <v>3.9199999999999999E-2</v>
      </c>
      <c r="M1736" s="11">
        <v>-7.7800000000000008E-2</v>
      </c>
      <c r="N1736">
        <v>64.239999999999995</v>
      </c>
      <c r="O1736">
        <v>80.34</v>
      </c>
      <c r="P1736">
        <v>2</v>
      </c>
      <c r="Q1736" t="s">
        <v>25</v>
      </c>
      <c r="R1736">
        <v>55.894999999999897</v>
      </c>
      <c r="S1736">
        <v>3.92</v>
      </c>
      <c r="T1736" s="4">
        <v>39.874000000000002</v>
      </c>
      <c r="U1736" s="4">
        <v>41.463473999999998</v>
      </c>
      <c r="V1736" t="str">
        <f>IF(Table1[[#This Row],[ai_disruption_intensity]]&gt;70,"High",
IF(Table1[[#This Row],[ai_disruption_intensity]]&gt;40,"Medium","Low"))</f>
        <v>Medium</v>
      </c>
      <c r="W1736" t="str">
        <f>IF(Table1[[#This Row],[skill_gap_index]]&gt;70,"Large Gap",
IF(Table1[[#This Row],[skill_gap_index]]&gt;40,"Medium Gap","Small Gap"))</f>
        <v>Medium Gap</v>
      </c>
      <c r="X1736" s="3" t="str">
        <f>IF(Table1[[#This Row],[automation_risk_percent]]&gt;0.7,"Highly Automatable",
IF(Table1[[#This Row],[automation_risk_percent]]&gt;0.4,"Moderate Risk","Safe Job"))</f>
        <v>Moderate Risk</v>
      </c>
    </row>
    <row r="1737" spans="1:24" x14ac:dyDescent="0.3">
      <c r="A1737">
        <v>6229</v>
      </c>
      <c r="B1737" t="s">
        <v>22</v>
      </c>
      <c r="C1737" t="s">
        <v>23</v>
      </c>
      <c r="D1737" t="s">
        <v>42</v>
      </c>
      <c r="E1737" s="1">
        <v>2025</v>
      </c>
      <c r="F1737" s="11">
        <v>0.66170000000000007</v>
      </c>
      <c r="G1737">
        <v>72.89</v>
      </c>
      <c r="H1737">
        <v>20.34</v>
      </c>
      <c r="I1737" s="2">
        <v>134312.47</v>
      </c>
      <c r="J1737" s="2">
        <v>145187.53</v>
      </c>
      <c r="K1737" s="2">
        <f>Table1[[#This Row],[Salary_after]]-Table1[[#This Row],[Salary_before]]</f>
        <v>10875.059999999998</v>
      </c>
      <c r="L1737" s="11">
        <v>8.1000000000000003E-2</v>
      </c>
      <c r="M1737" s="11">
        <v>1.8799999999999997E-2</v>
      </c>
      <c r="N1737">
        <v>72.59</v>
      </c>
      <c r="O1737">
        <v>39.47</v>
      </c>
      <c r="P1737">
        <v>2</v>
      </c>
      <c r="Q1737" t="s">
        <v>37</v>
      </c>
      <c r="R1737">
        <v>43.255000000000003</v>
      </c>
      <c r="S1737">
        <v>8.1</v>
      </c>
      <c r="T1737" s="4">
        <v>35</v>
      </c>
      <c r="U1737" s="4">
        <v>26.117298999999999</v>
      </c>
      <c r="V1737" t="str">
        <f>IF(Table1[[#This Row],[ai_disruption_intensity]]&gt;70,"High",
IF(Table1[[#This Row],[ai_disruption_intensity]]&gt;40,"Medium","Low"))</f>
        <v>Low</v>
      </c>
      <c r="W1737" t="str">
        <f>IF(Table1[[#This Row],[skill_gap_index]]&gt;70,"Large Gap",
IF(Table1[[#This Row],[skill_gap_index]]&gt;40,"Medium Gap","Small Gap"))</f>
        <v>Small Gap</v>
      </c>
      <c r="X1737" s="3" t="str">
        <f>IF(Table1[[#This Row],[automation_risk_percent]]&gt;0.7,"Highly Automatable",
IF(Table1[[#This Row],[automation_risk_percent]]&gt;0.4,"Moderate Risk","Safe Job"))</f>
        <v>Moderate Risk</v>
      </c>
    </row>
    <row r="1738" spans="1:24" x14ac:dyDescent="0.3">
      <c r="A1738">
        <v>6232</v>
      </c>
      <c r="B1738" t="s">
        <v>44</v>
      </c>
      <c r="C1738" t="s">
        <v>33</v>
      </c>
      <c r="D1738" t="s">
        <v>47</v>
      </c>
      <c r="E1738" s="1">
        <v>2025</v>
      </c>
      <c r="F1738" s="11">
        <v>0.4224</v>
      </c>
      <c r="G1738">
        <v>48.65</v>
      </c>
      <c r="H1738">
        <v>50.53</v>
      </c>
      <c r="I1738" s="2">
        <v>142925.62</v>
      </c>
      <c r="J1738" s="2">
        <v>136402.91</v>
      </c>
      <c r="K1738" s="2">
        <f>Table1[[#This Row],[Salary_after]]-Table1[[#This Row],[Salary_before]]</f>
        <v>-6522.7099999999919</v>
      </c>
      <c r="L1738" s="11">
        <v>-4.5599999999999995E-2</v>
      </c>
      <c r="M1738" s="11">
        <v>-2.3199999999999998E-2</v>
      </c>
      <c r="N1738">
        <v>69.09</v>
      </c>
      <c r="O1738">
        <v>28.31</v>
      </c>
      <c r="P1738">
        <v>5</v>
      </c>
      <c r="Q1738" t="s">
        <v>25</v>
      </c>
      <c r="R1738">
        <v>46.384999999999998</v>
      </c>
      <c r="S1738">
        <v>4.5599999999999996</v>
      </c>
      <c r="T1738" s="4">
        <v>33.423000000000002</v>
      </c>
      <c r="U1738" s="4">
        <v>11.9581439999999</v>
      </c>
      <c r="V1738" t="str">
        <f>IF(Table1[[#This Row],[ai_disruption_intensity]]&gt;70,"High",
IF(Table1[[#This Row],[ai_disruption_intensity]]&gt;40,"Medium","Low"))</f>
        <v>Low</v>
      </c>
      <c r="W1738" t="str">
        <f>IF(Table1[[#This Row],[skill_gap_index]]&gt;70,"Large Gap",
IF(Table1[[#This Row],[skill_gap_index]]&gt;40,"Medium Gap","Small Gap"))</f>
        <v>Medium Gap</v>
      </c>
      <c r="X1738" s="3" t="str">
        <f>IF(Table1[[#This Row],[automation_risk_percent]]&gt;0.7,"Highly Automatable",
IF(Table1[[#This Row],[automation_risk_percent]]&gt;0.4,"Moderate Risk","Safe Job"))</f>
        <v>Moderate Risk</v>
      </c>
    </row>
    <row r="1739" spans="1:24" x14ac:dyDescent="0.3">
      <c r="A1739">
        <v>6237</v>
      </c>
      <c r="B1739" t="s">
        <v>43</v>
      </c>
      <c r="C1739" t="s">
        <v>23</v>
      </c>
      <c r="D1739" t="s">
        <v>20</v>
      </c>
      <c r="E1739" s="1">
        <v>2025</v>
      </c>
      <c r="F1739" s="11">
        <v>0.78139999999999998</v>
      </c>
      <c r="G1739">
        <v>78.400000000000006</v>
      </c>
      <c r="H1739">
        <v>91.03</v>
      </c>
      <c r="I1739" s="2">
        <v>35169.94</v>
      </c>
      <c r="J1739" s="2">
        <v>36518.629999999997</v>
      </c>
      <c r="K1739" s="2">
        <f>Table1[[#This Row],[Salary_after]]-Table1[[#This Row],[Salary_before]]</f>
        <v>1348.6899999999951</v>
      </c>
      <c r="L1739" s="11">
        <v>3.8300000000000001E-2</v>
      </c>
      <c r="M1739" s="11">
        <v>-1.0200000000000001E-2</v>
      </c>
      <c r="N1739">
        <v>50.14</v>
      </c>
      <c r="O1739">
        <v>40.67</v>
      </c>
      <c r="P1739">
        <v>5</v>
      </c>
      <c r="Q1739" t="s">
        <v>37</v>
      </c>
      <c r="R1739">
        <v>84.584999999999994</v>
      </c>
      <c r="S1739">
        <v>3.83</v>
      </c>
      <c r="T1739" s="4">
        <v>59.713999999999999</v>
      </c>
      <c r="U1739" s="4">
        <v>31.779537999999999</v>
      </c>
      <c r="V1739" t="str">
        <f>IF(Table1[[#This Row],[ai_disruption_intensity]]&gt;70,"High",
IF(Table1[[#This Row],[ai_disruption_intensity]]&gt;40,"Medium","Low"))</f>
        <v>Low</v>
      </c>
      <c r="W1739" t="str">
        <f>IF(Table1[[#This Row],[skill_gap_index]]&gt;70,"Large Gap",
IF(Table1[[#This Row],[skill_gap_index]]&gt;40,"Medium Gap","Small Gap"))</f>
        <v>Large Gap</v>
      </c>
      <c r="X1739" s="3" t="str">
        <f>IF(Table1[[#This Row],[automation_risk_percent]]&gt;0.7,"Highly Automatable",
IF(Table1[[#This Row],[automation_risk_percent]]&gt;0.4,"Moderate Risk","Safe Job"))</f>
        <v>Highly Automatable</v>
      </c>
    </row>
    <row r="1740" spans="1:24" x14ac:dyDescent="0.3">
      <c r="A1740">
        <v>6238</v>
      </c>
      <c r="B1740" t="s">
        <v>46</v>
      </c>
      <c r="C1740" t="s">
        <v>19</v>
      </c>
      <c r="D1740" t="s">
        <v>31</v>
      </c>
      <c r="E1740" s="1">
        <v>2025</v>
      </c>
      <c r="F1740" s="11">
        <v>0.46149999999999997</v>
      </c>
      <c r="G1740">
        <v>50.35</v>
      </c>
      <c r="H1740">
        <v>93.2</v>
      </c>
      <c r="I1740" s="2">
        <v>60826.26</v>
      </c>
      <c r="J1740" s="2">
        <v>54575.64</v>
      </c>
      <c r="K1740" s="2">
        <f>Table1[[#This Row],[Salary_after]]-Table1[[#This Row],[Salary_before]]</f>
        <v>-6250.6200000000026</v>
      </c>
      <c r="L1740" s="11">
        <v>-0.10279999999999999</v>
      </c>
      <c r="M1740" s="11">
        <v>0.17910000000000001</v>
      </c>
      <c r="N1740">
        <v>74.58</v>
      </c>
      <c r="O1740">
        <v>14.21</v>
      </c>
      <c r="P1740">
        <v>5</v>
      </c>
      <c r="Q1740" t="s">
        <v>25</v>
      </c>
      <c r="R1740">
        <v>69.674999999999997</v>
      </c>
      <c r="S1740">
        <v>10.28</v>
      </c>
      <c r="T1740" s="4">
        <v>49.503999999999998</v>
      </c>
      <c r="U1740" s="4">
        <v>6.5579150000000004</v>
      </c>
      <c r="V1740" t="str">
        <f>IF(Table1[[#This Row],[ai_disruption_intensity]]&gt;70,"High",
IF(Table1[[#This Row],[ai_disruption_intensity]]&gt;40,"Medium","Low"))</f>
        <v>Low</v>
      </c>
      <c r="W1740" t="str">
        <f>IF(Table1[[#This Row],[skill_gap_index]]&gt;70,"Large Gap",
IF(Table1[[#This Row],[skill_gap_index]]&gt;40,"Medium Gap","Small Gap"))</f>
        <v>Large Gap</v>
      </c>
      <c r="X1740" s="3" t="str">
        <f>IF(Table1[[#This Row],[automation_risk_percent]]&gt;0.7,"Highly Automatable",
IF(Table1[[#This Row],[automation_risk_percent]]&gt;0.4,"Moderate Risk","Safe Job"))</f>
        <v>Moderate Risk</v>
      </c>
    </row>
    <row r="1741" spans="1:24" x14ac:dyDescent="0.3">
      <c r="A1741">
        <v>6246</v>
      </c>
      <c r="B1741" t="s">
        <v>46</v>
      </c>
      <c r="C1741" t="s">
        <v>30</v>
      </c>
      <c r="D1741" t="s">
        <v>31</v>
      </c>
      <c r="E1741" s="1">
        <v>2026</v>
      </c>
      <c r="F1741" s="11">
        <v>8.9200000000000002E-2</v>
      </c>
      <c r="G1741">
        <v>8.61</v>
      </c>
      <c r="H1741">
        <v>26.23</v>
      </c>
      <c r="I1741" s="2">
        <v>95931.79</v>
      </c>
      <c r="J1741" s="2">
        <v>105332.03</v>
      </c>
      <c r="K1741" s="2">
        <f>Table1[[#This Row],[Salary_after]]-Table1[[#This Row],[Salary_before]]</f>
        <v>9400.2400000000052</v>
      </c>
      <c r="L1741" s="11">
        <v>9.8000000000000004E-2</v>
      </c>
      <c r="M1741" s="11">
        <v>-3.7100000000000001E-2</v>
      </c>
      <c r="N1741">
        <v>89.7</v>
      </c>
      <c r="O1741">
        <v>12.49</v>
      </c>
      <c r="P1741">
        <v>2</v>
      </c>
      <c r="Q1741" t="s">
        <v>21</v>
      </c>
      <c r="R1741">
        <v>17.574999999999999</v>
      </c>
      <c r="S1741">
        <v>9.8000000000000007</v>
      </c>
      <c r="T1741" s="4">
        <v>14.376999999999899</v>
      </c>
      <c r="U1741" s="4">
        <v>1.1141079999999901</v>
      </c>
      <c r="V1741" t="str">
        <f>IF(Table1[[#This Row],[ai_disruption_intensity]]&gt;70,"High",
IF(Table1[[#This Row],[ai_disruption_intensity]]&gt;40,"Medium","Low"))</f>
        <v>Low</v>
      </c>
      <c r="W1741" t="str">
        <f>IF(Table1[[#This Row],[skill_gap_index]]&gt;70,"Large Gap",
IF(Table1[[#This Row],[skill_gap_index]]&gt;40,"Medium Gap","Small Gap"))</f>
        <v>Small Gap</v>
      </c>
      <c r="X1741" s="3" t="str">
        <f>IF(Table1[[#This Row],[automation_risk_percent]]&gt;0.7,"Highly Automatable",
IF(Table1[[#This Row],[automation_risk_percent]]&gt;0.4,"Moderate Risk","Safe Job"))</f>
        <v>Safe Job</v>
      </c>
    </row>
    <row r="1742" spans="1:24" x14ac:dyDescent="0.3">
      <c r="A1742">
        <v>6250</v>
      </c>
      <c r="B1742" t="s">
        <v>29</v>
      </c>
      <c r="C1742" t="s">
        <v>23</v>
      </c>
      <c r="D1742" t="s">
        <v>31</v>
      </c>
      <c r="E1742" s="1">
        <v>2026</v>
      </c>
      <c r="F1742" s="11">
        <v>0.49969999999999998</v>
      </c>
      <c r="G1742">
        <v>55.63</v>
      </c>
      <c r="H1742">
        <v>43.44</v>
      </c>
      <c r="I1742" s="2">
        <v>124716.02</v>
      </c>
      <c r="J1742" s="2">
        <v>120622.76</v>
      </c>
      <c r="K1742" s="2">
        <f>Table1[[#This Row],[Salary_after]]-Table1[[#This Row],[Salary_before]]</f>
        <v>-4093.2600000000093</v>
      </c>
      <c r="L1742" s="11">
        <v>-3.2799999999999996E-2</v>
      </c>
      <c r="M1742" s="11">
        <v>5.9400000000000001E-2</v>
      </c>
      <c r="N1742">
        <v>97.18</v>
      </c>
      <c r="O1742">
        <v>18.14</v>
      </c>
      <c r="P1742">
        <v>3</v>
      </c>
      <c r="Q1742" t="s">
        <v>25</v>
      </c>
      <c r="R1742">
        <v>46.704999999999998</v>
      </c>
      <c r="S1742">
        <v>3.28</v>
      </c>
      <c r="T1742" s="4">
        <v>34.003999999999998</v>
      </c>
      <c r="U1742" s="4">
        <v>9.0645579999999999</v>
      </c>
      <c r="V1742" t="str">
        <f>IF(Table1[[#This Row],[ai_disruption_intensity]]&gt;70,"High",
IF(Table1[[#This Row],[ai_disruption_intensity]]&gt;40,"Medium","Low"))</f>
        <v>Low</v>
      </c>
      <c r="W1742" t="str">
        <f>IF(Table1[[#This Row],[skill_gap_index]]&gt;70,"Large Gap",
IF(Table1[[#This Row],[skill_gap_index]]&gt;40,"Medium Gap","Small Gap"))</f>
        <v>Medium Gap</v>
      </c>
      <c r="X1742" s="3" t="str">
        <f>IF(Table1[[#This Row],[automation_risk_percent]]&gt;0.7,"Highly Automatable",
IF(Table1[[#This Row],[automation_risk_percent]]&gt;0.4,"Moderate Risk","Safe Job"))</f>
        <v>Moderate Risk</v>
      </c>
    </row>
    <row r="1743" spans="1:24" x14ac:dyDescent="0.3">
      <c r="A1743">
        <v>6253</v>
      </c>
      <c r="B1743" t="s">
        <v>26</v>
      </c>
      <c r="C1743" t="s">
        <v>19</v>
      </c>
      <c r="D1743" t="s">
        <v>42</v>
      </c>
      <c r="E1743" s="1">
        <v>2026</v>
      </c>
      <c r="F1743" s="11">
        <v>0.188</v>
      </c>
      <c r="G1743">
        <v>20.079999999999998</v>
      </c>
      <c r="H1743">
        <v>35.18</v>
      </c>
      <c r="I1743" s="2">
        <v>116251.01</v>
      </c>
      <c r="J1743" s="2">
        <v>122620.29</v>
      </c>
      <c r="K1743" s="2">
        <f>Table1[[#This Row],[Salary_after]]-Table1[[#This Row],[Salary_before]]</f>
        <v>6369.2799999999988</v>
      </c>
      <c r="L1743" s="11">
        <v>5.4800000000000001E-2</v>
      </c>
      <c r="M1743" s="11">
        <v>3.3500000000000002E-2</v>
      </c>
      <c r="N1743">
        <v>22.3</v>
      </c>
      <c r="O1743">
        <v>6.84</v>
      </c>
      <c r="P1743">
        <v>5</v>
      </c>
      <c r="Q1743" t="s">
        <v>21</v>
      </c>
      <c r="R1743">
        <v>26.99</v>
      </c>
      <c r="S1743">
        <v>5.48</v>
      </c>
      <c r="T1743" s="4">
        <v>19.718</v>
      </c>
      <c r="U1743" s="4">
        <v>1.28592</v>
      </c>
      <c r="V1743" t="str">
        <f>IF(Table1[[#This Row],[ai_disruption_intensity]]&gt;70,"High",
IF(Table1[[#This Row],[ai_disruption_intensity]]&gt;40,"Medium","Low"))</f>
        <v>Low</v>
      </c>
      <c r="W1743" t="str">
        <f>IF(Table1[[#This Row],[skill_gap_index]]&gt;70,"Large Gap",
IF(Table1[[#This Row],[skill_gap_index]]&gt;40,"Medium Gap","Small Gap"))</f>
        <v>Small Gap</v>
      </c>
      <c r="X1743" s="3" t="str">
        <f>IF(Table1[[#This Row],[automation_risk_percent]]&gt;0.7,"Highly Automatable",
IF(Table1[[#This Row],[automation_risk_percent]]&gt;0.4,"Moderate Risk","Safe Job"))</f>
        <v>Safe Job</v>
      </c>
    </row>
    <row r="1744" spans="1:24" x14ac:dyDescent="0.3">
      <c r="A1744">
        <v>6256</v>
      </c>
      <c r="B1744" t="s">
        <v>41</v>
      </c>
      <c r="C1744" t="s">
        <v>34</v>
      </c>
      <c r="D1744" t="s">
        <v>20</v>
      </c>
      <c r="E1744" s="1">
        <v>2026</v>
      </c>
      <c r="F1744" s="11">
        <v>0.26289999999999997</v>
      </c>
      <c r="G1744">
        <v>21.53</v>
      </c>
      <c r="H1744">
        <v>95.88</v>
      </c>
      <c r="I1744" s="2">
        <v>68785.45</v>
      </c>
      <c r="J1744" s="2">
        <v>74064.34</v>
      </c>
      <c r="K1744" s="2">
        <f>Table1[[#This Row],[Salary_after]]-Table1[[#This Row],[Salary_before]]</f>
        <v>5278.8899999999994</v>
      </c>
      <c r="L1744" s="11">
        <v>7.6700000000000004E-2</v>
      </c>
      <c r="M1744" s="11">
        <v>0.2132</v>
      </c>
      <c r="N1744">
        <v>61.45</v>
      </c>
      <c r="O1744">
        <v>57.92</v>
      </c>
      <c r="P1744">
        <v>5</v>
      </c>
      <c r="Q1744" t="s">
        <v>21</v>
      </c>
      <c r="R1744">
        <v>61.084999999999901</v>
      </c>
      <c r="S1744">
        <v>7.67</v>
      </c>
      <c r="T1744" s="4">
        <v>41.581000000000003</v>
      </c>
      <c r="U1744" s="4">
        <v>15.227167999999899</v>
      </c>
      <c r="V1744" t="str">
        <f>IF(Table1[[#This Row],[ai_disruption_intensity]]&gt;70,"High",
IF(Table1[[#This Row],[ai_disruption_intensity]]&gt;40,"Medium","Low"))</f>
        <v>Low</v>
      </c>
      <c r="W1744" t="str">
        <f>IF(Table1[[#This Row],[skill_gap_index]]&gt;70,"Large Gap",
IF(Table1[[#This Row],[skill_gap_index]]&gt;40,"Medium Gap","Small Gap"))</f>
        <v>Large Gap</v>
      </c>
      <c r="X1744" s="3" t="str">
        <f>IF(Table1[[#This Row],[automation_risk_percent]]&gt;0.7,"Highly Automatable",
IF(Table1[[#This Row],[automation_risk_percent]]&gt;0.4,"Moderate Risk","Safe Job"))</f>
        <v>Safe Job</v>
      </c>
    </row>
    <row r="1745" spans="1:24" x14ac:dyDescent="0.3">
      <c r="A1745">
        <v>6257</v>
      </c>
      <c r="B1745" t="s">
        <v>39</v>
      </c>
      <c r="C1745" t="s">
        <v>34</v>
      </c>
      <c r="D1745" t="s">
        <v>32</v>
      </c>
      <c r="E1745" s="1">
        <v>2025</v>
      </c>
      <c r="F1745" s="11">
        <v>0.31159999999999999</v>
      </c>
      <c r="G1745">
        <v>35.979999999999997</v>
      </c>
      <c r="H1745">
        <v>91.92</v>
      </c>
      <c r="I1745" s="2">
        <v>107343.09</v>
      </c>
      <c r="J1745" s="2">
        <v>108792.96000000001</v>
      </c>
      <c r="K1745" s="2">
        <f>Table1[[#This Row],[Salary_after]]-Table1[[#This Row],[Salary_before]]</f>
        <v>1449.8700000000099</v>
      </c>
      <c r="L1745" s="11">
        <v>1.3500000000000002E-2</v>
      </c>
      <c r="M1745" s="11">
        <v>-4.1399999999999999E-2</v>
      </c>
      <c r="N1745">
        <v>86.19</v>
      </c>
      <c r="O1745">
        <v>31.54</v>
      </c>
      <c r="P1745">
        <v>4</v>
      </c>
      <c r="Q1745" t="s">
        <v>25</v>
      </c>
      <c r="R1745">
        <v>61.54</v>
      </c>
      <c r="S1745">
        <v>1.35</v>
      </c>
      <c r="T1745" s="4">
        <v>40.445</v>
      </c>
      <c r="U1745" s="4">
        <v>9.8278639999999999</v>
      </c>
      <c r="V1745" t="str">
        <f>IF(Table1[[#This Row],[ai_disruption_intensity]]&gt;70,"High",
IF(Table1[[#This Row],[ai_disruption_intensity]]&gt;40,"Medium","Low"))</f>
        <v>Low</v>
      </c>
      <c r="W1745" t="str">
        <f>IF(Table1[[#This Row],[skill_gap_index]]&gt;70,"Large Gap",
IF(Table1[[#This Row],[skill_gap_index]]&gt;40,"Medium Gap","Small Gap"))</f>
        <v>Large Gap</v>
      </c>
      <c r="X1745" s="3" t="str">
        <f>IF(Table1[[#This Row],[automation_risk_percent]]&gt;0.7,"Highly Automatable",
IF(Table1[[#This Row],[automation_risk_percent]]&gt;0.4,"Moderate Risk","Safe Job"))</f>
        <v>Safe Job</v>
      </c>
    </row>
    <row r="1746" spans="1:24" x14ac:dyDescent="0.3">
      <c r="A1746">
        <v>6259</v>
      </c>
      <c r="B1746" t="s">
        <v>45</v>
      </c>
      <c r="C1746" t="s">
        <v>38</v>
      </c>
      <c r="D1746" t="s">
        <v>28</v>
      </c>
      <c r="E1746" s="1">
        <v>2025</v>
      </c>
      <c r="F1746" s="11">
        <v>0.25359999999999999</v>
      </c>
      <c r="G1746">
        <v>23.49</v>
      </c>
      <c r="H1746">
        <v>94.74</v>
      </c>
      <c r="I1746" s="2">
        <v>81262.44</v>
      </c>
      <c r="J1746" s="2">
        <v>90368.55</v>
      </c>
      <c r="K1746" s="2">
        <f>Table1[[#This Row],[Salary_after]]-Table1[[#This Row],[Salary_before]]</f>
        <v>9106.11</v>
      </c>
      <c r="L1746" s="11">
        <v>0.11210000000000001</v>
      </c>
      <c r="M1746" s="11">
        <v>-8.9399999999999993E-2</v>
      </c>
      <c r="N1746">
        <v>71.5</v>
      </c>
      <c r="O1746">
        <v>98.38</v>
      </c>
      <c r="P1746">
        <v>4</v>
      </c>
      <c r="Q1746" t="s">
        <v>21</v>
      </c>
      <c r="R1746">
        <v>60.05</v>
      </c>
      <c r="S1746">
        <v>11.21</v>
      </c>
      <c r="T1746" s="4">
        <v>41.928999999999903</v>
      </c>
      <c r="U1746" s="4">
        <v>24.949168</v>
      </c>
      <c r="V1746" t="str">
        <f>IF(Table1[[#This Row],[ai_disruption_intensity]]&gt;70,"High",
IF(Table1[[#This Row],[ai_disruption_intensity]]&gt;40,"Medium","Low"))</f>
        <v>Low</v>
      </c>
      <c r="W1746" t="str">
        <f>IF(Table1[[#This Row],[skill_gap_index]]&gt;70,"Large Gap",
IF(Table1[[#This Row],[skill_gap_index]]&gt;40,"Medium Gap","Small Gap"))</f>
        <v>Large Gap</v>
      </c>
      <c r="X1746" s="3" t="str">
        <f>IF(Table1[[#This Row],[automation_risk_percent]]&gt;0.7,"Highly Automatable",
IF(Table1[[#This Row],[automation_risk_percent]]&gt;0.4,"Moderate Risk","Safe Job"))</f>
        <v>Safe Job</v>
      </c>
    </row>
    <row r="1747" spans="1:24" x14ac:dyDescent="0.3">
      <c r="A1747">
        <v>6265</v>
      </c>
      <c r="B1747" t="s">
        <v>43</v>
      </c>
      <c r="C1747" t="s">
        <v>40</v>
      </c>
      <c r="D1747" t="s">
        <v>36</v>
      </c>
      <c r="E1747" s="1">
        <v>2025</v>
      </c>
      <c r="F1747" s="11">
        <v>0.20710000000000001</v>
      </c>
      <c r="G1747">
        <v>20.68</v>
      </c>
      <c r="H1747">
        <v>86.44</v>
      </c>
      <c r="I1747" s="2">
        <v>103066.99</v>
      </c>
      <c r="J1747" s="2">
        <v>109180.73</v>
      </c>
      <c r="K1747" s="2">
        <f>Table1[[#This Row],[Salary_after]]-Table1[[#This Row],[Salary_before]]</f>
        <v>6113.7399999999907</v>
      </c>
      <c r="L1747" s="11">
        <v>5.9299999999999999E-2</v>
      </c>
      <c r="M1747" s="11">
        <v>5.5899999999999998E-2</v>
      </c>
      <c r="N1747">
        <v>11.49</v>
      </c>
      <c r="O1747">
        <v>1.2</v>
      </c>
      <c r="P1747">
        <v>4</v>
      </c>
      <c r="Q1747" t="s">
        <v>21</v>
      </c>
      <c r="R1747">
        <v>53.575000000000003</v>
      </c>
      <c r="S1747">
        <v>5.93</v>
      </c>
      <c r="T1747" s="4">
        <v>35.994999999999997</v>
      </c>
      <c r="U1747" s="4">
        <v>0.24851999999999999</v>
      </c>
      <c r="V1747" t="str">
        <f>IF(Table1[[#This Row],[ai_disruption_intensity]]&gt;70,"High",
IF(Table1[[#This Row],[ai_disruption_intensity]]&gt;40,"Medium","Low"))</f>
        <v>Low</v>
      </c>
      <c r="W1747" t="str">
        <f>IF(Table1[[#This Row],[skill_gap_index]]&gt;70,"Large Gap",
IF(Table1[[#This Row],[skill_gap_index]]&gt;40,"Medium Gap","Small Gap"))</f>
        <v>Large Gap</v>
      </c>
      <c r="X1747" s="3" t="str">
        <f>IF(Table1[[#This Row],[automation_risk_percent]]&gt;0.7,"Highly Automatable",
IF(Table1[[#This Row],[automation_risk_percent]]&gt;0.4,"Moderate Risk","Safe Job"))</f>
        <v>Safe Job</v>
      </c>
    </row>
    <row r="1748" spans="1:24" x14ac:dyDescent="0.3">
      <c r="A1748">
        <v>6269</v>
      </c>
      <c r="B1748" t="s">
        <v>26</v>
      </c>
      <c r="C1748" t="s">
        <v>34</v>
      </c>
      <c r="D1748" t="s">
        <v>47</v>
      </c>
      <c r="E1748" s="1">
        <v>2025</v>
      </c>
      <c r="F1748" s="11">
        <v>0.54899999999999993</v>
      </c>
      <c r="G1748">
        <v>62.6</v>
      </c>
      <c r="H1748">
        <v>84.39</v>
      </c>
      <c r="I1748" s="2">
        <v>75511.149999999994</v>
      </c>
      <c r="J1748" s="2">
        <v>79744.38</v>
      </c>
      <c r="K1748" s="2">
        <f>Table1[[#This Row],[Salary_after]]-Table1[[#This Row],[Salary_before]]</f>
        <v>4233.2300000000105</v>
      </c>
      <c r="L1748" s="11">
        <v>5.6100000000000004E-2</v>
      </c>
      <c r="M1748" s="11">
        <v>0.20730000000000001</v>
      </c>
      <c r="N1748">
        <v>12.1</v>
      </c>
      <c r="O1748">
        <v>40.159999999999997</v>
      </c>
      <c r="P1748">
        <v>2</v>
      </c>
      <c r="Q1748" t="s">
        <v>25</v>
      </c>
      <c r="R1748">
        <v>69.644999999999996</v>
      </c>
      <c r="S1748">
        <v>5.61</v>
      </c>
      <c r="T1748" s="4">
        <v>48.96</v>
      </c>
      <c r="U1748" s="4">
        <v>22.047839999999901</v>
      </c>
      <c r="V1748" t="str">
        <f>IF(Table1[[#This Row],[ai_disruption_intensity]]&gt;70,"High",
IF(Table1[[#This Row],[ai_disruption_intensity]]&gt;40,"Medium","Low"))</f>
        <v>Low</v>
      </c>
      <c r="W1748" t="str">
        <f>IF(Table1[[#This Row],[skill_gap_index]]&gt;70,"Large Gap",
IF(Table1[[#This Row],[skill_gap_index]]&gt;40,"Medium Gap","Small Gap"))</f>
        <v>Large Gap</v>
      </c>
      <c r="X1748" s="3" t="str">
        <f>IF(Table1[[#This Row],[automation_risk_percent]]&gt;0.7,"Highly Automatable",
IF(Table1[[#This Row],[automation_risk_percent]]&gt;0.4,"Moderate Risk","Safe Job"))</f>
        <v>Moderate Risk</v>
      </c>
    </row>
    <row r="1749" spans="1:24" x14ac:dyDescent="0.3">
      <c r="A1749">
        <v>6271</v>
      </c>
      <c r="B1749" t="s">
        <v>18</v>
      </c>
      <c r="C1749" t="s">
        <v>27</v>
      </c>
      <c r="D1749" t="s">
        <v>28</v>
      </c>
      <c r="E1749" s="1">
        <v>2025</v>
      </c>
      <c r="F1749" s="11">
        <v>0.40179999999999999</v>
      </c>
      <c r="G1749">
        <v>41.8</v>
      </c>
      <c r="H1749">
        <v>79.709999999999994</v>
      </c>
      <c r="I1749" s="2">
        <v>36187.32</v>
      </c>
      <c r="J1749" s="2">
        <v>37478.550000000003</v>
      </c>
      <c r="K1749" s="2">
        <f>Table1[[#This Row],[Salary_after]]-Table1[[#This Row],[Salary_before]]</f>
        <v>1291.2300000000032</v>
      </c>
      <c r="L1749" s="11">
        <v>3.5699999999999996E-2</v>
      </c>
      <c r="M1749" s="11">
        <v>4.3899999999999995E-2</v>
      </c>
      <c r="N1749">
        <v>20.86</v>
      </c>
      <c r="O1749">
        <v>40.03</v>
      </c>
      <c r="P1749">
        <v>5</v>
      </c>
      <c r="Q1749" t="s">
        <v>25</v>
      </c>
      <c r="R1749">
        <v>59.944999999999901</v>
      </c>
      <c r="S1749">
        <v>3.57</v>
      </c>
      <c r="T1749" s="4">
        <v>41.055999999999997</v>
      </c>
      <c r="U1749" s="4">
        <v>16.084053999999998</v>
      </c>
      <c r="V1749" t="str">
        <f>IF(Table1[[#This Row],[ai_disruption_intensity]]&gt;70,"High",
IF(Table1[[#This Row],[ai_disruption_intensity]]&gt;40,"Medium","Low"))</f>
        <v>Low</v>
      </c>
      <c r="W1749" t="str">
        <f>IF(Table1[[#This Row],[skill_gap_index]]&gt;70,"Large Gap",
IF(Table1[[#This Row],[skill_gap_index]]&gt;40,"Medium Gap","Small Gap"))</f>
        <v>Large Gap</v>
      </c>
      <c r="X1749" s="3" t="str">
        <f>IF(Table1[[#This Row],[automation_risk_percent]]&gt;0.7,"Highly Automatable",
IF(Table1[[#This Row],[automation_risk_percent]]&gt;0.4,"Moderate Risk","Safe Job"))</f>
        <v>Moderate Risk</v>
      </c>
    </row>
    <row r="1750" spans="1:24" x14ac:dyDescent="0.3">
      <c r="A1750">
        <v>6272</v>
      </c>
      <c r="B1750" t="s">
        <v>41</v>
      </c>
      <c r="C1750" t="s">
        <v>19</v>
      </c>
      <c r="D1750" t="s">
        <v>28</v>
      </c>
      <c r="E1750" s="1">
        <v>2025</v>
      </c>
      <c r="F1750" s="11">
        <v>0.4425</v>
      </c>
      <c r="G1750">
        <v>37.78</v>
      </c>
      <c r="H1750">
        <v>83.89</v>
      </c>
      <c r="I1750" s="2">
        <v>113653.83</v>
      </c>
      <c r="J1750" s="2">
        <v>93436.98</v>
      </c>
      <c r="K1750" s="2">
        <f>Table1[[#This Row],[Salary_after]]-Table1[[#This Row],[Salary_before]]</f>
        <v>-20216.850000000006</v>
      </c>
      <c r="L1750" s="11">
        <v>-0.1779</v>
      </c>
      <c r="M1750" s="11">
        <v>-7.0199999999999999E-2</v>
      </c>
      <c r="N1750">
        <v>84.5</v>
      </c>
      <c r="O1750">
        <v>9.08</v>
      </c>
      <c r="P1750">
        <v>4</v>
      </c>
      <c r="Q1750" t="s">
        <v>25</v>
      </c>
      <c r="R1750">
        <v>64.069999999999993</v>
      </c>
      <c r="S1750">
        <v>17.79</v>
      </c>
      <c r="T1750" s="4">
        <v>48.203999999999901</v>
      </c>
      <c r="U1750" s="4">
        <v>4.0179</v>
      </c>
      <c r="V1750" t="str">
        <f>IF(Table1[[#This Row],[ai_disruption_intensity]]&gt;70,"High",
IF(Table1[[#This Row],[ai_disruption_intensity]]&gt;40,"Medium","Low"))</f>
        <v>Low</v>
      </c>
      <c r="W1750" t="str">
        <f>IF(Table1[[#This Row],[skill_gap_index]]&gt;70,"Large Gap",
IF(Table1[[#This Row],[skill_gap_index]]&gt;40,"Medium Gap","Small Gap"))</f>
        <v>Large Gap</v>
      </c>
      <c r="X1750" s="3" t="str">
        <f>IF(Table1[[#This Row],[automation_risk_percent]]&gt;0.7,"Highly Automatable",
IF(Table1[[#This Row],[automation_risk_percent]]&gt;0.4,"Moderate Risk","Safe Job"))</f>
        <v>Moderate Risk</v>
      </c>
    </row>
    <row r="1751" spans="1:24" x14ac:dyDescent="0.3">
      <c r="A1751">
        <v>6273</v>
      </c>
      <c r="B1751" t="s">
        <v>22</v>
      </c>
      <c r="C1751" t="s">
        <v>30</v>
      </c>
      <c r="D1751" t="s">
        <v>31</v>
      </c>
      <c r="E1751" s="1">
        <v>2025</v>
      </c>
      <c r="F1751" s="11">
        <v>0.20280000000000001</v>
      </c>
      <c r="G1751">
        <v>23.58</v>
      </c>
      <c r="H1751">
        <v>81.72</v>
      </c>
      <c r="I1751" s="2">
        <v>122985.33</v>
      </c>
      <c r="J1751" s="2">
        <v>104984.46</v>
      </c>
      <c r="K1751" s="2">
        <f>Table1[[#This Row],[Salary_after]]-Table1[[#This Row],[Salary_before]]</f>
        <v>-18000.869999999995</v>
      </c>
      <c r="L1751" s="11">
        <v>-0.1464</v>
      </c>
      <c r="M1751" s="11">
        <v>0.13739999999999999</v>
      </c>
      <c r="N1751">
        <v>94.13</v>
      </c>
      <c r="O1751">
        <v>49.19</v>
      </c>
      <c r="P1751">
        <v>3</v>
      </c>
      <c r="Q1751" t="s">
        <v>21</v>
      </c>
      <c r="R1751">
        <v>51</v>
      </c>
      <c r="S1751">
        <v>14.64</v>
      </c>
      <c r="T1751" s="4">
        <v>37.020000000000003</v>
      </c>
      <c r="U1751" s="4">
        <v>9.9757320000000007</v>
      </c>
      <c r="V1751" t="str">
        <f>IF(Table1[[#This Row],[ai_disruption_intensity]]&gt;70,"High",
IF(Table1[[#This Row],[ai_disruption_intensity]]&gt;40,"Medium","Low"))</f>
        <v>Low</v>
      </c>
      <c r="W1751" t="str">
        <f>IF(Table1[[#This Row],[skill_gap_index]]&gt;70,"Large Gap",
IF(Table1[[#This Row],[skill_gap_index]]&gt;40,"Medium Gap","Small Gap"))</f>
        <v>Large Gap</v>
      </c>
      <c r="X1751" s="3" t="str">
        <f>IF(Table1[[#This Row],[automation_risk_percent]]&gt;0.7,"Highly Automatable",
IF(Table1[[#This Row],[automation_risk_percent]]&gt;0.4,"Moderate Risk","Safe Job"))</f>
        <v>Safe Job</v>
      </c>
    </row>
    <row r="1752" spans="1:24" x14ac:dyDescent="0.3">
      <c r="A1752">
        <v>6275</v>
      </c>
      <c r="B1752" t="s">
        <v>39</v>
      </c>
      <c r="C1752" t="s">
        <v>30</v>
      </c>
      <c r="D1752" t="s">
        <v>31</v>
      </c>
      <c r="E1752" s="1">
        <v>2026</v>
      </c>
      <c r="F1752" s="11">
        <v>0.17249999999999999</v>
      </c>
      <c r="G1752">
        <v>14.11</v>
      </c>
      <c r="H1752">
        <v>13.73</v>
      </c>
      <c r="I1752" s="2">
        <v>54288.4</v>
      </c>
      <c r="J1752" s="2">
        <v>63478.83</v>
      </c>
      <c r="K1752" s="2">
        <f>Table1[[#This Row],[Salary_after]]-Table1[[#This Row],[Salary_before]]</f>
        <v>9190.43</v>
      </c>
      <c r="L1752" s="11">
        <v>0.16930000000000001</v>
      </c>
      <c r="M1752" s="11">
        <v>-0.12</v>
      </c>
      <c r="N1752">
        <v>39</v>
      </c>
      <c r="O1752">
        <v>14.13</v>
      </c>
      <c r="P1752">
        <v>5</v>
      </c>
      <c r="Q1752" t="s">
        <v>21</v>
      </c>
      <c r="R1752">
        <v>15.49</v>
      </c>
      <c r="S1752">
        <v>16.93</v>
      </c>
      <c r="T1752" s="4">
        <v>16.097999999999999</v>
      </c>
      <c r="U1752" s="4">
        <v>2.4374250000000002</v>
      </c>
      <c r="V1752" t="str">
        <f>IF(Table1[[#This Row],[ai_disruption_intensity]]&gt;70,"High",
IF(Table1[[#This Row],[ai_disruption_intensity]]&gt;40,"Medium","Low"))</f>
        <v>Low</v>
      </c>
      <c r="W1752" t="str">
        <f>IF(Table1[[#This Row],[skill_gap_index]]&gt;70,"Large Gap",
IF(Table1[[#This Row],[skill_gap_index]]&gt;40,"Medium Gap","Small Gap"))</f>
        <v>Small Gap</v>
      </c>
      <c r="X1752" s="3" t="str">
        <f>IF(Table1[[#This Row],[automation_risk_percent]]&gt;0.7,"Highly Automatable",
IF(Table1[[#This Row],[automation_risk_percent]]&gt;0.4,"Moderate Risk","Safe Job"))</f>
        <v>Safe Job</v>
      </c>
    </row>
    <row r="1753" spans="1:24" x14ac:dyDescent="0.3">
      <c r="A1753">
        <v>6280</v>
      </c>
      <c r="B1753" t="s">
        <v>43</v>
      </c>
      <c r="C1753" t="s">
        <v>34</v>
      </c>
      <c r="D1753" t="s">
        <v>20</v>
      </c>
      <c r="E1753" s="1">
        <v>2026</v>
      </c>
      <c r="F1753" s="11">
        <v>0.55289999999999995</v>
      </c>
      <c r="G1753">
        <v>58.1</v>
      </c>
      <c r="H1753">
        <v>80.59</v>
      </c>
      <c r="I1753" s="2">
        <v>82390.33</v>
      </c>
      <c r="J1753" s="2">
        <v>75172.479999999996</v>
      </c>
      <c r="K1753" s="2">
        <f>Table1[[#This Row],[Salary_after]]-Table1[[#This Row],[Salary_before]]</f>
        <v>-7217.8500000000058</v>
      </c>
      <c r="L1753" s="11">
        <v>-8.7599999999999997E-2</v>
      </c>
      <c r="M1753" s="11">
        <v>-3.9199999999999999E-2</v>
      </c>
      <c r="N1753">
        <v>39.75</v>
      </c>
      <c r="O1753">
        <v>61.74</v>
      </c>
      <c r="P1753">
        <v>1</v>
      </c>
      <c r="Q1753" t="s">
        <v>25</v>
      </c>
      <c r="R1753">
        <v>67.94</v>
      </c>
      <c r="S1753">
        <v>8.76</v>
      </c>
      <c r="T1753" s="4">
        <v>48.920999999999999</v>
      </c>
      <c r="U1753" s="4">
        <v>34.136046</v>
      </c>
      <c r="V1753" t="str">
        <f>IF(Table1[[#This Row],[ai_disruption_intensity]]&gt;70,"High",
IF(Table1[[#This Row],[ai_disruption_intensity]]&gt;40,"Medium","Low"))</f>
        <v>Low</v>
      </c>
      <c r="W1753" t="str">
        <f>IF(Table1[[#This Row],[skill_gap_index]]&gt;70,"Large Gap",
IF(Table1[[#This Row],[skill_gap_index]]&gt;40,"Medium Gap","Small Gap"))</f>
        <v>Large Gap</v>
      </c>
      <c r="X1753" s="3" t="str">
        <f>IF(Table1[[#This Row],[automation_risk_percent]]&gt;0.7,"Highly Automatable",
IF(Table1[[#This Row],[automation_risk_percent]]&gt;0.4,"Moderate Risk","Safe Job"))</f>
        <v>Moderate Risk</v>
      </c>
    </row>
    <row r="1754" spans="1:24" x14ac:dyDescent="0.3">
      <c r="A1754">
        <v>6281</v>
      </c>
      <c r="B1754" t="s">
        <v>18</v>
      </c>
      <c r="C1754" t="s">
        <v>34</v>
      </c>
      <c r="D1754" t="s">
        <v>47</v>
      </c>
      <c r="E1754" s="1">
        <v>2025</v>
      </c>
      <c r="F1754" s="11">
        <v>0.68689999999999996</v>
      </c>
      <c r="G1754">
        <v>68.680000000000007</v>
      </c>
      <c r="H1754">
        <v>40.340000000000003</v>
      </c>
      <c r="I1754" s="2">
        <v>125261.73</v>
      </c>
      <c r="J1754" s="2">
        <v>137903.53</v>
      </c>
      <c r="K1754" s="2">
        <f>Table1[[#This Row],[Salary_after]]-Table1[[#This Row],[Salary_before]]</f>
        <v>12641.800000000003</v>
      </c>
      <c r="L1754" s="11">
        <v>0.1009</v>
      </c>
      <c r="M1754" s="11">
        <v>-6.2300000000000001E-2</v>
      </c>
      <c r="N1754">
        <v>19.52</v>
      </c>
      <c r="O1754">
        <v>11.32</v>
      </c>
      <c r="P1754">
        <v>5</v>
      </c>
      <c r="Q1754" t="s">
        <v>37</v>
      </c>
      <c r="R1754">
        <v>54.515000000000001</v>
      </c>
      <c r="S1754">
        <v>10.09</v>
      </c>
      <c r="T1754" s="4">
        <v>42.604999999999997</v>
      </c>
      <c r="U1754" s="4">
        <v>7.7757079999999998</v>
      </c>
      <c r="V1754" t="str">
        <f>IF(Table1[[#This Row],[ai_disruption_intensity]]&gt;70,"High",
IF(Table1[[#This Row],[ai_disruption_intensity]]&gt;40,"Medium","Low"))</f>
        <v>Low</v>
      </c>
      <c r="W1754" t="str">
        <f>IF(Table1[[#This Row],[skill_gap_index]]&gt;70,"Large Gap",
IF(Table1[[#This Row],[skill_gap_index]]&gt;40,"Medium Gap","Small Gap"))</f>
        <v>Medium Gap</v>
      </c>
      <c r="X1754" s="3" t="str">
        <f>IF(Table1[[#This Row],[automation_risk_percent]]&gt;0.7,"Highly Automatable",
IF(Table1[[#This Row],[automation_risk_percent]]&gt;0.4,"Moderate Risk","Safe Job"))</f>
        <v>Moderate Risk</v>
      </c>
    </row>
    <row r="1755" spans="1:24" x14ac:dyDescent="0.3">
      <c r="A1755">
        <v>6285</v>
      </c>
      <c r="B1755" t="s">
        <v>45</v>
      </c>
      <c r="C1755" t="s">
        <v>19</v>
      </c>
      <c r="D1755" t="s">
        <v>28</v>
      </c>
      <c r="E1755" s="1">
        <v>2026</v>
      </c>
      <c r="F1755" s="11">
        <v>0.15590000000000001</v>
      </c>
      <c r="G1755">
        <v>15.5</v>
      </c>
      <c r="H1755">
        <v>92.46</v>
      </c>
      <c r="I1755" s="2">
        <v>112241.08</v>
      </c>
      <c r="J1755" s="2">
        <v>116730.66</v>
      </c>
      <c r="K1755" s="2">
        <f>Table1[[#This Row],[Salary_after]]-Table1[[#This Row],[Salary_before]]</f>
        <v>4489.5800000000017</v>
      </c>
      <c r="L1755" s="11">
        <v>0.04</v>
      </c>
      <c r="M1755" s="11">
        <v>0.19039999999999999</v>
      </c>
      <c r="N1755">
        <v>90.67</v>
      </c>
      <c r="O1755">
        <v>14.69</v>
      </c>
      <c r="P1755">
        <v>2</v>
      </c>
      <c r="Q1755" t="s">
        <v>21</v>
      </c>
      <c r="R1755">
        <v>54.024999999999999</v>
      </c>
      <c r="S1755">
        <v>4</v>
      </c>
      <c r="T1755" s="4">
        <v>35.173999999999999</v>
      </c>
      <c r="U1755" s="4">
        <v>2.290171</v>
      </c>
      <c r="V1755" t="str">
        <f>IF(Table1[[#This Row],[ai_disruption_intensity]]&gt;70,"High",
IF(Table1[[#This Row],[ai_disruption_intensity]]&gt;40,"Medium","Low"))</f>
        <v>Low</v>
      </c>
      <c r="W1755" t="str">
        <f>IF(Table1[[#This Row],[skill_gap_index]]&gt;70,"Large Gap",
IF(Table1[[#This Row],[skill_gap_index]]&gt;40,"Medium Gap","Small Gap"))</f>
        <v>Large Gap</v>
      </c>
      <c r="X1755" s="3" t="str">
        <f>IF(Table1[[#This Row],[automation_risk_percent]]&gt;0.7,"Highly Automatable",
IF(Table1[[#This Row],[automation_risk_percent]]&gt;0.4,"Moderate Risk","Safe Job"))</f>
        <v>Safe Job</v>
      </c>
    </row>
    <row r="1756" spans="1:24" x14ac:dyDescent="0.3">
      <c r="A1756">
        <v>6287</v>
      </c>
      <c r="B1756" t="s">
        <v>45</v>
      </c>
      <c r="C1756" t="s">
        <v>33</v>
      </c>
      <c r="D1756" t="s">
        <v>28</v>
      </c>
      <c r="E1756" s="1">
        <v>2026</v>
      </c>
      <c r="F1756" s="11">
        <v>0.48320000000000002</v>
      </c>
      <c r="G1756">
        <v>42.52</v>
      </c>
      <c r="H1756">
        <v>56.92</v>
      </c>
      <c r="I1756" s="2">
        <v>71806.05</v>
      </c>
      <c r="J1756" s="2">
        <v>73540.63</v>
      </c>
      <c r="K1756" s="2">
        <f>Table1[[#This Row],[Salary_after]]-Table1[[#This Row],[Salary_before]]</f>
        <v>1734.5800000000017</v>
      </c>
      <c r="L1756" s="11">
        <v>2.4199999999999999E-2</v>
      </c>
      <c r="M1756" s="11">
        <v>-6.8000000000000005E-3</v>
      </c>
      <c r="N1756">
        <v>91.74</v>
      </c>
      <c r="O1756">
        <v>17.920000000000002</v>
      </c>
      <c r="P1756">
        <v>3</v>
      </c>
      <c r="Q1756" t="s">
        <v>25</v>
      </c>
      <c r="R1756">
        <v>52.62</v>
      </c>
      <c r="S1756">
        <v>2.42</v>
      </c>
      <c r="T1756" s="4">
        <v>37.130000000000003</v>
      </c>
      <c r="U1756" s="4">
        <v>8.658944</v>
      </c>
      <c r="V1756" t="str">
        <f>IF(Table1[[#This Row],[ai_disruption_intensity]]&gt;70,"High",
IF(Table1[[#This Row],[ai_disruption_intensity]]&gt;40,"Medium","Low"))</f>
        <v>Low</v>
      </c>
      <c r="W1756" t="str">
        <f>IF(Table1[[#This Row],[skill_gap_index]]&gt;70,"Large Gap",
IF(Table1[[#This Row],[skill_gap_index]]&gt;40,"Medium Gap","Small Gap"))</f>
        <v>Medium Gap</v>
      </c>
      <c r="X1756" s="3" t="str">
        <f>IF(Table1[[#This Row],[automation_risk_percent]]&gt;0.7,"Highly Automatable",
IF(Table1[[#This Row],[automation_risk_percent]]&gt;0.4,"Moderate Risk","Safe Job"))</f>
        <v>Moderate Risk</v>
      </c>
    </row>
    <row r="1757" spans="1:24" x14ac:dyDescent="0.3">
      <c r="A1757">
        <v>6288</v>
      </c>
      <c r="B1757" t="s">
        <v>43</v>
      </c>
      <c r="C1757" t="s">
        <v>33</v>
      </c>
      <c r="D1757" t="s">
        <v>31</v>
      </c>
      <c r="E1757" s="1">
        <v>2026</v>
      </c>
      <c r="F1757" s="11">
        <v>0.26600000000000001</v>
      </c>
      <c r="G1757">
        <v>25.82</v>
      </c>
      <c r="H1757">
        <v>29.45</v>
      </c>
      <c r="I1757" s="2">
        <v>121083.98</v>
      </c>
      <c r="J1757" s="2">
        <v>127141.79</v>
      </c>
      <c r="K1757" s="2">
        <f>Table1[[#This Row],[Salary_after]]-Table1[[#This Row],[Salary_before]]</f>
        <v>6057.8099999999977</v>
      </c>
      <c r="L1757" s="11">
        <v>0.05</v>
      </c>
      <c r="M1757" s="11">
        <v>-4.6199999999999998E-2</v>
      </c>
      <c r="N1757">
        <v>11.07</v>
      </c>
      <c r="O1757">
        <v>80.64</v>
      </c>
      <c r="P1757">
        <v>5</v>
      </c>
      <c r="Q1757" t="s">
        <v>21</v>
      </c>
      <c r="R1757">
        <v>28.024999999999999</v>
      </c>
      <c r="S1757">
        <v>5</v>
      </c>
      <c r="T1757" s="4">
        <v>20.975000000000001</v>
      </c>
      <c r="U1757" s="4">
        <v>21.450240000000001</v>
      </c>
      <c r="V1757" t="str">
        <f>IF(Table1[[#This Row],[ai_disruption_intensity]]&gt;70,"High",
IF(Table1[[#This Row],[ai_disruption_intensity]]&gt;40,"Medium","Low"))</f>
        <v>Low</v>
      </c>
      <c r="W1757" t="str">
        <f>IF(Table1[[#This Row],[skill_gap_index]]&gt;70,"Large Gap",
IF(Table1[[#This Row],[skill_gap_index]]&gt;40,"Medium Gap","Small Gap"))</f>
        <v>Small Gap</v>
      </c>
      <c r="X1757" s="3" t="str">
        <f>IF(Table1[[#This Row],[automation_risk_percent]]&gt;0.7,"Highly Automatable",
IF(Table1[[#This Row],[automation_risk_percent]]&gt;0.4,"Moderate Risk","Safe Job"))</f>
        <v>Safe Job</v>
      </c>
    </row>
    <row r="1758" spans="1:24" x14ac:dyDescent="0.3">
      <c r="A1758">
        <v>6289</v>
      </c>
      <c r="B1758" t="s">
        <v>46</v>
      </c>
      <c r="C1758" t="s">
        <v>19</v>
      </c>
      <c r="D1758" t="s">
        <v>20</v>
      </c>
      <c r="E1758" s="1">
        <v>2026</v>
      </c>
      <c r="F1758" s="11">
        <v>0.38290000000000002</v>
      </c>
      <c r="G1758">
        <v>39.31</v>
      </c>
      <c r="H1758">
        <v>53.73</v>
      </c>
      <c r="I1758" s="2">
        <v>94241.51</v>
      </c>
      <c r="J1758" s="2">
        <v>88261.69</v>
      </c>
      <c r="K1758" s="2">
        <f>Table1[[#This Row],[Salary_after]]-Table1[[#This Row],[Salary_before]]</f>
        <v>-5979.8199999999924</v>
      </c>
      <c r="L1758" s="11">
        <v>-6.3500000000000001E-2</v>
      </c>
      <c r="M1758" s="11">
        <v>-3.8399999999999997E-2</v>
      </c>
      <c r="N1758">
        <v>53.89</v>
      </c>
      <c r="O1758">
        <v>67.78</v>
      </c>
      <c r="P1758">
        <v>2</v>
      </c>
      <c r="Q1758" t="s">
        <v>25</v>
      </c>
      <c r="R1758">
        <v>46.01</v>
      </c>
      <c r="S1758">
        <v>6.35</v>
      </c>
      <c r="T1758" s="4">
        <v>33.340000000000003</v>
      </c>
      <c r="U1758" s="4">
        <v>25.952961999999999</v>
      </c>
      <c r="V1758" t="str">
        <f>IF(Table1[[#This Row],[ai_disruption_intensity]]&gt;70,"High",
IF(Table1[[#This Row],[ai_disruption_intensity]]&gt;40,"Medium","Low"))</f>
        <v>Low</v>
      </c>
      <c r="W1758" t="str">
        <f>IF(Table1[[#This Row],[skill_gap_index]]&gt;70,"Large Gap",
IF(Table1[[#This Row],[skill_gap_index]]&gt;40,"Medium Gap","Small Gap"))</f>
        <v>Medium Gap</v>
      </c>
      <c r="X1758" s="3" t="str">
        <f>IF(Table1[[#This Row],[automation_risk_percent]]&gt;0.7,"Highly Automatable",
IF(Table1[[#This Row],[automation_risk_percent]]&gt;0.4,"Moderate Risk","Safe Job"))</f>
        <v>Safe Job</v>
      </c>
    </row>
    <row r="1759" spans="1:24" x14ac:dyDescent="0.3">
      <c r="A1759">
        <v>6291</v>
      </c>
      <c r="B1759" t="s">
        <v>39</v>
      </c>
      <c r="C1759" t="s">
        <v>34</v>
      </c>
      <c r="D1759" t="s">
        <v>42</v>
      </c>
      <c r="E1759" s="1">
        <v>2025</v>
      </c>
      <c r="F1759" s="11">
        <v>0.79400000000000004</v>
      </c>
      <c r="G1759">
        <v>81.489999999999995</v>
      </c>
      <c r="H1759">
        <v>91.39</v>
      </c>
      <c r="I1759" s="2">
        <v>107060.26</v>
      </c>
      <c r="J1759" s="2">
        <v>98335.03</v>
      </c>
      <c r="K1759" s="2">
        <f>Table1[[#This Row],[Salary_after]]-Table1[[#This Row],[Salary_before]]</f>
        <v>-8725.2299999999959</v>
      </c>
      <c r="L1759" s="11">
        <v>-8.1500000000000003E-2</v>
      </c>
      <c r="M1759" s="11">
        <v>0.31980000000000003</v>
      </c>
      <c r="N1759">
        <v>31.21</v>
      </c>
      <c r="O1759">
        <v>8.43</v>
      </c>
      <c r="P1759">
        <v>2</v>
      </c>
      <c r="Q1759" t="s">
        <v>37</v>
      </c>
      <c r="R1759">
        <v>85.394999999999996</v>
      </c>
      <c r="S1759">
        <v>8.15</v>
      </c>
      <c r="T1759" s="4">
        <v>61.622</v>
      </c>
      <c r="U1759" s="4">
        <v>6.6934199999999997</v>
      </c>
      <c r="V1759" t="str">
        <f>IF(Table1[[#This Row],[ai_disruption_intensity]]&gt;70,"High",
IF(Table1[[#This Row],[ai_disruption_intensity]]&gt;40,"Medium","Low"))</f>
        <v>Low</v>
      </c>
      <c r="W1759" t="str">
        <f>IF(Table1[[#This Row],[skill_gap_index]]&gt;70,"Large Gap",
IF(Table1[[#This Row],[skill_gap_index]]&gt;40,"Medium Gap","Small Gap"))</f>
        <v>Large Gap</v>
      </c>
      <c r="X1759" s="3" t="str">
        <f>IF(Table1[[#This Row],[automation_risk_percent]]&gt;0.7,"Highly Automatable",
IF(Table1[[#This Row],[automation_risk_percent]]&gt;0.4,"Moderate Risk","Safe Job"))</f>
        <v>Highly Automatable</v>
      </c>
    </row>
    <row r="1760" spans="1:24" x14ac:dyDescent="0.3">
      <c r="A1760">
        <v>6292</v>
      </c>
      <c r="B1760" t="s">
        <v>39</v>
      </c>
      <c r="C1760" t="s">
        <v>38</v>
      </c>
      <c r="D1760" t="s">
        <v>36</v>
      </c>
      <c r="E1760" s="1">
        <v>2025</v>
      </c>
      <c r="F1760" s="11">
        <v>0.40960000000000002</v>
      </c>
      <c r="G1760">
        <v>41.97</v>
      </c>
      <c r="H1760">
        <v>50.94</v>
      </c>
      <c r="I1760" s="2">
        <v>113468.48</v>
      </c>
      <c r="J1760" s="2">
        <v>107452.64</v>
      </c>
      <c r="K1760" s="2">
        <f>Table1[[#This Row],[Salary_after]]-Table1[[#This Row],[Salary_before]]</f>
        <v>-6015.8399999999965</v>
      </c>
      <c r="L1760" s="11">
        <v>-5.2999999999999999E-2</v>
      </c>
      <c r="M1760" s="11">
        <v>-6.2E-2</v>
      </c>
      <c r="N1760">
        <v>47.4</v>
      </c>
      <c r="O1760">
        <v>18.649999999999999</v>
      </c>
      <c r="P1760">
        <v>4</v>
      </c>
      <c r="Q1760" t="s">
        <v>25</v>
      </c>
      <c r="R1760">
        <v>45.95</v>
      </c>
      <c r="S1760">
        <v>5.3</v>
      </c>
      <c r="T1760" s="4">
        <v>33.256</v>
      </c>
      <c r="U1760" s="4">
        <v>7.6390399999999996</v>
      </c>
      <c r="V1760" t="str">
        <f>IF(Table1[[#This Row],[ai_disruption_intensity]]&gt;70,"High",
IF(Table1[[#This Row],[ai_disruption_intensity]]&gt;40,"Medium","Low"))</f>
        <v>Low</v>
      </c>
      <c r="W1760" t="str">
        <f>IF(Table1[[#This Row],[skill_gap_index]]&gt;70,"Large Gap",
IF(Table1[[#This Row],[skill_gap_index]]&gt;40,"Medium Gap","Small Gap"))</f>
        <v>Medium Gap</v>
      </c>
      <c r="X1760" s="3" t="str">
        <f>IF(Table1[[#This Row],[automation_risk_percent]]&gt;0.7,"Highly Automatable",
IF(Table1[[#This Row],[automation_risk_percent]]&gt;0.4,"Moderate Risk","Safe Job"))</f>
        <v>Moderate Risk</v>
      </c>
    </row>
    <row r="1761" spans="1:24" x14ac:dyDescent="0.3">
      <c r="A1761">
        <v>6296</v>
      </c>
      <c r="B1761" t="s">
        <v>41</v>
      </c>
      <c r="C1761" t="s">
        <v>19</v>
      </c>
      <c r="D1761" t="s">
        <v>36</v>
      </c>
      <c r="E1761" s="1">
        <v>2025</v>
      </c>
      <c r="F1761" s="11">
        <v>0.3992</v>
      </c>
      <c r="G1761">
        <v>36.36</v>
      </c>
      <c r="H1761">
        <v>70.849999999999994</v>
      </c>
      <c r="I1761" s="2">
        <v>145514.68</v>
      </c>
      <c r="J1761" s="2">
        <v>145952.16</v>
      </c>
      <c r="K1761" s="2">
        <f>Table1[[#This Row],[Salary_after]]-Table1[[#This Row],[Salary_before]]</f>
        <v>437.48000000001048</v>
      </c>
      <c r="L1761" s="11">
        <v>3.0000000000000001E-3</v>
      </c>
      <c r="M1761" s="11">
        <v>0.11800000000000001</v>
      </c>
      <c r="N1761">
        <v>89.79</v>
      </c>
      <c r="O1761">
        <v>2.95</v>
      </c>
      <c r="P1761">
        <v>2</v>
      </c>
      <c r="Q1761" t="s">
        <v>25</v>
      </c>
      <c r="R1761">
        <v>55.384999999999998</v>
      </c>
      <c r="S1761">
        <v>0.3</v>
      </c>
      <c r="T1761" s="4">
        <v>37.313000000000002</v>
      </c>
      <c r="U1761" s="4">
        <v>1.17764</v>
      </c>
      <c r="V1761" t="str">
        <f>IF(Table1[[#This Row],[ai_disruption_intensity]]&gt;70,"High",
IF(Table1[[#This Row],[ai_disruption_intensity]]&gt;40,"Medium","Low"))</f>
        <v>Low</v>
      </c>
      <c r="W1761" t="str">
        <f>IF(Table1[[#This Row],[skill_gap_index]]&gt;70,"Large Gap",
IF(Table1[[#This Row],[skill_gap_index]]&gt;40,"Medium Gap","Small Gap"))</f>
        <v>Large Gap</v>
      </c>
      <c r="X1761" s="3" t="str">
        <f>IF(Table1[[#This Row],[automation_risk_percent]]&gt;0.7,"Highly Automatable",
IF(Table1[[#This Row],[automation_risk_percent]]&gt;0.4,"Moderate Risk","Safe Job"))</f>
        <v>Safe Job</v>
      </c>
    </row>
    <row r="1762" spans="1:24" x14ac:dyDescent="0.3">
      <c r="A1762">
        <v>6297</v>
      </c>
      <c r="B1762" t="s">
        <v>41</v>
      </c>
      <c r="C1762" t="s">
        <v>27</v>
      </c>
      <c r="D1762" t="s">
        <v>20</v>
      </c>
      <c r="E1762" s="1">
        <v>2025</v>
      </c>
      <c r="F1762" s="11">
        <v>0.8528</v>
      </c>
      <c r="G1762">
        <v>84.47</v>
      </c>
      <c r="H1762">
        <v>78.150000000000006</v>
      </c>
      <c r="I1762" s="2">
        <v>30669.95</v>
      </c>
      <c r="J1762" s="2">
        <v>31469.54</v>
      </c>
      <c r="K1762" s="2">
        <f>Table1[[#This Row],[Salary_after]]-Table1[[#This Row],[Salary_before]]</f>
        <v>799.59000000000015</v>
      </c>
      <c r="L1762" s="11">
        <v>2.6099999999999998E-2</v>
      </c>
      <c r="M1762" s="11">
        <v>0.1512</v>
      </c>
      <c r="N1762">
        <v>31.62</v>
      </c>
      <c r="O1762">
        <v>34.75</v>
      </c>
      <c r="P1762">
        <v>3</v>
      </c>
      <c r="Q1762" t="s">
        <v>37</v>
      </c>
      <c r="R1762">
        <v>81.715000000000003</v>
      </c>
      <c r="S1762">
        <v>2.61</v>
      </c>
      <c r="T1762" s="4">
        <v>58.34</v>
      </c>
      <c r="U1762" s="4">
        <v>29.634799999999998</v>
      </c>
      <c r="V1762" t="str">
        <f>IF(Table1[[#This Row],[ai_disruption_intensity]]&gt;70,"High",
IF(Table1[[#This Row],[ai_disruption_intensity]]&gt;40,"Medium","Low"))</f>
        <v>Low</v>
      </c>
      <c r="W1762" t="str">
        <f>IF(Table1[[#This Row],[skill_gap_index]]&gt;70,"Large Gap",
IF(Table1[[#This Row],[skill_gap_index]]&gt;40,"Medium Gap","Small Gap"))</f>
        <v>Large Gap</v>
      </c>
      <c r="X1762" s="3" t="str">
        <f>IF(Table1[[#This Row],[automation_risk_percent]]&gt;0.7,"Highly Automatable",
IF(Table1[[#This Row],[automation_risk_percent]]&gt;0.4,"Moderate Risk","Safe Job"))</f>
        <v>Highly Automatable</v>
      </c>
    </row>
    <row r="1763" spans="1:24" x14ac:dyDescent="0.3">
      <c r="A1763">
        <v>6299</v>
      </c>
      <c r="B1763" t="s">
        <v>26</v>
      </c>
      <c r="C1763" t="s">
        <v>30</v>
      </c>
      <c r="D1763" t="s">
        <v>32</v>
      </c>
      <c r="E1763" s="1">
        <v>2025</v>
      </c>
      <c r="F1763" s="11">
        <v>0.58399999999999996</v>
      </c>
      <c r="G1763">
        <v>58.42</v>
      </c>
      <c r="H1763">
        <v>62</v>
      </c>
      <c r="I1763" s="2">
        <v>48073.51</v>
      </c>
      <c r="J1763" s="2">
        <v>50745.23</v>
      </c>
      <c r="K1763" s="2">
        <f>Table1[[#This Row],[Salary_after]]-Table1[[#This Row],[Salary_before]]</f>
        <v>2671.7200000000012</v>
      </c>
      <c r="L1763" s="11">
        <v>5.5599999999999997E-2</v>
      </c>
      <c r="M1763" s="11">
        <v>4.7899999999999998E-2</v>
      </c>
      <c r="N1763">
        <v>13.12</v>
      </c>
      <c r="O1763">
        <v>3.57</v>
      </c>
      <c r="P1763">
        <v>5</v>
      </c>
      <c r="Q1763" t="s">
        <v>25</v>
      </c>
      <c r="R1763">
        <v>60.2</v>
      </c>
      <c r="S1763">
        <v>5.56</v>
      </c>
      <c r="T1763" s="4">
        <v>43.627999999999901</v>
      </c>
      <c r="U1763" s="4">
        <v>2.0848800000000001</v>
      </c>
      <c r="V1763" t="str">
        <f>IF(Table1[[#This Row],[ai_disruption_intensity]]&gt;70,"High",
IF(Table1[[#This Row],[ai_disruption_intensity]]&gt;40,"Medium","Low"))</f>
        <v>Low</v>
      </c>
      <c r="W1763" t="str">
        <f>IF(Table1[[#This Row],[skill_gap_index]]&gt;70,"Large Gap",
IF(Table1[[#This Row],[skill_gap_index]]&gt;40,"Medium Gap","Small Gap"))</f>
        <v>Medium Gap</v>
      </c>
      <c r="X1763" s="3" t="str">
        <f>IF(Table1[[#This Row],[automation_risk_percent]]&gt;0.7,"Highly Automatable",
IF(Table1[[#This Row],[automation_risk_percent]]&gt;0.4,"Moderate Risk","Safe Job"))</f>
        <v>Moderate Risk</v>
      </c>
    </row>
    <row r="1764" spans="1:24" x14ac:dyDescent="0.3">
      <c r="A1764">
        <v>6300</v>
      </c>
      <c r="B1764" t="s">
        <v>39</v>
      </c>
      <c r="C1764" t="s">
        <v>38</v>
      </c>
      <c r="D1764" t="s">
        <v>42</v>
      </c>
      <c r="E1764" s="1">
        <v>2025</v>
      </c>
      <c r="F1764" s="11">
        <v>0.77200000000000002</v>
      </c>
      <c r="G1764">
        <v>83.39</v>
      </c>
      <c r="H1764">
        <v>18.87</v>
      </c>
      <c r="I1764" s="2">
        <v>73664.98</v>
      </c>
      <c r="J1764" s="2">
        <v>87650.75</v>
      </c>
      <c r="K1764" s="2">
        <f>Table1[[#This Row],[Salary_after]]-Table1[[#This Row],[Salary_before]]</f>
        <v>13985.770000000004</v>
      </c>
      <c r="L1764" s="11">
        <v>0.18989999999999999</v>
      </c>
      <c r="M1764" s="11">
        <v>5.7300000000000004E-2</v>
      </c>
      <c r="N1764">
        <v>85.78</v>
      </c>
      <c r="O1764">
        <v>8.27</v>
      </c>
      <c r="P1764">
        <v>2</v>
      </c>
      <c r="Q1764" t="s">
        <v>37</v>
      </c>
      <c r="R1764">
        <v>48.034999999999997</v>
      </c>
      <c r="S1764">
        <v>18.989999999999998</v>
      </c>
      <c r="T1764" s="4">
        <v>42.238</v>
      </c>
      <c r="U1764" s="4">
        <v>6.3844399999999997</v>
      </c>
      <c r="V1764" t="str">
        <f>IF(Table1[[#This Row],[ai_disruption_intensity]]&gt;70,"High",
IF(Table1[[#This Row],[ai_disruption_intensity]]&gt;40,"Medium","Low"))</f>
        <v>Low</v>
      </c>
      <c r="W1764" t="str">
        <f>IF(Table1[[#This Row],[skill_gap_index]]&gt;70,"Large Gap",
IF(Table1[[#This Row],[skill_gap_index]]&gt;40,"Medium Gap","Small Gap"))</f>
        <v>Small Gap</v>
      </c>
      <c r="X1764" s="3" t="str">
        <f>IF(Table1[[#This Row],[automation_risk_percent]]&gt;0.7,"Highly Automatable",
IF(Table1[[#This Row],[automation_risk_percent]]&gt;0.4,"Moderate Risk","Safe Job"))</f>
        <v>Highly Automatable</v>
      </c>
    </row>
    <row r="1765" spans="1:24" x14ac:dyDescent="0.3">
      <c r="A1765">
        <v>6306</v>
      </c>
      <c r="B1765" t="s">
        <v>39</v>
      </c>
      <c r="C1765" t="s">
        <v>38</v>
      </c>
      <c r="D1765" t="s">
        <v>42</v>
      </c>
      <c r="E1765" s="1">
        <v>2025</v>
      </c>
      <c r="F1765" s="11">
        <v>0.71879999999999999</v>
      </c>
      <c r="G1765">
        <v>70.41</v>
      </c>
      <c r="H1765">
        <v>69.58</v>
      </c>
      <c r="I1765" s="2">
        <v>85957.83</v>
      </c>
      <c r="J1765" s="2">
        <v>84566.63</v>
      </c>
      <c r="K1765" s="2">
        <f>Table1[[#This Row],[Salary_after]]-Table1[[#This Row],[Salary_before]]</f>
        <v>-1391.1999999999971</v>
      </c>
      <c r="L1765" s="11">
        <v>-1.6200000000000003E-2</v>
      </c>
      <c r="M1765" s="11">
        <v>-0.1119</v>
      </c>
      <c r="N1765">
        <v>17.309999999999999</v>
      </c>
      <c r="O1765">
        <v>14.1</v>
      </c>
      <c r="P1765">
        <v>5</v>
      </c>
      <c r="Q1765" t="s">
        <v>37</v>
      </c>
      <c r="R1765">
        <v>70.729999999999905</v>
      </c>
      <c r="S1765">
        <v>1.62</v>
      </c>
      <c r="T1765" s="4">
        <v>50.111999999999902</v>
      </c>
      <c r="U1765" s="4">
        <v>10.135079999999901</v>
      </c>
      <c r="V1765" t="str">
        <f>IF(Table1[[#This Row],[ai_disruption_intensity]]&gt;70,"High",
IF(Table1[[#This Row],[ai_disruption_intensity]]&gt;40,"Medium","Low"))</f>
        <v>Low</v>
      </c>
      <c r="W1765" t="str">
        <f>IF(Table1[[#This Row],[skill_gap_index]]&gt;70,"Large Gap",
IF(Table1[[#This Row],[skill_gap_index]]&gt;40,"Medium Gap","Small Gap"))</f>
        <v>Medium Gap</v>
      </c>
      <c r="X1765" s="3" t="str">
        <f>IF(Table1[[#This Row],[automation_risk_percent]]&gt;0.7,"Highly Automatable",
IF(Table1[[#This Row],[automation_risk_percent]]&gt;0.4,"Moderate Risk","Safe Job"))</f>
        <v>Highly Automatable</v>
      </c>
    </row>
    <row r="1766" spans="1:24" x14ac:dyDescent="0.3">
      <c r="A1766">
        <v>6308</v>
      </c>
      <c r="B1766" t="s">
        <v>45</v>
      </c>
      <c r="C1766" t="s">
        <v>33</v>
      </c>
      <c r="D1766" t="s">
        <v>42</v>
      </c>
      <c r="E1766" s="1">
        <v>2026</v>
      </c>
      <c r="F1766" s="11">
        <v>0.23180000000000001</v>
      </c>
      <c r="G1766">
        <v>19.829999999999998</v>
      </c>
      <c r="H1766">
        <v>31.84</v>
      </c>
      <c r="I1766" s="2">
        <v>133360.93</v>
      </c>
      <c r="J1766" s="2">
        <v>127552.91</v>
      </c>
      <c r="K1766" s="2">
        <f>Table1[[#This Row],[Salary_after]]-Table1[[#This Row],[Salary_before]]</f>
        <v>-5808.0199999999895</v>
      </c>
      <c r="L1766" s="11">
        <v>-4.36E-2</v>
      </c>
      <c r="M1766" s="11">
        <v>6.1500000000000006E-2</v>
      </c>
      <c r="N1766">
        <v>64.180000000000007</v>
      </c>
      <c r="O1766">
        <v>42.6</v>
      </c>
      <c r="P1766">
        <v>3</v>
      </c>
      <c r="Q1766" t="s">
        <v>21</v>
      </c>
      <c r="R1766">
        <v>27.509999999999899</v>
      </c>
      <c r="S1766">
        <v>4.3600000000000003</v>
      </c>
      <c r="T1766" s="4">
        <v>20.131999999999898</v>
      </c>
      <c r="U1766" s="4">
        <v>9.8746799999999997</v>
      </c>
      <c r="V1766" t="str">
        <f>IF(Table1[[#This Row],[ai_disruption_intensity]]&gt;70,"High",
IF(Table1[[#This Row],[ai_disruption_intensity]]&gt;40,"Medium","Low"))</f>
        <v>Low</v>
      </c>
      <c r="W1766" t="str">
        <f>IF(Table1[[#This Row],[skill_gap_index]]&gt;70,"Large Gap",
IF(Table1[[#This Row],[skill_gap_index]]&gt;40,"Medium Gap","Small Gap"))</f>
        <v>Small Gap</v>
      </c>
      <c r="X1766" s="3" t="str">
        <f>IF(Table1[[#This Row],[automation_risk_percent]]&gt;0.7,"Highly Automatable",
IF(Table1[[#This Row],[automation_risk_percent]]&gt;0.4,"Moderate Risk","Safe Job"))</f>
        <v>Safe Job</v>
      </c>
    </row>
    <row r="1767" spans="1:24" x14ac:dyDescent="0.3">
      <c r="A1767">
        <v>6317</v>
      </c>
      <c r="B1767" t="s">
        <v>39</v>
      </c>
      <c r="C1767" t="s">
        <v>19</v>
      </c>
      <c r="D1767" t="s">
        <v>35</v>
      </c>
      <c r="E1767" s="1">
        <v>2025</v>
      </c>
      <c r="F1767" s="11">
        <v>0.12480000000000001</v>
      </c>
      <c r="G1767">
        <v>11.94</v>
      </c>
      <c r="H1767">
        <v>35.78</v>
      </c>
      <c r="I1767" s="2">
        <v>41835.589999999997</v>
      </c>
      <c r="J1767" s="2">
        <v>43211.87</v>
      </c>
      <c r="K1767" s="2">
        <f>Table1[[#This Row],[Salary_after]]-Table1[[#This Row],[Salary_before]]</f>
        <v>1376.2800000000061</v>
      </c>
      <c r="L1767" s="11">
        <v>3.2899999999999999E-2</v>
      </c>
      <c r="M1767" s="11">
        <v>0.20809999999999998</v>
      </c>
      <c r="N1767">
        <v>30.31</v>
      </c>
      <c r="O1767">
        <v>75.91</v>
      </c>
      <c r="P1767">
        <v>2</v>
      </c>
      <c r="Q1767" t="s">
        <v>21</v>
      </c>
      <c r="R1767">
        <v>24.13</v>
      </c>
      <c r="S1767">
        <v>3.29</v>
      </c>
      <c r="T1767" s="4">
        <v>16.713000000000001</v>
      </c>
      <c r="U1767" s="4">
        <v>9.4735680000000002</v>
      </c>
      <c r="V1767" t="str">
        <f>IF(Table1[[#This Row],[ai_disruption_intensity]]&gt;70,"High",
IF(Table1[[#This Row],[ai_disruption_intensity]]&gt;40,"Medium","Low"))</f>
        <v>Low</v>
      </c>
      <c r="W1767" t="str">
        <f>IF(Table1[[#This Row],[skill_gap_index]]&gt;70,"Large Gap",
IF(Table1[[#This Row],[skill_gap_index]]&gt;40,"Medium Gap","Small Gap"))</f>
        <v>Small Gap</v>
      </c>
      <c r="X1767" s="3" t="str">
        <f>IF(Table1[[#This Row],[automation_risk_percent]]&gt;0.7,"Highly Automatable",
IF(Table1[[#This Row],[automation_risk_percent]]&gt;0.4,"Moderate Risk","Safe Job"))</f>
        <v>Safe Job</v>
      </c>
    </row>
    <row r="1768" spans="1:24" x14ac:dyDescent="0.3">
      <c r="A1768">
        <v>6319</v>
      </c>
      <c r="B1768" t="s">
        <v>41</v>
      </c>
      <c r="C1768" t="s">
        <v>30</v>
      </c>
      <c r="D1768" t="s">
        <v>47</v>
      </c>
      <c r="E1768" s="1">
        <v>2026</v>
      </c>
      <c r="F1768" s="11">
        <v>0.44400000000000001</v>
      </c>
      <c r="G1768">
        <v>46.91</v>
      </c>
      <c r="H1768">
        <v>88.21</v>
      </c>
      <c r="I1768" s="2">
        <v>104084.9</v>
      </c>
      <c r="J1768" s="2">
        <v>109397.3</v>
      </c>
      <c r="K1768" s="2">
        <f>Table1[[#This Row],[Salary_after]]-Table1[[#This Row],[Salary_before]]</f>
        <v>5312.4000000000087</v>
      </c>
      <c r="L1768" s="11">
        <v>5.0999999999999997E-2</v>
      </c>
      <c r="M1768" s="11">
        <v>4.1900000000000007E-2</v>
      </c>
      <c r="N1768">
        <v>28.19</v>
      </c>
      <c r="O1768">
        <v>95.28</v>
      </c>
      <c r="P1768">
        <v>4</v>
      </c>
      <c r="Q1768" t="s">
        <v>25</v>
      </c>
      <c r="R1768">
        <v>66.304999999999893</v>
      </c>
      <c r="S1768">
        <v>5.0999999999999996</v>
      </c>
      <c r="T1768" s="4">
        <v>45.753</v>
      </c>
      <c r="U1768" s="4">
        <v>42.304319999999997</v>
      </c>
      <c r="V1768" t="str">
        <f>IF(Table1[[#This Row],[ai_disruption_intensity]]&gt;70,"High",
IF(Table1[[#This Row],[ai_disruption_intensity]]&gt;40,"Medium","Low"))</f>
        <v>Medium</v>
      </c>
      <c r="W1768" t="str">
        <f>IF(Table1[[#This Row],[skill_gap_index]]&gt;70,"Large Gap",
IF(Table1[[#This Row],[skill_gap_index]]&gt;40,"Medium Gap","Small Gap"))</f>
        <v>Large Gap</v>
      </c>
      <c r="X1768" s="3" t="str">
        <f>IF(Table1[[#This Row],[automation_risk_percent]]&gt;0.7,"Highly Automatable",
IF(Table1[[#This Row],[automation_risk_percent]]&gt;0.4,"Moderate Risk","Safe Job"))</f>
        <v>Moderate Risk</v>
      </c>
    </row>
    <row r="1769" spans="1:24" x14ac:dyDescent="0.3">
      <c r="A1769">
        <v>6320</v>
      </c>
      <c r="B1769" t="s">
        <v>18</v>
      </c>
      <c r="C1769" t="s">
        <v>27</v>
      </c>
      <c r="D1769" t="s">
        <v>32</v>
      </c>
      <c r="E1769" s="1">
        <v>2025</v>
      </c>
      <c r="F1769" s="11">
        <v>0.73199999999999998</v>
      </c>
      <c r="G1769">
        <v>60.49</v>
      </c>
      <c r="H1769">
        <v>52.13</v>
      </c>
      <c r="I1769" s="2">
        <v>93460.69</v>
      </c>
      <c r="J1769" s="2">
        <v>93548.5</v>
      </c>
      <c r="K1769" s="2">
        <f>Table1[[#This Row],[Salary_after]]-Table1[[#This Row],[Salary_before]]</f>
        <v>87.809999999997672</v>
      </c>
      <c r="L1769" s="11">
        <v>8.9999999999999998E-4</v>
      </c>
      <c r="M1769" s="11">
        <v>3.1E-2</v>
      </c>
      <c r="N1769">
        <v>51.74</v>
      </c>
      <c r="O1769">
        <v>94.05</v>
      </c>
      <c r="P1769">
        <v>1</v>
      </c>
      <c r="Q1769" t="s">
        <v>37</v>
      </c>
      <c r="R1769">
        <v>62.664999999999999</v>
      </c>
      <c r="S1769">
        <v>0.09</v>
      </c>
      <c r="T1769" s="4">
        <v>44.945999999999998</v>
      </c>
      <c r="U1769" s="4">
        <v>68.8446</v>
      </c>
      <c r="V1769" t="str">
        <f>IF(Table1[[#This Row],[ai_disruption_intensity]]&gt;70,"High",
IF(Table1[[#This Row],[ai_disruption_intensity]]&gt;40,"Medium","Low"))</f>
        <v>Medium</v>
      </c>
      <c r="W1769" t="str">
        <f>IF(Table1[[#This Row],[skill_gap_index]]&gt;70,"Large Gap",
IF(Table1[[#This Row],[skill_gap_index]]&gt;40,"Medium Gap","Small Gap"))</f>
        <v>Medium Gap</v>
      </c>
      <c r="X1769" s="3" t="str">
        <f>IF(Table1[[#This Row],[automation_risk_percent]]&gt;0.7,"Highly Automatable",
IF(Table1[[#This Row],[automation_risk_percent]]&gt;0.4,"Moderate Risk","Safe Job"))</f>
        <v>Highly Automatable</v>
      </c>
    </row>
    <row r="1770" spans="1:24" x14ac:dyDescent="0.3">
      <c r="A1770">
        <v>6325</v>
      </c>
      <c r="B1770" t="s">
        <v>41</v>
      </c>
      <c r="C1770" t="s">
        <v>40</v>
      </c>
      <c r="D1770" t="s">
        <v>24</v>
      </c>
      <c r="E1770" s="1">
        <v>2026</v>
      </c>
      <c r="F1770" s="11">
        <v>0.78280000000000005</v>
      </c>
      <c r="G1770">
        <v>79.63</v>
      </c>
      <c r="H1770">
        <v>18.100000000000001</v>
      </c>
      <c r="I1770" s="2">
        <v>62284.28</v>
      </c>
      <c r="J1770" s="2">
        <v>73399.240000000005</v>
      </c>
      <c r="K1770" s="2">
        <f>Table1[[#This Row],[Salary_after]]-Table1[[#This Row],[Salary_before]]</f>
        <v>11114.960000000006</v>
      </c>
      <c r="L1770" s="11">
        <v>0.17850000000000002</v>
      </c>
      <c r="M1770" s="11">
        <v>0.11269999999999999</v>
      </c>
      <c r="N1770">
        <v>55.73</v>
      </c>
      <c r="O1770">
        <v>62.02</v>
      </c>
      <c r="P1770">
        <v>3</v>
      </c>
      <c r="Q1770" t="s">
        <v>37</v>
      </c>
      <c r="R1770">
        <v>48.19</v>
      </c>
      <c r="S1770">
        <v>17.850000000000001</v>
      </c>
      <c r="T1770" s="4">
        <v>42.097000000000001</v>
      </c>
      <c r="U1770" s="4">
        <v>48.549256</v>
      </c>
      <c r="V1770" t="str">
        <f>IF(Table1[[#This Row],[ai_disruption_intensity]]&gt;70,"High",
IF(Table1[[#This Row],[ai_disruption_intensity]]&gt;40,"Medium","Low"))</f>
        <v>Medium</v>
      </c>
      <c r="W1770" t="str">
        <f>IF(Table1[[#This Row],[skill_gap_index]]&gt;70,"Large Gap",
IF(Table1[[#This Row],[skill_gap_index]]&gt;40,"Medium Gap","Small Gap"))</f>
        <v>Small Gap</v>
      </c>
      <c r="X1770" s="3" t="str">
        <f>IF(Table1[[#This Row],[automation_risk_percent]]&gt;0.7,"Highly Automatable",
IF(Table1[[#This Row],[automation_risk_percent]]&gt;0.4,"Moderate Risk","Safe Job"))</f>
        <v>Highly Automatable</v>
      </c>
    </row>
    <row r="1771" spans="1:24" x14ac:dyDescent="0.3">
      <c r="A1771">
        <v>6326</v>
      </c>
      <c r="B1771" t="s">
        <v>18</v>
      </c>
      <c r="C1771" t="s">
        <v>19</v>
      </c>
      <c r="D1771" t="s">
        <v>24</v>
      </c>
      <c r="E1771" s="1">
        <v>2025</v>
      </c>
      <c r="F1771" s="11">
        <v>0.65260000000000007</v>
      </c>
      <c r="G1771">
        <v>66.44</v>
      </c>
      <c r="H1771">
        <v>97.72</v>
      </c>
      <c r="I1771" s="2">
        <v>58268.24</v>
      </c>
      <c r="J1771" s="2">
        <v>57402.21</v>
      </c>
      <c r="K1771" s="2">
        <f>Table1[[#This Row],[Salary_after]]-Table1[[#This Row],[Salary_before]]</f>
        <v>-866.02999999999884</v>
      </c>
      <c r="L1771" s="11">
        <v>-1.49E-2</v>
      </c>
      <c r="M1771" s="11">
        <v>7.4700000000000003E-2</v>
      </c>
      <c r="N1771">
        <v>57.85</v>
      </c>
      <c r="O1771">
        <v>45.59</v>
      </c>
      <c r="P1771">
        <v>1</v>
      </c>
      <c r="Q1771" t="s">
        <v>37</v>
      </c>
      <c r="R1771">
        <v>81.489999999999995</v>
      </c>
      <c r="S1771">
        <v>1.49</v>
      </c>
      <c r="T1771" s="4">
        <v>55.866999999999997</v>
      </c>
      <c r="U1771" s="4">
        <v>29.752033999999998</v>
      </c>
      <c r="V1771" t="str">
        <f>IF(Table1[[#This Row],[ai_disruption_intensity]]&gt;70,"High",
IF(Table1[[#This Row],[ai_disruption_intensity]]&gt;40,"Medium","Low"))</f>
        <v>Low</v>
      </c>
      <c r="W1771" t="str">
        <f>IF(Table1[[#This Row],[skill_gap_index]]&gt;70,"Large Gap",
IF(Table1[[#This Row],[skill_gap_index]]&gt;40,"Medium Gap","Small Gap"))</f>
        <v>Large Gap</v>
      </c>
      <c r="X1771" s="3" t="str">
        <f>IF(Table1[[#This Row],[automation_risk_percent]]&gt;0.7,"Highly Automatable",
IF(Table1[[#This Row],[automation_risk_percent]]&gt;0.4,"Moderate Risk","Safe Job"))</f>
        <v>Moderate Risk</v>
      </c>
    </row>
    <row r="1772" spans="1:24" x14ac:dyDescent="0.3">
      <c r="A1772">
        <v>6332</v>
      </c>
      <c r="B1772" t="s">
        <v>39</v>
      </c>
      <c r="C1772" t="s">
        <v>27</v>
      </c>
      <c r="D1772" t="s">
        <v>24</v>
      </c>
      <c r="E1772" s="1">
        <v>2026</v>
      </c>
      <c r="F1772" s="11">
        <v>0.63869999999999993</v>
      </c>
      <c r="G1772">
        <v>65.59</v>
      </c>
      <c r="H1772">
        <v>74.58</v>
      </c>
      <c r="I1772" s="2">
        <v>139964.16</v>
      </c>
      <c r="J1772" s="2">
        <v>135526.85999999999</v>
      </c>
      <c r="K1772" s="2">
        <f>Table1[[#This Row],[Salary_after]]-Table1[[#This Row],[Salary_before]]</f>
        <v>-4437.3000000000175</v>
      </c>
      <c r="L1772" s="11">
        <v>-3.1699999999999999E-2</v>
      </c>
      <c r="M1772" s="11">
        <v>0.1583</v>
      </c>
      <c r="N1772">
        <v>45.26</v>
      </c>
      <c r="O1772">
        <v>80.83</v>
      </c>
      <c r="P1772">
        <v>2</v>
      </c>
      <c r="Q1772" t="s">
        <v>37</v>
      </c>
      <c r="R1772">
        <v>69.224999999999994</v>
      </c>
      <c r="S1772">
        <v>3.17</v>
      </c>
      <c r="T1772" s="4">
        <v>48.872999999999998</v>
      </c>
      <c r="U1772" s="4">
        <v>51.626120999999898</v>
      </c>
      <c r="V1772" t="str">
        <f>IF(Table1[[#This Row],[ai_disruption_intensity]]&gt;70,"High",
IF(Table1[[#This Row],[ai_disruption_intensity]]&gt;40,"Medium","Low"))</f>
        <v>Medium</v>
      </c>
      <c r="W1772" t="str">
        <f>IF(Table1[[#This Row],[skill_gap_index]]&gt;70,"Large Gap",
IF(Table1[[#This Row],[skill_gap_index]]&gt;40,"Medium Gap","Small Gap"))</f>
        <v>Large Gap</v>
      </c>
      <c r="X1772" s="3" t="str">
        <f>IF(Table1[[#This Row],[automation_risk_percent]]&gt;0.7,"Highly Automatable",
IF(Table1[[#This Row],[automation_risk_percent]]&gt;0.4,"Moderate Risk","Safe Job"))</f>
        <v>Moderate Risk</v>
      </c>
    </row>
    <row r="1773" spans="1:24" x14ac:dyDescent="0.3">
      <c r="A1773">
        <v>6334</v>
      </c>
      <c r="B1773" t="s">
        <v>46</v>
      </c>
      <c r="C1773" t="s">
        <v>23</v>
      </c>
      <c r="D1773" t="s">
        <v>42</v>
      </c>
      <c r="E1773" s="1">
        <v>2025</v>
      </c>
      <c r="F1773" s="11">
        <v>0.22850000000000001</v>
      </c>
      <c r="G1773">
        <v>24.56</v>
      </c>
      <c r="H1773">
        <v>61.66</v>
      </c>
      <c r="I1773" s="2">
        <v>82823.8</v>
      </c>
      <c r="J1773" s="2">
        <v>92324.76</v>
      </c>
      <c r="K1773" s="2">
        <f>Table1[[#This Row],[Salary_after]]-Table1[[#This Row],[Salary_before]]</f>
        <v>9500.9599999999919</v>
      </c>
      <c r="L1773" s="11">
        <v>0.11470000000000001</v>
      </c>
      <c r="M1773" s="11">
        <v>-3.15E-2</v>
      </c>
      <c r="N1773">
        <v>38.31</v>
      </c>
      <c r="O1773">
        <v>84.57</v>
      </c>
      <c r="P1773">
        <v>5</v>
      </c>
      <c r="Q1773" t="s">
        <v>21</v>
      </c>
      <c r="R1773">
        <v>42.254999999999903</v>
      </c>
      <c r="S1773">
        <v>11.47</v>
      </c>
      <c r="T1773" s="4">
        <v>31.078999999999901</v>
      </c>
      <c r="U1773" s="4">
        <v>19.324244999999902</v>
      </c>
      <c r="V1773" t="str">
        <f>IF(Table1[[#This Row],[ai_disruption_intensity]]&gt;70,"High",
IF(Table1[[#This Row],[ai_disruption_intensity]]&gt;40,"Medium","Low"))</f>
        <v>Low</v>
      </c>
      <c r="W1773" t="str">
        <f>IF(Table1[[#This Row],[skill_gap_index]]&gt;70,"Large Gap",
IF(Table1[[#This Row],[skill_gap_index]]&gt;40,"Medium Gap","Small Gap"))</f>
        <v>Medium Gap</v>
      </c>
      <c r="X1773" s="3" t="str">
        <f>IF(Table1[[#This Row],[automation_risk_percent]]&gt;0.7,"Highly Automatable",
IF(Table1[[#This Row],[automation_risk_percent]]&gt;0.4,"Moderate Risk","Safe Job"))</f>
        <v>Safe Job</v>
      </c>
    </row>
    <row r="1774" spans="1:24" x14ac:dyDescent="0.3">
      <c r="A1774">
        <v>6346</v>
      </c>
      <c r="B1774" t="s">
        <v>41</v>
      </c>
      <c r="C1774" t="s">
        <v>23</v>
      </c>
      <c r="D1774" t="s">
        <v>20</v>
      </c>
      <c r="E1774" s="1">
        <v>2025</v>
      </c>
      <c r="F1774" s="11">
        <v>0.46729999999999999</v>
      </c>
      <c r="G1774">
        <v>47.29</v>
      </c>
      <c r="H1774">
        <v>65.69</v>
      </c>
      <c r="I1774" s="2">
        <v>112976.69</v>
      </c>
      <c r="J1774" s="2">
        <v>89231.52</v>
      </c>
      <c r="K1774" s="2">
        <f>Table1[[#This Row],[Salary_after]]-Table1[[#This Row],[Salary_before]]</f>
        <v>-23745.17</v>
      </c>
      <c r="L1774" s="11">
        <v>-0.2102</v>
      </c>
      <c r="M1774" s="11">
        <v>-3.7900000000000003E-2</v>
      </c>
      <c r="N1774">
        <v>79.150000000000006</v>
      </c>
      <c r="O1774">
        <v>92.54</v>
      </c>
      <c r="P1774">
        <v>1</v>
      </c>
      <c r="Q1774" t="s">
        <v>25</v>
      </c>
      <c r="R1774">
        <v>56.209999999999901</v>
      </c>
      <c r="S1774">
        <v>21.02</v>
      </c>
      <c r="T1774" s="4">
        <v>44.704999999999998</v>
      </c>
      <c r="U1774" s="4">
        <v>43.243941999999997</v>
      </c>
      <c r="V1774" t="str">
        <f>IF(Table1[[#This Row],[ai_disruption_intensity]]&gt;70,"High",
IF(Table1[[#This Row],[ai_disruption_intensity]]&gt;40,"Medium","Low"))</f>
        <v>Medium</v>
      </c>
      <c r="W1774" t="str">
        <f>IF(Table1[[#This Row],[skill_gap_index]]&gt;70,"Large Gap",
IF(Table1[[#This Row],[skill_gap_index]]&gt;40,"Medium Gap","Small Gap"))</f>
        <v>Medium Gap</v>
      </c>
      <c r="X1774" s="3" t="str">
        <f>IF(Table1[[#This Row],[automation_risk_percent]]&gt;0.7,"Highly Automatable",
IF(Table1[[#This Row],[automation_risk_percent]]&gt;0.4,"Moderate Risk","Safe Job"))</f>
        <v>Moderate Risk</v>
      </c>
    </row>
    <row r="1775" spans="1:24" x14ac:dyDescent="0.3">
      <c r="A1775">
        <v>6351</v>
      </c>
      <c r="B1775" t="s">
        <v>18</v>
      </c>
      <c r="C1775" t="s">
        <v>34</v>
      </c>
      <c r="D1775" t="s">
        <v>28</v>
      </c>
      <c r="E1775" s="1">
        <v>2026</v>
      </c>
      <c r="F1775" s="11">
        <v>0.67949999999999999</v>
      </c>
      <c r="G1775">
        <v>72.38</v>
      </c>
      <c r="H1775">
        <v>34.72</v>
      </c>
      <c r="I1775" s="2">
        <v>124132.09</v>
      </c>
      <c r="J1775" s="2">
        <v>119501.52</v>
      </c>
      <c r="K1775" s="2">
        <f>Table1[[#This Row],[Salary_after]]-Table1[[#This Row],[Salary_before]]</f>
        <v>-4630.5699999999924</v>
      </c>
      <c r="L1775" s="11">
        <v>-3.73E-2</v>
      </c>
      <c r="M1775" s="11">
        <v>3.32E-2</v>
      </c>
      <c r="N1775">
        <v>25.53</v>
      </c>
      <c r="O1775">
        <v>0.27</v>
      </c>
      <c r="P1775">
        <v>5</v>
      </c>
      <c r="Q1775" t="s">
        <v>37</v>
      </c>
      <c r="R1775">
        <v>51.335000000000001</v>
      </c>
      <c r="S1775">
        <v>3.73</v>
      </c>
      <c r="T1775" s="4">
        <v>38.715000000000003</v>
      </c>
      <c r="U1775" s="4">
        <v>0.18346499999999999</v>
      </c>
      <c r="V1775" t="str">
        <f>IF(Table1[[#This Row],[ai_disruption_intensity]]&gt;70,"High",
IF(Table1[[#This Row],[ai_disruption_intensity]]&gt;40,"Medium","Low"))</f>
        <v>Low</v>
      </c>
      <c r="W1775" t="str">
        <f>IF(Table1[[#This Row],[skill_gap_index]]&gt;70,"Large Gap",
IF(Table1[[#This Row],[skill_gap_index]]&gt;40,"Medium Gap","Small Gap"))</f>
        <v>Small Gap</v>
      </c>
      <c r="X1775" s="3" t="str">
        <f>IF(Table1[[#This Row],[automation_risk_percent]]&gt;0.7,"Highly Automatable",
IF(Table1[[#This Row],[automation_risk_percent]]&gt;0.4,"Moderate Risk","Safe Job"))</f>
        <v>Moderate Risk</v>
      </c>
    </row>
    <row r="1776" spans="1:24" x14ac:dyDescent="0.3">
      <c r="A1776">
        <v>6352</v>
      </c>
      <c r="B1776" t="s">
        <v>43</v>
      </c>
      <c r="C1776" t="s">
        <v>40</v>
      </c>
      <c r="D1776" t="s">
        <v>36</v>
      </c>
      <c r="E1776" s="1">
        <v>2025</v>
      </c>
      <c r="F1776" s="11">
        <v>0.6826000000000001</v>
      </c>
      <c r="G1776">
        <v>71.739999999999995</v>
      </c>
      <c r="H1776">
        <v>57.06</v>
      </c>
      <c r="I1776" s="2">
        <v>109445.79</v>
      </c>
      <c r="J1776" s="2">
        <v>118437.7</v>
      </c>
      <c r="K1776" s="2">
        <f>Table1[[#This Row],[Salary_after]]-Table1[[#This Row],[Salary_before]]</f>
        <v>8991.9100000000035</v>
      </c>
      <c r="L1776" s="11">
        <v>8.2200000000000009E-2</v>
      </c>
      <c r="M1776" s="11">
        <v>0.2427</v>
      </c>
      <c r="N1776">
        <v>85.82</v>
      </c>
      <c r="O1776">
        <v>44.09</v>
      </c>
      <c r="P1776">
        <v>2</v>
      </c>
      <c r="Q1776" t="s">
        <v>37</v>
      </c>
      <c r="R1776">
        <v>62.66</v>
      </c>
      <c r="S1776">
        <v>8.2200000000000006</v>
      </c>
      <c r="T1776" s="4">
        <v>46.887999999999998</v>
      </c>
      <c r="U1776" s="4">
        <v>30.095834</v>
      </c>
      <c r="V1776" t="str">
        <f>IF(Table1[[#This Row],[ai_disruption_intensity]]&gt;70,"High",
IF(Table1[[#This Row],[ai_disruption_intensity]]&gt;40,"Medium","Low"))</f>
        <v>Low</v>
      </c>
      <c r="W1776" t="str">
        <f>IF(Table1[[#This Row],[skill_gap_index]]&gt;70,"Large Gap",
IF(Table1[[#This Row],[skill_gap_index]]&gt;40,"Medium Gap","Small Gap"))</f>
        <v>Medium Gap</v>
      </c>
      <c r="X1776" s="3" t="str">
        <f>IF(Table1[[#This Row],[automation_risk_percent]]&gt;0.7,"Highly Automatable",
IF(Table1[[#This Row],[automation_risk_percent]]&gt;0.4,"Moderate Risk","Safe Job"))</f>
        <v>Moderate Risk</v>
      </c>
    </row>
    <row r="1777" spans="1:24" x14ac:dyDescent="0.3">
      <c r="A1777">
        <v>6356</v>
      </c>
      <c r="B1777" t="s">
        <v>44</v>
      </c>
      <c r="C1777" t="s">
        <v>34</v>
      </c>
      <c r="D1777" t="s">
        <v>35</v>
      </c>
      <c r="E1777" s="1">
        <v>2026</v>
      </c>
      <c r="F1777" s="11">
        <v>0.1653</v>
      </c>
      <c r="G1777">
        <v>13.33</v>
      </c>
      <c r="H1777">
        <v>18.260000000000002</v>
      </c>
      <c r="I1777" s="2">
        <v>53596.63</v>
      </c>
      <c r="J1777" s="2">
        <v>51400.34</v>
      </c>
      <c r="K1777" s="2">
        <f>Table1[[#This Row],[Salary_after]]-Table1[[#This Row],[Salary_before]]</f>
        <v>-2196.2900000000009</v>
      </c>
      <c r="L1777" s="11">
        <v>-4.0999999999999995E-2</v>
      </c>
      <c r="M1777" s="11">
        <v>-1.2699999999999999E-2</v>
      </c>
      <c r="N1777">
        <v>40.409999999999997</v>
      </c>
      <c r="O1777">
        <v>75.44</v>
      </c>
      <c r="P1777">
        <v>1</v>
      </c>
      <c r="Q1777" t="s">
        <v>21</v>
      </c>
      <c r="R1777">
        <v>17.395</v>
      </c>
      <c r="S1777">
        <v>4.0999999999999996</v>
      </c>
      <c r="T1777" s="4">
        <v>13.32</v>
      </c>
      <c r="U1777" s="4">
        <v>12.470231999999999</v>
      </c>
      <c r="V1777" t="str">
        <f>IF(Table1[[#This Row],[ai_disruption_intensity]]&gt;70,"High",
IF(Table1[[#This Row],[ai_disruption_intensity]]&gt;40,"Medium","Low"))</f>
        <v>Low</v>
      </c>
      <c r="W1777" t="str">
        <f>IF(Table1[[#This Row],[skill_gap_index]]&gt;70,"Large Gap",
IF(Table1[[#This Row],[skill_gap_index]]&gt;40,"Medium Gap","Small Gap"))</f>
        <v>Small Gap</v>
      </c>
      <c r="X1777" s="3" t="str">
        <f>IF(Table1[[#This Row],[automation_risk_percent]]&gt;0.7,"Highly Automatable",
IF(Table1[[#This Row],[automation_risk_percent]]&gt;0.4,"Moderate Risk","Safe Job"))</f>
        <v>Safe Job</v>
      </c>
    </row>
    <row r="1778" spans="1:24" x14ac:dyDescent="0.3">
      <c r="A1778">
        <v>6357</v>
      </c>
      <c r="B1778" t="s">
        <v>29</v>
      </c>
      <c r="C1778" t="s">
        <v>34</v>
      </c>
      <c r="D1778" t="s">
        <v>47</v>
      </c>
      <c r="E1778" s="1">
        <v>2026</v>
      </c>
      <c r="F1778" s="11">
        <v>0.74670000000000003</v>
      </c>
      <c r="G1778">
        <v>62.85</v>
      </c>
      <c r="H1778">
        <v>97.71</v>
      </c>
      <c r="I1778" s="2">
        <v>120256.71</v>
      </c>
      <c r="J1778" s="2">
        <v>123026.53</v>
      </c>
      <c r="K1778" s="2">
        <f>Table1[[#This Row],[Salary_after]]-Table1[[#This Row],[Salary_before]]</f>
        <v>2769.8199999999924</v>
      </c>
      <c r="L1778" s="11">
        <v>2.3E-2</v>
      </c>
      <c r="M1778" s="11">
        <v>9.0000000000000011E-3</v>
      </c>
      <c r="N1778">
        <v>31.27</v>
      </c>
      <c r="O1778">
        <v>7.3</v>
      </c>
      <c r="P1778">
        <v>1</v>
      </c>
      <c r="Q1778" t="s">
        <v>37</v>
      </c>
      <c r="R1778">
        <v>86.19</v>
      </c>
      <c r="S1778">
        <v>2.2999999999999998</v>
      </c>
      <c r="T1778" s="4">
        <v>59.870999999999903</v>
      </c>
      <c r="U1778" s="4">
        <v>5.4509100000000004</v>
      </c>
      <c r="V1778" t="str">
        <f>IF(Table1[[#This Row],[ai_disruption_intensity]]&gt;70,"High",
IF(Table1[[#This Row],[ai_disruption_intensity]]&gt;40,"Medium","Low"))</f>
        <v>Low</v>
      </c>
      <c r="W1778" t="str">
        <f>IF(Table1[[#This Row],[skill_gap_index]]&gt;70,"Large Gap",
IF(Table1[[#This Row],[skill_gap_index]]&gt;40,"Medium Gap","Small Gap"))</f>
        <v>Large Gap</v>
      </c>
      <c r="X1778" s="3" t="str">
        <f>IF(Table1[[#This Row],[automation_risk_percent]]&gt;0.7,"Highly Automatable",
IF(Table1[[#This Row],[automation_risk_percent]]&gt;0.4,"Moderate Risk","Safe Job"))</f>
        <v>Highly Automatable</v>
      </c>
    </row>
    <row r="1779" spans="1:24" x14ac:dyDescent="0.3">
      <c r="A1779">
        <v>6362</v>
      </c>
      <c r="B1779" t="s">
        <v>22</v>
      </c>
      <c r="C1779" t="s">
        <v>33</v>
      </c>
      <c r="D1779" t="s">
        <v>24</v>
      </c>
      <c r="E1779" s="1">
        <v>2025</v>
      </c>
      <c r="F1779" s="11">
        <v>0.27410000000000001</v>
      </c>
      <c r="G1779">
        <v>29.71</v>
      </c>
      <c r="H1779">
        <v>34.049999999999997</v>
      </c>
      <c r="I1779" s="2">
        <v>102474.21</v>
      </c>
      <c r="J1779" s="2">
        <v>96748.08</v>
      </c>
      <c r="K1779" s="2">
        <f>Table1[[#This Row],[Salary_after]]-Table1[[#This Row],[Salary_before]]</f>
        <v>-5726.1300000000047</v>
      </c>
      <c r="L1779" s="11">
        <v>-5.5899999999999998E-2</v>
      </c>
      <c r="M1779" s="11">
        <v>0.22059999999999999</v>
      </c>
      <c r="N1779">
        <v>27.41</v>
      </c>
      <c r="O1779">
        <v>86.08</v>
      </c>
      <c r="P1779">
        <v>1</v>
      </c>
      <c r="Q1779" t="s">
        <v>21</v>
      </c>
      <c r="R1779">
        <v>30.729999999999901</v>
      </c>
      <c r="S1779">
        <v>5.59</v>
      </c>
      <c r="T1779" s="4">
        <v>22.855999999999899</v>
      </c>
      <c r="U1779" s="4">
        <v>23.594528</v>
      </c>
      <c r="V1779" t="str">
        <f>IF(Table1[[#This Row],[ai_disruption_intensity]]&gt;70,"High",
IF(Table1[[#This Row],[ai_disruption_intensity]]&gt;40,"Medium","Low"))</f>
        <v>Low</v>
      </c>
      <c r="W1779" t="str">
        <f>IF(Table1[[#This Row],[skill_gap_index]]&gt;70,"Large Gap",
IF(Table1[[#This Row],[skill_gap_index]]&gt;40,"Medium Gap","Small Gap"))</f>
        <v>Small Gap</v>
      </c>
      <c r="X1779" s="3" t="str">
        <f>IF(Table1[[#This Row],[automation_risk_percent]]&gt;0.7,"Highly Automatable",
IF(Table1[[#This Row],[automation_risk_percent]]&gt;0.4,"Moderate Risk","Safe Job"))</f>
        <v>Safe Job</v>
      </c>
    </row>
    <row r="1780" spans="1:24" x14ac:dyDescent="0.3">
      <c r="A1780">
        <v>6363</v>
      </c>
      <c r="B1780" t="s">
        <v>46</v>
      </c>
      <c r="C1780" t="s">
        <v>40</v>
      </c>
      <c r="D1780" t="s">
        <v>24</v>
      </c>
      <c r="E1780" s="1">
        <v>2026</v>
      </c>
      <c r="F1780" s="11">
        <v>6.5500000000000003E-2</v>
      </c>
      <c r="G1780">
        <v>7.41</v>
      </c>
      <c r="H1780">
        <v>83.67</v>
      </c>
      <c r="I1780" s="2">
        <v>98519.91</v>
      </c>
      <c r="J1780" s="2">
        <v>84282.21</v>
      </c>
      <c r="K1780" s="2">
        <f>Table1[[#This Row],[Salary_after]]-Table1[[#This Row],[Salary_before]]</f>
        <v>-14237.699999999997</v>
      </c>
      <c r="L1780" s="11">
        <v>-0.14449999999999999</v>
      </c>
      <c r="M1780" s="11">
        <v>0.18179999999999999</v>
      </c>
      <c r="N1780">
        <v>85.74</v>
      </c>
      <c r="O1780">
        <v>26.37</v>
      </c>
      <c r="P1780">
        <v>3</v>
      </c>
      <c r="Q1780" t="s">
        <v>21</v>
      </c>
      <c r="R1780">
        <v>45.11</v>
      </c>
      <c r="S1780">
        <v>14.45</v>
      </c>
      <c r="T1780" s="4">
        <v>32.055999999999997</v>
      </c>
      <c r="U1780" s="4">
        <v>1.7272350000000001</v>
      </c>
      <c r="V1780" t="str">
        <f>IF(Table1[[#This Row],[ai_disruption_intensity]]&gt;70,"High",
IF(Table1[[#This Row],[ai_disruption_intensity]]&gt;40,"Medium","Low"))</f>
        <v>Low</v>
      </c>
      <c r="W1780" t="str">
        <f>IF(Table1[[#This Row],[skill_gap_index]]&gt;70,"Large Gap",
IF(Table1[[#This Row],[skill_gap_index]]&gt;40,"Medium Gap","Small Gap"))</f>
        <v>Large Gap</v>
      </c>
      <c r="X1780" s="3" t="str">
        <f>IF(Table1[[#This Row],[automation_risk_percent]]&gt;0.7,"Highly Automatable",
IF(Table1[[#This Row],[automation_risk_percent]]&gt;0.4,"Moderate Risk","Safe Job"))</f>
        <v>Safe Job</v>
      </c>
    </row>
    <row r="1781" spans="1:24" x14ac:dyDescent="0.3">
      <c r="A1781">
        <v>6364</v>
      </c>
      <c r="B1781" t="s">
        <v>43</v>
      </c>
      <c r="C1781" t="s">
        <v>23</v>
      </c>
      <c r="D1781" t="s">
        <v>28</v>
      </c>
      <c r="E1781" s="1">
        <v>2026</v>
      </c>
      <c r="F1781" s="11">
        <v>0.49180000000000001</v>
      </c>
      <c r="G1781">
        <v>39.380000000000003</v>
      </c>
      <c r="H1781">
        <v>93.98</v>
      </c>
      <c r="I1781" s="2">
        <v>143795.57999999999</v>
      </c>
      <c r="J1781" s="2">
        <v>134963.32</v>
      </c>
      <c r="K1781" s="2">
        <f>Table1[[#This Row],[Salary_after]]-Table1[[#This Row],[Salary_before]]</f>
        <v>-8832.2599999999802</v>
      </c>
      <c r="L1781" s="11">
        <v>-6.1399999999999996E-2</v>
      </c>
      <c r="M1781" s="11">
        <v>0.21840000000000001</v>
      </c>
      <c r="N1781">
        <v>26.07</v>
      </c>
      <c r="O1781">
        <v>49.25</v>
      </c>
      <c r="P1781">
        <v>2</v>
      </c>
      <c r="Q1781" t="s">
        <v>25</v>
      </c>
      <c r="R1781">
        <v>71.58</v>
      </c>
      <c r="S1781">
        <v>6.14</v>
      </c>
      <c r="T1781" s="4">
        <v>49.707999999999998</v>
      </c>
      <c r="U1781" s="4">
        <v>24.221149999999898</v>
      </c>
      <c r="V1781" t="str">
        <f>IF(Table1[[#This Row],[ai_disruption_intensity]]&gt;70,"High",
IF(Table1[[#This Row],[ai_disruption_intensity]]&gt;40,"Medium","Low"))</f>
        <v>Low</v>
      </c>
      <c r="W1781" t="str">
        <f>IF(Table1[[#This Row],[skill_gap_index]]&gt;70,"Large Gap",
IF(Table1[[#This Row],[skill_gap_index]]&gt;40,"Medium Gap","Small Gap"))</f>
        <v>Large Gap</v>
      </c>
      <c r="X1781" s="3" t="str">
        <f>IF(Table1[[#This Row],[automation_risk_percent]]&gt;0.7,"Highly Automatable",
IF(Table1[[#This Row],[automation_risk_percent]]&gt;0.4,"Moderate Risk","Safe Job"))</f>
        <v>Moderate Risk</v>
      </c>
    </row>
    <row r="1782" spans="1:24" x14ac:dyDescent="0.3">
      <c r="A1782">
        <v>6366</v>
      </c>
      <c r="B1782" t="s">
        <v>44</v>
      </c>
      <c r="C1782" t="s">
        <v>38</v>
      </c>
      <c r="D1782" t="s">
        <v>24</v>
      </c>
      <c r="E1782" s="1">
        <v>2025</v>
      </c>
      <c r="F1782" s="11">
        <v>0.61240000000000006</v>
      </c>
      <c r="G1782">
        <v>70.489999999999995</v>
      </c>
      <c r="H1782">
        <v>48.44</v>
      </c>
      <c r="I1782" s="2">
        <v>84569.74</v>
      </c>
      <c r="J1782" s="2">
        <v>86327.48</v>
      </c>
      <c r="K1782" s="2">
        <f>Table1[[#This Row],[Salary_after]]-Table1[[#This Row],[Salary_before]]</f>
        <v>1757.7399999999907</v>
      </c>
      <c r="L1782" s="11">
        <v>2.0799999999999999E-2</v>
      </c>
      <c r="M1782" s="11">
        <v>6.6500000000000004E-2</v>
      </c>
      <c r="N1782">
        <v>97.7</v>
      </c>
      <c r="O1782">
        <v>34.57</v>
      </c>
      <c r="P1782">
        <v>4</v>
      </c>
      <c r="Q1782" t="s">
        <v>37</v>
      </c>
      <c r="R1782">
        <v>54.84</v>
      </c>
      <c r="S1782">
        <v>2.08</v>
      </c>
      <c r="T1782" s="4">
        <v>39.652000000000001</v>
      </c>
      <c r="U1782" s="4">
        <v>21.170667999999999</v>
      </c>
      <c r="V1782" t="str">
        <f>IF(Table1[[#This Row],[ai_disruption_intensity]]&gt;70,"High",
IF(Table1[[#This Row],[ai_disruption_intensity]]&gt;40,"Medium","Low"))</f>
        <v>Low</v>
      </c>
      <c r="W1782" t="str">
        <f>IF(Table1[[#This Row],[skill_gap_index]]&gt;70,"Large Gap",
IF(Table1[[#This Row],[skill_gap_index]]&gt;40,"Medium Gap","Small Gap"))</f>
        <v>Medium Gap</v>
      </c>
      <c r="X1782" s="3" t="str">
        <f>IF(Table1[[#This Row],[automation_risk_percent]]&gt;0.7,"Highly Automatable",
IF(Table1[[#This Row],[automation_risk_percent]]&gt;0.4,"Moderate Risk","Safe Job"))</f>
        <v>Moderate Risk</v>
      </c>
    </row>
    <row r="1783" spans="1:24" x14ac:dyDescent="0.3">
      <c r="A1783">
        <v>6372</v>
      </c>
      <c r="B1783" t="s">
        <v>45</v>
      </c>
      <c r="C1783" t="s">
        <v>27</v>
      </c>
      <c r="D1783" t="s">
        <v>47</v>
      </c>
      <c r="E1783" s="1">
        <v>2026</v>
      </c>
      <c r="F1783" s="11">
        <v>0.50850000000000006</v>
      </c>
      <c r="G1783">
        <v>58.9</v>
      </c>
      <c r="H1783">
        <v>89.54</v>
      </c>
      <c r="I1783" s="2">
        <v>74803.149999999994</v>
      </c>
      <c r="J1783" s="2">
        <v>89111.48</v>
      </c>
      <c r="K1783" s="2">
        <f>Table1[[#This Row],[Salary_after]]-Table1[[#This Row],[Salary_before]]</f>
        <v>14308.330000000002</v>
      </c>
      <c r="L1783" s="11">
        <v>0.1913</v>
      </c>
      <c r="M1783" s="11">
        <v>-5.7999999999999996E-3</v>
      </c>
      <c r="N1783">
        <v>20</v>
      </c>
      <c r="O1783">
        <v>46.56</v>
      </c>
      <c r="P1783">
        <v>5</v>
      </c>
      <c r="Q1783" t="s">
        <v>25</v>
      </c>
      <c r="R1783">
        <v>70.194999999999993</v>
      </c>
      <c r="S1783">
        <v>19.13</v>
      </c>
      <c r="T1783" s="4">
        <v>52.941000000000003</v>
      </c>
      <c r="U1783" s="4">
        <v>23.67576</v>
      </c>
      <c r="V1783" t="str">
        <f>IF(Table1[[#This Row],[ai_disruption_intensity]]&gt;70,"High",
IF(Table1[[#This Row],[ai_disruption_intensity]]&gt;40,"Medium","Low"))</f>
        <v>Low</v>
      </c>
      <c r="W1783" t="str">
        <f>IF(Table1[[#This Row],[skill_gap_index]]&gt;70,"Large Gap",
IF(Table1[[#This Row],[skill_gap_index]]&gt;40,"Medium Gap","Small Gap"))</f>
        <v>Large Gap</v>
      </c>
      <c r="X1783" s="3" t="str">
        <f>IF(Table1[[#This Row],[automation_risk_percent]]&gt;0.7,"Highly Automatable",
IF(Table1[[#This Row],[automation_risk_percent]]&gt;0.4,"Moderate Risk","Safe Job"))</f>
        <v>Moderate Risk</v>
      </c>
    </row>
    <row r="1784" spans="1:24" x14ac:dyDescent="0.3">
      <c r="A1784">
        <v>6374</v>
      </c>
      <c r="B1784" t="s">
        <v>22</v>
      </c>
      <c r="C1784" t="s">
        <v>38</v>
      </c>
      <c r="D1784" t="s">
        <v>47</v>
      </c>
      <c r="E1784" s="1">
        <v>2025</v>
      </c>
      <c r="F1784" s="11">
        <v>0.252</v>
      </c>
      <c r="G1784">
        <v>23.09</v>
      </c>
      <c r="H1784">
        <v>16.52</v>
      </c>
      <c r="I1784" s="2">
        <v>140537.28</v>
      </c>
      <c r="J1784" s="2">
        <v>146676.19</v>
      </c>
      <c r="K1784" s="2">
        <f>Table1[[#This Row],[Salary_after]]-Table1[[#This Row],[Salary_before]]</f>
        <v>6138.9100000000035</v>
      </c>
      <c r="L1784" s="11">
        <v>4.3700000000000003E-2</v>
      </c>
      <c r="M1784" s="11">
        <v>5.2000000000000005E-2</v>
      </c>
      <c r="N1784">
        <v>50.44</v>
      </c>
      <c r="O1784">
        <v>55.27</v>
      </c>
      <c r="P1784">
        <v>2</v>
      </c>
      <c r="Q1784" t="s">
        <v>21</v>
      </c>
      <c r="R1784">
        <v>20.86</v>
      </c>
      <c r="S1784">
        <v>4.37</v>
      </c>
      <c r="T1784" s="4">
        <v>16.347000000000001</v>
      </c>
      <c r="U1784" s="4">
        <v>13.928039999999999</v>
      </c>
      <c r="V1784" t="str">
        <f>IF(Table1[[#This Row],[ai_disruption_intensity]]&gt;70,"High",
IF(Table1[[#This Row],[ai_disruption_intensity]]&gt;40,"Medium","Low"))</f>
        <v>Low</v>
      </c>
      <c r="W1784" t="str">
        <f>IF(Table1[[#This Row],[skill_gap_index]]&gt;70,"Large Gap",
IF(Table1[[#This Row],[skill_gap_index]]&gt;40,"Medium Gap","Small Gap"))</f>
        <v>Small Gap</v>
      </c>
      <c r="X1784" s="3" t="str">
        <f>IF(Table1[[#This Row],[automation_risk_percent]]&gt;0.7,"Highly Automatable",
IF(Table1[[#This Row],[automation_risk_percent]]&gt;0.4,"Moderate Risk","Safe Job"))</f>
        <v>Safe Job</v>
      </c>
    </row>
    <row r="1785" spans="1:24" x14ac:dyDescent="0.3">
      <c r="A1785">
        <v>6390</v>
      </c>
      <c r="B1785" t="s">
        <v>43</v>
      </c>
      <c r="C1785" t="s">
        <v>40</v>
      </c>
      <c r="D1785" t="s">
        <v>31</v>
      </c>
      <c r="E1785" s="1">
        <v>2025</v>
      </c>
      <c r="F1785" s="11">
        <v>0.36520000000000002</v>
      </c>
      <c r="G1785">
        <v>42.12</v>
      </c>
      <c r="H1785">
        <v>3.35</v>
      </c>
      <c r="I1785" s="2">
        <v>149142.65</v>
      </c>
      <c r="J1785" s="2">
        <v>149952.07</v>
      </c>
      <c r="K1785" s="2">
        <f>Table1[[#This Row],[Salary_after]]-Table1[[#This Row],[Salary_before]]</f>
        <v>809.42000000001281</v>
      </c>
      <c r="L1785" s="11">
        <v>5.4000000000000003E-3</v>
      </c>
      <c r="M1785" s="11">
        <v>0.10859999999999999</v>
      </c>
      <c r="N1785">
        <v>74.69</v>
      </c>
      <c r="O1785">
        <v>93.53</v>
      </c>
      <c r="P1785">
        <v>4</v>
      </c>
      <c r="Q1785" t="s">
        <v>25</v>
      </c>
      <c r="R1785">
        <v>19.934999999999999</v>
      </c>
      <c r="S1785">
        <v>0.54</v>
      </c>
      <c r="T1785" s="4">
        <v>15.775</v>
      </c>
      <c r="U1785" s="4">
        <v>34.157156000000001</v>
      </c>
      <c r="V1785" t="str">
        <f>IF(Table1[[#This Row],[ai_disruption_intensity]]&gt;70,"High",
IF(Table1[[#This Row],[ai_disruption_intensity]]&gt;40,"Medium","Low"))</f>
        <v>Low</v>
      </c>
      <c r="W1785" t="str">
        <f>IF(Table1[[#This Row],[skill_gap_index]]&gt;70,"Large Gap",
IF(Table1[[#This Row],[skill_gap_index]]&gt;40,"Medium Gap","Small Gap"))</f>
        <v>Small Gap</v>
      </c>
      <c r="X1785" s="3" t="str">
        <f>IF(Table1[[#This Row],[automation_risk_percent]]&gt;0.7,"Highly Automatable",
IF(Table1[[#This Row],[automation_risk_percent]]&gt;0.4,"Moderate Risk","Safe Job"))</f>
        <v>Safe Job</v>
      </c>
    </row>
    <row r="1786" spans="1:24" x14ac:dyDescent="0.3">
      <c r="A1786">
        <v>6394</v>
      </c>
      <c r="B1786" t="s">
        <v>44</v>
      </c>
      <c r="C1786" t="s">
        <v>38</v>
      </c>
      <c r="D1786" t="s">
        <v>35</v>
      </c>
      <c r="E1786" s="1">
        <v>2025</v>
      </c>
      <c r="F1786" s="11">
        <v>0.3206</v>
      </c>
      <c r="G1786">
        <v>37.590000000000003</v>
      </c>
      <c r="H1786">
        <v>86.2</v>
      </c>
      <c r="I1786" s="2">
        <v>110477.14</v>
      </c>
      <c r="J1786" s="2">
        <v>112391.8</v>
      </c>
      <c r="K1786" s="2">
        <f>Table1[[#This Row],[Salary_after]]-Table1[[#This Row],[Salary_before]]</f>
        <v>1914.6600000000035</v>
      </c>
      <c r="L1786" s="11">
        <v>1.7299999999999999E-2</v>
      </c>
      <c r="M1786" s="11">
        <v>-1.9099999999999999E-2</v>
      </c>
      <c r="N1786">
        <v>11.1</v>
      </c>
      <c r="O1786">
        <v>66.11</v>
      </c>
      <c r="P1786">
        <v>3</v>
      </c>
      <c r="Q1786" t="s">
        <v>25</v>
      </c>
      <c r="R1786">
        <v>59.13</v>
      </c>
      <c r="S1786">
        <v>1.73</v>
      </c>
      <c r="T1786" s="4">
        <v>39.202999999999903</v>
      </c>
      <c r="U1786" s="4">
        <v>21.194866000000001</v>
      </c>
      <c r="V1786" t="str">
        <f>IF(Table1[[#This Row],[ai_disruption_intensity]]&gt;70,"High",
IF(Table1[[#This Row],[ai_disruption_intensity]]&gt;40,"Medium","Low"))</f>
        <v>Low</v>
      </c>
      <c r="W1786" t="str">
        <f>IF(Table1[[#This Row],[skill_gap_index]]&gt;70,"Large Gap",
IF(Table1[[#This Row],[skill_gap_index]]&gt;40,"Medium Gap","Small Gap"))</f>
        <v>Large Gap</v>
      </c>
      <c r="X1786" s="3" t="str">
        <f>IF(Table1[[#This Row],[automation_risk_percent]]&gt;0.7,"Highly Automatable",
IF(Table1[[#This Row],[automation_risk_percent]]&gt;0.4,"Moderate Risk","Safe Job"))</f>
        <v>Safe Job</v>
      </c>
    </row>
    <row r="1787" spans="1:24" x14ac:dyDescent="0.3">
      <c r="A1787">
        <v>6397</v>
      </c>
      <c r="B1787" t="s">
        <v>29</v>
      </c>
      <c r="C1787" t="s">
        <v>33</v>
      </c>
      <c r="D1787" t="s">
        <v>36</v>
      </c>
      <c r="E1787" s="1">
        <v>2026</v>
      </c>
      <c r="F1787" s="11">
        <v>0.94400000000000006</v>
      </c>
      <c r="G1787">
        <v>91.87</v>
      </c>
      <c r="H1787">
        <v>5.94</v>
      </c>
      <c r="I1787" s="2">
        <v>137880.64000000001</v>
      </c>
      <c r="J1787" s="2">
        <v>133053.85999999999</v>
      </c>
      <c r="K1787" s="2">
        <f>Table1[[#This Row],[Salary_after]]-Table1[[#This Row],[Salary_before]]</f>
        <v>-4826.7800000000279</v>
      </c>
      <c r="L1787" s="11">
        <v>-3.5000000000000003E-2</v>
      </c>
      <c r="M1787" s="11">
        <v>-6.8699999999999997E-2</v>
      </c>
      <c r="N1787">
        <v>35.020000000000003</v>
      </c>
      <c r="O1787">
        <v>96.39</v>
      </c>
      <c r="P1787">
        <v>3</v>
      </c>
      <c r="Q1787" t="s">
        <v>37</v>
      </c>
      <c r="R1787">
        <v>50.17</v>
      </c>
      <c r="S1787">
        <v>3.5</v>
      </c>
      <c r="T1787" s="4">
        <v>40.591999999999999</v>
      </c>
      <c r="U1787" s="4">
        <v>90.992159999999998</v>
      </c>
      <c r="V1787" t="str">
        <f>IF(Table1[[#This Row],[ai_disruption_intensity]]&gt;70,"High",
IF(Table1[[#This Row],[ai_disruption_intensity]]&gt;40,"Medium","Low"))</f>
        <v>High</v>
      </c>
      <c r="W1787" t="str">
        <f>IF(Table1[[#This Row],[skill_gap_index]]&gt;70,"Large Gap",
IF(Table1[[#This Row],[skill_gap_index]]&gt;40,"Medium Gap","Small Gap"))</f>
        <v>Small Gap</v>
      </c>
      <c r="X1787" s="3" t="str">
        <f>IF(Table1[[#This Row],[automation_risk_percent]]&gt;0.7,"Highly Automatable",
IF(Table1[[#This Row],[automation_risk_percent]]&gt;0.4,"Moderate Risk","Safe Job"))</f>
        <v>Highly Automatable</v>
      </c>
    </row>
    <row r="1788" spans="1:24" x14ac:dyDescent="0.3">
      <c r="A1788">
        <v>6398</v>
      </c>
      <c r="B1788" t="s">
        <v>18</v>
      </c>
      <c r="C1788" t="s">
        <v>33</v>
      </c>
      <c r="D1788" t="s">
        <v>42</v>
      </c>
      <c r="E1788" s="1">
        <v>2025</v>
      </c>
      <c r="F1788" s="11">
        <v>0.36469999999999997</v>
      </c>
      <c r="G1788">
        <v>39.51</v>
      </c>
      <c r="H1788">
        <v>59.84</v>
      </c>
      <c r="I1788" s="2">
        <v>35157.019999999997</v>
      </c>
      <c r="J1788" s="2">
        <v>29980.22</v>
      </c>
      <c r="K1788" s="2">
        <f>Table1[[#This Row],[Salary_after]]-Table1[[#This Row],[Salary_before]]</f>
        <v>-5176.7999999999956</v>
      </c>
      <c r="L1788" s="11">
        <v>-0.1472</v>
      </c>
      <c r="M1788" s="11">
        <v>-0.10490000000000001</v>
      </c>
      <c r="N1788">
        <v>99.08</v>
      </c>
      <c r="O1788">
        <v>81.19</v>
      </c>
      <c r="P1788">
        <v>1</v>
      </c>
      <c r="Q1788" t="s">
        <v>25</v>
      </c>
      <c r="R1788">
        <v>48.155000000000001</v>
      </c>
      <c r="S1788">
        <v>14.72</v>
      </c>
      <c r="T1788" s="4">
        <v>36.956000000000003</v>
      </c>
      <c r="U1788" s="4">
        <v>29.609992999999999</v>
      </c>
      <c r="V1788" t="str">
        <f>IF(Table1[[#This Row],[ai_disruption_intensity]]&gt;70,"High",
IF(Table1[[#This Row],[ai_disruption_intensity]]&gt;40,"Medium","Low"))</f>
        <v>Low</v>
      </c>
      <c r="W1788" t="str">
        <f>IF(Table1[[#This Row],[skill_gap_index]]&gt;70,"Large Gap",
IF(Table1[[#This Row],[skill_gap_index]]&gt;40,"Medium Gap","Small Gap"))</f>
        <v>Medium Gap</v>
      </c>
      <c r="X1788" s="3" t="str">
        <f>IF(Table1[[#This Row],[automation_risk_percent]]&gt;0.7,"Highly Automatable",
IF(Table1[[#This Row],[automation_risk_percent]]&gt;0.4,"Moderate Risk","Safe Job"))</f>
        <v>Safe Job</v>
      </c>
    </row>
    <row r="1789" spans="1:24" x14ac:dyDescent="0.3">
      <c r="A1789">
        <v>6405</v>
      </c>
      <c r="B1789" t="s">
        <v>18</v>
      </c>
      <c r="C1789" t="s">
        <v>34</v>
      </c>
      <c r="D1789" t="s">
        <v>36</v>
      </c>
      <c r="E1789" s="1">
        <v>2025</v>
      </c>
      <c r="F1789" s="11">
        <v>0.48590000000000005</v>
      </c>
      <c r="G1789">
        <v>42.09</v>
      </c>
      <c r="H1789">
        <v>95.61</v>
      </c>
      <c r="I1789" s="2">
        <v>115041.28</v>
      </c>
      <c r="J1789" s="2">
        <v>97944.960000000006</v>
      </c>
      <c r="K1789" s="2">
        <f>Table1[[#This Row],[Salary_after]]-Table1[[#This Row],[Salary_before]]</f>
        <v>-17096.319999999992</v>
      </c>
      <c r="L1789" s="11">
        <v>-0.14859999999999998</v>
      </c>
      <c r="M1789" s="11">
        <v>-5.2600000000000001E-2</v>
      </c>
      <c r="N1789">
        <v>31.48</v>
      </c>
      <c r="O1789">
        <v>78.650000000000006</v>
      </c>
      <c r="P1789">
        <v>2</v>
      </c>
      <c r="Q1789" t="s">
        <v>25</v>
      </c>
      <c r="R1789">
        <v>72.099999999999994</v>
      </c>
      <c r="S1789">
        <v>14.86</v>
      </c>
      <c r="T1789" s="4">
        <v>52.576999999999998</v>
      </c>
      <c r="U1789" s="4">
        <v>38.216034999999998</v>
      </c>
      <c r="V1789" t="str">
        <f>IF(Table1[[#This Row],[ai_disruption_intensity]]&gt;70,"High",
IF(Table1[[#This Row],[ai_disruption_intensity]]&gt;40,"Medium","Low"))</f>
        <v>Low</v>
      </c>
      <c r="W1789" t="str">
        <f>IF(Table1[[#This Row],[skill_gap_index]]&gt;70,"Large Gap",
IF(Table1[[#This Row],[skill_gap_index]]&gt;40,"Medium Gap","Small Gap"))</f>
        <v>Large Gap</v>
      </c>
      <c r="X1789" s="3" t="str">
        <f>IF(Table1[[#This Row],[automation_risk_percent]]&gt;0.7,"Highly Automatable",
IF(Table1[[#This Row],[automation_risk_percent]]&gt;0.4,"Moderate Risk","Safe Job"))</f>
        <v>Moderate Risk</v>
      </c>
    </row>
    <row r="1790" spans="1:24" x14ac:dyDescent="0.3">
      <c r="A1790">
        <v>6406</v>
      </c>
      <c r="B1790" t="s">
        <v>39</v>
      </c>
      <c r="C1790" t="s">
        <v>27</v>
      </c>
      <c r="D1790" t="s">
        <v>36</v>
      </c>
      <c r="E1790" s="1">
        <v>2026</v>
      </c>
      <c r="F1790" s="11">
        <v>0.4042</v>
      </c>
      <c r="G1790">
        <v>37.68</v>
      </c>
      <c r="H1790">
        <v>90.52</v>
      </c>
      <c r="I1790" s="2">
        <v>48026.15</v>
      </c>
      <c r="J1790" s="2">
        <v>44041.08</v>
      </c>
      <c r="K1790" s="2">
        <f>Table1[[#This Row],[Salary_after]]-Table1[[#This Row],[Salary_before]]</f>
        <v>-3985.0699999999997</v>
      </c>
      <c r="L1790" s="11">
        <v>-8.3000000000000004E-2</v>
      </c>
      <c r="M1790" s="11">
        <v>-7.6200000000000004E-2</v>
      </c>
      <c r="N1790">
        <v>33.39</v>
      </c>
      <c r="O1790">
        <v>58.54</v>
      </c>
      <c r="P1790">
        <v>1</v>
      </c>
      <c r="Q1790" t="s">
        <v>25</v>
      </c>
      <c r="R1790">
        <v>65.47</v>
      </c>
      <c r="S1790">
        <v>8.3000000000000007</v>
      </c>
      <c r="T1790" s="4">
        <v>45.814</v>
      </c>
      <c r="U1790" s="4">
        <v>23.661867999999998</v>
      </c>
      <c r="V1790" t="str">
        <f>IF(Table1[[#This Row],[ai_disruption_intensity]]&gt;70,"High",
IF(Table1[[#This Row],[ai_disruption_intensity]]&gt;40,"Medium","Low"))</f>
        <v>Low</v>
      </c>
      <c r="W1790" t="str">
        <f>IF(Table1[[#This Row],[skill_gap_index]]&gt;70,"Large Gap",
IF(Table1[[#This Row],[skill_gap_index]]&gt;40,"Medium Gap","Small Gap"))</f>
        <v>Large Gap</v>
      </c>
      <c r="X1790" s="3" t="str">
        <f>IF(Table1[[#This Row],[automation_risk_percent]]&gt;0.7,"Highly Automatable",
IF(Table1[[#This Row],[automation_risk_percent]]&gt;0.4,"Moderate Risk","Safe Job"))</f>
        <v>Moderate Risk</v>
      </c>
    </row>
    <row r="1791" spans="1:24" x14ac:dyDescent="0.3">
      <c r="A1791">
        <v>6408</v>
      </c>
      <c r="B1791" t="s">
        <v>46</v>
      </c>
      <c r="C1791" t="s">
        <v>40</v>
      </c>
      <c r="D1791" t="s">
        <v>47</v>
      </c>
      <c r="E1791" s="1">
        <v>2026</v>
      </c>
      <c r="F1791" s="11">
        <v>0.46899999999999997</v>
      </c>
      <c r="G1791">
        <v>38.61</v>
      </c>
      <c r="H1791">
        <v>65.819999999999993</v>
      </c>
      <c r="I1791" s="2">
        <v>125366.3</v>
      </c>
      <c r="J1791" s="2">
        <v>109366.06</v>
      </c>
      <c r="K1791" s="2">
        <f>Table1[[#This Row],[Salary_after]]-Table1[[#This Row],[Salary_before]]</f>
        <v>-16000.240000000005</v>
      </c>
      <c r="L1791" s="11">
        <v>-0.12759999999999999</v>
      </c>
      <c r="M1791" s="11">
        <v>9.4800000000000009E-2</v>
      </c>
      <c r="N1791">
        <v>39.74</v>
      </c>
      <c r="O1791">
        <v>80.52</v>
      </c>
      <c r="P1791">
        <v>3</v>
      </c>
      <c r="Q1791" t="s">
        <v>25</v>
      </c>
      <c r="R1791">
        <v>56.36</v>
      </c>
      <c r="S1791">
        <v>12.76</v>
      </c>
      <c r="T1791" s="4">
        <v>42.334000000000003</v>
      </c>
      <c r="U1791" s="4">
        <v>37.76388</v>
      </c>
      <c r="V1791" t="str">
        <f>IF(Table1[[#This Row],[ai_disruption_intensity]]&gt;70,"High",
IF(Table1[[#This Row],[ai_disruption_intensity]]&gt;40,"Medium","Low"))</f>
        <v>Low</v>
      </c>
      <c r="W1791" t="str">
        <f>IF(Table1[[#This Row],[skill_gap_index]]&gt;70,"Large Gap",
IF(Table1[[#This Row],[skill_gap_index]]&gt;40,"Medium Gap","Small Gap"))</f>
        <v>Medium Gap</v>
      </c>
      <c r="X1791" s="3" t="str">
        <f>IF(Table1[[#This Row],[automation_risk_percent]]&gt;0.7,"Highly Automatable",
IF(Table1[[#This Row],[automation_risk_percent]]&gt;0.4,"Moderate Risk","Safe Job"))</f>
        <v>Moderate Risk</v>
      </c>
    </row>
    <row r="1792" spans="1:24" x14ac:dyDescent="0.3">
      <c r="A1792">
        <v>6409</v>
      </c>
      <c r="B1792" t="s">
        <v>45</v>
      </c>
      <c r="C1792" t="s">
        <v>33</v>
      </c>
      <c r="D1792" t="s">
        <v>32</v>
      </c>
      <c r="E1792" s="1">
        <v>2026</v>
      </c>
      <c r="F1792" s="11">
        <v>0.40240000000000004</v>
      </c>
      <c r="G1792">
        <v>36.299999999999997</v>
      </c>
      <c r="H1792">
        <v>93.27</v>
      </c>
      <c r="I1792" s="2">
        <v>106482.58</v>
      </c>
      <c r="J1792" s="2">
        <v>100937.54</v>
      </c>
      <c r="K1792" s="2">
        <f>Table1[[#This Row],[Salary_after]]-Table1[[#This Row],[Salary_before]]</f>
        <v>-5545.0400000000081</v>
      </c>
      <c r="L1792" s="11">
        <v>-5.21E-2</v>
      </c>
      <c r="M1792" s="11">
        <v>-0.1535</v>
      </c>
      <c r="N1792">
        <v>62.87</v>
      </c>
      <c r="O1792">
        <v>19</v>
      </c>
      <c r="P1792">
        <v>5</v>
      </c>
      <c r="Q1792" t="s">
        <v>25</v>
      </c>
      <c r="R1792">
        <v>66.754999999999995</v>
      </c>
      <c r="S1792">
        <v>5.21</v>
      </c>
      <c r="T1792" s="4">
        <v>45.64</v>
      </c>
      <c r="U1792" s="4">
        <v>7.6456</v>
      </c>
      <c r="V1792" t="str">
        <f>IF(Table1[[#This Row],[ai_disruption_intensity]]&gt;70,"High",
IF(Table1[[#This Row],[ai_disruption_intensity]]&gt;40,"Medium","Low"))</f>
        <v>Low</v>
      </c>
      <c r="W1792" t="str">
        <f>IF(Table1[[#This Row],[skill_gap_index]]&gt;70,"Large Gap",
IF(Table1[[#This Row],[skill_gap_index]]&gt;40,"Medium Gap","Small Gap"))</f>
        <v>Large Gap</v>
      </c>
      <c r="X1792" s="3" t="str">
        <f>IF(Table1[[#This Row],[automation_risk_percent]]&gt;0.7,"Highly Automatable",
IF(Table1[[#This Row],[automation_risk_percent]]&gt;0.4,"Moderate Risk","Safe Job"))</f>
        <v>Moderate Risk</v>
      </c>
    </row>
    <row r="1793" spans="1:24" x14ac:dyDescent="0.3">
      <c r="A1793">
        <v>6411</v>
      </c>
      <c r="B1793" t="s">
        <v>45</v>
      </c>
      <c r="C1793" t="s">
        <v>19</v>
      </c>
      <c r="D1793" t="s">
        <v>24</v>
      </c>
      <c r="E1793" s="1">
        <v>2025</v>
      </c>
      <c r="F1793" s="11">
        <v>0.25700000000000001</v>
      </c>
      <c r="G1793">
        <v>29.08</v>
      </c>
      <c r="H1793">
        <v>55.34</v>
      </c>
      <c r="I1793" s="2">
        <v>97230.81</v>
      </c>
      <c r="J1793" s="2">
        <v>74834.95</v>
      </c>
      <c r="K1793" s="2">
        <f>Table1[[#This Row],[Salary_after]]-Table1[[#This Row],[Salary_before]]</f>
        <v>-22395.86</v>
      </c>
      <c r="L1793" s="11">
        <v>-0.2303</v>
      </c>
      <c r="M1793" s="11">
        <v>0.1091</v>
      </c>
      <c r="N1793">
        <v>96.97</v>
      </c>
      <c r="O1793">
        <v>79.27</v>
      </c>
      <c r="P1793">
        <v>5</v>
      </c>
      <c r="Q1793" t="s">
        <v>21</v>
      </c>
      <c r="R1793">
        <v>40.520000000000003</v>
      </c>
      <c r="S1793">
        <v>23.03</v>
      </c>
      <c r="T1793" s="4">
        <v>33.790999999999997</v>
      </c>
      <c r="U1793" s="4">
        <v>20.372389999999999</v>
      </c>
      <c r="V1793" t="str">
        <f>IF(Table1[[#This Row],[ai_disruption_intensity]]&gt;70,"High",
IF(Table1[[#This Row],[ai_disruption_intensity]]&gt;40,"Medium","Low"))</f>
        <v>Low</v>
      </c>
      <c r="W1793" t="str">
        <f>IF(Table1[[#This Row],[skill_gap_index]]&gt;70,"Large Gap",
IF(Table1[[#This Row],[skill_gap_index]]&gt;40,"Medium Gap","Small Gap"))</f>
        <v>Medium Gap</v>
      </c>
      <c r="X1793" s="3" t="str">
        <f>IF(Table1[[#This Row],[automation_risk_percent]]&gt;0.7,"Highly Automatable",
IF(Table1[[#This Row],[automation_risk_percent]]&gt;0.4,"Moderate Risk","Safe Job"))</f>
        <v>Safe Job</v>
      </c>
    </row>
    <row r="1794" spans="1:24" x14ac:dyDescent="0.3">
      <c r="A1794">
        <v>6427</v>
      </c>
      <c r="B1794" t="s">
        <v>41</v>
      </c>
      <c r="C1794" t="s">
        <v>40</v>
      </c>
      <c r="D1794" t="s">
        <v>36</v>
      </c>
      <c r="E1794" s="1">
        <v>2026</v>
      </c>
      <c r="F1794" s="11">
        <v>0.58050000000000002</v>
      </c>
      <c r="G1794">
        <v>53.12</v>
      </c>
      <c r="H1794">
        <v>25.34</v>
      </c>
      <c r="I1794" s="2">
        <v>117978.57</v>
      </c>
      <c r="J1794" s="2">
        <v>126627.24</v>
      </c>
      <c r="K1794" s="2">
        <f>Table1[[#This Row],[Salary_after]]-Table1[[#This Row],[Salary_before]]</f>
        <v>8648.6699999999983</v>
      </c>
      <c r="L1794" s="11">
        <v>7.3300000000000004E-2</v>
      </c>
      <c r="M1794" s="11">
        <v>-9.9600000000000008E-2</v>
      </c>
      <c r="N1794">
        <v>86.2</v>
      </c>
      <c r="O1794">
        <v>83.7</v>
      </c>
      <c r="P1794">
        <v>1</v>
      </c>
      <c r="Q1794" t="s">
        <v>25</v>
      </c>
      <c r="R1794">
        <v>41.695</v>
      </c>
      <c r="S1794">
        <v>7.33</v>
      </c>
      <c r="T1794" s="4">
        <v>33.021000000000001</v>
      </c>
      <c r="U1794" s="4">
        <v>48.587849999999897</v>
      </c>
      <c r="V1794" t="str">
        <f>IF(Table1[[#This Row],[ai_disruption_intensity]]&gt;70,"High",
IF(Table1[[#This Row],[ai_disruption_intensity]]&gt;40,"Medium","Low"))</f>
        <v>Medium</v>
      </c>
      <c r="W1794" t="str">
        <f>IF(Table1[[#This Row],[skill_gap_index]]&gt;70,"Large Gap",
IF(Table1[[#This Row],[skill_gap_index]]&gt;40,"Medium Gap","Small Gap"))</f>
        <v>Small Gap</v>
      </c>
      <c r="X1794" s="3" t="str">
        <f>IF(Table1[[#This Row],[automation_risk_percent]]&gt;0.7,"Highly Automatable",
IF(Table1[[#This Row],[automation_risk_percent]]&gt;0.4,"Moderate Risk","Safe Job"))</f>
        <v>Moderate Risk</v>
      </c>
    </row>
    <row r="1795" spans="1:24" x14ac:dyDescent="0.3">
      <c r="A1795">
        <v>6429</v>
      </c>
      <c r="B1795" t="s">
        <v>39</v>
      </c>
      <c r="C1795" t="s">
        <v>40</v>
      </c>
      <c r="D1795" t="s">
        <v>24</v>
      </c>
      <c r="E1795" s="1">
        <v>2026</v>
      </c>
      <c r="F1795" s="11">
        <v>0.71430000000000005</v>
      </c>
      <c r="G1795">
        <v>77.790000000000006</v>
      </c>
      <c r="H1795">
        <v>48.35</v>
      </c>
      <c r="I1795" s="2">
        <v>144971.43</v>
      </c>
      <c r="J1795" s="2">
        <v>131903.39000000001</v>
      </c>
      <c r="K1795" s="2">
        <f>Table1[[#This Row],[Salary_after]]-Table1[[#This Row],[Salary_before]]</f>
        <v>-13068.039999999979</v>
      </c>
      <c r="L1795" s="11">
        <v>-9.01E-2</v>
      </c>
      <c r="M1795" s="11">
        <v>0.31840000000000002</v>
      </c>
      <c r="N1795">
        <v>87.11</v>
      </c>
      <c r="O1795">
        <v>18.46</v>
      </c>
      <c r="P1795">
        <v>1</v>
      </c>
      <c r="Q1795" t="s">
        <v>37</v>
      </c>
      <c r="R1795">
        <v>59.89</v>
      </c>
      <c r="S1795">
        <v>9.01</v>
      </c>
      <c r="T1795" s="4">
        <v>45.78</v>
      </c>
      <c r="U1795" s="4">
        <v>13.185978</v>
      </c>
      <c r="V1795" t="str">
        <f>IF(Table1[[#This Row],[ai_disruption_intensity]]&gt;70,"High",
IF(Table1[[#This Row],[ai_disruption_intensity]]&gt;40,"Medium","Low"))</f>
        <v>Low</v>
      </c>
      <c r="W1795" t="str">
        <f>IF(Table1[[#This Row],[skill_gap_index]]&gt;70,"Large Gap",
IF(Table1[[#This Row],[skill_gap_index]]&gt;40,"Medium Gap","Small Gap"))</f>
        <v>Medium Gap</v>
      </c>
      <c r="X1795" s="3" t="str">
        <f>IF(Table1[[#This Row],[automation_risk_percent]]&gt;0.7,"Highly Automatable",
IF(Table1[[#This Row],[automation_risk_percent]]&gt;0.4,"Moderate Risk","Safe Job"))</f>
        <v>Highly Automatable</v>
      </c>
    </row>
    <row r="1796" spans="1:24" x14ac:dyDescent="0.3">
      <c r="A1796">
        <v>6431</v>
      </c>
      <c r="B1796" t="s">
        <v>44</v>
      </c>
      <c r="C1796" t="s">
        <v>19</v>
      </c>
      <c r="D1796" t="s">
        <v>36</v>
      </c>
      <c r="E1796" s="1">
        <v>2025</v>
      </c>
      <c r="F1796" s="11">
        <v>0.78110000000000002</v>
      </c>
      <c r="G1796">
        <v>90.02</v>
      </c>
      <c r="H1796">
        <v>40.6</v>
      </c>
      <c r="I1796" s="2">
        <v>137203.06</v>
      </c>
      <c r="J1796" s="2">
        <v>135914.94</v>
      </c>
      <c r="K1796" s="2">
        <f>Table1[[#This Row],[Salary_after]]-Table1[[#This Row],[Salary_before]]</f>
        <v>-1288.1199999999953</v>
      </c>
      <c r="L1796" s="11">
        <v>-9.3999999999999986E-3</v>
      </c>
      <c r="M1796" s="11">
        <v>0.1457</v>
      </c>
      <c r="N1796">
        <v>95.22</v>
      </c>
      <c r="O1796">
        <v>97.69</v>
      </c>
      <c r="P1796">
        <v>4</v>
      </c>
      <c r="Q1796" t="s">
        <v>37</v>
      </c>
      <c r="R1796">
        <v>59.354999999999997</v>
      </c>
      <c r="S1796">
        <v>0.94</v>
      </c>
      <c r="T1796" s="4">
        <v>43.705999999999896</v>
      </c>
      <c r="U1796" s="4">
        <v>76.305658999999906</v>
      </c>
      <c r="V1796" t="str">
        <f>IF(Table1[[#This Row],[ai_disruption_intensity]]&gt;70,"High",
IF(Table1[[#This Row],[ai_disruption_intensity]]&gt;40,"Medium","Low"))</f>
        <v>High</v>
      </c>
      <c r="W1796" t="str">
        <f>IF(Table1[[#This Row],[skill_gap_index]]&gt;70,"Large Gap",
IF(Table1[[#This Row],[skill_gap_index]]&gt;40,"Medium Gap","Small Gap"))</f>
        <v>Medium Gap</v>
      </c>
      <c r="X1796" s="3" t="str">
        <f>IF(Table1[[#This Row],[automation_risk_percent]]&gt;0.7,"Highly Automatable",
IF(Table1[[#This Row],[automation_risk_percent]]&gt;0.4,"Moderate Risk","Safe Job"))</f>
        <v>Highly Automatable</v>
      </c>
    </row>
    <row r="1797" spans="1:24" x14ac:dyDescent="0.3">
      <c r="A1797">
        <v>6432</v>
      </c>
      <c r="B1797" t="s">
        <v>39</v>
      </c>
      <c r="C1797" t="s">
        <v>40</v>
      </c>
      <c r="D1797" t="s">
        <v>35</v>
      </c>
      <c r="E1797" s="1">
        <v>2026</v>
      </c>
      <c r="F1797" s="11">
        <v>0.252</v>
      </c>
      <c r="G1797">
        <v>20.84</v>
      </c>
      <c r="H1797">
        <v>33.11</v>
      </c>
      <c r="I1797" s="2">
        <v>88660.23</v>
      </c>
      <c r="J1797" s="2">
        <v>101993.7</v>
      </c>
      <c r="K1797" s="2">
        <f>Table1[[#This Row],[Salary_after]]-Table1[[#This Row],[Salary_before]]</f>
        <v>13333.470000000001</v>
      </c>
      <c r="L1797" s="11">
        <v>0.15039999999999998</v>
      </c>
      <c r="M1797" s="11">
        <v>-4.7500000000000001E-2</v>
      </c>
      <c r="N1797">
        <v>26.56</v>
      </c>
      <c r="O1797">
        <v>55.17</v>
      </c>
      <c r="P1797">
        <v>3</v>
      </c>
      <c r="Q1797" t="s">
        <v>21</v>
      </c>
      <c r="R1797">
        <v>29.155000000000001</v>
      </c>
      <c r="S1797">
        <v>15.04</v>
      </c>
      <c r="T1797" s="4">
        <v>24.524999999999999</v>
      </c>
      <c r="U1797" s="4">
        <v>13.902839999999999</v>
      </c>
      <c r="V1797" t="str">
        <f>IF(Table1[[#This Row],[ai_disruption_intensity]]&gt;70,"High",
IF(Table1[[#This Row],[ai_disruption_intensity]]&gt;40,"Medium","Low"))</f>
        <v>Low</v>
      </c>
      <c r="W1797" t="str">
        <f>IF(Table1[[#This Row],[skill_gap_index]]&gt;70,"Large Gap",
IF(Table1[[#This Row],[skill_gap_index]]&gt;40,"Medium Gap","Small Gap"))</f>
        <v>Small Gap</v>
      </c>
      <c r="X1797" s="3" t="str">
        <f>IF(Table1[[#This Row],[automation_risk_percent]]&gt;0.7,"Highly Automatable",
IF(Table1[[#This Row],[automation_risk_percent]]&gt;0.4,"Moderate Risk","Safe Job"))</f>
        <v>Safe Job</v>
      </c>
    </row>
    <row r="1798" spans="1:24" x14ac:dyDescent="0.3">
      <c r="A1798">
        <v>6434</v>
      </c>
      <c r="B1798" t="s">
        <v>45</v>
      </c>
      <c r="C1798" t="s">
        <v>33</v>
      </c>
      <c r="D1798" t="s">
        <v>35</v>
      </c>
      <c r="E1798" s="1">
        <v>2025</v>
      </c>
      <c r="F1798" s="11">
        <v>0.21640000000000001</v>
      </c>
      <c r="G1798">
        <v>17.52</v>
      </c>
      <c r="H1798">
        <v>38.31</v>
      </c>
      <c r="I1798" s="2">
        <v>96658.66</v>
      </c>
      <c r="J1798" s="2">
        <v>89846.68</v>
      </c>
      <c r="K1798" s="2">
        <f>Table1[[#This Row],[Salary_after]]-Table1[[#This Row],[Salary_before]]</f>
        <v>-6811.9800000000105</v>
      </c>
      <c r="L1798" s="11">
        <v>-7.0499999999999993E-2</v>
      </c>
      <c r="M1798" s="11">
        <v>-2.2000000000000001E-3</v>
      </c>
      <c r="N1798">
        <v>82.44</v>
      </c>
      <c r="O1798">
        <v>18.86</v>
      </c>
      <c r="P1798">
        <v>4</v>
      </c>
      <c r="Q1798" t="s">
        <v>21</v>
      </c>
      <c r="R1798">
        <v>29.975000000000001</v>
      </c>
      <c r="S1798">
        <v>7.05</v>
      </c>
      <c r="T1798" s="4">
        <v>22.263999999999999</v>
      </c>
      <c r="U1798" s="4">
        <v>4.0813040000000003</v>
      </c>
      <c r="V1798" t="str">
        <f>IF(Table1[[#This Row],[ai_disruption_intensity]]&gt;70,"High",
IF(Table1[[#This Row],[ai_disruption_intensity]]&gt;40,"Medium","Low"))</f>
        <v>Low</v>
      </c>
      <c r="W1798" t="str">
        <f>IF(Table1[[#This Row],[skill_gap_index]]&gt;70,"Large Gap",
IF(Table1[[#This Row],[skill_gap_index]]&gt;40,"Medium Gap","Small Gap"))</f>
        <v>Small Gap</v>
      </c>
      <c r="X1798" s="3" t="str">
        <f>IF(Table1[[#This Row],[automation_risk_percent]]&gt;0.7,"Highly Automatable",
IF(Table1[[#This Row],[automation_risk_percent]]&gt;0.4,"Moderate Risk","Safe Job"))</f>
        <v>Safe Job</v>
      </c>
    </row>
    <row r="1799" spans="1:24" x14ac:dyDescent="0.3">
      <c r="A1799">
        <v>6436</v>
      </c>
      <c r="B1799" t="s">
        <v>43</v>
      </c>
      <c r="C1799" t="s">
        <v>33</v>
      </c>
      <c r="D1799" t="s">
        <v>47</v>
      </c>
      <c r="E1799" s="1">
        <v>2026</v>
      </c>
      <c r="F1799" s="11">
        <v>0.55490000000000006</v>
      </c>
      <c r="G1799">
        <v>61.93</v>
      </c>
      <c r="H1799">
        <v>8.84</v>
      </c>
      <c r="I1799" s="2">
        <v>31724.93</v>
      </c>
      <c r="J1799" s="2">
        <v>28854.61</v>
      </c>
      <c r="K1799" s="2">
        <f>Table1[[#This Row],[Salary_after]]-Table1[[#This Row],[Salary_before]]</f>
        <v>-2870.3199999999997</v>
      </c>
      <c r="L1799" s="11">
        <v>-9.0500000000000011E-2</v>
      </c>
      <c r="M1799" s="11">
        <v>0.13900000000000001</v>
      </c>
      <c r="N1799">
        <v>88.99</v>
      </c>
      <c r="O1799">
        <v>53.59</v>
      </c>
      <c r="P1799">
        <v>3</v>
      </c>
      <c r="Q1799" t="s">
        <v>25</v>
      </c>
      <c r="R1799">
        <v>32.164999999999999</v>
      </c>
      <c r="S1799">
        <v>9.0500000000000007</v>
      </c>
      <c r="T1799" s="4">
        <v>27.562999999999999</v>
      </c>
      <c r="U1799" s="4">
        <v>29.737090999999999</v>
      </c>
      <c r="V1799" t="str">
        <f>IF(Table1[[#This Row],[ai_disruption_intensity]]&gt;70,"High",
IF(Table1[[#This Row],[ai_disruption_intensity]]&gt;40,"Medium","Low"))</f>
        <v>Low</v>
      </c>
      <c r="W1799" t="str">
        <f>IF(Table1[[#This Row],[skill_gap_index]]&gt;70,"Large Gap",
IF(Table1[[#This Row],[skill_gap_index]]&gt;40,"Medium Gap","Small Gap"))</f>
        <v>Small Gap</v>
      </c>
      <c r="X1799" s="3" t="str">
        <f>IF(Table1[[#This Row],[automation_risk_percent]]&gt;0.7,"Highly Automatable",
IF(Table1[[#This Row],[automation_risk_percent]]&gt;0.4,"Moderate Risk","Safe Job"))</f>
        <v>Moderate Risk</v>
      </c>
    </row>
    <row r="1800" spans="1:24" x14ac:dyDescent="0.3">
      <c r="A1800">
        <v>6438</v>
      </c>
      <c r="B1800" t="s">
        <v>18</v>
      </c>
      <c r="C1800" t="s">
        <v>23</v>
      </c>
      <c r="D1800" t="s">
        <v>35</v>
      </c>
      <c r="E1800" s="1">
        <v>2026</v>
      </c>
      <c r="F1800" s="11">
        <v>0.3306</v>
      </c>
      <c r="G1800">
        <v>37.090000000000003</v>
      </c>
      <c r="H1800">
        <v>89.11</v>
      </c>
      <c r="I1800" s="2">
        <v>104190.6</v>
      </c>
      <c r="J1800" s="2">
        <v>124196.12</v>
      </c>
      <c r="K1800" s="2">
        <f>Table1[[#This Row],[Salary_after]]-Table1[[#This Row],[Salary_before]]</f>
        <v>20005.51999999999</v>
      </c>
      <c r="L1800" s="11">
        <v>0.192</v>
      </c>
      <c r="M1800" s="11">
        <v>0.11210000000000001</v>
      </c>
      <c r="N1800">
        <v>24.68</v>
      </c>
      <c r="O1800">
        <v>8.73</v>
      </c>
      <c r="P1800">
        <v>4</v>
      </c>
      <c r="Q1800" t="s">
        <v>25</v>
      </c>
      <c r="R1800">
        <v>61.085000000000001</v>
      </c>
      <c r="S1800">
        <v>19.2</v>
      </c>
      <c r="T1800" s="4">
        <v>45.716999999999999</v>
      </c>
      <c r="U1800" s="4">
        <v>2.8861379999999999</v>
      </c>
      <c r="V1800" t="str">
        <f>IF(Table1[[#This Row],[ai_disruption_intensity]]&gt;70,"High",
IF(Table1[[#This Row],[ai_disruption_intensity]]&gt;40,"Medium","Low"))</f>
        <v>Low</v>
      </c>
      <c r="W1800" t="str">
        <f>IF(Table1[[#This Row],[skill_gap_index]]&gt;70,"Large Gap",
IF(Table1[[#This Row],[skill_gap_index]]&gt;40,"Medium Gap","Small Gap"))</f>
        <v>Large Gap</v>
      </c>
      <c r="X1800" s="3" t="str">
        <f>IF(Table1[[#This Row],[automation_risk_percent]]&gt;0.7,"Highly Automatable",
IF(Table1[[#This Row],[automation_risk_percent]]&gt;0.4,"Moderate Risk","Safe Job"))</f>
        <v>Safe Job</v>
      </c>
    </row>
    <row r="1801" spans="1:24" x14ac:dyDescent="0.3">
      <c r="A1801">
        <v>6443</v>
      </c>
      <c r="B1801" t="s">
        <v>44</v>
      </c>
      <c r="C1801" t="s">
        <v>27</v>
      </c>
      <c r="D1801" t="s">
        <v>36</v>
      </c>
      <c r="E1801" s="1">
        <v>2025</v>
      </c>
      <c r="F1801" s="11">
        <v>0.72010000000000007</v>
      </c>
      <c r="G1801">
        <v>68.59</v>
      </c>
      <c r="H1801">
        <v>49.43</v>
      </c>
      <c r="I1801" s="2">
        <v>64949.73</v>
      </c>
      <c r="J1801" s="2">
        <v>64306.19</v>
      </c>
      <c r="K1801" s="2">
        <f>Table1[[#This Row],[Salary_after]]-Table1[[#This Row],[Salary_before]]</f>
        <v>-643.54000000000087</v>
      </c>
      <c r="L1801" s="11">
        <v>-9.8999999999999991E-3</v>
      </c>
      <c r="M1801" s="11">
        <v>4.1999999999999997E-3</v>
      </c>
      <c r="N1801">
        <v>75.760000000000005</v>
      </c>
      <c r="O1801">
        <v>30.89</v>
      </c>
      <c r="P1801">
        <v>5</v>
      </c>
      <c r="Q1801" t="s">
        <v>37</v>
      </c>
      <c r="R1801">
        <v>60.72</v>
      </c>
      <c r="S1801">
        <v>0.99</v>
      </c>
      <c r="T1801" s="4">
        <v>43.93</v>
      </c>
      <c r="U1801" s="4">
        <v>22.243888999999999</v>
      </c>
      <c r="V1801" t="str">
        <f>IF(Table1[[#This Row],[ai_disruption_intensity]]&gt;70,"High",
IF(Table1[[#This Row],[ai_disruption_intensity]]&gt;40,"Medium","Low"))</f>
        <v>Low</v>
      </c>
      <c r="W1801" t="str">
        <f>IF(Table1[[#This Row],[skill_gap_index]]&gt;70,"Large Gap",
IF(Table1[[#This Row],[skill_gap_index]]&gt;40,"Medium Gap","Small Gap"))</f>
        <v>Medium Gap</v>
      </c>
      <c r="X1801" s="3" t="str">
        <f>IF(Table1[[#This Row],[automation_risk_percent]]&gt;0.7,"Highly Automatable",
IF(Table1[[#This Row],[automation_risk_percent]]&gt;0.4,"Moderate Risk","Safe Job"))</f>
        <v>Highly Automatable</v>
      </c>
    </row>
    <row r="1802" spans="1:24" x14ac:dyDescent="0.3">
      <c r="A1802">
        <v>6446</v>
      </c>
      <c r="B1802" t="s">
        <v>22</v>
      </c>
      <c r="C1802" t="s">
        <v>38</v>
      </c>
      <c r="D1802" t="s">
        <v>28</v>
      </c>
      <c r="E1802" s="1">
        <v>2026</v>
      </c>
      <c r="F1802" s="11">
        <v>0.10390000000000001</v>
      </c>
      <c r="G1802">
        <v>10.54</v>
      </c>
      <c r="H1802">
        <v>59.04</v>
      </c>
      <c r="I1802" s="2">
        <v>134974.96</v>
      </c>
      <c r="J1802" s="2">
        <v>142489.54</v>
      </c>
      <c r="K1802" s="2">
        <f>Table1[[#This Row],[Salary_after]]-Table1[[#This Row],[Salary_before]]</f>
        <v>7514.5800000000163</v>
      </c>
      <c r="L1802" s="11">
        <v>5.57E-2</v>
      </c>
      <c r="M1802" s="11">
        <v>5.0000000000000001E-4</v>
      </c>
      <c r="N1802">
        <v>74.63</v>
      </c>
      <c r="O1802">
        <v>66.599999999999994</v>
      </c>
      <c r="P1802">
        <v>3</v>
      </c>
      <c r="Q1802" t="s">
        <v>21</v>
      </c>
      <c r="R1802">
        <v>34.715000000000003</v>
      </c>
      <c r="S1802">
        <v>5.57</v>
      </c>
      <c r="T1802" s="4">
        <v>23.539000000000001</v>
      </c>
      <c r="U1802" s="4">
        <v>6.9197399999999902</v>
      </c>
      <c r="V1802" t="str">
        <f>IF(Table1[[#This Row],[ai_disruption_intensity]]&gt;70,"High",
IF(Table1[[#This Row],[ai_disruption_intensity]]&gt;40,"Medium","Low"))</f>
        <v>Low</v>
      </c>
      <c r="W1802" t="str">
        <f>IF(Table1[[#This Row],[skill_gap_index]]&gt;70,"Large Gap",
IF(Table1[[#This Row],[skill_gap_index]]&gt;40,"Medium Gap","Small Gap"))</f>
        <v>Medium Gap</v>
      </c>
      <c r="X1802" s="3" t="str">
        <f>IF(Table1[[#This Row],[automation_risk_percent]]&gt;0.7,"Highly Automatable",
IF(Table1[[#This Row],[automation_risk_percent]]&gt;0.4,"Moderate Risk","Safe Job"))</f>
        <v>Safe Job</v>
      </c>
    </row>
    <row r="1803" spans="1:24" x14ac:dyDescent="0.3">
      <c r="A1803">
        <v>6449</v>
      </c>
      <c r="B1803" t="s">
        <v>45</v>
      </c>
      <c r="C1803" t="s">
        <v>27</v>
      </c>
      <c r="D1803" t="s">
        <v>36</v>
      </c>
      <c r="E1803" s="1">
        <v>2026</v>
      </c>
      <c r="F1803" s="11">
        <v>0.34009999999999996</v>
      </c>
      <c r="G1803">
        <v>31.3</v>
      </c>
      <c r="H1803">
        <v>28.42</v>
      </c>
      <c r="I1803" s="2">
        <v>113210.6</v>
      </c>
      <c r="J1803" s="2">
        <v>100280.38</v>
      </c>
      <c r="K1803" s="2">
        <f>Table1[[#This Row],[Salary_after]]-Table1[[#This Row],[Salary_before]]</f>
        <v>-12930.220000000001</v>
      </c>
      <c r="L1803" s="11">
        <v>-0.1142</v>
      </c>
      <c r="M1803" s="11">
        <v>0.10800000000000001</v>
      </c>
      <c r="N1803">
        <v>72.239999999999995</v>
      </c>
      <c r="O1803">
        <v>29.11</v>
      </c>
      <c r="P1803">
        <v>5</v>
      </c>
      <c r="Q1803" t="s">
        <v>25</v>
      </c>
      <c r="R1803">
        <v>31.215</v>
      </c>
      <c r="S1803">
        <v>11.42</v>
      </c>
      <c r="T1803" s="4">
        <v>25.555999999999901</v>
      </c>
      <c r="U1803" s="4">
        <v>9.9003109999999896</v>
      </c>
      <c r="V1803" t="str">
        <f>IF(Table1[[#This Row],[ai_disruption_intensity]]&gt;70,"High",
IF(Table1[[#This Row],[ai_disruption_intensity]]&gt;40,"Medium","Low"))</f>
        <v>Low</v>
      </c>
      <c r="W1803" t="str">
        <f>IF(Table1[[#This Row],[skill_gap_index]]&gt;70,"Large Gap",
IF(Table1[[#This Row],[skill_gap_index]]&gt;40,"Medium Gap","Small Gap"))</f>
        <v>Small Gap</v>
      </c>
      <c r="X1803" s="3" t="str">
        <f>IF(Table1[[#This Row],[automation_risk_percent]]&gt;0.7,"Highly Automatable",
IF(Table1[[#This Row],[automation_risk_percent]]&gt;0.4,"Moderate Risk","Safe Job"))</f>
        <v>Safe Job</v>
      </c>
    </row>
    <row r="1804" spans="1:24" x14ac:dyDescent="0.3">
      <c r="A1804">
        <v>6453</v>
      </c>
      <c r="B1804" t="s">
        <v>41</v>
      </c>
      <c r="C1804" t="s">
        <v>40</v>
      </c>
      <c r="D1804" t="s">
        <v>32</v>
      </c>
      <c r="E1804" s="1">
        <v>2025</v>
      </c>
      <c r="F1804" s="11">
        <v>0.40500000000000003</v>
      </c>
      <c r="G1804">
        <v>39.340000000000003</v>
      </c>
      <c r="H1804">
        <v>96.53</v>
      </c>
      <c r="I1804" s="2">
        <v>63767.83</v>
      </c>
      <c r="J1804" s="2">
        <v>69172.45</v>
      </c>
      <c r="K1804" s="2">
        <f>Table1[[#This Row],[Salary_after]]-Table1[[#This Row],[Salary_before]]</f>
        <v>5404.6199999999953</v>
      </c>
      <c r="L1804" s="11">
        <v>8.48E-2</v>
      </c>
      <c r="M1804" s="11">
        <v>-1.77E-2</v>
      </c>
      <c r="N1804">
        <v>14.48</v>
      </c>
      <c r="O1804">
        <v>54.81</v>
      </c>
      <c r="P1804">
        <v>4</v>
      </c>
      <c r="Q1804" t="s">
        <v>25</v>
      </c>
      <c r="R1804">
        <v>68.515000000000001</v>
      </c>
      <c r="S1804">
        <v>8.48</v>
      </c>
      <c r="T1804" s="4">
        <v>47.702999999999903</v>
      </c>
      <c r="U1804" s="4">
        <v>22.198049999999999</v>
      </c>
      <c r="V1804" t="str">
        <f>IF(Table1[[#This Row],[ai_disruption_intensity]]&gt;70,"High",
IF(Table1[[#This Row],[ai_disruption_intensity]]&gt;40,"Medium","Low"))</f>
        <v>Low</v>
      </c>
      <c r="W1804" t="str">
        <f>IF(Table1[[#This Row],[skill_gap_index]]&gt;70,"Large Gap",
IF(Table1[[#This Row],[skill_gap_index]]&gt;40,"Medium Gap","Small Gap"))</f>
        <v>Large Gap</v>
      </c>
      <c r="X1804" s="3" t="str">
        <f>IF(Table1[[#This Row],[automation_risk_percent]]&gt;0.7,"Highly Automatable",
IF(Table1[[#This Row],[automation_risk_percent]]&gt;0.4,"Moderate Risk","Safe Job"))</f>
        <v>Moderate Risk</v>
      </c>
    </row>
    <row r="1805" spans="1:24" x14ac:dyDescent="0.3">
      <c r="A1805">
        <v>6456</v>
      </c>
      <c r="B1805" t="s">
        <v>43</v>
      </c>
      <c r="C1805" t="s">
        <v>27</v>
      </c>
      <c r="D1805" t="s">
        <v>32</v>
      </c>
      <c r="E1805" s="1">
        <v>2025</v>
      </c>
      <c r="F1805" s="11">
        <v>0.36770000000000003</v>
      </c>
      <c r="G1805">
        <v>38.65</v>
      </c>
      <c r="H1805">
        <v>88.79</v>
      </c>
      <c r="I1805" s="2">
        <v>78489.33</v>
      </c>
      <c r="J1805" s="2">
        <v>84874.7</v>
      </c>
      <c r="K1805" s="2">
        <f>Table1[[#This Row],[Salary_after]]-Table1[[#This Row],[Salary_before]]</f>
        <v>6385.3699999999953</v>
      </c>
      <c r="L1805" s="11">
        <v>8.14E-2</v>
      </c>
      <c r="M1805" s="11">
        <v>4.5700000000000005E-2</v>
      </c>
      <c r="N1805">
        <v>59.52</v>
      </c>
      <c r="O1805">
        <v>79.959999999999994</v>
      </c>
      <c r="P1805">
        <v>1</v>
      </c>
      <c r="Q1805" t="s">
        <v>25</v>
      </c>
      <c r="R1805">
        <v>62.78</v>
      </c>
      <c r="S1805">
        <v>8.14</v>
      </c>
      <c r="T1805" s="4">
        <v>43.786999999999999</v>
      </c>
      <c r="U1805" s="4">
        <v>29.401291999999899</v>
      </c>
      <c r="V1805" t="str">
        <f>IF(Table1[[#This Row],[ai_disruption_intensity]]&gt;70,"High",
IF(Table1[[#This Row],[ai_disruption_intensity]]&gt;40,"Medium","Low"))</f>
        <v>Low</v>
      </c>
      <c r="W1805" t="str">
        <f>IF(Table1[[#This Row],[skill_gap_index]]&gt;70,"Large Gap",
IF(Table1[[#This Row],[skill_gap_index]]&gt;40,"Medium Gap","Small Gap"))</f>
        <v>Large Gap</v>
      </c>
      <c r="X1805" s="3" t="str">
        <f>IF(Table1[[#This Row],[automation_risk_percent]]&gt;0.7,"Highly Automatable",
IF(Table1[[#This Row],[automation_risk_percent]]&gt;0.4,"Moderate Risk","Safe Job"))</f>
        <v>Safe Job</v>
      </c>
    </row>
    <row r="1806" spans="1:24" x14ac:dyDescent="0.3">
      <c r="A1806">
        <v>6460</v>
      </c>
      <c r="B1806" t="s">
        <v>46</v>
      </c>
      <c r="C1806" t="s">
        <v>38</v>
      </c>
      <c r="D1806" t="s">
        <v>20</v>
      </c>
      <c r="E1806" s="1">
        <v>2026</v>
      </c>
      <c r="F1806" s="11">
        <v>0.35780000000000001</v>
      </c>
      <c r="G1806">
        <v>38.32</v>
      </c>
      <c r="H1806">
        <v>31.63</v>
      </c>
      <c r="I1806" s="2">
        <v>45655.21</v>
      </c>
      <c r="J1806" s="2">
        <v>47503.75</v>
      </c>
      <c r="K1806" s="2">
        <f>Table1[[#This Row],[Salary_after]]-Table1[[#This Row],[Salary_before]]</f>
        <v>1848.5400000000009</v>
      </c>
      <c r="L1806" s="11">
        <v>4.0500000000000001E-2</v>
      </c>
      <c r="M1806" s="11">
        <v>8.3699999999999997E-2</v>
      </c>
      <c r="N1806">
        <v>34.880000000000003</v>
      </c>
      <c r="O1806">
        <v>42.07</v>
      </c>
      <c r="P1806">
        <v>4</v>
      </c>
      <c r="Q1806" t="s">
        <v>25</v>
      </c>
      <c r="R1806">
        <v>33.704999999999998</v>
      </c>
      <c r="S1806">
        <v>4.05</v>
      </c>
      <c r="T1806" s="4">
        <v>25.015999999999998</v>
      </c>
      <c r="U1806" s="4">
        <v>15.052645999999999</v>
      </c>
      <c r="V1806" t="str">
        <f>IF(Table1[[#This Row],[ai_disruption_intensity]]&gt;70,"High",
IF(Table1[[#This Row],[ai_disruption_intensity]]&gt;40,"Medium","Low"))</f>
        <v>Low</v>
      </c>
      <c r="W1806" t="str">
        <f>IF(Table1[[#This Row],[skill_gap_index]]&gt;70,"Large Gap",
IF(Table1[[#This Row],[skill_gap_index]]&gt;40,"Medium Gap","Small Gap"))</f>
        <v>Small Gap</v>
      </c>
      <c r="X1806" s="3" t="str">
        <f>IF(Table1[[#This Row],[automation_risk_percent]]&gt;0.7,"Highly Automatable",
IF(Table1[[#This Row],[automation_risk_percent]]&gt;0.4,"Moderate Risk","Safe Job"))</f>
        <v>Safe Job</v>
      </c>
    </row>
    <row r="1807" spans="1:24" x14ac:dyDescent="0.3">
      <c r="A1807">
        <v>6461</v>
      </c>
      <c r="B1807" t="s">
        <v>18</v>
      </c>
      <c r="C1807" t="s">
        <v>19</v>
      </c>
      <c r="D1807" t="s">
        <v>24</v>
      </c>
      <c r="E1807" s="1">
        <v>2025</v>
      </c>
      <c r="F1807" s="11">
        <v>0.15740000000000001</v>
      </c>
      <c r="G1807">
        <v>14.02</v>
      </c>
      <c r="H1807">
        <v>76.7</v>
      </c>
      <c r="I1807" s="2">
        <v>73823.75</v>
      </c>
      <c r="J1807" s="2">
        <v>78065.5</v>
      </c>
      <c r="K1807" s="2">
        <f>Table1[[#This Row],[Salary_after]]-Table1[[#This Row],[Salary_before]]</f>
        <v>4241.75</v>
      </c>
      <c r="L1807" s="11">
        <v>5.7500000000000002E-2</v>
      </c>
      <c r="M1807" s="11">
        <v>6.3500000000000001E-2</v>
      </c>
      <c r="N1807">
        <v>75.13</v>
      </c>
      <c r="O1807">
        <v>45.35</v>
      </c>
      <c r="P1807">
        <v>1</v>
      </c>
      <c r="Q1807" t="s">
        <v>21</v>
      </c>
      <c r="R1807">
        <v>46.22</v>
      </c>
      <c r="S1807">
        <v>5.75</v>
      </c>
      <c r="T1807" s="4">
        <v>31.030999999999999</v>
      </c>
      <c r="U1807" s="4">
        <v>7.13809</v>
      </c>
      <c r="V1807" t="str">
        <f>IF(Table1[[#This Row],[ai_disruption_intensity]]&gt;70,"High",
IF(Table1[[#This Row],[ai_disruption_intensity]]&gt;40,"Medium","Low"))</f>
        <v>Low</v>
      </c>
      <c r="W1807" t="str">
        <f>IF(Table1[[#This Row],[skill_gap_index]]&gt;70,"Large Gap",
IF(Table1[[#This Row],[skill_gap_index]]&gt;40,"Medium Gap","Small Gap"))</f>
        <v>Large Gap</v>
      </c>
      <c r="X1807" s="3" t="str">
        <f>IF(Table1[[#This Row],[automation_risk_percent]]&gt;0.7,"Highly Automatable",
IF(Table1[[#This Row],[automation_risk_percent]]&gt;0.4,"Moderate Risk","Safe Job"))</f>
        <v>Safe Job</v>
      </c>
    </row>
    <row r="1808" spans="1:24" x14ac:dyDescent="0.3">
      <c r="A1808">
        <v>6463</v>
      </c>
      <c r="B1808" t="s">
        <v>41</v>
      </c>
      <c r="C1808" t="s">
        <v>38</v>
      </c>
      <c r="D1808" t="s">
        <v>47</v>
      </c>
      <c r="E1808" s="1">
        <v>2026</v>
      </c>
      <c r="F1808" s="11">
        <v>0.76200000000000001</v>
      </c>
      <c r="G1808">
        <v>65.41</v>
      </c>
      <c r="H1808">
        <v>27.77</v>
      </c>
      <c r="I1808" s="2">
        <v>45838.41</v>
      </c>
      <c r="J1808" s="2">
        <v>46629.79</v>
      </c>
      <c r="K1808" s="2">
        <f>Table1[[#This Row],[Salary_after]]-Table1[[#This Row],[Salary_before]]</f>
        <v>791.37999999999738</v>
      </c>
      <c r="L1808" s="11">
        <v>1.7299999999999999E-2</v>
      </c>
      <c r="M1808" s="11">
        <v>-4.8000000000000001E-2</v>
      </c>
      <c r="N1808">
        <v>91.61</v>
      </c>
      <c r="O1808">
        <v>68.430000000000007</v>
      </c>
      <c r="P1808">
        <v>2</v>
      </c>
      <c r="Q1808" t="s">
        <v>37</v>
      </c>
      <c r="R1808">
        <v>51.984999999999999</v>
      </c>
      <c r="S1808">
        <v>1.73</v>
      </c>
      <c r="T1808" s="4">
        <v>39.33</v>
      </c>
      <c r="U1808" s="4">
        <v>52.143659999999997</v>
      </c>
      <c r="V1808" t="str">
        <f>IF(Table1[[#This Row],[ai_disruption_intensity]]&gt;70,"High",
IF(Table1[[#This Row],[ai_disruption_intensity]]&gt;40,"Medium","Low"))</f>
        <v>Medium</v>
      </c>
      <c r="W1808" t="str">
        <f>IF(Table1[[#This Row],[skill_gap_index]]&gt;70,"Large Gap",
IF(Table1[[#This Row],[skill_gap_index]]&gt;40,"Medium Gap","Small Gap"))</f>
        <v>Small Gap</v>
      </c>
      <c r="X1808" s="3" t="str">
        <f>IF(Table1[[#This Row],[automation_risk_percent]]&gt;0.7,"Highly Automatable",
IF(Table1[[#This Row],[automation_risk_percent]]&gt;0.4,"Moderate Risk","Safe Job"))</f>
        <v>Highly Automatable</v>
      </c>
    </row>
    <row r="1809" spans="1:24" x14ac:dyDescent="0.3">
      <c r="A1809">
        <v>6465</v>
      </c>
      <c r="B1809" t="s">
        <v>39</v>
      </c>
      <c r="C1809" t="s">
        <v>34</v>
      </c>
      <c r="D1809" t="s">
        <v>42</v>
      </c>
      <c r="E1809" s="1">
        <v>2025</v>
      </c>
      <c r="F1809" s="11">
        <v>0.67469999999999997</v>
      </c>
      <c r="G1809">
        <v>58.54</v>
      </c>
      <c r="H1809">
        <v>51.5</v>
      </c>
      <c r="I1809" s="2">
        <v>106473.51</v>
      </c>
      <c r="J1809" s="2">
        <v>103044.27</v>
      </c>
      <c r="K1809" s="2">
        <f>Table1[[#This Row],[Salary_after]]-Table1[[#This Row],[Salary_before]]</f>
        <v>-3429.2399999999907</v>
      </c>
      <c r="L1809" s="11">
        <v>-3.2199999999999999E-2</v>
      </c>
      <c r="M1809" s="11">
        <v>6.8900000000000003E-2</v>
      </c>
      <c r="N1809">
        <v>10.96</v>
      </c>
      <c r="O1809">
        <v>70.599999999999994</v>
      </c>
      <c r="P1809">
        <v>1</v>
      </c>
      <c r="Q1809" t="s">
        <v>37</v>
      </c>
      <c r="R1809">
        <v>59.484999999999999</v>
      </c>
      <c r="S1809">
        <v>3.22</v>
      </c>
      <c r="T1809" s="4">
        <v>43.404000000000003</v>
      </c>
      <c r="U1809" s="4">
        <v>47.633819999999901</v>
      </c>
      <c r="V1809" t="str">
        <f>IF(Table1[[#This Row],[ai_disruption_intensity]]&gt;70,"High",
IF(Table1[[#This Row],[ai_disruption_intensity]]&gt;40,"Medium","Low"))</f>
        <v>Medium</v>
      </c>
      <c r="W1809" t="str">
        <f>IF(Table1[[#This Row],[skill_gap_index]]&gt;70,"Large Gap",
IF(Table1[[#This Row],[skill_gap_index]]&gt;40,"Medium Gap","Small Gap"))</f>
        <v>Medium Gap</v>
      </c>
      <c r="X1809" s="3" t="str">
        <f>IF(Table1[[#This Row],[automation_risk_percent]]&gt;0.7,"Highly Automatable",
IF(Table1[[#This Row],[automation_risk_percent]]&gt;0.4,"Moderate Risk","Safe Job"))</f>
        <v>Moderate Risk</v>
      </c>
    </row>
    <row r="1810" spans="1:24" x14ac:dyDescent="0.3">
      <c r="A1810">
        <v>6472</v>
      </c>
      <c r="B1810" t="s">
        <v>44</v>
      </c>
      <c r="C1810" t="s">
        <v>23</v>
      </c>
      <c r="D1810" t="s">
        <v>47</v>
      </c>
      <c r="E1810" s="1">
        <v>2026</v>
      </c>
      <c r="F1810" s="11">
        <v>0.2606</v>
      </c>
      <c r="G1810">
        <v>24.47</v>
      </c>
      <c r="H1810">
        <v>5.05</v>
      </c>
      <c r="I1810" s="2">
        <v>105371.16</v>
      </c>
      <c r="J1810" s="2">
        <v>110904.24</v>
      </c>
      <c r="K1810" s="2">
        <f>Table1[[#This Row],[Salary_after]]-Table1[[#This Row],[Salary_before]]</f>
        <v>5533.0800000000017</v>
      </c>
      <c r="L1810" s="11">
        <v>5.2499999999999998E-2</v>
      </c>
      <c r="M1810" s="11">
        <v>5.7200000000000001E-2</v>
      </c>
      <c r="N1810">
        <v>90.31</v>
      </c>
      <c r="O1810">
        <v>50.59</v>
      </c>
      <c r="P1810">
        <v>1</v>
      </c>
      <c r="Q1810" t="s">
        <v>21</v>
      </c>
      <c r="R1810">
        <v>15.555</v>
      </c>
      <c r="S1810">
        <v>5.25</v>
      </c>
      <c r="T1810" s="4">
        <v>13.513999999999999</v>
      </c>
      <c r="U1810" s="4">
        <v>13.183754</v>
      </c>
      <c r="V1810" t="str">
        <f>IF(Table1[[#This Row],[ai_disruption_intensity]]&gt;70,"High",
IF(Table1[[#This Row],[ai_disruption_intensity]]&gt;40,"Medium","Low"))</f>
        <v>Low</v>
      </c>
      <c r="W1810" t="str">
        <f>IF(Table1[[#This Row],[skill_gap_index]]&gt;70,"Large Gap",
IF(Table1[[#This Row],[skill_gap_index]]&gt;40,"Medium Gap","Small Gap"))</f>
        <v>Small Gap</v>
      </c>
      <c r="X1810" s="3" t="str">
        <f>IF(Table1[[#This Row],[automation_risk_percent]]&gt;0.7,"Highly Automatable",
IF(Table1[[#This Row],[automation_risk_percent]]&gt;0.4,"Moderate Risk","Safe Job"))</f>
        <v>Safe Job</v>
      </c>
    </row>
    <row r="1811" spans="1:24" x14ac:dyDescent="0.3">
      <c r="A1811">
        <v>6474</v>
      </c>
      <c r="B1811" t="s">
        <v>45</v>
      </c>
      <c r="C1811" t="s">
        <v>38</v>
      </c>
      <c r="D1811" t="s">
        <v>20</v>
      </c>
      <c r="E1811" s="1">
        <v>2025</v>
      </c>
      <c r="F1811" s="11">
        <v>0.37979999999999997</v>
      </c>
      <c r="G1811">
        <v>34.24</v>
      </c>
      <c r="H1811">
        <v>87.68</v>
      </c>
      <c r="I1811" s="2">
        <v>52035.82</v>
      </c>
      <c r="J1811" s="2">
        <v>59558.1</v>
      </c>
      <c r="K1811" s="2">
        <f>Table1[[#This Row],[Salary_after]]-Table1[[#This Row],[Salary_before]]</f>
        <v>7522.2799999999988</v>
      </c>
      <c r="L1811" s="11">
        <v>0.14460000000000001</v>
      </c>
      <c r="M1811" s="11">
        <v>5.7300000000000004E-2</v>
      </c>
      <c r="N1811">
        <v>86.42</v>
      </c>
      <c r="O1811">
        <v>81.87</v>
      </c>
      <c r="P1811">
        <v>2</v>
      </c>
      <c r="Q1811" t="s">
        <v>25</v>
      </c>
      <c r="R1811">
        <v>62.83</v>
      </c>
      <c r="S1811">
        <v>14.46</v>
      </c>
      <c r="T1811" s="4">
        <v>45.834000000000003</v>
      </c>
      <c r="U1811" s="4">
        <v>31.094225999999999</v>
      </c>
      <c r="V1811" t="str">
        <f>IF(Table1[[#This Row],[ai_disruption_intensity]]&gt;70,"High",
IF(Table1[[#This Row],[ai_disruption_intensity]]&gt;40,"Medium","Low"))</f>
        <v>Low</v>
      </c>
      <c r="W1811" t="str">
        <f>IF(Table1[[#This Row],[skill_gap_index]]&gt;70,"Large Gap",
IF(Table1[[#This Row],[skill_gap_index]]&gt;40,"Medium Gap","Small Gap"))</f>
        <v>Large Gap</v>
      </c>
      <c r="X1811" s="3" t="str">
        <f>IF(Table1[[#This Row],[automation_risk_percent]]&gt;0.7,"Highly Automatable",
IF(Table1[[#This Row],[automation_risk_percent]]&gt;0.4,"Moderate Risk","Safe Job"))</f>
        <v>Safe Job</v>
      </c>
    </row>
    <row r="1812" spans="1:24" x14ac:dyDescent="0.3">
      <c r="A1812">
        <v>6478</v>
      </c>
      <c r="B1812" t="s">
        <v>29</v>
      </c>
      <c r="C1812" t="s">
        <v>27</v>
      </c>
      <c r="D1812" t="s">
        <v>28</v>
      </c>
      <c r="E1812" s="1">
        <v>2026</v>
      </c>
      <c r="F1812" s="11">
        <v>0.38900000000000001</v>
      </c>
      <c r="G1812">
        <v>38.5</v>
      </c>
      <c r="H1812">
        <v>21.6</v>
      </c>
      <c r="I1812" s="2">
        <v>86643.79</v>
      </c>
      <c r="J1812" s="2">
        <v>83891.01</v>
      </c>
      <c r="K1812" s="2">
        <f>Table1[[#This Row],[Salary_after]]-Table1[[#This Row],[Salary_before]]</f>
        <v>-2752.7799999999988</v>
      </c>
      <c r="L1812" s="11">
        <v>-3.1800000000000002E-2</v>
      </c>
      <c r="M1812" s="11">
        <v>1.44E-2</v>
      </c>
      <c r="N1812">
        <v>89.46</v>
      </c>
      <c r="O1812">
        <v>11.59</v>
      </c>
      <c r="P1812">
        <v>4</v>
      </c>
      <c r="Q1812" t="s">
        <v>25</v>
      </c>
      <c r="R1812">
        <v>30.25</v>
      </c>
      <c r="S1812">
        <v>3.18</v>
      </c>
      <c r="T1812" s="4">
        <v>22.994</v>
      </c>
      <c r="U1812" s="4">
        <v>4.5085100000000002</v>
      </c>
      <c r="V1812" t="str">
        <f>IF(Table1[[#This Row],[ai_disruption_intensity]]&gt;70,"High",
IF(Table1[[#This Row],[ai_disruption_intensity]]&gt;40,"Medium","Low"))</f>
        <v>Low</v>
      </c>
      <c r="W1812" t="str">
        <f>IF(Table1[[#This Row],[skill_gap_index]]&gt;70,"Large Gap",
IF(Table1[[#This Row],[skill_gap_index]]&gt;40,"Medium Gap","Small Gap"))</f>
        <v>Small Gap</v>
      </c>
      <c r="X1812" s="3" t="str">
        <f>IF(Table1[[#This Row],[automation_risk_percent]]&gt;0.7,"Highly Automatable",
IF(Table1[[#This Row],[automation_risk_percent]]&gt;0.4,"Moderate Risk","Safe Job"))</f>
        <v>Safe Job</v>
      </c>
    </row>
    <row r="1813" spans="1:24" x14ac:dyDescent="0.3">
      <c r="A1813">
        <v>6480</v>
      </c>
      <c r="B1813" t="s">
        <v>29</v>
      </c>
      <c r="C1813" t="s">
        <v>30</v>
      </c>
      <c r="D1813" t="s">
        <v>35</v>
      </c>
      <c r="E1813" s="1">
        <v>2026</v>
      </c>
      <c r="F1813" s="11">
        <v>0.77849999999999997</v>
      </c>
      <c r="G1813">
        <v>89.45</v>
      </c>
      <c r="H1813">
        <v>27.32</v>
      </c>
      <c r="I1813" s="2">
        <v>61437.03</v>
      </c>
      <c r="J1813" s="2">
        <v>67209.45</v>
      </c>
      <c r="K1813" s="2">
        <f>Table1[[#This Row],[Salary_after]]-Table1[[#This Row],[Salary_before]]</f>
        <v>5772.4199999999983</v>
      </c>
      <c r="L1813" s="11">
        <v>9.4E-2</v>
      </c>
      <c r="M1813" s="11">
        <v>-0.11840000000000001</v>
      </c>
      <c r="N1813">
        <v>35.07</v>
      </c>
      <c r="O1813">
        <v>89.31</v>
      </c>
      <c r="P1813">
        <v>2</v>
      </c>
      <c r="Q1813" t="s">
        <v>37</v>
      </c>
      <c r="R1813">
        <v>52.584999999999901</v>
      </c>
      <c r="S1813">
        <v>9.4</v>
      </c>
      <c r="T1813" s="4">
        <v>42.155999999999999</v>
      </c>
      <c r="U1813" s="4">
        <v>69.527834999999996</v>
      </c>
      <c r="V1813" t="str">
        <f>IF(Table1[[#This Row],[ai_disruption_intensity]]&gt;70,"High",
IF(Table1[[#This Row],[ai_disruption_intensity]]&gt;40,"Medium","Low"))</f>
        <v>Medium</v>
      </c>
      <c r="W1813" t="str">
        <f>IF(Table1[[#This Row],[skill_gap_index]]&gt;70,"Large Gap",
IF(Table1[[#This Row],[skill_gap_index]]&gt;40,"Medium Gap","Small Gap"))</f>
        <v>Small Gap</v>
      </c>
      <c r="X1813" s="3" t="str">
        <f>IF(Table1[[#This Row],[automation_risk_percent]]&gt;0.7,"Highly Automatable",
IF(Table1[[#This Row],[automation_risk_percent]]&gt;0.4,"Moderate Risk","Safe Job"))</f>
        <v>Highly Automatable</v>
      </c>
    </row>
    <row r="1814" spans="1:24" x14ac:dyDescent="0.3">
      <c r="A1814">
        <v>6486</v>
      </c>
      <c r="B1814" t="s">
        <v>41</v>
      </c>
      <c r="C1814" t="s">
        <v>19</v>
      </c>
      <c r="D1814" t="s">
        <v>47</v>
      </c>
      <c r="E1814" s="1">
        <v>2025</v>
      </c>
      <c r="F1814" s="11">
        <v>0.52459999999999996</v>
      </c>
      <c r="G1814">
        <v>50.23</v>
      </c>
      <c r="H1814">
        <v>59.03</v>
      </c>
      <c r="I1814" s="2">
        <v>137150.28</v>
      </c>
      <c r="J1814" s="2">
        <v>137765.06</v>
      </c>
      <c r="K1814" s="2">
        <f>Table1[[#This Row],[Salary_after]]-Table1[[#This Row],[Salary_before]]</f>
        <v>614.77999999999884</v>
      </c>
      <c r="L1814" s="11">
        <v>4.5000000000000005E-3</v>
      </c>
      <c r="M1814" s="11">
        <v>7.0699999999999999E-2</v>
      </c>
      <c r="N1814">
        <v>55.46</v>
      </c>
      <c r="O1814">
        <v>68.19</v>
      </c>
      <c r="P1814">
        <v>1</v>
      </c>
      <c r="Q1814" t="s">
        <v>25</v>
      </c>
      <c r="R1814">
        <v>55.744999999999997</v>
      </c>
      <c r="S1814">
        <v>0.45</v>
      </c>
      <c r="T1814" s="4">
        <v>38.827999999999903</v>
      </c>
      <c r="U1814" s="4">
        <v>35.772473999999903</v>
      </c>
      <c r="V1814" t="str">
        <f>IF(Table1[[#This Row],[ai_disruption_intensity]]&gt;70,"High",
IF(Table1[[#This Row],[ai_disruption_intensity]]&gt;40,"Medium","Low"))</f>
        <v>Low</v>
      </c>
      <c r="W1814" t="str">
        <f>IF(Table1[[#This Row],[skill_gap_index]]&gt;70,"Large Gap",
IF(Table1[[#This Row],[skill_gap_index]]&gt;40,"Medium Gap","Small Gap"))</f>
        <v>Medium Gap</v>
      </c>
      <c r="X1814" s="3" t="str">
        <f>IF(Table1[[#This Row],[automation_risk_percent]]&gt;0.7,"Highly Automatable",
IF(Table1[[#This Row],[automation_risk_percent]]&gt;0.4,"Moderate Risk","Safe Job"))</f>
        <v>Moderate Risk</v>
      </c>
    </row>
    <row r="1815" spans="1:24" x14ac:dyDescent="0.3">
      <c r="A1815">
        <v>6487</v>
      </c>
      <c r="B1815" t="s">
        <v>44</v>
      </c>
      <c r="C1815" t="s">
        <v>33</v>
      </c>
      <c r="D1815" t="s">
        <v>32</v>
      </c>
      <c r="E1815" s="1">
        <v>2025</v>
      </c>
      <c r="F1815" s="11">
        <v>0.56759999999999999</v>
      </c>
      <c r="G1815">
        <v>57.31</v>
      </c>
      <c r="H1815">
        <v>73.7</v>
      </c>
      <c r="I1815" s="2">
        <v>88952.57</v>
      </c>
      <c r="J1815" s="2">
        <v>70210.149999999994</v>
      </c>
      <c r="K1815" s="2">
        <f>Table1[[#This Row],[Salary_after]]-Table1[[#This Row],[Salary_before]]</f>
        <v>-18742.420000000013</v>
      </c>
      <c r="L1815" s="11">
        <v>-0.2107</v>
      </c>
      <c r="M1815" s="11">
        <v>-6.6199999999999995E-2</v>
      </c>
      <c r="N1815">
        <v>79.33</v>
      </c>
      <c r="O1815">
        <v>19.079999999999998</v>
      </c>
      <c r="P1815">
        <v>2</v>
      </c>
      <c r="Q1815" t="s">
        <v>25</v>
      </c>
      <c r="R1815">
        <v>65.23</v>
      </c>
      <c r="S1815">
        <v>21.07</v>
      </c>
      <c r="T1815" s="4">
        <v>51.134999999999998</v>
      </c>
      <c r="U1815" s="4">
        <v>10.8298079999999</v>
      </c>
      <c r="V1815" t="str">
        <f>IF(Table1[[#This Row],[ai_disruption_intensity]]&gt;70,"High",
IF(Table1[[#This Row],[ai_disruption_intensity]]&gt;40,"Medium","Low"))</f>
        <v>Low</v>
      </c>
      <c r="W1815" t="str">
        <f>IF(Table1[[#This Row],[skill_gap_index]]&gt;70,"Large Gap",
IF(Table1[[#This Row],[skill_gap_index]]&gt;40,"Medium Gap","Small Gap"))</f>
        <v>Large Gap</v>
      </c>
      <c r="X1815" s="3" t="str">
        <f>IF(Table1[[#This Row],[automation_risk_percent]]&gt;0.7,"Highly Automatable",
IF(Table1[[#This Row],[automation_risk_percent]]&gt;0.4,"Moderate Risk","Safe Job"))</f>
        <v>Moderate Risk</v>
      </c>
    </row>
    <row r="1816" spans="1:24" x14ac:dyDescent="0.3">
      <c r="A1816">
        <v>6490</v>
      </c>
      <c r="B1816" t="s">
        <v>45</v>
      </c>
      <c r="C1816" t="s">
        <v>40</v>
      </c>
      <c r="D1816" t="s">
        <v>32</v>
      </c>
      <c r="E1816" s="1">
        <v>2025</v>
      </c>
      <c r="F1816" s="11">
        <v>0.55049999999999999</v>
      </c>
      <c r="G1816">
        <v>48.27</v>
      </c>
      <c r="H1816">
        <v>94.87</v>
      </c>
      <c r="I1816" s="2">
        <v>93539.63</v>
      </c>
      <c r="J1816" s="2">
        <v>102385.1</v>
      </c>
      <c r="K1816" s="2">
        <f>Table1[[#This Row],[Salary_after]]-Table1[[#This Row],[Salary_before]]</f>
        <v>8845.4700000000012</v>
      </c>
      <c r="L1816" s="11">
        <v>9.4600000000000004E-2</v>
      </c>
      <c r="M1816" s="11">
        <v>0.18440000000000001</v>
      </c>
      <c r="N1816">
        <v>37.33</v>
      </c>
      <c r="O1816">
        <v>90.12</v>
      </c>
      <c r="P1816">
        <v>1</v>
      </c>
      <c r="Q1816" t="s">
        <v>25</v>
      </c>
      <c r="R1816">
        <v>74.959999999999994</v>
      </c>
      <c r="S1816">
        <v>9.4600000000000009</v>
      </c>
      <c r="T1816" s="4">
        <v>53.319000000000003</v>
      </c>
      <c r="U1816" s="4">
        <v>49.611059999999902</v>
      </c>
      <c r="V1816" t="str">
        <f>IF(Table1[[#This Row],[ai_disruption_intensity]]&gt;70,"High",
IF(Table1[[#This Row],[ai_disruption_intensity]]&gt;40,"Medium","Low"))</f>
        <v>Medium</v>
      </c>
      <c r="W1816" t="str">
        <f>IF(Table1[[#This Row],[skill_gap_index]]&gt;70,"Large Gap",
IF(Table1[[#This Row],[skill_gap_index]]&gt;40,"Medium Gap","Small Gap"))</f>
        <v>Large Gap</v>
      </c>
      <c r="X1816" s="3" t="str">
        <f>IF(Table1[[#This Row],[automation_risk_percent]]&gt;0.7,"Highly Automatable",
IF(Table1[[#This Row],[automation_risk_percent]]&gt;0.4,"Moderate Risk","Safe Job"))</f>
        <v>Moderate Risk</v>
      </c>
    </row>
    <row r="1817" spans="1:24" x14ac:dyDescent="0.3">
      <c r="A1817">
        <v>6492</v>
      </c>
      <c r="B1817" t="s">
        <v>41</v>
      </c>
      <c r="C1817" t="s">
        <v>23</v>
      </c>
      <c r="D1817" t="s">
        <v>20</v>
      </c>
      <c r="E1817" s="1">
        <v>2026</v>
      </c>
      <c r="F1817" s="11">
        <v>0.69739999999999991</v>
      </c>
      <c r="G1817">
        <v>67.040000000000006</v>
      </c>
      <c r="H1817">
        <v>20.46</v>
      </c>
      <c r="I1817" s="2">
        <v>103368.58</v>
      </c>
      <c r="J1817" s="2">
        <v>102072.98</v>
      </c>
      <c r="K1817" s="2">
        <f>Table1[[#This Row],[Salary_after]]-Table1[[#This Row],[Salary_before]]</f>
        <v>-1295.6000000000058</v>
      </c>
      <c r="L1817" s="11">
        <v>-1.2500000000000001E-2</v>
      </c>
      <c r="M1817" s="11">
        <v>0.17699999999999999</v>
      </c>
      <c r="N1817">
        <v>23.21</v>
      </c>
      <c r="O1817">
        <v>30.62</v>
      </c>
      <c r="P1817">
        <v>1</v>
      </c>
      <c r="Q1817" t="s">
        <v>37</v>
      </c>
      <c r="R1817">
        <v>45.099999999999902</v>
      </c>
      <c r="S1817">
        <v>1.25</v>
      </c>
      <c r="T1817" s="4">
        <v>34.408999999999999</v>
      </c>
      <c r="U1817" s="4">
        <v>21.354388</v>
      </c>
      <c r="V1817" t="str">
        <f>IF(Table1[[#This Row],[ai_disruption_intensity]]&gt;70,"High",
IF(Table1[[#This Row],[ai_disruption_intensity]]&gt;40,"Medium","Low"))</f>
        <v>Low</v>
      </c>
      <c r="W1817" t="str">
        <f>IF(Table1[[#This Row],[skill_gap_index]]&gt;70,"Large Gap",
IF(Table1[[#This Row],[skill_gap_index]]&gt;40,"Medium Gap","Small Gap"))</f>
        <v>Small Gap</v>
      </c>
      <c r="X1817" s="3" t="str">
        <f>IF(Table1[[#This Row],[automation_risk_percent]]&gt;0.7,"Highly Automatable",
IF(Table1[[#This Row],[automation_risk_percent]]&gt;0.4,"Moderate Risk","Safe Job"))</f>
        <v>Moderate Risk</v>
      </c>
    </row>
    <row r="1818" spans="1:24" x14ac:dyDescent="0.3">
      <c r="A1818">
        <v>6493</v>
      </c>
      <c r="B1818" t="s">
        <v>39</v>
      </c>
      <c r="C1818" t="s">
        <v>27</v>
      </c>
      <c r="D1818" t="s">
        <v>36</v>
      </c>
      <c r="E1818" s="1">
        <v>2025</v>
      </c>
      <c r="F1818" s="11">
        <v>0.78689999999999993</v>
      </c>
      <c r="G1818">
        <v>66.45</v>
      </c>
      <c r="H1818">
        <v>16.07</v>
      </c>
      <c r="I1818" s="2">
        <v>148821.34</v>
      </c>
      <c r="J1818" s="2">
        <v>154130.82</v>
      </c>
      <c r="K1818" s="2">
        <f>Table1[[#This Row],[Salary_after]]-Table1[[#This Row],[Salary_before]]</f>
        <v>5309.4800000000105</v>
      </c>
      <c r="L1818" s="11">
        <v>3.5699999999999996E-2</v>
      </c>
      <c r="M1818" s="11">
        <v>0.1158</v>
      </c>
      <c r="N1818">
        <v>23.59</v>
      </c>
      <c r="O1818">
        <v>24.05</v>
      </c>
      <c r="P1818">
        <v>5</v>
      </c>
      <c r="Q1818" t="s">
        <v>37</v>
      </c>
      <c r="R1818">
        <v>47.379999999999903</v>
      </c>
      <c r="S1818">
        <v>3.57</v>
      </c>
      <c r="T1818" s="4">
        <v>37.367999999999903</v>
      </c>
      <c r="U1818" s="4">
        <v>18.924945000000001</v>
      </c>
      <c r="V1818" t="str">
        <f>IF(Table1[[#This Row],[ai_disruption_intensity]]&gt;70,"High",
IF(Table1[[#This Row],[ai_disruption_intensity]]&gt;40,"Medium","Low"))</f>
        <v>Low</v>
      </c>
      <c r="W1818" t="str">
        <f>IF(Table1[[#This Row],[skill_gap_index]]&gt;70,"Large Gap",
IF(Table1[[#This Row],[skill_gap_index]]&gt;40,"Medium Gap","Small Gap"))</f>
        <v>Small Gap</v>
      </c>
      <c r="X1818" s="3" t="str">
        <f>IF(Table1[[#This Row],[automation_risk_percent]]&gt;0.7,"Highly Automatable",
IF(Table1[[#This Row],[automation_risk_percent]]&gt;0.4,"Moderate Risk","Safe Job"))</f>
        <v>Highly Automatable</v>
      </c>
    </row>
    <row r="1819" spans="1:24" x14ac:dyDescent="0.3">
      <c r="A1819">
        <v>6496</v>
      </c>
      <c r="B1819" t="s">
        <v>39</v>
      </c>
      <c r="C1819" t="s">
        <v>19</v>
      </c>
      <c r="D1819" t="s">
        <v>28</v>
      </c>
      <c r="E1819" s="1">
        <v>2026</v>
      </c>
      <c r="F1819" s="11">
        <v>0.78420000000000001</v>
      </c>
      <c r="G1819">
        <v>69.38</v>
      </c>
      <c r="H1819">
        <v>53.12</v>
      </c>
      <c r="I1819" s="2">
        <v>119528.28</v>
      </c>
      <c r="J1819" s="2">
        <v>102330.32</v>
      </c>
      <c r="K1819" s="2">
        <f>Table1[[#This Row],[Salary_after]]-Table1[[#This Row],[Salary_before]]</f>
        <v>-17197.959999999992</v>
      </c>
      <c r="L1819" s="11">
        <v>-0.1439</v>
      </c>
      <c r="M1819" s="11">
        <v>-0.12119999999999999</v>
      </c>
      <c r="N1819">
        <v>15.69</v>
      </c>
      <c r="O1819">
        <v>19.010000000000002</v>
      </c>
      <c r="P1819">
        <v>2</v>
      </c>
      <c r="Q1819" t="s">
        <v>37</v>
      </c>
      <c r="R1819">
        <v>65.77</v>
      </c>
      <c r="S1819">
        <v>14.39</v>
      </c>
      <c r="T1819" s="4">
        <v>51.621000000000002</v>
      </c>
      <c r="U1819" s="4">
        <v>14.907641999999999</v>
      </c>
      <c r="V1819" t="str">
        <f>IF(Table1[[#This Row],[ai_disruption_intensity]]&gt;70,"High",
IF(Table1[[#This Row],[ai_disruption_intensity]]&gt;40,"Medium","Low"))</f>
        <v>Low</v>
      </c>
      <c r="W1819" t="str">
        <f>IF(Table1[[#This Row],[skill_gap_index]]&gt;70,"Large Gap",
IF(Table1[[#This Row],[skill_gap_index]]&gt;40,"Medium Gap","Small Gap"))</f>
        <v>Medium Gap</v>
      </c>
      <c r="X1819" s="3" t="str">
        <f>IF(Table1[[#This Row],[automation_risk_percent]]&gt;0.7,"Highly Automatable",
IF(Table1[[#This Row],[automation_risk_percent]]&gt;0.4,"Moderate Risk","Safe Job"))</f>
        <v>Highly Automatable</v>
      </c>
    </row>
    <row r="1820" spans="1:24" x14ac:dyDescent="0.3">
      <c r="A1820">
        <v>6502</v>
      </c>
      <c r="B1820" t="s">
        <v>22</v>
      </c>
      <c r="C1820" t="s">
        <v>23</v>
      </c>
      <c r="D1820" t="s">
        <v>28</v>
      </c>
      <c r="E1820" s="1">
        <v>2025</v>
      </c>
      <c r="F1820" s="11">
        <v>0.50819999999999999</v>
      </c>
      <c r="G1820">
        <v>60.23</v>
      </c>
      <c r="H1820">
        <v>43.59</v>
      </c>
      <c r="I1820" s="2">
        <v>69936.28</v>
      </c>
      <c r="J1820" s="2">
        <v>64585.72</v>
      </c>
      <c r="K1820" s="2">
        <f>Table1[[#This Row],[Salary_after]]-Table1[[#This Row],[Salary_before]]</f>
        <v>-5350.5599999999977</v>
      </c>
      <c r="L1820" s="11">
        <v>-7.6499999999999999E-2</v>
      </c>
      <c r="M1820" s="11">
        <v>0.21829999999999999</v>
      </c>
      <c r="N1820">
        <v>65.650000000000006</v>
      </c>
      <c r="O1820">
        <v>94.63</v>
      </c>
      <c r="P1820">
        <v>1</v>
      </c>
      <c r="Q1820" t="s">
        <v>25</v>
      </c>
      <c r="R1820">
        <v>47.204999999999998</v>
      </c>
      <c r="S1820">
        <v>7.65</v>
      </c>
      <c r="T1820" s="4">
        <v>35.700000000000003</v>
      </c>
      <c r="U1820" s="4">
        <v>48.090966000000002</v>
      </c>
      <c r="V1820" t="str">
        <f>IF(Table1[[#This Row],[ai_disruption_intensity]]&gt;70,"High",
IF(Table1[[#This Row],[ai_disruption_intensity]]&gt;40,"Medium","Low"))</f>
        <v>Medium</v>
      </c>
      <c r="W1820" t="str">
        <f>IF(Table1[[#This Row],[skill_gap_index]]&gt;70,"Large Gap",
IF(Table1[[#This Row],[skill_gap_index]]&gt;40,"Medium Gap","Small Gap"))</f>
        <v>Medium Gap</v>
      </c>
      <c r="X1820" s="3" t="str">
        <f>IF(Table1[[#This Row],[automation_risk_percent]]&gt;0.7,"Highly Automatable",
IF(Table1[[#This Row],[automation_risk_percent]]&gt;0.4,"Moderate Risk","Safe Job"))</f>
        <v>Moderate Risk</v>
      </c>
    </row>
    <row r="1821" spans="1:24" x14ac:dyDescent="0.3">
      <c r="A1821">
        <v>6507</v>
      </c>
      <c r="B1821" t="s">
        <v>45</v>
      </c>
      <c r="C1821" t="s">
        <v>27</v>
      </c>
      <c r="D1821" t="s">
        <v>28</v>
      </c>
      <c r="E1821" s="1">
        <v>2025</v>
      </c>
      <c r="F1821" s="11">
        <v>0.79709999999999992</v>
      </c>
      <c r="G1821">
        <v>72.45</v>
      </c>
      <c r="H1821">
        <v>47.8</v>
      </c>
      <c r="I1821" s="2">
        <v>128593.84</v>
      </c>
      <c r="J1821" s="2">
        <v>124058.74</v>
      </c>
      <c r="K1821" s="2">
        <f>Table1[[#This Row],[Salary_after]]-Table1[[#This Row],[Salary_before]]</f>
        <v>-4535.0999999999913</v>
      </c>
      <c r="L1821" s="11">
        <v>-3.5299999999999998E-2</v>
      </c>
      <c r="M1821" s="11">
        <v>-2.3700000000000002E-2</v>
      </c>
      <c r="N1821">
        <v>24.34</v>
      </c>
      <c r="O1821">
        <v>6.26</v>
      </c>
      <c r="P1821">
        <v>3</v>
      </c>
      <c r="Q1821" t="s">
        <v>37</v>
      </c>
      <c r="R1821">
        <v>63.754999999999903</v>
      </c>
      <c r="S1821">
        <v>3.53</v>
      </c>
      <c r="T1821" s="4">
        <v>47.282999999999902</v>
      </c>
      <c r="U1821" s="4">
        <v>4.9898459999999902</v>
      </c>
      <c r="V1821" t="str">
        <f>IF(Table1[[#This Row],[ai_disruption_intensity]]&gt;70,"High",
IF(Table1[[#This Row],[ai_disruption_intensity]]&gt;40,"Medium","Low"))</f>
        <v>Low</v>
      </c>
      <c r="W1821" t="str">
        <f>IF(Table1[[#This Row],[skill_gap_index]]&gt;70,"Large Gap",
IF(Table1[[#This Row],[skill_gap_index]]&gt;40,"Medium Gap","Small Gap"))</f>
        <v>Medium Gap</v>
      </c>
      <c r="X1821" s="3" t="str">
        <f>IF(Table1[[#This Row],[automation_risk_percent]]&gt;0.7,"Highly Automatable",
IF(Table1[[#This Row],[automation_risk_percent]]&gt;0.4,"Moderate Risk","Safe Job"))</f>
        <v>Highly Automatable</v>
      </c>
    </row>
    <row r="1822" spans="1:24" x14ac:dyDescent="0.3">
      <c r="A1822">
        <v>6508</v>
      </c>
      <c r="B1822" t="s">
        <v>44</v>
      </c>
      <c r="C1822" t="s">
        <v>34</v>
      </c>
      <c r="D1822" t="s">
        <v>24</v>
      </c>
      <c r="E1822" s="1">
        <v>2025</v>
      </c>
      <c r="F1822" s="11">
        <v>0.77249999999999996</v>
      </c>
      <c r="G1822">
        <v>88.33</v>
      </c>
      <c r="H1822">
        <v>87.93</v>
      </c>
      <c r="I1822" s="2">
        <v>134241.62</v>
      </c>
      <c r="J1822" s="2">
        <v>139913.79999999999</v>
      </c>
      <c r="K1822" s="2">
        <f>Table1[[#This Row],[Salary_after]]-Table1[[#This Row],[Salary_before]]</f>
        <v>5672.179999999993</v>
      </c>
      <c r="L1822" s="11">
        <v>4.2300000000000004E-2</v>
      </c>
      <c r="M1822" s="11">
        <v>-1.1999999999999999E-3</v>
      </c>
      <c r="N1822">
        <v>75.510000000000005</v>
      </c>
      <c r="O1822">
        <v>92.54</v>
      </c>
      <c r="P1822">
        <v>2</v>
      </c>
      <c r="Q1822" t="s">
        <v>37</v>
      </c>
      <c r="R1822">
        <v>82.59</v>
      </c>
      <c r="S1822">
        <v>4.2300000000000004</v>
      </c>
      <c r="T1822" s="4">
        <v>58.548000000000002</v>
      </c>
      <c r="U1822" s="4">
        <v>71.48715</v>
      </c>
      <c r="V1822" t="str">
        <f>IF(Table1[[#This Row],[ai_disruption_intensity]]&gt;70,"High",
IF(Table1[[#This Row],[ai_disruption_intensity]]&gt;40,"Medium","Low"))</f>
        <v>High</v>
      </c>
      <c r="W1822" t="str">
        <f>IF(Table1[[#This Row],[skill_gap_index]]&gt;70,"Large Gap",
IF(Table1[[#This Row],[skill_gap_index]]&gt;40,"Medium Gap","Small Gap"))</f>
        <v>Large Gap</v>
      </c>
      <c r="X1822" s="3" t="str">
        <f>IF(Table1[[#This Row],[automation_risk_percent]]&gt;0.7,"Highly Automatable",
IF(Table1[[#This Row],[automation_risk_percent]]&gt;0.4,"Moderate Risk","Safe Job"))</f>
        <v>Highly Automatable</v>
      </c>
    </row>
    <row r="1823" spans="1:24" x14ac:dyDescent="0.3">
      <c r="A1823">
        <v>6509</v>
      </c>
      <c r="B1823" t="s">
        <v>18</v>
      </c>
      <c r="C1823" t="s">
        <v>40</v>
      </c>
      <c r="D1823" t="s">
        <v>20</v>
      </c>
      <c r="E1823" s="1">
        <v>2026</v>
      </c>
      <c r="F1823" s="11">
        <v>0.2535</v>
      </c>
      <c r="G1823">
        <v>24.48</v>
      </c>
      <c r="H1823">
        <v>29.49</v>
      </c>
      <c r="I1823" s="2">
        <v>60950.14</v>
      </c>
      <c r="J1823" s="2">
        <v>54830.559999999998</v>
      </c>
      <c r="K1823" s="2">
        <f>Table1[[#This Row],[Salary_after]]-Table1[[#This Row],[Salary_before]]</f>
        <v>-6119.5800000000017</v>
      </c>
      <c r="L1823" s="11">
        <v>-0.10039999999999999</v>
      </c>
      <c r="M1823" s="11">
        <v>9.5500000000000002E-2</v>
      </c>
      <c r="N1823">
        <v>51.83</v>
      </c>
      <c r="O1823">
        <v>64.66</v>
      </c>
      <c r="P1823">
        <v>3</v>
      </c>
      <c r="Q1823" t="s">
        <v>21</v>
      </c>
      <c r="R1823">
        <v>27.42</v>
      </c>
      <c r="S1823">
        <v>10.039999999999999</v>
      </c>
      <c r="T1823" s="4">
        <v>21.998999999999999</v>
      </c>
      <c r="U1823" s="4">
        <v>16.391310000000001</v>
      </c>
      <c r="V1823" t="str">
        <f>IF(Table1[[#This Row],[ai_disruption_intensity]]&gt;70,"High",
IF(Table1[[#This Row],[ai_disruption_intensity]]&gt;40,"Medium","Low"))</f>
        <v>Low</v>
      </c>
      <c r="W1823" t="str">
        <f>IF(Table1[[#This Row],[skill_gap_index]]&gt;70,"Large Gap",
IF(Table1[[#This Row],[skill_gap_index]]&gt;40,"Medium Gap","Small Gap"))</f>
        <v>Small Gap</v>
      </c>
      <c r="X1823" s="3" t="str">
        <f>IF(Table1[[#This Row],[automation_risk_percent]]&gt;0.7,"Highly Automatable",
IF(Table1[[#This Row],[automation_risk_percent]]&gt;0.4,"Moderate Risk","Safe Job"))</f>
        <v>Safe Job</v>
      </c>
    </row>
    <row r="1824" spans="1:24" x14ac:dyDescent="0.3">
      <c r="A1824">
        <v>6520</v>
      </c>
      <c r="B1824" t="s">
        <v>41</v>
      </c>
      <c r="C1824" t="s">
        <v>40</v>
      </c>
      <c r="D1824" t="s">
        <v>32</v>
      </c>
      <c r="E1824" s="1">
        <v>2026</v>
      </c>
      <c r="F1824" s="11">
        <v>0.42060000000000003</v>
      </c>
      <c r="G1824">
        <v>38.32</v>
      </c>
      <c r="H1824">
        <v>5.87</v>
      </c>
      <c r="I1824" s="2">
        <v>43237.77</v>
      </c>
      <c r="J1824" s="2">
        <v>47134.239999999998</v>
      </c>
      <c r="K1824" s="2">
        <f>Table1[[#This Row],[Salary_after]]-Table1[[#This Row],[Salary_before]]</f>
        <v>3896.4700000000012</v>
      </c>
      <c r="L1824" s="11">
        <v>9.01E-2</v>
      </c>
      <c r="M1824" s="11">
        <v>-6.6799999999999998E-2</v>
      </c>
      <c r="N1824">
        <v>26.58</v>
      </c>
      <c r="O1824">
        <v>52.18</v>
      </c>
      <c r="P1824">
        <v>3</v>
      </c>
      <c r="Q1824" t="s">
        <v>25</v>
      </c>
      <c r="R1824">
        <v>23.965</v>
      </c>
      <c r="S1824">
        <v>9.01</v>
      </c>
      <c r="T1824" s="4">
        <v>21.288</v>
      </c>
      <c r="U1824" s="4">
        <v>21.946908000000001</v>
      </c>
      <c r="V1824" t="str">
        <f>IF(Table1[[#This Row],[ai_disruption_intensity]]&gt;70,"High",
IF(Table1[[#This Row],[ai_disruption_intensity]]&gt;40,"Medium","Low"))</f>
        <v>Low</v>
      </c>
      <c r="W1824" t="str">
        <f>IF(Table1[[#This Row],[skill_gap_index]]&gt;70,"Large Gap",
IF(Table1[[#This Row],[skill_gap_index]]&gt;40,"Medium Gap","Small Gap"))</f>
        <v>Small Gap</v>
      </c>
      <c r="X1824" s="3" t="str">
        <f>IF(Table1[[#This Row],[automation_risk_percent]]&gt;0.7,"Highly Automatable",
IF(Table1[[#This Row],[automation_risk_percent]]&gt;0.4,"Moderate Risk","Safe Job"))</f>
        <v>Moderate Risk</v>
      </c>
    </row>
    <row r="1825" spans="1:24" x14ac:dyDescent="0.3">
      <c r="A1825">
        <v>6525</v>
      </c>
      <c r="B1825" t="s">
        <v>46</v>
      </c>
      <c r="C1825" t="s">
        <v>27</v>
      </c>
      <c r="D1825" t="s">
        <v>20</v>
      </c>
      <c r="E1825" s="1">
        <v>2026</v>
      </c>
      <c r="F1825" s="11">
        <v>0.24440000000000001</v>
      </c>
      <c r="G1825">
        <v>21.58</v>
      </c>
      <c r="H1825">
        <v>66.2</v>
      </c>
      <c r="I1825" s="2">
        <v>123901.96</v>
      </c>
      <c r="J1825" s="2">
        <v>118688.9</v>
      </c>
      <c r="K1825" s="2">
        <f>Table1[[#This Row],[Salary_after]]-Table1[[#This Row],[Salary_before]]</f>
        <v>-5213.0600000000122</v>
      </c>
      <c r="L1825" s="11">
        <v>-4.2099999999999999E-2</v>
      </c>
      <c r="M1825" s="11">
        <v>0.1303</v>
      </c>
      <c r="N1825">
        <v>57.21</v>
      </c>
      <c r="O1825">
        <v>66.33</v>
      </c>
      <c r="P1825">
        <v>2</v>
      </c>
      <c r="Q1825" t="s">
        <v>21</v>
      </c>
      <c r="R1825">
        <v>45.32</v>
      </c>
      <c r="S1825">
        <v>4.21</v>
      </c>
      <c r="T1825" s="4">
        <v>30.899000000000001</v>
      </c>
      <c r="U1825" s="4">
        <v>16.211051999999999</v>
      </c>
      <c r="V1825" t="str">
        <f>IF(Table1[[#This Row],[ai_disruption_intensity]]&gt;70,"High",
IF(Table1[[#This Row],[ai_disruption_intensity]]&gt;40,"Medium","Low"))</f>
        <v>Low</v>
      </c>
      <c r="W1825" t="str">
        <f>IF(Table1[[#This Row],[skill_gap_index]]&gt;70,"Large Gap",
IF(Table1[[#This Row],[skill_gap_index]]&gt;40,"Medium Gap","Small Gap"))</f>
        <v>Medium Gap</v>
      </c>
      <c r="X1825" s="3" t="str">
        <f>IF(Table1[[#This Row],[automation_risk_percent]]&gt;0.7,"Highly Automatable",
IF(Table1[[#This Row],[automation_risk_percent]]&gt;0.4,"Moderate Risk","Safe Job"))</f>
        <v>Safe Job</v>
      </c>
    </row>
    <row r="1826" spans="1:24" x14ac:dyDescent="0.3">
      <c r="A1826">
        <v>6527</v>
      </c>
      <c r="B1826" t="s">
        <v>41</v>
      </c>
      <c r="C1826" t="s">
        <v>38</v>
      </c>
      <c r="D1826" t="s">
        <v>20</v>
      </c>
      <c r="E1826" s="1">
        <v>2025</v>
      </c>
      <c r="F1826" s="11">
        <v>0.56879999999999997</v>
      </c>
      <c r="G1826">
        <v>53.97</v>
      </c>
      <c r="H1826">
        <v>59.11</v>
      </c>
      <c r="I1826" s="2">
        <v>68799.070000000007</v>
      </c>
      <c r="J1826" s="2">
        <v>60662.9</v>
      </c>
      <c r="K1826" s="2">
        <f>Table1[[#This Row],[Salary_after]]-Table1[[#This Row],[Salary_before]]</f>
        <v>-8136.1700000000055</v>
      </c>
      <c r="L1826" s="11">
        <v>-0.1183</v>
      </c>
      <c r="M1826" s="11">
        <v>0.10439999999999999</v>
      </c>
      <c r="N1826">
        <v>78.19</v>
      </c>
      <c r="O1826">
        <v>78.16</v>
      </c>
      <c r="P1826">
        <v>1</v>
      </c>
      <c r="Q1826" t="s">
        <v>25</v>
      </c>
      <c r="R1826">
        <v>57.994999999999997</v>
      </c>
      <c r="S1826">
        <v>11.83</v>
      </c>
      <c r="T1826" s="4">
        <v>44.033999999999999</v>
      </c>
      <c r="U1826" s="4">
        <v>44.457407999999901</v>
      </c>
      <c r="V1826" t="str">
        <f>IF(Table1[[#This Row],[ai_disruption_intensity]]&gt;70,"High",
IF(Table1[[#This Row],[ai_disruption_intensity]]&gt;40,"Medium","Low"))</f>
        <v>Medium</v>
      </c>
      <c r="W1826" t="str">
        <f>IF(Table1[[#This Row],[skill_gap_index]]&gt;70,"Large Gap",
IF(Table1[[#This Row],[skill_gap_index]]&gt;40,"Medium Gap","Small Gap"))</f>
        <v>Medium Gap</v>
      </c>
      <c r="X1826" s="3" t="str">
        <f>IF(Table1[[#This Row],[automation_risk_percent]]&gt;0.7,"Highly Automatable",
IF(Table1[[#This Row],[automation_risk_percent]]&gt;0.4,"Moderate Risk","Safe Job"))</f>
        <v>Moderate Risk</v>
      </c>
    </row>
    <row r="1827" spans="1:24" x14ac:dyDescent="0.3">
      <c r="A1827">
        <v>6534</v>
      </c>
      <c r="B1827" t="s">
        <v>22</v>
      </c>
      <c r="C1827" t="s">
        <v>33</v>
      </c>
      <c r="D1827" t="s">
        <v>31</v>
      </c>
      <c r="E1827" s="1">
        <v>2025</v>
      </c>
      <c r="F1827" s="11">
        <v>0.4279</v>
      </c>
      <c r="G1827">
        <v>41.07</v>
      </c>
      <c r="H1827">
        <v>62.49</v>
      </c>
      <c r="I1827" s="2">
        <v>134102.12</v>
      </c>
      <c r="J1827" s="2">
        <v>139734.92000000001</v>
      </c>
      <c r="K1827" s="2">
        <f>Table1[[#This Row],[Salary_after]]-Table1[[#This Row],[Salary_before]]</f>
        <v>5632.8000000000175</v>
      </c>
      <c r="L1827" s="11">
        <v>4.2000000000000003E-2</v>
      </c>
      <c r="M1827" s="11">
        <v>-0.1328</v>
      </c>
      <c r="N1827">
        <v>43.42</v>
      </c>
      <c r="O1827">
        <v>4.03</v>
      </c>
      <c r="P1827">
        <v>3</v>
      </c>
      <c r="Q1827" t="s">
        <v>25</v>
      </c>
      <c r="R1827">
        <v>52.64</v>
      </c>
      <c r="S1827">
        <v>4.2</v>
      </c>
      <c r="T1827" s="4">
        <v>37.122999999999998</v>
      </c>
      <c r="U1827" s="4">
        <v>1.724437</v>
      </c>
      <c r="V1827" t="str">
        <f>IF(Table1[[#This Row],[ai_disruption_intensity]]&gt;70,"High",
IF(Table1[[#This Row],[ai_disruption_intensity]]&gt;40,"Medium","Low"))</f>
        <v>Low</v>
      </c>
      <c r="W1827" t="str">
        <f>IF(Table1[[#This Row],[skill_gap_index]]&gt;70,"Large Gap",
IF(Table1[[#This Row],[skill_gap_index]]&gt;40,"Medium Gap","Small Gap"))</f>
        <v>Medium Gap</v>
      </c>
      <c r="X1827" s="3" t="str">
        <f>IF(Table1[[#This Row],[automation_risk_percent]]&gt;0.7,"Highly Automatable",
IF(Table1[[#This Row],[automation_risk_percent]]&gt;0.4,"Moderate Risk","Safe Job"))</f>
        <v>Moderate Risk</v>
      </c>
    </row>
    <row r="1828" spans="1:24" x14ac:dyDescent="0.3">
      <c r="A1828">
        <v>6537</v>
      </c>
      <c r="B1828" t="s">
        <v>26</v>
      </c>
      <c r="C1828" t="s">
        <v>19</v>
      </c>
      <c r="D1828" t="s">
        <v>42</v>
      </c>
      <c r="E1828" s="1">
        <v>2026</v>
      </c>
      <c r="F1828" s="11">
        <v>0.61419999999999997</v>
      </c>
      <c r="G1828">
        <v>64.3</v>
      </c>
      <c r="H1828">
        <v>39.369999999999997</v>
      </c>
      <c r="I1828" s="2">
        <v>103206.91</v>
      </c>
      <c r="J1828" s="2">
        <v>95371.94</v>
      </c>
      <c r="K1828" s="2">
        <f>Table1[[#This Row],[Salary_after]]-Table1[[#This Row],[Salary_before]]</f>
        <v>-7834.9700000000012</v>
      </c>
      <c r="L1828" s="11">
        <v>-7.5899999999999995E-2</v>
      </c>
      <c r="M1828" s="11">
        <v>6.6E-3</v>
      </c>
      <c r="N1828">
        <v>96.78</v>
      </c>
      <c r="O1828">
        <v>56.32</v>
      </c>
      <c r="P1828">
        <v>3</v>
      </c>
      <c r="Q1828" t="s">
        <v>37</v>
      </c>
      <c r="R1828">
        <v>50.394999999999897</v>
      </c>
      <c r="S1828">
        <v>7.59</v>
      </c>
      <c r="T1828" s="4">
        <v>38.655999999999999</v>
      </c>
      <c r="U1828" s="4">
        <v>34.591743999999998</v>
      </c>
      <c r="V1828" t="str">
        <f>IF(Table1[[#This Row],[ai_disruption_intensity]]&gt;70,"High",
IF(Table1[[#This Row],[ai_disruption_intensity]]&gt;40,"Medium","Low"))</f>
        <v>Low</v>
      </c>
      <c r="W1828" t="str">
        <f>IF(Table1[[#This Row],[skill_gap_index]]&gt;70,"Large Gap",
IF(Table1[[#This Row],[skill_gap_index]]&gt;40,"Medium Gap","Small Gap"))</f>
        <v>Small Gap</v>
      </c>
      <c r="X1828" s="3" t="str">
        <f>IF(Table1[[#This Row],[automation_risk_percent]]&gt;0.7,"Highly Automatable",
IF(Table1[[#This Row],[automation_risk_percent]]&gt;0.4,"Moderate Risk","Safe Job"))</f>
        <v>Moderate Risk</v>
      </c>
    </row>
    <row r="1829" spans="1:24" x14ac:dyDescent="0.3">
      <c r="A1829">
        <v>6538</v>
      </c>
      <c r="B1829" t="s">
        <v>43</v>
      </c>
      <c r="C1829" t="s">
        <v>33</v>
      </c>
      <c r="D1829" t="s">
        <v>20</v>
      </c>
      <c r="E1829" s="1">
        <v>2025</v>
      </c>
      <c r="F1829" s="11">
        <v>0.1051</v>
      </c>
      <c r="G1829">
        <v>9.7200000000000006</v>
      </c>
      <c r="H1829">
        <v>15.95</v>
      </c>
      <c r="I1829" s="2">
        <v>60982</v>
      </c>
      <c r="J1829" s="2">
        <v>66815.899999999994</v>
      </c>
      <c r="K1829" s="2">
        <f>Table1[[#This Row],[Salary_after]]-Table1[[#This Row],[Salary_before]]</f>
        <v>5833.8999999999942</v>
      </c>
      <c r="L1829" s="11">
        <v>9.5700000000000007E-2</v>
      </c>
      <c r="M1829" s="11">
        <v>0.10460000000000001</v>
      </c>
      <c r="N1829">
        <v>41.27</v>
      </c>
      <c r="O1829">
        <v>52.25</v>
      </c>
      <c r="P1829">
        <v>1</v>
      </c>
      <c r="Q1829" t="s">
        <v>21</v>
      </c>
      <c r="R1829">
        <v>13.23</v>
      </c>
      <c r="S1829">
        <v>9.57</v>
      </c>
      <c r="T1829" s="4">
        <v>11.86</v>
      </c>
      <c r="U1829" s="4">
        <v>5.4914750000000003</v>
      </c>
      <c r="V1829" t="str">
        <f>IF(Table1[[#This Row],[ai_disruption_intensity]]&gt;70,"High",
IF(Table1[[#This Row],[ai_disruption_intensity]]&gt;40,"Medium","Low"))</f>
        <v>Low</v>
      </c>
      <c r="W1829" t="str">
        <f>IF(Table1[[#This Row],[skill_gap_index]]&gt;70,"Large Gap",
IF(Table1[[#This Row],[skill_gap_index]]&gt;40,"Medium Gap","Small Gap"))</f>
        <v>Small Gap</v>
      </c>
      <c r="X1829" s="3" t="str">
        <f>IF(Table1[[#This Row],[automation_risk_percent]]&gt;0.7,"Highly Automatable",
IF(Table1[[#This Row],[automation_risk_percent]]&gt;0.4,"Moderate Risk","Safe Job"))</f>
        <v>Safe Job</v>
      </c>
    </row>
    <row r="1830" spans="1:24" x14ac:dyDescent="0.3">
      <c r="A1830">
        <v>6540</v>
      </c>
      <c r="B1830" t="s">
        <v>29</v>
      </c>
      <c r="C1830" t="s">
        <v>23</v>
      </c>
      <c r="D1830" t="s">
        <v>28</v>
      </c>
      <c r="E1830" s="1">
        <v>2025</v>
      </c>
      <c r="F1830" s="11">
        <v>0.38829999999999998</v>
      </c>
      <c r="G1830">
        <v>35.5</v>
      </c>
      <c r="H1830">
        <v>94.79</v>
      </c>
      <c r="I1830" s="2">
        <v>56518.52</v>
      </c>
      <c r="J1830" s="2">
        <v>45228.52</v>
      </c>
      <c r="K1830" s="2">
        <f>Table1[[#This Row],[Salary_after]]-Table1[[#This Row],[Salary_before]]</f>
        <v>-11290</v>
      </c>
      <c r="L1830" s="11">
        <v>-0.19980000000000001</v>
      </c>
      <c r="M1830" s="11">
        <v>-3.1800000000000002E-2</v>
      </c>
      <c r="N1830">
        <v>54.1</v>
      </c>
      <c r="O1830">
        <v>23.66</v>
      </c>
      <c r="P1830">
        <v>3</v>
      </c>
      <c r="Q1830" t="s">
        <v>25</v>
      </c>
      <c r="R1830">
        <v>66.81</v>
      </c>
      <c r="S1830">
        <v>19.98</v>
      </c>
      <c r="T1830" s="4">
        <v>49.963000000000001</v>
      </c>
      <c r="U1830" s="4">
        <v>9.1871779999999994</v>
      </c>
      <c r="V1830" t="str">
        <f>IF(Table1[[#This Row],[ai_disruption_intensity]]&gt;70,"High",
IF(Table1[[#This Row],[ai_disruption_intensity]]&gt;40,"Medium","Low"))</f>
        <v>Low</v>
      </c>
      <c r="W1830" t="str">
        <f>IF(Table1[[#This Row],[skill_gap_index]]&gt;70,"Large Gap",
IF(Table1[[#This Row],[skill_gap_index]]&gt;40,"Medium Gap","Small Gap"))</f>
        <v>Large Gap</v>
      </c>
      <c r="X1830" s="3" t="str">
        <f>IF(Table1[[#This Row],[automation_risk_percent]]&gt;0.7,"Highly Automatable",
IF(Table1[[#This Row],[automation_risk_percent]]&gt;0.4,"Moderate Risk","Safe Job"))</f>
        <v>Safe Job</v>
      </c>
    </row>
    <row r="1831" spans="1:24" x14ac:dyDescent="0.3">
      <c r="A1831">
        <v>6543</v>
      </c>
      <c r="B1831" t="s">
        <v>43</v>
      </c>
      <c r="C1831" t="s">
        <v>40</v>
      </c>
      <c r="D1831" t="s">
        <v>42</v>
      </c>
      <c r="E1831" s="1">
        <v>2026</v>
      </c>
      <c r="F1831" s="11">
        <v>0.64489999999999992</v>
      </c>
      <c r="G1831">
        <v>65.03</v>
      </c>
      <c r="H1831">
        <v>82.1</v>
      </c>
      <c r="I1831" s="2">
        <v>109994.81</v>
      </c>
      <c r="J1831" s="2">
        <v>117157.99</v>
      </c>
      <c r="K1831" s="2">
        <f>Table1[[#This Row],[Salary_after]]-Table1[[#This Row],[Salary_before]]</f>
        <v>7163.1800000000076</v>
      </c>
      <c r="L1831" s="11">
        <v>6.5099999999999991E-2</v>
      </c>
      <c r="M1831" s="11">
        <v>5.7599999999999998E-2</v>
      </c>
      <c r="N1831">
        <v>21.72</v>
      </c>
      <c r="O1831">
        <v>99.3</v>
      </c>
      <c r="P1831">
        <v>1</v>
      </c>
      <c r="Q1831" t="s">
        <v>37</v>
      </c>
      <c r="R1831">
        <v>73.294999999999902</v>
      </c>
      <c r="S1831">
        <v>6.51</v>
      </c>
      <c r="T1831" s="4">
        <v>52.378999999999998</v>
      </c>
      <c r="U1831" s="4">
        <v>64.038569999999893</v>
      </c>
      <c r="V1831" t="str">
        <f>IF(Table1[[#This Row],[ai_disruption_intensity]]&gt;70,"High",
IF(Table1[[#This Row],[ai_disruption_intensity]]&gt;40,"Medium","Low"))</f>
        <v>Medium</v>
      </c>
      <c r="W1831" t="str">
        <f>IF(Table1[[#This Row],[skill_gap_index]]&gt;70,"Large Gap",
IF(Table1[[#This Row],[skill_gap_index]]&gt;40,"Medium Gap","Small Gap"))</f>
        <v>Large Gap</v>
      </c>
      <c r="X1831" s="3" t="str">
        <f>IF(Table1[[#This Row],[automation_risk_percent]]&gt;0.7,"Highly Automatable",
IF(Table1[[#This Row],[automation_risk_percent]]&gt;0.4,"Moderate Risk","Safe Job"))</f>
        <v>Moderate Risk</v>
      </c>
    </row>
    <row r="1832" spans="1:24" x14ac:dyDescent="0.3">
      <c r="A1832">
        <v>6544</v>
      </c>
      <c r="B1832" t="s">
        <v>39</v>
      </c>
      <c r="C1832" t="s">
        <v>34</v>
      </c>
      <c r="D1832" t="s">
        <v>20</v>
      </c>
      <c r="E1832" s="1">
        <v>2026</v>
      </c>
      <c r="F1832" s="11">
        <v>0.20809999999999998</v>
      </c>
      <c r="G1832">
        <v>20.65</v>
      </c>
      <c r="H1832">
        <v>23.14</v>
      </c>
      <c r="I1832" s="2">
        <v>62629.64</v>
      </c>
      <c r="J1832" s="2">
        <v>60429.17</v>
      </c>
      <c r="K1832" s="2">
        <f>Table1[[#This Row],[Salary_after]]-Table1[[#This Row],[Salary_before]]</f>
        <v>-2200.4700000000012</v>
      </c>
      <c r="L1832" s="11">
        <v>-3.5099999999999999E-2</v>
      </c>
      <c r="M1832" s="11">
        <v>0.06</v>
      </c>
      <c r="N1832">
        <v>94.67</v>
      </c>
      <c r="O1832">
        <v>27.96</v>
      </c>
      <c r="P1832">
        <v>2</v>
      </c>
      <c r="Q1832" t="s">
        <v>21</v>
      </c>
      <c r="R1832">
        <v>21.975000000000001</v>
      </c>
      <c r="S1832">
        <v>3.51</v>
      </c>
      <c r="T1832" s="4">
        <v>16.318999999999999</v>
      </c>
      <c r="U1832" s="4">
        <v>5.8184759999999898</v>
      </c>
      <c r="V1832" t="str">
        <f>IF(Table1[[#This Row],[ai_disruption_intensity]]&gt;70,"High",
IF(Table1[[#This Row],[ai_disruption_intensity]]&gt;40,"Medium","Low"))</f>
        <v>Low</v>
      </c>
      <c r="W1832" t="str">
        <f>IF(Table1[[#This Row],[skill_gap_index]]&gt;70,"Large Gap",
IF(Table1[[#This Row],[skill_gap_index]]&gt;40,"Medium Gap","Small Gap"))</f>
        <v>Small Gap</v>
      </c>
      <c r="X1832" s="3" t="str">
        <f>IF(Table1[[#This Row],[automation_risk_percent]]&gt;0.7,"Highly Automatable",
IF(Table1[[#This Row],[automation_risk_percent]]&gt;0.4,"Moderate Risk","Safe Job"))</f>
        <v>Safe Job</v>
      </c>
    </row>
    <row r="1833" spans="1:24" x14ac:dyDescent="0.3">
      <c r="A1833">
        <v>6545</v>
      </c>
      <c r="B1833" t="s">
        <v>44</v>
      </c>
      <c r="C1833" t="s">
        <v>38</v>
      </c>
      <c r="D1833" t="s">
        <v>32</v>
      </c>
      <c r="E1833" s="1">
        <v>2025</v>
      </c>
      <c r="F1833" s="11">
        <v>0.2908</v>
      </c>
      <c r="G1833">
        <v>33.31</v>
      </c>
      <c r="H1833">
        <v>76.48</v>
      </c>
      <c r="I1833" s="2">
        <v>110606.63</v>
      </c>
      <c r="J1833" s="2">
        <v>115198.45</v>
      </c>
      <c r="K1833" s="2">
        <f>Table1[[#This Row],[Salary_after]]-Table1[[#This Row],[Salary_before]]</f>
        <v>4591.8199999999924</v>
      </c>
      <c r="L1833" s="11">
        <v>4.1500000000000002E-2</v>
      </c>
      <c r="M1833" s="11">
        <v>-4.5000000000000005E-3</v>
      </c>
      <c r="N1833">
        <v>42.47</v>
      </c>
      <c r="O1833">
        <v>99.39</v>
      </c>
      <c r="P1833">
        <v>3</v>
      </c>
      <c r="Q1833" t="s">
        <v>21</v>
      </c>
      <c r="R1833">
        <v>52.78</v>
      </c>
      <c r="S1833">
        <v>4.1500000000000004</v>
      </c>
      <c r="T1833" s="4">
        <v>35.820999999999998</v>
      </c>
      <c r="U1833" s="4">
        <v>28.902611999999898</v>
      </c>
      <c r="V1833" t="str">
        <f>IF(Table1[[#This Row],[ai_disruption_intensity]]&gt;70,"High",
IF(Table1[[#This Row],[ai_disruption_intensity]]&gt;40,"Medium","Low"))</f>
        <v>Low</v>
      </c>
      <c r="W1833" t="str">
        <f>IF(Table1[[#This Row],[skill_gap_index]]&gt;70,"Large Gap",
IF(Table1[[#This Row],[skill_gap_index]]&gt;40,"Medium Gap","Small Gap"))</f>
        <v>Large Gap</v>
      </c>
      <c r="X1833" s="3" t="str">
        <f>IF(Table1[[#This Row],[automation_risk_percent]]&gt;0.7,"Highly Automatable",
IF(Table1[[#This Row],[automation_risk_percent]]&gt;0.4,"Moderate Risk","Safe Job"))</f>
        <v>Safe Job</v>
      </c>
    </row>
    <row r="1834" spans="1:24" x14ac:dyDescent="0.3">
      <c r="A1834">
        <v>6549</v>
      </c>
      <c r="B1834" t="s">
        <v>41</v>
      </c>
      <c r="C1834" t="s">
        <v>38</v>
      </c>
      <c r="D1834" t="s">
        <v>31</v>
      </c>
      <c r="E1834" s="1">
        <v>2026</v>
      </c>
      <c r="F1834" s="11">
        <v>0.3775</v>
      </c>
      <c r="G1834">
        <v>38.89</v>
      </c>
      <c r="H1834">
        <v>3.94</v>
      </c>
      <c r="I1834" s="2">
        <v>146696.53</v>
      </c>
      <c r="J1834" s="2">
        <v>138696.76999999999</v>
      </c>
      <c r="K1834" s="2">
        <f>Table1[[#This Row],[Salary_after]]-Table1[[#This Row],[Salary_before]]</f>
        <v>-7999.7600000000093</v>
      </c>
      <c r="L1834" s="11">
        <v>-5.45E-2</v>
      </c>
      <c r="M1834" s="11">
        <v>0.12429999999999999</v>
      </c>
      <c r="N1834">
        <v>47.7</v>
      </c>
      <c r="O1834">
        <v>39.53</v>
      </c>
      <c r="P1834">
        <v>3</v>
      </c>
      <c r="Q1834" t="s">
        <v>25</v>
      </c>
      <c r="R1834">
        <v>20.844999999999999</v>
      </c>
      <c r="S1834">
        <v>5.45</v>
      </c>
      <c r="T1834" s="4">
        <v>17.917000000000002</v>
      </c>
      <c r="U1834" s="4">
        <v>14.922575</v>
      </c>
      <c r="V1834" t="str">
        <f>IF(Table1[[#This Row],[ai_disruption_intensity]]&gt;70,"High",
IF(Table1[[#This Row],[ai_disruption_intensity]]&gt;40,"Medium","Low"))</f>
        <v>Low</v>
      </c>
      <c r="W1834" t="str">
        <f>IF(Table1[[#This Row],[skill_gap_index]]&gt;70,"Large Gap",
IF(Table1[[#This Row],[skill_gap_index]]&gt;40,"Medium Gap","Small Gap"))</f>
        <v>Small Gap</v>
      </c>
      <c r="X1834" s="3" t="str">
        <f>IF(Table1[[#This Row],[automation_risk_percent]]&gt;0.7,"Highly Automatable",
IF(Table1[[#This Row],[automation_risk_percent]]&gt;0.4,"Moderate Risk","Safe Job"))</f>
        <v>Safe Job</v>
      </c>
    </row>
    <row r="1835" spans="1:24" x14ac:dyDescent="0.3">
      <c r="A1835">
        <v>6553</v>
      </c>
      <c r="B1835" t="s">
        <v>18</v>
      </c>
      <c r="C1835" t="s">
        <v>40</v>
      </c>
      <c r="D1835" t="s">
        <v>32</v>
      </c>
      <c r="E1835" s="1">
        <v>2025</v>
      </c>
      <c r="F1835" s="11">
        <v>0.14169999999999999</v>
      </c>
      <c r="G1835">
        <v>12.27</v>
      </c>
      <c r="H1835">
        <v>40.17</v>
      </c>
      <c r="I1835" s="2">
        <v>72416.039999999994</v>
      </c>
      <c r="J1835" s="2">
        <v>73207.38</v>
      </c>
      <c r="K1835" s="2">
        <f>Table1[[#This Row],[Salary_after]]-Table1[[#This Row],[Salary_before]]</f>
        <v>791.34000000001106</v>
      </c>
      <c r="L1835" s="11">
        <v>1.09E-2</v>
      </c>
      <c r="M1835" s="11">
        <v>0.14480000000000001</v>
      </c>
      <c r="N1835">
        <v>66.44</v>
      </c>
      <c r="O1835">
        <v>68.87</v>
      </c>
      <c r="P1835">
        <v>1</v>
      </c>
      <c r="Q1835" t="s">
        <v>21</v>
      </c>
      <c r="R1835">
        <v>27.17</v>
      </c>
      <c r="S1835">
        <v>1.0900000000000001</v>
      </c>
      <c r="T1835" s="4">
        <v>18.045999999999999</v>
      </c>
      <c r="U1835" s="4">
        <v>9.7588790000000003</v>
      </c>
      <c r="V1835" t="str">
        <f>IF(Table1[[#This Row],[ai_disruption_intensity]]&gt;70,"High",
IF(Table1[[#This Row],[ai_disruption_intensity]]&gt;40,"Medium","Low"))</f>
        <v>Low</v>
      </c>
      <c r="W1835" t="str">
        <f>IF(Table1[[#This Row],[skill_gap_index]]&gt;70,"Large Gap",
IF(Table1[[#This Row],[skill_gap_index]]&gt;40,"Medium Gap","Small Gap"))</f>
        <v>Medium Gap</v>
      </c>
      <c r="X1835" s="3" t="str">
        <f>IF(Table1[[#This Row],[automation_risk_percent]]&gt;0.7,"Highly Automatable",
IF(Table1[[#This Row],[automation_risk_percent]]&gt;0.4,"Moderate Risk","Safe Job"))</f>
        <v>Safe Job</v>
      </c>
    </row>
    <row r="1836" spans="1:24" x14ac:dyDescent="0.3">
      <c r="A1836">
        <v>6554</v>
      </c>
      <c r="B1836" t="s">
        <v>43</v>
      </c>
      <c r="C1836" t="s">
        <v>40</v>
      </c>
      <c r="D1836" t="s">
        <v>47</v>
      </c>
      <c r="E1836" s="1">
        <v>2026</v>
      </c>
      <c r="F1836" s="11">
        <v>0.47210000000000002</v>
      </c>
      <c r="G1836">
        <v>52.31</v>
      </c>
      <c r="H1836">
        <v>78.31</v>
      </c>
      <c r="I1836" s="2">
        <v>72166.320000000007</v>
      </c>
      <c r="J1836" s="2">
        <v>82006.22</v>
      </c>
      <c r="K1836" s="2">
        <f>Table1[[#This Row],[Salary_after]]-Table1[[#This Row],[Salary_before]]</f>
        <v>9839.8999999999942</v>
      </c>
      <c r="L1836" s="11">
        <v>0.13639999999999999</v>
      </c>
      <c r="M1836" s="11">
        <v>0.1431</v>
      </c>
      <c r="N1836">
        <v>78.099999999999994</v>
      </c>
      <c r="O1836">
        <v>61.3</v>
      </c>
      <c r="P1836">
        <v>3</v>
      </c>
      <c r="Q1836" t="s">
        <v>25</v>
      </c>
      <c r="R1836">
        <v>62.76</v>
      </c>
      <c r="S1836">
        <v>13.64</v>
      </c>
      <c r="T1836" s="4">
        <v>46.468999999999902</v>
      </c>
      <c r="U1836" s="4">
        <v>28.939730000000001</v>
      </c>
      <c r="V1836" t="str">
        <f>IF(Table1[[#This Row],[ai_disruption_intensity]]&gt;70,"High",
IF(Table1[[#This Row],[ai_disruption_intensity]]&gt;40,"Medium","Low"))</f>
        <v>Low</v>
      </c>
      <c r="W1836" t="str">
        <f>IF(Table1[[#This Row],[skill_gap_index]]&gt;70,"Large Gap",
IF(Table1[[#This Row],[skill_gap_index]]&gt;40,"Medium Gap","Small Gap"))</f>
        <v>Large Gap</v>
      </c>
      <c r="X1836" s="3" t="str">
        <f>IF(Table1[[#This Row],[automation_risk_percent]]&gt;0.7,"Highly Automatable",
IF(Table1[[#This Row],[automation_risk_percent]]&gt;0.4,"Moderate Risk","Safe Job"))</f>
        <v>Moderate Risk</v>
      </c>
    </row>
    <row r="1837" spans="1:24" x14ac:dyDescent="0.3">
      <c r="A1837">
        <v>6563</v>
      </c>
      <c r="B1837" t="s">
        <v>41</v>
      </c>
      <c r="C1837" t="s">
        <v>19</v>
      </c>
      <c r="D1837" t="s">
        <v>20</v>
      </c>
      <c r="E1837" s="1">
        <v>2025</v>
      </c>
      <c r="F1837" s="11">
        <v>0.41889999999999999</v>
      </c>
      <c r="G1837">
        <v>46.4</v>
      </c>
      <c r="H1837">
        <v>37.06</v>
      </c>
      <c r="I1837" s="2">
        <v>139298.26999999999</v>
      </c>
      <c r="J1837" s="2">
        <v>138245.51999999999</v>
      </c>
      <c r="K1837" s="2">
        <f>Table1[[#This Row],[Salary_after]]-Table1[[#This Row],[Salary_before]]</f>
        <v>-1052.75</v>
      </c>
      <c r="L1837" s="11">
        <v>-7.6E-3</v>
      </c>
      <c r="M1837" s="11">
        <v>5.0300000000000004E-2</v>
      </c>
      <c r="N1837">
        <v>72.900000000000006</v>
      </c>
      <c r="O1837">
        <v>51.35</v>
      </c>
      <c r="P1837">
        <v>5</v>
      </c>
      <c r="Q1837" t="s">
        <v>25</v>
      </c>
      <c r="R1837">
        <v>39.475000000000001</v>
      </c>
      <c r="S1837">
        <v>0.76</v>
      </c>
      <c r="T1837" s="4">
        <v>28.102</v>
      </c>
      <c r="U1837" s="4">
        <v>21.510515000000002</v>
      </c>
      <c r="V1837" t="str">
        <f>IF(Table1[[#This Row],[ai_disruption_intensity]]&gt;70,"High",
IF(Table1[[#This Row],[ai_disruption_intensity]]&gt;40,"Medium","Low"))</f>
        <v>Low</v>
      </c>
      <c r="W1837" t="str">
        <f>IF(Table1[[#This Row],[skill_gap_index]]&gt;70,"Large Gap",
IF(Table1[[#This Row],[skill_gap_index]]&gt;40,"Medium Gap","Small Gap"))</f>
        <v>Small Gap</v>
      </c>
      <c r="X1837" s="3" t="str">
        <f>IF(Table1[[#This Row],[automation_risk_percent]]&gt;0.7,"Highly Automatable",
IF(Table1[[#This Row],[automation_risk_percent]]&gt;0.4,"Moderate Risk","Safe Job"))</f>
        <v>Moderate Risk</v>
      </c>
    </row>
    <row r="1838" spans="1:24" x14ac:dyDescent="0.3">
      <c r="A1838">
        <v>6564</v>
      </c>
      <c r="B1838" t="s">
        <v>45</v>
      </c>
      <c r="C1838" t="s">
        <v>23</v>
      </c>
      <c r="D1838" t="s">
        <v>24</v>
      </c>
      <c r="E1838" s="1">
        <v>2025</v>
      </c>
      <c r="F1838" s="11">
        <v>0.32200000000000001</v>
      </c>
      <c r="G1838">
        <v>26.02</v>
      </c>
      <c r="H1838">
        <v>19.87</v>
      </c>
      <c r="I1838" s="2">
        <v>49391.27</v>
      </c>
      <c r="J1838" s="2">
        <v>56536.89</v>
      </c>
      <c r="K1838" s="2">
        <f>Table1[[#This Row],[Salary_after]]-Table1[[#This Row],[Salary_before]]</f>
        <v>7145.6200000000026</v>
      </c>
      <c r="L1838" s="11">
        <v>0.1447</v>
      </c>
      <c r="M1838" s="11">
        <v>9.4499999999999987E-2</v>
      </c>
      <c r="N1838">
        <v>31.11</v>
      </c>
      <c r="O1838">
        <v>69.77</v>
      </c>
      <c r="P1838">
        <v>4</v>
      </c>
      <c r="Q1838" t="s">
        <v>25</v>
      </c>
      <c r="R1838">
        <v>26.035</v>
      </c>
      <c r="S1838">
        <v>14.47</v>
      </c>
      <c r="T1838" s="4">
        <v>23.181999999999999</v>
      </c>
      <c r="U1838" s="4">
        <v>22.46594</v>
      </c>
      <c r="V1838" t="str">
        <f>IF(Table1[[#This Row],[ai_disruption_intensity]]&gt;70,"High",
IF(Table1[[#This Row],[ai_disruption_intensity]]&gt;40,"Medium","Low"))</f>
        <v>Low</v>
      </c>
      <c r="W1838" t="str">
        <f>IF(Table1[[#This Row],[skill_gap_index]]&gt;70,"Large Gap",
IF(Table1[[#This Row],[skill_gap_index]]&gt;40,"Medium Gap","Small Gap"))</f>
        <v>Small Gap</v>
      </c>
      <c r="X1838" s="3" t="str">
        <f>IF(Table1[[#This Row],[automation_risk_percent]]&gt;0.7,"Highly Automatable",
IF(Table1[[#This Row],[automation_risk_percent]]&gt;0.4,"Moderate Risk","Safe Job"))</f>
        <v>Safe Job</v>
      </c>
    </row>
    <row r="1839" spans="1:24" x14ac:dyDescent="0.3">
      <c r="A1839">
        <v>6569</v>
      </c>
      <c r="B1839" t="s">
        <v>39</v>
      </c>
      <c r="C1839" t="s">
        <v>40</v>
      </c>
      <c r="D1839" t="s">
        <v>20</v>
      </c>
      <c r="E1839" s="1">
        <v>2026</v>
      </c>
      <c r="F1839" s="11">
        <v>0.7904000000000001</v>
      </c>
      <c r="G1839">
        <v>94.25</v>
      </c>
      <c r="H1839">
        <v>86.48</v>
      </c>
      <c r="I1839" s="2">
        <v>40893.61</v>
      </c>
      <c r="J1839" s="2">
        <v>42559.33</v>
      </c>
      <c r="K1839" s="2">
        <f>Table1[[#This Row],[Salary_after]]-Table1[[#This Row],[Salary_before]]</f>
        <v>1665.7200000000012</v>
      </c>
      <c r="L1839" s="11">
        <v>4.07E-2</v>
      </c>
      <c r="M1839" s="11">
        <v>0.15340000000000001</v>
      </c>
      <c r="N1839">
        <v>21.59</v>
      </c>
      <c r="O1839">
        <v>26.18</v>
      </c>
      <c r="P1839">
        <v>5</v>
      </c>
      <c r="Q1839" t="s">
        <v>37</v>
      </c>
      <c r="R1839">
        <v>82.76</v>
      </c>
      <c r="S1839">
        <v>4.07</v>
      </c>
      <c r="T1839" s="4">
        <v>58.780999999999999</v>
      </c>
      <c r="U1839" s="4">
        <v>20.692672000000002</v>
      </c>
      <c r="V1839" t="str">
        <f>IF(Table1[[#This Row],[ai_disruption_intensity]]&gt;70,"High",
IF(Table1[[#This Row],[ai_disruption_intensity]]&gt;40,"Medium","Low"))</f>
        <v>Low</v>
      </c>
      <c r="W1839" t="str">
        <f>IF(Table1[[#This Row],[skill_gap_index]]&gt;70,"Large Gap",
IF(Table1[[#This Row],[skill_gap_index]]&gt;40,"Medium Gap","Small Gap"))</f>
        <v>Large Gap</v>
      </c>
      <c r="X1839" s="3" t="str">
        <f>IF(Table1[[#This Row],[automation_risk_percent]]&gt;0.7,"Highly Automatable",
IF(Table1[[#This Row],[automation_risk_percent]]&gt;0.4,"Moderate Risk","Safe Job"))</f>
        <v>Highly Automatable</v>
      </c>
    </row>
    <row r="1840" spans="1:24" x14ac:dyDescent="0.3">
      <c r="A1840">
        <v>6572</v>
      </c>
      <c r="B1840" t="s">
        <v>26</v>
      </c>
      <c r="C1840" t="s">
        <v>27</v>
      </c>
      <c r="D1840" t="s">
        <v>47</v>
      </c>
      <c r="E1840" s="1">
        <v>2026</v>
      </c>
      <c r="F1840" s="11">
        <v>0.69319999999999993</v>
      </c>
      <c r="G1840">
        <v>62.27</v>
      </c>
      <c r="H1840">
        <v>67.959999999999994</v>
      </c>
      <c r="I1840" s="2">
        <v>145731.6</v>
      </c>
      <c r="J1840" s="2">
        <v>137368.35</v>
      </c>
      <c r="K1840" s="2">
        <f>Table1[[#This Row],[Salary_after]]-Table1[[#This Row],[Salary_before]]</f>
        <v>-8363.25</v>
      </c>
      <c r="L1840" s="11">
        <v>-5.74E-2</v>
      </c>
      <c r="M1840" s="11">
        <v>2.1400000000000002E-2</v>
      </c>
      <c r="N1840">
        <v>67.06</v>
      </c>
      <c r="O1840">
        <v>36.61</v>
      </c>
      <c r="P1840">
        <v>3</v>
      </c>
      <c r="Q1840" t="s">
        <v>37</v>
      </c>
      <c r="R1840">
        <v>68.639999999999901</v>
      </c>
      <c r="S1840">
        <v>5.74</v>
      </c>
      <c r="T1840" s="4">
        <v>49.838000000000001</v>
      </c>
      <c r="U1840" s="4">
        <v>25.378051999999901</v>
      </c>
      <c r="V1840" t="str">
        <f>IF(Table1[[#This Row],[ai_disruption_intensity]]&gt;70,"High",
IF(Table1[[#This Row],[ai_disruption_intensity]]&gt;40,"Medium","Low"))</f>
        <v>Low</v>
      </c>
      <c r="W1840" t="str">
        <f>IF(Table1[[#This Row],[skill_gap_index]]&gt;70,"Large Gap",
IF(Table1[[#This Row],[skill_gap_index]]&gt;40,"Medium Gap","Small Gap"))</f>
        <v>Medium Gap</v>
      </c>
      <c r="X1840" s="3" t="str">
        <f>IF(Table1[[#This Row],[automation_risk_percent]]&gt;0.7,"Highly Automatable",
IF(Table1[[#This Row],[automation_risk_percent]]&gt;0.4,"Moderate Risk","Safe Job"))</f>
        <v>Moderate Risk</v>
      </c>
    </row>
    <row r="1841" spans="1:24" x14ac:dyDescent="0.3">
      <c r="A1841">
        <v>6576</v>
      </c>
      <c r="B1841" t="s">
        <v>29</v>
      </c>
      <c r="C1841" t="s">
        <v>19</v>
      </c>
      <c r="D1841" t="s">
        <v>35</v>
      </c>
      <c r="E1841" s="1">
        <v>2026</v>
      </c>
      <c r="F1841" s="11">
        <v>0.81220000000000003</v>
      </c>
      <c r="G1841">
        <v>68</v>
      </c>
      <c r="H1841">
        <v>90.39</v>
      </c>
      <c r="I1841" s="2">
        <v>36219.64</v>
      </c>
      <c r="J1841" s="2">
        <v>33778.949999999997</v>
      </c>
      <c r="K1841" s="2">
        <f>Table1[[#This Row],[Salary_after]]-Table1[[#This Row],[Salary_before]]</f>
        <v>-2440.6900000000023</v>
      </c>
      <c r="L1841" s="11">
        <v>-6.7400000000000002E-2</v>
      </c>
      <c r="M1841" s="11">
        <v>0.1507</v>
      </c>
      <c r="N1841">
        <v>26.31</v>
      </c>
      <c r="O1841">
        <v>70.45</v>
      </c>
      <c r="P1841">
        <v>1</v>
      </c>
      <c r="Q1841" t="s">
        <v>37</v>
      </c>
      <c r="R1841">
        <v>85.805000000000007</v>
      </c>
      <c r="S1841">
        <v>6.74</v>
      </c>
      <c r="T1841" s="4">
        <v>61.627000000000002</v>
      </c>
      <c r="U1841" s="4">
        <v>57.21949</v>
      </c>
      <c r="V1841" t="str">
        <f>IF(Table1[[#This Row],[ai_disruption_intensity]]&gt;70,"High",
IF(Table1[[#This Row],[ai_disruption_intensity]]&gt;40,"Medium","Low"))</f>
        <v>Medium</v>
      </c>
      <c r="W1841" t="str">
        <f>IF(Table1[[#This Row],[skill_gap_index]]&gt;70,"Large Gap",
IF(Table1[[#This Row],[skill_gap_index]]&gt;40,"Medium Gap","Small Gap"))</f>
        <v>Large Gap</v>
      </c>
      <c r="X1841" s="3" t="str">
        <f>IF(Table1[[#This Row],[automation_risk_percent]]&gt;0.7,"Highly Automatable",
IF(Table1[[#This Row],[automation_risk_percent]]&gt;0.4,"Moderate Risk","Safe Job"))</f>
        <v>Highly Automatable</v>
      </c>
    </row>
    <row r="1842" spans="1:24" x14ac:dyDescent="0.3">
      <c r="A1842">
        <v>6581</v>
      </c>
      <c r="B1842" t="s">
        <v>26</v>
      </c>
      <c r="C1842" t="s">
        <v>38</v>
      </c>
      <c r="D1842" t="s">
        <v>32</v>
      </c>
      <c r="E1842" s="1">
        <v>2026</v>
      </c>
      <c r="F1842" s="11">
        <v>0.18789999999999998</v>
      </c>
      <c r="G1842">
        <v>18.96</v>
      </c>
      <c r="H1842">
        <v>62.36</v>
      </c>
      <c r="I1842" s="2">
        <v>124931.02</v>
      </c>
      <c r="J1842" s="2">
        <v>135459.88</v>
      </c>
      <c r="K1842" s="2">
        <f>Table1[[#This Row],[Salary_after]]-Table1[[#This Row],[Salary_before]]</f>
        <v>10528.86</v>
      </c>
      <c r="L1842" s="11">
        <v>8.43E-2</v>
      </c>
      <c r="M1842" s="11">
        <v>-4.6900000000000004E-2</v>
      </c>
      <c r="N1842">
        <v>20.59</v>
      </c>
      <c r="O1842">
        <v>70.42</v>
      </c>
      <c r="P1842">
        <v>1</v>
      </c>
      <c r="Q1842" t="s">
        <v>21</v>
      </c>
      <c r="R1842">
        <v>40.575000000000003</v>
      </c>
      <c r="S1842">
        <v>8.43</v>
      </c>
      <c r="T1842" s="4">
        <v>28.752999999999901</v>
      </c>
      <c r="U1842" s="4">
        <v>13.231918</v>
      </c>
      <c r="V1842" t="str">
        <f>IF(Table1[[#This Row],[ai_disruption_intensity]]&gt;70,"High",
IF(Table1[[#This Row],[ai_disruption_intensity]]&gt;40,"Medium","Low"))</f>
        <v>Low</v>
      </c>
      <c r="W1842" t="str">
        <f>IF(Table1[[#This Row],[skill_gap_index]]&gt;70,"Large Gap",
IF(Table1[[#This Row],[skill_gap_index]]&gt;40,"Medium Gap","Small Gap"))</f>
        <v>Medium Gap</v>
      </c>
      <c r="X1842" s="3" t="str">
        <f>IF(Table1[[#This Row],[automation_risk_percent]]&gt;0.7,"Highly Automatable",
IF(Table1[[#This Row],[automation_risk_percent]]&gt;0.4,"Moderate Risk","Safe Job"))</f>
        <v>Safe Job</v>
      </c>
    </row>
    <row r="1843" spans="1:24" x14ac:dyDescent="0.3">
      <c r="A1843">
        <v>6585</v>
      </c>
      <c r="B1843" t="s">
        <v>46</v>
      </c>
      <c r="C1843" t="s">
        <v>23</v>
      </c>
      <c r="D1843" t="s">
        <v>28</v>
      </c>
      <c r="E1843" s="1">
        <v>2025</v>
      </c>
      <c r="F1843" s="11">
        <v>0.2102</v>
      </c>
      <c r="G1843">
        <v>17.52</v>
      </c>
      <c r="H1843">
        <v>76.86</v>
      </c>
      <c r="I1843" s="2">
        <v>129442.05</v>
      </c>
      <c r="J1843" s="2">
        <v>119706.95</v>
      </c>
      <c r="K1843" s="2">
        <f>Table1[[#This Row],[Salary_after]]-Table1[[#This Row],[Salary_before]]</f>
        <v>-9735.1000000000058</v>
      </c>
      <c r="L1843" s="11">
        <v>-7.5199999999999989E-2</v>
      </c>
      <c r="M1843" s="11">
        <v>-2.7400000000000001E-2</v>
      </c>
      <c r="N1843">
        <v>48.7</v>
      </c>
      <c r="O1843">
        <v>81.150000000000006</v>
      </c>
      <c r="P1843">
        <v>4</v>
      </c>
      <c r="Q1843" t="s">
        <v>21</v>
      </c>
      <c r="R1843">
        <v>48.94</v>
      </c>
      <c r="S1843">
        <v>7.52</v>
      </c>
      <c r="T1843" s="4">
        <v>33.722000000000001</v>
      </c>
      <c r="U1843" s="4">
        <v>17.057729999999999</v>
      </c>
      <c r="V1843" t="str">
        <f>IF(Table1[[#This Row],[ai_disruption_intensity]]&gt;70,"High",
IF(Table1[[#This Row],[ai_disruption_intensity]]&gt;40,"Medium","Low"))</f>
        <v>Low</v>
      </c>
      <c r="W1843" t="str">
        <f>IF(Table1[[#This Row],[skill_gap_index]]&gt;70,"Large Gap",
IF(Table1[[#This Row],[skill_gap_index]]&gt;40,"Medium Gap","Small Gap"))</f>
        <v>Large Gap</v>
      </c>
      <c r="X1843" s="3" t="str">
        <f>IF(Table1[[#This Row],[automation_risk_percent]]&gt;0.7,"Highly Automatable",
IF(Table1[[#This Row],[automation_risk_percent]]&gt;0.4,"Moderate Risk","Safe Job"))</f>
        <v>Safe Job</v>
      </c>
    </row>
    <row r="1844" spans="1:24" x14ac:dyDescent="0.3">
      <c r="A1844">
        <v>6590</v>
      </c>
      <c r="B1844" t="s">
        <v>43</v>
      </c>
      <c r="C1844" t="s">
        <v>30</v>
      </c>
      <c r="D1844" t="s">
        <v>20</v>
      </c>
      <c r="E1844" s="1">
        <v>2025</v>
      </c>
      <c r="F1844" s="11">
        <v>0.3926</v>
      </c>
      <c r="G1844">
        <v>46.88</v>
      </c>
      <c r="H1844">
        <v>82.5</v>
      </c>
      <c r="I1844" s="2">
        <v>70278.34</v>
      </c>
      <c r="J1844" s="2">
        <v>67277.72</v>
      </c>
      <c r="K1844" s="2">
        <f>Table1[[#This Row],[Salary_after]]-Table1[[#This Row],[Salary_before]]</f>
        <v>-3000.6199999999953</v>
      </c>
      <c r="L1844" s="11">
        <v>-4.2699999999999995E-2</v>
      </c>
      <c r="M1844" s="11">
        <v>0.2072</v>
      </c>
      <c r="N1844">
        <v>69.44</v>
      </c>
      <c r="O1844">
        <v>97.01</v>
      </c>
      <c r="P1844">
        <v>2</v>
      </c>
      <c r="Q1844" t="s">
        <v>25</v>
      </c>
      <c r="R1844">
        <v>60.879999999999903</v>
      </c>
      <c r="S1844">
        <v>4.2699999999999996</v>
      </c>
      <c r="T1844" s="4">
        <v>41.734999999999999</v>
      </c>
      <c r="U1844" s="4">
        <v>38.086126</v>
      </c>
      <c r="V1844" t="str">
        <f>IF(Table1[[#This Row],[ai_disruption_intensity]]&gt;70,"High",
IF(Table1[[#This Row],[ai_disruption_intensity]]&gt;40,"Medium","Low"))</f>
        <v>Low</v>
      </c>
      <c r="W1844" t="str">
        <f>IF(Table1[[#This Row],[skill_gap_index]]&gt;70,"Large Gap",
IF(Table1[[#This Row],[skill_gap_index]]&gt;40,"Medium Gap","Small Gap"))</f>
        <v>Large Gap</v>
      </c>
      <c r="X1844" s="3" t="str">
        <f>IF(Table1[[#This Row],[automation_risk_percent]]&gt;0.7,"Highly Automatable",
IF(Table1[[#This Row],[automation_risk_percent]]&gt;0.4,"Moderate Risk","Safe Job"))</f>
        <v>Safe Job</v>
      </c>
    </row>
    <row r="1845" spans="1:24" x14ac:dyDescent="0.3">
      <c r="A1845">
        <v>6591</v>
      </c>
      <c r="B1845" t="s">
        <v>18</v>
      </c>
      <c r="C1845" t="s">
        <v>27</v>
      </c>
      <c r="D1845" t="s">
        <v>42</v>
      </c>
      <c r="E1845" s="1">
        <v>2026</v>
      </c>
      <c r="F1845" s="11">
        <v>0.27250000000000002</v>
      </c>
      <c r="G1845">
        <v>30.47</v>
      </c>
      <c r="H1845">
        <v>59.04</v>
      </c>
      <c r="I1845" s="2">
        <v>143996.51</v>
      </c>
      <c r="J1845" s="2">
        <v>149913.06</v>
      </c>
      <c r="K1845" s="2">
        <f>Table1[[#This Row],[Salary_after]]-Table1[[#This Row],[Salary_before]]</f>
        <v>5916.5499999999884</v>
      </c>
      <c r="L1845" s="11">
        <v>4.1100000000000005E-2</v>
      </c>
      <c r="M1845" s="11">
        <v>-1.84E-2</v>
      </c>
      <c r="N1845">
        <v>13.34</v>
      </c>
      <c r="O1845">
        <v>24.66</v>
      </c>
      <c r="P1845">
        <v>5</v>
      </c>
      <c r="Q1845" t="s">
        <v>21</v>
      </c>
      <c r="R1845">
        <v>43.144999999999897</v>
      </c>
      <c r="S1845">
        <v>4.1100000000000003</v>
      </c>
      <c r="T1845" s="4">
        <v>29.844999999999999</v>
      </c>
      <c r="U1845" s="4">
        <v>6.7198500000000001</v>
      </c>
      <c r="V1845" t="str">
        <f>IF(Table1[[#This Row],[ai_disruption_intensity]]&gt;70,"High",
IF(Table1[[#This Row],[ai_disruption_intensity]]&gt;40,"Medium","Low"))</f>
        <v>Low</v>
      </c>
      <c r="W1845" t="str">
        <f>IF(Table1[[#This Row],[skill_gap_index]]&gt;70,"Large Gap",
IF(Table1[[#This Row],[skill_gap_index]]&gt;40,"Medium Gap","Small Gap"))</f>
        <v>Medium Gap</v>
      </c>
      <c r="X1845" s="3" t="str">
        <f>IF(Table1[[#This Row],[automation_risk_percent]]&gt;0.7,"Highly Automatable",
IF(Table1[[#This Row],[automation_risk_percent]]&gt;0.4,"Moderate Risk","Safe Job"))</f>
        <v>Safe Job</v>
      </c>
    </row>
    <row r="1846" spans="1:24" x14ac:dyDescent="0.3">
      <c r="A1846">
        <v>6593</v>
      </c>
      <c r="B1846" t="s">
        <v>46</v>
      </c>
      <c r="C1846" t="s">
        <v>19</v>
      </c>
      <c r="D1846" t="s">
        <v>36</v>
      </c>
      <c r="E1846" s="1">
        <v>2025</v>
      </c>
      <c r="F1846" s="11">
        <v>0.67579999999999996</v>
      </c>
      <c r="G1846">
        <v>69.2</v>
      </c>
      <c r="H1846">
        <v>81.33</v>
      </c>
      <c r="I1846" s="2">
        <v>122699.81</v>
      </c>
      <c r="J1846" s="2">
        <v>131194.31</v>
      </c>
      <c r="K1846" s="2">
        <f>Table1[[#This Row],[Salary_after]]-Table1[[#This Row],[Salary_before]]</f>
        <v>8494.5</v>
      </c>
      <c r="L1846" s="11">
        <v>6.9199999999999998E-2</v>
      </c>
      <c r="M1846" s="11">
        <v>7.7499999999999999E-2</v>
      </c>
      <c r="N1846">
        <v>91.21</v>
      </c>
      <c r="O1846">
        <v>12.78</v>
      </c>
      <c r="P1846">
        <v>1</v>
      </c>
      <c r="Q1846" t="s">
        <v>37</v>
      </c>
      <c r="R1846">
        <v>74.454999999999998</v>
      </c>
      <c r="S1846">
        <v>6.92</v>
      </c>
      <c r="T1846" s="4">
        <v>53.506999999999998</v>
      </c>
      <c r="U1846" s="4">
        <v>8.6367239999999992</v>
      </c>
      <c r="V1846" t="str">
        <f>IF(Table1[[#This Row],[ai_disruption_intensity]]&gt;70,"High",
IF(Table1[[#This Row],[ai_disruption_intensity]]&gt;40,"Medium","Low"))</f>
        <v>Low</v>
      </c>
      <c r="W1846" t="str">
        <f>IF(Table1[[#This Row],[skill_gap_index]]&gt;70,"Large Gap",
IF(Table1[[#This Row],[skill_gap_index]]&gt;40,"Medium Gap","Small Gap"))</f>
        <v>Large Gap</v>
      </c>
      <c r="X1846" s="3" t="str">
        <f>IF(Table1[[#This Row],[automation_risk_percent]]&gt;0.7,"Highly Automatable",
IF(Table1[[#This Row],[automation_risk_percent]]&gt;0.4,"Moderate Risk","Safe Job"))</f>
        <v>Moderate Risk</v>
      </c>
    </row>
    <row r="1847" spans="1:24" x14ac:dyDescent="0.3">
      <c r="A1847">
        <v>6595</v>
      </c>
      <c r="B1847" t="s">
        <v>43</v>
      </c>
      <c r="C1847" t="s">
        <v>40</v>
      </c>
      <c r="D1847" t="s">
        <v>28</v>
      </c>
      <c r="E1847" s="1">
        <v>2025</v>
      </c>
      <c r="F1847" s="11">
        <v>0.22820000000000001</v>
      </c>
      <c r="G1847">
        <v>26.98</v>
      </c>
      <c r="H1847">
        <v>44.51</v>
      </c>
      <c r="I1847" s="2">
        <v>66398.91</v>
      </c>
      <c r="J1847" s="2">
        <v>65549.05</v>
      </c>
      <c r="K1847" s="2">
        <f>Table1[[#This Row],[Salary_after]]-Table1[[#This Row],[Salary_before]]</f>
        <v>-849.86000000000058</v>
      </c>
      <c r="L1847" s="11">
        <v>-1.2800000000000001E-2</v>
      </c>
      <c r="M1847" s="11">
        <v>7.6E-3</v>
      </c>
      <c r="N1847">
        <v>92.15</v>
      </c>
      <c r="O1847">
        <v>17.98</v>
      </c>
      <c r="P1847">
        <v>3</v>
      </c>
      <c r="Q1847" t="s">
        <v>21</v>
      </c>
      <c r="R1847">
        <v>33.664999999999999</v>
      </c>
      <c r="S1847">
        <v>1.28</v>
      </c>
      <c r="T1847" s="4">
        <v>22.864999999999998</v>
      </c>
      <c r="U1847" s="4">
        <v>4.1030360000000003</v>
      </c>
      <c r="V1847" t="str">
        <f>IF(Table1[[#This Row],[ai_disruption_intensity]]&gt;70,"High",
IF(Table1[[#This Row],[ai_disruption_intensity]]&gt;40,"Medium","Low"))</f>
        <v>Low</v>
      </c>
      <c r="W1847" t="str">
        <f>IF(Table1[[#This Row],[skill_gap_index]]&gt;70,"Large Gap",
IF(Table1[[#This Row],[skill_gap_index]]&gt;40,"Medium Gap","Small Gap"))</f>
        <v>Medium Gap</v>
      </c>
      <c r="X1847" s="3" t="str">
        <f>IF(Table1[[#This Row],[automation_risk_percent]]&gt;0.7,"Highly Automatable",
IF(Table1[[#This Row],[automation_risk_percent]]&gt;0.4,"Moderate Risk","Safe Job"))</f>
        <v>Safe Job</v>
      </c>
    </row>
    <row r="1848" spans="1:24" x14ac:dyDescent="0.3">
      <c r="A1848">
        <v>6600</v>
      </c>
      <c r="B1848" t="s">
        <v>41</v>
      </c>
      <c r="C1848" t="s">
        <v>27</v>
      </c>
      <c r="D1848" t="s">
        <v>20</v>
      </c>
      <c r="E1848" s="1">
        <v>2025</v>
      </c>
      <c r="F1848" s="11">
        <v>0.59140000000000004</v>
      </c>
      <c r="G1848">
        <v>53.05</v>
      </c>
      <c r="H1848">
        <v>70.97</v>
      </c>
      <c r="I1848" s="2">
        <v>130989.69</v>
      </c>
      <c r="J1848" s="2">
        <v>154756.49</v>
      </c>
      <c r="K1848" s="2">
        <f>Table1[[#This Row],[Salary_after]]-Table1[[#This Row],[Salary_before]]</f>
        <v>23766.799999999988</v>
      </c>
      <c r="L1848" s="11">
        <v>0.18140000000000001</v>
      </c>
      <c r="M1848" s="11">
        <v>2.4700000000000003E-2</v>
      </c>
      <c r="N1848">
        <v>26.34</v>
      </c>
      <c r="O1848">
        <v>93.76</v>
      </c>
      <c r="P1848">
        <v>5</v>
      </c>
      <c r="Q1848" t="s">
        <v>25</v>
      </c>
      <c r="R1848">
        <v>65.055000000000007</v>
      </c>
      <c r="S1848">
        <v>18.14</v>
      </c>
      <c r="T1848" s="4">
        <v>50.389000000000003</v>
      </c>
      <c r="U1848" s="4">
        <v>55.449663999999999</v>
      </c>
      <c r="V1848" t="str">
        <f>IF(Table1[[#This Row],[ai_disruption_intensity]]&gt;70,"High",
IF(Table1[[#This Row],[ai_disruption_intensity]]&gt;40,"Medium","Low"))</f>
        <v>Medium</v>
      </c>
      <c r="W1848" t="str">
        <f>IF(Table1[[#This Row],[skill_gap_index]]&gt;70,"Large Gap",
IF(Table1[[#This Row],[skill_gap_index]]&gt;40,"Medium Gap","Small Gap"))</f>
        <v>Large Gap</v>
      </c>
      <c r="X1848" s="3" t="str">
        <f>IF(Table1[[#This Row],[automation_risk_percent]]&gt;0.7,"Highly Automatable",
IF(Table1[[#This Row],[automation_risk_percent]]&gt;0.4,"Moderate Risk","Safe Job"))</f>
        <v>Moderate Risk</v>
      </c>
    </row>
    <row r="1849" spans="1:24" x14ac:dyDescent="0.3">
      <c r="A1849">
        <v>6604</v>
      </c>
      <c r="B1849" t="s">
        <v>45</v>
      </c>
      <c r="C1849" t="s">
        <v>34</v>
      </c>
      <c r="D1849" t="s">
        <v>20</v>
      </c>
      <c r="E1849" s="1">
        <v>2026</v>
      </c>
      <c r="F1849" s="11">
        <v>0.76219999999999999</v>
      </c>
      <c r="G1849">
        <v>74.33</v>
      </c>
      <c r="H1849">
        <v>48.25</v>
      </c>
      <c r="I1849" s="2">
        <v>78048.639999999999</v>
      </c>
      <c r="J1849" s="2">
        <v>85444.29</v>
      </c>
      <c r="K1849" s="2">
        <f>Table1[[#This Row],[Salary_after]]-Table1[[#This Row],[Salary_before]]</f>
        <v>7395.6499999999942</v>
      </c>
      <c r="L1849" s="11">
        <v>9.4800000000000009E-2</v>
      </c>
      <c r="M1849" s="11">
        <v>-8.9600000000000013E-2</v>
      </c>
      <c r="N1849">
        <v>84.52</v>
      </c>
      <c r="O1849">
        <v>15.78</v>
      </c>
      <c r="P1849">
        <v>4</v>
      </c>
      <c r="Q1849" t="s">
        <v>37</v>
      </c>
      <c r="R1849">
        <v>62.234999999999999</v>
      </c>
      <c r="S1849">
        <v>9.48</v>
      </c>
      <c r="T1849" s="4">
        <v>47.807000000000002</v>
      </c>
      <c r="U1849" s="4">
        <v>12.027515999999901</v>
      </c>
      <c r="V1849" t="str">
        <f>IF(Table1[[#This Row],[ai_disruption_intensity]]&gt;70,"High",
IF(Table1[[#This Row],[ai_disruption_intensity]]&gt;40,"Medium","Low"))</f>
        <v>Low</v>
      </c>
      <c r="W1849" t="str">
        <f>IF(Table1[[#This Row],[skill_gap_index]]&gt;70,"Large Gap",
IF(Table1[[#This Row],[skill_gap_index]]&gt;40,"Medium Gap","Small Gap"))</f>
        <v>Medium Gap</v>
      </c>
      <c r="X1849" s="3" t="str">
        <f>IF(Table1[[#This Row],[automation_risk_percent]]&gt;0.7,"Highly Automatable",
IF(Table1[[#This Row],[automation_risk_percent]]&gt;0.4,"Moderate Risk","Safe Job"))</f>
        <v>Highly Automatable</v>
      </c>
    </row>
    <row r="1850" spans="1:24" x14ac:dyDescent="0.3">
      <c r="A1850">
        <v>6605</v>
      </c>
      <c r="B1850" t="s">
        <v>18</v>
      </c>
      <c r="C1850" t="s">
        <v>40</v>
      </c>
      <c r="D1850" t="s">
        <v>28</v>
      </c>
      <c r="E1850" s="1">
        <v>2026</v>
      </c>
      <c r="F1850" s="11">
        <v>0.7873</v>
      </c>
      <c r="G1850">
        <v>84.52</v>
      </c>
      <c r="H1850">
        <v>78.010000000000005</v>
      </c>
      <c r="I1850" s="2">
        <v>149862.54999999999</v>
      </c>
      <c r="J1850" s="2">
        <v>138109.18</v>
      </c>
      <c r="K1850" s="2">
        <f>Table1[[#This Row],[Salary_after]]-Table1[[#This Row],[Salary_before]]</f>
        <v>-11753.369999999995</v>
      </c>
      <c r="L1850" s="11">
        <v>-7.8399999999999997E-2</v>
      </c>
      <c r="M1850" s="11">
        <v>5.0700000000000002E-2</v>
      </c>
      <c r="N1850">
        <v>81.13</v>
      </c>
      <c r="O1850">
        <v>87.08</v>
      </c>
      <c r="P1850">
        <v>5</v>
      </c>
      <c r="Q1850" t="s">
        <v>37</v>
      </c>
      <c r="R1850">
        <v>78.37</v>
      </c>
      <c r="S1850">
        <v>7.84</v>
      </c>
      <c r="T1850" s="4">
        <v>57.247</v>
      </c>
      <c r="U1850" s="4">
        <v>68.558083999999994</v>
      </c>
      <c r="V1850" t="str">
        <f>IF(Table1[[#This Row],[ai_disruption_intensity]]&gt;70,"High",
IF(Table1[[#This Row],[ai_disruption_intensity]]&gt;40,"Medium","Low"))</f>
        <v>Medium</v>
      </c>
      <c r="W1850" t="str">
        <f>IF(Table1[[#This Row],[skill_gap_index]]&gt;70,"Large Gap",
IF(Table1[[#This Row],[skill_gap_index]]&gt;40,"Medium Gap","Small Gap"))</f>
        <v>Large Gap</v>
      </c>
      <c r="X1850" s="3" t="str">
        <f>IF(Table1[[#This Row],[automation_risk_percent]]&gt;0.7,"Highly Automatable",
IF(Table1[[#This Row],[automation_risk_percent]]&gt;0.4,"Moderate Risk","Safe Job"))</f>
        <v>Highly Automatable</v>
      </c>
    </row>
    <row r="1851" spans="1:24" x14ac:dyDescent="0.3">
      <c r="A1851">
        <v>6606</v>
      </c>
      <c r="B1851" t="s">
        <v>18</v>
      </c>
      <c r="C1851" t="s">
        <v>23</v>
      </c>
      <c r="D1851" t="s">
        <v>31</v>
      </c>
      <c r="E1851" s="1">
        <v>2025</v>
      </c>
      <c r="F1851" s="11">
        <v>0.2137</v>
      </c>
      <c r="G1851">
        <v>17.3</v>
      </c>
      <c r="H1851">
        <v>13.58</v>
      </c>
      <c r="I1851" s="2">
        <v>68875.97</v>
      </c>
      <c r="J1851" s="2">
        <v>71604.5</v>
      </c>
      <c r="K1851" s="2">
        <f>Table1[[#This Row],[Salary_after]]-Table1[[#This Row],[Salary_before]]</f>
        <v>2728.5299999999988</v>
      </c>
      <c r="L1851" s="11">
        <v>3.9599999999999996E-2</v>
      </c>
      <c r="M1851" s="11">
        <v>8.3900000000000002E-2</v>
      </c>
      <c r="N1851">
        <v>82.99</v>
      </c>
      <c r="O1851">
        <v>8.2200000000000006</v>
      </c>
      <c r="P1851">
        <v>3</v>
      </c>
      <c r="Q1851" t="s">
        <v>21</v>
      </c>
      <c r="R1851">
        <v>17.475000000000001</v>
      </c>
      <c r="S1851">
        <v>3.96</v>
      </c>
      <c r="T1851" s="4">
        <v>13.81</v>
      </c>
      <c r="U1851" s="4">
        <v>1.7566139999999999</v>
      </c>
      <c r="V1851" t="str">
        <f>IF(Table1[[#This Row],[ai_disruption_intensity]]&gt;70,"High",
IF(Table1[[#This Row],[ai_disruption_intensity]]&gt;40,"Medium","Low"))</f>
        <v>Low</v>
      </c>
      <c r="W1851" t="str">
        <f>IF(Table1[[#This Row],[skill_gap_index]]&gt;70,"Large Gap",
IF(Table1[[#This Row],[skill_gap_index]]&gt;40,"Medium Gap","Small Gap"))</f>
        <v>Small Gap</v>
      </c>
      <c r="X1851" s="3" t="str">
        <f>IF(Table1[[#This Row],[automation_risk_percent]]&gt;0.7,"Highly Automatable",
IF(Table1[[#This Row],[automation_risk_percent]]&gt;0.4,"Moderate Risk","Safe Job"))</f>
        <v>Safe Job</v>
      </c>
    </row>
    <row r="1852" spans="1:24" x14ac:dyDescent="0.3">
      <c r="A1852">
        <v>6615</v>
      </c>
      <c r="B1852" t="s">
        <v>29</v>
      </c>
      <c r="C1852" t="s">
        <v>27</v>
      </c>
      <c r="D1852" t="s">
        <v>20</v>
      </c>
      <c r="E1852" s="1">
        <v>2025</v>
      </c>
      <c r="F1852" s="11">
        <v>0.38130000000000003</v>
      </c>
      <c r="G1852">
        <v>35.43</v>
      </c>
      <c r="H1852">
        <v>44.89</v>
      </c>
      <c r="I1852" s="2">
        <v>131409.60999999999</v>
      </c>
      <c r="J1852" s="2">
        <v>119564.26</v>
      </c>
      <c r="K1852" s="2">
        <f>Table1[[#This Row],[Salary_after]]-Table1[[#This Row],[Salary_before]]</f>
        <v>-11845.349999999991</v>
      </c>
      <c r="L1852" s="11">
        <v>-9.01E-2</v>
      </c>
      <c r="M1852" s="11">
        <v>0.16390000000000002</v>
      </c>
      <c r="N1852">
        <v>31.87</v>
      </c>
      <c r="O1852">
        <v>69.569999999999993</v>
      </c>
      <c r="P1852">
        <v>1</v>
      </c>
      <c r="Q1852" t="s">
        <v>25</v>
      </c>
      <c r="R1852">
        <v>41.51</v>
      </c>
      <c r="S1852">
        <v>9.01</v>
      </c>
      <c r="T1852" s="4">
        <v>31.422000000000001</v>
      </c>
      <c r="U1852" s="4">
        <v>26.527041000000001</v>
      </c>
      <c r="V1852" t="str">
        <f>IF(Table1[[#This Row],[ai_disruption_intensity]]&gt;70,"High",
IF(Table1[[#This Row],[ai_disruption_intensity]]&gt;40,"Medium","Low"))</f>
        <v>Low</v>
      </c>
      <c r="W1852" t="str">
        <f>IF(Table1[[#This Row],[skill_gap_index]]&gt;70,"Large Gap",
IF(Table1[[#This Row],[skill_gap_index]]&gt;40,"Medium Gap","Small Gap"))</f>
        <v>Medium Gap</v>
      </c>
      <c r="X1852" s="3" t="str">
        <f>IF(Table1[[#This Row],[automation_risk_percent]]&gt;0.7,"Highly Automatable",
IF(Table1[[#This Row],[automation_risk_percent]]&gt;0.4,"Moderate Risk","Safe Job"))</f>
        <v>Safe Job</v>
      </c>
    </row>
    <row r="1853" spans="1:24" x14ac:dyDescent="0.3">
      <c r="A1853">
        <v>6616</v>
      </c>
      <c r="B1853" t="s">
        <v>44</v>
      </c>
      <c r="C1853" t="s">
        <v>23</v>
      </c>
      <c r="D1853" t="s">
        <v>28</v>
      </c>
      <c r="E1853" s="1">
        <v>2026</v>
      </c>
      <c r="F1853" s="11">
        <v>0.43590000000000001</v>
      </c>
      <c r="G1853">
        <v>45.22</v>
      </c>
      <c r="H1853">
        <v>64.87</v>
      </c>
      <c r="I1853" s="2">
        <v>97042.41</v>
      </c>
      <c r="J1853" s="2">
        <v>105661.91</v>
      </c>
      <c r="K1853" s="2">
        <f>Table1[[#This Row],[Salary_after]]-Table1[[#This Row],[Salary_before]]</f>
        <v>8619.5</v>
      </c>
      <c r="L1853" s="11">
        <v>8.8800000000000004E-2</v>
      </c>
      <c r="M1853" s="11">
        <v>7.5899999999999995E-2</v>
      </c>
      <c r="N1853">
        <v>88.14</v>
      </c>
      <c r="O1853">
        <v>14.9</v>
      </c>
      <c r="P1853">
        <v>3</v>
      </c>
      <c r="Q1853" t="s">
        <v>25</v>
      </c>
      <c r="R1853">
        <v>54.23</v>
      </c>
      <c r="S1853">
        <v>8.8800000000000008</v>
      </c>
      <c r="T1853" s="4">
        <v>39.561</v>
      </c>
      <c r="U1853" s="4">
        <v>6.49491</v>
      </c>
      <c r="V1853" t="str">
        <f>IF(Table1[[#This Row],[ai_disruption_intensity]]&gt;70,"High",
IF(Table1[[#This Row],[ai_disruption_intensity]]&gt;40,"Medium","Low"))</f>
        <v>Low</v>
      </c>
      <c r="W1853" t="str">
        <f>IF(Table1[[#This Row],[skill_gap_index]]&gt;70,"Large Gap",
IF(Table1[[#This Row],[skill_gap_index]]&gt;40,"Medium Gap","Small Gap"))</f>
        <v>Medium Gap</v>
      </c>
      <c r="X1853" s="3" t="str">
        <f>IF(Table1[[#This Row],[automation_risk_percent]]&gt;0.7,"Highly Automatable",
IF(Table1[[#This Row],[automation_risk_percent]]&gt;0.4,"Moderate Risk","Safe Job"))</f>
        <v>Moderate Risk</v>
      </c>
    </row>
    <row r="1854" spans="1:24" x14ac:dyDescent="0.3">
      <c r="A1854">
        <v>6619</v>
      </c>
      <c r="B1854" t="s">
        <v>26</v>
      </c>
      <c r="C1854" t="s">
        <v>38</v>
      </c>
      <c r="D1854" t="s">
        <v>42</v>
      </c>
      <c r="E1854" s="1">
        <v>2025</v>
      </c>
      <c r="F1854" s="11">
        <v>0.05</v>
      </c>
      <c r="G1854">
        <v>5.56</v>
      </c>
      <c r="H1854">
        <v>27.83</v>
      </c>
      <c r="I1854" s="2">
        <v>116813.64</v>
      </c>
      <c r="J1854" s="2">
        <v>100957.32</v>
      </c>
      <c r="K1854" s="2">
        <f>Table1[[#This Row],[Salary_after]]-Table1[[#This Row],[Salary_before]]</f>
        <v>-15856.319999999992</v>
      </c>
      <c r="L1854" s="11">
        <v>-0.13570000000000002</v>
      </c>
      <c r="M1854" s="11">
        <v>0.19649999999999998</v>
      </c>
      <c r="N1854">
        <v>67.569999999999993</v>
      </c>
      <c r="O1854">
        <v>59.61</v>
      </c>
      <c r="P1854">
        <v>5</v>
      </c>
      <c r="Q1854" t="s">
        <v>21</v>
      </c>
      <c r="R1854">
        <v>16.414999999999999</v>
      </c>
      <c r="S1854">
        <v>13.57</v>
      </c>
      <c r="T1854" s="4">
        <v>14.4199999999999</v>
      </c>
      <c r="U1854" s="4">
        <v>2.9805000000000001</v>
      </c>
      <c r="V1854" t="str">
        <f>IF(Table1[[#This Row],[ai_disruption_intensity]]&gt;70,"High",
IF(Table1[[#This Row],[ai_disruption_intensity]]&gt;40,"Medium","Low"))</f>
        <v>Low</v>
      </c>
      <c r="W1854" t="str">
        <f>IF(Table1[[#This Row],[skill_gap_index]]&gt;70,"Large Gap",
IF(Table1[[#This Row],[skill_gap_index]]&gt;40,"Medium Gap","Small Gap"))</f>
        <v>Small Gap</v>
      </c>
      <c r="X1854" s="3" t="str">
        <f>IF(Table1[[#This Row],[automation_risk_percent]]&gt;0.7,"Highly Automatable",
IF(Table1[[#This Row],[automation_risk_percent]]&gt;0.4,"Moderate Risk","Safe Job"))</f>
        <v>Safe Job</v>
      </c>
    </row>
    <row r="1855" spans="1:24" x14ac:dyDescent="0.3">
      <c r="A1855">
        <v>6620</v>
      </c>
      <c r="B1855" t="s">
        <v>41</v>
      </c>
      <c r="C1855" t="s">
        <v>30</v>
      </c>
      <c r="D1855" t="s">
        <v>32</v>
      </c>
      <c r="E1855" s="1">
        <v>2026</v>
      </c>
      <c r="F1855" s="11">
        <v>0.7451000000000001</v>
      </c>
      <c r="G1855">
        <v>60.16</v>
      </c>
      <c r="H1855">
        <v>83.62</v>
      </c>
      <c r="I1855" s="2">
        <v>87439.9</v>
      </c>
      <c r="J1855" s="2">
        <v>65105.45</v>
      </c>
      <c r="K1855" s="2">
        <f>Table1[[#This Row],[Salary_after]]-Table1[[#This Row],[Salary_before]]</f>
        <v>-22334.449999999997</v>
      </c>
      <c r="L1855" s="11">
        <v>-0.25540000000000002</v>
      </c>
      <c r="M1855" s="11">
        <v>0.1041</v>
      </c>
      <c r="N1855">
        <v>99.04</v>
      </c>
      <c r="O1855">
        <v>80.16</v>
      </c>
      <c r="P1855">
        <v>4</v>
      </c>
      <c r="Q1855" t="s">
        <v>37</v>
      </c>
      <c r="R1855">
        <v>79.064999999999998</v>
      </c>
      <c r="S1855">
        <v>25.54</v>
      </c>
      <c r="T1855" s="4">
        <v>62.552</v>
      </c>
      <c r="U1855" s="4">
        <v>59.727215999999999</v>
      </c>
      <c r="V1855" t="str">
        <f>IF(Table1[[#This Row],[ai_disruption_intensity]]&gt;70,"High",
IF(Table1[[#This Row],[ai_disruption_intensity]]&gt;40,"Medium","Low"))</f>
        <v>Medium</v>
      </c>
      <c r="W1855" t="str">
        <f>IF(Table1[[#This Row],[skill_gap_index]]&gt;70,"Large Gap",
IF(Table1[[#This Row],[skill_gap_index]]&gt;40,"Medium Gap","Small Gap"))</f>
        <v>Large Gap</v>
      </c>
      <c r="X1855" s="3" t="str">
        <f>IF(Table1[[#This Row],[automation_risk_percent]]&gt;0.7,"Highly Automatable",
IF(Table1[[#This Row],[automation_risk_percent]]&gt;0.4,"Moderate Risk","Safe Job"))</f>
        <v>Highly Automatable</v>
      </c>
    </row>
    <row r="1856" spans="1:24" x14ac:dyDescent="0.3">
      <c r="A1856">
        <v>6623</v>
      </c>
      <c r="B1856" t="s">
        <v>46</v>
      </c>
      <c r="C1856" t="s">
        <v>27</v>
      </c>
      <c r="D1856" t="s">
        <v>47</v>
      </c>
      <c r="E1856" s="1">
        <v>2026</v>
      </c>
      <c r="F1856" s="11">
        <v>0.36899999999999999</v>
      </c>
      <c r="G1856">
        <v>30.98</v>
      </c>
      <c r="H1856">
        <v>82.72</v>
      </c>
      <c r="I1856" s="2">
        <v>44884.68</v>
      </c>
      <c r="J1856" s="2">
        <v>42505.84</v>
      </c>
      <c r="K1856" s="2">
        <f>Table1[[#This Row],[Salary_after]]-Table1[[#This Row],[Salary_before]]</f>
        <v>-2378.8400000000038</v>
      </c>
      <c r="L1856" s="11">
        <v>-5.2999999999999999E-2</v>
      </c>
      <c r="M1856" s="11">
        <v>3.6499999999999998E-2</v>
      </c>
      <c r="N1856">
        <v>73.87</v>
      </c>
      <c r="O1856">
        <v>50.35</v>
      </c>
      <c r="P1856">
        <v>3</v>
      </c>
      <c r="Q1856" t="s">
        <v>25</v>
      </c>
      <c r="R1856">
        <v>59.81</v>
      </c>
      <c r="S1856">
        <v>5.3</v>
      </c>
      <c r="T1856" s="4">
        <v>41.165999999999997</v>
      </c>
      <c r="U1856" s="4">
        <v>18.579149999999998</v>
      </c>
      <c r="V1856" t="str">
        <f>IF(Table1[[#This Row],[ai_disruption_intensity]]&gt;70,"High",
IF(Table1[[#This Row],[ai_disruption_intensity]]&gt;40,"Medium","Low"))</f>
        <v>Low</v>
      </c>
      <c r="W1856" t="str">
        <f>IF(Table1[[#This Row],[skill_gap_index]]&gt;70,"Large Gap",
IF(Table1[[#This Row],[skill_gap_index]]&gt;40,"Medium Gap","Small Gap"))</f>
        <v>Large Gap</v>
      </c>
      <c r="X1856" s="3" t="str">
        <f>IF(Table1[[#This Row],[automation_risk_percent]]&gt;0.7,"Highly Automatable",
IF(Table1[[#This Row],[automation_risk_percent]]&gt;0.4,"Moderate Risk","Safe Job"))</f>
        <v>Safe Job</v>
      </c>
    </row>
    <row r="1857" spans="1:24" x14ac:dyDescent="0.3">
      <c r="A1857">
        <v>6624</v>
      </c>
      <c r="B1857" t="s">
        <v>39</v>
      </c>
      <c r="C1857" t="s">
        <v>23</v>
      </c>
      <c r="D1857" t="s">
        <v>20</v>
      </c>
      <c r="E1857" s="1">
        <v>2025</v>
      </c>
      <c r="F1857" s="11">
        <v>0.73530000000000006</v>
      </c>
      <c r="G1857">
        <v>62.91</v>
      </c>
      <c r="H1857">
        <v>81.92</v>
      </c>
      <c r="I1857" s="2">
        <v>91280.25</v>
      </c>
      <c r="J1857" s="2">
        <v>104188.29</v>
      </c>
      <c r="K1857" s="2">
        <f>Table1[[#This Row],[Salary_after]]-Table1[[#This Row],[Salary_before]]</f>
        <v>12908.039999999994</v>
      </c>
      <c r="L1857" s="11">
        <v>0.1414</v>
      </c>
      <c r="M1857" s="11">
        <v>-8.1900000000000001E-2</v>
      </c>
      <c r="N1857">
        <v>81.14</v>
      </c>
      <c r="O1857">
        <v>44.03</v>
      </c>
      <c r="P1857">
        <v>1</v>
      </c>
      <c r="Q1857" t="s">
        <v>37</v>
      </c>
      <c r="R1857">
        <v>77.724999999999994</v>
      </c>
      <c r="S1857">
        <v>14.14</v>
      </c>
      <c r="T1857" s="4">
        <v>58.23</v>
      </c>
      <c r="U1857" s="4">
        <v>32.375259</v>
      </c>
      <c r="V1857" t="str">
        <f>IF(Table1[[#This Row],[ai_disruption_intensity]]&gt;70,"High",
IF(Table1[[#This Row],[ai_disruption_intensity]]&gt;40,"Medium","Low"))</f>
        <v>Low</v>
      </c>
      <c r="W1857" t="str">
        <f>IF(Table1[[#This Row],[skill_gap_index]]&gt;70,"Large Gap",
IF(Table1[[#This Row],[skill_gap_index]]&gt;40,"Medium Gap","Small Gap"))</f>
        <v>Large Gap</v>
      </c>
      <c r="X1857" s="3" t="str">
        <f>IF(Table1[[#This Row],[automation_risk_percent]]&gt;0.7,"Highly Automatable",
IF(Table1[[#This Row],[automation_risk_percent]]&gt;0.4,"Moderate Risk","Safe Job"))</f>
        <v>Highly Automatable</v>
      </c>
    </row>
    <row r="1858" spans="1:24" x14ac:dyDescent="0.3">
      <c r="A1858">
        <v>6642</v>
      </c>
      <c r="B1858" t="s">
        <v>22</v>
      </c>
      <c r="C1858" t="s">
        <v>30</v>
      </c>
      <c r="D1858" t="s">
        <v>28</v>
      </c>
      <c r="E1858" s="1">
        <v>2026</v>
      </c>
      <c r="F1858" s="11">
        <v>0.57220000000000004</v>
      </c>
      <c r="G1858">
        <v>51.27</v>
      </c>
      <c r="H1858">
        <v>45.44</v>
      </c>
      <c r="I1858" s="2">
        <v>108667.42</v>
      </c>
      <c r="J1858" s="2">
        <v>91358.98</v>
      </c>
      <c r="K1858" s="2">
        <f>Table1[[#This Row],[Salary_after]]-Table1[[#This Row],[Salary_before]]</f>
        <v>-17308.440000000002</v>
      </c>
      <c r="L1858" s="11">
        <v>-0.1593</v>
      </c>
      <c r="M1858" s="11">
        <v>3.9800000000000002E-2</v>
      </c>
      <c r="N1858">
        <v>89.23</v>
      </c>
      <c r="O1858">
        <v>76.45</v>
      </c>
      <c r="P1858">
        <v>2</v>
      </c>
      <c r="Q1858" t="s">
        <v>25</v>
      </c>
      <c r="R1858">
        <v>51.33</v>
      </c>
      <c r="S1858">
        <v>15.93</v>
      </c>
      <c r="T1858" s="4">
        <v>41.298999999999999</v>
      </c>
      <c r="U1858" s="4">
        <v>43.744689999999999</v>
      </c>
      <c r="V1858" t="str">
        <f>IF(Table1[[#This Row],[ai_disruption_intensity]]&gt;70,"High",
IF(Table1[[#This Row],[ai_disruption_intensity]]&gt;40,"Medium","Low"))</f>
        <v>Medium</v>
      </c>
      <c r="W1858" t="str">
        <f>IF(Table1[[#This Row],[skill_gap_index]]&gt;70,"Large Gap",
IF(Table1[[#This Row],[skill_gap_index]]&gt;40,"Medium Gap","Small Gap"))</f>
        <v>Medium Gap</v>
      </c>
      <c r="X1858" s="3" t="str">
        <f>IF(Table1[[#This Row],[automation_risk_percent]]&gt;0.7,"Highly Automatable",
IF(Table1[[#This Row],[automation_risk_percent]]&gt;0.4,"Moderate Risk","Safe Job"))</f>
        <v>Moderate Risk</v>
      </c>
    </row>
    <row r="1859" spans="1:24" x14ac:dyDescent="0.3">
      <c r="A1859">
        <v>6644</v>
      </c>
      <c r="B1859" t="s">
        <v>43</v>
      </c>
      <c r="C1859" t="s">
        <v>38</v>
      </c>
      <c r="D1859" t="s">
        <v>20</v>
      </c>
      <c r="E1859" s="1">
        <v>2025</v>
      </c>
      <c r="F1859" s="11">
        <v>0.31</v>
      </c>
      <c r="G1859">
        <v>34.67</v>
      </c>
      <c r="H1859">
        <v>10.52</v>
      </c>
      <c r="I1859" s="2">
        <v>105001.7</v>
      </c>
      <c r="J1859" s="2">
        <v>110869.82</v>
      </c>
      <c r="K1859" s="2">
        <f>Table1[[#This Row],[Salary_after]]-Table1[[#This Row],[Salary_before]]</f>
        <v>5868.1200000000099</v>
      </c>
      <c r="L1859" s="11">
        <v>5.5899999999999998E-2</v>
      </c>
      <c r="M1859" s="11">
        <v>0.1573</v>
      </c>
      <c r="N1859">
        <v>72.650000000000006</v>
      </c>
      <c r="O1859">
        <v>52.6</v>
      </c>
      <c r="P1859">
        <v>5</v>
      </c>
      <c r="Q1859" t="s">
        <v>25</v>
      </c>
      <c r="R1859">
        <v>20.759999999999899</v>
      </c>
      <c r="S1859">
        <v>5.59</v>
      </c>
      <c r="T1859" s="4">
        <v>17.233000000000001</v>
      </c>
      <c r="U1859" s="4">
        <v>16.306000000000001</v>
      </c>
      <c r="V1859" t="str">
        <f>IF(Table1[[#This Row],[ai_disruption_intensity]]&gt;70,"High",
IF(Table1[[#This Row],[ai_disruption_intensity]]&gt;40,"Medium","Low"))</f>
        <v>Low</v>
      </c>
      <c r="W1859" t="str">
        <f>IF(Table1[[#This Row],[skill_gap_index]]&gt;70,"Large Gap",
IF(Table1[[#This Row],[skill_gap_index]]&gt;40,"Medium Gap","Small Gap"))</f>
        <v>Small Gap</v>
      </c>
      <c r="X1859" s="3" t="str">
        <f>IF(Table1[[#This Row],[automation_risk_percent]]&gt;0.7,"Highly Automatable",
IF(Table1[[#This Row],[automation_risk_percent]]&gt;0.4,"Moderate Risk","Safe Job"))</f>
        <v>Safe Job</v>
      </c>
    </row>
    <row r="1860" spans="1:24" x14ac:dyDescent="0.3">
      <c r="A1860">
        <v>6650</v>
      </c>
      <c r="B1860" t="s">
        <v>46</v>
      </c>
      <c r="C1860" t="s">
        <v>27</v>
      </c>
      <c r="D1860" t="s">
        <v>32</v>
      </c>
      <c r="E1860" s="1">
        <v>2026</v>
      </c>
      <c r="F1860" s="11">
        <v>0.05</v>
      </c>
      <c r="G1860">
        <v>4.87</v>
      </c>
      <c r="H1860">
        <v>18.62</v>
      </c>
      <c r="I1860" s="2">
        <v>136398.21</v>
      </c>
      <c r="J1860" s="2">
        <v>144770.37</v>
      </c>
      <c r="K1860" s="2">
        <f>Table1[[#This Row],[Salary_after]]-Table1[[#This Row],[Salary_before]]</f>
        <v>8372.1600000000035</v>
      </c>
      <c r="L1860" s="11">
        <v>6.1399999999999996E-2</v>
      </c>
      <c r="M1860" s="11">
        <v>0.1857</v>
      </c>
      <c r="N1860">
        <v>14.27</v>
      </c>
      <c r="O1860">
        <v>62.22</v>
      </c>
      <c r="P1860">
        <v>3</v>
      </c>
      <c r="Q1860" t="s">
        <v>21</v>
      </c>
      <c r="R1860">
        <v>11.81</v>
      </c>
      <c r="S1860">
        <v>6.14</v>
      </c>
      <c r="T1860" s="4">
        <v>9.4280000000000008</v>
      </c>
      <c r="U1860" s="4">
        <v>3.1110000000000002</v>
      </c>
      <c r="V1860" t="str">
        <f>IF(Table1[[#This Row],[ai_disruption_intensity]]&gt;70,"High",
IF(Table1[[#This Row],[ai_disruption_intensity]]&gt;40,"Medium","Low"))</f>
        <v>Low</v>
      </c>
      <c r="W1860" t="str">
        <f>IF(Table1[[#This Row],[skill_gap_index]]&gt;70,"Large Gap",
IF(Table1[[#This Row],[skill_gap_index]]&gt;40,"Medium Gap","Small Gap"))</f>
        <v>Small Gap</v>
      </c>
      <c r="X1860" s="3" t="str">
        <f>IF(Table1[[#This Row],[automation_risk_percent]]&gt;0.7,"Highly Automatable",
IF(Table1[[#This Row],[automation_risk_percent]]&gt;0.4,"Moderate Risk","Safe Job"))</f>
        <v>Safe Job</v>
      </c>
    </row>
    <row r="1861" spans="1:24" x14ac:dyDescent="0.3">
      <c r="A1861">
        <v>6654</v>
      </c>
      <c r="B1861" t="s">
        <v>46</v>
      </c>
      <c r="C1861" t="s">
        <v>34</v>
      </c>
      <c r="D1861" t="s">
        <v>31</v>
      </c>
      <c r="E1861" s="1">
        <v>2026</v>
      </c>
      <c r="F1861" s="11">
        <v>0.05</v>
      </c>
      <c r="G1861">
        <v>4.41</v>
      </c>
      <c r="H1861">
        <v>51.45</v>
      </c>
      <c r="I1861" s="2">
        <v>78809.539999999994</v>
      </c>
      <c r="J1861" s="2">
        <v>66444.289999999994</v>
      </c>
      <c r="K1861" s="2">
        <f>Table1[[#This Row],[Salary_after]]-Table1[[#This Row],[Salary_before]]</f>
        <v>-12365.25</v>
      </c>
      <c r="L1861" s="11">
        <v>-0.15689999999999998</v>
      </c>
      <c r="M1861" s="11">
        <v>0.14349999999999999</v>
      </c>
      <c r="N1861">
        <v>11.44</v>
      </c>
      <c r="O1861">
        <v>43.09</v>
      </c>
      <c r="P1861">
        <v>1</v>
      </c>
      <c r="Q1861" t="s">
        <v>21</v>
      </c>
      <c r="R1861">
        <v>28.225000000000001</v>
      </c>
      <c r="S1861">
        <v>15.69</v>
      </c>
      <c r="T1861" s="4">
        <v>22.141999999999999</v>
      </c>
      <c r="U1861" s="4">
        <v>2.1545000000000001</v>
      </c>
      <c r="V1861" t="str">
        <f>IF(Table1[[#This Row],[ai_disruption_intensity]]&gt;70,"High",
IF(Table1[[#This Row],[ai_disruption_intensity]]&gt;40,"Medium","Low"))</f>
        <v>Low</v>
      </c>
      <c r="W1861" t="str">
        <f>IF(Table1[[#This Row],[skill_gap_index]]&gt;70,"Large Gap",
IF(Table1[[#This Row],[skill_gap_index]]&gt;40,"Medium Gap","Small Gap"))</f>
        <v>Medium Gap</v>
      </c>
      <c r="X1861" s="3" t="str">
        <f>IF(Table1[[#This Row],[automation_risk_percent]]&gt;0.7,"Highly Automatable",
IF(Table1[[#This Row],[automation_risk_percent]]&gt;0.4,"Moderate Risk","Safe Job"))</f>
        <v>Safe Job</v>
      </c>
    </row>
    <row r="1862" spans="1:24" x14ac:dyDescent="0.3">
      <c r="A1862">
        <v>6656</v>
      </c>
      <c r="B1862" t="s">
        <v>18</v>
      </c>
      <c r="C1862" t="s">
        <v>30</v>
      </c>
      <c r="D1862" t="s">
        <v>35</v>
      </c>
      <c r="E1862" s="1">
        <v>2026</v>
      </c>
      <c r="F1862" s="11">
        <v>0.30020000000000002</v>
      </c>
      <c r="G1862">
        <v>33.549999999999997</v>
      </c>
      <c r="H1862">
        <v>95.62</v>
      </c>
      <c r="I1862" s="2">
        <v>148788.23000000001</v>
      </c>
      <c r="J1862" s="2">
        <v>168851.74</v>
      </c>
      <c r="K1862" s="2">
        <f>Table1[[#This Row],[Salary_after]]-Table1[[#This Row],[Salary_before]]</f>
        <v>20063.50999999998</v>
      </c>
      <c r="L1862" s="11">
        <v>0.1348</v>
      </c>
      <c r="M1862" s="11">
        <v>0.1255</v>
      </c>
      <c r="N1862">
        <v>84</v>
      </c>
      <c r="O1862">
        <v>79.89</v>
      </c>
      <c r="P1862">
        <v>1</v>
      </c>
      <c r="Q1862" t="s">
        <v>25</v>
      </c>
      <c r="R1862">
        <v>62.82</v>
      </c>
      <c r="S1862">
        <v>13.48</v>
      </c>
      <c r="T1862" s="4">
        <v>44.738</v>
      </c>
      <c r="U1862" s="4">
        <v>23.982977999999999</v>
      </c>
      <c r="V1862" t="str">
        <f>IF(Table1[[#This Row],[ai_disruption_intensity]]&gt;70,"High",
IF(Table1[[#This Row],[ai_disruption_intensity]]&gt;40,"Medium","Low"))</f>
        <v>Low</v>
      </c>
      <c r="W1862" t="str">
        <f>IF(Table1[[#This Row],[skill_gap_index]]&gt;70,"Large Gap",
IF(Table1[[#This Row],[skill_gap_index]]&gt;40,"Medium Gap","Small Gap"))</f>
        <v>Large Gap</v>
      </c>
      <c r="X1862" s="3" t="str">
        <f>IF(Table1[[#This Row],[automation_risk_percent]]&gt;0.7,"Highly Automatable",
IF(Table1[[#This Row],[automation_risk_percent]]&gt;0.4,"Moderate Risk","Safe Job"))</f>
        <v>Safe Job</v>
      </c>
    </row>
    <row r="1863" spans="1:24" x14ac:dyDescent="0.3">
      <c r="A1863">
        <v>6659</v>
      </c>
      <c r="B1863" t="s">
        <v>45</v>
      </c>
      <c r="C1863" t="s">
        <v>30</v>
      </c>
      <c r="D1863" t="s">
        <v>31</v>
      </c>
      <c r="E1863" s="1">
        <v>2026</v>
      </c>
      <c r="F1863" s="11">
        <v>0.55610000000000004</v>
      </c>
      <c r="G1863">
        <v>63.47</v>
      </c>
      <c r="H1863">
        <v>33.71</v>
      </c>
      <c r="I1863" s="2">
        <v>96990.36</v>
      </c>
      <c r="J1863" s="2">
        <v>101455.92</v>
      </c>
      <c r="K1863" s="2">
        <f>Table1[[#This Row],[Salary_after]]-Table1[[#This Row],[Salary_before]]</f>
        <v>4465.5599999999977</v>
      </c>
      <c r="L1863" s="11">
        <v>4.5999999999999999E-2</v>
      </c>
      <c r="M1863" s="11">
        <v>5.7500000000000002E-2</v>
      </c>
      <c r="N1863">
        <v>21.83</v>
      </c>
      <c r="O1863">
        <v>75.89</v>
      </c>
      <c r="P1863">
        <v>5</v>
      </c>
      <c r="Q1863" t="s">
        <v>25</v>
      </c>
      <c r="R1863">
        <v>44.66</v>
      </c>
      <c r="S1863">
        <v>4.5999999999999996</v>
      </c>
      <c r="T1863" s="4">
        <v>33.737000000000002</v>
      </c>
      <c r="U1863" s="4">
        <v>42.202429000000002</v>
      </c>
      <c r="V1863" t="str">
        <f>IF(Table1[[#This Row],[ai_disruption_intensity]]&gt;70,"High",
IF(Table1[[#This Row],[ai_disruption_intensity]]&gt;40,"Medium","Low"))</f>
        <v>Medium</v>
      </c>
      <c r="W1863" t="str">
        <f>IF(Table1[[#This Row],[skill_gap_index]]&gt;70,"Large Gap",
IF(Table1[[#This Row],[skill_gap_index]]&gt;40,"Medium Gap","Small Gap"))</f>
        <v>Small Gap</v>
      </c>
      <c r="X1863" s="3" t="str">
        <f>IF(Table1[[#This Row],[automation_risk_percent]]&gt;0.7,"Highly Automatable",
IF(Table1[[#This Row],[automation_risk_percent]]&gt;0.4,"Moderate Risk","Safe Job"))</f>
        <v>Moderate Risk</v>
      </c>
    </row>
    <row r="1864" spans="1:24" x14ac:dyDescent="0.3">
      <c r="A1864">
        <v>6660</v>
      </c>
      <c r="B1864" t="s">
        <v>18</v>
      </c>
      <c r="C1864" t="s">
        <v>27</v>
      </c>
      <c r="D1864" t="s">
        <v>47</v>
      </c>
      <c r="E1864" s="1">
        <v>2026</v>
      </c>
      <c r="F1864" s="11">
        <v>0.50259999999999994</v>
      </c>
      <c r="G1864">
        <v>57.2</v>
      </c>
      <c r="H1864">
        <v>83.2</v>
      </c>
      <c r="I1864" s="2">
        <v>31443.64</v>
      </c>
      <c r="J1864" s="2">
        <v>29101.67</v>
      </c>
      <c r="K1864" s="2">
        <f>Table1[[#This Row],[Salary_after]]-Table1[[#This Row],[Salary_before]]</f>
        <v>-2341.9700000000012</v>
      </c>
      <c r="L1864" s="11">
        <v>-7.4499999999999997E-2</v>
      </c>
      <c r="M1864" s="11">
        <v>-6.8000000000000005E-3</v>
      </c>
      <c r="N1864">
        <v>51.55</v>
      </c>
      <c r="O1864">
        <v>90.53</v>
      </c>
      <c r="P1864">
        <v>4</v>
      </c>
      <c r="Q1864" t="s">
        <v>25</v>
      </c>
      <c r="R1864">
        <v>66.73</v>
      </c>
      <c r="S1864">
        <v>7.45</v>
      </c>
      <c r="T1864" s="4">
        <v>47.298999999999999</v>
      </c>
      <c r="U1864" s="4">
        <v>45.500377999999998</v>
      </c>
      <c r="V1864" t="str">
        <f>IF(Table1[[#This Row],[ai_disruption_intensity]]&gt;70,"High",
IF(Table1[[#This Row],[ai_disruption_intensity]]&gt;40,"Medium","Low"))</f>
        <v>Medium</v>
      </c>
      <c r="W1864" t="str">
        <f>IF(Table1[[#This Row],[skill_gap_index]]&gt;70,"Large Gap",
IF(Table1[[#This Row],[skill_gap_index]]&gt;40,"Medium Gap","Small Gap"))</f>
        <v>Large Gap</v>
      </c>
      <c r="X1864" s="3" t="str">
        <f>IF(Table1[[#This Row],[automation_risk_percent]]&gt;0.7,"Highly Automatable",
IF(Table1[[#This Row],[automation_risk_percent]]&gt;0.4,"Moderate Risk","Safe Job"))</f>
        <v>Moderate Risk</v>
      </c>
    </row>
    <row r="1865" spans="1:24" x14ac:dyDescent="0.3">
      <c r="A1865">
        <v>6661</v>
      </c>
      <c r="B1865" t="s">
        <v>18</v>
      </c>
      <c r="C1865" t="s">
        <v>27</v>
      </c>
      <c r="D1865" t="s">
        <v>35</v>
      </c>
      <c r="E1865" s="1">
        <v>2025</v>
      </c>
      <c r="F1865" s="11">
        <v>0.10349999999999999</v>
      </c>
      <c r="G1865">
        <v>10.3</v>
      </c>
      <c r="H1865">
        <v>88.48</v>
      </c>
      <c r="I1865" s="2">
        <v>141145.49</v>
      </c>
      <c r="J1865" s="2">
        <v>155417.14000000001</v>
      </c>
      <c r="K1865" s="2">
        <f>Table1[[#This Row],[Salary_after]]-Table1[[#This Row],[Salary_before]]</f>
        <v>14271.650000000023</v>
      </c>
      <c r="L1865" s="11">
        <v>0.1011</v>
      </c>
      <c r="M1865" s="11">
        <v>9.820000000000001E-2</v>
      </c>
      <c r="N1865">
        <v>39.17</v>
      </c>
      <c r="O1865">
        <v>28.6</v>
      </c>
      <c r="P1865">
        <v>4</v>
      </c>
      <c r="Q1865" t="s">
        <v>21</v>
      </c>
      <c r="R1865">
        <v>49.414999999999999</v>
      </c>
      <c r="S1865">
        <v>10.11</v>
      </c>
      <c r="T1865" s="4">
        <v>33.716999999999999</v>
      </c>
      <c r="U1865" s="4">
        <v>2.96009999999999</v>
      </c>
      <c r="V1865" t="str">
        <f>IF(Table1[[#This Row],[ai_disruption_intensity]]&gt;70,"High",
IF(Table1[[#This Row],[ai_disruption_intensity]]&gt;40,"Medium","Low"))</f>
        <v>Low</v>
      </c>
      <c r="W1865" t="str">
        <f>IF(Table1[[#This Row],[skill_gap_index]]&gt;70,"Large Gap",
IF(Table1[[#This Row],[skill_gap_index]]&gt;40,"Medium Gap","Small Gap"))</f>
        <v>Large Gap</v>
      </c>
      <c r="X1865" s="3" t="str">
        <f>IF(Table1[[#This Row],[automation_risk_percent]]&gt;0.7,"Highly Automatable",
IF(Table1[[#This Row],[automation_risk_percent]]&gt;0.4,"Moderate Risk","Safe Job"))</f>
        <v>Safe Job</v>
      </c>
    </row>
    <row r="1866" spans="1:24" x14ac:dyDescent="0.3">
      <c r="A1866">
        <v>6673</v>
      </c>
      <c r="B1866" t="s">
        <v>44</v>
      </c>
      <c r="C1866" t="s">
        <v>40</v>
      </c>
      <c r="D1866" t="s">
        <v>47</v>
      </c>
      <c r="E1866" s="1">
        <v>2025</v>
      </c>
      <c r="F1866" s="11">
        <v>0.63890000000000002</v>
      </c>
      <c r="G1866">
        <v>67.349999999999994</v>
      </c>
      <c r="H1866">
        <v>27.36</v>
      </c>
      <c r="I1866" s="2">
        <v>77990.14</v>
      </c>
      <c r="J1866" s="2">
        <v>68927.360000000001</v>
      </c>
      <c r="K1866" s="2">
        <f>Table1[[#This Row],[Salary_after]]-Table1[[#This Row],[Salary_before]]</f>
        <v>-9062.7799999999988</v>
      </c>
      <c r="L1866" s="11">
        <v>-0.1162</v>
      </c>
      <c r="M1866" s="11">
        <v>4.0399999999999998E-2</v>
      </c>
      <c r="N1866">
        <v>50.7</v>
      </c>
      <c r="O1866">
        <v>16.12</v>
      </c>
      <c r="P1866">
        <v>4</v>
      </c>
      <c r="Q1866" t="s">
        <v>37</v>
      </c>
      <c r="R1866">
        <v>45.625</v>
      </c>
      <c r="S1866">
        <v>11.62</v>
      </c>
      <c r="T1866" s="4">
        <v>37.25</v>
      </c>
      <c r="U1866" s="4">
        <v>10.299068</v>
      </c>
      <c r="V1866" t="str">
        <f>IF(Table1[[#This Row],[ai_disruption_intensity]]&gt;70,"High",
IF(Table1[[#This Row],[ai_disruption_intensity]]&gt;40,"Medium","Low"))</f>
        <v>Low</v>
      </c>
      <c r="W1866" t="str">
        <f>IF(Table1[[#This Row],[skill_gap_index]]&gt;70,"Large Gap",
IF(Table1[[#This Row],[skill_gap_index]]&gt;40,"Medium Gap","Small Gap"))</f>
        <v>Small Gap</v>
      </c>
      <c r="X1866" s="3" t="str">
        <f>IF(Table1[[#This Row],[automation_risk_percent]]&gt;0.7,"Highly Automatable",
IF(Table1[[#This Row],[automation_risk_percent]]&gt;0.4,"Moderate Risk","Safe Job"))</f>
        <v>Moderate Risk</v>
      </c>
    </row>
    <row r="1867" spans="1:24" x14ac:dyDescent="0.3">
      <c r="A1867">
        <v>6675</v>
      </c>
      <c r="B1867" t="s">
        <v>46</v>
      </c>
      <c r="C1867" t="s">
        <v>34</v>
      </c>
      <c r="D1867" t="s">
        <v>24</v>
      </c>
      <c r="E1867" s="1">
        <v>2026</v>
      </c>
      <c r="F1867" s="11">
        <v>7.8299999999999995E-2</v>
      </c>
      <c r="G1867">
        <v>8.23</v>
      </c>
      <c r="H1867">
        <v>0.21</v>
      </c>
      <c r="I1867" s="2">
        <v>85801.12</v>
      </c>
      <c r="J1867" s="2">
        <v>88852.03</v>
      </c>
      <c r="K1867" s="2">
        <f>Table1[[#This Row],[Salary_after]]-Table1[[#This Row],[Salary_before]]</f>
        <v>3050.9100000000035</v>
      </c>
      <c r="L1867" s="11">
        <v>3.56E-2</v>
      </c>
      <c r="M1867" s="11">
        <v>6.8499999999999991E-2</v>
      </c>
      <c r="N1867">
        <v>54.36</v>
      </c>
      <c r="O1867">
        <v>84.05</v>
      </c>
      <c r="P1867">
        <v>4</v>
      </c>
      <c r="Q1867" t="s">
        <v>21</v>
      </c>
      <c r="R1867">
        <v>4.0199999999999996</v>
      </c>
      <c r="S1867">
        <v>3.56</v>
      </c>
      <c r="T1867" s="4">
        <v>4.2629999999999999</v>
      </c>
      <c r="U1867" s="4">
        <v>6.5811149999999996</v>
      </c>
      <c r="V1867" t="str">
        <f>IF(Table1[[#This Row],[ai_disruption_intensity]]&gt;70,"High",
IF(Table1[[#This Row],[ai_disruption_intensity]]&gt;40,"Medium","Low"))</f>
        <v>Low</v>
      </c>
      <c r="W1867" t="str">
        <f>IF(Table1[[#This Row],[skill_gap_index]]&gt;70,"Large Gap",
IF(Table1[[#This Row],[skill_gap_index]]&gt;40,"Medium Gap","Small Gap"))</f>
        <v>Small Gap</v>
      </c>
      <c r="X1867" s="3" t="str">
        <f>IF(Table1[[#This Row],[automation_risk_percent]]&gt;0.7,"Highly Automatable",
IF(Table1[[#This Row],[automation_risk_percent]]&gt;0.4,"Moderate Risk","Safe Job"))</f>
        <v>Safe Job</v>
      </c>
    </row>
    <row r="1868" spans="1:24" x14ac:dyDescent="0.3">
      <c r="A1868">
        <v>6681</v>
      </c>
      <c r="B1868" t="s">
        <v>39</v>
      </c>
      <c r="C1868" t="s">
        <v>34</v>
      </c>
      <c r="D1868" t="s">
        <v>31</v>
      </c>
      <c r="E1868" s="1">
        <v>2025</v>
      </c>
      <c r="F1868" s="11">
        <v>0.70420000000000005</v>
      </c>
      <c r="G1868">
        <v>65.45</v>
      </c>
      <c r="H1868">
        <v>32.79</v>
      </c>
      <c r="I1868" s="2">
        <v>123596.89</v>
      </c>
      <c r="J1868" s="2">
        <v>145438.07</v>
      </c>
      <c r="K1868" s="2">
        <f>Table1[[#This Row],[Salary_after]]-Table1[[#This Row],[Salary_before]]</f>
        <v>21841.180000000008</v>
      </c>
      <c r="L1868" s="11">
        <v>0.17670000000000002</v>
      </c>
      <c r="M1868" s="11">
        <v>-0.12839999999999999</v>
      </c>
      <c r="N1868">
        <v>48.01</v>
      </c>
      <c r="O1868">
        <v>24.23</v>
      </c>
      <c r="P1868">
        <v>5</v>
      </c>
      <c r="Q1868" t="s">
        <v>37</v>
      </c>
      <c r="R1868">
        <v>51.604999999999997</v>
      </c>
      <c r="S1868">
        <v>17.670000000000002</v>
      </c>
      <c r="T1868" s="4">
        <v>43.305999999999997</v>
      </c>
      <c r="U1868" s="4">
        <v>17.062766</v>
      </c>
      <c r="V1868" t="str">
        <f>IF(Table1[[#This Row],[ai_disruption_intensity]]&gt;70,"High",
IF(Table1[[#This Row],[ai_disruption_intensity]]&gt;40,"Medium","Low"))</f>
        <v>Low</v>
      </c>
      <c r="W1868" t="str">
        <f>IF(Table1[[#This Row],[skill_gap_index]]&gt;70,"Large Gap",
IF(Table1[[#This Row],[skill_gap_index]]&gt;40,"Medium Gap","Small Gap"))</f>
        <v>Small Gap</v>
      </c>
      <c r="X1868" s="3" t="str">
        <f>IF(Table1[[#This Row],[automation_risk_percent]]&gt;0.7,"Highly Automatable",
IF(Table1[[#This Row],[automation_risk_percent]]&gt;0.4,"Moderate Risk","Safe Job"))</f>
        <v>Highly Automatable</v>
      </c>
    </row>
    <row r="1869" spans="1:24" x14ac:dyDescent="0.3">
      <c r="A1869">
        <v>6690</v>
      </c>
      <c r="B1869" t="s">
        <v>26</v>
      </c>
      <c r="C1869" t="s">
        <v>40</v>
      </c>
      <c r="D1869" t="s">
        <v>20</v>
      </c>
      <c r="E1869" s="1">
        <v>2025</v>
      </c>
      <c r="F1869" s="11">
        <v>0.3962</v>
      </c>
      <c r="G1869">
        <v>35.22</v>
      </c>
      <c r="H1869">
        <v>32.42</v>
      </c>
      <c r="I1869" s="2">
        <v>119722.51</v>
      </c>
      <c r="J1869" s="2">
        <v>120699.97</v>
      </c>
      <c r="K1869" s="2">
        <f>Table1[[#This Row],[Salary_after]]-Table1[[#This Row],[Salary_before]]</f>
        <v>977.4600000000064</v>
      </c>
      <c r="L1869" s="11">
        <v>8.199999999999999E-3</v>
      </c>
      <c r="M1869" s="11">
        <v>-0.16510000000000002</v>
      </c>
      <c r="N1869">
        <v>20.29</v>
      </c>
      <c r="O1869">
        <v>85.01</v>
      </c>
      <c r="P1869">
        <v>2</v>
      </c>
      <c r="Q1869" t="s">
        <v>25</v>
      </c>
      <c r="R1869">
        <v>36.019999999999897</v>
      </c>
      <c r="S1869">
        <v>0.82</v>
      </c>
      <c r="T1869" s="4">
        <v>25.819999999999901</v>
      </c>
      <c r="U1869" s="4">
        <v>33.680962000000001</v>
      </c>
      <c r="V1869" t="str">
        <f>IF(Table1[[#This Row],[ai_disruption_intensity]]&gt;70,"High",
IF(Table1[[#This Row],[ai_disruption_intensity]]&gt;40,"Medium","Low"))</f>
        <v>Low</v>
      </c>
      <c r="W1869" t="str">
        <f>IF(Table1[[#This Row],[skill_gap_index]]&gt;70,"Large Gap",
IF(Table1[[#This Row],[skill_gap_index]]&gt;40,"Medium Gap","Small Gap"))</f>
        <v>Small Gap</v>
      </c>
      <c r="X1869" s="3" t="str">
        <f>IF(Table1[[#This Row],[automation_risk_percent]]&gt;0.7,"Highly Automatable",
IF(Table1[[#This Row],[automation_risk_percent]]&gt;0.4,"Moderate Risk","Safe Job"))</f>
        <v>Safe Job</v>
      </c>
    </row>
    <row r="1870" spans="1:24" x14ac:dyDescent="0.3">
      <c r="A1870">
        <v>6694</v>
      </c>
      <c r="B1870" t="s">
        <v>18</v>
      </c>
      <c r="C1870" t="s">
        <v>34</v>
      </c>
      <c r="D1870" t="s">
        <v>24</v>
      </c>
      <c r="E1870" s="1">
        <v>2026</v>
      </c>
      <c r="F1870" s="11">
        <v>0.32189999999999996</v>
      </c>
      <c r="G1870">
        <v>37.130000000000003</v>
      </c>
      <c r="H1870">
        <v>51.15</v>
      </c>
      <c r="I1870" s="2">
        <v>144437.65</v>
      </c>
      <c r="J1870" s="2">
        <v>142038.47</v>
      </c>
      <c r="K1870" s="2">
        <f>Table1[[#This Row],[Salary_after]]-Table1[[#This Row],[Salary_before]]</f>
        <v>-2399.179999999993</v>
      </c>
      <c r="L1870" s="11">
        <v>-1.66E-2</v>
      </c>
      <c r="M1870" s="11">
        <v>4.36E-2</v>
      </c>
      <c r="N1870">
        <v>22.43</v>
      </c>
      <c r="O1870">
        <v>21.71</v>
      </c>
      <c r="P1870">
        <v>1</v>
      </c>
      <c r="Q1870" t="s">
        <v>25</v>
      </c>
      <c r="R1870">
        <v>41.67</v>
      </c>
      <c r="S1870">
        <v>1.66</v>
      </c>
      <c r="T1870" s="4">
        <v>28.718999999999902</v>
      </c>
      <c r="U1870" s="4">
        <v>6.9884489999999904</v>
      </c>
      <c r="V1870" t="str">
        <f>IF(Table1[[#This Row],[ai_disruption_intensity]]&gt;70,"High",
IF(Table1[[#This Row],[ai_disruption_intensity]]&gt;40,"Medium","Low"))</f>
        <v>Low</v>
      </c>
      <c r="W1870" t="str">
        <f>IF(Table1[[#This Row],[skill_gap_index]]&gt;70,"Large Gap",
IF(Table1[[#This Row],[skill_gap_index]]&gt;40,"Medium Gap","Small Gap"))</f>
        <v>Medium Gap</v>
      </c>
      <c r="X1870" s="3" t="str">
        <f>IF(Table1[[#This Row],[automation_risk_percent]]&gt;0.7,"Highly Automatable",
IF(Table1[[#This Row],[automation_risk_percent]]&gt;0.4,"Moderate Risk","Safe Job"))</f>
        <v>Safe Job</v>
      </c>
    </row>
    <row r="1871" spans="1:24" x14ac:dyDescent="0.3">
      <c r="A1871">
        <v>6698</v>
      </c>
      <c r="B1871" t="s">
        <v>22</v>
      </c>
      <c r="C1871" t="s">
        <v>19</v>
      </c>
      <c r="D1871" t="s">
        <v>31</v>
      </c>
      <c r="E1871" s="1">
        <v>2026</v>
      </c>
      <c r="F1871" s="11">
        <v>0.1991</v>
      </c>
      <c r="G1871">
        <v>21.42</v>
      </c>
      <c r="H1871">
        <v>80.989999999999995</v>
      </c>
      <c r="I1871" s="2">
        <v>63498.080000000002</v>
      </c>
      <c r="J1871" s="2">
        <v>59632.78</v>
      </c>
      <c r="K1871" s="2">
        <f>Table1[[#This Row],[Salary_after]]-Table1[[#This Row],[Salary_before]]</f>
        <v>-3865.3000000000029</v>
      </c>
      <c r="L1871" s="11">
        <v>-6.0899999999999996E-2</v>
      </c>
      <c r="M1871" s="11">
        <v>0.13239999999999999</v>
      </c>
      <c r="N1871">
        <v>72.38</v>
      </c>
      <c r="O1871">
        <v>12.48</v>
      </c>
      <c r="P1871">
        <v>3</v>
      </c>
      <c r="Q1871" t="s">
        <v>21</v>
      </c>
      <c r="R1871">
        <v>50.449999999999903</v>
      </c>
      <c r="S1871">
        <v>6.09</v>
      </c>
      <c r="T1871" s="4">
        <v>34.087999999999901</v>
      </c>
      <c r="U1871" s="4">
        <v>2.4847679999999999</v>
      </c>
      <c r="V1871" t="str">
        <f>IF(Table1[[#This Row],[ai_disruption_intensity]]&gt;70,"High",
IF(Table1[[#This Row],[ai_disruption_intensity]]&gt;40,"Medium","Low"))</f>
        <v>Low</v>
      </c>
      <c r="W1871" t="str">
        <f>IF(Table1[[#This Row],[skill_gap_index]]&gt;70,"Large Gap",
IF(Table1[[#This Row],[skill_gap_index]]&gt;40,"Medium Gap","Small Gap"))</f>
        <v>Large Gap</v>
      </c>
      <c r="X1871" s="3" t="str">
        <f>IF(Table1[[#This Row],[automation_risk_percent]]&gt;0.7,"Highly Automatable",
IF(Table1[[#This Row],[automation_risk_percent]]&gt;0.4,"Moderate Risk","Safe Job"))</f>
        <v>Safe Job</v>
      </c>
    </row>
    <row r="1872" spans="1:24" x14ac:dyDescent="0.3">
      <c r="A1872">
        <v>6702</v>
      </c>
      <c r="B1872" t="s">
        <v>18</v>
      </c>
      <c r="C1872" t="s">
        <v>30</v>
      </c>
      <c r="D1872" t="s">
        <v>42</v>
      </c>
      <c r="E1872" s="1">
        <v>2026</v>
      </c>
      <c r="F1872" s="11">
        <v>0.3785</v>
      </c>
      <c r="G1872">
        <v>31.39</v>
      </c>
      <c r="H1872">
        <v>70.62</v>
      </c>
      <c r="I1872" s="2">
        <v>63085.63</v>
      </c>
      <c r="J1872" s="2">
        <v>61031.58</v>
      </c>
      <c r="K1872" s="2">
        <f>Table1[[#This Row],[Salary_after]]-Table1[[#This Row],[Salary_before]]</f>
        <v>-2054.0499999999956</v>
      </c>
      <c r="L1872" s="11">
        <v>-3.2599999999999997E-2</v>
      </c>
      <c r="M1872" s="11">
        <v>5.1399999999999994E-2</v>
      </c>
      <c r="N1872">
        <v>57.22</v>
      </c>
      <c r="O1872">
        <v>0.33</v>
      </c>
      <c r="P1872">
        <v>1</v>
      </c>
      <c r="Q1872" t="s">
        <v>25</v>
      </c>
      <c r="R1872">
        <v>54.234999999999999</v>
      </c>
      <c r="S1872">
        <v>3.26</v>
      </c>
      <c r="T1872" s="4">
        <v>37.304000000000002</v>
      </c>
      <c r="U1872" s="4">
        <v>0.124905</v>
      </c>
      <c r="V1872" t="str">
        <f>IF(Table1[[#This Row],[ai_disruption_intensity]]&gt;70,"High",
IF(Table1[[#This Row],[ai_disruption_intensity]]&gt;40,"Medium","Low"))</f>
        <v>Low</v>
      </c>
      <c r="W1872" t="str">
        <f>IF(Table1[[#This Row],[skill_gap_index]]&gt;70,"Large Gap",
IF(Table1[[#This Row],[skill_gap_index]]&gt;40,"Medium Gap","Small Gap"))</f>
        <v>Large Gap</v>
      </c>
      <c r="X1872" s="3" t="str">
        <f>IF(Table1[[#This Row],[automation_risk_percent]]&gt;0.7,"Highly Automatable",
IF(Table1[[#This Row],[automation_risk_percent]]&gt;0.4,"Moderate Risk","Safe Job"))</f>
        <v>Safe Job</v>
      </c>
    </row>
    <row r="1873" spans="1:24" x14ac:dyDescent="0.3">
      <c r="A1873">
        <v>6705</v>
      </c>
      <c r="B1873" t="s">
        <v>39</v>
      </c>
      <c r="C1873" t="s">
        <v>34</v>
      </c>
      <c r="D1873" t="s">
        <v>36</v>
      </c>
      <c r="E1873" s="1">
        <v>2025</v>
      </c>
      <c r="F1873" s="11">
        <v>0.70779999999999998</v>
      </c>
      <c r="G1873">
        <v>60.74</v>
      </c>
      <c r="H1873">
        <v>47.78</v>
      </c>
      <c r="I1873" s="2">
        <v>101145.99</v>
      </c>
      <c r="J1873" s="2">
        <v>112233.19</v>
      </c>
      <c r="K1873" s="2">
        <f>Table1[[#This Row],[Salary_after]]-Table1[[#This Row],[Salary_before]]</f>
        <v>11087.199999999997</v>
      </c>
      <c r="L1873" s="11">
        <v>0.1096</v>
      </c>
      <c r="M1873" s="11">
        <v>-7.980000000000001E-2</v>
      </c>
      <c r="N1873">
        <v>93.53</v>
      </c>
      <c r="O1873">
        <v>71.98</v>
      </c>
      <c r="P1873">
        <v>1</v>
      </c>
      <c r="Q1873" t="s">
        <v>37</v>
      </c>
      <c r="R1873">
        <v>59.28</v>
      </c>
      <c r="S1873">
        <v>10.96</v>
      </c>
      <c r="T1873" s="4">
        <v>45.933999999999997</v>
      </c>
      <c r="U1873" s="4">
        <v>50.947443999999997</v>
      </c>
      <c r="V1873" t="str">
        <f>IF(Table1[[#This Row],[ai_disruption_intensity]]&gt;70,"High",
IF(Table1[[#This Row],[ai_disruption_intensity]]&gt;40,"Medium","Low"))</f>
        <v>Medium</v>
      </c>
      <c r="W1873" t="str">
        <f>IF(Table1[[#This Row],[skill_gap_index]]&gt;70,"Large Gap",
IF(Table1[[#This Row],[skill_gap_index]]&gt;40,"Medium Gap","Small Gap"))</f>
        <v>Medium Gap</v>
      </c>
      <c r="X1873" s="3" t="str">
        <f>IF(Table1[[#This Row],[automation_risk_percent]]&gt;0.7,"Highly Automatable",
IF(Table1[[#This Row],[automation_risk_percent]]&gt;0.4,"Moderate Risk","Safe Job"))</f>
        <v>Highly Automatable</v>
      </c>
    </row>
    <row r="1874" spans="1:24" x14ac:dyDescent="0.3">
      <c r="A1874">
        <v>6707</v>
      </c>
      <c r="B1874" t="s">
        <v>41</v>
      </c>
      <c r="C1874" t="s">
        <v>34</v>
      </c>
      <c r="D1874" t="s">
        <v>35</v>
      </c>
      <c r="E1874" s="1">
        <v>2026</v>
      </c>
      <c r="F1874" s="11">
        <v>0.29730000000000001</v>
      </c>
      <c r="G1874">
        <v>29.37</v>
      </c>
      <c r="H1874">
        <v>60.04</v>
      </c>
      <c r="I1874" s="2">
        <v>144974.12</v>
      </c>
      <c r="J1874" s="2">
        <v>155996.79</v>
      </c>
      <c r="K1874" s="2">
        <f>Table1[[#This Row],[Salary_after]]-Table1[[#This Row],[Salary_before]]</f>
        <v>11022.670000000013</v>
      </c>
      <c r="L1874" s="11">
        <v>7.5999999999999998E-2</v>
      </c>
      <c r="M1874" s="11">
        <v>0.2152</v>
      </c>
      <c r="N1874">
        <v>29.31</v>
      </c>
      <c r="O1874">
        <v>15.2</v>
      </c>
      <c r="P1874">
        <v>4</v>
      </c>
      <c r="Q1874" t="s">
        <v>21</v>
      </c>
      <c r="R1874">
        <v>44.884999999999998</v>
      </c>
      <c r="S1874">
        <v>7.6</v>
      </c>
      <c r="T1874" s="4">
        <v>32.183999999999997</v>
      </c>
      <c r="U1874" s="4">
        <v>4.5189599999999999</v>
      </c>
      <c r="V1874" t="str">
        <f>IF(Table1[[#This Row],[ai_disruption_intensity]]&gt;70,"High",
IF(Table1[[#This Row],[ai_disruption_intensity]]&gt;40,"Medium","Low"))</f>
        <v>Low</v>
      </c>
      <c r="W1874" t="str">
        <f>IF(Table1[[#This Row],[skill_gap_index]]&gt;70,"Large Gap",
IF(Table1[[#This Row],[skill_gap_index]]&gt;40,"Medium Gap","Small Gap"))</f>
        <v>Medium Gap</v>
      </c>
      <c r="X1874" s="3" t="str">
        <f>IF(Table1[[#This Row],[automation_risk_percent]]&gt;0.7,"Highly Automatable",
IF(Table1[[#This Row],[automation_risk_percent]]&gt;0.4,"Moderate Risk","Safe Job"))</f>
        <v>Safe Job</v>
      </c>
    </row>
    <row r="1875" spans="1:24" x14ac:dyDescent="0.3">
      <c r="A1875">
        <v>6710</v>
      </c>
      <c r="B1875" t="s">
        <v>29</v>
      </c>
      <c r="C1875" t="s">
        <v>27</v>
      </c>
      <c r="D1875" t="s">
        <v>42</v>
      </c>
      <c r="E1875" s="1">
        <v>2025</v>
      </c>
      <c r="F1875" s="11">
        <v>0.4047</v>
      </c>
      <c r="G1875">
        <v>37.28</v>
      </c>
      <c r="H1875">
        <v>99.72</v>
      </c>
      <c r="I1875" s="2">
        <v>80650.63</v>
      </c>
      <c r="J1875" s="2">
        <v>85340.84</v>
      </c>
      <c r="K1875" s="2">
        <f>Table1[[#This Row],[Salary_after]]-Table1[[#This Row],[Salary_before]]</f>
        <v>4690.2099999999919</v>
      </c>
      <c r="L1875" s="11">
        <v>5.8200000000000002E-2</v>
      </c>
      <c r="M1875" s="11">
        <v>7.85E-2</v>
      </c>
      <c r="N1875">
        <v>32.15</v>
      </c>
      <c r="O1875">
        <v>14.47</v>
      </c>
      <c r="P1875">
        <v>4</v>
      </c>
      <c r="Q1875" t="s">
        <v>25</v>
      </c>
      <c r="R1875">
        <v>70.094999999999999</v>
      </c>
      <c r="S1875">
        <v>5.82</v>
      </c>
      <c r="T1875" s="4">
        <v>47.85</v>
      </c>
      <c r="U1875" s="4">
        <v>5.8560090000000002</v>
      </c>
      <c r="V1875" t="str">
        <f>IF(Table1[[#This Row],[ai_disruption_intensity]]&gt;70,"High",
IF(Table1[[#This Row],[ai_disruption_intensity]]&gt;40,"Medium","Low"))</f>
        <v>Low</v>
      </c>
      <c r="W1875" t="str">
        <f>IF(Table1[[#This Row],[skill_gap_index]]&gt;70,"Large Gap",
IF(Table1[[#This Row],[skill_gap_index]]&gt;40,"Medium Gap","Small Gap"))</f>
        <v>Large Gap</v>
      </c>
      <c r="X1875" s="3" t="str">
        <f>IF(Table1[[#This Row],[automation_risk_percent]]&gt;0.7,"Highly Automatable",
IF(Table1[[#This Row],[automation_risk_percent]]&gt;0.4,"Moderate Risk","Safe Job"))</f>
        <v>Moderate Risk</v>
      </c>
    </row>
    <row r="1876" spans="1:24" x14ac:dyDescent="0.3">
      <c r="A1876">
        <v>6712</v>
      </c>
      <c r="B1876" t="s">
        <v>29</v>
      </c>
      <c r="C1876" t="s">
        <v>19</v>
      </c>
      <c r="D1876" t="s">
        <v>24</v>
      </c>
      <c r="E1876" s="1">
        <v>2026</v>
      </c>
      <c r="F1876" s="11">
        <v>0.80299999999999994</v>
      </c>
      <c r="G1876">
        <v>72.58</v>
      </c>
      <c r="H1876">
        <v>21</v>
      </c>
      <c r="I1876" s="2">
        <v>86876.96</v>
      </c>
      <c r="J1876" s="2">
        <v>90304.16</v>
      </c>
      <c r="K1876" s="2">
        <f>Table1[[#This Row],[Salary_after]]-Table1[[#This Row],[Salary_before]]</f>
        <v>3427.1999999999971</v>
      </c>
      <c r="L1876" s="11">
        <v>3.9399999999999998E-2</v>
      </c>
      <c r="M1876" s="11">
        <v>-8.199999999999999E-3</v>
      </c>
      <c r="N1876">
        <v>61.96</v>
      </c>
      <c r="O1876">
        <v>51.25</v>
      </c>
      <c r="P1876">
        <v>1</v>
      </c>
      <c r="Q1876" t="s">
        <v>37</v>
      </c>
      <c r="R1876">
        <v>50.65</v>
      </c>
      <c r="S1876">
        <v>3.94</v>
      </c>
      <c r="T1876" s="4">
        <v>39.601999999999997</v>
      </c>
      <c r="U1876" s="4">
        <v>41.153750000000002</v>
      </c>
      <c r="V1876" t="str">
        <f>IF(Table1[[#This Row],[ai_disruption_intensity]]&gt;70,"High",
IF(Table1[[#This Row],[ai_disruption_intensity]]&gt;40,"Medium","Low"))</f>
        <v>Medium</v>
      </c>
      <c r="W1876" t="str">
        <f>IF(Table1[[#This Row],[skill_gap_index]]&gt;70,"Large Gap",
IF(Table1[[#This Row],[skill_gap_index]]&gt;40,"Medium Gap","Small Gap"))</f>
        <v>Small Gap</v>
      </c>
      <c r="X1876" s="3" t="str">
        <f>IF(Table1[[#This Row],[automation_risk_percent]]&gt;0.7,"Highly Automatable",
IF(Table1[[#This Row],[automation_risk_percent]]&gt;0.4,"Moderate Risk","Safe Job"))</f>
        <v>Highly Automatable</v>
      </c>
    </row>
    <row r="1877" spans="1:24" x14ac:dyDescent="0.3">
      <c r="A1877">
        <v>6717</v>
      </c>
      <c r="B1877" t="s">
        <v>39</v>
      </c>
      <c r="C1877" t="s">
        <v>33</v>
      </c>
      <c r="D1877" t="s">
        <v>36</v>
      </c>
      <c r="E1877" s="1">
        <v>2025</v>
      </c>
      <c r="F1877" s="11">
        <v>0.64119999999999999</v>
      </c>
      <c r="G1877">
        <v>54.99</v>
      </c>
      <c r="H1877">
        <v>46.78</v>
      </c>
      <c r="I1877" s="2">
        <v>33303.870000000003</v>
      </c>
      <c r="J1877" s="2">
        <v>39119.57</v>
      </c>
      <c r="K1877" s="2">
        <f>Table1[[#This Row],[Salary_after]]-Table1[[#This Row],[Salary_before]]</f>
        <v>5815.6999999999971</v>
      </c>
      <c r="L1877" s="11">
        <v>0.17460000000000001</v>
      </c>
      <c r="M1877" s="11">
        <v>-1.15E-2</v>
      </c>
      <c r="N1877">
        <v>30.89</v>
      </c>
      <c r="O1877">
        <v>81</v>
      </c>
      <c r="P1877">
        <v>5</v>
      </c>
      <c r="Q1877" t="s">
        <v>37</v>
      </c>
      <c r="R1877">
        <v>55.45</v>
      </c>
      <c r="S1877">
        <v>17.46</v>
      </c>
      <c r="T1877" s="4">
        <v>44.92</v>
      </c>
      <c r="U1877" s="4">
        <v>51.937199999999997</v>
      </c>
      <c r="V1877" t="str">
        <f>IF(Table1[[#This Row],[ai_disruption_intensity]]&gt;70,"High",
IF(Table1[[#This Row],[ai_disruption_intensity]]&gt;40,"Medium","Low"))</f>
        <v>Medium</v>
      </c>
      <c r="W1877" t="str">
        <f>IF(Table1[[#This Row],[skill_gap_index]]&gt;70,"Large Gap",
IF(Table1[[#This Row],[skill_gap_index]]&gt;40,"Medium Gap","Small Gap"))</f>
        <v>Medium Gap</v>
      </c>
      <c r="X1877" s="3" t="str">
        <f>IF(Table1[[#This Row],[automation_risk_percent]]&gt;0.7,"Highly Automatable",
IF(Table1[[#This Row],[automation_risk_percent]]&gt;0.4,"Moderate Risk","Safe Job"))</f>
        <v>Moderate Risk</v>
      </c>
    </row>
    <row r="1878" spans="1:24" x14ac:dyDescent="0.3">
      <c r="A1878">
        <v>6718</v>
      </c>
      <c r="B1878" t="s">
        <v>45</v>
      </c>
      <c r="C1878" t="s">
        <v>34</v>
      </c>
      <c r="D1878" t="s">
        <v>47</v>
      </c>
      <c r="E1878" s="1">
        <v>2026</v>
      </c>
      <c r="F1878" s="11">
        <v>0.13720000000000002</v>
      </c>
      <c r="G1878">
        <v>11.17</v>
      </c>
      <c r="H1878">
        <v>2.75</v>
      </c>
      <c r="I1878" s="2">
        <v>63603.22</v>
      </c>
      <c r="J1878" s="2">
        <v>57413.41</v>
      </c>
      <c r="K1878" s="2">
        <f>Table1[[#This Row],[Salary_after]]-Table1[[#This Row],[Salary_before]]</f>
        <v>-6189.8099999999977</v>
      </c>
      <c r="L1878" s="11">
        <v>-9.7299999999999998E-2</v>
      </c>
      <c r="M1878" s="11">
        <v>4.1799999999999997E-2</v>
      </c>
      <c r="N1878">
        <v>99.71</v>
      </c>
      <c r="O1878">
        <v>99.96</v>
      </c>
      <c r="P1878">
        <v>3</v>
      </c>
      <c r="Q1878" t="s">
        <v>21</v>
      </c>
      <c r="R1878">
        <v>8.2349999999999994</v>
      </c>
      <c r="S1878">
        <v>9.73</v>
      </c>
      <c r="T1878" s="4">
        <v>9.2319999999999993</v>
      </c>
      <c r="U1878" s="4">
        <v>13.714511999999999</v>
      </c>
      <c r="V1878" t="str">
        <f>IF(Table1[[#This Row],[ai_disruption_intensity]]&gt;70,"High",
IF(Table1[[#This Row],[ai_disruption_intensity]]&gt;40,"Medium","Low"))</f>
        <v>Low</v>
      </c>
      <c r="W1878" t="str">
        <f>IF(Table1[[#This Row],[skill_gap_index]]&gt;70,"Large Gap",
IF(Table1[[#This Row],[skill_gap_index]]&gt;40,"Medium Gap","Small Gap"))</f>
        <v>Small Gap</v>
      </c>
      <c r="X1878" s="3" t="str">
        <f>IF(Table1[[#This Row],[automation_risk_percent]]&gt;0.7,"Highly Automatable",
IF(Table1[[#This Row],[automation_risk_percent]]&gt;0.4,"Moderate Risk","Safe Job"))</f>
        <v>Safe Job</v>
      </c>
    </row>
    <row r="1879" spans="1:24" x14ac:dyDescent="0.3">
      <c r="A1879">
        <v>6722</v>
      </c>
      <c r="B1879" t="s">
        <v>18</v>
      </c>
      <c r="C1879" t="s">
        <v>34</v>
      </c>
      <c r="D1879" t="s">
        <v>35</v>
      </c>
      <c r="E1879" s="1">
        <v>2025</v>
      </c>
      <c r="F1879" s="11">
        <v>0.38329999999999997</v>
      </c>
      <c r="G1879">
        <v>32.380000000000003</v>
      </c>
      <c r="H1879">
        <v>75.180000000000007</v>
      </c>
      <c r="I1879" s="2">
        <v>68036.679999999993</v>
      </c>
      <c r="J1879" s="2">
        <v>76761.84</v>
      </c>
      <c r="K1879" s="2">
        <f>Table1[[#This Row],[Salary_after]]-Table1[[#This Row],[Salary_before]]</f>
        <v>8725.1600000000035</v>
      </c>
      <c r="L1879" s="11">
        <v>0.12820000000000001</v>
      </c>
      <c r="M1879" s="11">
        <v>0.24579999999999999</v>
      </c>
      <c r="N1879">
        <v>72.97</v>
      </c>
      <c r="O1879">
        <v>53.76</v>
      </c>
      <c r="P1879">
        <v>2</v>
      </c>
      <c r="Q1879" t="s">
        <v>25</v>
      </c>
      <c r="R1879">
        <v>56.755000000000003</v>
      </c>
      <c r="S1879">
        <v>12.82</v>
      </c>
      <c r="T1879" s="4">
        <v>41.731999999999999</v>
      </c>
      <c r="U1879" s="4">
        <v>20.606207999999899</v>
      </c>
      <c r="V1879" t="str">
        <f>IF(Table1[[#This Row],[ai_disruption_intensity]]&gt;70,"High",
IF(Table1[[#This Row],[ai_disruption_intensity]]&gt;40,"Medium","Low"))</f>
        <v>Low</v>
      </c>
      <c r="W1879" t="str">
        <f>IF(Table1[[#This Row],[skill_gap_index]]&gt;70,"Large Gap",
IF(Table1[[#This Row],[skill_gap_index]]&gt;40,"Medium Gap","Small Gap"))</f>
        <v>Large Gap</v>
      </c>
      <c r="X1879" s="3" t="str">
        <f>IF(Table1[[#This Row],[automation_risk_percent]]&gt;0.7,"Highly Automatable",
IF(Table1[[#This Row],[automation_risk_percent]]&gt;0.4,"Moderate Risk","Safe Job"))</f>
        <v>Safe Job</v>
      </c>
    </row>
    <row r="1880" spans="1:24" x14ac:dyDescent="0.3">
      <c r="A1880">
        <v>6732</v>
      </c>
      <c r="B1880" t="s">
        <v>29</v>
      </c>
      <c r="C1880" t="s">
        <v>19</v>
      </c>
      <c r="D1880" t="s">
        <v>36</v>
      </c>
      <c r="E1880" s="1">
        <v>2026</v>
      </c>
      <c r="F1880" s="11">
        <v>0.63300000000000001</v>
      </c>
      <c r="G1880">
        <v>55.07</v>
      </c>
      <c r="H1880">
        <v>46.75</v>
      </c>
      <c r="I1880" s="2">
        <v>48004.36</v>
      </c>
      <c r="J1880" s="2">
        <v>41093.199999999997</v>
      </c>
      <c r="K1880" s="2">
        <f>Table1[[#This Row],[Salary_after]]-Table1[[#This Row],[Salary_before]]</f>
        <v>-6911.1600000000035</v>
      </c>
      <c r="L1880" s="11">
        <v>-0.14400000000000002</v>
      </c>
      <c r="M1880" s="11">
        <v>0.15939999999999999</v>
      </c>
      <c r="N1880">
        <v>87.31</v>
      </c>
      <c r="O1880">
        <v>34.36</v>
      </c>
      <c r="P1880">
        <v>5</v>
      </c>
      <c r="Q1880" t="s">
        <v>37</v>
      </c>
      <c r="R1880">
        <v>55.024999999999999</v>
      </c>
      <c r="S1880">
        <v>14.4</v>
      </c>
      <c r="T1880" s="4">
        <v>43.664999999999999</v>
      </c>
      <c r="U1880" s="4">
        <v>21.749879999999902</v>
      </c>
      <c r="V1880" t="str">
        <f>IF(Table1[[#This Row],[ai_disruption_intensity]]&gt;70,"High",
IF(Table1[[#This Row],[ai_disruption_intensity]]&gt;40,"Medium","Low"))</f>
        <v>Low</v>
      </c>
      <c r="W1880" t="str">
        <f>IF(Table1[[#This Row],[skill_gap_index]]&gt;70,"Large Gap",
IF(Table1[[#This Row],[skill_gap_index]]&gt;40,"Medium Gap","Small Gap"))</f>
        <v>Medium Gap</v>
      </c>
      <c r="X1880" s="3" t="str">
        <f>IF(Table1[[#This Row],[automation_risk_percent]]&gt;0.7,"Highly Automatable",
IF(Table1[[#This Row],[automation_risk_percent]]&gt;0.4,"Moderate Risk","Safe Job"))</f>
        <v>Moderate Risk</v>
      </c>
    </row>
    <row r="1881" spans="1:24" x14ac:dyDescent="0.3">
      <c r="A1881">
        <v>6733</v>
      </c>
      <c r="B1881" t="s">
        <v>18</v>
      </c>
      <c r="C1881" t="s">
        <v>33</v>
      </c>
      <c r="D1881" t="s">
        <v>28</v>
      </c>
      <c r="E1881" s="1">
        <v>2026</v>
      </c>
      <c r="F1881" s="11">
        <v>0.30079999999999996</v>
      </c>
      <c r="G1881">
        <v>29.97</v>
      </c>
      <c r="H1881">
        <v>17.53</v>
      </c>
      <c r="I1881" s="2">
        <v>54456.74</v>
      </c>
      <c r="J1881" s="2">
        <v>54376.26</v>
      </c>
      <c r="K1881" s="2">
        <f>Table1[[#This Row],[Salary_after]]-Table1[[#This Row],[Salary_before]]</f>
        <v>-80.479999999995925</v>
      </c>
      <c r="L1881" s="11">
        <v>-1.5E-3</v>
      </c>
      <c r="M1881" s="11">
        <v>0.20079999999999998</v>
      </c>
      <c r="N1881">
        <v>28.57</v>
      </c>
      <c r="O1881">
        <v>3.15</v>
      </c>
      <c r="P1881">
        <v>4</v>
      </c>
      <c r="Q1881" t="s">
        <v>25</v>
      </c>
      <c r="R1881">
        <v>23.805</v>
      </c>
      <c r="S1881">
        <v>0.15</v>
      </c>
      <c r="T1881" s="4">
        <v>17.335999999999999</v>
      </c>
      <c r="U1881" s="4">
        <v>0.94751999999999903</v>
      </c>
      <c r="V1881" t="str">
        <f>IF(Table1[[#This Row],[ai_disruption_intensity]]&gt;70,"High",
IF(Table1[[#This Row],[ai_disruption_intensity]]&gt;40,"Medium","Low"))</f>
        <v>Low</v>
      </c>
      <c r="W1881" t="str">
        <f>IF(Table1[[#This Row],[skill_gap_index]]&gt;70,"Large Gap",
IF(Table1[[#This Row],[skill_gap_index]]&gt;40,"Medium Gap","Small Gap"))</f>
        <v>Small Gap</v>
      </c>
      <c r="X1881" s="3" t="str">
        <f>IF(Table1[[#This Row],[automation_risk_percent]]&gt;0.7,"Highly Automatable",
IF(Table1[[#This Row],[automation_risk_percent]]&gt;0.4,"Moderate Risk","Safe Job"))</f>
        <v>Safe Job</v>
      </c>
    </row>
    <row r="1882" spans="1:24" x14ac:dyDescent="0.3">
      <c r="A1882">
        <v>6734</v>
      </c>
      <c r="B1882" t="s">
        <v>41</v>
      </c>
      <c r="C1882" t="s">
        <v>27</v>
      </c>
      <c r="D1882" t="s">
        <v>24</v>
      </c>
      <c r="E1882" s="1">
        <v>2025</v>
      </c>
      <c r="F1882" s="11">
        <v>0.57650000000000001</v>
      </c>
      <c r="G1882">
        <v>63.25</v>
      </c>
      <c r="H1882">
        <v>35.119999999999997</v>
      </c>
      <c r="I1882" s="2">
        <v>59755.71</v>
      </c>
      <c r="J1882" s="2">
        <v>62621.65</v>
      </c>
      <c r="K1882" s="2">
        <f>Table1[[#This Row],[Salary_after]]-Table1[[#This Row],[Salary_before]]</f>
        <v>2865.9400000000023</v>
      </c>
      <c r="L1882" s="11">
        <v>4.8000000000000001E-2</v>
      </c>
      <c r="M1882" s="11">
        <v>3.9199999999999999E-2</v>
      </c>
      <c r="N1882">
        <v>48.08</v>
      </c>
      <c r="O1882">
        <v>25.96</v>
      </c>
      <c r="P1882">
        <v>2</v>
      </c>
      <c r="Q1882" t="s">
        <v>25</v>
      </c>
      <c r="R1882">
        <v>46.384999999999998</v>
      </c>
      <c r="S1882">
        <v>4.8</v>
      </c>
      <c r="T1882" s="4">
        <v>35.036000000000001</v>
      </c>
      <c r="U1882" s="4">
        <v>14.96594</v>
      </c>
      <c r="V1882" t="str">
        <f>IF(Table1[[#This Row],[ai_disruption_intensity]]&gt;70,"High",
IF(Table1[[#This Row],[ai_disruption_intensity]]&gt;40,"Medium","Low"))</f>
        <v>Low</v>
      </c>
      <c r="W1882" t="str">
        <f>IF(Table1[[#This Row],[skill_gap_index]]&gt;70,"Large Gap",
IF(Table1[[#This Row],[skill_gap_index]]&gt;40,"Medium Gap","Small Gap"))</f>
        <v>Small Gap</v>
      </c>
      <c r="X1882" s="3" t="str">
        <f>IF(Table1[[#This Row],[automation_risk_percent]]&gt;0.7,"Highly Automatable",
IF(Table1[[#This Row],[automation_risk_percent]]&gt;0.4,"Moderate Risk","Safe Job"))</f>
        <v>Moderate Risk</v>
      </c>
    </row>
    <row r="1883" spans="1:24" x14ac:dyDescent="0.3">
      <c r="A1883">
        <v>6735</v>
      </c>
      <c r="B1883" t="s">
        <v>26</v>
      </c>
      <c r="C1883" t="s">
        <v>33</v>
      </c>
      <c r="D1883" t="s">
        <v>35</v>
      </c>
      <c r="E1883" s="1">
        <v>2025</v>
      </c>
      <c r="F1883" s="11">
        <v>0.39850000000000002</v>
      </c>
      <c r="G1883">
        <v>44.8</v>
      </c>
      <c r="H1883">
        <v>2.23</v>
      </c>
      <c r="I1883" s="2">
        <v>96972.2</v>
      </c>
      <c r="J1883" s="2">
        <v>92511.89</v>
      </c>
      <c r="K1883" s="2">
        <f>Table1[[#This Row],[Salary_after]]-Table1[[#This Row],[Salary_before]]</f>
        <v>-4460.3099999999977</v>
      </c>
      <c r="L1883" s="11">
        <v>-4.5999999999999999E-2</v>
      </c>
      <c r="M1883" s="11">
        <v>0.10439999999999999</v>
      </c>
      <c r="N1883">
        <v>92.95</v>
      </c>
      <c r="O1883">
        <v>57.77</v>
      </c>
      <c r="P1883">
        <v>3</v>
      </c>
      <c r="Q1883" t="s">
        <v>25</v>
      </c>
      <c r="R1883">
        <v>21.04</v>
      </c>
      <c r="S1883">
        <v>4.5999999999999996</v>
      </c>
      <c r="T1883" s="4">
        <v>17.989000000000001</v>
      </c>
      <c r="U1883" s="4">
        <v>23.021345</v>
      </c>
      <c r="V1883" t="str">
        <f>IF(Table1[[#This Row],[ai_disruption_intensity]]&gt;70,"High",
IF(Table1[[#This Row],[ai_disruption_intensity]]&gt;40,"Medium","Low"))</f>
        <v>Low</v>
      </c>
      <c r="W1883" t="str">
        <f>IF(Table1[[#This Row],[skill_gap_index]]&gt;70,"Large Gap",
IF(Table1[[#This Row],[skill_gap_index]]&gt;40,"Medium Gap","Small Gap"))</f>
        <v>Small Gap</v>
      </c>
      <c r="X1883" s="3" t="str">
        <f>IF(Table1[[#This Row],[automation_risk_percent]]&gt;0.7,"Highly Automatable",
IF(Table1[[#This Row],[automation_risk_percent]]&gt;0.4,"Moderate Risk","Safe Job"))</f>
        <v>Safe Job</v>
      </c>
    </row>
    <row r="1884" spans="1:24" x14ac:dyDescent="0.3">
      <c r="A1884">
        <v>6736</v>
      </c>
      <c r="B1884" t="s">
        <v>45</v>
      </c>
      <c r="C1884" t="s">
        <v>30</v>
      </c>
      <c r="D1884" t="s">
        <v>42</v>
      </c>
      <c r="E1884" s="1">
        <v>2025</v>
      </c>
      <c r="F1884" s="11">
        <v>0.4617</v>
      </c>
      <c r="G1884">
        <v>54.73</v>
      </c>
      <c r="H1884">
        <v>12.97</v>
      </c>
      <c r="I1884" s="2">
        <v>118816.94</v>
      </c>
      <c r="J1884" s="2">
        <v>118244.62</v>
      </c>
      <c r="K1884" s="2">
        <f>Table1[[#This Row],[Salary_after]]-Table1[[#This Row],[Salary_before]]</f>
        <v>-572.32000000000698</v>
      </c>
      <c r="L1884" s="11">
        <v>-4.7999999999999996E-3</v>
      </c>
      <c r="M1884" s="11">
        <v>0.18410000000000001</v>
      </c>
      <c r="N1884">
        <v>10.58</v>
      </c>
      <c r="O1884">
        <v>52.43</v>
      </c>
      <c r="P1884">
        <v>4</v>
      </c>
      <c r="Q1884" t="s">
        <v>25</v>
      </c>
      <c r="R1884">
        <v>29.57</v>
      </c>
      <c r="S1884">
        <v>0.48</v>
      </c>
      <c r="T1884" s="4">
        <v>22.503</v>
      </c>
      <c r="U1884" s="4">
        <v>24.206931000000001</v>
      </c>
      <c r="V1884" t="str">
        <f>IF(Table1[[#This Row],[ai_disruption_intensity]]&gt;70,"High",
IF(Table1[[#This Row],[ai_disruption_intensity]]&gt;40,"Medium","Low"))</f>
        <v>Low</v>
      </c>
      <c r="W1884" t="str">
        <f>IF(Table1[[#This Row],[skill_gap_index]]&gt;70,"Large Gap",
IF(Table1[[#This Row],[skill_gap_index]]&gt;40,"Medium Gap","Small Gap"))</f>
        <v>Small Gap</v>
      </c>
      <c r="X1884" s="3" t="str">
        <f>IF(Table1[[#This Row],[automation_risk_percent]]&gt;0.7,"Highly Automatable",
IF(Table1[[#This Row],[automation_risk_percent]]&gt;0.4,"Moderate Risk","Safe Job"))</f>
        <v>Moderate Risk</v>
      </c>
    </row>
    <row r="1885" spans="1:24" x14ac:dyDescent="0.3">
      <c r="A1885">
        <v>6740</v>
      </c>
      <c r="B1885" t="s">
        <v>29</v>
      </c>
      <c r="C1885" t="s">
        <v>30</v>
      </c>
      <c r="D1885" t="s">
        <v>28</v>
      </c>
      <c r="E1885" s="1">
        <v>2025</v>
      </c>
      <c r="F1885" s="11">
        <v>0.47170000000000001</v>
      </c>
      <c r="G1885">
        <v>43.19</v>
      </c>
      <c r="H1885">
        <v>96.8</v>
      </c>
      <c r="I1885" s="2">
        <v>100075.04</v>
      </c>
      <c r="J1885" s="2">
        <v>91140.31</v>
      </c>
      <c r="K1885" s="2">
        <f>Table1[[#This Row],[Salary_after]]-Table1[[#This Row],[Salary_before]]</f>
        <v>-8934.7299999999959</v>
      </c>
      <c r="L1885" s="11">
        <v>-8.929999999999999E-2</v>
      </c>
      <c r="M1885" s="11">
        <v>-4.4900000000000002E-2</v>
      </c>
      <c r="N1885">
        <v>82.99</v>
      </c>
      <c r="O1885">
        <v>88.65</v>
      </c>
      <c r="P1885">
        <v>4</v>
      </c>
      <c r="Q1885" t="s">
        <v>25</v>
      </c>
      <c r="R1885">
        <v>71.984999999999999</v>
      </c>
      <c r="S1885">
        <v>8.93</v>
      </c>
      <c r="T1885" s="4">
        <v>50.587000000000003</v>
      </c>
      <c r="U1885" s="4">
        <v>41.816204999999997</v>
      </c>
      <c r="V1885" t="str">
        <f>IF(Table1[[#This Row],[ai_disruption_intensity]]&gt;70,"High",
IF(Table1[[#This Row],[ai_disruption_intensity]]&gt;40,"Medium","Low"))</f>
        <v>Medium</v>
      </c>
      <c r="W1885" t="str">
        <f>IF(Table1[[#This Row],[skill_gap_index]]&gt;70,"Large Gap",
IF(Table1[[#This Row],[skill_gap_index]]&gt;40,"Medium Gap","Small Gap"))</f>
        <v>Large Gap</v>
      </c>
      <c r="X1885" s="3" t="str">
        <f>IF(Table1[[#This Row],[automation_risk_percent]]&gt;0.7,"Highly Automatable",
IF(Table1[[#This Row],[automation_risk_percent]]&gt;0.4,"Moderate Risk","Safe Job"))</f>
        <v>Moderate Risk</v>
      </c>
    </row>
    <row r="1886" spans="1:24" x14ac:dyDescent="0.3">
      <c r="A1886">
        <v>6744</v>
      </c>
      <c r="B1886" t="s">
        <v>43</v>
      </c>
      <c r="C1886" t="s">
        <v>34</v>
      </c>
      <c r="D1886" t="s">
        <v>47</v>
      </c>
      <c r="E1886" s="1">
        <v>2025</v>
      </c>
      <c r="F1886" s="11">
        <v>0.1207</v>
      </c>
      <c r="G1886">
        <v>12.24</v>
      </c>
      <c r="H1886">
        <v>57.95</v>
      </c>
      <c r="I1886" s="2">
        <v>69469.289999999994</v>
      </c>
      <c r="J1886" s="2">
        <v>67020.62</v>
      </c>
      <c r="K1886" s="2">
        <f>Table1[[#This Row],[Salary_after]]-Table1[[#This Row],[Salary_before]]</f>
        <v>-2448.6699999999983</v>
      </c>
      <c r="L1886" s="11">
        <v>-3.5200000000000002E-2</v>
      </c>
      <c r="M1886" s="11">
        <v>6.08E-2</v>
      </c>
      <c r="N1886">
        <v>40.65</v>
      </c>
      <c r="O1886">
        <v>14.46</v>
      </c>
      <c r="P1886">
        <v>5</v>
      </c>
      <c r="Q1886" t="s">
        <v>21</v>
      </c>
      <c r="R1886">
        <v>35.01</v>
      </c>
      <c r="S1886">
        <v>3.52</v>
      </c>
      <c r="T1886" s="4">
        <v>23.268999999999998</v>
      </c>
      <c r="U1886" s="4">
        <v>1.745322</v>
      </c>
      <c r="V1886" t="str">
        <f>IF(Table1[[#This Row],[ai_disruption_intensity]]&gt;70,"High",
IF(Table1[[#This Row],[ai_disruption_intensity]]&gt;40,"Medium","Low"))</f>
        <v>Low</v>
      </c>
      <c r="W1886" t="str">
        <f>IF(Table1[[#This Row],[skill_gap_index]]&gt;70,"Large Gap",
IF(Table1[[#This Row],[skill_gap_index]]&gt;40,"Medium Gap","Small Gap"))</f>
        <v>Medium Gap</v>
      </c>
      <c r="X1886" s="3" t="str">
        <f>IF(Table1[[#This Row],[automation_risk_percent]]&gt;0.7,"Highly Automatable",
IF(Table1[[#This Row],[automation_risk_percent]]&gt;0.4,"Moderate Risk","Safe Job"))</f>
        <v>Safe Job</v>
      </c>
    </row>
    <row r="1887" spans="1:24" x14ac:dyDescent="0.3">
      <c r="A1887">
        <v>6745</v>
      </c>
      <c r="B1887" t="s">
        <v>18</v>
      </c>
      <c r="C1887" t="s">
        <v>30</v>
      </c>
      <c r="D1887" t="s">
        <v>36</v>
      </c>
      <c r="E1887" s="1">
        <v>2026</v>
      </c>
      <c r="F1887" s="11">
        <v>0.26090000000000002</v>
      </c>
      <c r="G1887">
        <v>24.86</v>
      </c>
      <c r="H1887">
        <v>49.34</v>
      </c>
      <c r="I1887" s="2">
        <v>41183.94</v>
      </c>
      <c r="J1887" s="2">
        <v>42413.58</v>
      </c>
      <c r="K1887" s="2">
        <f>Table1[[#This Row],[Salary_after]]-Table1[[#This Row],[Salary_before]]</f>
        <v>1229.6399999999994</v>
      </c>
      <c r="L1887" s="11">
        <v>2.9900000000000003E-2</v>
      </c>
      <c r="M1887" s="11">
        <v>-1.84E-2</v>
      </c>
      <c r="N1887">
        <v>46.37</v>
      </c>
      <c r="O1887">
        <v>17.649999999999999</v>
      </c>
      <c r="P1887">
        <v>4</v>
      </c>
      <c r="Q1887" t="s">
        <v>21</v>
      </c>
      <c r="R1887">
        <v>37.715000000000003</v>
      </c>
      <c r="S1887">
        <v>2.99</v>
      </c>
      <c r="T1887" s="4">
        <v>26.134999999999899</v>
      </c>
      <c r="U1887" s="4">
        <v>4.6048849999999897</v>
      </c>
      <c r="V1887" t="str">
        <f>IF(Table1[[#This Row],[ai_disruption_intensity]]&gt;70,"High",
IF(Table1[[#This Row],[ai_disruption_intensity]]&gt;40,"Medium","Low"))</f>
        <v>Low</v>
      </c>
      <c r="W1887" t="str">
        <f>IF(Table1[[#This Row],[skill_gap_index]]&gt;70,"Large Gap",
IF(Table1[[#This Row],[skill_gap_index]]&gt;40,"Medium Gap","Small Gap"))</f>
        <v>Medium Gap</v>
      </c>
      <c r="X1887" s="3" t="str">
        <f>IF(Table1[[#This Row],[automation_risk_percent]]&gt;0.7,"Highly Automatable",
IF(Table1[[#This Row],[automation_risk_percent]]&gt;0.4,"Moderate Risk","Safe Job"))</f>
        <v>Safe Job</v>
      </c>
    </row>
    <row r="1888" spans="1:24" x14ac:dyDescent="0.3">
      <c r="A1888">
        <v>6746</v>
      </c>
      <c r="B1888" t="s">
        <v>43</v>
      </c>
      <c r="C1888" t="s">
        <v>19</v>
      </c>
      <c r="D1888" t="s">
        <v>20</v>
      </c>
      <c r="E1888" s="1">
        <v>2026</v>
      </c>
      <c r="F1888" s="11">
        <v>0.26440000000000002</v>
      </c>
      <c r="G1888">
        <v>28.77</v>
      </c>
      <c r="H1888">
        <v>5.18</v>
      </c>
      <c r="I1888" s="2">
        <v>91049.17</v>
      </c>
      <c r="J1888" s="2">
        <v>101324.17</v>
      </c>
      <c r="K1888" s="2">
        <f>Table1[[#This Row],[Salary_after]]-Table1[[#This Row],[Salary_before]]</f>
        <v>10275</v>
      </c>
      <c r="L1888" s="11">
        <v>0.11289999999999999</v>
      </c>
      <c r="M1888" s="11">
        <v>-7.000000000000001E-4</v>
      </c>
      <c r="N1888">
        <v>81.11</v>
      </c>
      <c r="O1888">
        <v>68.92</v>
      </c>
      <c r="P1888">
        <v>2</v>
      </c>
      <c r="Q1888" t="s">
        <v>21</v>
      </c>
      <c r="R1888">
        <v>15.81</v>
      </c>
      <c r="S1888">
        <v>11.29</v>
      </c>
      <c r="T1888" s="4">
        <v>15.516999999999999</v>
      </c>
      <c r="U1888" s="4">
        <v>18.222448</v>
      </c>
      <c r="V1888" t="str">
        <f>IF(Table1[[#This Row],[ai_disruption_intensity]]&gt;70,"High",
IF(Table1[[#This Row],[ai_disruption_intensity]]&gt;40,"Medium","Low"))</f>
        <v>Low</v>
      </c>
      <c r="W1888" t="str">
        <f>IF(Table1[[#This Row],[skill_gap_index]]&gt;70,"Large Gap",
IF(Table1[[#This Row],[skill_gap_index]]&gt;40,"Medium Gap","Small Gap"))</f>
        <v>Small Gap</v>
      </c>
      <c r="X1888" s="3" t="str">
        <f>IF(Table1[[#This Row],[automation_risk_percent]]&gt;0.7,"Highly Automatable",
IF(Table1[[#This Row],[automation_risk_percent]]&gt;0.4,"Moderate Risk","Safe Job"))</f>
        <v>Safe Job</v>
      </c>
    </row>
    <row r="1889" spans="1:24" x14ac:dyDescent="0.3">
      <c r="A1889">
        <v>6747</v>
      </c>
      <c r="B1889" t="s">
        <v>44</v>
      </c>
      <c r="C1889" t="s">
        <v>34</v>
      </c>
      <c r="D1889" t="s">
        <v>31</v>
      </c>
      <c r="E1889" s="1">
        <v>2025</v>
      </c>
      <c r="F1889" s="11">
        <v>0.36930000000000002</v>
      </c>
      <c r="G1889">
        <v>38.869999999999997</v>
      </c>
      <c r="H1889">
        <v>63.98</v>
      </c>
      <c r="I1889" s="2">
        <v>69863.98</v>
      </c>
      <c r="J1889" s="2">
        <v>76860.75</v>
      </c>
      <c r="K1889" s="2">
        <f>Table1[[#This Row],[Salary_after]]-Table1[[#This Row],[Salary_before]]</f>
        <v>6996.7700000000041</v>
      </c>
      <c r="L1889" s="11">
        <v>0.10009999999999999</v>
      </c>
      <c r="M1889" s="11">
        <v>-1.1699999999999999E-2</v>
      </c>
      <c r="N1889">
        <v>55.08</v>
      </c>
      <c r="O1889">
        <v>46.37</v>
      </c>
      <c r="P1889">
        <v>5</v>
      </c>
      <c r="Q1889" t="s">
        <v>25</v>
      </c>
      <c r="R1889">
        <v>50.454999999999998</v>
      </c>
      <c r="S1889">
        <v>10.01</v>
      </c>
      <c r="T1889" s="4">
        <v>36.969000000000001</v>
      </c>
      <c r="U1889" s="4">
        <v>17.124441000000001</v>
      </c>
      <c r="V1889" t="str">
        <f>IF(Table1[[#This Row],[ai_disruption_intensity]]&gt;70,"High",
IF(Table1[[#This Row],[ai_disruption_intensity]]&gt;40,"Medium","Low"))</f>
        <v>Low</v>
      </c>
      <c r="W1889" t="str">
        <f>IF(Table1[[#This Row],[skill_gap_index]]&gt;70,"Large Gap",
IF(Table1[[#This Row],[skill_gap_index]]&gt;40,"Medium Gap","Small Gap"))</f>
        <v>Medium Gap</v>
      </c>
      <c r="X1889" s="3" t="str">
        <f>IF(Table1[[#This Row],[automation_risk_percent]]&gt;0.7,"Highly Automatable",
IF(Table1[[#This Row],[automation_risk_percent]]&gt;0.4,"Moderate Risk","Safe Job"))</f>
        <v>Safe Job</v>
      </c>
    </row>
    <row r="1890" spans="1:24" x14ac:dyDescent="0.3">
      <c r="A1890">
        <v>6753</v>
      </c>
      <c r="B1890" t="s">
        <v>45</v>
      </c>
      <c r="C1890" t="s">
        <v>19</v>
      </c>
      <c r="D1890" t="s">
        <v>24</v>
      </c>
      <c r="E1890" s="1">
        <v>2026</v>
      </c>
      <c r="F1890" s="11">
        <v>0.1197</v>
      </c>
      <c r="G1890">
        <v>10.93</v>
      </c>
      <c r="H1890">
        <v>24.63</v>
      </c>
      <c r="I1890" s="2">
        <v>30797.39</v>
      </c>
      <c r="J1890" s="2">
        <v>29665.35</v>
      </c>
      <c r="K1890" s="2">
        <f>Table1[[#This Row],[Salary_after]]-Table1[[#This Row],[Salary_before]]</f>
        <v>-1132.0400000000009</v>
      </c>
      <c r="L1890" s="11">
        <v>-3.6799999999999999E-2</v>
      </c>
      <c r="M1890" s="11">
        <v>0.12570000000000001</v>
      </c>
      <c r="N1890">
        <v>41.23</v>
      </c>
      <c r="O1890">
        <v>9.9600000000000009</v>
      </c>
      <c r="P1890">
        <v>4</v>
      </c>
      <c r="Q1890" t="s">
        <v>21</v>
      </c>
      <c r="R1890">
        <v>18.3</v>
      </c>
      <c r="S1890">
        <v>3.68</v>
      </c>
      <c r="T1890" s="4">
        <v>13.280999999999899</v>
      </c>
      <c r="U1890" s="4">
        <v>1.192212</v>
      </c>
      <c r="V1890" t="str">
        <f>IF(Table1[[#This Row],[ai_disruption_intensity]]&gt;70,"High",
IF(Table1[[#This Row],[ai_disruption_intensity]]&gt;40,"Medium","Low"))</f>
        <v>Low</v>
      </c>
      <c r="W1890" t="str">
        <f>IF(Table1[[#This Row],[skill_gap_index]]&gt;70,"Large Gap",
IF(Table1[[#This Row],[skill_gap_index]]&gt;40,"Medium Gap","Small Gap"))</f>
        <v>Small Gap</v>
      </c>
      <c r="X1890" s="3" t="str">
        <f>IF(Table1[[#This Row],[automation_risk_percent]]&gt;0.7,"Highly Automatable",
IF(Table1[[#This Row],[automation_risk_percent]]&gt;0.4,"Moderate Risk","Safe Job"))</f>
        <v>Safe Job</v>
      </c>
    </row>
    <row r="1891" spans="1:24" x14ac:dyDescent="0.3">
      <c r="A1891">
        <v>6758</v>
      </c>
      <c r="B1891" t="s">
        <v>26</v>
      </c>
      <c r="C1891" t="s">
        <v>23</v>
      </c>
      <c r="D1891" t="s">
        <v>47</v>
      </c>
      <c r="E1891" s="1">
        <v>2025</v>
      </c>
      <c r="F1891" s="11">
        <v>5.5599999999999997E-2</v>
      </c>
      <c r="G1891">
        <v>5.58</v>
      </c>
      <c r="H1891">
        <v>62.21</v>
      </c>
      <c r="I1891" s="2">
        <v>75653.56</v>
      </c>
      <c r="J1891" s="2">
        <v>69167.31</v>
      </c>
      <c r="K1891" s="2">
        <f>Table1[[#This Row],[Salary_after]]-Table1[[#This Row],[Salary_before]]</f>
        <v>-6486.25</v>
      </c>
      <c r="L1891" s="11">
        <v>-8.5699999999999998E-2</v>
      </c>
      <c r="M1891" s="11">
        <v>5.62E-2</v>
      </c>
      <c r="N1891">
        <v>79.3</v>
      </c>
      <c r="O1891">
        <v>3.28</v>
      </c>
      <c r="P1891">
        <v>3</v>
      </c>
      <c r="Q1891" t="s">
        <v>21</v>
      </c>
      <c r="R1891">
        <v>33.884999999999998</v>
      </c>
      <c r="S1891">
        <v>8.57</v>
      </c>
      <c r="T1891" s="4">
        <v>23.457999999999998</v>
      </c>
      <c r="U1891" s="4">
        <v>0.182367999999999</v>
      </c>
      <c r="V1891" t="str">
        <f>IF(Table1[[#This Row],[ai_disruption_intensity]]&gt;70,"High",
IF(Table1[[#This Row],[ai_disruption_intensity]]&gt;40,"Medium","Low"))</f>
        <v>Low</v>
      </c>
      <c r="W1891" t="str">
        <f>IF(Table1[[#This Row],[skill_gap_index]]&gt;70,"Large Gap",
IF(Table1[[#This Row],[skill_gap_index]]&gt;40,"Medium Gap","Small Gap"))</f>
        <v>Medium Gap</v>
      </c>
      <c r="X1891" s="3" t="str">
        <f>IF(Table1[[#This Row],[automation_risk_percent]]&gt;0.7,"Highly Automatable",
IF(Table1[[#This Row],[automation_risk_percent]]&gt;0.4,"Moderate Risk","Safe Job"))</f>
        <v>Safe Job</v>
      </c>
    </row>
    <row r="1892" spans="1:24" x14ac:dyDescent="0.3">
      <c r="A1892">
        <v>6759</v>
      </c>
      <c r="B1892" t="s">
        <v>18</v>
      </c>
      <c r="C1892" t="s">
        <v>33</v>
      </c>
      <c r="D1892" t="s">
        <v>36</v>
      </c>
      <c r="E1892" s="1">
        <v>2025</v>
      </c>
      <c r="F1892" s="11">
        <v>0.54409999999999992</v>
      </c>
      <c r="G1892">
        <v>52.96</v>
      </c>
      <c r="H1892">
        <v>18.38</v>
      </c>
      <c r="I1892" s="2">
        <v>92766.7</v>
      </c>
      <c r="J1892" s="2">
        <v>88788.72</v>
      </c>
      <c r="K1892" s="2">
        <f>Table1[[#This Row],[Salary_after]]-Table1[[#This Row],[Salary_before]]</f>
        <v>-3977.9799999999959</v>
      </c>
      <c r="L1892" s="11">
        <v>-4.2900000000000001E-2</v>
      </c>
      <c r="M1892" s="11">
        <v>0.1893</v>
      </c>
      <c r="N1892">
        <v>43.09</v>
      </c>
      <c r="O1892">
        <v>14.25</v>
      </c>
      <c r="P1892">
        <v>2</v>
      </c>
      <c r="Q1892" t="s">
        <v>25</v>
      </c>
      <c r="R1892">
        <v>36.394999999999897</v>
      </c>
      <c r="S1892">
        <v>4.29</v>
      </c>
      <c r="T1892" s="4">
        <v>28.564999999999898</v>
      </c>
      <c r="U1892" s="4">
        <v>7.753425</v>
      </c>
      <c r="V1892" t="str">
        <f>IF(Table1[[#This Row],[ai_disruption_intensity]]&gt;70,"High",
IF(Table1[[#This Row],[ai_disruption_intensity]]&gt;40,"Medium","Low"))</f>
        <v>Low</v>
      </c>
      <c r="W1892" t="str">
        <f>IF(Table1[[#This Row],[skill_gap_index]]&gt;70,"Large Gap",
IF(Table1[[#This Row],[skill_gap_index]]&gt;40,"Medium Gap","Small Gap"))</f>
        <v>Small Gap</v>
      </c>
      <c r="X1892" s="3" t="str">
        <f>IF(Table1[[#This Row],[automation_risk_percent]]&gt;0.7,"Highly Automatable",
IF(Table1[[#This Row],[automation_risk_percent]]&gt;0.4,"Moderate Risk","Safe Job"))</f>
        <v>Moderate Risk</v>
      </c>
    </row>
    <row r="1893" spans="1:24" x14ac:dyDescent="0.3">
      <c r="A1893">
        <v>6765</v>
      </c>
      <c r="B1893" t="s">
        <v>22</v>
      </c>
      <c r="C1893" t="s">
        <v>30</v>
      </c>
      <c r="D1893" t="s">
        <v>28</v>
      </c>
      <c r="E1893" s="1">
        <v>2026</v>
      </c>
      <c r="F1893" s="11">
        <v>0.48869999999999997</v>
      </c>
      <c r="G1893">
        <v>55.74</v>
      </c>
      <c r="H1893">
        <v>2.79</v>
      </c>
      <c r="I1893" s="2">
        <v>103654.76</v>
      </c>
      <c r="J1893" s="2">
        <v>103433.41</v>
      </c>
      <c r="K1893" s="2">
        <f>Table1[[#This Row],[Salary_after]]-Table1[[#This Row],[Salary_before]]</f>
        <v>-221.34999999999127</v>
      </c>
      <c r="L1893" s="11">
        <v>-2.0999999999999999E-3</v>
      </c>
      <c r="M1893" s="11">
        <v>0.1716</v>
      </c>
      <c r="N1893">
        <v>38.17</v>
      </c>
      <c r="O1893">
        <v>99.66</v>
      </c>
      <c r="P1893">
        <v>1</v>
      </c>
      <c r="Q1893" t="s">
        <v>25</v>
      </c>
      <c r="R1893">
        <v>25.83</v>
      </c>
      <c r="S1893">
        <v>0.21</v>
      </c>
      <c r="T1893" s="4">
        <v>20.448</v>
      </c>
      <c r="U1893" s="4">
        <v>48.703841999999902</v>
      </c>
      <c r="V1893" t="str">
        <f>IF(Table1[[#This Row],[ai_disruption_intensity]]&gt;70,"High",
IF(Table1[[#This Row],[ai_disruption_intensity]]&gt;40,"Medium","Low"))</f>
        <v>Medium</v>
      </c>
      <c r="W1893" t="str">
        <f>IF(Table1[[#This Row],[skill_gap_index]]&gt;70,"Large Gap",
IF(Table1[[#This Row],[skill_gap_index]]&gt;40,"Medium Gap","Small Gap"))</f>
        <v>Small Gap</v>
      </c>
      <c r="X1893" s="3" t="str">
        <f>IF(Table1[[#This Row],[automation_risk_percent]]&gt;0.7,"Highly Automatable",
IF(Table1[[#This Row],[automation_risk_percent]]&gt;0.4,"Moderate Risk","Safe Job"))</f>
        <v>Moderate Risk</v>
      </c>
    </row>
    <row r="1894" spans="1:24" x14ac:dyDescent="0.3">
      <c r="A1894">
        <v>6766</v>
      </c>
      <c r="B1894" t="s">
        <v>44</v>
      </c>
      <c r="C1894" t="s">
        <v>23</v>
      </c>
      <c r="D1894" t="s">
        <v>47</v>
      </c>
      <c r="E1894" s="1">
        <v>2025</v>
      </c>
      <c r="F1894" s="11">
        <v>0.1454</v>
      </c>
      <c r="G1894">
        <v>12.85</v>
      </c>
      <c r="H1894">
        <v>88.52</v>
      </c>
      <c r="I1894" s="2">
        <v>65676.820000000007</v>
      </c>
      <c r="J1894" s="2">
        <v>62206.34</v>
      </c>
      <c r="K1894" s="2">
        <f>Table1[[#This Row],[Salary_after]]-Table1[[#This Row],[Salary_before]]</f>
        <v>-3470.4800000000105</v>
      </c>
      <c r="L1894" s="11">
        <v>-5.28E-2</v>
      </c>
      <c r="M1894" s="11">
        <v>0.15130000000000002</v>
      </c>
      <c r="N1894">
        <v>83.08</v>
      </c>
      <c r="O1894">
        <v>68.569999999999993</v>
      </c>
      <c r="P1894">
        <v>5</v>
      </c>
      <c r="Q1894" t="s">
        <v>21</v>
      </c>
      <c r="R1894">
        <v>51.53</v>
      </c>
      <c r="S1894">
        <v>5.28</v>
      </c>
      <c r="T1894" s="4">
        <v>33.956000000000003</v>
      </c>
      <c r="U1894" s="4">
        <v>9.9700779999999902</v>
      </c>
      <c r="V1894" t="str">
        <f>IF(Table1[[#This Row],[ai_disruption_intensity]]&gt;70,"High",
IF(Table1[[#This Row],[ai_disruption_intensity]]&gt;40,"Medium","Low"))</f>
        <v>Low</v>
      </c>
      <c r="W1894" t="str">
        <f>IF(Table1[[#This Row],[skill_gap_index]]&gt;70,"Large Gap",
IF(Table1[[#This Row],[skill_gap_index]]&gt;40,"Medium Gap","Small Gap"))</f>
        <v>Large Gap</v>
      </c>
      <c r="X1894" s="3" t="str">
        <f>IF(Table1[[#This Row],[automation_risk_percent]]&gt;0.7,"Highly Automatable",
IF(Table1[[#This Row],[automation_risk_percent]]&gt;0.4,"Moderate Risk","Safe Job"))</f>
        <v>Safe Job</v>
      </c>
    </row>
    <row r="1895" spans="1:24" x14ac:dyDescent="0.3">
      <c r="A1895">
        <v>6767</v>
      </c>
      <c r="B1895" t="s">
        <v>18</v>
      </c>
      <c r="C1895" t="s">
        <v>40</v>
      </c>
      <c r="D1895" t="s">
        <v>42</v>
      </c>
      <c r="E1895" s="1">
        <v>2026</v>
      </c>
      <c r="F1895" s="11">
        <v>0.42799999999999999</v>
      </c>
      <c r="G1895">
        <v>43.19</v>
      </c>
      <c r="H1895">
        <v>17.77</v>
      </c>
      <c r="I1895" s="2">
        <v>43906.07</v>
      </c>
      <c r="J1895" s="2">
        <v>47215.58</v>
      </c>
      <c r="K1895" s="2">
        <f>Table1[[#This Row],[Salary_after]]-Table1[[#This Row],[Salary_before]]</f>
        <v>3309.510000000002</v>
      </c>
      <c r="L1895" s="11">
        <v>7.5399999999999995E-2</v>
      </c>
      <c r="M1895" s="11">
        <v>9.69E-2</v>
      </c>
      <c r="N1895">
        <v>74.98</v>
      </c>
      <c r="O1895">
        <v>91.29</v>
      </c>
      <c r="P1895">
        <v>2</v>
      </c>
      <c r="Q1895" t="s">
        <v>25</v>
      </c>
      <c r="R1895">
        <v>30.284999999999901</v>
      </c>
      <c r="S1895">
        <v>7.54</v>
      </c>
      <c r="T1895" s="4">
        <v>24.713000000000001</v>
      </c>
      <c r="U1895" s="4">
        <v>39.072119999999998</v>
      </c>
      <c r="V1895" t="str">
        <f>IF(Table1[[#This Row],[ai_disruption_intensity]]&gt;70,"High",
IF(Table1[[#This Row],[ai_disruption_intensity]]&gt;40,"Medium","Low"))</f>
        <v>Low</v>
      </c>
      <c r="W1895" t="str">
        <f>IF(Table1[[#This Row],[skill_gap_index]]&gt;70,"Large Gap",
IF(Table1[[#This Row],[skill_gap_index]]&gt;40,"Medium Gap","Small Gap"))</f>
        <v>Small Gap</v>
      </c>
      <c r="X1895" s="3" t="str">
        <f>IF(Table1[[#This Row],[automation_risk_percent]]&gt;0.7,"Highly Automatable",
IF(Table1[[#This Row],[automation_risk_percent]]&gt;0.4,"Moderate Risk","Safe Job"))</f>
        <v>Moderate Risk</v>
      </c>
    </row>
    <row r="1896" spans="1:24" x14ac:dyDescent="0.3">
      <c r="A1896">
        <v>6770</v>
      </c>
      <c r="B1896" t="s">
        <v>22</v>
      </c>
      <c r="C1896" t="s">
        <v>40</v>
      </c>
      <c r="D1896" t="s">
        <v>35</v>
      </c>
      <c r="E1896" s="1">
        <v>2025</v>
      </c>
      <c r="F1896" s="11">
        <v>0.60560000000000003</v>
      </c>
      <c r="G1896">
        <v>50.91</v>
      </c>
      <c r="H1896">
        <v>41.74</v>
      </c>
      <c r="I1896" s="2">
        <v>127914.06</v>
      </c>
      <c r="J1896" s="2">
        <v>144695.54999999999</v>
      </c>
      <c r="K1896" s="2">
        <f>Table1[[#This Row],[Salary_after]]-Table1[[#This Row],[Salary_before]]</f>
        <v>16781.489999999991</v>
      </c>
      <c r="L1896" s="11">
        <v>0.13119999999999998</v>
      </c>
      <c r="M1896" s="11">
        <v>0.1618</v>
      </c>
      <c r="N1896">
        <v>30.42</v>
      </c>
      <c r="O1896">
        <v>32.51</v>
      </c>
      <c r="P1896">
        <v>1</v>
      </c>
      <c r="Q1896" t="s">
        <v>37</v>
      </c>
      <c r="R1896">
        <v>51.15</v>
      </c>
      <c r="S1896">
        <v>13.12</v>
      </c>
      <c r="T1896" s="4">
        <v>40.682000000000002</v>
      </c>
      <c r="U1896" s="4">
        <v>19.688056</v>
      </c>
      <c r="V1896" t="str">
        <f>IF(Table1[[#This Row],[ai_disruption_intensity]]&gt;70,"High",
IF(Table1[[#This Row],[ai_disruption_intensity]]&gt;40,"Medium","Low"))</f>
        <v>Low</v>
      </c>
      <c r="W1896" t="str">
        <f>IF(Table1[[#This Row],[skill_gap_index]]&gt;70,"Large Gap",
IF(Table1[[#This Row],[skill_gap_index]]&gt;40,"Medium Gap","Small Gap"))</f>
        <v>Medium Gap</v>
      </c>
      <c r="X1896" s="3" t="str">
        <f>IF(Table1[[#This Row],[automation_risk_percent]]&gt;0.7,"Highly Automatable",
IF(Table1[[#This Row],[automation_risk_percent]]&gt;0.4,"Moderate Risk","Safe Job"))</f>
        <v>Moderate Risk</v>
      </c>
    </row>
    <row r="1897" spans="1:24" x14ac:dyDescent="0.3">
      <c r="A1897">
        <v>6771</v>
      </c>
      <c r="B1897" t="s">
        <v>26</v>
      </c>
      <c r="C1897" t="s">
        <v>30</v>
      </c>
      <c r="D1897" t="s">
        <v>42</v>
      </c>
      <c r="E1897" s="1">
        <v>2025</v>
      </c>
      <c r="F1897" s="11">
        <v>0.66909999999999992</v>
      </c>
      <c r="G1897">
        <v>76.19</v>
      </c>
      <c r="H1897">
        <v>16.489999999999998</v>
      </c>
      <c r="I1897" s="2">
        <v>95363.17</v>
      </c>
      <c r="J1897" s="2">
        <v>67663.009999999995</v>
      </c>
      <c r="K1897" s="2">
        <f>Table1[[#This Row],[Salary_after]]-Table1[[#This Row],[Salary_before]]</f>
        <v>-27700.160000000003</v>
      </c>
      <c r="L1897" s="11">
        <v>-0.29049999999999998</v>
      </c>
      <c r="M1897" s="11">
        <v>1.1000000000000001E-3</v>
      </c>
      <c r="N1897">
        <v>52.36</v>
      </c>
      <c r="O1897">
        <v>64.290000000000006</v>
      </c>
      <c r="P1897">
        <v>2</v>
      </c>
      <c r="Q1897" t="s">
        <v>37</v>
      </c>
      <c r="R1897">
        <v>41.699999999999903</v>
      </c>
      <c r="S1897">
        <v>29.05</v>
      </c>
      <c r="T1897" s="4">
        <v>40.426000000000002</v>
      </c>
      <c r="U1897" s="4">
        <v>43.016438999999998</v>
      </c>
      <c r="V1897" t="str">
        <f>IF(Table1[[#This Row],[ai_disruption_intensity]]&gt;70,"High",
IF(Table1[[#This Row],[ai_disruption_intensity]]&gt;40,"Medium","Low"))</f>
        <v>Medium</v>
      </c>
      <c r="W1897" t="str">
        <f>IF(Table1[[#This Row],[skill_gap_index]]&gt;70,"Large Gap",
IF(Table1[[#This Row],[skill_gap_index]]&gt;40,"Medium Gap","Small Gap"))</f>
        <v>Small Gap</v>
      </c>
      <c r="X1897" s="3" t="str">
        <f>IF(Table1[[#This Row],[automation_risk_percent]]&gt;0.7,"Highly Automatable",
IF(Table1[[#This Row],[automation_risk_percent]]&gt;0.4,"Moderate Risk","Safe Job"))</f>
        <v>Moderate Risk</v>
      </c>
    </row>
    <row r="1898" spans="1:24" x14ac:dyDescent="0.3">
      <c r="A1898">
        <v>6777</v>
      </c>
      <c r="B1898" t="s">
        <v>43</v>
      </c>
      <c r="C1898" t="s">
        <v>34</v>
      </c>
      <c r="D1898" t="s">
        <v>20</v>
      </c>
      <c r="E1898" s="1">
        <v>2025</v>
      </c>
      <c r="F1898" s="11">
        <v>0.1105</v>
      </c>
      <c r="G1898">
        <v>11.63</v>
      </c>
      <c r="H1898">
        <v>55.32</v>
      </c>
      <c r="I1898" s="2">
        <v>105584.58</v>
      </c>
      <c r="J1898" s="2">
        <v>94251.83</v>
      </c>
      <c r="K1898" s="2">
        <f>Table1[[#This Row],[Salary_after]]-Table1[[#This Row],[Salary_before]]</f>
        <v>-11332.75</v>
      </c>
      <c r="L1898" s="11">
        <v>-0.10730000000000001</v>
      </c>
      <c r="M1898" s="11">
        <v>7.2499999999999995E-2</v>
      </c>
      <c r="N1898">
        <v>72.58</v>
      </c>
      <c r="O1898">
        <v>36.04</v>
      </c>
      <c r="P1898">
        <v>5</v>
      </c>
      <c r="Q1898" t="s">
        <v>21</v>
      </c>
      <c r="R1898">
        <v>33.185000000000002</v>
      </c>
      <c r="S1898">
        <v>10.73</v>
      </c>
      <c r="T1898" s="4">
        <v>24.234999999999999</v>
      </c>
      <c r="U1898" s="4">
        <v>3.9824199999999998</v>
      </c>
      <c r="V1898" t="str">
        <f>IF(Table1[[#This Row],[ai_disruption_intensity]]&gt;70,"High",
IF(Table1[[#This Row],[ai_disruption_intensity]]&gt;40,"Medium","Low"))</f>
        <v>Low</v>
      </c>
      <c r="W1898" t="str">
        <f>IF(Table1[[#This Row],[skill_gap_index]]&gt;70,"Large Gap",
IF(Table1[[#This Row],[skill_gap_index]]&gt;40,"Medium Gap","Small Gap"))</f>
        <v>Medium Gap</v>
      </c>
      <c r="X1898" s="3" t="str">
        <f>IF(Table1[[#This Row],[automation_risk_percent]]&gt;0.7,"Highly Automatable",
IF(Table1[[#This Row],[automation_risk_percent]]&gt;0.4,"Moderate Risk","Safe Job"))</f>
        <v>Safe Job</v>
      </c>
    </row>
    <row r="1899" spans="1:24" x14ac:dyDescent="0.3">
      <c r="A1899">
        <v>6778</v>
      </c>
      <c r="B1899" t="s">
        <v>44</v>
      </c>
      <c r="C1899" t="s">
        <v>27</v>
      </c>
      <c r="D1899" t="s">
        <v>35</v>
      </c>
      <c r="E1899" s="1">
        <v>2025</v>
      </c>
      <c r="F1899" s="11">
        <v>0.46140000000000003</v>
      </c>
      <c r="G1899">
        <v>43.66</v>
      </c>
      <c r="H1899">
        <v>2.2000000000000002</v>
      </c>
      <c r="I1899" s="2">
        <v>135186.46</v>
      </c>
      <c r="J1899" s="2">
        <v>138705.10999999999</v>
      </c>
      <c r="K1899" s="2">
        <f>Table1[[#This Row],[Salary_after]]-Table1[[#This Row],[Salary_before]]</f>
        <v>3518.6499999999942</v>
      </c>
      <c r="L1899" s="11">
        <v>2.6000000000000002E-2</v>
      </c>
      <c r="M1899" s="11">
        <v>-6.13E-2</v>
      </c>
      <c r="N1899">
        <v>89.48</v>
      </c>
      <c r="O1899">
        <v>22.13</v>
      </c>
      <c r="P1899">
        <v>5</v>
      </c>
      <c r="Q1899" t="s">
        <v>25</v>
      </c>
      <c r="R1899">
        <v>24.17</v>
      </c>
      <c r="S1899">
        <v>2.6</v>
      </c>
      <c r="T1899" s="4">
        <v>19.896000000000001</v>
      </c>
      <c r="U1899" s="4">
        <v>10.210782</v>
      </c>
      <c r="V1899" t="str">
        <f>IF(Table1[[#This Row],[ai_disruption_intensity]]&gt;70,"High",
IF(Table1[[#This Row],[ai_disruption_intensity]]&gt;40,"Medium","Low"))</f>
        <v>Low</v>
      </c>
      <c r="W1899" t="str">
        <f>IF(Table1[[#This Row],[skill_gap_index]]&gt;70,"Large Gap",
IF(Table1[[#This Row],[skill_gap_index]]&gt;40,"Medium Gap","Small Gap"))</f>
        <v>Small Gap</v>
      </c>
      <c r="X1899" s="3" t="str">
        <f>IF(Table1[[#This Row],[automation_risk_percent]]&gt;0.7,"Highly Automatable",
IF(Table1[[#This Row],[automation_risk_percent]]&gt;0.4,"Moderate Risk","Safe Job"))</f>
        <v>Moderate Risk</v>
      </c>
    </row>
    <row r="1900" spans="1:24" x14ac:dyDescent="0.3">
      <c r="A1900">
        <v>6779</v>
      </c>
      <c r="B1900" t="s">
        <v>44</v>
      </c>
      <c r="C1900" t="s">
        <v>40</v>
      </c>
      <c r="D1900" t="s">
        <v>24</v>
      </c>
      <c r="E1900" s="1">
        <v>2026</v>
      </c>
      <c r="F1900" s="11">
        <v>0.38840000000000002</v>
      </c>
      <c r="G1900">
        <v>36.94</v>
      </c>
      <c r="H1900">
        <v>8.92</v>
      </c>
      <c r="I1900" s="2">
        <v>80822.070000000007</v>
      </c>
      <c r="J1900" s="2">
        <v>77078.960000000006</v>
      </c>
      <c r="K1900" s="2">
        <f>Table1[[#This Row],[Salary_after]]-Table1[[#This Row],[Salary_before]]</f>
        <v>-3743.1100000000006</v>
      </c>
      <c r="L1900" s="11">
        <v>-4.6300000000000001E-2</v>
      </c>
      <c r="M1900" s="11">
        <v>4.8000000000000001E-2</v>
      </c>
      <c r="N1900">
        <v>53.93</v>
      </c>
      <c r="O1900">
        <v>9.3800000000000008</v>
      </c>
      <c r="P1900">
        <v>2</v>
      </c>
      <c r="Q1900" t="s">
        <v>25</v>
      </c>
      <c r="R1900">
        <v>23.88</v>
      </c>
      <c r="S1900">
        <v>4.63</v>
      </c>
      <c r="T1900" s="4">
        <v>19.600999999999999</v>
      </c>
      <c r="U1900" s="4">
        <v>3.643192</v>
      </c>
      <c r="V1900" t="str">
        <f>IF(Table1[[#This Row],[ai_disruption_intensity]]&gt;70,"High",
IF(Table1[[#This Row],[ai_disruption_intensity]]&gt;40,"Medium","Low"))</f>
        <v>Low</v>
      </c>
      <c r="W1900" t="str">
        <f>IF(Table1[[#This Row],[skill_gap_index]]&gt;70,"Large Gap",
IF(Table1[[#This Row],[skill_gap_index]]&gt;40,"Medium Gap","Small Gap"))</f>
        <v>Small Gap</v>
      </c>
      <c r="X1900" s="3" t="str">
        <f>IF(Table1[[#This Row],[automation_risk_percent]]&gt;0.7,"Highly Automatable",
IF(Table1[[#This Row],[automation_risk_percent]]&gt;0.4,"Moderate Risk","Safe Job"))</f>
        <v>Safe Job</v>
      </c>
    </row>
    <row r="1901" spans="1:24" x14ac:dyDescent="0.3">
      <c r="A1901">
        <v>6780</v>
      </c>
      <c r="B1901" t="s">
        <v>26</v>
      </c>
      <c r="C1901" t="s">
        <v>33</v>
      </c>
      <c r="D1901" t="s">
        <v>42</v>
      </c>
      <c r="E1901" s="1">
        <v>2025</v>
      </c>
      <c r="F1901" s="11">
        <v>0.62470000000000003</v>
      </c>
      <c r="G1901">
        <v>66.22</v>
      </c>
      <c r="H1901">
        <v>5.64</v>
      </c>
      <c r="I1901" s="2">
        <v>129245.16</v>
      </c>
      <c r="J1901" s="2">
        <v>113143.44</v>
      </c>
      <c r="K1901" s="2">
        <f>Table1[[#This Row],[Salary_after]]-Table1[[#This Row],[Salary_before]]</f>
        <v>-16101.720000000001</v>
      </c>
      <c r="L1901" s="11">
        <v>-0.1246</v>
      </c>
      <c r="M1901" s="11">
        <v>-1.2800000000000001E-2</v>
      </c>
      <c r="N1901">
        <v>32.85</v>
      </c>
      <c r="O1901">
        <v>59.77</v>
      </c>
      <c r="P1901">
        <v>5</v>
      </c>
      <c r="Q1901" t="s">
        <v>37</v>
      </c>
      <c r="R1901">
        <v>34.055</v>
      </c>
      <c r="S1901">
        <v>12.46</v>
      </c>
      <c r="T1901" s="4">
        <v>30.417999999999999</v>
      </c>
      <c r="U1901" s="4">
        <v>37.338318999999998</v>
      </c>
      <c r="V1901" t="str">
        <f>IF(Table1[[#This Row],[ai_disruption_intensity]]&gt;70,"High",
IF(Table1[[#This Row],[ai_disruption_intensity]]&gt;40,"Medium","Low"))</f>
        <v>Low</v>
      </c>
      <c r="W1901" t="str">
        <f>IF(Table1[[#This Row],[skill_gap_index]]&gt;70,"Large Gap",
IF(Table1[[#This Row],[skill_gap_index]]&gt;40,"Medium Gap","Small Gap"))</f>
        <v>Small Gap</v>
      </c>
      <c r="X1901" s="3" t="str">
        <f>IF(Table1[[#This Row],[automation_risk_percent]]&gt;0.7,"Highly Automatable",
IF(Table1[[#This Row],[automation_risk_percent]]&gt;0.4,"Moderate Risk","Safe Job"))</f>
        <v>Moderate Risk</v>
      </c>
    </row>
    <row r="1902" spans="1:24" x14ac:dyDescent="0.3">
      <c r="A1902">
        <v>6782</v>
      </c>
      <c r="B1902" t="s">
        <v>29</v>
      </c>
      <c r="C1902" t="s">
        <v>38</v>
      </c>
      <c r="D1902" t="s">
        <v>47</v>
      </c>
      <c r="E1902" s="1">
        <v>2026</v>
      </c>
      <c r="F1902" s="11">
        <v>0.41840000000000005</v>
      </c>
      <c r="G1902">
        <v>48.62</v>
      </c>
      <c r="H1902">
        <v>64.69</v>
      </c>
      <c r="I1902" s="2">
        <v>36454.050000000003</v>
      </c>
      <c r="J1902" s="2">
        <v>40058.980000000003</v>
      </c>
      <c r="K1902" s="2">
        <f>Table1[[#This Row],[Salary_after]]-Table1[[#This Row],[Salary_before]]</f>
        <v>3604.9300000000003</v>
      </c>
      <c r="L1902" s="11">
        <v>9.8900000000000002E-2</v>
      </c>
      <c r="M1902" s="11">
        <v>0.1038</v>
      </c>
      <c r="N1902">
        <v>34.659999999999997</v>
      </c>
      <c r="O1902">
        <v>38.29</v>
      </c>
      <c r="P1902">
        <v>3</v>
      </c>
      <c r="Q1902" t="s">
        <v>25</v>
      </c>
      <c r="R1902">
        <v>53.265000000000001</v>
      </c>
      <c r="S1902">
        <v>9.89</v>
      </c>
      <c r="T1902" s="4">
        <v>39.11</v>
      </c>
      <c r="U1902" s="4">
        <v>16.020536</v>
      </c>
      <c r="V1902" t="str">
        <f>IF(Table1[[#This Row],[ai_disruption_intensity]]&gt;70,"High",
IF(Table1[[#This Row],[ai_disruption_intensity]]&gt;40,"Medium","Low"))</f>
        <v>Low</v>
      </c>
      <c r="W1902" t="str">
        <f>IF(Table1[[#This Row],[skill_gap_index]]&gt;70,"Large Gap",
IF(Table1[[#This Row],[skill_gap_index]]&gt;40,"Medium Gap","Small Gap"))</f>
        <v>Medium Gap</v>
      </c>
      <c r="X1902" s="3" t="str">
        <f>IF(Table1[[#This Row],[automation_risk_percent]]&gt;0.7,"Highly Automatable",
IF(Table1[[#This Row],[automation_risk_percent]]&gt;0.4,"Moderate Risk","Safe Job"))</f>
        <v>Moderate Risk</v>
      </c>
    </row>
    <row r="1903" spans="1:24" x14ac:dyDescent="0.3">
      <c r="A1903">
        <v>6786</v>
      </c>
      <c r="B1903" t="s">
        <v>45</v>
      </c>
      <c r="C1903" t="s">
        <v>40</v>
      </c>
      <c r="D1903" t="s">
        <v>35</v>
      </c>
      <c r="E1903" s="1">
        <v>2026</v>
      </c>
      <c r="F1903" s="11">
        <v>0.20850000000000002</v>
      </c>
      <c r="G1903">
        <v>24.6</v>
      </c>
      <c r="H1903">
        <v>17.78</v>
      </c>
      <c r="I1903" s="2">
        <v>80288.73</v>
      </c>
      <c r="J1903" s="2">
        <v>83521.649999999994</v>
      </c>
      <c r="K1903" s="2">
        <f>Table1[[#This Row],[Salary_after]]-Table1[[#This Row],[Salary_before]]</f>
        <v>3232.9199999999983</v>
      </c>
      <c r="L1903" s="11">
        <v>4.0300000000000002E-2</v>
      </c>
      <c r="M1903" s="11">
        <v>6.08E-2</v>
      </c>
      <c r="N1903">
        <v>13.8</v>
      </c>
      <c r="O1903">
        <v>17.5</v>
      </c>
      <c r="P1903">
        <v>1</v>
      </c>
      <c r="Q1903" t="s">
        <v>21</v>
      </c>
      <c r="R1903">
        <v>19.315000000000001</v>
      </c>
      <c r="S1903">
        <v>4.03</v>
      </c>
      <c r="T1903" s="4">
        <v>14.882999999999999</v>
      </c>
      <c r="U1903" s="4">
        <v>3.6487500000000002</v>
      </c>
      <c r="V1903" t="str">
        <f>IF(Table1[[#This Row],[ai_disruption_intensity]]&gt;70,"High",
IF(Table1[[#This Row],[ai_disruption_intensity]]&gt;40,"Medium","Low"))</f>
        <v>Low</v>
      </c>
      <c r="W1903" t="str">
        <f>IF(Table1[[#This Row],[skill_gap_index]]&gt;70,"Large Gap",
IF(Table1[[#This Row],[skill_gap_index]]&gt;40,"Medium Gap","Small Gap"))</f>
        <v>Small Gap</v>
      </c>
      <c r="X1903" s="3" t="str">
        <f>IF(Table1[[#This Row],[automation_risk_percent]]&gt;0.7,"Highly Automatable",
IF(Table1[[#This Row],[automation_risk_percent]]&gt;0.4,"Moderate Risk","Safe Job"))</f>
        <v>Safe Job</v>
      </c>
    </row>
    <row r="1904" spans="1:24" x14ac:dyDescent="0.3">
      <c r="A1904">
        <v>6791</v>
      </c>
      <c r="B1904" t="s">
        <v>45</v>
      </c>
      <c r="C1904" t="s">
        <v>30</v>
      </c>
      <c r="D1904" t="s">
        <v>35</v>
      </c>
      <c r="E1904" s="1">
        <v>2025</v>
      </c>
      <c r="F1904" s="11">
        <v>0.67980000000000007</v>
      </c>
      <c r="G1904">
        <v>76.47</v>
      </c>
      <c r="H1904">
        <v>48.64</v>
      </c>
      <c r="I1904" s="2">
        <v>74170.97</v>
      </c>
      <c r="J1904" s="2">
        <v>69248.850000000006</v>
      </c>
      <c r="K1904" s="2">
        <f>Table1[[#This Row],[Salary_after]]-Table1[[#This Row],[Salary_before]]</f>
        <v>-4922.1199999999953</v>
      </c>
      <c r="L1904" s="11">
        <v>-6.6400000000000001E-2</v>
      </c>
      <c r="M1904" s="11">
        <v>0.17710000000000001</v>
      </c>
      <c r="N1904">
        <v>18.05</v>
      </c>
      <c r="O1904">
        <v>85.88</v>
      </c>
      <c r="P1904">
        <v>5</v>
      </c>
      <c r="Q1904" t="s">
        <v>37</v>
      </c>
      <c r="R1904">
        <v>58.31</v>
      </c>
      <c r="S1904">
        <v>6.64</v>
      </c>
      <c r="T1904" s="4">
        <v>43.776000000000003</v>
      </c>
      <c r="U1904" s="4">
        <v>58.381224000000003</v>
      </c>
      <c r="V1904" t="str">
        <f>IF(Table1[[#This Row],[ai_disruption_intensity]]&gt;70,"High",
IF(Table1[[#This Row],[ai_disruption_intensity]]&gt;40,"Medium","Low"))</f>
        <v>Medium</v>
      </c>
      <c r="W1904" t="str">
        <f>IF(Table1[[#This Row],[skill_gap_index]]&gt;70,"Large Gap",
IF(Table1[[#This Row],[skill_gap_index]]&gt;40,"Medium Gap","Small Gap"))</f>
        <v>Medium Gap</v>
      </c>
      <c r="X1904" s="3" t="str">
        <f>IF(Table1[[#This Row],[automation_risk_percent]]&gt;0.7,"Highly Automatable",
IF(Table1[[#This Row],[automation_risk_percent]]&gt;0.4,"Moderate Risk","Safe Job"))</f>
        <v>Moderate Risk</v>
      </c>
    </row>
    <row r="1905" spans="1:24" x14ac:dyDescent="0.3">
      <c r="A1905">
        <v>6795</v>
      </c>
      <c r="B1905" t="s">
        <v>39</v>
      </c>
      <c r="C1905" t="s">
        <v>33</v>
      </c>
      <c r="D1905" t="s">
        <v>32</v>
      </c>
      <c r="E1905" s="1">
        <v>2025</v>
      </c>
      <c r="F1905" s="11">
        <v>0.2666</v>
      </c>
      <c r="G1905">
        <v>28.81</v>
      </c>
      <c r="H1905">
        <v>99.9</v>
      </c>
      <c r="I1905" s="2">
        <v>133710.1</v>
      </c>
      <c r="J1905" s="2">
        <v>141057.82999999999</v>
      </c>
      <c r="K1905" s="2">
        <f>Table1[[#This Row],[Salary_after]]-Table1[[#This Row],[Salary_before]]</f>
        <v>7347.7299999999814</v>
      </c>
      <c r="L1905" s="11">
        <v>5.5E-2</v>
      </c>
      <c r="M1905" s="11">
        <v>6.6900000000000001E-2</v>
      </c>
      <c r="N1905">
        <v>99.2</v>
      </c>
      <c r="O1905">
        <v>57.03</v>
      </c>
      <c r="P1905">
        <v>5</v>
      </c>
      <c r="Q1905" t="s">
        <v>21</v>
      </c>
      <c r="R1905">
        <v>63.28</v>
      </c>
      <c r="S1905">
        <v>5.5</v>
      </c>
      <c r="T1905" s="4">
        <v>42.283999999999999</v>
      </c>
      <c r="U1905" s="4">
        <v>15.204198</v>
      </c>
      <c r="V1905" t="str">
        <f>IF(Table1[[#This Row],[ai_disruption_intensity]]&gt;70,"High",
IF(Table1[[#This Row],[ai_disruption_intensity]]&gt;40,"Medium","Low"))</f>
        <v>Low</v>
      </c>
      <c r="W1905" t="str">
        <f>IF(Table1[[#This Row],[skill_gap_index]]&gt;70,"Large Gap",
IF(Table1[[#This Row],[skill_gap_index]]&gt;40,"Medium Gap","Small Gap"))</f>
        <v>Large Gap</v>
      </c>
      <c r="X1905" s="3" t="str">
        <f>IF(Table1[[#This Row],[automation_risk_percent]]&gt;0.7,"Highly Automatable",
IF(Table1[[#This Row],[automation_risk_percent]]&gt;0.4,"Moderate Risk","Safe Job"))</f>
        <v>Safe Job</v>
      </c>
    </row>
    <row r="1906" spans="1:24" x14ac:dyDescent="0.3">
      <c r="A1906">
        <v>6796</v>
      </c>
      <c r="B1906" t="s">
        <v>29</v>
      </c>
      <c r="C1906" t="s">
        <v>33</v>
      </c>
      <c r="D1906" t="s">
        <v>24</v>
      </c>
      <c r="E1906" s="1">
        <v>2025</v>
      </c>
      <c r="F1906" s="11">
        <v>0.4415</v>
      </c>
      <c r="G1906">
        <v>51.48</v>
      </c>
      <c r="H1906">
        <v>84.42</v>
      </c>
      <c r="I1906" s="2">
        <v>40153.35</v>
      </c>
      <c r="J1906" s="2">
        <v>39442.53</v>
      </c>
      <c r="K1906" s="2">
        <f>Table1[[#This Row],[Salary_after]]-Table1[[#This Row],[Salary_before]]</f>
        <v>-710.81999999999971</v>
      </c>
      <c r="L1906" s="11">
        <v>-1.77E-2</v>
      </c>
      <c r="M1906" s="11">
        <v>0.10769999999999999</v>
      </c>
      <c r="N1906">
        <v>38.99</v>
      </c>
      <c r="O1906">
        <v>34.33</v>
      </c>
      <c r="P1906">
        <v>3</v>
      </c>
      <c r="Q1906" t="s">
        <v>25</v>
      </c>
      <c r="R1906">
        <v>64.284999999999997</v>
      </c>
      <c r="S1906">
        <v>1.77</v>
      </c>
      <c r="T1906" s="4">
        <v>43.517000000000003</v>
      </c>
      <c r="U1906" s="4">
        <v>15.156694999999999</v>
      </c>
      <c r="V1906" t="str">
        <f>IF(Table1[[#This Row],[ai_disruption_intensity]]&gt;70,"High",
IF(Table1[[#This Row],[ai_disruption_intensity]]&gt;40,"Medium","Low"))</f>
        <v>Low</v>
      </c>
      <c r="W1906" t="str">
        <f>IF(Table1[[#This Row],[skill_gap_index]]&gt;70,"Large Gap",
IF(Table1[[#This Row],[skill_gap_index]]&gt;40,"Medium Gap","Small Gap"))</f>
        <v>Large Gap</v>
      </c>
      <c r="X1906" s="3" t="str">
        <f>IF(Table1[[#This Row],[automation_risk_percent]]&gt;0.7,"Highly Automatable",
IF(Table1[[#This Row],[automation_risk_percent]]&gt;0.4,"Moderate Risk","Safe Job"))</f>
        <v>Moderate Risk</v>
      </c>
    </row>
    <row r="1907" spans="1:24" x14ac:dyDescent="0.3">
      <c r="A1907">
        <v>6798</v>
      </c>
      <c r="B1907" t="s">
        <v>29</v>
      </c>
      <c r="C1907" t="s">
        <v>30</v>
      </c>
      <c r="D1907" t="s">
        <v>36</v>
      </c>
      <c r="E1907" s="1">
        <v>2026</v>
      </c>
      <c r="F1907" s="11">
        <v>0.7501000000000001</v>
      </c>
      <c r="G1907">
        <v>81.23</v>
      </c>
      <c r="H1907">
        <v>42.2</v>
      </c>
      <c r="I1907" s="2">
        <v>145894.42000000001</v>
      </c>
      <c r="J1907" s="2">
        <v>155033.95000000001</v>
      </c>
      <c r="K1907" s="2">
        <f>Table1[[#This Row],[Salary_after]]-Table1[[#This Row],[Salary_before]]</f>
        <v>9139.5299999999988</v>
      </c>
      <c r="L1907" s="11">
        <v>6.2600000000000003E-2</v>
      </c>
      <c r="M1907" s="11">
        <v>0.1298</v>
      </c>
      <c r="N1907">
        <v>34.42</v>
      </c>
      <c r="O1907">
        <v>59.48</v>
      </c>
      <c r="P1907">
        <v>5</v>
      </c>
      <c r="Q1907" t="s">
        <v>37</v>
      </c>
      <c r="R1907">
        <v>58.604999999999997</v>
      </c>
      <c r="S1907">
        <v>6.26</v>
      </c>
      <c r="T1907" s="4">
        <v>44.542000000000002</v>
      </c>
      <c r="U1907" s="4">
        <v>44.615947999999896</v>
      </c>
      <c r="V1907" t="str">
        <f>IF(Table1[[#This Row],[ai_disruption_intensity]]&gt;70,"High",
IF(Table1[[#This Row],[ai_disruption_intensity]]&gt;40,"Medium","Low"))</f>
        <v>Medium</v>
      </c>
      <c r="W1907" t="str">
        <f>IF(Table1[[#This Row],[skill_gap_index]]&gt;70,"Large Gap",
IF(Table1[[#This Row],[skill_gap_index]]&gt;40,"Medium Gap","Small Gap"))</f>
        <v>Medium Gap</v>
      </c>
      <c r="X1907" s="3" t="str">
        <f>IF(Table1[[#This Row],[automation_risk_percent]]&gt;0.7,"Highly Automatable",
IF(Table1[[#This Row],[automation_risk_percent]]&gt;0.4,"Moderate Risk","Safe Job"))</f>
        <v>Highly Automatable</v>
      </c>
    </row>
    <row r="1908" spans="1:24" x14ac:dyDescent="0.3">
      <c r="A1908">
        <v>6799</v>
      </c>
      <c r="B1908" t="s">
        <v>44</v>
      </c>
      <c r="C1908" t="s">
        <v>33</v>
      </c>
      <c r="D1908" t="s">
        <v>31</v>
      </c>
      <c r="E1908" s="1">
        <v>2026</v>
      </c>
      <c r="F1908" s="11">
        <v>0.47240000000000004</v>
      </c>
      <c r="G1908">
        <v>47.76</v>
      </c>
      <c r="H1908">
        <v>59.56</v>
      </c>
      <c r="I1908" s="2">
        <v>149248.24</v>
      </c>
      <c r="J1908" s="2">
        <v>120753.84</v>
      </c>
      <c r="K1908" s="2">
        <f>Table1[[#This Row],[Salary_after]]-Table1[[#This Row],[Salary_before]]</f>
        <v>-28494.399999999994</v>
      </c>
      <c r="L1908" s="11">
        <v>-0.19089999999999999</v>
      </c>
      <c r="M1908" s="11">
        <v>0.1011</v>
      </c>
      <c r="N1908">
        <v>60.41</v>
      </c>
      <c r="O1908">
        <v>62.27</v>
      </c>
      <c r="P1908">
        <v>4</v>
      </c>
      <c r="Q1908" t="s">
        <v>25</v>
      </c>
      <c r="R1908">
        <v>53.4</v>
      </c>
      <c r="S1908">
        <v>19.09</v>
      </c>
      <c r="T1908" s="4">
        <v>42.4909999999999</v>
      </c>
      <c r="U1908" s="4">
        <v>29.416347999999999</v>
      </c>
      <c r="V1908" t="str">
        <f>IF(Table1[[#This Row],[ai_disruption_intensity]]&gt;70,"High",
IF(Table1[[#This Row],[ai_disruption_intensity]]&gt;40,"Medium","Low"))</f>
        <v>Low</v>
      </c>
      <c r="W1908" t="str">
        <f>IF(Table1[[#This Row],[skill_gap_index]]&gt;70,"Large Gap",
IF(Table1[[#This Row],[skill_gap_index]]&gt;40,"Medium Gap","Small Gap"))</f>
        <v>Medium Gap</v>
      </c>
      <c r="X1908" s="3" t="str">
        <f>IF(Table1[[#This Row],[automation_risk_percent]]&gt;0.7,"Highly Automatable",
IF(Table1[[#This Row],[automation_risk_percent]]&gt;0.4,"Moderate Risk","Safe Job"))</f>
        <v>Moderate Risk</v>
      </c>
    </row>
    <row r="1909" spans="1:24" x14ac:dyDescent="0.3">
      <c r="A1909">
        <v>6802</v>
      </c>
      <c r="B1909" t="s">
        <v>46</v>
      </c>
      <c r="C1909" t="s">
        <v>34</v>
      </c>
      <c r="D1909" t="s">
        <v>24</v>
      </c>
      <c r="E1909" s="1">
        <v>2026</v>
      </c>
      <c r="F1909" s="11">
        <v>0.12369999999999999</v>
      </c>
      <c r="G1909">
        <v>12.7</v>
      </c>
      <c r="H1909">
        <v>35.64</v>
      </c>
      <c r="I1909" s="2">
        <v>117645.43</v>
      </c>
      <c r="J1909" s="2">
        <v>131632.9</v>
      </c>
      <c r="K1909" s="2">
        <f>Table1[[#This Row],[Salary_after]]-Table1[[#This Row],[Salary_before]]</f>
        <v>13987.470000000001</v>
      </c>
      <c r="L1909" s="11">
        <v>0.11890000000000001</v>
      </c>
      <c r="M1909" s="11">
        <v>8.2899999999999988E-2</v>
      </c>
      <c r="N1909">
        <v>15.25</v>
      </c>
      <c r="O1909">
        <v>23.49</v>
      </c>
      <c r="P1909">
        <v>1</v>
      </c>
      <c r="Q1909" t="s">
        <v>21</v>
      </c>
      <c r="R1909">
        <v>24.004999999999999</v>
      </c>
      <c r="S1909">
        <v>11.89</v>
      </c>
      <c r="T1909" s="4">
        <v>19.207000000000001</v>
      </c>
      <c r="U1909" s="4">
        <v>2.9057129999999902</v>
      </c>
      <c r="V1909" t="str">
        <f>IF(Table1[[#This Row],[ai_disruption_intensity]]&gt;70,"High",
IF(Table1[[#This Row],[ai_disruption_intensity]]&gt;40,"Medium","Low"))</f>
        <v>Low</v>
      </c>
      <c r="W1909" t="str">
        <f>IF(Table1[[#This Row],[skill_gap_index]]&gt;70,"Large Gap",
IF(Table1[[#This Row],[skill_gap_index]]&gt;40,"Medium Gap","Small Gap"))</f>
        <v>Small Gap</v>
      </c>
      <c r="X1909" s="3" t="str">
        <f>IF(Table1[[#This Row],[automation_risk_percent]]&gt;0.7,"Highly Automatable",
IF(Table1[[#This Row],[automation_risk_percent]]&gt;0.4,"Moderate Risk","Safe Job"))</f>
        <v>Safe Job</v>
      </c>
    </row>
    <row r="1910" spans="1:24" x14ac:dyDescent="0.3">
      <c r="A1910">
        <v>6808</v>
      </c>
      <c r="B1910" t="s">
        <v>22</v>
      </c>
      <c r="C1910" t="s">
        <v>27</v>
      </c>
      <c r="D1910" t="s">
        <v>36</v>
      </c>
      <c r="E1910" s="1">
        <v>2026</v>
      </c>
      <c r="F1910" s="11">
        <v>0.37380000000000002</v>
      </c>
      <c r="G1910">
        <v>30.98</v>
      </c>
      <c r="H1910">
        <v>62.07</v>
      </c>
      <c r="I1910" s="2">
        <v>80374.649999999994</v>
      </c>
      <c r="J1910" s="2">
        <v>68379.649999999994</v>
      </c>
      <c r="K1910" s="2">
        <f>Table1[[#This Row],[Salary_after]]-Table1[[#This Row],[Salary_before]]</f>
        <v>-11995</v>
      </c>
      <c r="L1910" s="11">
        <v>-0.1492</v>
      </c>
      <c r="M1910" s="11">
        <v>0.01</v>
      </c>
      <c r="N1910">
        <v>32.450000000000003</v>
      </c>
      <c r="O1910">
        <v>78.75</v>
      </c>
      <c r="P1910">
        <v>2</v>
      </c>
      <c r="Q1910" t="s">
        <v>25</v>
      </c>
      <c r="R1910">
        <v>49.725000000000001</v>
      </c>
      <c r="S1910">
        <v>14.92</v>
      </c>
      <c r="T1910" s="4">
        <v>38.048999999999999</v>
      </c>
      <c r="U1910" s="4">
        <v>29.43675</v>
      </c>
      <c r="V1910" t="str">
        <f>IF(Table1[[#This Row],[ai_disruption_intensity]]&gt;70,"High",
IF(Table1[[#This Row],[ai_disruption_intensity]]&gt;40,"Medium","Low"))</f>
        <v>Low</v>
      </c>
      <c r="W1910" t="str">
        <f>IF(Table1[[#This Row],[skill_gap_index]]&gt;70,"Large Gap",
IF(Table1[[#This Row],[skill_gap_index]]&gt;40,"Medium Gap","Small Gap"))</f>
        <v>Medium Gap</v>
      </c>
      <c r="X1910" s="3" t="str">
        <f>IF(Table1[[#This Row],[automation_risk_percent]]&gt;0.7,"Highly Automatable",
IF(Table1[[#This Row],[automation_risk_percent]]&gt;0.4,"Moderate Risk","Safe Job"))</f>
        <v>Safe Job</v>
      </c>
    </row>
    <row r="1911" spans="1:24" x14ac:dyDescent="0.3">
      <c r="A1911">
        <v>6812</v>
      </c>
      <c r="B1911" t="s">
        <v>26</v>
      </c>
      <c r="C1911" t="s">
        <v>23</v>
      </c>
      <c r="D1911" t="s">
        <v>32</v>
      </c>
      <c r="E1911" s="1">
        <v>2025</v>
      </c>
      <c r="F1911" s="11">
        <v>0.28939999999999999</v>
      </c>
      <c r="G1911">
        <v>31.89</v>
      </c>
      <c r="H1911">
        <v>13.5</v>
      </c>
      <c r="I1911" s="2">
        <v>99655.61</v>
      </c>
      <c r="J1911" s="2">
        <v>98664.3</v>
      </c>
      <c r="K1911" s="2">
        <f>Table1[[#This Row],[Salary_after]]-Table1[[#This Row],[Salary_before]]</f>
        <v>-991.30999999999767</v>
      </c>
      <c r="L1911" s="11">
        <v>-9.8999999999999991E-3</v>
      </c>
      <c r="M1911" s="11">
        <v>8.8699999999999987E-2</v>
      </c>
      <c r="N1911">
        <v>13.93</v>
      </c>
      <c r="O1911">
        <v>63.31</v>
      </c>
      <c r="P1911">
        <v>3</v>
      </c>
      <c r="Q1911" t="s">
        <v>21</v>
      </c>
      <c r="R1911">
        <v>21.22</v>
      </c>
      <c r="S1911">
        <v>0.99</v>
      </c>
      <c r="T1911" s="4">
        <v>15.923</v>
      </c>
      <c r="U1911" s="4">
        <v>18.321914</v>
      </c>
      <c r="V1911" t="str">
        <f>IF(Table1[[#This Row],[ai_disruption_intensity]]&gt;70,"High",
IF(Table1[[#This Row],[ai_disruption_intensity]]&gt;40,"Medium","Low"))</f>
        <v>Low</v>
      </c>
      <c r="W1911" t="str">
        <f>IF(Table1[[#This Row],[skill_gap_index]]&gt;70,"Large Gap",
IF(Table1[[#This Row],[skill_gap_index]]&gt;40,"Medium Gap","Small Gap"))</f>
        <v>Small Gap</v>
      </c>
      <c r="X1911" s="3" t="str">
        <f>IF(Table1[[#This Row],[automation_risk_percent]]&gt;0.7,"Highly Automatable",
IF(Table1[[#This Row],[automation_risk_percent]]&gt;0.4,"Moderate Risk","Safe Job"))</f>
        <v>Safe Job</v>
      </c>
    </row>
    <row r="1912" spans="1:24" x14ac:dyDescent="0.3">
      <c r="A1912">
        <v>6813</v>
      </c>
      <c r="B1912" t="s">
        <v>39</v>
      </c>
      <c r="C1912" t="s">
        <v>27</v>
      </c>
      <c r="D1912" t="s">
        <v>24</v>
      </c>
      <c r="E1912" s="1">
        <v>2025</v>
      </c>
      <c r="F1912" s="11">
        <v>0.13300000000000001</v>
      </c>
      <c r="G1912">
        <v>11.66</v>
      </c>
      <c r="H1912">
        <v>4.84</v>
      </c>
      <c r="I1912" s="2">
        <v>50478.07</v>
      </c>
      <c r="J1912" s="2">
        <v>52714.22</v>
      </c>
      <c r="K1912" s="2">
        <f>Table1[[#This Row],[Salary_after]]-Table1[[#This Row],[Salary_before]]</f>
        <v>2236.1500000000015</v>
      </c>
      <c r="L1912" s="11">
        <v>4.4299999999999999E-2</v>
      </c>
      <c r="M1912" s="11">
        <v>0.11689999999999999</v>
      </c>
      <c r="N1912">
        <v>40.770000000000003</v>
      </c>
      <c r="O1912">
        <v>89.71</v>
      </c>
      <c r="P1912">
        <v>2</v>
      </c>
      <c r="Q1912" t="s">
        <v>21</v>
      </c>
      <c r="R1912">
        <v>9.07</v>
      </c>
      <c r="S1912">
        <v>4.43</v>
      </c>
      <c r="T1912" s="4">
        <v>8.1010000000000009</v>
      </c>
      <c r="U1912" s="4">
        <v>11.931430000000001</v>
      </c>
      <c r="V1912" t="str">
        <f>IF(Table1[[#This Row],[ai_disruption_intensity]]&gt;70,"High",
IF(Table1[[#This Row],[ai_disruption_intensity]]&gt;40,"Medium","Low"))</f>
        <v>Low</v>
      </c>
      <c r="W1912" t="str">
        <f>IF(Table1[[#This Row],[skill_gap_index]]&gt;70,"Large Gap",
IF(Table1[[#This Row],[skill_gap_index]]&gt;40,"Medium Gap","Small Gap"))</f>
        <v>Small Gap</v>
      </c>
      <c r="X1912" s="3" t="str">
        <f>IF(Table1[[#This Row],[automation_risk_percent]]&gt;0.7,"Highly Automatable",
IF(Table1[[#This Row],[automation_risk_percent]]&gt;0.4,"Moderate Risk","Safe Job"))</f>
        <v>Safe Job</v>
      </c>
    </row>
    <row r="1913" spans="1:24" x14ac:dyDescent="0.3">
      <c r="A1913">
        <v>6815</v>
      </c>
      <c r="B1913" t="s">
        <v>29</v>
      </c>
      <c r="C1913" t="s">
        <v>40</v>
      </c>
      <c r="D1913" t="s">
        <v>42</v>
      </c>
      <c r="E1913" s="1">
        <v>2025</v>
      </c>
      <c r="F1913" s="11">
        <v>0.76989999999999992</v>
      </c>
      <c r="G1913">
        <v>66.06</v>
      </c>
      <c r="H1913">
        <v>52.06</v>
      </c>
      <c r="I1913" s="2">
        <v>31929.77</v>
      </c>
      <c r="J1913" s="2">
        <v>27353.43</v>
      </c>
      <c r="K1913" s="2">
        <f>Table1[[#This Row],[Salary_after]]-Table1[[#This Row],[Salary_before]]</f>
        <v>-4576.34</v>
      </c>
      <c r="L1913" s="11">
        <v>-0.14330000000000001</v>
      </c>
      <c r="M1913" s="11">
        <v>0.19039999999999999</v>
      </c>
      <c r="N1913">
        <v>66.77</v>
      </c>
      <c r="O1913">
        <v>8.99</v>
      </c>
      <c r="P1913">
        <v>3</v>
      </c>
      <c r="Q1913" t="s">
        <v>37</v>
      </c>
      <c r="R1913">
        <v>64.525000000000006</v>
      </c>
      <c r="S1913">
        <v>14.33</v>
      </c>
      <c r="T1913" s="4">
        <v>50.713000000000001</v>
      </c>
      <c r="U1913" s="4">
        <v>6.9214009999999897</v>
      </c>
      <c r="V1913" t="str">
        <f>IF(Table1[[#This Row],[ai_disruption_intensity]]&gt;70,"High",
IF(Table1[[#This Row],[ai_disruption_intensity]]&gt;40,"Medium","Low"))</f>
        <v>Low</v>
      </c>
      <c r="W1913" t="str">
        <f>IF(Table1[[#This Row],[skill_gap_index]]&gt;70,"Large Gap",
IF(Table1[[#This Row],[skill_gap_index]]&gt;40,"Medium Gap","Small Gap"))</f>
        <v>Medium Gap</v>
      </c>
      <c r="X1913" s="3" t="str">
        <f>IF(Table1[[#This Row],[automation_risk_percent]]&gt;0.7,"Highly Automatable",
IF(Table1[[#This Row],[automation_risk_percent]]&gt;0.4,"Moderate Risk","Safe Job"))</f>
        <v>Highly Automatable</v>
      </c>
    </row>
    <row r="1914" spans="1:24" x14ac:dyDescent="0.3">
      <c r="A1914">
        <v>6816</v>
      </c>
      <c r="B1914" t="s">
        <v>29</v>
      </c>
      <c r="C1914" t="s">
        <v>23</v>
      </c>
      <c r="D1914" t="s">
        <v>35</v>
      </c>
      <c r="E1914" s="1">
        <v>2025</v>
      </c>
      <c r="F1914" s="11">
        <v>0.43640000000000001</v>
      </c>
      <c r="G1914">
        <v>36.840000000000003</v>
      </c>
      <c r="H1914">
        <v>64.61</v>
      </c>
      <c r="I1914" s="2">
        <v>43026.42</v>
      </c>
      <c r="J1914" s="2">
        <v>38808.36</v>
      </c>
      <c r="K1914" s="2">
        <f>Table1[[#This Row],[Salary_after]]-Table1[[#This Row],[Salary_before]]</f>
        <v>-4218.0599999999977</v>
      </c>
      <c r="L1914" s="11">
        <v>-9.8000000000000004E-2</v>
      </c>
      <c r="M1914" s="11">
        <v>8.14E-2</v>
      </c>
      <c r="N1914">
        <v>94.9</v>
      </c>
      <c r="O1914">
        <v>41.64</v>
      </c>
      <c r="P1914">
        <v>1</v>
      </c>
      <c r="Q1914" t="s">
        <v>25</v>
      </c>
      <c r="R1914">
        <v>54.125</v>
      </c>
      <c r="S1914">
        <v>9.8000000000000007</v>
      </c>
      <c r="T1914" s="4">
        <v>39.778999999999897</v>
      </c>
      <c r="U1914" s="4">
        <v>18.171696000000001</v>
      </c>
      <c r="V1914" t="str">
        <f>IF(Table1[[#This Row],[ai_disruption_intensity]]&gt;70,"High",
IF(Table1[[#This Row],[ai_disruption_intensity]]&gt;40,"Medium","Low"))</f>
        <v>Low</v>
      </c>
      <c r="W1914" t="str">
        <f>IF(Table1[[#This Row],[skill_gap_index]]&gt;70,"Large Gap",
IF(Table1[[#This Row],[skill_gap_index]]&gt;40,"Medium Gap","Small Gap"))</f>
        <v>Medium Gap</v>
      </c>
      <c r="X1914" s="3" t="str">
        <f>IF(Table1[[#This Row],[automation_risk_percent]]&gt;0.7,"Highly Automatable",
IF(Table1[[#This Row],[automation_risk_percent]]&gt;0.4,"Moderate Risk","Safe Job"))</f>
        <v>Moderate Risk</v>
      </c>
    </row>
    <row r="1915" spans="1:24" x14ac:dyDescent="0.3">
      <c r="A1915">
        <v>6818</v>
      </c>
      <c r="B1915" t="s">
        <v>29</v>
      </c>
      <c r="C1915" t="s">
        <v>23</v>
      </c>
      <c r="D1915" t="s">
        <v>20</v>
      </c>
      <c r="E1915" s="1">
        <v>2026</v>
      </c>
      <c r="F1915" s="11">
        <v>0.86199999999999999</v>
      </c>
      <c r="G1915">
        <v>103.37</v>
      </c>
      <c r="H1915">
        <v>6.82</v>
      </c>
      <c r="I1915" s="2">
        <v>125556.15</v>
      </c>
      <c r="J1915" s="2">
        <v>123022.72</v>
      </c>
      <c r="K1915" s="2">
        <f>Table1[[#This Row],[Salary_after]]-Table1[[#This Row],[Salary_before]]</f>
        <v>-2533.429999999993</v>
      </c>
      <c r="L1915" s="11">
        <v>-2.0199999999999999E-2</v>
      </c>
      <c r="M1915" s="11">
        <v>3.0999999999999999E-3</v>
      </c>
      <c r="N1915">
        <v>68.16</v>
      </c>
      <c r="O1915">
        <v>44.73</v>
      </c>
      <c r="P1915">
        <v>1</v>
      </c>
      <c r="Q1915" t="s">
        <v>37</v>
      </c>
      <c r="R1915">
        <v>46.51</v>
      </c>
      <c r="S1915">
        <v>2.02</v>
      </c>
      <c r="T1915" s="4">
        <v>37.131999999999998</v>
      </c>
      <c r="U1915" s="4">
        <v>38.557259999999999</v>
      </c>
      <c r="V1915" t="str">
        <f>IF(Table1[[#This Row],[ai_disruption_intensity]]&gt;70,"High",
IF(Table1[[#This Row],[ai_disruption_intensity]]&gt;40,"Medium","Low"))</f>
        <v>Low</v>
      </c>
      <c r="W1915" t="str">
        <f>IF(Table1[[#This Row],[skill_gap_index]]&gt;70,"Large Gap",
IF(Table1[[#This Row],[skill_gap_index]]&gt;40,"Medium Gap","Small Gap"))</f>
        <v>Small Gap</v>
      </c>
      <c r="X1915" s="3" t="str">
        <f>IF(Table1[[#This Row],[automation_risk_percent]]&gt;0.7,"Highly Automatable",
IF(Table1[[#This Row],[automation_risk_percent]]&gt;0.4,"Moderate Risk","Safe Job"))</f>
        <v>Highly Automatable</v>
      </c>
    </row>
    <row r="1916" spans="1:24" x14ac:dyDescent="0.3">
      <c r="A1916">
        <v>6819</v>
      </c>
      <c r="B1916" t="s">
        <v>26</v>
      </c>
      <c r="C1916" t="s">
        <v>30</v>
      </c>
      <c r="D1916" t="s">
        <v>47</v>
      </c>
      <c r="E1916" s="1">
        <v>2026</v>
      </c>
      <c r="F1916" s="11">
        <v>0.3957</v>
      </c>
      <c r="G1916">
        <v>46.95</v>
      </c>
      <c r="H1916">
        <v>81.87</v>
      </c>
      <c r="I1916" s="2">
        <v>73640.350000000006</v>
      </c>
      <c r="J1916" s="2">
        <v>69622.23</v>
      </c>
      <c r="K1916" s="2">
        <f>Table1[[#This Row],[Salary_after]]-Table1[[#This Row],[Salary_before]]</f>
        <v>-4018.1200000000099</v>
      </c>
      <c r="L1916" s="11">
        <v>-5.4600000000000003E-2</v>
      </c>
      <c r="M1916" s="11">
        <v>6.2100000000000002E-2</v>
      </c>
      <c r="N1916">
        <v>50.76</v>
      </c>
      <c r="O1916">
        <v>60.84</v>
      </c>
      <c r="P1916">
        <v>2</v>
      </c>
      <c r="Q1916" t="s">
        <v>25</v>
      </c>
      <c r="R1916">
        <v>60.72</v>
      </c>
      <c r="S1916">
        <v>5.46</v>
      </c>
      <c r="T1916" s="4">
        <v>42.027000000000001</v>
      </c>
      <c r="U1916" s="4">
        <v>24.074387999999999</v>
      </c>
      <c r="V1916" t="str">
        <f>IF(Table1[[#This Row],[ai_disruption_intensity]]&gt;70,"High",
IF(Table1[[#This Row],[ai_disruption_intensity]]&gt;40,"Medium","Low"))</f>
        <v>Low</v>
      </c>
      <c r="W1916" t="str">
        <f>IF(Table1[[#This Row],[skill_gap_index]]&gt;70,"Large Gap",
IF(Table1[[#This Row],[skill_gap_index]]&gt;40,"Medium Gap","Small Gap"))</f>
        <v>Large Gap</v>
      </c>
      <c r="X1916" s="3" t="str">
        <f>IF(Table1[[#This Row],[automation_risk_percent]]&gt;0.7,"Highly Automatable",
IF(Table1[[#This Row],[automation_risk_percent]]&gt;0.4,"Moderate Risk","Safe Job"))</f>
        <v>Safe Job</v>
      </c>
    </row>
    <row r="1917" spans="1:24" x14ac:dyDescent="0.3">
      <c r="A1917">
        <v>6820</v>
      </c>
      <c r="B1917" t="s">
        <v>39</v>
      </c>
      <c r="C1917" t="s">
        <v>23</v>
      </c>
      <c r="D1917" t="s">
        <v>28</v>
      </c>
      <c r="E1917" s="1">
        <v>2025</v>
      </c>
      <c r="F1917" s="11">
        <v>0.60030000000000006</v>
      </c>
      <c r="G1917">
        <v>69.67</v>
      </c>
      <c r="H1917">
        <v>28.31</v>
      </c>
      <c r="I1917" s="2">
        <v>138260.45000000001</v>
      </c>
      <c r="J1917" s="2">
        <v>130071.9</v>
      </c>
      <c r="K1917" s="2">
        <f>Table1[[#This Row],[Salary_after]]-Table1[[#This Row],[Salary_before]]</f>
        <v>-8188.5500000000175</v>
      </c>
      <c r="L1917" s="11">
        <v>-5.9200000000000003E-2</v>
      </c>
      <c r="M1917" s="11">
        <v>7.2599999999999998E-2</v>
      </c>
      <c r="N1917">
        <v>44.23</v>
      </c>
      <c r="O1917">
        <v>47.66</v>
      </c>
      <c r="P1917">
        <v>4</v>
      </c>
      <c r="Q1917" t="s">
        <v>37</v>
      </c>
      <c r="R1917">
        <v>44.17</v>
      </c>
      <c r="S1917">
        <v>5.92</v>
      </c>
      <c r="T1917" s="4">
        <v>34.280999999999999</v>
      </c>
      <c r="U1917" s="4">
        <v>28.610297999999901</v>
      </c>
      <c r="V1917" t="str">
        <f>IF(Table1[[#This Row],[ai_disruption_intensity]]&gt;70,"High",
IF(Table1[[#This Row],[ai_disruption_intensity]]&gt;40,"Medium","Low"))</f>
        <v>Low</v>
      </c>
      <c r="W1917" t="str">
        <f>IF(Table1[[#This Row],[skill_gap_index]]&gt;70,"Large Gap",
IF(Table1[[#This Row],[skill_gap_index]]&gt;40,"Medium Gap","Small Gap"))</f>
        <v>Small Gap</v>
      </c>
      <c r="X1917" s="3" t="str">
        <f>IF(Table1[[#This Row],[automation_risk_percent]]&gt;0.7,"Highly Automatable",
IF(Table1[[#This Row],[automation_risk_percent]]&gt;0.4,"Moderate Risk","Safe Job"))</f>
        <v>Moderate Risk</v>
      </c>
    </row>
    <row r="1918" spans="1:24" x14ac:dyDescent="0.3">
      <c r="A1918">
        <v>6821</v>
      </c>
      <c r="B1918" t="s">
        <v>44</v>
      </c>
      <c r="C1918" t="s">
        <v>40</v>
      </c>
      <c r="D1918" t="s">
        <v>42</v>
      </c>
      <c r="E1918" s="1">
        <v>2025</v>
      </c>
      <c r="F1918" s="11">
        <v>0.34670000000000001</v>
      </c>
      <c r="G1918">
        <v>29.35</v>
      </c>
      <c r="H1918">
        <v>55.16</v>
      </c>
      <c r="I1918" s="2">
        <v>45810.41</v>
      </c>
      <c r="J1918" s="2">
        <v>42339.83</v>
      </c>
      <c r="K1918" s="2">
        <f>Table1[[#This Row],[Salary_after]]-Table1[[#This Row],[Salary_before]]</f>
        <v>-3470.5800000000017</v>
      </c>
      <c r="L1918" s="11">
        <v>-7.5800000000000006E-2</v>
      </c>
      <c r="M1918" s="11">
        <v>4.5700000000000005E-2</v>
      </c>
      <c r="N1918">
        <v>59.7</v>
      </c>
      <c r="O1918">
        <v>59.22</v>
      </c>
      <c r="P1918">
        <v>5</v>
      </c>
      <c r="Q1918" t="s">
        <v>25</v>
      </c>
      <c r="R1918">
        <v>44.914999999999999</v>
      </c>
      <c r="S1918">
        <v>7.58</v>
      </c>
      <c r="T1918" s="4">
        <v>32.69</v>
      </c>
      <c r="U1918" s="4">
        <v>20.531573999999999</v>
      </c>
      <c r="V1918" t="str">
        <f>IF(Table1[[#This Row],[ai_disruption_intensity]]&gt;70,"High",
IF(Table1[[#This Row],[ai_disruption_intensity]]&gt;40,"Medium","Low"))</f>
        <v>Low</v>
      </c>
      <c r="W1918" t="str">
        <f>IF(Table1[[#This Row],[skill_gap_index]]&gt;70,"Large Gap",
IF(Table1[[#This Row],[skill_gap_index]]&gt;40,"Medium Gap","Small Gap"))</f>
        <v>Medium Gap</v>
      </c>
      <c r="X1918" s="3" t="str">
        <f>IF(Table1[[#This Row],[automation_risk_percent]]&gt;0.7,"Highly Automatable",
IF(Table1[[#This Row],[automation_risk_percent]]&gt;0.4,"Moderate Risk","Safe Job"))</f>
        <v>Safe Job</v>
      </c>
    </row>
    <row r="1919" spans="1:24" x14ac:dyDescent="0.3">
      <c r="A1919">
        <v>6826</v>
      </c>
      <c r="B1919" t="s">
        <v>43</v>
      </c>
      <c r="C1919" t="s">
        <v>30</v>
      </c>
      <c r="D1919" t="s">
        <v>35</v>
      </c>
      <c r="E1919" s="1">
        <v>2026</v>
      </c>
      <c r="F1919" s="11">
        <v>0.29510000000000003</v>
      </c>
      <c r="G1919">
        <v>30.74</v>
      </c>
      <c r="H1919">
        <v>38.119999999999997</v>
      </c>
      <c r="I1919" s="2">
        <v>58010.97</v>
      </c>
      <c r="J1919" s="2">
        <v>58465.63</v>
      </c>
      <c r="K1919" s="2">
        <f>Table1[[#This Row],[Salary_after]]-Table1[[#This Row],[Salary_before]]</f>
        <v>454.65999999999622</v>
      </c>
      <c r="L1919" s="11">
        <v>7.8000000000000005E-3</v>
      </c>
      <c r="M1919" s="11">
        <v>0.13769999999999999</v>
      </c>
      <c r="N1919">
        <v>28.04</v>
      </c>
      <c r="O1919">
        <v>67.09</v>
      </c>
      <c r="P1919">
        <v>2</v>
      </c>
      <c r="Q1919" t="s">
        <v>21</v>
      </c>
      <c r="R1919">
        <v>33.814999999999998</v>
      </c>
      <c r="S1919">
        <v>0.78</v>
      </c>
      <c r="T1919" s="4">
        <v>23.474</v>
      </c>
      <c r="U1919" s="4">
        <v>19.798259000000002</v>
      </c>
      <c r="V1919" t="str">
        <f>IF(Table1[[#This Row],[ai_disruption_intensity]]&gt;70,"High",
IF(Table1[[#This Row],[ai_disruption_intensity]]&gt;40,"Medium","Low"))</f>
        <v>Low</v>
      </c>
      <c r="W1919" t="str">
        <f>IF(Table1[[#This Row],[skill_gap_index]]&gt;70,"Large Gap",
IF(Table1[[#This Row],[skill_gap_index]]&gt;40,"Medium Gap","Small Gap"))</f>
        <v>Small Gap</v>
      </c>
      <c r="X1919" s="3" t="str">
        <f>IF(Table1[[#This Row],[automation_risk_percent]]&gt;0.7,"Highly Automatable",
IF(Table1[[#This Row],[automation_risk_percent]]&gt;0.4,"Moderate Risk","Safe Job"))</f>
        <v>Safe Job</v>
      </c>
    </row>
    <row r="1920" spans="1:24" x14ac:dyDescent="0.3">
      <c r="A1920">
        <v>6827</v>
      </c>
      <c r="B1920" t="s">
        <v>44</v>
      </c>
      <c r="C1920" t="s">
        <v>34</v>
      </c>
      <c r="D1920" t="s">
        <v>47</v>
      </c>
      <c r="E1920" s="1">
        <v>2025</v>
      </c>
      <c r="F1920" s="11">
        <v>0.66220000000000001</v>
      </c>
      <c r="G1920">
        <v>73.06</v>
      </c>
      <c r="H1920">
        <v>59.95</v>
      </c>
      <c r="I1920" s="2">
        <v>92354.6</v>
      </c>
      <c r="J1920" s="2">
        <v>99062.49</v>
      </c>
      <c r="K1920" s="2">
        <f>Table1[[#This Row],[Salary_after]]-Table1[[#This Row],[Salary_before]]</f>
        <v>6707.8899999999994</v>
      </c>
      <c r="L1920" s="11">
        <v>7.2599999999999998E-2</v>
      </c>
      <c r="M1920" s="11">
        <v>0.14679999999999999</v>
      </c>
      <c r="N1920">
        <v>61.43</v>
      </c>
      <c r="O1920">
        <v>65.77</v>
      </c>
      <c r="P1920">
        <v>3</v>
      </c>
      <c r="Q1920" t="s">
        <v>37</v>
      </c>
      <c r="R1920">
        <v>63.085000000000001</v>
      </c>
      <c r="S1920">
        <v>7.26</v>
      </c>
      <c r="T1920" s="4">
        <v>46.650999999999897</v>
      </c>
      <c r="U1920" s="4">
        <v>43.552893999999903</v>
      </c>
      <c r="V1920" t="str">
        <f>IF(Table1[[#This Row],[ai_disruption_intensity]]&gt;70,"High",
IF(Table1[[#This Row],[ai_disruption_intensity]]&gt;40,"Medium","Low"))</f>
        <v>Medium</v>
      </c>
      <c r="W1920" t="str">
        <f>IF(Table1[[#This Row],[skill_gap_index]]&gt;70,"Large Gap",
IF(Table1[[#This Row],[skill_gap_index]]&gt;40,"Medium Gap","Small Gap"))</f>
        <v>Medium Gap</v>
      </c>
      <c r="X1920" s="3" t="str">
        <f>IF(Table1[[#This Row],[automation_risk_percent]]&gt;0.7,"Highly Automatable",
IF(Table1[[#This Row],[automation_risk_percent]]&gt;0.4,"Moderate Risk","Safe Job"))</f>
        <v>Moderate Risk</v>
      </c>
    </row>
    <row r="1921" spans="1:24" x14ac:dyDescent="0.3">
      <c r="A1921">
        <v>6830</v>
      </c>
      <c r="B1921" t="s">
        <v>41</v>
      </c>
      <c r="C1921" t="s">
        <v>30</v>
      </c>
      <c r="D1921" t="s">
        <v>31</v>
      </c>
      <c r="E1921" s="1">
        <v>2025</v>
      </c>
      <c r="F1921" s="11">
        <v>0.38950000000000001</v>
      </c>
      <c r="G1921">
        <v>45.79</v>
      </c>
      <c r="H1921">
        <v>22.71</v>
      </c>
      <c r="I1921" s="2">
        <v>74709.98</v>
      </c>
      <c r="J1921" s="2">
        <v>71085.69</v>
      </c>
      <c r="K1921" s="2">
        <f>Table1[[#This Row],[Salary_after]]-Table1[[#This Row],[Salary_before]]</f>
        <v>-3624.2899999999936</v>
      </c>
      <c r="L1921" s="11">
        <v>-4.8499999999999995E-2</v>
      </c>
      <c r="M1921" s="11">
        <v>0.10439999999999999</v>
      </c>
      <c r="N1921">
        <v>67.47</v>
      </c>
      <c r="O1921">
        <v>45.78</v>
      </c>
      <c r="P1921">
        <v>2</v>
      </c>
      <c r="Q1921" t="s">
        <v>25</v>
      </c>
      <c r="R1921">
        <v>30.83</v>
      </c>
      <c r="S1921">
        <v>4.8499999999999996</v>
      </c>
      <c r="T1921" s="4">
        <v>23.847999999999999</v>
      </c>
      <c r="U1921" s="4">
        <v>17.831309999999998</v>
      </c>
      <c r="V1921" t="str">
        <f>IF(Table1[[#This Row],[ai_disruption_intensity]]&gt;70,"High",
IF(Table1[[#This Row],[ai_disruption_intensity]]&gt;40,"Medium","Low"))</f>
        <v>Low</v>
      </c>
      <c r="W1921" t="str">
        <f>IF(Table1[[#This Row],[skill_gap_index]]&gt;70,"Large Gap",
IF(Table1[[#This Row],[skill_gap_index]]&gt;40,"Medium Gap","Small Gap"))</f>
        <v>Small Gap</v>
      </c>
      <c r="X1921" s="3" t="str">
        <f>IF(Table1[[#This Row],[automation_risk_percent]]&gt;0.7,"Highly Automatable",
IF(Table1[[#This Row],[automation_risk_percent]]&gt;0.4,"Moderate Risk","Safe Job"))</f>
        <v>Safe Job</v>
      </c>
    </row>
    <row r="1922" spans="1:24" x14ac:dyDescent="0.3">
      <c r="A1922">
        <v>6831</v>
      </c>
      <c r="B1922" t="s">
        <v>41</v>
      </c>
      <c r="C1922" t="s">
        <v>34</v>
      </c>
      <c r="D1922" t="s">
        <v>20</v>
      </c>
      <c r="E1922" s="1">
        <v>2025</v>
      </c>
      <c r="F1922" s="11">
        <v>0.68680000000000008</v>
      </c>
      <c r="G1922">
        <v>81.27</v>
      </c>
      <c r="H1922">
        <v>80.84</v>
      </c>
      <c r="I1922" s="2">
        <v>65498.720000000001</v>
      </c>
      <c r="J1922" s="2">
        <v>57560.65</v>
      </c>
      <c r="K1922" s="2">
        <f>Table1[[#This Row],[Salary_after]]-Table1[[#This Row],[Salary_before]]</f>
        <v>-7938.07</v>
      </c>
      <c r="L1922" s="11">
        <v>-0.12119999999999999</v>
      </c>
      <c r="M1922" s="11">
        <v>8.1600000000000006E-2</v>
      </c>
      <c r="N1922">
        <v>66.44</v>
      </c>
      <c r="O1922">
        <v>4.22</v>
      </c>
      <c r="P1922">
        <v>3</v>
      </c>
      <c r="Q1922" t="s">
        <v>37</v>
      </c>
      <c r="R1922">
        <v>74.760000000000005</v>
      </c>
      <c r="S1922">
        <v>12.12</v>
      </c>
      <c r="T1922" s="4">
        <v>55.36</v>
      </c>
      <c r="U1922" s="4">
        <v>2.8982960000000002</v>
      </c>
      <c r="V1922" t="str">
        <f>IF(Table1[[#This Row],[ai_disruption_intensity]]&gt;70,"High",
IF(Table1[[#This Row],[ai_disruption_intensity]]&gt;40,"Medium","Low"))</f>
        <v>Low</v>
      </c>
      <c r="W1922" t="str">
        <f>IF(Table1[[#This Row],[skill_gap_index]]&gt;70,"Large Gap",
IF(Table1[[#This Row],[skill_gap_index]]&gt;40,"Medium Gap","Small Gap"))</f>
        <v>Large Gap</v>
      </c>
      <c r="X1922" s="3" t="str">
        <f>IF(Table1[[#This Row],[automation_risk_percent]]&gt;0.7,"Highly Automatable",
IF(Table1[[#This Row],[automation_risk_percent]]&gt;0.4,"Moderate Risk","Safe Job"))</f>
        <v>Moderate Risk</v>
      </c>
    </row>
    <row r="1923" spans="1:24" x14ac:dyDescent="0.3">
      <c r="A1923">
        <v>6835</v>
      </c>
      <c r="B1923" t="s">
        <v>46</v>
      </c>
      <c r="C1923" t="s">
        <v>30</v>
      </c>
      <c r="D1923" t="s">
        <v>47</v>
      </c>
      <c r="E1923" s="1">
        <v>2025</v>
      </c>
      <c r="F1923" s="11">
        <v>0.14300000000000002</v>
      </c>
      <c r="G1923">
        <v>14.45</v>
      </c>
      <c r="H1923">
        <v>19.09</v>
      </c>
      <c r="I1923" s="2">
        <v>74079.009999999995</v>
      </c>
      <c r="J1923" s="2">
        <v>78249.72</v>
      </c>
      <c r="K1923" s="2">
        <f>Table1[[#This Row],[Salary_after]]-Table1[[#This Row],[Salary_before]]</f>
        <v>4170.7100000000064</v>
      </c>
      <c r="L1923" s="11">
        <v>5.6299999999999996E-2</v>
      </c>
      <c r="M1923" s="11">
        <v>0.15839999999999999</v>
      </c>
      <c r="N1923">
        <v>53.01</v>
      </c>
      <c r="O1923">
        <v>22.64</v>
      </c>
      <c r="P1923">
        <v>2</v>
      </c>
      <c r="Q1923" t="s">
        <v>21</v>
      </c>
      <c r="R1923">
        <v>16.695</v>
      </c>
      <c r="S1923">
        <v>5.63</v>
      </c>
      <c r="T1923" s="4">
        <v>13.135999999999999</v>
      </c>
      <c r="U1923" s="4">
        <v>3.23752</v>
      </c>
      <c r="V1923" t="str">
        <f>IF(Table1[[#This Row],[ai_disruption_intensity]]&gt;70,"High",
IF(Table1[[#This Row],[ai_disruption_intensity]]&gt;40,"Medium","Low"))</f>
        <v>Low</v>
      </c>
      <c r="W1923" t="str">
        <f>IF(Table1[[#This Row],[skill_gap_index]]&gt;70,"Large Gap",
IF(Table1[[#This Row],[skill_gap_index]]&gt;40,"Medium Gap","Small Gap"))</f>
        <v>Small Gap</v>
      </c>
      <c r="X1923" s="3" t="str">
        <f>IF(Table1[[#This Row],[automation_risk_percent]]&gt;0.7,"Highly Automatable",
IF(Table1[[#This Row],[automation_risk_percent]]&gt;0.4,"Moderate Risk","Safe Job"))</f>
        <v>Safe Job</v>
      </c>
    </row>
    <row r="1924" spans="1:24" x14ac:dyDescent="0.3">
      <c r="A1924">
        <v>6839</v>
      </c>
      <c r="B1924" t="s">
        <v>44</v>
      </c>
      <c r="C1924" t="s">
        <v>34</v>
      </c>
      <c r="D1924" t="s">
        <v>20</v>
      </c>
      <c r="E1924" s="1">
        <v>2025</v>
      </c>
      <c r="F1924" s="11">
        <v>0.69510000000000005</v>
      </c>
      <c r="G1924">
        <v>76.33</v>
      </c>
      <c r="H1924">
        <v>34.86</v>
      </c>
      <c r="I1924" s="2">
        <v>52237.5</v>
      </c>
      <c r="J1924" s="2">
        <v>55895.98</v>
      </c>
      <c r="K1924" s="2">
        <f>Table1[[#This Row],[Salary_after]]-Table1[[#This Row],[Salary_before]]</f>
        <v>3658.4800000000032</v>
      </c>
      <c r="L1924" s="11">
        <v>7.0000000000000007E-2</v>
      </c>
      <c r="M1924" s="11">
        <v>6.08E-2</v>
      </c>
      <c r="N1924">
        <v>85.55</v>
      </c>
      <c r="O1924">
        <v>76.38</v>
      </c>
      <c r="P1924">
        <v>4</v>
      </c>
      <c r="Q1924" t="s">
        <v>37</v>
      </c>
      <c r="R1924">
        <v>52.185000000000002</v>
      </c>
      <c r="S1924">
        <v>7</v>
      </c>
      <c r="T1924" s="4">
        <v>40.362000000000002</v>
      </c>
      <c r="U1924" s="4">
        <v>53.091737999999999</v>
      </c>
      <c r="V1924" t="str">
        <f>IF(Table1[[#This Row],[ai_disruption_intensity]]&gt;70,"High",
IF(Table1[[#This Row],[ai_disruption_intensity]]&gt;40,"Medium","Low"))</f>
        <v>Medium</v>
      </c>
      <c r="W1924" t="str">
        <f>IF(Table1[[#This Row],[skill_gap_index]]&gt;70,"Large Gap",
IF(Table1[[#This Row],[skill_gap_index]]&gt;40,"Medium Gap","Small Gap"))</f>
        <v>Small Gap</v>
      </c>
      <c r="X1924" s="3" t="str">
        <f>IF(Table1[[#This Row],[automation_risk_percent]]&gt;0.7,"Highly Automatable",
IF(Table1[[#This Row],[automation_risk_percent]]&gt;0.4,"Moderate Risk","Safe Job"))</f>
        <v>Moderate Risk</v>
      </c>
    </row>
    <row r="1925" spans="1:24" x14ac:dyDescent="0.3">
      <c r="A1925">
        <v>6840</v>
      </c>
      <c r="B1925" t="s">
        <v>22</v>
      </c>
      <c r="C1925" t="s">
        <v>38</v>
      </c>
      <c r="D1925" t="s">
        <v>31</v>
      </c>
      <c r="E1925" s="1">
        <v>2025</v>
      </c>
      <c r="F1925" s="11">
        <v>0.63490000000000002</v>
      </c>
      <c r="G1925">
        <v>64.2</v>
      </c>
      <c r="H1925">
        <v>16.95</v>
      </c>
      <c r="I1925" s="2">
        <v>64265.35</v>
      </c>
      <c r="J1925" s="2">
        <v>52922.71</v>
      </c>
      <c r="K1925" s="2">
        <f>Table1[[#This Row],[Salary_after]]-Table1[[#This Row],[Salary_before]]</f>
        <v>-11342.64</v>
      </c>
      <c r="L1925" s="11">
        <v>-0.17649999999999999</v>
      </c>
      <c r="M1925" s="11">
        <v>0.1249</v>
      </c>
      <c r="N1925">
        <v>80.34</v>
      </c>
      <c r="O1925">
        <v>37.32</v>
      </c>
      <c r="P1925">
        <v>1</v>
      </c>
      <c r="Q1925" t="s">
        <v>37</v>
      </c>
      <c r="R1925">
        <v>40.22</v>
      </c>
      <c r="S1925">
        <v>17.649999999999999</v>
      </c>
      <c r="T1925" s="4">
        <v>35.776000000000003</v>
      </c>
      <c r="U1925" s="4">
        <v>23.694468000000001</v>
      </c>
      <c r="V1925" t="str">
        <f>IF(Table1[[#This Row],[ai_disruption_intensity]]&gt;70,"High",
IF(Table1[[#This Row],[ai_disruption_intensity]]&gt;40,"Medium","Low"))</f>
        <v>Low</v>
      </c>
      <c r="W1925" t="str">
        <f>IF(Table1[[#This Row],[skill_gap_index]]&gt;70,"Large Gap",
IF(Table1[[#This Row],[skill_gap_index]]&gt;40,"Medium Gap","Small Gap"))</f>
        <v>Small Gap</v>
      </c>
      <c r="X1925" s="3" t="str">
        <f>IF(Table1[[#This Row],[automation_risk_percent]]&gt;0.7,"Highly Automatable",
IF(Table1[[#This Row],[automation_risk_percent]]&gt;0.4,"Moderate Risk","Safe Job"))</f>
        <v>Moderate Risk</v>
      </c>
    </row>
    <row r="1926" spans="1:24" x14ac:dyDescent="0.3">
      <c r="A1926">
        <v>6842</v>
      </c>
      <c r="B1926" t="s">
        <v>39</v>
      </c>
      <c r="C1926" t="s">
        <v>38</v>
      </c>
      <c r="D1926" t="s">
        <v>20</v>
      </c>
      <c r="E1926" s="1">
        <v>2026</v>
      </c>
      <c r="F1926" s="11">
        <v>0.20920000000000002</v>
      </c>
      <c r="G1926">
        <v>24.09</v>
      </c>
      <c r="H1926">
        <v>70.39</v>
      </c>
      <c r="I1926" s="2">
        <v>50107.53</v>
      </c>
      <c r="J1926" s="2">
        <v>54217.36</v>
      </c>
      <c r="K1926" s="2">
        <f>Table1[[#This Row],[Salary_after]]-Table1[[#This Row],[Salary_before]]</f>
        <v>4109.8300000000017</v>
      </c>
      <c r="L1926" s="11">
        <v>8.199999999999999E-2</v>
      </c>
      <c r="M1926" s="11">
        <v>8.5999999999999993E-2</v>
      </c>
      <c r="N1926">
        <v>81.91</v>
      </c>
      <c r="O1926">
        <v>76.06</v>
      </c>
      <c r="P1926">
        <v>2</v>
      </c>
      <c r="Q1926" t="s">
        <v>21</v>
      </c>
      <c r="R1926">
        <v>45.655000000000001</v>
      </c>
      <c r="S1926">
        <v>8.1999999999999993</v>
      </c>
      <c r="T1926" s="4">
        <v>31.945</v>
      </c>
      <c r="U1926" s="4">
        <v>15.911752</v>
      </c>
      <c r="V1926" t="str">
        <f>IF(Table1[[#This Row],[ai_disruption_intensity]]&gt;70,"High",
IF(Table1[[#This Row],[ai_disruption_intensity]]&gt;40,"Medium","Low"))</f>
        <v>Low</v>
      </c>
      <c r="W1926" t="str">
        <f>IF(Table1[[#This Row],[skill_gap_index]]&gt;70,"Large Gap",
IF(Table1[[#This Row],[skill_gap_index]]&gt;40,"Medium Gap","Small Gap"))</f>
        <v>Large Gap</v>
      </c>
      <c r="X1926" s="3" t="str">
        <f>IF(Table1[[#This Row],[automation_risk_percent]]&gt;0.7,"Highly Automatable",
IF(Table1[[#This Row],[automation_risk_percent]]&gt;0.4,"Moderate Risk","Safe Job"))</f>
        <v>Safe Job</v>
      </c>
    </row>
    <row r="1927" spans="1:24" x14ac:dyDescent="0.3">
      <c r="A1927">
        <v>6844</v>
      </c>
      <c r="B1927" t="s">
        <v>44</v>
      </c>
      <c r="C1927" t="s">
        <v>23</v>
      </c>
      <c r="D1927" t="s">
        <v>28</v>
      </c>
      <c r="E1927" s="1">
        <v>2026</v>
      </c>
      <c r="F1927" s="11">
        <v>0.13789999999999999</v>
      </c>
      <c r="G1927">
        <v>11.41</v>
      </c>
      <c r="H1927">
        <v>57.42</v>
      </c>
      <c r="I1927" s="2">
        <v>51151.43</v>
      </c>
      <c r="J1927" s="2">
        <v>52672.5</v>
      </c>
      <c r="K1927" s="2">
        <f>Table1[[#This Row],[Salary_after]]-Table1[[#This Row],[Salary_before]]</f>
        <v>1521.0699999999997</v>
      </c>
      <c r="L1927" s="11">
        <v>2.9700000000000001E-2</v>
      </c>
      <c r="M1927" s="11">
        <v>0.15839999999999999</v>
      </c>
      <c r="N1927">
        <v>87.84</v>
      </c>
      <c r="O1927">
        <v>42.75</v>
      </c>
      <c r="P1927">
        <v>5</v>
      </c>
      <c r="Q1927" t="s">
        <v>21</v>
      </c>
      <c r="R1927">
        <v>35.604999999999997</v>
      </c>
      <c r="S1927">
        <v>2.97</v>
      </c>
      <c r="T1927" s="4">
        <v>23.6329999999999</v>
      </c>
      <c r="U1927" s="4">
        <v>5.8952249999999902</v>
      </c>
      <c r="V1927" t="str">
        <f>IF(Table1[[#This Row],[ai_disruption_intensity]]&gt;70,"High",
IF(Table1[[#This Row],[ai_disruption_intensity]]&gt;40,"Medium","Low"))</f>
        <v>Low</v>
      </c>
      <c r="W1927" t="str">
        <f>IF(Table1[[#This Row],[skill_gap_index]]&gt;70,"Large Gap",
IF(Table1[[#This Row],[skill_gap_index]]&gt;40,"Medium Gap","Small Gap"))</f>
        <v>Medium Gap</v>
      </c>
      <c r="X1927" s="3" t="str">
        <f>IF(Table1[[#This Row],[automation_risk_percent]]&gt;0.7,"Highly Automatable",
IF(Table1[[#This Row],[automation_risk_percent]]&gt;0.4,"Moderate Risk","Safe Job"))</f>
        <v>Safe Job</v>
      </c>
    </row>
    <row r="1928" spans="1:24" x14ac:dyDescent="0.3">
      <c r="A1928">
        <v>6845</v>
      </c>
      <c r="B1928" t="s">
        <v>45</v>
      </c>
      <c r="C1928" t="s">
        <v>38</v>
      </c>
      <c r="D1928" t="s">
        <v>28</v>
      </c>
      <c r="E1928" s="1">
        <v>2025</v>
      </c>
      <c r="F1928" s="11">
        <v>0.51700000000000002</v>
      </c>
      <c r="G1928">
        <v>52.23</v>
      </c>
      <c r="H1928">
        <v>98.67</v>
      </c>
      <c r="I1928" s="2">
        <v>125618.39</v>
      </c>
      <c r="J1928" s="2">
        <v>146560.43</v>
      </c>
      <c r="K1928" s="2">
        <f>Table1[[#This Row],[Salary_after]]-Table1[[#This Row],[Salary_before]]</f>
        <v>20942.039999999994</v>
      </c>
      <c r="L1928" s="11">
        <v>0.16670000000000001</v>
      </c>
      <c r="M1928" s="11">
        <v>0.19920000000000002</v>
      </c>
      <c r="N1928">
        <v>32.39</v>
      </c>
      <c r="O1928">
        <v>73.48</v>
      </c>
      <c r="P1928">
        <v>1</v>
      </c>
      <c r="Q1928" t="s">
        <v>25</v>
      </c>
      <c r="R1928">
        <v>75.185000000000002</v>
      </c>
      <c r="S1928">
        <v>16.670000000000002</v>
      </c>
      <c r="T1928" s="4">
        <v>55.281999999999996</v>
      </c>
      <c r="U1928" s="4">
        <v>37.989159999999998</v>
      </c>
      <c r="V1928" t="str">
        <f>IF(Table1[[#This Row],[ai_disruption_intensity]]&gt;70,"High",
IF(Table1[[#This Row],[ai_disruption_intensity]]&gt;40,"Medium","Low"))</f>
        <v>Low</v>
      </c>
      <c r="W1928" t="str">
        <f>IF(Table1[[#This Row],[skill_gap_index]]&gt;70,"Large Gap",
IF(Table1[[#This Row],[skill_gap_index]]&gt;40,"Medium Gap","Small Gap"))</f>
        <v>Large Gap</v>
      </c>
      <c r="X1928" s="3" t="str">
        <f>IF(Table1[[#This Row],[automation_risk_percent]]&gt;0.7,"Highly Automatable",
IF(Table1[[#This Row],[automation_risk_percent]]&gt;0.4,"Moderate Risk","Safe Job"))</f>
        <v>Moderate Risk</v>
      </c>
    </row>
    <row r="1929" spans="1:24" x14ac:dyDescent="0.3">
      <c r="A1929">
        <v>6847</v>
      </c>
      <c r="B1929" t="s">
        <v>43</v>
      </c>
      <c r="C1929" t="s">
        <v>34</v>
      </c>
      <c r="D1929" t="s">
        <v>20</v>
      </c>
      <c r="E1929" s="1">
        <v>2025</v>
      </c>
      <c r="F1929" s="11">
        <v>0.7077</v>
      </c>
      <c r="G1929">
        <v>57.6</v>
      </c>
      <c r="H1929">
        <v>2.68</v>
      </c>
      <c r="I1929" s="2">
        <v>148781.79</v>
      </c>
      <c r="J1929" s="2">
        <v>136043.18</v>
      </c>
      <c r="K1929" s="2">
        <f>Table1[[#This Row],[Salary_after]]-Table1[[#This Row],[Salary_before]]</f>
        <v>-12738.610000000015</v>
      </c>
      <c r="L1929" s="11">
        <v>-8.5600000000000009E-2</v>
      </c>
      <c r="M1929" s="11">
        <v>9.1300000000000006E-2</v>
      </c>
      <c r="N1929">
        <v>37.6</v>
      </c>
      <c r="O1929">
        <v>98.5</v>
      </c>
      <c r="P1929">
        <v>5</v>
      </c>
      <c r="Q1929" t="s">
        <v>37</v>
      </c>
      <c r="R1929">
        <v>36.725000000000001</v>
      </c>
      <c r="S1929">
        <v>8.56</v>
      </c>
      <c r="T1929" s="4">
        <v>31.68</v>
      </c>
      <c r="U1929" s="4">
        <v>69.708449999999999</v>
      </c>
      <c r="V1929" t="str">
        <f>IF(Table1[[#This Row],[ai_disruption_intensity]]&gt;70,"High",
IF(Table1[[#This Row],[ai_disruption_intensity]]&gt;40,"Medium","Low"))</f>
        <v>Medium</v>
      </c>
      <c r="W1929" t="str">
        <f>IF(Table1[[#This Row],[skill_gap_index]]&gt;70,"Large Gap",
IF(Table1[[#This Row],[skill_gap_index]]&gt;40,"Medium Gap","Small Gap"))</f>
        <v>Small Gap</v>
      </c>
      <c r="X1929" s="3" t="str">
        <f>IF(Table1[[#This Row],[automation_risk_percent]]&gt;0.7,"Highly Automatable",
IF(Table1[[#This Row],[automation_risk_percent]]&gt;0.4,"Moderate Risk","Safe Job"))</f>
        <v>Highly Automatable</v>
      </c>
    </row>
    <row r="1930" spans="1:24" x14ac:dyDescent="0.3">
      <c r="A1930">
        <v>6849</v>
      </c>
      <c r="B1930" t="s">
        <v>18</v>
      </c>
      <c r="C1930" t="s">
        <v>19</v>
      </c>
      <c r="D1930" t="s">
        <v>35</v>
      </c>
      <c r="E1930" s="1">
        <v>2026</v>
      </c>
      <c r="F1930" s="11">
        <v>0.38750000000000001</v>
      </c>
      <c r="G1930">
        <v>36.33</v>
      </c>
      <c r="H1930">
        <v>2.69</v>
      </c>
      <c r="I1930" s="2">
        <v>72644.13</v>
      </c>
      <c r="J1930" s="2">
        <v>71551.83</v>
      </c>
      <c r="K1930" s="2">
        <f>Table1[[#This Row],[Salary_after]]-Table1[[#This Row],[Salary_before]]</f>
        <v>-1092.3000000000029</v>
      </c>
      <c r="L1930" s="11">
        <v>-1.4999999999999999E-2</v>
      </c>
      <c r="M1930" s="11">
        <v>7.8799999999999995E-2</v>
      </c>
      <c r="N1930">
        <v>62.7</v>
      </c>
      <c r="O1930">
        <v>29.81</v>
      </c>
      <c r="P1930">
        <v>3</v>
      </c>
      <c r="Q1930" t="s">
        <v>25</v>
      </c>
      <c r="R1930">
        <v>20.72</v>
      </c>
      <c r="S1930">
        <v>1.5</v>
      </c>
      <c r="T1930" s="4">
        <v>16.756999999999898</v>
      </c>
      <c r="U1930" s="4">
        <v>11.551375</v>
      </c>
      <c r="V1930" t="str">
        <f>IF(Table1[[#This Row],[ai_disruption_intensity]]&gt;70,"High",
IF(Table1[[#This Row],[ai_disruption_intensity]]&gt;40,"Medium","Low"))</f>
        <v>Low</v>
      </c>
      <c r="W1930" t="str">
        <f>IF(Table1[[#This Row],[skill_gap_index]]&gt;70,"Large Gap",
IF(Table1[[#This Row],[skill_gap_index]]&gt;40,"Medium Gap","Small Gap"))</f>
        <v>Small Gap</v>
      </c>
      <c r="X1930" s="3" t="str">
        <f>IF(Table1[[#This Row],[automation_risk_percent]]&gt;0.7,"Highly Automatable",
IF(Table1[[#This Row],[automation_risk_percent]]&gt;0.4,"Moderate Risk","Safe Job"))</f>
        <v>Safe Job</v>
      </c>
    </row>
    <row r="1931" spans="1:24" x14ac:dyDescent="0.3">
      <c r="A1931">
        <v>6850</v>
      </c>
      <c r="B1931" t="s">
        <v>39</v>
      </c>
      <c r="C1931" t="s">
        <v>40</v>
      </c>
      <c r="D1931" t="s">
        <v>35</v>
      </c>
      <c r="E1931" s="1">
        <v>2026</v>
      </c>
      <c r="F1931" s="11">
        <v>0.17469999999999999</v>
      </c>
      <c r="G1931">
        <v>16</v>
      </c>
      <c r="H1931">
        <v>47.08</v>
      </c>
      <c r="I1931" s="2">
        <v>65545.009999999995</v>
      </c>
      <c r="J1931" s="2">
        <v>68901.11</v>
      </c>
      <c r="K1931" s="2">
        <f>Table1[[#This Row],[Salary_after]]-Table1[[#This Row],[Salary_before]]</f>
        <v>3356.1000000000058</v>
      </c>
      <c r="L1931" s="11">
        <v>5.1200000000000002E-2</v>
      </c>
      <c r="M1931" s="11">
        <v>6.4199999999999993E-2</v>
      </c>
      <c r="N1931">
        <v>16.23</v>
      </c>
      <c r="O1931">
        <v>71.7</v>
      </c>
      <c r="P1931">
        <v>3</v>
      </c>
      <c r="Q1931" t="s">
        <v>21</v>
      </c>
      <c r="R1931">
        <v>32.274999999999999</v>
      </c>
      <c r="S1931">
        <v>5.12</v>
      </c>
      <c r="T1931" s="4">
        <v>22.648</v>
      </c>
      <c r="U1931" s="4">
        <v>12.52599</v>
      </c>
      <c r="V1931" t="str">
        <f>IF(Table1[[#This Row],[ai_disruption_intensity]]&gt;70,"High",
IF(Table1[[#This Row],[ai_disruption_intensity]]&gt;40,"Medium","Low"))</f>
        <v>Low</v>
      </c>
      <c r="W1931" t="str">
        <f>IF(Table1[[#This Row],[skill_gap_index]]&gt;70,"Large Gap",
IF(Table1[[#This Row],[skill_gap_index]]&gt;40,"Medium Gap","Small Gap"))</f>
        <v>Medium Gap</v>
      </c>
      <c r="X1931" s="3" t="str">
        <f>IF(Table1[[#This Row],[automation_risk_percent]]&gt;0.7,"Highly Automatable",
IF(Table1[[#This Row],[automation_risk_percent]]&gt;0.4,"Moderate Risk","Safe Job"))</f>
        <v>Safe Job</v>
      </c>
    </row>
    <row r="1932" spans="1:24" x14ac:dyDescent="0.3">
      <c r="A1932">
        <v>6860</v>
      </c>
      <c r="B1932" t="s">
        <v>22</v>
      </c>
      <c r="C1932" t="s">
        <v>34</v>
      </c>
      <c r="D1932" t="s">
        <v>35</v>
      </c>
      <c r="E1932" s="1">
        <v>2025</v>
      </c>
      <c r="F1932" s="11">
        <v>0.49780000000000002</v>
      </c>
      <c r="G1932">
        <v>45.09</v>
      </c>
      <c r="H1932">
        <v>36.97</v>
      </c>
      <c r="I1932" s="2">
        <v>83796.56</v>
      </c>
      <c r="J1932" s="2">
        <v>97683.41</v>
      </c>
      <c r="K1932" s="2">
        <f>Table1[[#This Row],[Salary_after]]-Table1[[#This Row],[Salary_before]]</f>
        <v>13886.850000000006</v>
      </c>
      <c r="L1932" s="11">
        <v>0.16570000000000001</v>
      </c>
      <c r="M1932" s="11">
        <v>5.7500000000000002E-2</v>
      </c>
      <c r="N1932">
        <v>25.47</v>
      </c>
      <c r="O1932">
        <v>55.66</v>
      </c>
      <c r="P1932">
        <v>1</v>
      </c>
      <c r="Q1932" t="s">
        <v>25</v>
      </c>
      <c r="R1932">
        <v>43.375</v>
      </c>
      <c r="S1932">
        <v>16.57</v>
      </c>
      <c r="T1932" s="4">
        <v>35.973999999999997</v>
      </c>
      <c r="U1932" s="4">
        <v>27.7075479999999</v>
      </c>
      <c r="V1932" t="str">
        <f>IF(Table1[[#This Row],[ai_disruption_intensity]]&gt;70,"High",
IF(Table1[[#This Row],[ai_disruption_intensity]]&gt;40,"Medium","Low"))</f>
        <v>Low</v>
      </c>
      <c r="W1932" t="str">
        <f>IF(Table1[[#This Row],[skill_gap_index]]&gt;70,"Large Gap",
IF(Table1[[#This Row],[skill_gap_index]]&gt;40,"Medium Gap","Small Gap"))</f>
        <v>Small Gap</v>
      </c>
      <c r="X1932" s="3" t="str">
        <f>IF(Table1[[#This Row],[automation_risk_percent]]&gt;0.7,"Highly Automatable",
IF(Table1[[#This Row],[automation_risk_percent]]&gt;0.4,"Moderate Risk","Safe Job"))</f>
        <v>Moderate Risk</v>
      </c>
    </row>
    <row r="1933" spans="1:24" x14ac:dyDescent="0.3">
      <c r="A1933">
        <v>6865</v>
      </c>
      <c r="B1933" t="s">
        <v>44</v>
      </c>
      <c r="C1933" t="s">
        <v>34</v>
      </c>
      <c r="D1933" t="s">
        <v>24</v>
      </c>
      <c r="E1933" s="1">
        <v>2025</v>
      </c>
      <c r="F1933" s="11">
        <v>0.55289999999999995</v>
      </c>
      <c r="G1933">
        <v>48.41</v>
      </c>
      <c r="H1933">
        <v>69.209999999999994</v>
      </c>
      <c r="I1933" s="2">
        <v>37636.160000000003</v>
      </c>
      <c r="J1933" s="2">
        <v>39713.730000000003</v>
      </c>
      <c r="K1933" s="2">
        <f>Table1[[#This Row],[Salary_after]]-Table1[[#This Row],[Salary_before]]</f>
        <v>2077.5699999999997</v>
      </c>
      <c r="L1933" s="11">
        <v>5.5199999999999999E-2</v>
      </c>
      <c r="M1933" s="11">
        <v>-6.5599999999999992E-2</v>
      </c>
      <c r="N1933">
        <v>91.7</v>
      </c>
      <c r="O1933">
        <v>77.17</v>
      </c>
      <c r="P1933">
        <v>5</v>
      </c>
      <c r="Q1933" t="s">
        <v>25</v>
      </c>
      <c r="R1933">
        <v>62.25</v>
      </c>
      <c r="S1933">
        <v>5.52</v>
      </c>
      <c r="T1933" s="4">
        <v>44.534999999999997</v>
      </c>
      <c r="U1933" s="4">
        <v>42.667293000000001</v>
      </c>
      <c r="V1933" t="str">
        <f>IF(Table1[[#This Row],[ai_disruption_intensity]]&gt;70,"High",
IF(Table1[[#This Row],[ai_disruption_intensity]]&gt;40,"Medium","Low"))</f>
        <v>Medium</v>
      </c>
      <c r="W1933" t="str">
        <f>IF(Table1[[#This Row],[skill_gap_index]]&gt;70,"Large Gap",
IF(Table1[[#This Row],[skill_gap_index]]&gt;40,"Medium Gap","Small Gap"))</f>
        <v>Medium Gap</v>
      </c>
      <c r="X1933" s="3" t="str">
        <f>IF(Table1[[#This Row],[automation_risk_percent]]&gt;0.7,"Highly Automatable",
IF(Table1[[#This Row],[automation_risk_percent]]&gt;0.4,"Moderate Risk","Safe Job"))</f>
        <v>Moderate Risk</v>
      </c>
    </row>
    <row r="1934" spans="1:24" x14ac:dyDescent="0.3">
      <c r="A1934">
        <v>6870</v>
      </c>
      <c r="B1934" t="s">
        <v>29</v>
      </c>
      <c r="C1934" t="s">
        <v>23</v>
      </c>
      <c r="D1934" t="s">
        <v>47</v>
      </c>
      <c r="E1934" s="1">
        <v>2026</v>
      </c>
      <c r="F1934" s="11">
        <v>0.29570000000000002</v>
      </c>
      <c r="G1934">
        <v>24.09</v>
      </c>
      <c r="H1934">
        <v>28.75</v>
      </c>
      <c r="I1934" s="2">
        <v>122843.9</v>
      </c>
      <c r="J1934" s="2">
        <v>93405.28</v>
      </c>
      <c r="K1934" s="2">
        <f>Table1[[#This Row],[Salary_after]]-Table1[[#This Row],[Salary_before]]</f>
        <v>-29438.619999999995</v>
      </c>
      <c r="L1934" s="11">
        <v>-0.23960000000000001</v>
      </c>
      <c r="M1934" s="11">
        <v>0.1396</v>
      </c>
      <c r="N1934">
        <v>90.7</v>
      </c>
      <c r="O1934">
        <v>49.74</v>
      </c>
      <c r="P1934">
        <v>1</v>
      </c>
      <c r="Q1934" t="s">
        <v>21</v>
      </c>
      <c r="R1934">
        <v>29.16</v>
      </c>
      <c r="S1934">
        <v>23.96</v>
      </c>
      <c r="T1934" s="4">
        <v>27.640999999999998</v>
      </c>
      <c r="U1934" s="4">
        <v>14.708118000000001</v>
      </c>
      <c r="V1934" t="str">
        <f>IF(Table1[[#This Row],[ai_disruption_intensity]]&gt;70,"High",
IF(Table1[[#This Row],[ai_disruption_intensity]]&gt;40,"Medium","Low"))</f>
        <v>Low</v>
      </c>
      <c r="W1934" t="str">
        <f>IF(Table1[[#This Row],[skill_gap_index]]&gt;70,"Large Gap",
IF(Table1[[#This Row],[skill_gap_index]]&gt;40,"Medium Gap","Small Gap"))</f>
        <v>Small Gap</v>
      </c>
      <c r="X1934" s="3" t="str">
        <f>IF(Table1[[#This Row],[automation_risk_percent]]&gt;0.7,"Highly Automatable",
IF(Table1[[#This Row],[automation_risk_percent]]&gt;0.4,"Moderate Risk","Safe Job"))</f>
        <v>Safe Job</v>
      </c>
    </row>
    <row r="1935" spans="1:24" x14ac:dyDescent="0.3">
      <c r="A1935">
        <v>6878</v>
      </c>
      <c r="B1935" t="s">
        <v>43</v>
      </c>
      <c r="C1935" t="s">
        <v>19</v>
      </c>
      <c r="D1935" t="s">
        <v>35</v>
      </c>
      <c r="E1935" s="1">
        <v>2026</v>
      </c>
      <c r="F1935" s="11">
        <v>0.56590000000000007</v>
      </c>
      <c r="G1935">
        <v>58.91</v>
      </c>
      <c r="H1935">
        <v>30.93</v>
      </c>
      <c r="I1935" s="2">
        <v>102760.78</v>
      </c>
      <c r="J1935" s="2">
        <v>99844.65</v>
      </c>
      <c r="K1935" s="2">
        <f>Table1[[#This Row],[Salary_after]]-Table1[[#This Row],[Salary_before]]</f>
        <v>-2916.1300000000047</v>
      </c>
      <c r="L1935" s="11">
        <v>-2.8399999999999998E-2</v>
      </c>
      <c r="M1935" s="11">
        <v>0.13769999999999999</v>
      </c>
      <c r="N1935">
        <v>31.78</v>
      </c>
      <c r="O1935">
        <v>48.1</v>
      </c>
      <c r="P1935">
        <v>3</v>
      </c>
      <c r="Q1935" t="s">
        <v>25</v>
      </c>
      <c r="R1935">
        <v>43.76</v>
      </c>
      <c r="S1935">
        <v>2.84</v>
      </c>
      <c r="T1935" s="4">
        <v>32.767000000000003</v>
      </c>
      <c r="U1935" s="4">
        <v>27.21979</v>
      </c>
      <c r="V1935" t="str">
        <f>IF(Table1[[#This Row],[ai_disruption_intensity]]&gt;70,"High",
IF(Table1[[#This Row],[ai_disruption_intensity]]&gt;40,"Medium","Low"))</f>
        <v>Low</v>
      </c>
      <c r="W1935" t="str">
        <f>IF(Table1[[#This Row],[skill_gap_index]]&gt;70,"Large Gap",
IF(Table1[[#This Row],[skill_gap_index]]&gt;40,"Medium Gap","Small Gap"))</f>
        <v>Small Gap</v>
      </c>
      <c r="X1935" s="3" t="str">
        <f>IF(Table1[[#This Row],[automation_risk_percent]]&gt;0.7,"Highly Automatable",
IF(Table1[[#This Row],[automation_risk_percent]]&gt;0.4,"Moderate Risk","Safe Job"))</f>
        <v>Moderate Risk</v>
      </c>
    </row>
    <row r="1936" spans="1:24" x14ac:dyDescent="0.3">
      <c r="A1936">
        <v>6879</v>
      </c>
      <c r="B1936" t="s">
        <v>18</v>
      </c>
      <c r="C1936" t="s">
        <v>19</v>
      </c>
      <c r="D1936" t="s">
        <v>42</v>
      </c>
      <c r="E1936" s="1">
        <v>2026</v>
      </c>
      <c r="F1936" s="11">
        <v>0.36329999999999996</v>
      </c>
      <c r="G1936">
        <v>35.9</v>
      </c>
      <c r="H1936">
        <v>9.57</v>
      </c>
      <c r="I1936" s="2">
        <v>70345.2</v>
      </c>
      <c r="J1936" s="2">
        <v>67808.23</v>
      </c>
      <c r="K1936" s="2">
        <f>Table1[[#This Row],[Salary_after]]-Table1[[#This Row],[Salary_before]]</f>
        <v>-2536.9700000000012</v>
      </c>
      <c r="L1936" s="11">
        <v>-3.61E-2</v>
      </c>
      <c r="M1936" s="11">
        <v>0.1681</v>
      </c>
      <c r="N1936">
        <v>97.11</v>
      </c>
      <c r="O1936">
        <v>70.88</v>
      </c>
      <c r="P1936">
        <v>4</v>
      </c>
      <c r="Q1936" t="s">
        <v>25</v>
      </c>
      <c r="R1936">
        <v>22.95</v>
      </c>
      <c r="S1936">
        <v>3.61</v>
      </c>
      <c r="T1936" s="4">
        <v>18.485999999999901</v>
      </c>
      <c r="U1936" s="4">
        <v>25.750703999999899</v>
      </c>
      <c r="V1936" t="str">
        <f>IF(Table1[[#This Row],[ai_disruption_intensity]]&gt;70,"High",
IF(Table1[[#This Row],[ai_disruption_intensity]]&gt;40,"Medium","Low"))</f>
        <v>Low</v>
      </c>
      <c r="W1936" t="str">
        <f>IF(Table1[[#This Row],[skill_gap_index]]&gt;70,"Large Gap",
IF(Table1[[#This Row],[skill_gap_index]]&gt;40,"Medium Gap","Small Gap"))</f>
        <v>Small Gap</v>
      </c>
      <c r="X1936" s="3" t="str">
        <f>IF(Table1[[#This Row],[automation_risk_percent]]&gt;0.7,"Highly Automatable",
IF(Table1[[#This Row],[automation_risk_percent]]&gt;0.4,"Moderate Risk","Safe Job"))</f>
        <v>Safe Job</v>
      </c>
    </row>
    <row r="1937" spans="1:24" x14ac:dyDescent="0.3">
      <c r="A1937">
        <v>6883</v>
      </c>
      <c r="B1937" t="s">
        <v>26</v>
      </c>
      <c r="C1937" t="s">
        <v>27</v>
      </c>
      <c r="D1937" t="s">
        <v>32</v>
      </c>
      <c r="E1937" s="1">
        <v>2026</v>
      </c>
      <c r="F1937" s="11">
        <v>0.69579999999999997</v>
      </c>
      <c r="G1937">
        <v>63.1</v>
      </c>
      <c r="H1937">
        <v>1.85</v>
      </c>
      <c r="I1937" s="2">
        <v>145467</v>
      </c>
      <c r="J1937" s="2">
        <v>151745.04</v>
      </c>
      <c r="K1937" s="2">
        <f>Table1[[#This Row],[Salary_after]]-Table1[[#This Row],[Salary_before]]</f>
        <v>6278.0400000000081</v>
      </c>
      <c r="L1937" s="11">
        <v>4.3200000000000002E-2</v>
      </c>
      <c r="M1937" s="11">
        <v>-9.1700000000000004E-2</v>
      </c>
      <c r="N1937">
        <v>97.36</v>
      </c>
      <c r="O1937">
        <v>4.95</v>
      </c>
      <c r="P1937">
        <v>2</v>
      </c>
      <c r="Q1937" t="s">
        <v>37</v>
      </c>
      <c r="R1937">
        <v>35.714999999999897</v>
      </c>
      <c r="S1937">
        <v>4.32</v>
      </c>
      <c r="T1937" s="4">
        <v>29.683</v>
      </c>
      <c r="U1937" s="4">
        <v>3.44421</v>
      </c>
      <c r="V1937" t="str">
        <f>IF(Table1[[#This Row],[ai_disruption_intensity]]&gt;70,"High",
IF(Table1[[#This Row],[ai_disruption_intensity]]&gt;40,"Medium","Low"))</f>
        <v>Low</v>
      </c>
      <c r="W1937" t="str">
        <f>IF(Table1[[#This Row],[skill_gap_index]]&gt;70,"Large Gap",
IF(Table1[[#This Row],[skill_gap_index]]&gt;40,"Medium Gap","Small Gap"))</f>
        <v>Small Gap</v>
      </c>
      <c r="X1937" s="3" t="str">
        <f>IF(Table1[[#This Row],[automation_risk_percent]]&gt;0.7,"Highly Automatable",
IF(Table1[[#This Row],[automation_risk_percent]]&gt;0.4,"Moderate Risk","Safe Job"))</f>
        <v>Moderate Risk</v>
      </c>
    </row>
    <row r="1938" spans="1:24" x14ac:dyDescent="0.3">
      <c r="A1938">
        <v>6889</v>
      </c>
      <c r="B1938" t="s">
        <v>41</v>
      </c>
      <c r="C1938" t="s">
        <v>40</v>
      </c>
      <c r="D1938" t="s">
        <v>42</v>
      </c>
      <c r="E1938" s="1">
        <v>2026</v>
      </c>
      <c r="F1938" s="11">
        <v>0.78379999999999994</v>
      </c>
      <c r="G1938">
        <v>88.2</v>
      </c>
      <c r="H1938">
        <v>34.33</v>
      </c>
      <c r="I1938" s="2">
        <v>69128.06</v>
      </c>
      <c r="J1938" s="2">
        <v>75232</v>
      </c>
      <c r="K1938" s="2">
        <f>Table1[[#This Row],[Salary_after]]-Table1[[#This Row],[Salary_before]]</f>
        <v>6103.9400000000023</v>
      </c>
      <c r="L1938" s="11">
        <v>8.8300000000000003E-2</v>
      </c>
      <c r="M1938" s="11">
        <v>0.16190000000000002</v>
      </c>
      <c r="N1938">
        <v>56.19</v>
      </c>
      <c r="O1938">
        <v>42.03</v>
      </c>
      <c r="P1938">
        <v>5</v>
      </c>
      <c r="Q1938" t="s">
        <v>37</v>
      </c>
      <c r="R1938">
        <v>56.354999999999997</v>
      </c>
      <c r="S1938">
        <v>8.83</v>
      </c>
      <c r="T1938" s="4">
        <v>44.3</v>
      </c>
      <c r="U1938" s="4">
        <v>32.943114000000001</v>
      </c>
      <c r="V1938" t="str">
        <f>IF(Table1[[#This Row],[ai_disruption_intensity]]&gt;70,"High",
IF(Table1[[#This Row],[ai_disruption_intensity]]&gt;40,"Medium","Low"))</f>
        <v>Low</v>
      </c>
      <c r="W1938" t="str">
        <f>IF(Table1[[#This Row],[skill_gap_index]]&gt;70,"Large Gap",
IF(Table1[[#This Row],[skill_gap_index]]&gt;40,"Medium Gap","Small Gap"))</f>
        <v>Small Gap</v>
      </c>
      <c r="X1938" s="3" t="str">
        <f>IF(Table1[[#This Row],[automation_risk_percent]]&gt;0.7,"Highly Automatable",
IF(Table1[[#This Row],[automation_risk_percent]]&gt;0.4,"Moderate Risk","Safe Job"))</f>
        <v>Highly Automatable</v>
      </c>
    </row>
    <row r="1939" spans="1:24" x14ac:dyDescent="0.3">
      <c r="A1939">
        <v>6896</v>
      </c>
      <c r="B1939" t="s">
        <v>41</v>
      </c>
      <c r="C1939" t="s">
        <v>23</v>
      </c>
      <c r="D1939" t="s">
        <v>47</v>
      </c>
      <c r="E1939" s="1">
        <v>2025</v>
      </c>
      <c r="F1939" s="11">
        <v>0.28910000000000002</v>
      </c>
      <c r="G1939">
        <v>27.46</v>
      </c>
      <c r="H1939">
        <v>64.22</v>
      </c>
      <c r="I1939" s="2">
        <v>137790.41</v>
      </c>
      <c r="J1939" s="2">
        <v>125929.87</v>
      </c>
      <c r="K1939" s="2">
        <f>Table1[[#This Row],[Salary_after]]-Table1[[#This Row],[Salary_before]]</f>
        <v>-11860.540000000008</v>
      </c>
      <c r="L1939" s="11">
        <v>-8.6099999999999996E-2</v>
      </c>
      <c r="M1939" s="11">
        <v>0.1802</v>
      </c>
      <c r="N1939">
        <v>91.9</v>
      </c>
      <c r="O1939">
        <v>66.459999999999994</v>
      </c>
      <c r="P1939">
        <v>1</v>
      </c>
      <c r="Q1939" t="s">
        <v>21</v>
      </c>
      <c r="R1939">
        <v>46.564999999999998</v>
      </c>
      <c r="S1939">
        <v>8.61</v>
      </c>
      <c r="T1939" s="4">
        <v>33.412999999999997</v>
      </c>
      <c r="U1939" s="4">
        <v>19.213585999999999</v>
      </c>
      <c r="V1939" t="str">
        <f>IF(Table1[[#This Row],[ai_disruption_intensity]]&gt;70,"High",
IF(Table1[[#This Row],[ai_disruption_intensity]]&gt;40,"Medium","Low"))</f>
        <v>Low</v>
      </c>
      <c r="W1939" t="str">
        <f>IF(Table1[[#This Row],[skill_gap_index]]&gt;70,"Large Gap",
IF(Table1[[#This Row],[skill_gap_index]]&gt;40,"Medium Gap","Small Gap"))</f>
        <v>Medium Gap</v>
      </c>
      <c r="X1939" s="3" t="str">
        <f>IF(Table1[[#This Row],[automation_risk_percent]]&gt;0.7,"Highly Automatable",
IF(Table1[[#This Row],[automation_risk_percent]]&gt;0.4,"Moderate Risk","Safe Job"))</f>
        <v>Safe Job</v>
      </c>
    </row>
    <row r="1940" spans="1:24" x14ac:dyDescent="0.3">
      <c r="A1940">
        <v>6897</v>
      </c>
      <c r="B1940" t="s">
        <v>43</v>
      </c>
      <c r="C1940" t="s">
        <v>30</v>
      </c>
      <c r="D1940" t="s">
        <v>42</v>
      </c>
      <c r="E1940" s="1">
        <v>2026</v>
      </c>
      <c r="F1940" s="11">
        <v>0.68120000000000003</v>
      </c>
      <c r="G1940">
        <v>65</v>
      </c>
      <c r="H1940">
        <v>0.22</v>
      </c>
      <c r="I1940" s="2">
        <v>49940.23</v>
      </c>
      <c r="J1940" s="2">
        <v>42022.92</v>
      </c>
      <c r="K1940" s="2">
        <f>Table1[[#This Row],[Salary_after]]-Table1[[#This Row],[Salary_before]]</f>
        <v>-7917.3100000000049</v>
      </c>
      <c r="L1940" s="11">
        <v>-0.1585</v>
      </c>
      <c r="M1940" s="11">
        <v>0.2175</v>
      </c>
      <c r="N1940">
        <v>48.66</v>
      </c>
      <c r="O1940">
        <v>40.08</v>
      </c>
      <c r="P1940">
        <v>5</v>
      </c>
      <c r="Q1940" t="s">
        <v>37</v>
      </c>
      <c r="R1940">
        <v>34.17</v>
      </c>
      <c r="S1940">
        <v>15.85</v>
      </c>
      <c r="T1940" s="4">
        <v>32.069000000000003</v>
      </c>
      <c r="U1940" s="4">
        <v>27.302496000000001</v>
      </c>
      <c r="V1940" t="str">
        <f>IF(Table1[[#This Row],[ai_disruption_intensity]]&gt;70,"High",
IF(Table1[[#This Row],[ai_disruption_intensity]]&gt;40,"Medium","Low"))</f>
        <v>Low</v>
      </c>
      <c r="W1940" t="str">
        <f>IF(Table1[[#This Row],[skill_gap_index]]&gt;70,"Large Gap",
IF(Table1[[#This Row],[skill_gap_index]]&gt;40,"Medium Gap","Small Gap"))</f>
        <v>Small Gap</v>
      </c>
      <c r="X1940" s="3" t="str">
        <f>IF(Table1[[#This Row],[automation_risk_percent]]&gt;0.7,"Highly Automatable",
IF(Table1[[#This Row],[automation_risk_percent]]&gt;0.4,"Moderate Risk","Safe Job"))</f>
        <v>Moderate Risk</v>
      </c>
    </row>
    <row r="1941" spans="1:24" x14ac:dyDescent="0.3">
      <c r="A1941">
        <v>6903</v>
      </c>
      <c r="B1941" t="s">
        <v>45</v>
      </c>
      <c r="C1941" t="s">
        <v>34</v>
      </c>
      <c r="D1941" t="s">
        <v>24</v>
      </c>
      <c r="E1941" s="1">
        <v>2026</v>
      </c>
      <c r="F1941" s="11">
        <v>0.31609999999999999</v>
      </c>
      <c r="G1941">
        <v>28.37</v>
      </c>
      <c r="H1941">
        <v>74.12</v>
      </c>
      <c r="I1941" s="2">
        <v>127093.15</v>
      </c>
      <c r="J1941" s="2">
        <v>143126.42000000001</v>
      </c>
      <c r="K1941" s="2">
        <f>Table1[[#This Row],[Salary_after]]-Table1[[#This Row],[Salary_before]]</f>
        <v>16033.270000000019</v>
      </c>
      <c r="L1941" s="11">
        <v>0.12619999999999998</v>
      </c>
      <c r="M1941" s="11">
        <v>0.10580000000000001</v>
      </c>
      <c r="N1941">
        <v>42.91</v>
      </c>
      <c r="O1941">
        <v>7.18</v>
      </c>
      <c r="P1941">
        <v>2</v>
      </c>
      <c r="Q1941" t="s">
        <v>25</v>
      </c>
      <c r="R1941">
        <v>52.865000000000002</v>
      </c>
      <c r="S1941">
        <v>12.62</v>
      </c>
      <c r="T1941" s="4">
        <v>38.665999999999997</v>
      </c>
      <c r="U1941" s="4">
        <v>2.2695979999999998</v>
      </c>
      <c r="V1941" t="str">
        <f>IF(Table1[[#This Row],[ai_disruption_intensity]]&gt;70,"High",
IF(Table1[[#This Row],[ai_disruption_intensity]]&gt;40,"Medium","Low"))</f>
        <v>Low</v>
      </c>
      <c r="W1941" t="str">
        <f>IF(Table1[[#This Row],[skill_gap_index]]&gt;70,"Large Gap",
IF(Table1[[#This Row],[skill_gap_index]]&gt;40,"Medium Gap","Small Gap"))</f>
        <v>Large Gap</v>
      </c>
      <c r="X1941" s="3" t="str">
        <f>IF(Table1[[#This Row],[automation_risk_percent]]&gt;0.7,"Highly Automatable",
IF(Table1[[#This Row],[automation_risk_percent]]&gt;0.4,"Moderate Risk","Safe Job"))</f>
        <v>Safe Job</v>
      </c>
    </row>
    <row r="1942" spans="1:24" x14ac:dyDescent="0.3">
      <c r="A1942">
        <v>6907</v>
      </c>
      <c r="B1942" t="s">
        <v>44</v>
      </c>
      <c r="C1942" t="s">
        <v>38</v>
      </c>
      <c r="D1942" t="s">
        <v>20</v>
      </c>
      <c r="E1942" s="1">
        <v>2026</v>
      </c>
      <c r="F1942" s="11">
        <v>0.3957</v>
      </c>
      <c r="G1942">
        <v>43.5</v>
      </c>
      <c r="H1942">
        <v>97.51</v>
      </c>
      <c r="I1942" s="2">
        <v>36153.49</v>
      </c>
      <c r="J1942" s="2">
        <v>34100.01</v>
      </c>
      <c r="K1942" s="2">
        <f>Table1[[#This Row],[Salary_after]]-Table1[[#This Row],[Salary_before]]</f>
        <v>-2053.4799999999959</v>
      </c>
      <c r="L1942" s="11">
        <v>-5.6799999999999996E-2</v>
      </c>
      <c r="M1942" s="11">
        <v>0.17370000000000002</v>
      </c>
      <c r="N1942">
        <v>23.84</v>
      </c>
      <c r="O1942">
        <v>19.23</v>
      </c>
      <c r="P1942">
        <v>1</v>
      </c>
      <c r="Q1942" t="s">
        <v>25</v>
      </c>
      <c r="R1942">
        <v>68.540000000000006</v>
      </c>
      <c r="S1942">
        <v>5.68</v>
      </c>
      <c r="T1942" s="4">
        <v>46.784999999999997</v>
      </c>
      <c r="U1942" s="4">
        <v>7.6093109999999999</v>
      </c>
      <c r="V1942" t="str">
        <f>IF(Table1[[#This Row],[ai_disruption_intensity]]&gt;70,"High",
IF(Table1[[#This Row],[ai_disruption_intensity]]&gt;40,"Medium","Low"))</f>
        <v>Low</v>
      </c>
      <c r="W1942" t="str">
        <f>IF(Table1[[#This Row],[skill_gap_index]]&gt;70,"Large Gap",
IF(Table1[[#This Row],[skill_gap_index]]&gt;40,"Medium Gap","Small Gap"))</f>
        <v>Large Gap</v>
      </c>
      <c r="X1942" s="3" t="str">
        <f>IF(Table1[[#This Row],[automation_risk_percent]]&gt;0.7,"Highly Automatable",
IF(Table1[[#This Row],[automation_risk_percent]]&gt;0.4,"Moderate Risk","Safe Job"))</f>
        <v>Safe Job</v>
      </c>
    </row>
    <row r="1943" spans="1:24" x14ac:dyDescent="0.3">
      <c r="A1943">
        <v>6913</v>
      </c>
      <c r="B1943" t="s">
        <v>44</v>
      </c>
      <c r="C1943" t="s">
        <v>27</v>
      </c>
      <c r="D1943" t="s">
        <v>28</v>
      </c>
      <c r="E1943" s="1">
        <v>2026</v>
      </c>
      <c r="F1943" s="11">
        <v>0.17730000000000001</v>
      </c>
      <c r="G1943">
        <v>21.18</v>
      </c>
      <c r="H1943">
        <v>56.27</v>
      </c>
      <c r="I1943" s="2">
        <v>88027.49</v>
      </c>
      <c r="J1943" s="2">
        <v>100150.78</v>
      </c>
      <c r="K1943" s="2">
        <f>Table1[[#This Row],[Salary_after]]-Table1[[#This Row],[Salary_before]]</f>
        <v>12123.289999999994</v>
      </c>
      <c r="L1943" s="11">
        <v>0.13769999999999999</v>
      </c>
      <c r="M1943" s="11">
        <v>6.9699999999999998E-2</v>
      </c>
      <c r="N1943">
        <v>45.9</v>
      </c>
      <c r="O1943">
        <v>73.63</v>
      </c>
      <c r="P1943">
        <v>1</v>
      </c>
      <c r="Q1943" t="s">
        <v>21</v>
      </c>
      <c r="R1943">
        <v>37</v>
      </c>
      <c r="S1943">
        <v>13.77</v>
      </c>
      <c r="T1943" s="4">
        <v>28.103999999999999</v>
      </c>
      <c r="U1943" s="4">
        <v>13.054599</v>
      </c>
      <c r="V1943" t="str">
        <f>IF(Table1[[#This Row],[ai_disruption_intensity]]&gt;70,"High",
IF(Table1[[#This Row],[ai_disruption_intensity]]&gt;40,"Medium","Low"))</f>
        <v>Low</v>
      </c>
      <c r="W1943" t="str">
        <f>IF(Table1[[#This Row],[skill_gap_index]]&gt;70,"Large Gap",
IF(Table1[[#This Row],[skill_gap_index]]&gt;40,"Medium Gap","Small Gap"))</f>
        <v>Medium Gap</v>
      </c>
      <c r="X1943" s="3" t="str">
        <f>IF(Table1[[#This Row],[automation_risk_percent]]&gt;0.7,"Highly Automatable",
IF(Table1[[#This Row],[automation_risk_percent]]&gt;0.4,"Moderate Risk","Safe Job"))</f>
        <v>Safe Job</v>
      </c>
    </row>
    <row r="1944" spans="1:24" x14ac:dyDescent="0.3">
      <c r="A1944">
        <v>6916</v>
      </c>
      <c r="B1944" t="s">
        <v>39</v>
      </c>
      <c r="C1944" t="s">
        <v>23</v>
      </c>
      <c r="D1944" t="s">
        <v>32</v>
      </c>
      <c r="E1944" s="1">
        <v>2025</v>
      </c>
      <c r="F1944" s="11">
        <v>0.32500000000000001</v>
      </c>
      <c r="G1944">
        <v>28.72</v>
      </c>
      <c r="H1944">
        <v>25.36</v>
      </c>
      <c r="I1944" s="2">
        <v>40048.14</v>
      </c>
      <c r="J1944" s="2">
        <v>30282.880000000001</v>
      </c>
      <c r="K1944" s="2">
        <f>Table1[[#This Row],[Salary_after]]-Table1[[#This Row],[Salary_before]]</f>
        <v>-9765.2599999999984</v>
      </c>
      <c r="L1944" s="11">
        <v>-0.24379999999999999</v>
      </c>
      <c r="M1944" s="11">
        <v>-2.53E-2</v>
      </c>
      <c r="N1944">
        <v>10.23</v>
      </c>
      <c r="O1944">
        <v>85.64</v>
      </c>
      <c r="P1944">
        <v>3</v>
      </c>
      <c r="Q1944" t="s">
        <v>25</v>
      </c>
      <c r="R1944">
        <v>28.93</v>
      </c>
      <c r="S1944">
        <v>24.38</v>
      </c>
      <c r="T1944" s="4">
        <v>27.922000000000001</v>
      </c>
      <c r="U1944" s="4">
        <v>27.832999999999998</v>
      </c>
      <c r="V1944" t="str">
        <f>IF(Table1[[#This Row],[ai_disruption_intensity]]&gt;70,"High",
IF(Table1[[#This Row],[ai_disruption_intensity]]&gt;40,"Medium","Low"))</f>
        <v>Low</v>
      </c>
      <c r="W1944" t="str">
        <f>IF(Table1[[#This Row],[skill_gap_index]]&gt;70,"Large Gap",
IF(Table1[[#This Row],[skill_gap_index]]&gt;40,"Medium Gap","Small Gap"))</f>
        <v>Small Gap</v>
      </c>
      <c r="X1944" s="3" t="str">
        <f>IF(Table1[[#This Row],[automation_risk_percent]]&gt;0.7,"Highly Automatable",
IF(Table1[[#This Row],[automation_risk_percent]]&gt;0.4,"Moderate Risk","Safe Job"))</f>
        <v>Safe Job</v>
      </c>
    </row>
    <row r="1945" spans="1:24" x14ac:dyDescent="0.3">
      <c r="A1945">
        <v>6917</v>
      </c>
      <c r="B1945" t="s">
        <v>41</v>
      </c>
      <c r="C1945" t="s">
        <v>38</v>
      </c>
      <c r="D1945" t="s">
        <v>20</v>
      </c>
      <c r="E1945" s="1">
        <v>2026</v>
      </c>
      <c r="F1945" s="11">
        <v>0.72730000000000006</v>
      </c>
      <c r="G1945">
        <v>71.180000000000007</v>
      </c>
      <c r="H1945">
        <v>96.7</v>
      </c>
      <c r="I1945" s="2">
        <v>142864.99</v>
      </c>
      <c r="J1945" s="2">
        <v>146106.97</v>
      </c>
      <c r="K1945" s="2">
        <f>Table1[[#This Row],[Salary_after]]-Table1[[#This Row],[Salary_before]]</f>
        <v>3241.9800000000105</v>
      </c>
      <c r="L1945" s="11">
        <v>2.2700000000000001E-2</v>
      </c>
      <c r="M1945" s="11">
        <v>-2.98E-2</v>
      </c>
      <c r="N1945">
        <v>83.53</v>
      </c>
      <c r="O1945">
        <v>17.3</v>
      </c>
      <c r="P1945">
        <v>5</v>
      </c>
      <c r="Q1945" t="s">
        <v>37</v>
      </c>
      <c r="R1945">
        <v>84.715000000000003</v>
      </c>
      <c r="S1945">
        <v>2.27</v>
      </c>
      <c r="T1945" s="4">
        <v>58.783000000000001</v>
      </c>
      <c r="U1945" s="4">
        <v>12.58229</v>
      </c>
      <c r="V1945" t="str">
        <f>IF(Table1[[#This Row],[ai_disruption_intensity]]&gt;70,"High",
IF(Table1[[#This Row],[ai_disruption_intensity]]&gt;40,"Medium","Low"))</f>
        <v>Low</v>
      </c>
      <c r="W1945" t="str">
        <f>IF(Table1[[#This Row],[skill_gap_index]]&gt;70,"Large Gap",
IF(Table1[[#This Row],[skill_gap_index]]&gt;40,"Medium Gap","Small Gap"))</f>
        <v>Large Gap</v>
      </c>
      <c r="X1945" s="3" t="str">
        <f>IF(Table1[[#This Row],[automation_risk_percent]]&gt;0.7,"Highly Automatable",
IF(Table1[[#This Row],[automation_risk_percent]]&gt;0.4,"Moderate Risk","Safe Job"))</f>
        <v>Highly Automatable</v>
      </c>
    </row>
    <row r="1946" spans="1:24" x14ac:dyDescent="0.3">
      <c r="A1946">
        <v>6918</v>
      </c>
      <c r="B1946" t="s">
        <v>43</v>
      </c>
      <c r="C1946" t="s">
        <v>33</v>
      </c>
      <c r="D1946" t="s">
        <v>36</v>
      </c>
      <c r="E1946" s="1">
        <v>2026</v>
      </c>
      <c r="F1946" s="11">
        <v>0.18960000000000002</v>
      </c>
      <c r="G1946">
        <v>17.14</v>
      </c>
      <c r="H1946">
        <v>27.97</v>
      </c>
      <c r="I1946" s="2">
        <v>145798.15</v>
      </c>
      <c r="J1946" s="2">
        <v>137732.48000000001</v>
      </c>
      <c r="K1946" s="2">
        <f>Table1[[#This Row],[Salary_after]]-Table1[[#This Row],[Salary_before]]</f>
        <v>-8065.6699999999837</v>
      </c>
      <c r="L1946" s="11">
        <v>-5.5300000000000002E-2</v>
      </c>
      <c r="M1946" s="11">
        <v>9.8000000000000004E-2</v>
      </c>
      <c r="N1946">
        <v>42.15</v>
      </c>
      <c r="O1946">
        <v>31.85</v>
      </c>
      <c r="P1946">
        <v>3</v>
      </c>
      <c r="Q1946" t="s">
        <v>21</v>
      </c>
      <c r="R1946">
        <v>23.465</v>
      </c>
      <c r="S1946">
        <v>5.53</v>
      </c>
      <c r="T1946" s="4">
        <v>17.634</v>
      </c>
      <c r="U1946" s="4">
        <v>6.0387599999999999</v>
      </c>
      <c r="V1946" t="str">
        <f>IF(Table1[[#This Row],[ai_disruption_intensity]]&gt;70,"High",
IF(Table1[[#This Row],[ai_disruption_intensity]]&gt;40,"Medium","Low"))</f>
        <v>Low</v>
      </c>
      <c r="W1946" t="str">
        <f>IF(Table1[[#This Row],[skill_gap_index]]&gt;70,"Large Gap",
IF(Table1[[#This Row],[skill_gap_index]]&gt;40,"Medium Gap","Small Gap"))</f>
        <v>Small Gap</v>
      </c>
      <c r="X1946" s="3" t="str">
        <f>IF(Table1[[#This Row],[automation_risk_percent]]&gt;0.7,"Highly Automatable",
IF(Table1[[#This Row],[automation_risk_percent]]&gt;0.4,"Moderate Risk","Safe Job"))</f>
        <v>Safe Job</v>
      </c>
    </row>
    <row r="1947" spans="1:24" x14ac:dyDescent="0.3">
      <c r="A1947">
        <v>6919</v>
      </c>
      <c r="B1947" t="s">
        <v>41</v>
      </c>
      <c r="C1947" t="s">
        <v>27</v>
      </c>
      <c r="D1947" t="s">
        <v>35</v>
      </c>
      <c r="E1947" s="1">
        <v>2026</v>
      </c>
      <c r="F1947" s="11">
        <v>0.44069999999999998</v>
      </c>
      <c r="G1947">
        <v>40.700000000000003</v>
      </c>
      <c r="H1947">
        <v>75.42</v>
      </c>
      <c r="I1947" s="2">
        <v>61986.47</v>
      </c>
      <c r="J1947" s="2">
        <v>68410.47</v>
      </c>
      <c r="K1947" s="2">
        <f>Table1[[#This Row],[Salary_after]]-Table1[[#This Row],[Salary_before]]</f>
        <v>6424</v>
      </c>
      <c r="L1947" s="11">
        <v>0.1036</v>
      </c>
      <c r="M1947" s="11">
        <v>7.7199999999999991E-2</v>
      </c>
      <c r="N1947">
        <v>17.14</v>
      </c>
      <c r="O1947">
        <v>63.49</v>
      </c>
      <c r="P1947">
        <v>3</v>
      </c>
      <c r="Q1947" t="s">
        <v>25</v>
      </c>
      <c r="R1947">
        <v>59.744999999999997</v>
      </c>
      <c r="S1947">
        <v>10.36</v>
      </c>
      <c r="T1947" s="4">
        <v>43.362000000000002</v>
      </c>
      <c r="U1947" s="4">
        <v>27.980042999999998</v>
      </c>
      <c r="V1947" t="str">
        <f>IF(Table1[[#This Row],[ai_disruption_intensity]]&gt;70,"High",
IF(Table1[[#This Row],[ai_disruption_intensity]]&gt;40,"Medium","Low"))</f>
        <v>Low</v>
      </c>
      <c r="W1947" t="str">
        <f>IF(Table1[[#This Row],[skill_gap_index]]&gt;70,"Large Gap",
IF(Table1[[#This Row],[skill_gap_index]]&gt;40,"Medium Gap","Small Gap"))</f>
        <v>Large Gap</v>
      </c>
      <c r="X1947" s="3" t="str">
        <f>IF(Table1[[#This Row],[automation_risk_percent]]&gt;0.7,"Highly Automatable",
IF(Table1[[#This Row],[automation_risk_percent]]&gt;0.4,"Moderate Risk","Safe Job"))</f>
        <v>Moderate Risk</v>
      </c>
    </row>
    <row r="1948" spans="1:24" x14ac:dyDescent="0.3">
      <c r="A1948">
        <v>6927</v>
      </c>
      <c r="B1948" t="s">
        <v>44</v>
      </c>
      <c r="C1948" t="s">
        <v>27</v>
      </c>
      <c r="D1948" t="s">
        <v>36</v>
      </c>
      <c r="E1948" s="1">
        <v>2025</v>
      </c>
      <c r="F1948" s="11">
        <v>0.52369999999999994</v>
      </c>
      <c r="G1948">
        <v>46.87</v>
      </c>
      <c r="H1948">
        <v>85.17</v>
      </c>
      <c r="I1948" s="2">
        <v>50800.24</v>
      </c>
      <c r="J1948" s="2">
        <v>53411.85</v>
      </c>
      <c r="K1948" s="2">
        <f>Table1[[#This Row],[Salary_after]]-Table1[[#This Row],[Salary_before]]</f>
        <v>2611.6100000000006</v>
      </c>
      <c r="L1948" s="11">
        <v>5.1399999999999994E-2</v>
      </c>
      <c r="M1948" s="11">
        <v>-0.1232</v>
      </c>
      <c r="N1948">
        <v>87.26</v>
      </c>
      <c r="O1948">
        <v>57.7</v>
      </c>
      <c r="P1948">
        <v>1</v>
      </c>
      <c r="Q1948" t="s">
        <v>25</v>
      </c>
      <c r="R1948">
        <v>68.77</v>
      </c>
      <c r="S1948">
        <v>5.14</v>
      </c>
      <c r="T1948" s="4">
        <v>48.040999999999997</v>
      </c>
      <c r="U1948" s="4">
        <v>30.217489999999898</v>
      </c>
      <c r="V1948" t="str">
        <f>IF(Table1[[#This Row],[ai_disruption_intensity]]&gt;70,"High",
IF(Table1[[#This Row],[ai_disruption_intensity]]&gt;40,"Medium","Low"))</f>
        <v>Low</v>
      </c>
      <c r="W1948" t="str">
        <f>IF(Table1[[#This Row],[skill_gap_index]]&gt;70,"Large Gap",
IF(Table1[[#This Row],[skill_gap_index]]&gt;40,"Medium Gap","Small Gap"))</f>
        <v>Large Gap</v>
      </c>
      <c r="X1948" s="3" t="str">
        <f>IF(Table1[[#This Row],[automation_risk_percent]]&gt;0.7,"Highly Automatable",
IF(Table1[[#This Row],[automation_risk_percent]]&gt;0.4,"Moderate Risk","Safe Job"))</f>
        <v>Moderate Risk</v>
      </c>
    </row>
    <row r="1949" spans="1:24" x14ac:dyDescent="0.3">
      <c r="A1949">
        <v>6929</v>
      </c>
      <c r="B1949" t="s">
        <v>46</v>
      </c>
      <c r="C1949" t="s">
        <v>23</v>
      </c>
      <c r="D1949" t="s">
        <v>24</v>
      </c>
      <c r="E1949" s="1">
        <v>2026</v>
      </c>
      <c r="F1949" s="11">
        <v>0.627</v>
      </c>
      <c r="G1949">
        <v>70.849999999999994</v>
      </c>
      <c r="H1949">
        <v>60.77</v>
      </c>
      <c r="I1949" s="2">
        <v>33859.85</v>
      </c>
      <c r="J1949" s="2">
        <v>36800.660000000003</v>
      </c>
      <c r="K1949" s="2">
        <f>Table1[[#This Row],[Salary_after]]-Table1[[#This Row],[Salary_before]]</f>
        <v>2940.8100000000049</v>
      </c>
      <c r="L1949" s="11">
        <v>8.6899999999999991E-2</v>
      </c>
      <c r="M1949" s="11">
        <v>-0.10800000000000001</v>
      </c>
      <c r="N1949">
        <v>79.180000000000007</v>
      </c>
      <c r="O1949">
        <v>63.91</v>
      </c>
      <c r="P1949">
        <v>4</v>
      </c>
      <c r="Q1949" t="s">
        <v>37</v>
      </c>
      <c r="R1949">
        <v>61.734999999999999</v>
      </c>
      <c r="S1949">
        <v>8.69</v>
      </c>
      <c r="T1949" s="4">
        <v>45.917999999999999</v>
      </c>
      <c r="U1949" s="4">
        <v>40.071570000000001</v>
      </c>
      <c r="V1949" t="str">
        <f>IF(Table1[[#This Row],[ai_disruption_intensity]]&gt;70,"High",
IF(Table1[[#This Row],[ai_disruption_intensity]]&gt;40,"Medium","Low"))</f>
        <v>Medium</v>
      </c>
      <c r="W1949" t="str">
        <f>IF(Table1[[#This Row],[skill_gap_index]]&gt;70,"Large Gap",
IF(Table1[[#This Row],[skill_gap_index]]&gt;40,"Medium Gap","Small Gap"))</f>
        <v>Medium Gap</v>
      </c>
      <c r="X1949" s="3" t="str">
        <f>IF(Table1[[#This Row],[automation_risk_percent]]&gt;0.7,"Highly Automatable",
IF(Table1[[#This Row],[automation_risk_percent]]&gt;0.4,"Moderate Risk","Safe Job"))</f>
        <v>Moderate Risk</v>
      </c>
    </row>
    <row r="1950" spans="1:24" x14ac:dyDescent="0.3">
      <c r="A1950">
        <v>6932</v>
      </c>
      <c r="B1950" t="s">
        <v>43</v>
      </c>
      <c r="C1950" t="s">
        <v>19</v>
      </c>
      <c r="D1950" t="s">
        <v>42</v>
      </c>
      <c r="E1950" s="1">
        <v>2026</v>
      </c>
      <c r="F1950" s="11">
        <v>0.3296</v>
      </c>
      <c r="G1950">
        <v>35.340000000000003</v>
      </c>
      <c r="H1950">
        <v>72.19</v>
      </c>
      <c r="I1950" s="2">
        <v>108410.06</v>
      </c>
      <c r="J1950" s="2">
        <v>109512.48</v>
      </c>
      <c r="K1950" s="2">
        <f>Table1[[#This Row],[Salary_after]]-Table1[[#This Row],[Salary_before]]</f>
        <v>1102.4199999999983</v>
      </c>
      <c r="L1950" s="11">
        <v>1.0200000000000001E-2</v>
      </c>
      <c r="M1950" s="11">
        <v>-4.9699999999999994E-2</v>
      </c>
      <c r="N1950">
        <v>78.69</v>
      </c>
      <c r="O1950">
        <v>20.079999999999998</v>
      </c>
      <c r="P1950">
        <v>5</v>
      </c>
      <c r="Q1950" t="s">
        <v>25</v>
      </c>
      <c r="R1950">
        <v>52.575000000000003</v>
      </c>
      <c r="S1950">
        <v>1.02</v>
      </c>
      <c r="T1950" s="4">
        <v>35.146999999999998</v>
      </c>
      <c r="U1950" s="4">
        <v>6.6183679999999896</v>
      </c>
      <c r="V1950" t="str">
        <f>IF(Table1[[#This Row],[ai_disruption_intensity]]&gt;70,"High",
IF(Table1[[#This Row],[ai_disruption_intensity]]&gt;40,"Medium","Low"))</f>
        <v>Low</v>
      </c>
      <c r="W1950" t="str">
        <f>IF(Table1[[#This Row],[skill_gap_index]]&gt;70,"Large Gap",
IF(Table1[[#This Row],[skill_gap_index]]&gt;40,"Medium Gap","Small Gap"))</f>
        <v>Large Gap</v>
      </c>
      <c r="X1950" s="3" t="str">
        <f>IF(Table1[[#This Row],[automation_risk_percent]]&gt;0.7,"Highly Automatable",
IF(Table1[[#This Row],[automation_risk_percent]]&gt;0.4,"Moderate Risk","Safe Job"))</f>
        <v>Safe Job</v>
      </c>
    </row>
    <row r="1951" spans="1:24" x14ac:dyDescent="0.3">
      <c r="A1951">
        <v>6937</v>
      </c>
      <c r="B1951" t="s">
        <v>18</v>
      </c>
      <c r="C1951" t="s">
        <v>30</v>
      </c>
      <c r="D1951" t="s">
        <v>28</v>
      </c>
      <c r="E1951" s="1">
        <v>2025</v>
      </c>
      <c r="F1951" s="11">
        <v>0.52090000000000003</v>
      </c>
      <c r="G1951">
        <v>48.31</v>
      </c>
      <c r="H1951">
        <v>35.72</v>
      </c>
      <c r="I1951" s="2">
        <v>108304.33</v>
      </c>
      <c r="J1951" s="2">
        <v>99609.78</v>
      </c>
      <c r="K1951" s="2">
        <f>Table1[[#This Row],[Salary_after]]-Table1[[#This Row],[Salary_before]]</f>
        <v>-8694.5500000000029</v>
      </c>
      <c r="L1951" s="11">
        <v>-8.0299999999999996E-2</v>
      </c>
      <c r="M1951" s="11">
        <v>0.1002</v>
      </c>
      <c r="N1951">
        <v>99.82</v>
      </c>
      <c r="O1951">
        <v>10.75</v>
      </c>
      <c r="P1951">
        <v>3</v>
      </c>
      <c r="Q1951" t="s">
        <v>25</v>
      </c>
      <c r="R1951">
        <v>43.905000000000001</v>
      </c>
      <c r="S1951">
        <v>8.0299999999999994</v>
      </c>
      <c r="T1951" s="4">
        <v>33.960999999999999</v>
      </c>
      <c r="U1951" s="4">
        <v>5.5996750000000004</v>
      </c>
      <c r="V1951" t="str">
        <f>IF(Table1[[#This Row],[ai_disruption_intensity]]&gt;70,"High",
IF(Table1[[#This Row],[ai_disruption_intensity]]&gt;40,"Medium","Low"))</f>
        <v>Low</v>
      </c>
      <c r="W1951" t="str">
        <f>IF(Table1[[#This Row],[skill_gap_index]]&gt;70,"Large Gap",
IF(Table1[[#This Row],[skill_gap_index]]&gt;40,"Medium Gap","Small Gap"))</f>
        <v>Small Gap</v>
      </c>
      <c r="X1951" s="3" t="str">
        <f>IF(Table1[[#This Row],[automation_risk_percent]]&gt;0.7,"Highly Automatable",
IF(Table1[[#This Row],[automation_risk_percent]]&gt;0.4,"Moderate Risk","Safe Job"))</f>
        <v>Moderate Risk</v>
      </c>
    </row>
    <row r="1952" spans="1:24" x14ac:dyDescent="0.3">
      <c r="A1952">
        <v>6939</v>
      </c>
      <c r="B1952" t="s">
        <v>26</v>
      </c>
      <c r="C1952" t="s">
        <v>40</v>
      </c>
      <c r="D1952" t="s">
        <v>20</v>
      </c>
      <c r="E1952" s="1">
        <v>2025</v>
      </c>
      <c r="F1952" s="11">
        <v>0.05</v>
      </c>
      <c r="G1952">
        <v>5.22</v>
      </c>
      <c r="H1952">
        <v>47.82</v>
      </c>
      <c r="I1952" s="2">
        <v>79957.41</v>
      </c>
      <c r="J1952" s="2">
        <v>88566.38</v>
      </c>
      <c r="K1952" s="2">
        <f>Table1[[#This Row],[Salary_after]]-Table1[[#This Row],[Salary_before]]</f>
        <v>8608.9700000000012</v>
      </c>
      <c r="L1952" s="11">
        <v>0.10769999999999999</v>
      </c>
      <c r="M1952" s="11">
        <v>5.7300000000000004E-2</v>
      </c>
      <c r="N1952">
        <v>16.36</v>
      </c>
      <c r="O1952">
        <v>54.41</v>
      </c>
      <c r="P1952">
        <v>5</v>
      </c>
      <c r="Q1952" t="s">
        <v>21</v>
      </c>
      <c r="R1952">
        <v>26.41</v>
      </c>
      <c r="S1952">
        <v>10.77</v>
      </c>
      <c r="T1952" s="4">
        <v>19.576999999999899</v>
      </c>
      <c r="U1952" s="4">
        <v>2.7204999999999901</v>
      </c>
      <c r="V1952" t="str">
        <f>IF(Table1[[#This Row],[ai_disruption_intensity]]&gt;70,"High",
IF(Table1[[#This Row],[ai_disruption_intensity]]&gt;40,"Medium","Low"))</f>
        <v>Low</v>
      </c>
      <c r="W1952" t="str">
        <f>IF(Table1[[#This Row],[skill_gap_index]]&gt;70,"Large Gap",
IF(Table1[[#This Row],[skill_gap_index]]&gt;40,"Medium Gap","Small Gap"))</f>
        <v>Medium Gap</v>
      </c>
      <c r="X1952" s="3" t="str">
        <f>IF(Table1[[#This Row],[automation_risk_percent]]&gt;0.7,"Highly Automatable",
IF(Table1[[#This Row],[automation_risk_percent]]&gt;0.4,"Moderate Risk","Safe Job"))</f>
        <v>Safe Job</v>
      </c>
    </row>
    <row r="1953" spans="1:24" x14ac:dyDescent="0.3">
      <c r="A1953">
        <v>6941</v>
      </c>
      <c r="B1953" t="s">
        <v>46</v>
      </c>
      <c r="C1953" t="s">
        <v>40</v>
      </c>
      <c r="D1953" t="s">
        <v>42</v>
      </c>
      <c r="E1953" s="1">
        <v>2025</v>
      </c>
      <c r="F1953" s="11">
        <v>0.22570000000000001</v>
      </c>
      <c r="G1953">
        <v>23.72</v>
      </c>
      <c r="H1953">
        <v>41.24</v>
      </c>
      <c r="I1953" s="2">
        <v>77039.7</v>
      </c>
      <c r="J1953" s="2">
        <v>73236.5</v>
      </c>
      <c r="K1953" s="2">
        <f>Table1[[#This Row],[Salary_after]]-Table1[[#This Row],[Salary_before]]</f>
        <v>-3803.1999999999971</v>
      </c>
      <c r="L1953" s="11">
        <v>-4.9400000000000006E-2</v>
      </c>
      <c r="M1953" s="11">
        <v>0.14019999999999999</v>
      </c>
      <c r="N1953">
        <v>68.040000000000006</v>
      </c>
      <c r="O1953">
        <v>87.34</v>
      </c>
      <c r="P1953">
        <v>1</v>
      </c>
      <c r="Q1953" t="s">
        <v>21</v>
      </c>
      <c r="R1953">
        <v>31.905000000000001</v>
      </c>
      <c r="S1953">
        <v>4.9400000000000004</v>
      </c>
      <c r="T1953" s="4">
        <v>22.881999999999898</v>
      </c>
      <c r="U1953" s="4">
        <v>19.712637999999998</v>
      </c>
      <c r="V1953" t="str">
        <f>IF(Table1[[#This Row],[ai_disruption_intensity]]&gt;70,"High",
IF(Table1[[#This Row],[ai_disruption_intensity]]&gt;40,"Medium","Low"))</f>
        <v>Low</v>
      </c>
      <c r="W1953" t="str">
        <f>IF(Table1[[#This Row],[skill_gap_index]]&gt;70,"Large Gap",
IF(Table1[[#This Row],[skill_gap_index]]&gt;40,"Medium Gap","Small Gap"))</f>
        <v>Medium Gap</v>
      </c>
      <c r="X1953" s="3" t="str">
        <f>IF(Table1[[#This Row],[automation_risk_percent]]&gt;0.7,"Highly Automatable",
IF(Table1[[#This Row],[automation_risk_percent]]&gt;0.4,"Moderate Risk","Safe Job"))</f>
        <v>Safe Job</v>
      </c>
    </row>
    <row r="1954" spans="1:24" x14ac:dyDescent="0.3">
      <c r="A1954">
        <v>6945</v>
      </c>
      <c r="B1954" t="s">
        <v>22</v>
      </c>
      <c r="C1954" t="s">
        <v>38</v>
      </c>
      <c r="D1954" t="s">
        <v>31</v>
      </c>
      <c r="E1954" s="1">
        <v>2025</v>
      </c>
      <c r="F1954" s="11">
        <v>0.15869999999999998</v>
      </c>
      <c r="G1954">
        <v>18.93</v>
      </c>
      <c r="H1954">
        <v>8.6</v>
      </c>
      <c r="I1954" s="2">
        <v>49012.18</v>
      </c>
      <c r="J1954" s="2">
        <v>52087.42</v>
      </c>
      <c r="K1954" s="2">
        <f>Table1[[#This Row],[Salary_after]]-Table1[[#This Row],[Salary_before]]</f>
        <v>3075.239999999998</v>
      </c>
      <c r="L1954" s="11">
        <v>6.2699999999999992E-2</v>
      </c>
      <c r="M1954" s="11">
        <v>3.8800000000000001E-2</v>
      </c>
      <c r="N1954">
        <v>36.380000000000003</v>
      </c>
      <c r="O1954">
        <v>56.87</v>
      </c>
      <c r="P1954">
        <v>1</v>
      </c>
      <c r="Q1954" t="s">
        <v>21</v>
      </c>
      <c r="R1954">
        <v>12.234999999999999</v>
      </c>
      <c r="S1954">
        <v>6.27</v>
      </c>
      <c r="T1954" s="4">
        <v>10.808999999999999</v>
      </c>
      <c r="U1954" s="4">
        <v>9.0252689999999998</v>
      </c>
      <c r="V1954" t="str">
        <f>IF(Table1[[#This Row],[ai_disruption_intensity]]&gt;70,"High",
IF(Table1[[#This Row],[ai_disruption_intensity]]&gt;40,"Medium","Low"))</f>
        <v>Low</v>
      </c>
      <c r="W1954" t="str">
        <f>IF(Table1[[#This Row],[skill_gap_index]]&gt;70,"Large Gap",
IF(Table1[[#This Row],[skill_gap_index]]&gt;40,"Medium Gap","Small Gap"))</f>
        <v>Small Gap</v>
      </c>
      <c r="X1954" s="3" t="str">
        <f>IF(Table1[[#This Row],[automation_risk_percent]]&gt;0.7,"Highly Automatable",
IF(Table1[[#This Row],[automation_risk_percent]]&gt;0.4,"Moderate Risk","Safe Job"))</f>
        <v>Safe Job</v>
      </c>
    </row>
    <row r="1955" spans="1:24" x14ac:dyDescent="0.3">
      <c r="A1955">
        <v>6948</v>
      </c>
      <c r="B1955" t="s">
        <v>41</v>
      </c>
      <c r="C1955" t="s">
        <v>23</v>
      </c>
      <c r="D1955" t="s">
        <v>20</v>
      </c>
      <c r="E1955" s="1">
        <v>2025</v>
      </c>
      <c r="F1955" s="11">
        <v>0.5282</v>
      </c>
      <c r="G1955">
        <v>63.26</v>
      </c>
      <c r="H1955">
        <v>36.61</v>
      </c>
      <c r="I1955" s="2">
        <v>126645.98</v>
      </c>
      <c r="J1955" s="2">
        <v>111623.2</v>
      </c>
      <c r="K1955" s="2">
        <f>Table1[[#This Row],[Salary_after]]-Table1[[#This Row],[Salary_before]]</f>
        <v>-15022.779999999999</v>
      </c>
      <c r="L1955" s="11">
        <v>-0.1186</v>
      </c>
      <c r="M1955" s="11">
        <v>-1.29E-2</v>
      </c>
      <c r="N1955">
        <v>40.299999999999997</v>
      </c>
      <c r="O1955">
        <v>19.27</v>
      </c>
      <c r="P1955">
        <v>2</v>
      </c>
      <c r="Q1955" t="s">
        <v>25</v>
      </c>
      <c r="R1955">
        <v>44.715000000000003</v>
      </c>
      <c r="S1955">
        <v>11.86</v>
      </c>
      <c r="T1955" s="4">
        <v>35.668999999999997</v>
      </c>
      <c r="U1955" s="4">
        <v>10.178414</v>
      </c>
      <c r="V1955" t="str">
        <f>IF(Table1[[#This Row],[ai_disruption_intensity]]&gt;70,"High",
IF(Table1[[#This Row],[ai_disruption_intensity]]&gt;40,"Medium","Low"))</f>
        <v>Low</v>
      </c>
      <c r="W1955" t="str">
        <f>IF(Table1[[#This Row],[skill_gap_index]]&gt;70,"Large Gap",
IF(Table1[[#This Row],[skill_gap_index]]&gt;40,"Medium Gap","Small Gap"))</f>
        <v>Small Gap</v>
      </c>
      <c r="X1955" s="3" t="str">
        <f>IF(Table1[[#This Row],[automation_risk_percent]]&gt;0.7,"Highly Automatable",
IF(Table1[[#This Row],[automation_risk_percent]]&gt;0.4,"Moderate Risk","Safe Job"))</f>
        <v>Moderate Risk</v>
      </c>
    </row>
    <row r="1956" spans="1:24" x14ac:dyDescent="0.3">
      <c r="A1956">
        <v>6950</v>
      </c>
      <c r="B1956" t="s">
        <v>22</v>
      </c>
      <c r="C1956" t="s">
        <v>40</v>
      </c>
      <c r="D1956" t="s">
        <v>32</v>
      </c>
      <c r="E1956" s="1">
        <v>2025</v>
      </c>
      <c r="F1956" s="11">
        <v>0.1963</v>
      </c>
      <c r="G1956">
        <v>18.100000000000001</v>
      </c>
      <c r="H1956">
        <v>79.13</v>
      </c>
      <c r="I1956" s="2">
        <v>67639.09</v>
      </c>
      <c r="J1956" s="2">
        <v>76271.97</v>
      </c>
      <c r="K1956" s="2">
        <f>Table1[[#This Row],[Salary_after]]-Table1[[#This Row],[Salary_before]]</f>
        <v>8632.8800000000047</v>
      </c>
      <c r="L1956" s="11">
        <v>0.12759999999999999</v>
      </c>
      <c r="M1956" s="11">
        <v>-1.5E-3</v>
      </c>
      <c r="N1956">
        <v>33.450000000000003</v>
      </c>
      <c r="O1956">
        <v>47.83</v>
      </c>
      <c r="P1956">
        <v>2</v>
      </c>
      <c r="Q1956" t="s">
        <v>21</v>
      </c>
      <c r="R1956">
        <v>49.379999999999903</v>
      </c>
      <c r="S1956">
        <v>12.76</v>
      </c>
      <c r="T1956" s="4">
        <v>35.418999999999997</v>
      </c>
      <c r="U1956" s="4">
        <v>9.3890289999999901</v>
      </c>
      <c r="V1956" t="str">
        <f>IF(Table1[[#This Row],[ai_disruption_intensity]]&gt;70,"High",
IF(Table1[[#This Row],[ai_disruption_intensity]]&gt;40,"Medium","Low"))</f>
        <v>Low</v>
      </c>
      <c r="W1956" t="str">
        <f>IF(Table1[[#This Row],[skill_gap_index]]&gt;70,"Large Gap",
IF(Table1[[#This Row],[skill_gap_index]]&gt;40,"Medium Gap","Small Gap"))</f>
        <v>Large Gap</v>
      </c>
      <c r="X1956" s="3" t="str">
        <f>IF(Table1[[#This Row],[automation_risk_percent]]&gt;0.7,"Highly Automatable",
IF(Table1[[#This Row],[automation_risk_percent]]&gt;0.4,"Moderate Risk","Safe Job"))</f>
        <v>Safe Job</v>
      </c>
    </row>
    <row r="1957" spans="1:24" x14ac:dyDescent="0.3">
      <c r="A1957">
        <v>6953</v>
      </c>
      <c r="B1957" t="s">
        <v>41</v>
      </c>
      <c r="C1957" t="s">
        <v>19</v>
      </c>
      <c r="D1957" t="s">
        <v>42</v>
      </c>
      <c r="E1957" s="1">
        <v>2025</v>
      </c>
      <c r="F1957" s="11">
        <v>0.66</v>
      </c>
      <c r="G1957">
        <v>61.74</v>
      </c>
      <c r="H1957">
        <v>13.74</v>
      </c>
      <c r="I1957" s="2">
        <v>56354.07</v>
      </c>
      <c r="J1957" s="2">
        <v>64683.35</v>
      </c>
      <c r="K1957" s="2">
        <f>Table1[[#This Row],[Salary_after]]-Table1[[#This Row],[Salary_before]]</f>
        <v>8329.2799999999988</v>
      </c>
      <c r="L1957" s="11">
        <v>0.14779999999999999</v>
      </c>
      <c r="M1957" s="11">
        <v>6.7000000000000004E-2</v>
      </c>
      <c r="N1957">
        <v>36.119999999999997</v>
      </c>
      <c r="O1957">
        <v>80.47</v>
      </c>
      <c r="P1957">
        <v>3</v>
      </c>
      <c r="Q1957" t="s">
        <v>37</v>
      </c>
      <c r="R1957">
        <v>39.869999999999997</v>
      </c>
      <c r="S1957">
        <v>14.78</v>
      </c>
      <c r="T1957" s="4">
        <v>34.956000000000003</v>
      </c>
      <c r="U1957" s="4">
        <v>53.110199999999899</v>
      </c>
      <c r="V1957" t="str">
        <f>IF(Table1[[#This Row],[ai_disruption_intensity]]&gt;70,"High",
IF(Table1[[#This Row],[ai_disruption_intensity]]&gt;40,"Medium","Low"))</f>
        <v>Medium</v>
      </c>
      <c r="W1957" t="str">
        <f>IF(Table1[[#This Row],[skill_gap_index]]&gt;70,"Large Gap",
IF(Table1[[#This Row],[skill_gap_index]]&gt;40,"Medium Gap","Small Gap"))</f>
        <v>Small Gap</v>
      </c>
      <c r="X1957" s="3" t="str">
        <f>IF(Table1[[#This Row],[automation_risk_percent]]&gt;0.7,"Highly Automatable",
IF(Table1[[#This Row],[automation_risk_percent]]&gt;0.4,"Moderate Risk","Safe Job"))</f>
        <v>Moderate Risk</v>
      </c>
    </row>
    <row r="1958" spans="1:24" x14ac:dyDescent="0.3">
      <c r="A1958">
        <v>6960</v>
      </c>
      <c r="B1958" t="s">
        <v>29</v>
      </c>
      <c r="C1958" t="s">
        <v>40</v>
      </c>
      <c r="D1958" t="s">
        <v>36</v>
      </c>
      <c r="E1958" s="1">
        <v>2026</v>
      </c>
      <c r="F1958" s="11">
        <v>0.86360000000000003</v>
      </c>
      <c r="G1958">
        <v>80.56</v>
      </c>
      <c r="H1958">
        <v>66.56</v>
      </c>
      <c r="I1958" s="2">
        <v>133049.82</v>
      </c>
      <c r="J1958" s="2">
        <v>137825.44</v>
      </c>
      <c r="K1958" s="2">
        <f>Table1[[#This Row],[Salary_after]]-Table1[[#This Row],[Salary_before]]</f>
        <v>4775.6199999999953</v>
      </c>
      <c r="L1958" s="11">
        <v>3.5900000000000001E-2</v>
      </c>
      <c r="M1958" s="11">
        <v>-6.1999999999999998E-3</v>
      </c>
      <c r="N1958">
        <v>26.94</v>
      </c>
      <c r="O1958">
        <v>58.02</v>
      </c>
      <c r="P1958">
        <v>4</v>
      </c>
      <c r="Q1958" t="s">
        <v>37</v>
      </c>
      <c r="R1958">
        <v>76.459999999999994</v>
      </c>
      <c r="S1958">
        <v>3.59</v>
      </c>
      <c r="T1958" s="4">
        <v>55.588999999999999</v>
      </c>
      <c r="U1958" s="4">
        <v>50.106071999999998</v>
      </c>
      <c r="V1958" t="str">
        <f>IF(Table1[[#This Row],[ai_disruption_intensity]]&gt;70,"High",
IF(Table1[[#This Row],[ai_disruption_intensity]]&gt;40,"Medium","Low"))</f>
        <v>Medium</v>
      </c>
      <c r="W1958" t="str">
        <f>IF(Table1[[#This Row],[skill_gap_index]]&gt;70,"Large Gap",
IF(Table1[[#This Row],[skill_gap_index]]&gt;40,"Medium Gap","Small Gap"))</f>
        <v>Medium Gap</v>
      </c>
      <c r="X1958" s="3" t="str">
        <f>IF(Table1[[#This Row],[automation_risk_percent]]&gt;0.7,"Highly Automatable",
IF(Table1[[#This Row],[automation_risk_percent]]&gt;0.4,"Moderate Risk","Safe Job"))</f>
        <v>Highly Automatable</v>
      </c>
    </row>
    <row r="1959" spans="1:24" x14ac:dyDescent="0.3">
      <c r="A1959">
        <v>6976</v>
      </c>
      <c r="B1959" t="s">
        <v>46</v>
      </c>
      <c r="C1959" t="s">
        <v>40</v>
      </c>
      <c r="D1959" t="s">
        <v>24</v>
      </c>
      <c r="E1959" s="1">
        <v>2025</v>
      </c>
      <c r="F1959" s="11">
        <v>0.5292</v>
      </c>
      <c r="G1959">
        <v>44.89</v>
      </c>
      <c r="H1959">
        <v>15.57</v>
      </c>
      <c r="I1959" s="2">
        <v>116946.43</v>
      </c>
      <c r="J1959" s="2">
        <v>115091.06</v>
      </c>
      <c r="K1959" s="2">
        <f>Table1[[#This Row],[Salary_after]]-Table1[[#This Row],[Salary_before]]</f>
        <v>-1855.3699999999953</v>
      </c>
      <c r="L1959" s="11">
        <v>-1.5900000000000001E-2</v>
      </c>
      <c r="M1959" s="11">
        <v>5.3E-3</v>
      </c>
      <c r="N1959">
        <v>92.63</v>
      </c>
      <c r="O1959">
        <v>57.44</v>
      </c>
      <c r="P1959">
        <v>3</v>
      </c>
      <c r="Q1959" t="s">
        <v>25</v>
      </c>
      <c r="R1959">
        <v>34.244999999999997</v>
      </c>
      <c r="S1959">
        <v>1.59</v>
      </c>
      <c r="T1959" s="4">
        <v>26.315999999999999</v>
      </c>
      <c r="U1959" s="4">
        <v>30.397248000000001</v>
      </c>
      <c r="V1959" t="str">
        <f>IF(Table1[[#This Row],[ai_disruption_intensity]]&gt;70,"High",
IF(Table1[[#This Row],[ai_disruption_intensity]]&gt;40,"Medium","Low"))</f>
        <v>Low</v>
      </c>
      <c r="W1959" t="str">
        <f>IF(Table1[[#This Row],[skill_gap_index]]&gt;70,"Large Gap",
IF(Table1[[#This Row],[skill_gap_index]]&gt;40,"Medium Gap","Small Gap"))</f>
        <v>Small Gap</v>
      </c>
      <c r="X1959" s="3" t="str">
        <f>IF(Table1[[#This Row],[automation_risk_percent]]&gt;0.7,"Highly Automatable",
IF(Table1[[#This Row],[automation_risk_percent]]&gt;0.4,"Moderate Risk","Safe Job"))</f>
        <v>Moderate Risk</v>
      </c>
    </row>
    <row r="1960" spans="1:24" x14ac:dyDescent="0.3">
      <c r="A1960">
        <v>6980</v>
      </c>
      <c r="B1960" t="s">
        <v>22</v>
      </c>
      <c r="C1960" t="s">
        <v>27</v>
      </c>
      <c r="D1960" t="s">
        <v>28</v>
      </c>
      <c r="E1960" s="1">
        <v>2026</v>
      </c>
      <c r="F1960" s="11">
        <v>0.23760000000000001</v>
      </c>
      <c r="G1960">
        <v>24.92</v>
      </c>
      <c r="H1960">
        <v>56.71</v>
      </c>
      <c r="I1960" s="2">
        <v>59867.4</v>
      </c>
      <c r="J1960" s="2">
        <v>59541.33</v>
      </c>
      <c r="K1960" s="2">
        <f>Table1[[#This Row],[Salary_after]]-Table1[[#This Row],[Salary_before]]</f>
        <v>-326.06999999999971</v>
      </c>
      <c r="L1960" s="11">
        <v>-5.4000000000000003E-3</v>
      </c>
      <c r="M1960" s="11">
        <v>1.6399999999999998E-2</v>
      </c>
      <c r="N1960">
        <v>42.31</v>
      </c>
      <c r="O1960">
        <v>88.28</v>
      </c>
      <c r="P1960">
        <v>4</v>
      </c>
      <c r="Q1960" t="s">
        <v>21</v>
      </c>
      <c r="R1960">
        <v>40.234999999999999</v>
      </c>
      <c r="S1960">
        <v>0.54</v>
      </c>
      <c r="T1960" s="4">
        <v>26.678999999999998</v>
      </c>
      <c r="U1960" s="4">
        <v>20.975328000000001</v>
      </c>
      <c r="V1960" t="str">
        <f>IF(Table1[[#This Row],[ai_disruption_intensity]]&gt;70,"High",
IF(Table1[[#This Row],[ai_disruption_intensity]]&gt;40,"Medium","Low"))</f>
        <v>Low</v>
      </c>
      <c r="W1960" t="str">
        <f>IF(Table1[[#This Row],[skill_gap_index]]&gt;70,"Large Gap",
IF(Table1[[#This Row],[skill_gap_index]]&gt;40,"Medium Gap","Small Gap"))</f>
        <v>Medium Gap</v>
      </c>
      <c r="X1960" s="3" t="str">
        <f>IF(Table1[[#This Row],[automation_risk_percent]]&gt;0.7,"Highly Automatable",
IF(Table1[[#This Row],[automation_risk_percent]]&gt;0.4,"Moderate Risk","Safe Job"))</f>
        <v>Safe Job</v>
      </c>
    </row>
    <row r="1961" spans="1:24" x14ac:dyDescent="0.3">
      <c r="A1961">
        <v>6985</v>
      </c>
      <c r="B1961" t="s">
        <v>45</v>
      </c>
      <c r="C1961" t="s">
        <v>19</v>
      </c>
      <c r="D1961" t="s">
        <v>42</v>
      </c>
      <c r="E1961" s="1">
        <v>2026</v>
      </c>
      <c r="F1961" s="11">
        <v>0.52810000000000001</v>
      </c>
      <c r="G1961">
        <v>47.8</v>
      </c>
      <c r="H1961">
        <v>23.73</v>
      </c>
      <c r="I1961" s="2">
        <v>88012.71</v>
      </c>
      <c r="J1961" s="2">
        <v>88889.89</v>
      </c>
      <c r="K1961" s="2">
        <f>Table1[[#This Row],[Salary_after]]-Table1[[#This Row],[Salary_before]]</f>
        <v>877.17999999999302</v>
      </c>
      <c r="L1961" s="11">
        <v>0.01</v>
      </c>
      <c r="M1961" s="11">
        <v>1.7600000000000001E-2</v>
      </c>
      <c r="N1961">
        <v>84.06</v>
      </c>
      <c r="O1961">
        <v>72.739999999999995</v>
      </c>
      <c r="P1961">
        <v>2</v>
      </c>
      <c r="Q1961" t="s">
        <v>25</v>
      </c>
      <c r="R1961">
        <v>38.270000000000003</v>
      </c>
      <c r="S1961">
        <v>1</v>
      </c>
      <c r="T1961" s="4">
        <v>28.542999999999999</v>
      </c>
      <c r="U1961" s="4">
        <v>38.413993999999903</v>
      </c>
      <c r="V1961" t="str">
        <f>IF(Table1[[#This Row],[ai_disruption_intensity]]&gt;70,"High",
IF(Table1[[#This Row],[ai_disruption_intensity]]&gt;40,"Medium","Low"))</f>
        <v>Low</v>
      </c>
      <c r="W1961" t="str">
        <f>IF(Table1[[#This Row],[skill_gap_index]]&gt;70,"Large Gap",
IF(Table1[[#This Row],[skill_gap_index]]&gt;40,"Medium Gap","Small Gap"))</f>
        <v>Small Gap</v>
      </c>
      <c r="X1961" s="3" t="str">
        <f>IF(Table1[[#This Row],[automation_risk_percent]]&gt;0.7,"Highly Automatable",
IF(Table1[[#This Row],[automation_risk_percent]]&gt;0.4,"Moderate Risk","Safe Job"))</f>
        <v>Moderate Risk</v>
      </c>
    </row>
    <row r="1962" spans="1:24" x14ac:dyDescent="0.3">
      <c r="A1962">
        <v>6992</v>
      </c>
      <c r="B1962" t="s">
        <v>45</v>
      </c>
      <c r="C1962" t="s">
        <v>19</v>
      </c>
      <c r="D1962" t="s">
        <v>42</v>
      </c>
      <c r="E1962" s="1">
        <v>2026</v>
      </c>
      <c r="F1962" s="11">
        <v>0.23319999999999999</v>
      </c>
      <c r="G1962">
        <v>25.74</v>
      </c>
      <c r="H1962">
        <v>32.08</v>
      </c>
      <c r="I1962" s="2">
        <v>83003.88</v>
      </c>
      <c r="J1962" s="2">
        <v>89285.759999999995</v>
      </c>
      <c r="K1962" s="2">
        <f>Table1[[#This Row],[Salary_after]]-Table1[[#This Row],[Salary_before]]</f>
        <v>6281.8799999999901</v>
      </c>
      <c r="L1962" s="11">
        <v>7.5700000000000003E-2</v>
      </c>
      <c r="M1962" s="11">
        <v>0.1709</v>
      </c>
      <c r="N1962">
        <v>45.97</v>
      </c>
      <c r="O1962">
        <v>7.1</v>
      </c>
      <c r="P1962">
        <v>3</v>
      </c>
      <c r="Q1962" t="s">
        <v>21</v>
      </c>
      <c r="R1962">
        <v>27.7</v>
      </c>
      <c r="S1962">
        <v>7.57</v>
      </c>
      <c r="T1962" s="4">
        <v>21.222999999999999</v>
      </c>
      <c r="U1962" s="4">
        <v>1.6557200000000001</v>
      </c>
      <c r="V1962" t="str">
        <f>IF(Table1[[#This Row],[ai_disruption_intensity]]&gt;70,"High",
IF(Table1[[#This Row],[ai_disruption_intensity]]&gt;40,"Medium","Low"))</f>
        <v>Low</v>
      </c>
      <c r="W1962" t="str">
        <f>IF(Table1[[#This Row],[skill_gap_index]]&gt;70,"Large Gap",
IF(Table1[[#This Row],[skill_gap_index]]&gt;40,"Medium Gap","Small Gap"))</f>
        <v>Small Gap</v>
      </c>
      <c r="X1962" s="3" t="str">
        <f>IF(Table1[[#This Row],[automation_risk_percent]]&gt;0.7,"Highly Automatable",
IF(Table1[[#This Row],[automation_risk_percent]]&gt;0.4,"Moderate Risk","Safe Job"))</f>
        <v>Safe Job</v>
      </c>
    </row>
    <row r="1963" spans="1:24" x14ac:dyDescent="0.3">
      <c r="A1963">
        <v>6995</v>
      </c>
      <c r="B1963" t="s">
        <v>39</v>
      </c>
      <c r="C1963" t="s">
        <v>38</v>
      </c>
      <c r="D1963" t="s">
        <v>32</v>
      </c>
      <c r="E1963" s="1">
        <v>2025</v>
      </c>
      <c r="F1963" s="11">
        <v>0.1827</v>
      </c>
      <c r="G1963">
        <v>19.670000000000002</v>
      </c>
      <c r="H1963">
        <v>90.76</v>
      </c>
      <c r="I1963" s="2">
        <v>136686.98000000001</v>
      </c>
      <c r="J1963" s="2">
        <v>121257.95</v>
      </c>
      <c r="K1963" s="2">
        <f>Table1[[#This Row],[Salary_after]]-Table1[[#This Row],[Salary_before]]</f>
        <v>-15429.030000000013</v>
      </c>
      <c r="L1963" s="11">
        <v>-0.11289999999999999</v>
      </c>
      <c r="M1963" s="11">
        <v>-2.3700000000000002E-2</v>
      </c>
      <c r="N1963">
        <v>34.659999999999997</v>
      </c>
      <c r="O1963">
        <v>28.73</v>
      </c>
      <c r="P1963">
        <v>4</v>
      </c>
      <c r="Q1963" t="s">
        <v>21</v>
      </c>
      <c r="R1963">
        <v>54.515000000000001</v>
      </c>
      <c r="S1963">
        <v>11.29</v>
      </c>
      <c r="T1963" s="4">
        <v>37.923000000000002</v>
      </c>
      <c r="U1963" s="4">
        <v>5.2489710000000001</v>
      </c>
      <c r="V1963" t="str">
        <f>IF(Table1[[#This Row],[ai_disruption_intensity]]&gt;70,"High",
IF(Table1[[#This Row],[ai_disruption_intensity]]&gt;40,"Medium","Low"))</f>
        <v>Low</v>
      </c>
      <c r="W1963" t="str">
        <f>IF(Table1[[#This Row],[skill_gap_index]]&gt;70,"Large Gap",
IF(Table1[[#This Row],[skill_gap_index]]&gt;40,"Medium Gap","Small Gap"))</f>
        <v>Large Gap</v>
      </c>
      <c r="X1963" s="3" t="str">
        <f>IF(Table1[[#This Row],[automation_risk_percent]]&gt;0.7,"Highly Automatable",
IF(Table1[[#This Row],[automation_risk_percent]]&gt;0.4,"Moderate Risk","Safe Job"))</f>
        <v>Safe Job</v>
      </c>
    </row>
    <row r="1964" spans="1:24" x14ac:dyDescent="0.3">
      <c r="A1964">
        <v>7001</v>
      </c>
      <c r="B1964" t="s">
        <v>44</v>
      </c>
      <c r="C1964" t="s">
        <v>27</v>
      </c>
      <c r="D1964" t="s">
        <v>24</v>
      </c>
      <c r="E1964" s="1">
        <v>2026</v>
      </c>
      <c r="F1964" s="11">
        <v>0.78420000000000001</v>
      </c>
      <c r="G1964">
        <v>71.02</v>
      </c>
      <c r="H1964">
        <v>28.24</v>
      </c>
      <c r="I1964" s="2">
        <v>117868.93</v>
      </c>
      <c r="J1964" s="2">
        <v>105254.43</v>
      </c>
      <c r="K1964" s="2">
        <f>Table1[[#This Row],[Salary_after]]-Table1[[#This Row],[Salary_before]]</f>
        <v>-12614.5</v>
      </c>
      <c r="L1964" s="11">
        <v>-0.107</v>
      </c>
      <c r="M1964" s="11">
        <v>0.28960000000000002</v>
      </c>
      <c r="N1964">
        <v>20.48</v>
      </c>
      <c r="O1964">
        <v>8.15</v>
      </c>
      <c r="P1964">
        <v>1</v>
      </c>
      <c r="Q1964" t="s">
        <v>37</v>
      </c>
      <c r="R1964">
        <v>53.33</v>
      </c>
      <c r="S1964">
        <v>10.7</v>
      </c>
      <c r="T1964" s="4">
        <v>43.05</v>
      </c>
      <c r="U1964" s="4">
        <v>6.3912300000000002</v>
      </c>
      <c r="V1964" t="str">
        <f>IF(Table1[[#This Row],[ai_disruption_intensity]]&gt;70,"High",
IF(Table1[[#This Row],[ai_disruption_intensity]]&gt;40,"Medium","Low"))</f>
        <v>Low</v>
      </c>
      <c r="W1964" t="str">
        <f>IF(Table1[[#This Row],[skill_gap_index]]&gt;70,"Large Gap",
IF(Table1[[#This Row],[skill_gap_index]]&gt;40,"Medium Gap","Small Gap"))</f>
        <v>Small Gap</v>
      </c>
      <c r="X1964" s="3" t="str">
        <f>IF(Table1[[#This Row],[automation_risk_percent]]&gt;0.7,"Highly Automatable",
IF(Table1[[#This Row],[automation_risk_percent]]&gt;0.4,"Moderate Risk","Safe Job"))</f>
        <v>Highly Automatable</v>
      </c>
    </row>
    <row r="1965" spans="1:24" x14ac:dyDescent="0.3">
      <c r="A1965">
        <v>7004</v>
      </c>
      <c r="B1965" t="s">
        <v>43</v>
      </c>
      <c r="C1965" t="s">
        <v>33</v>
      </c>
      <c r="D1965" t="s">
        <v>32</v>
      </c>
      <c r="E1965" s="1">
        <v>2025</v>
      </c>
      <c r="F1965" s="11">
        <v>0.1275</v>
      </c>
      <c r="G1965">
        <v>14.09</v>
      </c>
      <c r="H1965">
        <v>62.62</v>
      </c>
      <c r="I1965" s="2">
        <v>82810.87</v>
      </c>
      <c r="J1965" s="2">
        <v>85451.5</v>
      </c>
      <c r="K1965" s="2">
        <f>Table1[[#This Row],[Salary_after]]-Table1[[#This Row],[Salary_before]]</f>
        <v>2640.6300000000047</v>
      </c>
      <c r="L1965" s="11">
        <v>3.1899999999999998E-2</v>
      </c>
      <c r="M1965" s="11">
        <v>8.4000000000000005E-2</v>
      </c>
      <c r="N1965">
        <v>39.21</v>
      </c>
      <c r="O1965">
        <v>83.8</v>
      </c>
      <c r="P1965">
        <v>2</v>
      </c>
      <c r="Q1965" t="s">
        <v>21</v>
      </c>
      <c r="R1965">
        <v>37.685000000000002</v>
      </c>
      <c r="S1965">
        <v>3.19</v>
      </c>
      <c r="T1965" s="4">
        <v>24.843</v>
      </c>
      <c r="U1965" s="4">
        <v>10.6845</v>
      </c>
      <c r="V1965" t="str">
        <f>IF(Table1[[#This Row],[ai_disruption_intensity]]&gt;70,"High",
IF(Table1[[#This Row],[ai_disruption_intensity]]&gt;40,"Medium","Low"))</f>
        <v>Low</v>
      </c>
      <c r="W1965" t="str">
        <f>IF(Table1[[#This Row],[skill_gap_index]]&gt;70,"Large Gap",
IF(Table1[[#This Row],[skill_gap_index]]&gt;40,"Medium Gap","Small Gap"))</f>
        <v>Medium Gap</v>
      </c>
      <c r="X1965" s="3" t="str">
        <f>IF(Table1[[#This Row],[automation_risk_percent]]&gt;0.7,"Highly Automatable",
IF(Table1[[#This Row],[automation_risk_percent]]&gt;0.4,"Moderate Risk","Safe Job"))</f>
        <v>Safe Job</v>
      </c>
    </row>
    <row r="1966" spans="1:24" x14ac:dyDescent="0.3">
      <c r="A1966">
        <v>7006</v>
      </c>
      <c r="B1966" t="s">
        <v>29</v>
      </c>
      <c r="C1966" t="s">
        <v>40</v>
      </c>
      <c r="D1966" t="s">
        <v>32</v>
      </c>
      <c r="E1966" s="1">
        <v>2026</v>
      </c>
      <c r="F1966" s="11">
        <v>0.60799999999999998</v>
      </c>
      <c r="G1966">
        <v>52.5</v>
      </c>
      <c r="H1966">
        <v>17.43</v>
      </c>
      <c r="I1966" s="2">
        <v>33521.65</v>
      </c>
      <c r="J1966" s="2">
        <v>33253.5</v>
      </c>
      <c r="K1966" s="2">
        <f>Table1[[#This Row],[Salary_after]]-Table1[[#This Row],[Salary_before]]</f>
        <v>-268.15000000000146</v>
      </c>
      <c r="L1966" s="11">
        <v>-8.0000000000000002E-3</v>
      </c>
      <c r="M1966" s="11">
        <v>2.3399999999999997E-2</v>
      </c>
      <c r="N1966">
        <v>23.2</v>
      </c>
      <c r="O1966">
        <v>91.91</v>
      </c>
      <c r="P1966">
        <v>4</v>
      </c>
      <c r="Q1966" t="s">
        <v>37</v>
      </c>
      <c r="R1966">
        <v>39.114999999999903</v>
      </c>
      <c r="S1966">
        <v>0.8</v>
      </c>
      <c r="T1966" s="4">
        <v>29.788999999999898</v>
      </c>
      <c r="U1966" s="4">
        <v>55.881279999999997</v>
      </c>
      <c r="V1966" t="str">
        <f>IF(Table1[[#This Row],[ai_disruption_intensity]]&gt;70,"High",
IF(Table1[[#This Row],[ai_disruption_intensity]]&gt;40,"Medium","Low"))</f>
        <v>Medium</v>
      </c>
      <c r="W1966" t="str">
        <f>IF(Table1[[#This Row],[skill_gap_index]]&gt;70,"Large Gap",
IF(Table1[[#This Row],[skill_gap_index]]&gt;40,"Medium Gap","Small Gap"))</f>
        <v>Small Gap</v>
      </c>
      <c r="X1966" s="3" t="str">
        <f>IF(Table1[[#This Row],[automation_risk_percent]]&gt;0.7,"Highly Automatable",
IF(Table1[[#This Row],[automation_risk_percent]]&gt;0.4,"Moderate Risk","Safe Job"))</f>
        <v>Moderate Risk</v>
      </c>
    </row>
    <row r="1967" spans="1:24" x14ac:dyDescent="0.3">
      <c r="A1967">
        <v>7010</v>
      </c>
      <c r="B1967" t="s">
        <v>46</v>
      </c>
      <c r="C1967" t="s">
        <v>40</v>
      </c>
      <c r="D1967" t="s">
        <v>28</v>
      </c>
      <c r="E1967" s="1">
        <v>2026</v>
      </c>
      <c r="F1967" s="11">
        <v>0.65510000000000002</v>
      </c>
      <c r="G1967">
        <v>52.43</v>
      </c>
      <c r="H1967">
        <v>35.380000000000003</v>
      </c>
      <c r="I1967" s="2">
        <v>74350.03</v>
      </c>
      <c r="J1967" s="2">
        <v>76495.33</v>
      </c>
      <c r="K1967" s="2">
        <f>Table1[[#This Row],[Salary_after]]-Table1[[#This Row],[Salary_before]]</f>
        <v>2145.3000000000029</v>
      </c>
      <c r="L1967" s="11">
        <v>2.8900000000000002E-2</v>
      </c>
      <c r="M1967" s="11">
        <v>0.24410000000000001</v>
      </c>
      <c r="N1967">
        <v>46.45</v>
      </c>
      <c r="O1967">
        <v>89.54</v>
      </c>
      <c r="P1967">
        <v>2</v>
      </c>
      <c r="Q1967" t="s">
        <v>37</v>
      </c>
      <c r="R1967">
        <v>50.445</v>
      </c>
      <c r="S1967">
        <v>2.89</v>
      </c>
      <c r="T1967" s="4">
        <v>37.685000000000002</v>
      </c>
      <c r="U1967" s="4">
        <v>58.657654000000001</v>
      </c>
      <c r="V1967" t="str">
        <f>IF(Table1[[#This Row],[ai_disruption_intensity]]&gt;70,"High",
IF(Table1[[#This Row],[ai_disruption_intensity]]&gt;40,"Medium","Low"))</f>
        <v>Medium</v>
      </c>
      <c r="W1967" t="str">
        <f>IF(Table1[[#This Row],[skill_gap_index]]&gt;70,"Large Gap",
IF(Table1[[#This Row],[skill_gap_index]]&gt;40,"Medium Gap","Small Gap"))</f>
        <v>Small Gap</v>
      </c>
      <c r="X1967" s="3" t="str">
        <f>IF(Table1[[#This Row],[automation_risk_percent]]&gt;0.7,"Highly Automatable",
IF(Table1[[#This Row],[automation_risk_percent]]&gt;0.4,"Moderate Risk","Safe Job"))</f>
        <v>Moderate Risk</v>
      </c>
    </row>
    <row r="1968" spans="1:24" x14ac:dyDescent="0.3">
      <c r="A1968">
        <v>7011</v>
      </c>
      <c r="B1968" t="s">
        <v>45</v>
      </c>
      <c r="C1968" t="s">
        <v>40</v>
      </c>
      <c r="D1968" t="s">
        <v>28</v>
      </c>
      <c r="E1968" s="1">
        <v>2026</v>
      </c>
      <c r="F1968" s="11">
        <v>0.28510000000000002</v>
      </c>
      <c r="G1968">
        <v>26.63</v>
      </c>
      <c r="H1968">
        <v>95.26</v>
      </c>
      <c r="I1968" s="2">
        <v>37755</v>
      </c>
      <c r="J1968" s="2">
        <v>40462.32</v>
      </c>
      <c r="K1968" s="2">
        <f>Table1[[#This Row],[Salary_after]]-Table1[[#This Row],[Salary_before]]</f>
        <v>2707.3199999999997</v>
      </c>
      <c r="L1968" s="11">
        <v>7.17E-2</v>
      </c>
      <c r="M1968" s="11">
        <v>0.14230000000000001</v>
      </c>
      <c r="N1968">
        <v>91.17</v>
      </c>
      <c r="O1968">
        <v>9.06</v>
      </c>
      <c r="P1968">
        <v>1</v>
      </c>
      <c r="Q1968" t="s">
        <v>21</v>
      </c>
      <c r="R1968">
        <v>61.884999999999998</v>
      </c>
      <c r="S1968">
        <v>7.17</v>
      </c>
      <c r="T1968" s="4">
        <v>42.132999999999903</v>
      </c>
      <c r="U1968" s="4">
        <v>2.5830060000000001</v>
      </c>
      <c r="V1968" t="str">
        <f>IF(Table1[[#This Row],[ai_disruption_intensity]]&gt;70,"High",
IF(Table1[[#This Row],[ai_disruption_intensity]]&gt;40,"Medium","Low"))</f>
        <v>Low</v>
      </c>
      <c r="W1968" t="str">
        <f>IF(Table1[[#This Row],[skill_gap_index]]&gt;70,"Large Gap",
IF(Table1[[#This Row],[skill_gap_index]]&gt;40,"Medium Gap","Small Gap"))</f>
        <v>Large Gap</v>
      </c>
      <c r="X1968" s="3" t="str">
        <f>IF(Table1[[#This Row],[automation_risk_percent]]&gt;0.7,"Highly Automatable",
IF(Table1[[#This Row],[automation_risk_percent]]&gt;0.4,"Moderate Risk","Safe Job"))</f>
        <v>Safe Job</v>
      </c>
    </row>
    <row r="1969" spans="1:24" x14ac:dyDescent="0.3">
      <c r="A1969">
        <v>7015</v>
      </c>
      <c r="B1969" t="s">
        <v>26</v>
      </c>
      <c r="C1969" t="s">
        <v>33</v>
      </c>
      <c r="D1969" t="s">
        <v>32</v>
      </c>
      <c r="E1969" s="1">
        <v>2025</v>
      </c>
      <c r="F1969" s="11">
        <v>0.21780000000000002</v>
      </c>
      <c r="G1969">
        <v>25.65</v>
      </c>
      <c r="H1969">
        <v>42.19</v>
      </c>
      <c r="I1969" s="2">
        <v>124749.04</v>
      </c>
      <c r="J1969" s="2">
        <v>107096.14</v>
      </c>
      <c r="K1969" s="2">
        <f>Table1[[#This Row],[Salary_after]]-Table1[[#This Row],[Salary_before]]</f>
        <v>-17652.899999999994</v>
      </c>
      <c r="L1969" s="11">
        <v>-0.14150000000000001</v>
      </c>
      <c r="M1969" s="11">
        <v>0.15560000000000002</v>
      </c>
      <c r="N1969">
        <v>21.14</v>
      </c>
      <c r="O1969">
        <v>79.77</v>
      </c>
      <c r="P1969">
        <v>5</v>
      </c>
      <c r="Q1969" t="s">
        <v>21</v>
      </c>
      <c r="R1969">
        <v>31.984999999999999</v>
      </c>
      <c r="S1969">
        <v>14.15</v>
      </c>
      <c r="T1969" s="4">
        <v>25.614000000000001</v>
      </c>
      <c r="U1969" s="4">
        <v>17.373905999999899</v>
      </c>
      <c r="V1969" t="str">
        <f>IF(Table1[[#This Row],[ai_disruption_intensity]]&gt;70,"High",
IF(Table1[[#This Row],[ai_disruption_intensity]]&gt;40,"Medium","Low"))</f>
        <v>Low</v>
      </c>
      <c r="W1969" t="str">
        <f>IF(Table1[[#This Row],[skill_gap_index]]&gt;70,"Large Gap",
IF(Table1[[#This Row],[skill_gap_index]]&gt;40,"Medium Gap","Small Gap"))</f>
        <v>Medium Gap</v>
      </c>
      <c r="X1969" s="3" t="str">
        <f>IF(Table1[[#This Row],[automation_risk_percent]]&gt;0.7,"Highly Automatable",
IF(Table1[[#This Row],[automation_risk_percent]]&gt;0.4,"Moderate Risk","Safe Job"))</f>
        <v>Safe Job</v>
      </c>
    </row>
    <row r="1970" spans="1:24" x14ac:dyDescent="0.3">
      <c r="A1970">
        <v>7022</v>
      </c>
      <c r="B1970" t="s">
        <v>44</v>
      </c>
      <c r="C1970" t="s">
        <v>40</v>
      </c>
      <c r="D1970" t="s">
        <v>31</v>
      </c>
      <c r="E1970" s="1">
        <v>2026</v>
      </c>
      <c r="F1970" s="11">
        <v>0.56179999999999997</v>
      </c>
      <c r="G1970">
        <v>50.66</v>
      </c>
      <c r="H1970">
        <v>14.21</v>
      </c>
      <c r="I1970" s="2">
        <v>143198.63</v>
      </c>
      <c r="J1970" s="2">
        <v>131654.32999999999</v>
      </c>
      <c r="K1970" s="2">
        <f>Table1[[#This Row],[Salary_after]]-Table1[[#This Row],[Salary_before]]</f>
        <v>-11544.300000000017</v>
      </c>
      <c r="L1970" s="11">
        <v>-8.0600000000000005E-2</v>
      </c>
      <c r="M1970" s="11">
        <v>7.7199999999999991E-2</v>
      </c>
      <c r="N1970">
        <v>66.94</v>
      </c>
      <c r="O1970">
        <v>17.63</v>
      </c>
      <c r="P1970">
        <v>2</v>
      </c>
      <c r="Q1970" t="s">
        <v>25</v>
      </c>
      <c r="R1970">
        <v>35.195</v>
      </c>
      <c r="S1970">
        <v>8.06</v>
      </c>
      <c r="T1970" s="4">
        <v>29.152999999999999</v>
      </c>
      <c r="U1970" s="4">
        <v>9.9045339999999999</v>
      </c>
      <c r="V1970" t="str">
        <f>IF(Table1[[#This Row],[ai_disruption_intensity]]&gt;70,"High",
IF(Table1[[#This Row],[ai_disruption_intensity]]&gt;40,"Medium","Low"))</f>
        <v>Low</v>
      </c>
      <c r="W1970" t="str">
        <f>IF(Table1[[#This Row],[skill_gap_index]]&gt;70,"Large Gap",
IF(Table1[[#This Row],[skill_gap_index]]&gt;40,"Medium Gap","Small Gap"))</f>
        <v>Small Gap</v>
      </c>
      <c r="X1970" s="3" t="str">
        <f>IF(Table1[[#This Row],[automation_risk_percent]]&gt;0.7,"Highly Automatable",
IF(Table1[[#This Row],[automation_risk_percent]]&gt;0.4,"Moderate Risk","Safe Job"))</f>
        <v>Moderate Risk</v>
      </c>
    </row>
    <row r="1971" spans="1:24" x14ac:dyDescent="0.3">
      <c r="A1971">
        <v>7027</v>
      </c>
      <c r="B1971" t="s">
        <v>41</v>
      </c>
      <c r="C1971" t="s">
        <v>38</v>
      </c>
      <c r="D1971" t="s">
        <v>20</v>
      </c>
      <c r="E1971" s="1">
        <v>2025</v>
      </c>
      <c r="F1971" s="11">
        <v>0.81900000000000006</v>
      </c>
      <c r="G1971">
        <v>97.25</v>
      </c>
      <c r="H1971">
        <v>22.71</v>
      </c>
      <c r="I1971" s="2">
        <v>45440.45</v>
      </c>
      <c r="J1971" s="2">
        <v>43860.32</v>
      </c>
      <c r="K1971" s="2">
        <f>Table1[[#This Row],[Salary_after]]-Table1[[#This Row],[Salary_before]]</f>
        <v>-1580.1299999999974</v>
      </c>
      <c r="L1971" s="11">
        <v>-3.4799999999999998E-2</v>
      </c>
      <c r="M1971" s="11">
        <v>-0.14510000000000001</v>
      </c>
      <c r="N1971">
        <v>37.090000000000003</v>
      </c>
      <c r="O1971">
        <v>97.05</v>
      </c>
      <c r="P1971">
        <v>2</v>
      </c>
      <c r="Q1971" t="s">
        <v>37</v>
      </c>
      <c r="R1971">
        <v>52.305</v>
      </c>
      <c r="S1971">
        <v>3.48</v>
      </c>
      <c r="T1971" s="4">
        <v>40.616999999999997</v>
      </c>
      <c r="U1971" s="4">
        <v>79.483949999999993</v>
      </c>
      <c r="V1971" t="str">
        <f>IF(Table1[[#This Row],[ai_disruption_intensity]]&gt;70,"High",
IF(Table1[[#This Row],[ai_disruption_intensity]]&gt;40,"Medium","Low"))</f>
        <v>High</v>
      </c>
      <c r="W1971" t="str">
        <f>IF(Table1[[#This Row],[skill_gap_index]]&gt;70,"Large Gap",
IF(Table1[[#This Row],[skill_gap_index]]&gt;40,"Medium Gap","Small Gap"))</f>
        <v>Small Gap</v>
      </c>
      <c r="X1971" s="3" t="str">
        <f>IF(Table1[[#This Row],[automation_risk_percent]]&gt;0.7,"Highly Automatable",
IF(Table1[[#This Row],[automation_risk_percent]]&gt;0.4,"Moderate Risk","Safe Job"))</f>
        <v>Highly Automatable</v>
      </c>
    </row>
    <row r="1972" spans="1:24" x14ac:dyDescent="0.3">
      <c r="A1972">
        <v>7030</v>
      </c>
      <c r="B1972" t="s">
        <v>46</v>
      </c>
      <c r="C1972" t="s">
        <v>38</v>
      </c>
      <c r="D1972" t="s">
        <v>32</v>
      </c>
      <c r="E1972" s="1">
        <v>2025</v>
      </c>
      <c r="F1972" s="11">
        <v>0.54669999999999996</v>
      </c>
      <c r="G1972">
        <v>46.81</v>
      </c>
      <c r="H1972">
        <v>36.74</v>
      </c>
      <c r="I1972" s="2">
        <v>95055.85</v>
      </c>
      <c r="J1972" s="2">
        <v>73820.990000000005</v>
      </c>
      <c r="K1972" s="2">
        <f>Table1[[#This Row],[Salary_after]]-Table1[[#This Row],[Salary_before]]</f>
        <v>-21234.86</v>
      </c>
      <c r="L1972" s="11">
        <v>-0.22339999999999999</v>
      </c>
      <c r="M1972" s="11">
        <v>-4.9800000000000004E-2</v>
      </c>
      <c r="N1972">
        <v>74.69</v>
      </c>
      <c r="O1972">
        <v>5.45</v>
      </c>
      <c r="P1972">
        <v>5</v>
      </c>
      <c r="Q1972" t="s">
        <v>25</v>
      </c>
      <c r="R1972">
        <v>45.704999999999998</v>
      </c>
      <c r="S1972">
        <v>22.34</v>
      </c>
      <c r="T1972" s="4">
        <v>39.591999999999999</v>
      </c>
      <c r="U1972" s="4">
        <v>2.9795150000000001</v>
      </c>
      <c r="V1972" t="str">
        <f>IF(Table1[[#This Row],[ai_disruption_intensity]]&gt;70,"High",
IF(Table1[[#This Row],[ai_disruption_intensity]]&gt;40,"Medium","Low"))</f>
        <v>Low</v>
      </c>
      <c r="W1972" t="str">
        <f>IF(Table1[[#This Row],[skill_gap_index]]&gt;70,"Large Gap",
IF(Table1[[#This Row],[skill_gap_index]]&gt;40,"Medium Gap","Small Gap"))</f>
        <v>Small Gap</v>
      </c>
      <c r="X1972" s="3" t="str">
        <f>IF(Table1[[#This Row],[automation_risk_percent]]&gt;0.7,"Highly Automatable",
IF(Table1[[#This Row],[automation_risk_percent]]&gt;0.4,"Moderate Risk","Safe Job"))</f>
        <v>Moderate Risk</v>
      </c>
    </row>
    <row r="1973" spans="1:24" x14ac:dyDescent="0.3">
      <c r="A1973">
        <v>7031</v>
      </c>
      <c r="B1973" t="s">
        <v>29</v>
      </c>
      <c r="C1973" t="s">
        <v>34</v>
      </c>
      <c r="D1973" t="s">
        <v>35</v>
      </c>
      <c r="E1973" s="1">
        <v>2025</v>
      </c>
      <c r="F1973" s="11">
        <v>0.57999999999999996</v>
      </c>
      <c r="G1973">
        <v>52.48</v>
      </c>
      <c r="H1973">
        <v>8.4600000000000009</v>
      </c>
      <c r="I1973" s="2">
        <v>85786.46</v>
      </c>
      <c r="J1973" s="2">
        <v>81201.259999999995</v>
      </c>
      <c r="K1973" s="2">
        <f>Table1[[#This Row],[Salary_after]]-Table1[[#This Row],[Salary_before]]</f>
        <v>-4585.2000000000116</v>
      </c>
      <c r="L1973" s="11">
        <v>-5.3399999999999996E-2</v>
      </c>
      <c r="M1973" s="11">
        <v>-2.2700000000000001E-2</v>
      </c>
      <c r="N1973">
        <v>55.63</v>
      </c>
      <c r="O1973">
        <v>97.37</v>
      </c>
      <c r="P1973">
        <v>3</v>
      </c>
      <c r="Q1973" t="s">
        <v>25</v>
      </c>
      <c r="R1973">
        <v>33.229999999999997</v>
      </c>
      <c r="S1973">
        <v>5.34</v>
      </c>
      <c r="T1973" s="4">
        <v>27.34</v>
      </c>
      <c r="U1973" s="4">
        <v>56.474600000000002</v>
      </c>
      <c r="V1973" t="str">
        <f>IF(Table1[[#This Row],[ai_disruption_intensity]]&gt;70,"High",
IF(Table1[[#This Row],[ai_disruption_intensity]]&gt;40,"Medium","Low"))</f>
        <v>Medium</v>
      </c>
      <c r="W1973" t="str">
        <f>IF(Table1[[#This Row],[skill_gap_index]]&gt;70,"Large Gap",
IF(Table1[[#This Row],[skill_gap_index]]&gt;40,"Medium Gap","Small Gap"))</f>
        <v>Small Gap</v>
      </c>
      <c r="X1973" s="3" t="str">
        <f>IF(Table1[[#This Row],[automation_risk_percent]]&gt;0.7,"Highly Automatable",
IF(Table1[[#This Row],[automation_risk_percent]]&gt;0.4,"Moderate Risk","Safe Job"))</f>
        <v>Moderate Risk</v>
      </c>
    </row>
    <row r="1974" spans="1:24" x14ac:dyDescent="0.3">
      <c r="A1974">
        <v>7033</v>
      </c>
      <c r="B1974" t="s">
        <v>44</v>
      </c>
      <c r="C1974" t="s">
        <v>34</v>
      </c>
      <c r="D1974" t="s">
        <v>32</v>
      </c>
      <c r="E1974" s="1">
        <v>2026</v>
      </c>
      <c r="F1974" s="11">
        <v>0.57189999999999996</v>
      </c>
      <c r="G1974">
        <v>59.27</v>
      </c>
      <c r="H1974">
        <v>97.78</v>
      </c>
      <c r="I1974" s="2">
        <v>45104.95</v>
      </c>
      <c r="J1974" s="2">
        <v>45007.3</v>
      </c>
      <c r="K1974" s="2">
        <f>Table1[[#This Row],[Salary_after]]-Table1[[#This Row],[Salary_before]]</f>
        <v>-97.649999999994179</v>
      </c>
      <c r="L1974" s="11">
        <v>-2.2000000000000001E-3</v>
      </c>
      <c r="M1974" s="11">
        <v>8.1600000000000006E-2</v>
      </c>
      <c r="N1974">
        <v>29.68</v>
      </c>
      <c r="O1974">
        <v>94.33</v>
      </c>
      <c r="P1974">
        <v>4</v>
      </c>
      <c r="Q1974" t="s">
        <v>25</v>
      </c>
      <c r="R1974">
        <v>77.484999999999999</v>
      </c>
      <c r="S1974">
        <v>0.22</v>
      </c>
      <c r="T1974" s="4">
        <v>52.276000000000003</v>
      </c>
      <c r="U1974" s="4">
        <v>53.947326999999902</v>
      </c>
      <c r="V1974" t="str">
        <f>IF(Table1[[#This Row],[ai_disruption_intensity]]&gt;70,"High",
IF(Table1[[#This Row],[ai_disruption_intensity]]&gt;40,"Medium","Low"))</f>
        <v>Medium</v>
      </c>
      <c r="W1974" t="str">
        <f>IF(Table1[[#This Row],[skill_gap_index]]&gt;70,"Large Gap",
IF(Table1[[#This Row],[skill_gap_index]]&gt;40,"Medium Gap","Small Gap"))</f>
        <v>Large Gap</v>
      </c>
      <c r="X1974" s="3" t="str">
        <f>IF(Table1[[#This Row],[automation_risk_percent]]&gt;0.7,"Highly Automatable",
IF(Table1[[#This Row],[automation_risk_percent]]&gt;0.4,"Moderate Risk","Safe Job"))</f>
        <v>Moderate Risk</v>
      </c>
    </row>
    <row r="1975" spans="1:24" x14ac:dyDescent="0.3">
      <c r="A1975">
        <v>7038</v>
      </c>
      <c r="B1975" t="s">
        <v>41</v>
      </c>
      <c r="C1975" t="s">
        <v>33</v>
      </c>
      <c r="D1975" t="s">
        <v>35</v>
      </c>
      <c r="E1975" s="1">
        <v>2025</v>
      </c>
      <c r="F1975" s="11">
        <v>0.44950000000000001</v>
      </c>
      <c r="G1975">
        <v>51.46</v>
      </c>
      <c r="H1975">
        <v>52.78</v>
      </c>
      <c r="I1975" s="2">
        <v>45694.84</v>
      </c>
      <c r="J1975" s="2">
        <v>42085.46</v>
      </c>
      <c r="K1975" s="2">
        <f>Table1[[#This Row],[Salary_after]]-Table1[[#This Row],[Salary_before]]</f>
        <v>-3609.3799999999974</v>
      </c>
      <c r="L1975" s="11">
        <v>-7.9000000000000001E-2</v>
      </c>
      <c r="M1975" s="11">
        <v>9.7799999999999998E-2</v>
      </c>
      <c r="N1975">
        <v>15.42</v>
      </c>
      <c r="O1975">
        <v>25.57</v>
      </c>
      <c r="P1975">
        <v>2</v>
      </c>
      <c r="Q1975" t="s">
        <v>25</v>
      </c>
      <c r="R1975">
        <v>48.865000000000002</v>
      </c>
      <c r="S1975">
        <v>7.9</v>
      </c>
      <c r="T1975" s="4">
        <v>36.183999999999997</v>
      </c>
      <c r="U1975" s="4">
        <v>11.493715</v>
      </c>
      <c r="V1975" t="str">
        <f>IF(Table1[[#This Row],[ai_disruption_intensity]]&gt;70,"High",
IF(Table1[[#This Row],[ai_disruption_intensity]]&gt;40,"Medium","Low"))</f>
        <v>Low</v>
      </c>
      <c r="W1975" t="str">
        <f>IF(Table1[[#This Row],[skill_gap_index]]&gt;70,"Large Gap",
IF(Table1[[#This Row],[skill_gap_index]]&gt;40,"Medium Gap","Small Gap"))</f>
        <v>Medium Gap</v>
      </c>
      <c r="X1975" s="3" t="str">
        <f>IF(Table1[[#This Row],[automation_risk_percent]]&gt;0.7,"Highly Automatable",
IF(Table1[[#This Row],[automation_risk_percent]]&gt;0.4,"Moderate Risk","Safe Job"))</f>
        <v>Moderate Risk</v>
      </c>
    </row>
    <row r="1976" spans="1:24" x14ac:dyDescent="0.3">
      <c r="A1976">
        <v>7041</v>
      </c>
      <c r="B1976" t="s">
        <v>29</v>
      </c>
      <c r="C1976" t="s">
        <v>40</v>
      </c>
      <c r="D1976" t="s">
        <v>42</v>
      </c>
      <c r="E1976" s="1">
        <v>2025</v>
      </c>
      <c r="F1976" s="11">
        <v>0.81920000000000004</v>
      </c>
      <c r="G1976">
        <v>69.02</v>
      </c>
      <c r="H1976">
        <v>90.02</v>
      </c>
      <c r="I1976" s="2">
        <v>32874.68</v>
      </c>
      <c r="J1976" s="2">
        <v>32984.39</v>
      </c>
      <c r="K1976" s="2">
        <f>Table1[[#This Row],[Salary_after]]-Table1[[#This Row],[Salary_before]]</f>
        <v>109.70999999999913</v>
      </c>
      <c r="L1976" s="11">
        <v>3.3E-3</v>
      </c>
      <c r="M1976" s="11">
        <v>-0.24660000000000001</v>
      </c>
      <c r="N1976">
        <v>85.06</v>
      </c>
      <c r="O1976">
        <v>75.09</v>
      </c>
      <c r="P1976">
        <v>1</v>
      </c>
      <c r="Q1976" t="s">
        <v>37</v>
      </c>
      <c r="R1976">
        <v>85.97</v>
      </c>
      <c r="S1976">
        <v>0.33</v>
      </c>
      <c r="T1976" s="4">
        <v>59.872999999999998</v>
      </c>
      <c r="U1976" s="4">
        <v>61.513728</v>
      </c>
      <c r="V1976" t="str">
        <f>IF(Table1[[#This Row],[ai_disruption_intensity]]&gt;70,"High",
IF(Table1[[#This Row],[ai_disruption_intensity]]&gt;40,"Medium","Low"))</f>
        <v>Medium</v>
      </c>
      <c r="W1976" t="str">
        <f>IF(Table1[[#This Row],[skill_gap_index]]&gt;70,"Large Gap",
IF(Table1[[#This Row],[skill_gap_index]]&gt;40,"Medium Gap","Small Gap"))</f>
        <v>Large Gap</v>
      </c>
      <c r="X1976" s="3" t="str">
        <f>IF(Table1[[#This Row],[automation_risk_percent]]&gt;0.7,"Highly Automatable",
IF(Table1[[#This Row],[automation_risk_percent]]&gt;0.4,"Moderate Risk","Safe Job"))</f>
        <v>Highly Automatable</v>
      </c>
    </row>
    <row r="1977" spans="1:24" x14ac:dyDescent="0.3">
      <c r="A1977">
        <v>7043</v>
      </c>
      <c r="B1977" t="s">
        <v>45</v>
      </c>
      <c r="C1977" t="s">
        <v>30</v>
      </c>
      <c r="D1977" t="s">
        <v>47</v>
      </c>
      <c r="E1977" s="1">
        <v>2026</v>
      </c>
      <c r="F1977" s="11">
        <v>0.77090000000000003</v>
      </c>
      <c r="G1977">
        <v>64.260000000000005</v>
      </c>
      <c r="H1977">
        <v>53.26</v>
      </c>
      <c r="I1977" s="2">
        <v>69016.75</v>
      </c>
      <c r="J1977" s="2">
        <v>64674.29</v>
      </c>
      <c r="K1977" s="2">
        <f>Table1[[#This Row],[Salary_after]]-Table1[[#This Row],[Salary_before]]</f>
        <v>-4342.4599999999991</v>
      </c>
      <c r="L1977" s="11">
        <v>-6.2899999999999998E-2</v>
      </c>
      <c r="M1977" s="11">
        <v>-0.151</v>
      </c>
      <c r="N1977">
        <v>21.26</v>
      </c>
      <c r="O1977">
        <v>18.079999999999998</v>
      </c>
      <c r="P1977">
        <v>5</v>
      </c>
      <c r="Q1977" t="s">
        <v>37</v>
      </c>
      <c r="R1977">
        <v>65.174999999999997</v>
      </c>
      <c r="S1977">
        <v>6.29</v>
      </c>
      <c r="T1977" s="4">
        <v>48.701000000000001</v>
      </c>
      <c r="U1977" s="4">
        <v>13.937872</v>
      </c>
      <c r="V1977" t="str">
        <f>IF(Table1[[#This Row],[ai_disruption_intensity]]&gt;70,"High",
IF(Table1[[#This Row],[ai_disruption_intensity]]&gt;40,"Medium","Low"))</f>
        <v>Low</v>
      </c>
      <c r="W1977" t="str">
        <f>IF(Table1[[#This Row],[skill_gap_index]]&gt;70,"Large Gap",
IF(Table1[[#This Row],[skill_gap_index]]&gt;40,"Medium Gap","Small Gap"))</f>
        <v>Medium Gap</v>
      </c>
      <c r="X1977" s="3" t="str">
        <f>IF(Table1[[#This Row],[automation_risk_percent]]&gt;0.7,"Highly Automatable",
IF(Table1[[#This Row],[automation_risk_percent]]&gt;0.4,"Moderate Risk","Safe Job"))</f>
        <v>Highly Automatable</v>
      </c>
    </row>
    <row r="1978" spans="1:24" x14ac:dyDescent="0.3">
      <c r="A1978">
        <v>7044</v>
      </c>
      <c r="B1978" t="s">
        <v>43</v>
      </c>
      <c r="C1978" t="s">
        <v>19</v>
      </c>
      <c r="D1978" t="s">
        <v>36</v>
      </c>
      <c r="E1978" s="1">
        <v>2026</v>
      </c>
      <c r="F1978" s="11">
        <v>0.50419999999999998</v>
      </c>
      <c r="G1978">
        <v>40.71</v>
      </c>
      <c r="H1978">
        <v>59.98</v>
      </c>
      <c r="I1978" s="2">
        <v>68270.06</v>
      </c>
      <c r="J1978" s="2">
        <v>70649.490000000005</v>
      </c>
      <c r="K1978" s="2">
        <f>Table1[[#This Row],[Salary_after]]-Table1[[#This Row],[Salary_before]]</f>
        <v>2379.4300000000076</v>
      </c>
      <c r="L1978" s="11">
        <v>3.49E-2</v>
      </c>
      <c r="M1978" s="11">
        <v>0.16579999999999998</v>
      </c>
      <c r="N1978">
        <v>73.73</v>
      </c>
      <c r="O1978">
        <v>11.44</v>
      </c>
      <c r="P1978">
        <v>4</v>
      </c>
      <c r="Q1978" t="s">
        <v>25</v>
      </c>
      <c r="R1978">
        <v>55.2</v>
      </c>
      <c r="S1978">
        <v>3.49</v>
      </c>
      <c r="T1978" s="4">
        <v>39.209000000000003</v>
      </c>
      <c r="U1978" s="4">
        <v>5.7680480000000003</v>
      </c>
      <c r="V1978" t="str">
        <f>IF(Table1[[#This Row],[ai_disruption_intensity]]&gt;70,"High",
IF(Table1[[#This Row],[ai_disruption_intensity]]&gt;40,"Medium","Low"))</f>
        <v>Low</v>
      </c>
      <c r="W1978" t="str">
        <f>IF(Table1[[#This Row],[skill_gap_index]]&gt;70,"Large Gap",
IF(Table1[[#This Row],[skill_gap_index]]&gt;40,"Medium Gap","Small Gap"))</f>
        <v>Medium Gap</v>
      </c>
      <c r="X1978" s="3" t="str">
        <f>IF(Table1[[#This Row],[automation_risk_percent]]&gt;0.7,"Highly Automatable",
IF(Table1[[#This Row],[automation_risk_percent]]&gt;0.4,"Moderate Risk","Safe Job"))</f>
        <v>Moderate Risk</v>
      </c>
    </row>
    <row r="1979" spans="1:24" x14ac:dyDescent="0.3">
      <c r="A1979">
        <v>7050</v>
      </c>
      <c r="B1979" t="s">
        <v>41</v>
      </c>
      <c r="C1979" t="s">
        <v>33</v>
      </c>
      <c r="D1979" t="s">
        <v>20</v>
      </c>
      <c r="E1979" s="1">
        <v>2025</v>
      </c>
      <c r="F1979" s="11">
        <v>0.27629999999999999</v>
      </c>
      <c r="G1979">
        <v>23.74</v>
      </c>
      <c r="H1979">
        <v>31.47</v>
      </c>
      <c r="I1979" s="2">
        <v>131704</v>
      </c>
      <c r="J1979" s="2">
        <v>143338.51</v>
      </c>
      <c r="K1979" s="2">
        <f>Table1[[#This Row],[Salary_after]]-Table1[[#This Row],[Salary_before]]</f>
        <v>11634.510000000009</v>
      </c>
      <c r="L1979" s="11">
        <v>8.8300000000000003E-2</v>
      </c>
      <c r="M1979" s="11">
        <v>5.7999999999999996E-3</v>
      </c>
      <c r="N1979">
        <v>32.47</v>
      </c>
      <c r="O1979">
        <v>97.6</v>
      </c>
      <c r="P1979">
        <v>4</v>
      </c>
      <c r="Q1979" t="s">
        <v>21</v>
      </c>
      <c r="R1979">
        <v>29.549999999999901</v>
      </c>
      <c r="S1979">
        <v>8.83</v>
      </c>
      <c r="T1979" s="4">
        <v>23.141999999999999</v>
      </c>
      <c r="U1979" s="4">
        <v>26.9668799999999</v>
      </c>
      <c r="V1979" t="str">
        <f>IF(Table1[[#This Row],[ai_disruption_intensity]]&gt;70,"High",
IF(Table1[[#This Row],[ai_disruption_intensity]]&gt;40,"Medium","Low"))</f>
        <v>Low</v>
      </c>
      <c r="W1979" t="str">
        <f>IF(Table1[[#This Row],[skill_gap_index]]&gt;70,"Large Gap",
IF(Table1[[#This Row],[skill_gap_index]]&gt;40,"Medium Gap","Small Gap"))</f>
        <v>Small Gap</v>
      </c>
      <c r="X1979" s="3" t="str">
        <f>IF(Table1[[#This Row],[automation_risk_percent]]&gt;0.7,"Highly Automatable",
IF(Table1[[#This Row],[automation_risk_percent]]&gt;0.4,"Moderate Risk","Safe Job"))</f>
        <v>Safe Job</v>
      </c>
    </row>
    <row r="1980" spans="1:24" x14ac:dyDescent="0.3">
      <c r="A1980">
        <v>7055</v>
      </c>
      <c r="B1980" t="s">
        <v>44</v>
      </c>
      <c r="C1980" t="s">
        <v>33</v>
      </c>
      <c r="D1980" t="s">
        <v>24</v>
      </c>
      <c r="E1980" s="1">
        <v>2026</v>
      </c>
      <c r="F1980" s="11">
        <v>0.26719999999999999</v>
      </c>
      <c r="G1980">
        <v>31.79</v>
      </c>
      <c r="H1980">
        <v>24.78</v>
      </c>
      <c r="I1980" s="2">
        <v>87718.92</v>
      </c>
      <c r="J1980" s="2">
        <v>81475.009999999995</v>
      </c>
      <c r="K1980" s="2">
        <f>Table1[[#This Row],[Salary_after]]-Table1[[#This Row],[Salary_before]]</f>
        <v>-6243.9100000000035</v>
      </c>
      <c r="L1980" s="11">
        <v>-7.1199999999999999E-2</v>
      </c>
      <c r="M1980" s="11">
        <v>4.3200000000000002E-2</v>
      </c>
      <c r="N1980">
        <v>57.87</v>
      </c>
      <c r="O1980">
        <v>67.260000000000005</v>
      </c>
      <c r="P1980">
        <v>2</v>
      </c>
      <c r="Q1980" t="s">
        <v>21</v>
      </c>
      <c r="R1980">
        <v>25.75</v>
      </c>
      <c r="S1980">
        <v>7.12</v>
      </c>
      <c r="T1980" s="4">
        <v>20.257999999999999</v>
      </c>
      <c r="U1980" s="4">
        <v>17.971872000000001</v>
      </c>
      <c r="V1980" t="str">
        <f>IF(Table1[[#This Row],[ai_disruption_intensity]]&gt;70,"High",
IF(Table1[[#This Row],[ai_disruption_intensity]]&gt;40,"Medium","Low"))</f>
        <v>Low</v>
      </c>
      <c r="W1980" t="str">
        <f>IF(Table1[[#This Row],[skill_gap_index]]&gt;70,"Large Gap",
IF(Table1[[#This Row],[skill_gap_index]]&gt;40,"Medium Gap","Small Gap"))</f>
        <v>Small Gap</v>
      </c>
      <c r="X1980" s="3" t="str">
        <f>IF(Table1[[#This Row],[automation_risk_percent]]&gt;0.7,"Highly Automatable",
IF(Table1[[#This Row],[automation_risk_percent]]&gt;0.4,"Moderate Risk","Safe Job"))</f>
        <v>Safe Job</v>
      </c>
    </row>
    <row r="1981" spans="1:24" x14ac:dyDescent="0.3">
      <c r="A1981">
        <v>7061</v>
      </c>
      <c r="B1981" t="s">
        <v>29</v>
      </c>
      <c r="C1981" t="s">
        <v>40</v>
      </c>
      <c r="D1981" t="s">
        <v>35</v>
      </c>
      <c r="E1981" s="1">
        <v>2026</v>
      </c>
      <c r="F1981" s="11">
        <v>0.49740000000000001</v>
      </c>
      <c r="G1981">
        <v>44.99</v>
      </c>
      <c r="H1981">
        <v>35.94</v>
      </c>
      <c r="I1981" s="2">
        <v>56338.07</v>
      </c>
      <c r="J1981" s="2">
        <v>59695.92</v>
      </c>
      <c r="K1981" s="2">
        <f>Table1[[#This Row],[Salary_after]]-Table1[[#This Row],[Salary_before]]</f>
        <v>3357.8499999999985</v>
      </c>
      <c r="L1981" s="11">
        <v>5.96E-2</v>
      </c>
      <c r="M1981" s="11">
        <v>-0.12560000000000002</v>
      </c>
      <c r="N1981">
        <v>87.76</v>
      </c>
      <c r="O1981">
        <v>37.090000000000003</v>
      </c>
      <c r="P1981">
        <v>2</v>
      </c>
      <c r="Q1981" t="s">
        <v>25</v>
      </c>
      <c r="R1981">
        <v>42.84</v>
      </c>
      <c r="S1981">
        <v>5.96</v>
      </c>
      <c r="T1981" s="4">
        <v>32.465999999999902</v>
      </c>
      <c r="U1981" s="4">
        <v>18.448566</v>
      </c>
      <c r="V1981" t="str">
        <f>IF(Table1[[#This Row],[ai_disruption_intensity]]&gt;70,"High",
IF(Table1[[#This Row],[ai_disruption_intensity]]&gt;40,"Medium","Low"))</f>
        <v>Low</v>
      </c>
      <c r="W1981" t="str">
        <f>IF(Table1[[#This Row],[skill_gap_index]]&gt;70,"Large Gap",
IF(Table1[[#This Row],[skill_gap_index]]&gt;40,"Medium Gap","Small Gap"))</f>
        <v>Small Gap</v>
      </c>
      <c r="X1981" s="3" t="str">
        <f>IF(Table1[[#This Row],[automation_risk_percent]]&gt;0.7,"Highly Automatable",
IF(Table1[[#This Row],[automation_risk_percent]]&gt;0.4,"Moderate Risk","Safe Job"))</f>
        <v>Moderate Risk</v>
      </c>
    </row>
    <row r="1982" spans="1:24" x14ac:dyDescent="0.3">
      <c r="A1982">
        <v>7065</v>
      </c>
      <c r="B1982" t="s">
        <v>43</v>
      </c>
      <c r="C1982" t="s">
        <v>23</v>
      </c>
      <c r="D1982" t="s">
        <v>42</v>
      </c>
      <c r="E1982" s="1">
        <v>2025</v>
      </c>
      <c r="F1982" s="11">
        <v>0.47939999999999999</v>
      </c>
      <c r="G1982">
        <v>42.61</v>
      </c>
      <c r="H1982">
        <v>20.98</v>
      </c>
      <c r="I1982" s="2">
        <v>127831.91</v>
      </c>
      <c r="J1982" s="2">
        <v>144181.88</v>
      </c>
      <c r="K1982" s="2">
        <f>Table1[[#This Row],[Salary_after]]-Table1[[#This Row],[Salary_before]]</f>
        <v>16349.970000000001</v>
      </c>
      <c r="L1982" s="11">
        <v>0.12789999999999999</v>
      </c>
      <c r="M1982" s="11">
        <v>2.1099999999999997E-2</v>
      </c>
      <c r="N1982">
        <v>47.3</v>
      </c>
      <c r="O1982">
        <v>80.349999999999994</v>
      </c>
      <c r="P1982">
        <v>5</v>
      </c>
      <c r="Q1982" t="s">
        <v>25</v>
      </c>
      <c r="R1982">
        <v>34.46</v>
      </c>
      <c r="S1982">
        <v>12.79</v>
      </c>
      <c r="T1982" s="4">
        <v>29.306999999999999</v>
      </c>
      <c r="U1982" s="4">
        <v>38.519789999999901</v>
      </c>
      <c r="V1982" t="str">
        <f>IF(Table1[[#This Row],[ai_disruption_intensity]]&gt;70,"High",
IF(Table1[[#This Row],[ai_disruption_intensity]]&gt;40,"Medium","Low"))</f>
        <v>Low</v>
      </c>
      <c r="W1982" t="str">
        <f>IF(Table1[[#This Row],[skill_gap_index]]&gt;70,"Large Gap",
IF(Table1[[#This Row],[skill_gap_index]]&gt;40,"Medium Gap","Small Gap"))</f>
        <v>Small Gap</v>
      </c>
      <c r="X1982" s="3" t="str">
        <f>IF(Table1[[#This Row],[automation_risk_percent]]&gt;0.7,"Highly Automatable",
IF(Table1[[#This Row],[automation_risk_percent]]&gt;0.4,"Moderate Risk","Safe Job"))</f>
        <v>Moderate Risk</v>
      </c>
    </row>
    <row r="1983" spans="1:24" x14ac:dyDescent="0.3">
      <c r="A1983">
        <v>7071</v>
      </c>
      <c r="B1983" t="s">
        <v>18</v>
      </c>
      <c r="C1983" t="s">
        <v>23</v>
      </c>
      <c r="D1983" t="s">
        <v>32</v>
      </c>
      <c r="E1983" s="1">
        <v>2025</v>
      </c>
      <c r="F1983" s="11">
        <v>0.3669</v>
      </c>
      <c r="G1983">
        <v>41.41</v>
      </c>
      <c r="H1983">
        <v>14.98</v>
      </c>
      <c r="I1983" s="2">
        <v>139429.13</v>
      </c>
      <c r="J1983" s="2">
        <v>121496.77</v>
      </c>
      <c r="K1983" s="2">
        <f>Table1[[#This Row],[Salary_after]]-Table1[[#This Row],[Salary_before]]</f>
        <v>-17932.36</v>
      </c>
      <c r="L1983" s="11">
        <v>-0.12859999999999999</v>
      </c>
      <c r="M1983" s="11">
        <v>4.3400000000000001E-2</v>
      </c>
      <c r="N1983">
        <v>58.16</v>
      </c>
      <c r="O1983">
        <v>87</v>
      </c>
      <c r="P1983">
        <v>3</v>
      </c>
      <c r="Q1983" t="s">
        <v>25</v>
      </c>
      <c r="R1983">
        <v>25.835000000000001</v>
      </c>
      <c r="S1983">
        <v>12.86</v>
      </c>
      <c r="T1983" s="4">
        <v>23.027999999999999</v>
      </c>
      <c r="U1983" s="4">
        <v>31.920299999999902</v>
      </c>
      <c r="V1983" t="str">
        <f>IF(Table1[[#This Row],[ai_disruption_intensity]]&gt;70,"High",
IF(Table1[[#This Row],[ai_disruption_intensity]]&gt;40,"Medium","Low"))</f>
        <v>Low</v>
      </c>
      <c r="W1983" t="str">
        <f>IF(Table1[[#This Row],[skill_gap_index]]&gt;70,"Large Gap",
IF(Table1[[#This Row],[skill_gap_index]]&gt;40,"Medium Gap","Small Gap"))</f>
        <v>Small Gap</v>
      </c>
      <c r="X1983" s="3" t="str">
        <f>IF(Table1[[#This Row],[automation_risk_percent]]&gt;0.7,"Highly Automatable",
IF(Table1[[#This Row],[automation_risk_percent]]&gt;0.4,"Moderate Risk","Safe Job"))</f>
        <v>Safe Job</v>
      </c>
    </row>
    <row r="1984" spans="1:24" x14ac:dyDescent="0.3">
      <c r="A1984">
        <v>7072</v>
      </c>
      <c r="B1984" t="s">
        <v>44</v>
      </c>
      <c r="C1984" t="s">
        <v>23</v>
      </c>
      <c r="D1984" t="s">
        <v>32</v>
      </c>
      <c r="E1984" s="1">
        <v>2026</v>
      </c>
      <c r="F1984" s="11">
        <v>0.3725</v>
      </c>
      <c r="G1984">
        <v>32.46</v>
      </c>
      <c r="H1984">
        <v>57.66</v>
      </c>
      <c r="I1984" s="2">
        <v>130136.05</v>
      </c>
      <c r="J1984" s="2">
        <v>129890.36</v>
      </c>
      <c r="K1984" s="2">
        <f>Table1[[#This Row],[Salary_after]]-Table1[[#This Row],[Salary_before]]</f>
        <v>-245.69000000000233</v>
      </c>
      <c r="L1984" s="11">
        <v>-1.9E-3</v>
      </c>
      <c r="M1984" s="11">
        <v>3.7000000000000005E-2</v>
      </c>
      <c r="N1984">
        <v>72.8</v>
      </c>
      <c r="O1984">
        <v>71.05</v>
      </c>
      <c r="P1984">
        <v>1</v>
      </c>
      <c r="Q1984" t="s">
        <v>25</v>
      </c>
      <c r="R1984">
        <v>47.454999999999998</v>
      </c>
      <c r="S1984">
        <v>0.19</v>
      </c>
      <c r="T1984" s="4">
        <v>32.255000000000003</v>
      </c>
      <c r="U1984" s="4">
        <v>26.466124999999899</v>
      </c>
      <c r="V1984" t="str">
        <f>IF(Table1[[#This Row],[ai_disruption_intensity]]&gt;70,"High",
IF(Table1[[#This Row],[ai_disruption_intensity]]&gt;40,"Medium","Low"))</f>
        <v>Low</v>
      </c>
      <c r="W1984" t="str">
        <f>IF(Table1[[#This Row],[skill_gap_index]]&gt;70,"Large Gap",
IF(Table1[[#This Row],[skill_gap_index]]&gt;40,"Medium Gap","Small Gap"))</f>
        <v>Medium Gap</v>
      </c>
      <c r="X1984" s="3" t="str">
        <f>IF(Table1[[#This Row],[automation_risk_percent]]&gt;0.7,"Highly Automatable",
IF(Table1[[#This Row],[automation_risk_percent]]&gt;0.4,"Moderate Risk","Safe Job"))</f>
        <v>Safe Job</v>
      </c>
    </row>
    <row r="1985" spans="1:24" x14ac:dyDescent="0.3">
      <c r="A1985">
        <v>7075</v>
      </c>
      <c r="B1985" t="s">
        <v>39</v>
      </c>
      <c r="C1985" t="s">
        <v>40</v>
      </c>
      <c r="D1985" t="s">
        <v>35</v>
      </c>
      <c r="E1985" s="1">
        <v>2025</v>
      </c>
      <c r="F1985" s="11">
        <v>0.26050000000000001</v>
      </c>
      <c r="G1985">
        <v>27.93</v>
      </c>
      <c r="H1985">
        <v>81.99</v>
      </c>
      <c r="I1985" s="2">
        <v>62991.6</v>
      </c>
      <c r="J1985" s="2">
        <v>64608.47</v>
      </c>
      <c r="K1985" s="2">
        <f>Table1[[#This Row],[Salary_after]]-Table1[[#This Row],[Salary_before]]</f>
        <v>1616.8700000000026</v>
      </c>
      <c r="L1985" s="11">
        <v>2.5699999999999997E-2</v>
      </c>
      <c r="M1985" s="11">
        <v>2.9900000000000003E-2</v>
      </c>
      <c r="N1985">
        <v>10.47</v>
      </c>
      <c r="O1985">
        <v>25.57</v>
      </c>
      <c r="P1985">
        <v>3</v>
      </c>
      <c r="Q1985" t="s">
        <v>21</v>
      </c>
      <c r="R1985">
        <v>54.019999999999897</v>
      </c>
      <c r="S1985">
        <v>2.57</v>
      </c>
      <c r="T1985" s="4">
        <v>35.787999999999997</v>
      </c>
      <c r="U1985" s="4">
        <v>6.6609850000000002</v>
      </c>
      <c r="V1985" t="str">
        <f>IF(Table1[[#This Row],[ai_disruption_intensity]]&gt;70,"High",
IF(Table1[[#This Row],[ai_disruption_intensity]]&gt;40,"Medium","Low"))</f>
        <v>Low</v>
      </c>
      <c r="W1985" t="str">
        <f>IF(Table1[[#This Row],[skill_gap_index]]&gt;70,"Large Gap",
IF(Table1[[#This Row],[skill_gap_index]]&gt;40,"Medium Gap","Small Gap"))</f>
        <v>Large Gap</v>
      </c>
      <c r="X1985" s="3" t="str">
        <f>IF(Table1[[#This Row],[automation_risk_percent]]&gt;0.7,"Highly Automatable",
IF(Table1[[#This Row],[automation_risk_percent]]&gt;0.4,"Moderate Risk","Safe Job"))</f>
        <v>Safe Job</v>
      </c>
    </row>
    <row r="1986" spans="1:24" x14ac:dyDescent="0.3">
      <c r="A1986">
        <v>7076</v>
      </c>
      <c r="B1986" t="s">
        <v>39</v>
      </c>
      <c r="C1986" t="s">
        <v>27</v>
      </c>
      <c r="D1986" t="s">
        <v>20</v>
      </c>
      <c r="E1986" s="1">
        <v>2026</v>
      </c>
      <c r="F1986" s="11">
        <v>0.38469999999999999</v>
      </c>
      <c r="G1986">
        <v>41.12</v>
      </c>
      <c r="H1986">
        <v>99.71</v>
      </c>
      <c r="I1986" s="2">
        <v>74498.210000000006</v>
      </c>
      <c r="J1986" s="2">
        <v>73410.69</v>
      </c>
      <c r="K1986" s="2">
        <f>Table1[[#This Row],[Salary_after]]-Table1[[#This Row],[Salary_before]]</f>
        <v>-1087.5200000000041</v>
      </c>
      <c r="L1986" s="11">
        <v>-1.46E-2</v>
      </c>
      <c r="M1986" s="11">
        <v>9.9199999999999997E-2</v>
      </c>
      <c r="N1986">
        <v>72.599999999999994</v>
      </c>
      <c r="O1986">
        <v>16.54</v>
      </c>
      <c r="P1986">
        <v>2</v>
      </c>
      <c r="Q1986" t="s">
        <v>25</v>
      </c>
      <c r="R1986">
        <v>69.09</v>
      </c>
      <c r="S1986">
        <v>1.46</v>
      </c>
      <c r="T1986" s="4">
        <v>45.738999999999997</v>
      </c>
      <c r="U1986" s="4">
        <v>6.36293799999999</v>
      </c>
      <c r="V1986" t="str">
        <f>IF(Table1[[#This Row],[ai_disruption_intensity]]&gt;70,"High",
IF(Table1[[#This Row],[ai_disruption_intensity]]&gt;40,"Medium","Low"))</f>
        <v>Low</v>
      </c>
      <c r="W1986" t="str">
        <f>IF(Table1[[#This Row],[skill_gap_index]]&gt;70,"Large Gap",
IF(Table1[[#This Row],[skill_gap_index]]&gt;40,"Medium Gap","Small Gap"))</f>
        <v>Large Gap</v>
      </c>
      <c r="X1986" s="3" t="str">
        <f>IF(Table1[[#This Row],[automation_risk_percent]]&gt;0.7,"Highly Automatable",
IF(Table1[[#This Row],[automation_risk_percent]]&gt;0.4,"Moderate Risk","Safe Job"))</f>
        <v>Safe Job</v>
      </c>
    </row>
    <row r="1987" spans="1:24" x14ac:dyDescent="0.3">
      <c r="A1987">
        <v>7077</v>
      </c>
      <c r="B1987" t="s">
        <v>46</v>
      </c>
      <c r="C1987" t="s">
        <v>27</v>
      </c>
      <c r="D1987" t="s">
        <v>42</v>
      </c>
      <c r="E1987" s="1">
        <v>2025</v>
      </c>
      <c r="F1987" s="11">
        <v>0.32229999999999998</v>
      </c>
      <c r="G1987">
        <v>37.01</v>
      </c>
      <c r="H1987">
        <v>32</v>
      </c>
      <c r="I1987" s="2">
        <v>42624.31</v>
      </c>
      <c r="J1987" s="2">
        <v>31207.78</v>
      </c>
      <c r="K1987" s="2">
        <f>Table1[[#This Row],[Salary_after]]-Table1[[#This Row],[Salary_before]]</f>
        <v>-11416.529999999999</v>
      </c>
      <c r="L1987" s="11">
        <v>-0.26780000000000004</v>
      </c>
      <c r="M1987" s="11">
        <v>0.15060000000000001</v>
      </c>
      <c r="N1987">
        <v>30.66</v>
      </c>
      <c r="O1987">
        <v>90.56</v>
      </c>
      <c r="P1987">
        <v>4</v>
      </c>
      <c r="Q1987" t="s">
        <v>25</v>
      </c>
      <c r="R1987">
        <v>32.114999999999903</v>
      </c>
      <c r="S1987">
        <v>26.78</v>
      </c>
      <c r="T1987" s="4">
        <v>30.5259999999999</v>
      </c>
      <c r="U1987" s="4">
        <v>29.187487999999998</v>
      </c>
      <c r="V1987" t="str">
        <f>IF(Table1[[#This Row],[ai_disruption_intensity]]&gt;70,"High",
IF(Table1[[#This Row],[ai_disruption_intensity]]&gt;40,"Medium","Low"))</f>
        <v>Low</v>
      </c>
      <c r="W1987" t="str">
        <f>IF(Table1[[#This Row],[skill_gap_index]]&gt;70,"Large Gap",
IF(Table1[[#This Row],[skill_gap_index]]&gt;40,"Medium Gap","Small Gap"))</f>
        <v>Small Gap</v>
      </c>
      <c r="X1987" s="3" t="str">
        <f>IF(Table1[[#This Row],[automation_risk_percent]]&gt;0.7,"Highly Automatable",
IF(Table1[[#This Row],[automation_risk_percent]]&gt;0.4,"Moderate Risk","Safe Job"))</f>
        <v>Safe Job</v>
      </c>
    </row>
    <row r="1988" spans="1:24" x14ac:dyDescent="0.3">
      <c r="A1988">
        <v>7080</v>
      </c>
      <c r="B1988" t="s">
        <v>39</v>
      </c>
      <c r="C1988" t="s">
        <v>34</v>
      </c>
      <c r="D1988" t="s">
        <v>32</v>
      </c>
      <c r="E1988" s="1">
        <v>2025</v>
      </c>
      <c r="F1988" s="11">
        <v>0.45539999999999997</v>
      </c>
      <c r="G1988">
        <v>48.23</v>
      </c>
      <c r="H1988">
        <v>13.53</v>
      </c>
      <c r="I1988" s="2">
        <v>95388.83</v>
      </c>
      <c r="J1988" s="2">
        <v>75639.53</v>
      </c>
      <c r="K1988" s="2">
        <f>Table1[[#This Row],[Salary_after]]-Table1[[#This Row],[Salary_before]]</f>
        <v>-19749.300000000003</v>
      </c>
      <c r="L1988" s="11">
        <v>-0.20699999999999999</v>
      </c>
      <c r="M1988" s="11">
        <v>1.41E-2</v>
      </c>
      <c r="N1988">
        <v>66.12</v>
      </c>
      <c r="O1988">
        <v>63.62</v>
      </c>
      <c r="P1988">
        <v>1</v>
      </c>
      <c r="Q1988" t="s">
        <v>25</v>
      </c>
      <c r="R1988">
        <v>29.535</v>
      </c>
      <c r="S1988">
        <v>20.7</v>
      </c>
      <c r="T1988" s="4">
        <v>28.484999999999999</v>
      </c>
      <c r="U1988" s="4">
        <v>28.9725479999999</v>
      </c>
      <c r="V1988" t="str">
        <f>IF(Table1[[#This Row],[ai_disruption_intensity]]&gt;70,"High",
IF(Table1[[#This Row],[ai_disruption_intensity]]&gt;40,"Medium","Low"))</f>
        <v>Low</v>
      </c>
      <c r="W1988" t="str">
        <f>IF(Table1[[#This Row],[skill_gap_index]]&gt;70,"Large Gap",
IF(Table1[[#This Row],[skill_gap_index]]&gt;40,"Medium Gap","Small Gap"))</f>
        <v>Small Gap</v>
      </c>
      <c r="X1988" s="3" t="str">
        <f>IF(Table1[[#This Row],[automation_risk_percent]]&gt;0.7,"Highly Automatable",
IF(Table1[[#This Row],[automation_risk_percent]]&gt;0.4,"Moderate Risk","Safe Job"))</f>
        <v>Moderate Risk</v>
      </c>
    </row>
    <row r="1989" spans="1:24" x14ac:dyDescent="0.3">
      <c r="A1989">
        <v>7084</v>
      </c>
      <c r="B1989" t="s">
        <v>45</v>
      </c>
      <c r="C1989" t="s">
        <v>33</v>
      </c>
      <c r="D1989" t="s">
        <v>47</v>
      </c>
      <c r="E1989" s="1">
        <v>2025</v>
      </c>
      <c r="F1989" s="11">
        <v>0.1018</v>
      </c>
      <c r="G1989">
        <v>9.44</v>
      </c>
      <c r="H1989">
        <v>8.73</v>
      </c>
      <c r="I1989" s="2">
        <v>111767.31</v>
      </c>
      <c r="J1989" s="2">
        <v>104068.38</v>
      </c>
      <c r="K1989" s="2">
        <f>Table1[[#This Row],[Salary_after]]-Table1[[#This Row],[Salary_before]]</f>
        <v>-7698.929999999993</v>
      </c>
      <c r="L1989" s="11">
        <v>-6.8900000000000003E-2</v>
      </c>
      <c r="M1989" s="11">
        <v>-3.4300000000000004E-2</v>
      </c>
      <c r="N1989">
        <v>17.05</v>
      </c>
      <c r="O1989">
        <v>48.38</v>
      </c>
      <c r="P1989">
        <v>2</v>
      </c>
      <c r="Q1989" t="s">
        <v>21</v>
      </c>
      <c r="R1989">
        <v>9.4550000000000001</v>
      </c>
      <c r="S1989">
        <v>6.89</v>
      </c>
      <c r="T1989" s="4">
        <v>8.7579999999999991</v>
      </c>
      <c r="U1989" s="4">
        <v>4.925084</v>
      </c>
      <c r="V1989" t="str">
        <f>IF(Table1[[#This Row],[ai_disruption_intensity]]&gt;70,"High",
IF(Table1[[#This Row],[ai_disruption_intensity]]&gt;40,"Medium","Low"))</f>
        <v>Low</v>
      </c>
      <c r="W1989" t="str">
        <f>IF(Table1[[#This Row],[skill_gap_index]]&gt;70,"Large Gap",
IF(Table1[[#This Row],[skill_gap_index]]&gt;40,"Medium Gap","Small Gap"))</f>
        <v>Small Gap</v>
      </c>
      <c r="X1989" s="3" t="str">
        <f>IF(Table1[[#This Row],[automation_risk_percent]]&gt;0.7,"Highly Automatable",
IF(Table1[[#This Row],[automation_risk_percent]]&gt;0.4,"Moderate Risk","Safe Job"))</f>
        <v>Safe Job</v>
      </c>
    </row>
    <row r="1990" spans="1:24" x14ac:dyDescent="0.3">
      <c r="A1990">
        <v>7086</v>
      </c>
      <c r="B1990" t="s">
        <v>46</v>
      </c>
      <c r="C1990" t="s">
        <v>33</v>
      </c>
      <c r="D1990" t="s">
        <v>35</v>
      </c>
      <c r="E1990" s="1">
        <v>2026</v>
      </c>
      <c r="F1990" s="11">
        <v>0.20190000000000002</v>
      </c>
      <c r="G1990">
        <v>20.36</v>
      </c>
      <c r="H1990">
        <v>2.66</v>
      </c>
      <c r="I1990" s="2">
        <v>93437.11</v>
      </c>
      <c r="J1990" s="2">
        <v>113679.49</v>
      </c>
      <c r="K1990" s="2">
        <f>Table1[[#This Row],[Salary_after]]-Table1[[#This Row],[Salary_before]]</f>
        <v>20242.380000000005</v>
      </c>
      <c r="L1990" s="11">
        <v>0.21660000000000001</v>
      </c>
      <c r="M1990" s="11">
        <v>-7.8E-2</v>
      </c>
      <c r="N1990">
        <v>92.83</v>
      </c>
      <c r="O1990">
        <v>27.46</v>
      </c>
      <c r="P1990">
        <v>4</v>
      </c>
      <c r="Q1990" t="s">
        <v>21</v>
      </c>
      <c r="R1990">
        <v>11.425000000000001</v>
      </c>
      <c r="S1990">
        <v>21.66</v>
      </c>
      <c r="T1990" s="4">
        <v>15.372</v>
      </c>
      <c r="U1990" s="4">
        <v>5.5441739999999999</v>
      </c>
      <c r="V1990" t="str">
        <f>IF(Table1[[#This Row],[ai_disruption_intensity]]&gt;70,"High",
IF(Table1[[#This Row],[ai_disruption_intensity]]&gt;40,"Medium","Low"))</f>
        <v>Low</v>
      </c>
      <c r="W1990" t="str">
        <f>IF(Table1[[#This Row],[skill_gap_index]]&gt;70,"Large Gap",
IF(Table1[[#This Row],[skill_gap_index]]&gt;40,"Medium Gap","Small Gap"))</f>
        <v>Small Gap</v>
      </c>
      <c r="X1990" s="3" t="str">
        <f>IF(Table1[[#This Row],[automation_risk_percent]]&gt;0.7,"Highly Automatable",
IF(Table1[[#This Row],[automation_risk_percent]]&gt;0.4,"Moderate Risk","Safe Job"))</f>
        <v>Safe Job</v>
      </c>
    </row>
    <row r="1991" spans="1:24" x14ac:dyDescent="0.3">
      <c r="A1991">
        <v>7090</v>
      </c>
      <c r="B1991" t="s">
        <v>29</v>
      </c>
      <c r="C1991" t="s">
        <v>19</v>
      </c>
      <c r="D1991" t="s">
        <v>28</v>
      </c>
      <c r="E1991" s="1">
        <v>2025</v>
      </c>
      <c r="F1991" s="11">
        <v>0.87709999999999999</v>
      </c>
      <c r="G1991">
        <v>83.57</v>
      </c>
      <c r="H1991">
        <v>99.97</v>
      </c>
      <c r="I1991" s="2">
        <v>46768.37</v>
      </c>
      <c r="J1991" s="2">
        <v>51185.25</v>
      </c>
      <c r="K1991" s="2">
        <f>Table1[[#This Row],[Salary_after]]-Table1[[#This Row],[Salary_before]]</f>
        <v>4416.8799999999974</v>
      </c>
      <c r="L1991" s="11">
        <v>9.4399999999999998E-2</v>
      </c>
      <c r="M1991" s="11">
        <v>2.1600000000000001E-2</v>
      </c>
      <c r="N1991">
        <v>68.489999999999995</v>
      </c>
      <c r="O1991">
        <v>81.09</v>
      </c>
      <c r="P1991">
        <v>3</v>
      </c>
      <c r="Q1991" t="s">
        <v>37</v>
      </c>
      <c r="R1991">
        <v>93.84</v>
      </c>
      <c r="S1991">
        <v>9.44</v>
      </c>
      <c r="T1991" s="4">
        <v>67.906999999999897</v>
      </c>
      <c r="U1991" s="4">
        <v>71.124038999999996</v>
      </c>
      <c r="V1991" t="str">
        <f>IF(Table1[[#This Row],[ai_disruption_intensity]]&gt;70,"High",
IF(Table1[[#This Row],[ai_disruption_intensity]]&gt;40,"Medium","Low"))</f>
        <v>High</v>
      </c>
      <c r="W1991" t="str">
        <f>IF(Table1[[#This Row],[skill_gap_index]]&gt;70,"Large Gap",
IF(Table1[[#This Row],[skill_gap_index]]&gt;40,"Medium Gap","Small Gap"))</f>
        <v>Large Gap</v>
      </c>
      <c r="X1991" s="3" t="str">
        <f>IF(Table1[[#This Row],[automation_risk_percent]]&gt;0.7,"Highly Automatable",
IF(Table1[[#This Row],[automation_risk_percent]]&gt;0.4,"Moderate Risk","Safe Job"))</f>
        <v>Highly Automatable</v>
      </c>
    </row>
    <row r="1992" spans="1:24" x14ac:dyDescent="0.3">
      <c r="A1992">
        <v>7100</v>
      </c>
      <c r="B1992" t="s">
        <v>44</v>
      </c>
      <c r="C1992" t="s">
        <v>34</v>
      </c>
      <c r="D1992" t="s">
        <v>31</v>
      </c>
      <c r="E1992" s="1">
        <v>2026</v>
      </c>
      <c r="F1992" s="11">
        <v>0.7288</v>
      </c>
      <c r="G1992">
        <v>74.83</v>
      </c>
      <c r="H1992">
        <v>15.78</v>
      </c>
      <c r="I1992" s="2">
        <v>39502.879999999997</v>
      </c>
      <c r="J1992" s="2">
        <v>45788.14</v>
      </c>
      <c r="K1992" s="2">
        <f>Table1[[#This Row],[Salary_after]]-Table1[[#This Row],[Salary_before]]</f>
        <v>6285.260000000002</v>
      </c>
      <c r="L1992" s="11">
        <v>0.15909999999999999</v>
      </c>
      <c r="M1992" s="11">
        <v>4.6500000000000007E-2</v>
      </c>
      <c r="N1992">
        <v>65.81</v>
      </c>
      <c r="O1992">
        <v>58.28</v>
      </c>
      <c r="P1992">
        <v>5</v>
      </c>
      <c r="Q1992" t="s">
        <v>37</v>
      </c>
      <c r="R1992">
        <v>44.33</v>
      </c>
      <c r="S1992">
        <v>15.91</v>
      </c>
      <c r="T1992" s="4">
        <v>38.658999999999999</v>
      </c>
      <c r="U1992" s="4">
        <v>42.474463999999998</v>
      </c>
      <c r="V1992" t="str">
        <f>IF(Table1[[#This Row],[ai_disruption_intensity]]&gt;70,"High",
IF(Table1[[#This Row],[ai_disruption_intensity]]&gt;40,"Medium","Low"))</f>
        <v>Medium</v>
      </c>
      <c r="W1992" t="str">
        <f>IF(Table1[[#This Row],[skill_gap_index]]&gt;70,"Large Gap",
IF(Table1[[#This Row],[skill_gap_index]]&gt;40,"Medium Gap","Small Gap"))</f>
        <v>Small Gap</v>
      </c>
      <c r="X1992" s="3" t="str">
        <f>IF(Table1[[#This Row],[automation_risk_percent]]&gt;0.7,"Highly Automatable",
IF(Table1[[#This Row],[automation_risk_percent]]&gt;0.4,"Moderate Risk","Safe Job"))</f>
        <v>Highly Automatable</v>
      </c>
    </row>
    <row r="1993" spans="1:24" x14ac:dyDescent="0.3">
      <c r="A1993">
        <v>7107</v>
      </c>
      <c r="B1993" t="s">
        <v>22</v>
      </c>
      <c r="C1993" t="s">
        <v>33</v>
      </c>
      <c r="D1993" t="s">
        <v>47</v>
      </c>
      <c r="E1993" s="1">
        <v>2026</v>
      </c>
      <c r="F1993" s="11">
        <v>0.43159999999999998</v>
      </c>
      <c r="G1993">
        <v>40.43</v>
      </c>
      <c r="H1993">
        <v>57.66</v>
      </c>
      <c r="I1993" s="2">
        <v>67200.73</v>
      </c>
      <c r="J1993" s="2">
        <v>68913.66</v>
      </c>
      <c r="K1993" s="2">
        <f>Table1[[#This Row],[Salary_after]]-Table1[[#This Row],[Salary_before]]</f>
        <v>1712.9300000000076</v>
      </c>
      <c r="L1993" s="11">
        <v>2.5499999999999998E-2</v>
      </c>
      <c r="M1993" s="11">
        <v>2.7300000000000001E-2</v>
      </c>
      <c r="N1993">
        <v>28.05</v>
      </c>
      <c r="O1993">
        <v>96.66</v>
      </c>
      <c r="P1993">
        <v>1</v>
      </c>
      <c r="Q1993" t="s">
        <v>25</v>
      </c>
      <c r="R1993">
        <v>50.41</v>
      </c>
      <c r="S1993">
        <v>2.5499999999999998</v>
      </c>
      <c r="T1993" s="4">
        <v>35.326999999999998</v>
      </c>
      <c r="U1993" s="4">
        <v>41.718455999999897</v>
      </c>
      <c r="V1993" t="str">
        <f>IF(Table1[[#This Row],[ai_disruption_intensity]]&gt;70,"High",
IF(Table1[[#This Row],[ai_disruption_intensity]]&gt;40,"Medium","Low"))</f>
        <v>Medium</v>
      </c>
      <c r="W1993" t="str">
        <f>IF(Table1[[#This Row],[skill_gap_index]]&gt;70,"Large Gap",
IF(Table1[[#This Row],[skill_gap_index]]&gt;40,"Medium Gap","Small Gap"))</f>
        <v>Medium Gap</v>
      </c>
      <c r="X1993" s="3" t="str">
        <f>IF(Table1[[#This Row],[automation_risk_percent]]&gt;0.7,"Highly Automatable",
IF(Table1[[#This Row],[automation_risk_percent]]&gt;0.4,"Moderate Risk","Safe Job"))</f>
        <v>Moderate Risk</v>
      </c>
    </row>
    <row r="1994" spans="1:24" x14ac:dyDescent="0.3">
      <c r="A1994">
        <v>7108</v>
      </c>
      <c r="B1994" t="s">
        <v>26</v>
      </c>
      <c r="C1994" t="s">
        <v>34</v>
      </c>
      <c r="D1994" t="s">
        <v>24</v>
      </c>
      <c r="E1994" s="1">
        <v>2026</v>
      </c>
      <c r="F1994" s="11">
        <v>0.69120000000000004</v>
      </c>
      <c r="G1994">
        <v>74.56</v>
      </c>
      <c r="H1994">
        <v>50.2</v>
      </c>
      <c r="I1994" s="2">
        <v>125450.26</v>
      </c>
      <c r="J1994" s="2">
        <v>130293.67</v>
      </c>
      <c r="K1994" s="2">
        <f>Table1[[#This Row],[Salary_after]]-Table1[[#This Row],[Salary_before]]</f>
        <v>4843.4100000000035</v>
      </c>
      <c r="L1994" s="11">
        <v>3.8599999999999995E-2</v>
      </c>
      <c r="M1994" s="11">
        <v>0.11869999999999999</v>
      </c>
      <c r="N1994">
        <v>19.18</v>
      </c>
      <c r="O1994">
        <v>0.3</v>
      </c>
      <c r="P1994">
        <v>2</v>
      </c>
      <c r="Q1994" t="s">
        <v>37</v>
      </c>
      <c r="R1994">
        <v>59.66</v>
      </c>
      <c r="S1994">
        <v>3.86</v>
      </c>
      <c r="T1994" s="4">
        <v>43.866</v>
      </c>
      <c r="U1994" s="4">
        <v>0.20735999999999999</v>
      </c>
      <c r="V1994" t="str">
        <f>IF(Table1[[#This Row],[ai_disruption_intensity]]&gt;70,"High",
IF(Table1[[#This Row],[ai_disruption_intensity]]&gt;40,"Medium","Low"))</f>
        <v>Low</v>
      </c>
      <c r="W1994" t="str">
        <f>IF(Table1[[#This Row],[skill_gap_index]]&gt;70,"Large Gap",
IF(Table1[[#This Row],[skill_gap_index]]&gt;40,"Medium Gap","Small Gap"))</f>
        <v>Medium Gap</v>
      </c>
      <c r="X1994" s="3" t="str">
        <f>IF(Table1[[#This Row],[automation_risk_percent]]&gt;0.7,"Highly Automatable",
IF(Table1[[#This Row],[automation_risk_percent]]&gt;0.4,"Moderate Risk","Safe Job"))</f>
        <v>Moderate Risk</v>
      </c>
    </row>
    <row r="1995" spans="1:24" x14ac:dyDescent="0.3">
      <c r="A1995">
        <v>7109</v>
      </c>
      <c r="B1995" t="s">
        <v>46</v>
      </c>
      <c r="C1995" t="s">
        <v>34</v>
      </c>
      <c r="D1995" t="s">
        <v>35</v>
      </c>
      <c r="E1995" s="1">
        <v>2026</v>
      </c>
      <c r="F1995" s="11">
        <v>0.1343</v>
      </c>
      <c r="G1995">
        <v>11.76</v>
      </c>
      <c r="H1995">
        <v>18.25</v>
      </c>
      <c r="I1995" s="2">
        <v>91172.68</v>
      </c>
      <c r="J1995" s="2">
        <v>107449.86</v>
      </c>
      <c r="K1995" s="2">
        <f>Table1[[#This Row],[Salary_after]]-Table1[[#This Row],[Salary_before]]</f>
        <v>16277.180000000008</v>
      </c>
      <c r="L1995" s="11">
        <v>0.17850000000000002</v>
      </c>
      <c r="M1995" s="11">
        <v>6.6100000000000006E-2</v>
      </c>
      <c r="N1995">
        <v>28.13</v>
      </c>
      <c r="O1995">
        <v>9.27</v>
      </c>
      <c r="P1995">
        <v>3</v>
      </c>
      <c r="Q1995" t="s">
        <v>21</v>
      </c>
      <c r="R1995">
        <v>15.84</v>
      </c>
      <c r="S1995">
        <v>17.850000000000001</v>
      </c>
      <c r="T1995" s="4">
        <v>16.201999999999899</v>
      </c>
      <c r="U1995" s="4">
        <v>1.244961</v>
      </c>
      <c r="V1995" t="str">
        <f>IF(Table1[[#This Row],[ai_disruption_intensity]]&gt;70,"High",
IF(Table1[[#This Row],[ai_disruption_intensity]]&gt;40,"Medium","Low"))</f>
        <v>Low</v>
      </c>
      <c r="W1995" t="str">
        <f>IF(Table1[[#This Row],[skill_gap_index]]&gt;70,"Large Gap",
IF(Table1[[#This Row],[skill_gap_index]]&gt;40,"Medium Gap","Small Gap"))</f>
        <v>Small Gap</v>
      </c>
      <c r="X1995" s="3" t="str">
        <f>IF(Table1[[#This Row],[automation_risk_percent]]&gt;0.7,"Highly Automatable",
IF(Table1[[#This Row],[automation_risk_percent]]&gt;0.4,"Moderate Risk","Safe Job"))</f>
        <v>Safe Job</v>
      </c>
    </row>
    <row r="1996" spans="1:24" x14ac:dyDescent="0.3">
      <c r="A1996">
        <v>7115</v>
      </c>
      <c r="B1996" t="s">
        <v>46</v>
      </c>
      <c r="C1996" t="s">
        <v>34</v>
      </c>
      <c r="D1996" t="s">
        <v>42</v>
      </c>
      <c r="E1996" s="1">
        <v>2025</v>
      </c>
      <c r="F1996" s="11">
        <v>9.5899999999999999E-2</v>
      </c>
      <c r="G1996">
        <v>10.24</v>
      </c>
      <c r="H1996">
        <v>27.91</v>
      </c>
      <c r="I1996" s="2">
        <v>57751.53</v>
      </c>
      <c r="J1996" s="2">
        <v>57285.1</v>
      </c>
      <c r="K1996" s="2">
        <f>Table1[[#This Row],[Salary_after]]-Table1[[#This Row],[Salary_before]]</f>
        <v>-466.43000000000029</v>
      </c>
      <c r="L1996" s="11">
        <v>-8.1000000000000013E-3</v>
      </c>
      <c r="M1996" s="11">
        <v>9.3900000000000011E-2</v>
      </c>
      <c r="N1996">
        <v>79.989999999999995</v>
      </c>
      <c r="O1996">
        <v>92.01</v>
      </c>
      <c r="P1996">
        <v>5</v>
      </c>
      <c r="Q1996" t="s">
        <v>21</v>
      </c>
      <c r="R1996">
        <v>18.75</v>
      </c>
      <c r="S1996">
        <v>0.81</v>
      </c>
      <c r="T1996" s="4">
        <v>12.452</v>
      </c>
      <c r="U1996" s="4">
        <v>8.8237590000000008</v>
      </c>
      <c r="V1996" t="str">
        <f>IF(Table1[[#This Row],[ai_disruption_intensity]]&gt;70,"High",
IF(Table1[[#This Row],[ai_disruption_intensity]]&gt;40,"Medium","Low"))</f>
        <v>Low</v>
      </c>
      <c r="W1996" t="str">
        <f>IF(Table1[[#This Row],[skill_gap_index]]&gt;70,"Large Gap",
IF(Table1[[#This Row],[skill_gap_index]]&gt;40,"Medium Gap","Small Gap"))</f>
        <v>Small Gap</v>
      </c>
      <c r="X1996" s="3" t="str">
        <f>IF(Table1[[#This Row],[automation_risk_percent]]&gt;0.7,"Highly Automatable",
IF(Table1[[#This Row],[automation_risk_percent]]&gt;0.4,"Moderate Risk","Safe Job"))</f>
        <v>Safe Job</v>
      </c>
    </row>
    <row r="1997" spans="1:24" x14ac:dyDescent="0.3">
      <c r="A1997">
        <v>7117</v>
      </c>
      <c r="B1997" t="s">
        <v>46</v>
      </c>
      <c r="C1997" t="s">
        <v>34</v>
      </c>
      <c r="D1997" t="s">
        <v>36</v>
      </c>
      <c r="E1997" s="1">
        <v>2026</v>
      </c>
      <c r="F1997" s="11">
        <v>0.62719999999999998</v>
      </c>
      <c r="G1997">
        <v>52.65</v>
      </c>
      <c r="H1997">
        <v>98</v>
      </c>
      <c r="I1997" s="2">
        <v>43186.95</v>
      </c>
      <c r="J1997" s="2">
        <v>48578.18</v>
      </c>
      <c r="K1997" s="2">
        <f>Table1[[#This Row],[Salary_after]]-Table1[[#This Row],[Salary_before]]</f>
        <v>5391.2300000000032</v>
      </c>
      <c r="L1997" s="11">
        <v>0.12480000000000001</v>
      </c>
      <c r="M1997" s="11">
        <v>0.1759</v>
      </c>
      <c r="N1997">
        <v>93.81</v>
      </c>
      <c r="O1997">
        <v>32.31</v>
      </c>
      <c r="P1997">
        <v>2</v>
      </c>
      <c r="Q1997" t="s">
        <v>37</v>
      </c>
      <c r="R1997">
        <v>80.36</v>
      </c>
      <c r="S1997">
        <v>12.48</v>
      </c>
      <c r="T1997" s="4">
        <v>58.231999999999999</v>
      </c>
      <c r="U1997" s="4">
        <v>20.264831999999998</v>
      </c>
      <c r="V1997" t="str">
        <f>IF(Table1[[#This Row],[ai_disruption_intensity]]&gt;70,"High",
IF(Table1[[#This Row],[ai_disruption_intensity]]&gt;40,"Medium","Low"))</f>
        <v>Low</v>
      </c>
      <c r="W1997" t="str">
        <f>IF(Table1[[#This Row],[skill_gap_index]]&gt;70,"Large Gap",
IF(Table1[[#This Row],[skill_gap_index]]&gt;40,"Medium Gap","Small Gap"))</f>
        <v>Large Gap</v>
      </c>
      <c r="X1997" s="3" t="str">
        <f>IF(Table1[[#This Row],[automation_risk_percent]]&gt;0.7,"Highly Automatable",
IF(Table1[[#This Row],[automation_risk_percent]]&gt;0.4,"Moderate Risk","Safe Job"))</f>
        <v>Moderate Risk</v>
      </c>
    </row>
    <row r="1998" spans="1:24" x14ac:dyDescent="0.3">
      <c r="A1998">
        <v>7118</v>
      </c>
      <c r="B1998" t="s">
        <v>46</v>
      </c>
      <c r="C1998" t="s">
        <v>38</v>
      </c>
      <c r="D1998" t="s">
        <v>36</v>
      </c>
      <c r="E1998" s="1">
        <v>2026</v>
      </c>
      <c r="F1998" s="11">
        <v>0.2324</v>
      </c>
      <c r="G1998">
        <v>26.46</v>
      </c>
      <c r="H1998">
        <v>97.86</v>
      </c>
      <c r="I1998" s="2">
        <v>33616.65</v>
      </c>
      <c r="J1998" s="2">
        <v>29226.63</v>
      </c>
      <c r="K1998" s="2">
        <f>Table1[[#This Row],[Salary_after]]-Table1[[#This Row],[Salary_before]]</f>
        <v>-4390.0200000000004</v>
      </c>
      <c r="L1998" s="11">
        <v>-0.13059999999999999</v>
      </c>
      <c r="M1998" s="11">
        <v>0.11890000000000001</v>
      </c>
      <c r="N1998">
        <v>75.52</v>
      </c>
      <c r="O1998">
        <v>77.27</v>
      </c>
      <c r="P1998">
        <v>4</v>
      </c>
      <c r="Q1998" t="s">
        <v>21</v>
      </c>
      <c r="R1998">
        <v>60.55</v>
      </c>
      <c r="S1998">
        <v>13.06</v>
      </c>
      <c r="T1998" s="4">
        <v>42.571999999999903</v>
      </c>
      <c r="U1998" s="4">
        <v>17.9575479999999</v>
      </c>
      <c r="V1998" t="str">
        <f>IF(Table1[[#This Row],[ai_disruption_intensity]]&gt;70,"High",
IF(Table1[[#This Row],[ai_disruption_intensity]]&gt;40,"Medium","Low"))</f>
        <v>Low</v>
      </c>
      <c r="W1998" t="str">
        <f>IF(Table1[[#This Row],[skill_gap_index]]&gt;70,"Large Gap",
IF(Table1[[#This Row],[skill_gap_index]]&gt;40,"Medium Gap","Small Gap"))</f>
        <v>Large Gap</v>
      </c>
      <c r="X1998" s="3" t="str">
        <f>IF(Table1[[#This Row],[automation_risk_percent]]&gt;0.7,"Highly Automatable",
IF(Table1[[#This Row],[automation_risk_percent]]&gt;0.4,"Moderate Risk","Safe Job"))</f>
        <v>Safe Job</v>
      </c>
    </row>
    <row r="1999" spans="1:24" x14ac:dyDescent="0.3">
      <c r="A1999">
        <v>7127</v>
      </c>
      <c r="B1999" t="s">
        <v>41</v>
      </c>
      <c r="C1999" t="s">
        <v>19</v>
      </c>
      <c r="D1999" t="s">
        <v>35</v>
      </c>
      <c r="E1999" s="1">
        <v>2025</v>
      </c>
      <c r="F1999" s="11">
        <v>0.77170000000000005</v>
      </c>
      <c r="G1999">
        <v>81.66</v>
      </c>
      <c r="H1999">
        <v>99.25</v>
      </c>
      <c r="I1999" s="2">
        <v>146716.17000000001</v>
      </c>
      <c r="J1999" s="2">
        <v>128291.26</v>
      </c>
      <c r="K1999" s="2">
        <f>Table1[[#This Row],[Salary_after]]-Table1[[#This Row],[Salary_before]]</f>
        <v>-18424.910000000018</v>
      </c>
      <c r="L1999" s="11">
        <v>-0.12560000000000002</v>
      </c>
      <c r="M1999" s="11">
        <v>9.1999999999999998E-3</v>
      </c>
      <c r="N1999">
        <v>51.75</v>
      </c>
      <c r="O1999">
        <v>84.46</v>
      </c>
      <c r="P1999">
        <v>5</v>
      </c>
      <c r="Q1999" t="s">
        <v>37</v>
      </c>
      <c r="R1999">
        <v>88.21</v>
      </c>
      <c r="S1999">
        <v>12.56</v>
      </c>
      <c r="T1999" s="4">
        <v>64.411000000000001</v>
      </c>
      <c r="U1999" s="4">
        <v>65.177781999999993</v>
      </c>
      <c r="V1999" t="str">
        <f>IF(Table1[[#This Row],[ai_disruption_intensity]]&gt;70,"High",
IF(Table1[[#This Row],[ai_disruption_intensity]]&gt;40,"Medium","Low"))</f>
        <v>Medium</v>
      </c>
      <c r="W1999" t="str">
        <f>IF(Table1[[#This Row],[skill_gap_index]]&gt;70,"Large Gap",
IF(Table1[[#This Row],[skill_gap_index]]&gt;40,"Medium Gap","Small Gap"))</f>
        <v>Large Gap</v>
      </c>
      <c r="X1999" s="3" t="str">
        <f>IF(Table1[[#This Row],[automation_risk_percent]]&gt;0.7,"Highly Automatable",
IF(Table1[[#This Row],[automation_risk_percent]]&gt;0.4,"Moderate Risk","Safe Job"))</f>
        <v>Highly Automatable</v>
      </c>
    </row>
    <row r="2000" spans="1:24" x14ac:dyDescent="0.3">
      <c r="A2000">
        <v>7130</v>
      </c>
      <c r="B2000" t="s">
        <v>45</v>
      </c>
      <c r="C2000" t="s">
        <v>23</v>
      </c>
      <c r="D2000" t="s">
        <v>28</v>
      </c>
      <c r="E2000" s="1">
        <v>2026</v>
      </c>
      <c r="F2000" s="11">
        <v>0.45810000000000001</v>
      </c>
      <c r="G2000">
        <v>53.11</v>
      </c>
      <c r="H2000">
        <v>67.28</v>
      </c>
      <c r="I2000" s="2">
        <v>134830.93</v>
      </c>
      <c r="J2000" s="2">
        <v>153968.26999999999</v>
      </c>
      <c r="K2000" s="2">
        <f>Table1[[#This Row],[Salary_after]]-Table1[[#This Row],[Salary_before]]</f>
        <v>19137.339999999997</v>
      </c>
      <c r="L2000" s="11">
        <v>0.1419</v>
      </c>
      <c r="M2000" s="11">
        <v>0.12</v>
      </c>
      <c r="N2000">
        <v>11.18</v>
      </c>
      <c r="O2000">
        <v>33.97</v>
      </c>
      <c r="P2000">
        <v>2</v>
      </c>
      <c r="Q2000" t="s">
        <v>25</v>
      </c>
      <c r="R2000">
        <v>56.545000000000002</v>
      </c>
      <c r="S2000">
        <v>14.19</v>
      </c>
      <c r="T2000" s="4">
        <v>42.765000000000001</v>
      </c>
      <c r="U2000" s="4">
        <v>15.561657</v>
      </c>
      <c r="V2000" t="str">
        <f>IF(Table1[[#This Row],[ai_disruption_intensity]]&gt;70,"High",
IF(Table1[[#This Row],[ai_disruption_intensity]]&gt;40,"Medium","Low"))</f>
        <v>Low</v>
      </c>
      <c r="W2000" t="str">
        <f>IF(Table1[[#This Row],[skill_gap_index]]&gt;70,"Large Gap",
IF(Table1[[#This Row],[skill_gap_index]]&gt;40,"Medium Gap","Small Gap"))</f>
        <v>Medium Gap</v>
      </c>
      <c r="X2000" s="3" t="str">
        <f>IF(Table1[[#This Row],[automation_risk_percent]]&gt;0.7,"Highly Automatable",
IF(Table1[[#This Row],[automation_risk_percent]]&gt;0.4,"Moderate Risk","Safe Job"))</f>
        <v>Moderate Risk</v>
      </c>
    </row>
    <row r="2001" spans="1:24" x14ac:dyDescent="0.3">
      <c r="A2001">
        <v>7145</v>
      </c>
      <c r="B2001" t="s">
        <v>46</v>
      </c>
      <c r="C2001" t="s">
        <v>30</v>
      </c>
      <c r="D2001" t="s">
        <v>31</v>
      </c>
      <c r="E2001" s="1">
        <v>2025</v>
      </c>
      <c r="F2001" s="11">
        <v>0.318</v>
      </c>
      <c r="G2001">
        <v>27.64</v>
      </c>
      <c r="H2001">
        <v>10.68</v>
      </c>
      <c r="I2001" s="2">
        <v>47192.07</v>
      </c>
      <c r="J2001" s="2">
        <v>44840.59</v>
      </c>
      <c r="K2001" s="2">
        <f>Table1[[#This Row],[Salary_after]]-Table1[[#This Row],[Salary_before]]</f>
        <v>-2351.4800000000032</v>
      </c>
      <c r="L2001" s="11">
        <v>-4.9800000000000004E-2</v>
      </c>
      <c r="M2001" s="11">
        <v>-0.13980000000000001</v>
      </c>
      <c r="N2001">
        <v>27.4</v>
      </c>
      <c r="O2001">
        <v>75.56</v>
      </c>
      <c r="P2001">
        <v>3</v>
      </c>
      <c r="Q2001" t="s">
        <v>25</v>
      </c>
      <c r="R2001">
        <v>21.24</v>
      </c>
      <c r="S2001">
        <v>4.9800000000000004</v>
      </c>
      <c r="T2001" s="4">
        <v>17.417999999999999</v>
      </c>
      <c r="U2001" s="4">
        <v>24.028079999999999</v>
      </c>
      <c r="V2001" t="str">
        <f>IF(Table1[[#This Row],[ai_disruption_intensity]]&gt;70,"High",
IF(Table1[[#This Row],[ai_disruption_intensity]]&gt;40,"Medium","Low"))</f>
        <v>Low</v>
      </c>
      <c r="W2001" t="str">
        <f>IF(Table1[[#This Row],[skill_gap_index]]&gt;70,"Large Gap",
IF(Table1[[#This Row],[skill_gap_index]]&gt;40,"Medium Gap","Small Gap"))</f>
        <v>Small Gap</v>
      </c>
      <c r="X2001" s="3" t="str">
        <f>IF(Table1[[#This Row],[automation_risk_percent]]&gt;0.7,"Highly Automatable",
IF(Table1[[#This Row],[automation_risk_percent]]&gt;0.4,"Moderate Risk","Safe Job"))</f>
        <v>Safe Job</v>
      </c>
    </row>
    <row r="2002" spans="1:24" x14ac:dyDescent="0.3">
      <c r="A2002">
        <v>7147</v>
      </c>
      <c r="B2002" t="s">
        <v>45</v>
      </c>
      <c r="C2002" t="s">
        <v>30</v>
      </c>
      <c r="D2002" t="s">
        <v>35</v>
      </c>
      <c r="E2002" s="1">
        <v>2025</v>
      </c>
      <c r="F2002" s="11">
        <v>0.61299999999999999</v>
      </c>
      <c r="G2002">
        <v>64.81</v>
      </c>
      <c r="H2002">
        <v>71.430000000000007</v>
      </c>
      <c r="I2002" s="2">
        <v>71245.789999999994</v>
      </c>
      <c r="J2002" s="2">
        <v>71916.03</v>
      </c>
      <c r="K2002" s="2">
        <f>Table1[[#This Row],[Salary_after]]-Table1[[#This Row],[Salary_before]]</f>
        <v>670.24000000000524</v>
      </c>
      <c r="L2002" s="11">
        <v>9.3999999999999986E-3</v>
      </c>
      <c r="M2002" s="11">
        <v>0.11900000000000001</v>
      </c>
      <c r="N2002">
        <v>16.98</v>
      </c>
      <c r="O2002">
        <v>6.67</v>
      </c>
      <c r="P2002">
        <v>2</v>
      </c>
      <c r="Q2002" t="s">
        <v>37</v>
      </c>
      <c r="R2002">
        <v>66.364999999999995</v>
      </c>
      <c r="S2002">
        <v>0.94</v>
      </c>
      <c r="T2002" s="4">
        <v>46.230999999999902</v>
      </c>
      <c r="U2002" s="4">
        <v>4.0887099999999998</v>
      </c>
      <c r="V2002" t="str">
        <f>IF(Table1[[#This Row],[ai_disruption_intensity]]&gt;70,"High",
IF(Table1[[#This Row],[ai_disruption_intensity]]&gt;40,"Medium","Low"))</f>
        <v>Low</v>
      </c>
      <c r="W2002" t="str">
        <f>IF(Table1[[#This Row],[skill_gap_index]]&gt;70,"Large Gap",
IF(Table1[[#This Row],[skill_gap_index]]&gt;40,"Medium Gap","Small Gap"))</f>
        <v>Large Gap</v>
      </c>
      <c r="X2002" s="3" t="str">
        <f>IF(Table1[[#This Row],[automation_risk_percent]]&gt;0.7,"Highly Automatable",
IF(Table1[[#This Row],[automation_risk_percent]]&gt;0.4,"Moderate Risk","Safe Job"))</f>
        <v>Moderate Risk</v>
      </c>
    </row>
    <row r="2003" spans="1:24" x14ac:dyDescent="0.3">
      <c r="A2003">
        <v>7151</v>
      </c>
      <c r="B2003" t="s">
        <v>45</v>
      </c>
      <c r="C2003" t="s">
        <v>27</v>
      </c>
      <c r="D2003" t="s">
        <v>36</v>
      </c>
      <c r="E2003" s="1">
        <v>2025</v>
      </c>
      <c r="F2003" s="11">
        <v>0.2823</v>
      </c>
      <c r="G2003">
        <v>23.41</v>
      </c>
      <c r="H2003">
        <v>45.18</v>
      </c>
      <c r="I2003" s="2">
        <v>112642.47</v>
      </c>
      <c r="J2003" s="2">
        <v>112859.21</v>
      </c>
      <c r="K2003" s="2">
        <f>Table1[[#This Row],[Salary_after]]-Table1[[#This Row],[Salary_before]]</f>
        <v>216.74000000000524</v>
      </c>
      <c r="L2003" s="11">
        <v>1.9E-3</v>
      </c>
      <c r="M2003" s="11">
        <v>9.3100000000000002E-2</v>
      </c>
      <c r="N2003">
        <v>76.099999999999994</v>
      </c>
      <c r="O2003">
        <v>89.61</v>
      </c>
      <c r="P2003">
        <v>1</v>
      </c>
      <c r="Q2003" t="s">
        <v>21</v>
      </c>
      <c r="R2003">
        <v>36.704999999999998</v>
      </c>
      <c r="S2003">
        <v>0.19</v>
      </c>
      <c r="T2003" s="4">
        <v>24.902999999999999</v>
      </c>
      <c r="U2003" s="4">
        <v>25.296903</v>
      </c>
      <c r="V2003" t="str">
        <f>IF(Table1[[#This Row],[ai_disruption_intensity]]&gt;70,"High",
IF(Table1[[#This Row],[ai_disruption_intensity]]&gt;40,"Medium","Low"))</f>
        <v>Low</v>
      </c>
      <c r="W2003" t="str">
        <f>IF(Table1[[#This Row],[skill_gap_index]]&gt;70,"Large Gap",
IF(Table1[[#This Row],[skill_gap_index]]&gt;40,"Medium Gap","Small Gap"))</f>
        <v>Medium Gap</v>
      </c>
      <c r="X2003" s="3" t="str">
        <f>IF(Table1[[#This Row],[automation_risk_percent]]&gt;0.7,"Highly Automatable",
IF(Table1[[#This Row],[automation_risk_percent]]&gt;0.4,"Moderate Risk","Safe Job"))</f>
        <v>Safe Job</v>
      </c>
    </row>
    <row r="2004" spans="1:24" x14ac:dyDescent="0.3">
      <c r="A2004">
        <v>7152</v>
      </c>
      <c r="B2004" t="s">
        <v>39</v>
      </c>
      <c r="C2004" t="s">
        <v>23</v>
      </c>
      <c r="D2004" t="s">
        <v>47</v>
      </c>
      <c r="E2004" s="1">
        <v>2025</v>
      </c>
      <c r="F2004" s="11">
        <v>0.48020000000000002</v>
      </c>
      <c r="G2004">
        <v>41.62</v>
      </c>
      <c r="H2004">
        <v>84.82</v>
      </c>
      <c r="I2004" s="2">
        <v>98900.84</v>
      </c>
      <c r="J2004" s="2">
        <v>106212.01</v>
      </c>
      <c r="K2004" s="2">
        <f>Table1[[#This Row],[Salary_after]]-Table1[[#This Row],[Salary_before]]</f>
        <v>7311.1699999999983</v>
      </c>
      <c r="L2004" s="11">
        <v>7.3899999999999993E-2</v>
      </c>
      <c r="M2004" s="11">
        <v>0.17059999999999997</v>
      </c>
      <c r="N2004">
        <v>15.49</v>
      </c>
      <c r="O2004">
        <v>16.91</v>
      </c>
      <c r="P2004">
        <v>3</v>
      </c>
      <c r="Q2004" t="s">
        <v>25</v>
      </c>
      <c r="R2004">
        <v>66.42</v>
      </c>
      <c r="S2004">
        <v>7.39</v>
      </c>
      <c r="T2004" s="4">
        <v>46.870999999999903</v>
      </c>
      <c r="U2004" s="4">
        <v>8.1201819999999998</v>
      </c>
      <c r="V2004" t="str">
        <f>IF(Table1[[#This Row],[ai_disruption_intensity]]&gt;70,"High",
IF(Table1[[#This Row],[ai_disruption_intensity]]&gt;40,"Medium","Low"))</f>
        <v>Low</v>
      </c>
      <c r="W2004" t="str">
        <f>IF(Table1[[#This Row],[skill_gap_index]]&gt;70,"Large Gap",
IF(Table1[[#This Row],[skill_gap_index]]&gt;40,"Medium Gap","Small Gap"))</f>
        <v>Large Gap</v>
      </c>
      <c r="X2004" s="3" t="str">
        <f>IF(Table1[[#This Row],[automation_risk_percent]]&gt;0.7,"Highly Automatable",
IF(Table1[[#This Row],[automation_risk_percent]]&gt;0.4,"Moderate Risk","Safe Job"))</f>
        <v>Moderate Risk</v>
      </c>
    </row>
    <row r="2005" spans="1:24" x14ac:dyDescent="0.3">
      <c r="A2005">
        <v>7156</v>
      </c>
      <c r="B2005" t="s">
        <v>46</v>
      </c>
      <c r="C2005" t="s">
        <v>34</v>
      </c>
      <c r="D2005" t="s">
        <v>35</v>
      </c>
      <c r="E2005" s="1">
        <v>2026</v>
      </c>
      <c r="F2005" s="11">
        <v>0.43140000000000001</v>
      </c>
      <c r="G2005">
        <v>45.76</v>
      </c>
      <c r="H2005">
        <v>5.97</v>
      </c>
      <c r="I2005" s="2">
        <v>122747.77</v>
      </c>
      <c r="J2005" s="2">
        <v>103884.93</v>
      </c>
      <c r="K2005" s="2">
        <f>Table1[[#This Row],[Salary_after]]-Table1[[#This Row],[Salary_before]]</f>
        <v>-18862.840000000011</v>
      </c>
      <c r="L2005" s="11">
        <v>-0.1537</v>
      </c>
      <c r="M2005" s="11">
        <v>0.20850000000000002</v>
      </c>
      <c r="N2005">
        <v>98.49</v>
      </c>
      <c r="O2005">
        <v>1.02</v>
      </c>
      <c r="P2005">
        <v>3</v>
      </c>
      <c r="Q2005" t="s">
        <v>25</v>
      </c>
      <c r="R2005">
        <v>24.555</v>
      </c>
      <c r="S2005">
        <v>15.37</v>
      </c>
      <c r="T2005" s="4">
        <v>23.658000000000001</v>
      </c>
      <c r="U2005" s="4">
        <v>0.44002799999999997</v>
      </c>
      <c r="V2005" t="str">
        <f>IF(Table1[[#This Row],[ai_disruption_intensity]]&gt;70,"High",
IF(Table1[[#This Row],[ai_disruption_intensity]]&gt;40,"Medium","Low"))</f>
        <v>Low</v>
      </c>
      <c r="W2005" t="str">
        <f>IF(Table1[[#This Row],[skill_gap_index]]&gt;70,"Large Gap",
IF(Table1[[#This Row],[skill_gap_index]]&gt;40,"Medium Gap","Small Gap"))</f>
        <v>Small Gap</v>
      </c>
      <c r="X2005" s="3" t="str">
        <f>IF(Table1[[#This Row],[automation_risk_percent]]&gt;0.7,"Highly Automatable",
IF(Table1[[#This Row],[automation_risk_percent]]&gt;0.4,"Moderate Risk","Safe Job"))</f>
        <v>Moderate Risk</v>
      </c>
    </row>
    <row r="2006" spans="1:24" x14ac:dyDescent="0.3">
      <c r="A2006">
        <v>7157</v>
      </c>
      <c r="B2006" t="s">
        <v>39</v>
      </c>
      <c r="C2006" t="s">
        <v>19</v>
      </c>
      <c r="D2006" t="s">
        <v>47</v>
      </c>
      <c r="E2006" s="1">
        <v>2026</v>
      </c>
      <c r="F2006" s="11">
        <v>0.48139999999999999</v>
      </c>
      <c r="G2006">
        <v>41.59</v>
      </c>
      <c r="H2006">
        <v>32.93</v>
      </c>
      <c r="I2006" s="2">
        <v>45984.27</v>
      </c>
      <c r="J2006" s="2">
        <v>41475.93</v>
      </c>
      <c r="K2006" s="2">
        <f>Table1[[#This Row],[Salary_after]]-Table1[[#This Row],[Salary_before]]</f>
        <v>-4508.3399999999965</v>
      </c>
      <c r="L2006" s="11">
        <v>-9.8000000000000004E-2</v>
      </c>
      <c r="M2006" s="11">
        <v>0.21760000000000002</v>
      </c>
      <c r="N2006">
        <v>98.77</v>
      </c>
      <c r="O2006">
        <v>65.38</v>
      </c>
      <c r="P2006">
        <v>5</v>
      </c>
      <c r="Q2006" t="s">
        <v>25</v>
      </c>
      <c r="R2006">
        <v>40.534999999999997</v>
      </c>
      <c r="S2006">
        <v>9.8000000000000007</v>
      </c>
      <c r="T2006" s="4">
        <v>32.074999999999903</v>
      </c>
      <c r="U2006" s="4">
        <v>31.473932000000001</v>
      </c>
      <c r="V2006" t="str">
        <f>IF(Table1[[#This Row],[ai_disruption_intensity]]&gt;70,"High",
IF(Table1[[#This Row],[ai_disruption_intensity]]&gt;40,"Medium","Low"))</f>
        <v>Low</v>
      </c>
      <c r="W2006" t="str">
        <f>IF(Table1[[#This Row],[skill_gap_index]]&gt;70,"Large Gap",
IF(Table1[[#This Row],[skill_gap_index]]&gt;40,"Medium Gap","Small Gap"))</f>
        <v>Small Gap</v>
      </c>
      <c r="X2006" s="3" t="str">
        <f>IF(Table1[[#This Row],[automation_risk_percent]]&gt;0.7,"Highly Automatable",
IF(Table1[[#This Row],[automation_risk_percent]]&gt;0.4,"Moderate Risk","Safe Job"))</f>
        <v>Moderate Risk</v>
      </c>
    </row>
    <row r="2007" spans="1:24" x14ac:dyDescent="0.3">
      <c r="A2007">
        <v>7165</v>
      </c>
      <c r="B2007" t="s">
        <v>18</v>
      </c>
      <c r="C2007" t="s">
        <v>30</v>
      </c>
      <c r="D2007" t="s">
        <v>36</v>
      </c>
      <c r="E2007" s="1">
        <v>2025</v>
      </c>
      <c r="F2007" s="11">
        <v>0.73319999999999996</v>
      </c>
      <c r="G2007">
        <v>84.87</v>
      </c>
      <c r="H2007">
        <v>15.53</v>
      </c>
      <c r="I2007" s="2">
        <v>149456.87</v>
      </c>
      <c r="J2007" s="2">
        <v>153348.4</v>
      </c>
      <c r="K2007" s="2">
        <f>Table1[[#This Row],[Salary_after]]-Table1[[#This Row],[Salary_before]]</f>
        <v>3891.5299999999988</v>
      </c>
      <c r="L2007" s="11">
        <v>2.6000000000000002E-2</v>
      </c>
      <c r="M2007" s="11">
        <v>2.3700000000000002E-2</v>
      </c>
      <c r="N2007">
        <v>62.83</v>
      </c>
      <c r="O2007">
        <v>67.83</v>
      </c>
      <c r="P2007">
        <v>3</v>
      </c>
      <c r="Q2007" t="s">
        <v>37</v>
      </c>
      <c r="R2007">
        <v>44.424999999999997</v>
      </c>
      <c r="S2007">
        <v>2.6</v>
      </c>
      <c r="T2007" s="4">
        <v>34.767000000000003</v>
      </c>
      <c r="U2007" s="4">
        <v>49.732955999999902</v>
      </c>
      <c r="V2007" t="str">
        <f>IF(Table1[[#This Row],[ai_disruption_intensity]]&gt;70,"High",
IF(Table1[[#This Row],[ai_disruption_intensity]]&gt;40,"Medium","Low"))</f>
        <v>Medium</v>
      </c>
      <c r="W2007" t="str">
        <f>IF(Table1[[#This Row],[skill_gap_index]]&gt;70,"Large Gap",
IF(Table1[[#This Row],[skill_gap_index]]&gt;40,"Medium Gap","Small Gap"))</f>
        <v>Small Gap</v>
      </c>
      <c r="X2007" s="3" t="str">
        <f>IF(Table1[[#This Row],[automation_risk_percent]]&gt;0.7,"Highly Automatable",
IF(Table1[[#This Row],[automation_risk_percent]]&gt;0.4,"Moderate Risk","Safe Job"))</f>
        <v>Highly Automatable</v>
      </c>
    </row>
    <row r="2008" spans="1:24" x14ac:dyDescent="0.3">
      <c r="A2008">
        <v>7168</v>
      </c>
      <c r="B2008" t="s">
        <v>22</v>
      </c>
      <c r="C2008" t="s">
        <v>19</v>
      </c>
      <c r="D2008" t="s">
        <v>24</v>
      </c>
      <c r="E2008" s="1">
        <v>2026</v>
      </c>
      <c r="F2008" s="11">
        <v>0.39759999999999995</v>
      </c>
      <c r="G2008">
        <v>42.94</v>
      </c>
      <c r="H2008">
        <v>73.12</v>
      </c>
      <c r="I2008" s="2">
        <v>91771.48</v>
      </c>
      <c r="J2008" s="2">
        <v>93603.7</v>
      </c>
      <c r="K2008" s="2">
        <f>Table1[[#This Row],[Salary_after]]-Table1[[#This Row],[Salary_before]]</f>
        <v>1832.2200000000012</v>
      </c>
      <c r="L2008" s="11">
        <v>0.02</v>
      </c>
      <c r="M2008" s="11">
        <v>0.21899999999999997</v>
      </c>
      <c r="N2008">
        <v>18.760000000000002</v>
      </c>
      <c r="O2008">
        <v>85.16</v>
      </c>
      <c r="P2008">
        <v>4</v>
      </c>
      <c r="Q2008" t="s">
        <v>25</v>
      </c>
      <c r="R2008">
        <v>56.44</v>
      </c>
      <c r="S2008">
        <v>2</v>
      </c>
      <c r="T2008" s="4">
        <v>38.44</v>
      </c>
      <c r="U2008" s="4">
        <v>33.859615999999903</v>
      </c>
      <c r="V2008" t="str">
        <f>IF(Table1[[#This Row],[ai_disruption_intensity]]&gt;70,"High",
IF(Table1[[#This Row],[ai_disruption_intensity]]&gt;40,"Medium","Low"))</f>
        <v>Low</v>
      </c>
      <c r="W2008" t="str">
        <f>IF(Table1[[#This Row],[skill_gap_index]]&gt;70,"Large Gap",
IF(Table1[[#This Row],[skill_gap_index]]&gt;40,"Medium Gap","Small Gap"))</f>
        <v>Large Gap</v>
      </c>
      <c r="X2008" s="3" t="str">
        <f>IF(Table1[[#This Row],[automation_risk_percent]]&gt;0.7,"Highly Automatable",
IF(Table1[[#This Row],[automation_risk_percent]]&gt;0.4,"Moderate Risk","Safe Job"))</f>
        <v>Safe Job</v>
      </c>
    </row>
    <row r="2009" spans="1:24" x14ac:dyDescent="0.3">
      <c r="A2009">
        <v>7169</v>
      </c>
      <c r="B2009" t="s">
        <v>41</v>
      </c>
      <c r="C2009" t="s">
        <v>33</v>
      </c>
      <c r="D2009" t="s">
        <v>20</v>
      </c>
      <c r="E2009" s="1">
        <v>2025</v>
      </c>
      <c r="F2009" s="11">
        <v>0.85930000000000006</v>
      </c>
      <c r="G2009">
        <v>77.91</v>
      </c>
      <c r="H2009">
        <v>78.64</v>
      </c>
      <c r="I2009" s="2">
        <v>91340.52</v>
      </c>
      <c r="J2009" s="2">
        <v>88950.91</v>
      </c>
      <c r="K2009" s="2">
        <f>Table1[[#This Row],[Salary_after]]-Table1[[#This Row],[Salary_before]]</f>
        <v>-2389.6100000000006</v>
      </c>
      <c r="L2009" s="11">
        <v>-2.6200000000000001E-2</v>
      </c>
      <c r="M2009" s="11">
        <v>-4.6399999999999997E-2</v>
      </c>
      <c r="N2009">
        <v>16.89</v>
      </c>
      <c r="O2009">
        <v>78.650000000000006</v>
      </c>
      <c r="P2009">
        <v>4</v>
      </c>
      <c r="Q2009" t="s">
        <v>37</v>
      </c>
      <c r="R2009">
        <v>82.284999999999997</v>
      </c>
      <c r="S2009">
        <v>2.62</v>
      </c>
      <c r="T2009" s="4">
        <v>58.75</v>
      </c>
      <c r="U2009" s="4">
        <v>67.583945</v>
      </c>
      <c r="V2009" t="str">
        <f>IF(Table1[[#This Row],[ai_disruption_intensity]]&gt;70,"High",
IF(Table1[[#This Row],[ai_disruption_intensity]]&gt;40,"Medium","Low"))</f>
        <v>Medium</v>
      </c>
      <c r="W2009" t="str">
        <f>IF(Table1[[#This Row],[skill_gap_index]]&gt;70,"Large Gap",
IF(Table1[[#This Row],[skill_gap_index]]&gt;40,"Medium Gap","Small Gap"))</f>
        <v>Large Gap</v>
      </c>
      <c r="X2009" s="3" t="str">
        <f>IF(Table1[[#This Row],[automation_risk_percent]]&gt;0.7,"Highly Automatable",
IF(Table1[[#This Row],[automation_risk_percent]]&gt;0.4,"Moderate Risk","Safe Job"))</f>
        <v>Highly Automatable</v>
      </c>
    </row>
    <row r="2010" spans="1:24" x14ac:dyDescent="0.3">
      <c r="A2010">
        <v>7170</v>
      </c>
      <c r="B2010" t="s">
        <v>44</v>
      </c>
      <c r="C2010" t="s">
        <v>40</v>
      </c>
      <c r="D2010" t="s">
        <v>47</v>
      </c>
      <c r="E2010" s="1">
        <v>2025</v>
      </c>
      <c r="F2010" s="11">
        <v>0.23739999999999997</v>
      </c>
      <c r="G2010">
        <v>20.55</v>
      </c>
      <c r="H2010">
        <v>20.85</v>
      </c>
      <c r="I2010" s="2">
        <v>57135.72</v>
      </c>
      <c r="J2010" s="2">
        <v>63544.73</v>
      </c>
      <c r="K2010" s="2">
        <f>Table1[[#This Row],[Salary_after]]-Table1[[#This Row],[Salary_before]]</f>
        <v>6409.010000000002</v>
      </c>
      <c r="L2010" s="11">
        <v>0.11220000000000001</v>
      </c>
      <c r="M2010" s="11">
        <v>0.19079999999999997</v>
      </c>
      <c r="N2010">
        <v>21.64</v>
      </c>
      <c r="O2010">
        <v>72.44</v>
      </c>
      <c r="P2010">
        <v>5</v>
      </c>
      <c r="Q2010" t="s">
        <v>21</v>
      </c>
      <c r="R2010">
        <v>22.295000000000002</v>
      </c>
      <c r="S2010">
        <v>11.22</v>
      </c>
      <c r="T2010" s="4">
        <v>19.117000000000001</v>
      </c>
      <c r="U2010" s="4">
        <v>17.1972559999999</v>
      </c>
      <c r="V2010" t="str">
        <f>IF(Table1[[#This Row],[ai_disruption_intensity]]&gt;70,"High",
IF(Table1[[#This Row],[ai_disruption_intensity]]&gt;40,"Medium","Low"))</f>
        <v>Low</v>
      </c>
      <c r="W2010" t="str">
        <f>IF(Table1[[#This Row],[skill_gap_index]]&gt;70,"Large Gap",
IF(Table1[[#This Row],[skill_gap_index]]&gt;40,"Medium Gap","Small Gap"))</f>
        <v>Small Gap</v>
      </c>
      <c r="X2010" s="3" t="str">
        <f>IF(Table1[[#This Row],[automation_risk_percent]]&gt;0.7,"Highly Automatable",
IF(Table1[[#This Row],[automation_risk_percent]]&gt;0.4,"Moderate Risk","Safe Job"))</f>
        <v>Safe Job</v>
      </c>
    </row>
    <row r="2011" spans="1:24" x14ac:dyDescent="0.3">
      <c r="A2011">
        <v>7171</v>
      </c>
      <c r="B2011" t="s">
        <v>39</v>
      </c>
      <c r="C2011" t="s">
        <v>30</v>
      </c>
      <c r="D2011" t="s">
        <v>35</v>
      </c>
      <c r="E2011" s="1">
        <v>2026</v>
      </c>
      <c r="F2011" s="11">
        <v>0.34429999999999999</v>
      </c>
      <c r="G2011">
        <v>33.85</v>
      </c>
      <c r="H2011">
        <v>12.49</v>
      </c>
      <c r="I2011" s="2">
        <v>115035.13</v>
      </c>
      <c r="J2011" s="2">
        <v>131957.95000000001</v>
      </c>
      <c r="K2011" s="2">
        <f>Table1[[#This Row],[Salary_after]]-Table1[[#This Row],[Salary_before]]</f>
        <v>16922.820000000007</v>
      </c>
      <c r="L2011" s="11">
        <v>0.14710000000000001</v>
      </c>
      <c r="M2011" s="11">
        <v>-8.7799999999999989E-2</v>
      </c>
      <c r="N2011">
        <v>48.45</v>
      </c>
      <c r="O2011">
        <v>4.8899999999999997</v>
      </c>
      <c r="P2011">
        <v>2</v>
      </c>
      <c r="Q2011" t="s">
        <v>25</v>
      </c>
      <c r="R2011">
        <v>23.46</v>
      </c>
      <c r="S2011">
        <v>14.71</v>
      </c>
      <c r="T2011" s="4">
        <v>21.931999999999999</v>
      </c>
      <c r="U2011" s="4">
        <v>1.683627</v>
      </c>
      <c r="V2011" t="str">
        <f>IF(Table1[[#This Row],[ai_disruption_intensity]]&gt;70,"High",
IF(Table1[[#This Row],[ai_disruption_intensity]]&gt;40,"Medium","Low"))</f>
        <v>Low</v>
      </c>
      <c r="W2011" t="str">
        <f>IF(Table1[[#This Row],[skill_gap_index]]&gt;70,"Large Gap",
IF(Table1[[#This Row],[skill_gap_index]]&gt;40,"Medium Gap","Small Gap"))</f>
        <v>Small Gap</v>
      </c>
      <c r="X2011" s="3" t="str">
        <f>IF(Table1[[#This Row],[automation_risk_percent]]&gt;0.7,"Highly Automatable",
IF(Table1[[#This Row],[automation_risk_percent]]&gt;0.4,"Moderate Risk","Safe Job"))</f>
        <v>Safe Job</v>
      </c>
    </row>
    <row r="2012" spans="1:24" x14ac:dyDescent="0.3">
      <c r="A2012">
        <v>7174</v>
      </c>
      <c r="B2012" t="s">
        <v>26</v>
      </c>
      <c r="C2012" t="s">
        <v>40</v>
      </c>
      <c r="D2012" t="s">
        <v>47</v>
      </c>
      <c r="E2012" s="1">
        <v>2026</v>
      </c>
      <c r="F2012" s="11">
        <v>0.37079999999999996</v>
      </c>
      <c r="G2012">
        <v>43.35</v>
      </c>
      <c r="H2012">
        <v>96.97</v>
      </c>
      <c r="I2012" s="2">
        <v>61157.29</v>
      </c>
      <c r="J2012" s="2">
        <v>54798.5</v>
      </c>
      <c r="K2012" s="2">
        <f>Table1[[#This Row],[Salary_after]]-Table1[[#This Row],[Salary_before]]</f>
        <v>-6358.7900000000009</v>
      </c>
      <c r="L2012" s="11">
        <v>-0.10400000000000001</v>
      </c>
      <c r="M2012" s="11">
        <v>0.29070000000000001</v>
      </c>
      <c r="N2012">
        <v>59.21</v>
      </c>
      <c r="O2012">
        <v>53.17</v>
      </c>
      <c r="P2012">
        <v>4</v>
      </c>
      <c r="Q2012" t="s">
        <v>25</v>
      </c>
      <c r="R2012">
        <v>67.025000000000006</v>
      </c>
      <c r="S2012">
        <v>10.4</v>
      </c>
      <c r="T2012" s="4">
        <v>47.042999999999999</v>
      </c>
      <c r="U2012" s="4">
        <v>19.715436</v>
      </c>
      <c r="V2012" t="str">
        <f>IF(Table1[[#This Row],[ai_disruption_intensity]]&gt;70,"High",
IF(Table1[[#This Row],[ai_disruption_intensity]]&gt;40,"Medium","Low"))</f>
        <v>Low</v>
      </c>
      <c r="W2012" t="str">
        <f>IF(Table1[[#This Row],[skill_gap_index]]&gt;70,"Large Gap",
IF(Table1[[#This Row],[skill_gap_index]]&gt;40,"Medium Gap","Small Gap"))</f>
        <v>Large Gap</v>
      </c>
      <c r="X2012" s="3" t="str">
        <f>IF(Table1[[#This Row],[automation_risk_percent]]&gt;0.7,"Highly Automatable",
IF(Table1[[#This Row],[automation_risk_percent]]&gt;0.4,"Moderate Risk","Safe Job"))</f>
        <v>Safe Job</v>
      </c>
    </row>
    <row r="2013" spans="1:24" x14ac:dyDescent="0.3">
      <c r="A2013">
        <v>7179</v>
      </c>
      <c r="B2013" t="s">
        <v>29</v>
      </c>
      <c r="C2013" t="s">
        <v>23</v>
      </c>
      <c r="D2013" t="s">
        <v>31</v>
      </c>
      <c r="E2013" s="1">
        <v>2026</v>
      </c>
      <c r="F2013" s="11">
        <v>0.3115</v>
      </c>
      <c r="G2013">
        <v>31.41</v>
      </c>
      <c r="H2013">
        <v>90.1</v>
      </c>
      <c r="I2013" s="2">
        <v>34646.26</v>
      </c>
      <c r="J2013" s="2">
        <v>29945.16</v>
      </c>
      <c r="K2013" s="2">
        <f>Table1[[#This Row],[Salary_after]]-Table1[[#This Row],[Salary_before]]</f>
        <v>-4701.1000000000022</v>
      </c>
      <c r="L2013" s="11">
        <v>-0.13570000000000002</v>
      </c>
      <c r="M2013" s="11">
        <v>0.1079</v>
      </c>
      <c r="N2013">
        <v>99.13</v>
      </c>
      <c r="O2013">
        <v>6.51</v>
      </c>
      <c r="P2013">
        <v>4</v>
      </c>
      <c r="Q2013" t="s">
        <v>25</v>
      </c>
      <c r="R2013">
        <v>60.625</v>
      </c>
      <c r="S2013">
        <v>13.57</v>
      </c>
      <c r="T2013" s="4">
        <v>43.5609999999999</v>
      </c>
      <c r="U2013" s="4">
        <v>2.0278649999999998</v>
      </c>
      <c r="V2013" t="str">
        <f>IF(Table1[[#This Row],[ai_disruption_intensity]]&gt;70,"High",
IF(Table1[[#This Row],[ai_disruption_intensity]]&gt;40,"Medium","Low"))</f>
        <v>Low</v>
      </c>
      <c r="W2013" t="str">
        <f>IF(Table1[[#This Row],[skill_gap_index]]&gt;70,"Large Gap",
IF(Table1[[#This Row],[skill_gap_index]]&gt;40,"Medium Gap","Small Gap"))</f>
        <v>Large Gap</v>
      </c>
      <c r="X2013" s="3" t="str">
        <f>IF(Table1[[#This Row],[automation_risk_percent]]&gt;0.7,"Highly Automatable",
IF(Table1[[#This Row],[automation_risk_percent]]&gt;0.4,"Moderate Risk","Safe Job"))</f>
        <v>Safe Job</v>
      </c>
    </row>
    <row r="2014" spans="1:24" x14ac:dyDescent="0.3">
      <c r="A2014">
        <v>7181</v>
      </c>
      <c r="B2014" t="s">
        <v>45</v>
      </c>
      <c r="C2014" t="s">
        <v>40</v>
      </c>
      <c r="D2014" t="s">
        <v>31</v>
      </c>
      <c r="E2014" s="1">
        <v>2025</v>
      </c>
      <c r="F2014" s="11">
        <v>0.23070000000000002</v>
      </c>
      <c r="G2014">
        <v>25.15</v>
      </c>
      <c r="H2014">
        <v>81.72</v>
      </c>
      <c r="I2014" s="2">
        <v>85487.46</v>
      </c>
      <c r="J2014" s="2">
        <v>98250.9</v>
      </c>
      <c r="K2014" s="2">
        <f>Table1[[#This Row],[Salary_after]]-Table1[[#This Row],[Salary_before]]</f>
        <v>12763.439999999988</v>
      </c>
      <c r="L2014" s="11">
        <v>0.14929999999999999</v>
      </c>
      <c r="M2014" s="11">
        <v>-8.6899999999999991E-2</v>
      </c>
      <c r="N2014">
        <v>68.63</v>
      </c>
      <c r="O2014">
        <v>66.069999999999993</v>
      </c>
      <c r="P2014">
        <v>1</v>
      </c>
      <c r="Q2014" t="s">
        <v>21</v>
      </c>
      <c r="R2014">
        <v>52.394999999999897</v>
      </c>
      <c r="S2014">
        <v>14.93</v>
      </c>
      <c r="T2014" s="4">
        <v>38.222999999999999</v>
      </c>
      <c r="U2014" s="4">
        <v>15.2423489999999</v>
      </c>
      <c r="V2014" t="str">
        <f>IF(Table1[[#This Row],[ai_disruption_intensity]]&gt;70,"High",
IF(Table1[[#This Row],[ai_disruption_intensity]]&gt;40,"Medium","Low"))</f>
        <v>Low</v>
      </c>
      <c r="W2014" t="str">
        <f>IF(Table1[[#This Row],[skill_gap_index]]&gt;70,"Large Gap",
IF(Table1[[#This Row],[skill_gap_index]]&gt;40,"Medium Gap","Small Gap"))</f>
        <v>Large Gap</v>
      </c>
      <c r="X2014" s="3" t="str">
        <f>IF(Table1[[#This Row],[automation_risk_percent]]&gt;0.7,"Highly Automatable",
IF(Table1[[#This Row],[automation_risk_percent]]&gt;0.4,"Moderate Risk","Safe Job"))</f>
        <v>Safe Job</v>
      </c>
    </row>
    <row r="2015" spans="1:24" x14ac:dyDescent="0.3">
      <c r="A2015">
        <v>7183</v>
      </c>
      <c r="B2015" t="s">
        <v>45</v>
      </c>
      <c r="C2015" t="s">
        <v>30</v>
      </c>
      <c r="D2015" t="s">
        <v>32</v>
      </c>
      <c r="E2015" s="1">
        <v>2025</v>
      </c>
      <c r="F2015" s="11">
        <v>0.1033</v>
      </c>
      <c r="G2015">
        <v>11.1</v>
      </c>
      <c r="H2015">
        <v>23.03</v>
      </c>
      <c r="I2015" s="2">
        <v>146129.31</v>
      </c>
      <c r="J2015" s="2">
        <v>182923.24</v>
      </c>
      <c r="K2015" s="2">
        <f>Table1[[#This Row],[Salary_after]]-Table1[[#This Row],[Salary_before]]</f>
        <v>36793.929999999993</v>
      </c>
      <c r="L2015" s="11">
        <v>0.25180000000000002</v>
      </c>
      <c r="M2015" s="11">
        <v>0.16969999999999999</v>
      </c>
      <c r="N2015">
        <v>42.08</v>
      </c>
      <c r="O2015">
        <v>53.67</v>
      </c>
      <c r="P2015">
        <v>5</v>
      </c>
      <c r="Q2015" t="s">
        <v>21</v>
      </c>
      <c r="R2015">
        <v>16.68</v>
      </c>
      <c r="S2015">
        <v>25.18</v>
      </c>
      <c r="T2015" s="4">
        <v>18.594999999999999</v>
      </c>
      <c r="U2015" s="4">
        <v>5.544111</v>
      </c>
      <c r="V2015" t="str">
        <f>IF(Table1[[#This Row],[ai_disruption_intensity]]&gt;70,"High",
IF(Table1[[#This Row],[ai_disruption_intensity]]&gt;40,"Medium","Low"))</f>
        <v>Low</v>
      </c>
      <c r="W2015" t="str">
        <f>IF(Table1[[#This Row],[skill_gap_index]]&gt;70,"Large Gap",
IF(Table1[[#This Row],[skill_gap_index]]&gt;40,"Medium Gap","Small Gap"))</f>
        <v>Small Gap</v>
      </c>
      <c r="X2015" s="3" t="str">
        <f>IF(Table1[[#This Row],[automation_risk_percent]]&gt;0.7,"Highly Automatable",
IF(Table1[[#This Row],[automation_risk_percent]]&gt;0.4,"Moderate Risk","Safe Job"))</f>
        <v>Safe Job</v>
      </c>
    </row>
    <row r="2016" spans="1:24" x14ac:dyDescent="0.3">
      <c r="A2016">
        <v>7185</v>
      </c>
      <c r="B2016" t="s">
        <v>29</v>
      </c>
      <c r="C2016" t="s">
        <v>33</v>
      </c>
      <c r="D2016" t="s">
        <v>35</v>
      </c>
      <c r="E2016" s="1">
        <v>2026</v>
      </c>
      <c r="F2016" s="11">
        <v>0.72989999999999999</v>
      </c>
      <c r="G2016">
        <v>69.42</v>
      </c>
      <c r="H2016">
        <v>28.16</v>
      </c>
      <c r="I2016" s="2">
        <v>51431.19</v>
      </c>
      <c r="J2016" s="2">
        <v>41756.589999999997</v>
      </c>
      <c r="K2016" s="2">
        <f>Table1[[#This Row],[Salary_after]]-Table1[[#This Row],[Salary_before]]</f>
        <v>-9674.6000000000058</v>
      </c>
      <c r="L2016" s="11">
        <v>-0.18809999999999999</v>
      </c>
      <c r="M2016" s="11">
        <v>0.1396</v>
      </c>
      <c r="N2016">
        <v>55.72</v>
      </c>
      <c r="O2016">
        <v>95.86</v>
      </c>
      <c r="P2016">
        <v>5</v>
      </c>
      <c r="Q2016" t="s">
        <v>37</v>
      </c>
      <c r="R2016">
        <v>50.574999999999903</v>
      </c>
      <c r="S2016">
        <v>18.809999999999999</v>
      </c>
      <c r="T2016" s="4">
        <v>43.286999999999999</v>
      </c>
      <c r="U2016" s="4">
        <v>69.968214000000003</v>
      </c>
      <c r="V2016" t="str">
        <f>IF(Table1[[#This Row],[ai_disruption_intensity]]&gt;70,"High",
IF(Table1[[#This Row],[ai_disruption_intensity]]&gt;40,"Medium","Low"))</f>
        <v>Medium</v>
      </c>
      <c r="W2016" t="str">
        <f>IF(Table1[[#This Row],[skill_gap_index]]&gt;70,"Large Gap",
IF(Table1[[#This Row],[skill_gap_index]]&gt;40,"Medium Gap","Small Gap"))</f>
        <v>Small Gap</v>
      </c>
      <c r="X2016" s="3" t="str">
        <f>IF(Table1[[#This Row],[automation_risk_percent]]&gt;0.7,"Highly Automatable",
IF(Table1[[#This Row],[automation_risk_percent]]&gt;0.4,"Moderate Risk","Safe Job"))</f>
        <v>Highly Automatable</v>
      </c>
    </row>
    <row r="2017" spans="1:24" x14ac:dyDescent="0.3">
      <c r="A2017">
        <v>7186</v>
      </c>
      <c r="B2017" t="s">
        <v>22</v>
      </c>
      <c r="C2017" t="s">
        <v>19</v>
      </c>
      <c r="D2017" t="s">
        <v>31</v>
      </c>
      <c r="E2017" s="1">
        <v>2025</v>
      </c>
      <c r="F2017" s="11">
        <v>0.63080000000000003</v>
      </c>
      <c r="G2017">
        <v>70.55</v>
      </c>
      <c r="H2017">
        <v>12.42</v>
      </c>
      <c r="I2017" s="2">
        <v>68997.64</v>
      </c>
      <c r="J2017" s="2">
        <v>57162.66</v>
      </c>
      <c r="K2017" s="2">
        <f>Table1[[#This Row],[Salary_after]]-Table1[[#This Row],[Salary_before]]</f>
        <v>-11834.979999999996</v>
      </c>
      <c r="L2017" s="11">
        <v>-0.17149999999999999</v>
      </c>
      <c r="M2017" s="11">
        <v>3.2199999999999999E-2</v>
      </c>
      <c r="N2017">
        <v>58.6</v>
      </c>
      <c r="O2017">
        <v>17.87</v>
      </c>
      <c r="P2017">
        <v>3</v>
      </c>
      <c r="Q2017" t="s">
        <v>37</v>
      </c>
      <c r="R2017">
        <v>37.75</v>
      </c>
      <c r="S2017">
        <v>17.149999999999999</v>
      </c>
      <c r="T2017" s="4">
        <v>34.102999999999902</v>
      </c>
      <c r="U2017" s="4">
        <v>11.272396000000001</v>
      </c>
      <c r="V2017" t="str">
        <f>IF(Table1[[#This Row],[ai_disruption_intensity]]&gt;70,"High",
IF(Table1[[#This Row],[ai_disruption_intensity]]&gt;40,"Medium","Low"))</f>
        <v>Low</v>
      </c>
      <c r="W2017" t="str">
        <f>IF(Table1[[#This Row],[skill_gap_index]]&gt;70,"Large Gap",
IF(Table1[[#This Row],[skill_gap_index]]&gt;40,"Medium Gap","Small Gap"))</f>
        <v>Small Gap</v>
      </c>
      <c r="X2017" s="3" t="str">
        <f>IF(Table1[[#This Row],[automation_risk_percent]]&gt;0.7,"Highly Automatable",
IF(Table1[[#This Row],[automation_risk_percent]]&gt;0.4,"Moderate Risk","Safe Job"))</f>
        <v>Moderate Risk</v>
      </c>
    </row>
    <row r="2018" spans="1:24" x14ac:dyDescent="0.3">
      <c r="A2018">
        <v>7187</v>
      </c>
      <c r="B2018" t="s">
        <v>44</v>
      </c>
      <c r="C2018" t="s">
        <v>34</v>
      </c>
      <c r="D2018" t="s">
        <v>47</v>
      </c>
      <c r="E2018" s="1">
        <v>2025</v>
      </c>
      <c r="F2018" s="11">
        <v>0.13980000000000001</v>
      </c>
      <c r="G2018">
        <v>12.99</v>
      </c>
      <c r="H2018">
        <v>29.55</v>
      </c>
      <c r="I2018" s="2">
        <v>116035.63</v>
      </c>
      <c r="J2018" s="2">
        <v>94592.45</v>
      </c>
      <c r="K2018" s="2">
        <f>Table1[[#This Row],[Salary_after]]-Table1[[#This Row],[Salary_before]]</f>
        <v>-21443.180000000008</v>
      </c>
      <c r="L2018" s="11">
        <v>-0.18479999999999999</v>
      </c>
      <c r="M2018" s="11">
        <v>2.75E-2</v>
      </c>
      <c r="N2018">
        <v>61.34</v>
      </c>
      <c r="O2018">
        <v>7.13</v>
      </c>
      <c r="P2018">
        <v>3</v>
      </c>
      <c r="Q2018" t="s">
        <v>21</v>
      </c>
      <c r="R2018">
        <v>21.765000000000001</v>
      </c>
      <c r="S2018">
        <v>18.48</v>
      </c>
      <c r="T2018" s="4">
        <v>20.001000000000001</v>
      </c>
      <c r="U2018" s="4">
        <v>0.99677400000000005</v>
      </c>
      <c r="V2018" t="str">
        <f>IF(Table1[[#This Row],[ai_disruption_intensity]]&gt;70,"High",
IF(Table1[[#This Row],[ai_disruption_intensity]]&gt;40,"Medium","Low"))</f>
        <v>Low</v>
      </c>
      <c r="W2018" t="str">
        <f>IF(Table1[[#This Row],[skill_gap_index]]&gt;70,"Large Gap",
IF(Table1[[#This Row],[skill_gap_index]]&gt;40,"Medium Gap","Small Gap"))</f>
        <v>Small Gap</v>
      </c>
      <c r="X2018" s="3" t="str">
        <f>IF(Table1[[#This Row],[automation_risk_percent]]&gt;0.7,"Highly Automatable",
IF(Table1[[#This Row],[automation_risk_percent]]&gt;0.4,"Moderate Risk","Safe Job"))</f>
        <v>Safe Job</v>
      </c>
    </row>
    <row r="2019" spans="1:24" x14ac:dyDescent="0.3">
      <c r="A2019">
        <v>7189</v>
      </c>
      <c r="B2019" t="s">
        <v>45</v>
      </c>
      <c r="C2019" t="s">
        <v>40</v>
      </c>
      <c r="D2019" t="s">
        <v>47</v>
      </c>
      <c r="E2019" s="1">
        <v>2026</v>
      </c>
      <c r="F2019" s="11">
        <v>0.21820000000000001</v>
      </c>
      <c r="G2019">
        <v>20.87</v>
      </c>
      <c r="H2019">
        <v>18.2</v>
      </c>
      <c r="I2019" s="2">
        <v>46532.32</v>
      </c>
      <c r="J2019" s="2">
        <v>42265</v>
      </c>
      <c r="K2019" s="2">
        <f>Table1[[#This Row],[Salary_after]]-Table1[[#This Row],[Salary_before]]</f>
        <v>-4267.32</v>
      </c>
      <c r="L2019" s="11">
        <v>-9.1700000000000004E-2</v>
      </c>
      <c r="M2019" s="11">
        <v>0.115</v>
      </c>
      <c r="N2019">
        <v>11.05</v>
      </c>
      <c r="O2019">
        <v>79.510000000000005</v>
      </c>
      <c r="P2019">
        <v>4</v>
      </c>
      <c r="Q2019" t="s">
        <v>21</v>
      </c>
      <c r="R2019">
        <v>20.009999999999899</v>
      </c>
      <c r="S2019">
        <v>9.17</v>
      </c>
      <c r="T2019" s="4">
        <v>16.939</v>
      </c>
      <c r="U2019" s="4">
        <v>17.349081999999999</v>
      </c>
      <c r="V2019" t="str">
        <f>IF(Table1[[#This Row],[ai_disruption_intensity]]&gt;70,"High",
IF(Table1[[#This Row],[ai_disruption_intensity]]&gt;40,"Medium","Low"))</f>
        <v>Low</v>
      </c>
      <c r="W2019" t="str">
        <f>IF(Table1[[#This Row],[skill_gap_index]]&gt;70,"Large Gap",
IF(Table1[[#This Row],[skill_gap_index]]&gt;40,"Medium Gap","Small Gap"))</f>
        <v>Small Gap</v>
      </c>
      <c r="X2019" s="3" t="str">
        <f>IF(Table1[[#This Row],[automation_risk_percent]]&gt;0.7,"Highly Automatable",
IF(Table1[[#This Row],[automation_risk_percent]]&gt;0.4,"Moderate Risk","Safe Job"))</f>
        <v>Safe Job</v>
      </c>
    </row>
    <row r="2020" spans="1:24" x14ac:dyDescent="0.3">
      <c r="A2020">
        <v>7193</v>
      </c>
      <c r="B2020" t="s">
        <v>45</v>
      </c>
      <c r="C2020" t="s">
        <v>27</v>
      </c>
      <c r="D2020" t="s">
        <v>31</v>
      </c>
      <c r="E2020" s="1">
        <v>2026</v>
      </c>
      <c r="F2020" s="11">
        <v>0.71889999999999998</v>
      </c>
      <c r="G2020">
        <v>82.73</v>
      </c>
      <c r="H2020">
        <v>24.96</v>
      </c>
      <c r="I2020" s="2">
        <v>101874.09</v>
      </c>
      <c r="J2020" s="2">
        <v>102326.41</v>
      </c>
      <c r="K2020" s="2">
        <f>Table1[[#This Row],[Salary_after]]-Table1[[#This Row],[Salary_before]]</f>
        <v>452.32000000000698</v>
      </c>
      <c r="L2020" s="11">
        <v>4.4000000000000003E-3</v>
      </c>
      <c r="M2020" s="11">
        <v>0.1595</v>
      </c>
      <c r="N2020">
        <v>43.28</v>
      </c>
      <c r="O2020">
        <v>65.08</v>
      </c>
      <c r="P2020">
        <v>5</v>
      </c>
      <c r="Q2020" t="s">
        <v>37</v>
      </c>
      <c r="R2020">
        <v>48.424999999999997</v>
      </c>
      <c r="S2020">
        <v>0.44</v>
      </c>
      <c r="T2020" s="4">
        <v>36.375999999999998</v>
      </c>
      <c r="U2020" s="4">
        <v>46.786011999999999</v>
      </c>
      <c r="V2020" t="str">
        <f>IF(Table1[[#This Row],[ai_disruption_intensity]]&gt;70,"High",
IF(Table1[[#This Row],[ai_disruption_intensity]]&gt;40,"Medium","Low"))</f>
        <v>Medium</v>
      </c>
      <c r="W2020" t="str">
        <f>IF(Table1[[#This Row],[skill_gap_index]]&gt;70,"Large Gap",
IF(Table1[[#This Row],[skill_gap_index]]&gt;40,"Medium Gap","Small Gap"))</f>
        <v>Small Gap</v>
      </c>
      <c r="X2020" s="3" t="str">
        <f>IF(Table1[[#This Row],[automation_risk_percent]]&gt;0.7,"Highly Automatable",
IF(Table1[[#This Row],[automation_risk_percent]]&gt;0.4,"Moderate Risk","Safe Job"))</f>
        <v>Highly Automatable</v>
      </c>
    </row>
    <row r="2021" spans="1:24" x14ac:dyDescent="0.3">
      <c r="A2021">
        <v>7194</v>
      </c>
      <c r="B2021" t="s">
        <v>41</v>
      </c>
      <c r="C2021" t="s">
        <v>33</v>
      </c>
      <c r="D2021" t="s">
        <v>28</v>
      </c>
      <c r="E2021" s="1">
        <v>2026</v>
      </c>
      <c r="F2021" s="11">
        <v>0.37070000000000003</v>
      </c>
      <c r="G2021">
        <v>32.049999999999997</v>
      </c>
      <c r="H2021">
        <v>83.26</v>
      </c>
      <c r="I2021" s="2">
        <v>35024.99</v>
      </c>
      <c r="J2021" s="2">
        <v>32831.15</v>
      </c>
      <c r="K2021" s="2">
        <f>Table1[[#This Row],[Salary_after]]-Table1[[#This Row],[Salary_before]]</f>
        <v>-2193.8399999999965</v>
      </c>
      <c r="L2021" s="11">
        <v>-6.2600000000000003E-2</v>
      </c>
      <c r="M2021" s="11">
        <v>0.14080000000000001</v>
      </c>
      <c r="N2021">
        <v>53.48</v>
      </c>
      <c r="O2021">
        <v>54.35</v>
      </c>
      <c r="P2021">
        <v>5</v>
      </c>
      <c r="Q2021" t="s">
        <v>25</v>
      </c>
      <c r="R2021">
        <v>60.164999999999999</v>
      </c>
      <c r="S2021">
        <v>6.26</v>
      </c>
      <c r="T2021" s="4">
        <v>41.683999999999997</v>
      </c>
      <c r="U2021" s="4">
        <v>20.147545000000001</v>
      </c>
      <c r="V2021" t="str">
        <f>IF(Table1[[#This Row],[ai_disruption_intensity]]&gt;70,"High",
IF(Table1[[#This Row],[ai_disruption_intensity]]&gt;40,"Medium","Low"))</f>
        <v>Low</v>
      </c>
      <c r="W2021" t="str">
        <f>IF(Table1[[#This Row],[skill_gap_index]]&gt;70,"Large Gap",
IF(Table1[[#This Row],[skill_gap_index]]&gt;40,"Medium Gap","Small Gap"))</f>
        <v>Large Gap</v>
      </c>
      <c r="X2021" s="3" t="str">
        <f>IF(Table1[[#This Row],[automation_risk_percent]]&gt;0.7,"Highly Automatable",
IF(Table1[[#This Row],[automation_risk_percent]]&gt;0.4,"Moderate Risk","Safe Job"))</f>
        <v>Safe Job</v>
      </c>
    </row>
    <row r="2022" spans="1:24" x14ac:dyDescent="0.3">
      <c r="A2022">
        <v>7199</v>
      </c>
      <c r="B2022" t="s">
        <v>18</v>
      </c>
      <c r="C2022" t="s">
        <v>40</v>
      </c>
      <c r="D2022" t="s">
        <v>47</v>
      </c>
      <c r="E2022" s="1">
        <v>2026</v>
      </c>
      <c r="F2022" s="11">
        <v>0.67370000000000008</v>
      </c>
      <c r="G2022">
        <v>80.760000000000005</v>
      </c>
      <c r="H2022">
        <v>18.11</v>
      </c>
      <c r="I2022" s="2">
        <v>121505.3</v>
      </c>
      <c r="J2022" s="2">
        <v>141231.4</v>
      </c>
      <c r="K2022" s="2">
        <f>Table1[[#This Row],[Salary_after]]-Table1[[#This Row],[Salary_before]]</f>
        <v>19726.099999999991</v>
      </c>
      <c r="L2022" s="11">
        <v>0.1623</v>
      </c>
      <c r="M2022" s="11">
        <v>0.17059999999999997</v>
      </c>
      <c r="N2022">
        <v>33.799999999999997</v>
      </c>
      <c r="O2022">
        <v>9.7200000000000006</v>
      </c>
      <c r="P2022">
        <v>3</v>
      </c>
      <c r="Q2022" t="s">
        <v>37</v>
      </c>
      <c r="R2022">
        <v>42.74</v>
      </c>
      <c r="S2022">
        <v>16.23</v>
      </c>
      <c r="T2022" s="4">
        <v>37.25</v>
      </c>
      <c r="U2022" s="4">
        <v>6.5483640000000003</v>
      </c>
      <c r="V2022" t="str">
        <f>IF(Table1[[#This Row],[ai_disruption_intensity]]&gt;70,"High",
IF(Table1[[#This Row],[ai_disruption_intensity]]&gt;40,"Medium","Low"))</f>
        <v>Low</v>
      </c>
      <c r="W2022" t="str">
        <f>IF(Table1[[#This Row],[skill_gap_index]]&gt;70,"Large Gap",
IF(Table1[[#This Row],[skill_gap_index]]&gt;40,"Medium Gap","Small Gap"))</f>
        <v>Small Gap</v>
      </c>
      <c r="X2022" s="3" t="str">
        <f>IF(Table1[[#This Row],[automation_risk_percent]]&gt;0.7,"Highly Automatable",
IF(Table1[[#This Row],[automation_risk_percent]]&gt;0.4,"Moderate Risk","Safe Job"))</f>
        <v>Moderate Risk</v>
      </c>
    </row>
    <row r="2023" spans="1:24" x14ac:dyDescent="0.3">
      <c r="A2023">
        <v>7202</v>
      </c>
      <c r="B2023" t="s">
        <v>41</v>
      </c>
      <c r="C2023" t="s">
        <v>19</v>
      </c>
      <c r="D2023" t="s">
        <v>28</v>
      </c>
      <c r="E2023" s="1">
        <v>2025</v>
      </c>
      <c r="F2023" s="11">
        <v>0.40509999999999996</v>
      </c>
      <c r="G2023">
        <v>34.76</v>
      </c>
      <c r="H2023">
        <v>65.73</v>
      </c>
      <c r="I2023" s="2">
        <v>30628.44</v>
      </c>
      <c r="J2023" s="2">
        <v>26224.400000000001</v>
      </c>
      <c r="K2023" s="2">
        <f>Table1[[#This Row],[Salary_after]]-Table1[[#This Row],[Salary_before]]</f>
        <v>-4404.0399999999972</v>
      </c>
      <c r="L2023" s="11">
        <v>-0.14380000000000001</v>
      </c>
      <c r="M2023" s="11">
        <v>2.4E-2</v>
      </c>
      <c r="N2023">
        <v>29.64</v>
      </c>
      <c r="O2023">
        <v>83.5</v>
      </c>
      <c r="P2023">
        <v>4</v>
      </c>
      <c r="Q2023" t="s">
        <v>25</v>
      </c>
      <c r="R2023">
        <v>53.12</v>
      </c>
      <c r="S2023">
        <v>14.38</v>
      </c>
      <c r="T2023" s="4">
        <v>40.237000000000002</v>
      </c>
      <c r="U2023" s="4">
        <v>33.825850000000003</v>
      </c>
      <c r="V2023" t="str">
        <f>IF(Table1[[#This Row],[ai_disruption_intensity]]&gt;70,"High",
IF(Table1[[#This Row],[ai_disruption_intensity]]&gt;40,"Medium","Low"))</f>
        <v>Low</v>
      </c>
      <c r="W2023" t="str">
        <f>IF(Table1[[#This Row],[skill_gap_index]]&gt;70,"Large Gap",
IF(Table1[[#This Row],[skill_gap_index]]&gt;40,"Medium Gap","Small Gap"))</f>
        <v>Medium Gap</v>
      </c>
      <c r="X2023" s="3" t="str">
        <f>IF(Table1[[#This Row],[automation_risk_percent]]&gt;0.7,"Highly Automatable",
IF(Table1[[#This Row],[automation_risk_percent]]&gt;0.4,"Moderate Risk","Safe Job"))</f>
        <v>Moderate Risk</v>
      </c>
    </row>
    <row r="2024" spans="1:24" x14ac:dyDescent="0.3">
      <c r="A2024">
        <v>7212</v>
      </c>
      <c r="B2024" t="s">
        <v>46</v>
      </c>
      <c r="C2024" t="s">
        <v>33</v>
      </c>
      <c r="D2024" t="s">
        <v>24</v>
      </c>
      <c r="E2024" s="1">
        <v>2025</v>
      </c>
      <c r="F2024" s="11">
        <v>0.17329999999999998</v>
      </c>
      <c r="G2024">
        <v>17.36</v>
      </c>
      <c r="H2024">
        <v>55.7</v>
      </c>
      <c r="I2024" s="2">
        <v>143137.67000000001</v>
      </c>
      <c r="J2024" s="2">
        <v>137787.62</v>
      </c>
      <c r="K2024" s="2">
        <f>Table1[[#This Row],[Salary_after]]-Table1[[#This Row],[Salary_before]]</f>
        <v>-5350.0500000000175</v>
      </c>
      <c r="L2024" s="11">
        <v>-3.7400000000000003E-2</v>
      </c>
      <c r="M2024" s="11">
        <v>-0.1067</v>
      </c>
      <c r="N2024">
        <v>98.34</v>
      </c>
      <c r="O2024">
        <v>18.68</v>
      </c>
      <c r="P2024">
        <v>4</v>
      </c>
      <c r="Q2024" t="s">
        <v>21</v>
      </c>
      <c r="R2024">
        <v>36.515000000000001</v>
      </c>
      <c r="S2024">
        <v>3.74</v>
      </c>
      <c r="T2024" s="4">
        <v>24.763999999999999</v>
      </c>
      <c r="U2024" s="4">
        <v>3.2372439999999898</v>
      </c>
      <c r="V2024" t="str">
        <f>IF(Table1[[#This Row],[ai_disruption_intensity]]&gt;70,"High",
IF(Table1[[#This Row],[ai_disruption_intensity]]&gt;40,"Medium","Low"))</f>
        <v>Low</v>
      </c>
      <c r="W2024" t="str">
        <f>IF(Table1[[#This Row],[skill_gap_index]]&gt;70,"Large Gap",
IF(Table1[[#This Row],[skill_gap_index]]&gt;40,"Medium Gap","Small Gap"))</f>
        <v>Medium Gap</v>
      </c>
      <c r="X2024" s="3" t="str">
        <f>IF(Table1[[#This Row],[automation_risk_percent]]&gt;0.7,"Highly Automatable",
IF(Table1[[#This Row],[automation_risk_percent]]&gt;0.4,"Moderate Risk","Safe Job"))</f>
        <v>Safe Job</v>
      </c>
    </row>
    <row r="2025" spans="1:24" x14ac:dyDescent="0.3">
      <c r="A2025">
        <v>7214</v>
      </c>
      <c r="B2025" t="s">
        <v>41</v>
      </c>
      <c r="C2025" t="s">
        <v>33</v>
      </c>
      <c r="D2025" t="s">
        <v>28</v>
      </c>
      <c r="E2025" s="1">
        <v>2025</v>
      </c>
      <c r="F2025" s="11">
        <v>0.45200000000000001</v>
      </c>
      <c r="G2025">
        <v>42.27</v>
      </c>
      <c r="H2025">
        <v>32.43</v>
      </c>
      <c r="I2025" s="2">
        <v>111002.49</v>
      </c>
      <c r="J2025" s="2">
        <v>96639.28</v>
      </c>
      <c r="K2025" s="2">
        <f>Table1[[#This Row],[Salary_after]]-Table1[[#This Row],[Salary_before]]</f>
        <v>-14363.210000000006</v>
      </c>
      <c r="L2025" s="11">
        <v>-0.12939999999999999</v>
      </c>
      <c r="M2025" s="11">
        <v>6.0499999999999998E-2</v>
      </c>
      <c r="N2025">
        <v>30.35</v>
      </c>
      <c r="O2025">
        <v>9.76</v>
      </c>
      <c r="P2025">
        <v>5</v>
      </c>
      <c r="Q2025" t="s">
        <v>25</v>
      </c>
      <c r="R2025">
        <v>38.814999999999998</v>
      </c>
      <c r="S2025">
        <v>12.94</v>
      </c>
      <c r="T2025" s="4">
        <v>31.690999999999999</v>
      </c>
      <c r="U2025" s="4">
        <v>4.4115200000000003</v>
      </c>
      <c r="V2025" t="str">
        <f>IF(Table1[[#This Row],[ai_disruption_intensity]]&gt;70,"High",
IF(Table1[[#This Row],[ai_disruption_intensity]]&gt;40,"Medium","Low"))</f>
        <v>Low</v>
      </c>
      <c r="W2025" t="str">
        <f>IF(Table1[[#This Row],[skill_gap_index]]&gt;70,"Large Gap",
IF(Table1[[#This Row],[skill_gap_index]]&gt;40,"Medium Gap","Small Gap"))</f>
        <v>Small Gap</v>
      </c>
      <c r="X2025" s="3" t="str">
        <f>IF(Table1[[#This Row],[automation_risk_percent]]&gt;0.7,"Highly Automatable",
IF(Table1[[#This Row],[automation_risk_percent]]&gt;0.4,"Moderate Risk","Safe Job"))</f>
        <v>Moderate Risk</v>
      </c>
    </row>
    <row r="2026" spans="1:24" x14ac:dyDescent="0.3">
      <c r="A2026">
        <v>7217</v>
      </c>
      <c r="B2026" t="s">
        <v>45</v>
      </c>
      <c r="C2026" t="s">
        <v>19</v>
      </c>
      <c r="D2026" t="s">
        <v>32</v>
      </c>
      <c r="E2026" s="1">
        <v>2025</v>
      </c>
      <c r="F2026" s="11">
        <v>0.2752</v>
      </c>
      <c r="G2026">
        <v>23.02</v>
      </c>
      <c r="H2026">
        <v>45.42</v>
      </c>
      <c r="I2026" s="2">
        <v>132499.13</v>
      </c>
      <c r="J2026" s="2">
        <v>142793.10999999999</v>
      </c>
      <c r="K2026" s="2">
        <f>Table1[[#This Row],[Salary_after]]-Table1[[#This Row],[Salary_before]]</f>
        <v>10293.979999999981</v>
      </c>
      <c r="L2026" s="11">
        <v>7.7699999999999991E-2</v>
      </c>
      <c r="M2026" s="11">
        <v>0.31659999999999999</v>
      </c>
      <c r="N2026">
        <v>42.95</v>
      </c>
      <c r="O2026">
        <v>6.36</v>
      </c>
      <c r="P2026">
        <v>4</v>
      </c>
      <c r="Q2026" t="s">
        <v>21</v>
      </c>
      <c r="R2026">
        <v>36.47</v>
      </c>
      <c r="S2026">
        <v>7.77</v>
      </c>
      <c r="T2026" s="4">
        <v>26.965</v>
      </c>
      <c r="U2026" s="4">
        <v>1.7502719999999901</v>
      </c>
      <c r="V2026" t="str">
        <f>IF(Table1[[#This Row],[ai_disruption_intensity]]&gt;70,"High",
IF(Table1[[#This Row],[ai_disruption_intensity]]&gt;40,"Medium","Low"))</f>
        <v>Low</v>
      </c>
      <c r="W2026" t="str">
        <f>IF(Table1[[#This Row],[skill_gap_index]]&gt;70,"Large Gap",
IF(Table1[[#This Row],[skill_gap_index]]&gt;40,"Medium Gap","Small Gap"))</f>
        <v>Medium Gap</v>
      </c>
      <c r="X2026" s="3" t="str">
        <f>IF(Table1[[#This Row],[automation_risk_percent]]&gt;0.7,"Highly Automatable",
IF(Table1[[#This Row],[automation_risk_percent]]&gt;0.4,"Moderate Risk","Safe Job"))</f>
        <v>Safe Job</v>
      </c>
    </row>
    <row r="2027" spans="1:24" x14ac:dyDescent="0.3">
      <c r="A2027">
        <v>7222</v>
      </c>
      <c r="B2027" t="s">
        <v>39</v>
      </c>
      <c r="C2027" t="s">
        <v>19</v>
      </c>
      <c r="D2027" t="s">
        <v>31</v>
      </c>
      <c r="E2027" s="1">
        <v>2026</v>
      </c>
      <c r="F2027" s="11">
        <v>0.6826000000000001</v>
      </c>
      <c r="G2027">
        <v>65.239999999999995</v>
      </c>
      <c r="H2027">
        <v>39.68</v>
      </c>
      <c r="I2027" s="2">
        <v>54460.77</v>
      </c>
      <c r="J2027" s="2">
        <v>48559.77</v>
      </c>
      <c r="K2027" s="2">
        <f>Table1[[#This Row],[Salary_after]]-Table1[[#This Row],[Salary_before]]</f>
        <v>-5901</v>
      </c>
      <c r="L2027" s="11">
        <v>-0.1084</v>
      </c>
      <c r="M2027" s="11">
        <v>-6.9000000000000006E-2</v>
      </c>
      <c r="N2027">
        <v>24</v>
      </c>
      <c r="O2027">
        <v>31</v>
      </c>
      <c r="P2027">
        <v>5</v>
      </c>
      <c r="Q2027" t="s">
        <v>37</v>
      </c>
      <c r="R2027">
        <v>53.97</v>
      </c>
      <c r="S2027">
        <v>10.84</v>
      </c>
      <c r="T2027" s="4">
        <v>42.46</v>
      </c>
      <c r="U2027" s="4">
        <v>21.160599999999999</v>
      </c>
      <c r="V2027" t="str">
        <f>IF(Table1[[#This Row],[ai_disruption_intensity]]&gt;70,"High",
IF(Table1[[#This Row],[ai_disruption_intensity]]&gt;40,"Medium","Low"))</f>
        <v>Low</v>
      </c>
      <c r="W2027" t="str">
        <f>IF(Table1[[#This Row],[skill_gap_index]]&gt;70,"Large Gap",
IF(Table1[[#This Row],[skill_gap_index]]&gt;40,"Medium Gap","Small Gap"))</f>
        <v>Small Gap</v>
      </c>
      <c r="X2027" s="3" t="str">
        <f>IF(Table1[[#This Row],[automation_risk_percent]]&gt;0.7,"Highly Automatable",
IF(Table1[[#This Row],[automation_risk_percent]]&gt;0.4,"Moderate Risk","Safe Job"))</f>
        <v>Moderate Risk</v>
      </c>
    </row>
    <row r="2028" spans="1:24" x14ac:dyDescent="0.3">
      <c r="A2028">
        <v>7228</v>
      </c>
      <c r="B2028" t="s">
        <v>46</v>
      </c>
      <c r="C2028" t="s">
        <v>34</v>
      </c>
      <c r="D2028" t="s">
        <v>32</v>
      </c>
      <c r="E2028" s="1">
        <v>2026</v>
      </c>
      <c r="F2028" s="11">
        <v>0.52390000000000003</v>
      </c>
      <c r="G2028">
        <v>43.82</v>
      </c>
      <c r="H2028">
        <v>94.09</v>
      </c>
      <c r="I2028" s="2">
        <v>48729.32</v>
      </c>
      <c r="J2028" s="2">
        <v>50442.99</v>
      </c>
      <c r="K2028" s="2">
        <f>Table1[[#This Row],[Salary_after]]-Table1[[#This Row],[Salary_before]]</f>
        <v>1713.6699999999983</v>
      </c>
      <c r="L2028" s="11">
        <v>3.5200000000000002E-2</v>
      </c>
      <c r="M2028" s="11">
        <v>4.6900000000000004E-2</v>
      </c>
      <c r="N2028">
        <v>98.94</v>
      </c>
      <c r="O2028">
        <v>77.599999999999994</v>
      </c>
      <c r="P2028">
        <v>4</v>
      </c>
      <c r="Q2028" t="s">
        <v>25</v>
      </c>
      <c r="R2028">
        <v>73.239999999999995</v>
      </c>
      <c r="S2028">
        <v>3.52</v>
      </c>
      <c r="T2028" s="4">
        <v>50.238999999999997</v>
      </c>
      <c r="U2028" s="4">
        <v>40.654640000000001</v>
      </c>
      <c r="V2028" t="str">
        <f>IF(Table1[[#This Row],[ai_disruption_intensity]]&gt;70,"High",
IF(Table1[[#This Row],[ai_disruption_intensity]]&gt;40,"Medium","Low"))</f>
        <v>Medium</v>
      </c>
      <c r="W2028" t="str">
        <f>IF(Table1[[#This Row],[skill_gap_index]]&gt;70,"Large Gap",
IF(Table1[[#This Row],[skill_gap_index]]&gt;40,"Medium Gap","Small Gap"))</f>
        <v>Large Gap</v>
      </c>
      <c r="X2028" s="3" t="str">
        <f>IF(Table1[[#This Row],[automation_risk_percent]]&gt;0.7,"Highly Automatable",
IF(Table1[[#This Row],[automation_risk_percent]]&gt;0.4,"Moderate Risk","Safe Job"))</f>
        <v>Moderate Risk</v>
      </c>
    </row>
    <row r="2029" spans="1:24" x14ac:dyDescent="0.3">
      <c r="A2029">
        <v>7231</v>
      </c>
      <c r="B2029" t="s">
        <v>41</v>
      </c>
      <c r="C2029" t="s">
        <v>19</v>
      </c>
      <c r="D2029" t="s">
        <v>20</v>
      </c>
      <c r="E2029" s="1">
        <v>2025</v>
      </c>
      <c r="F2029" s="11">
        <v>0.27229999999999999</v>
      </c>
      <c r="G2029">
        <v>23.57</v>
      </c>
      <c r="H2029">
        <v>92.14</v>
      </c>
      <c r="I2029" s="2">
        <v>146072.49</v>
      </c>
      <c r="J2029" s="2">
        <v>143747.23000000001</v>
      </c>
      <c r="K2029" s="2">
        <f>Table1[[#This Row],[Salary_after]]-Table1[[#This Row],[Salary_before]]</f>
        <v>-2325.2599999999802</v>
      </c>
      <c r="L2029" s="11">
        <v>-1.5900000000000001E-2</v>
      </c>
      <c r="M2029" s="11">
        <v>7.9000000000000008E-3</v>
      </c>
      <c r="N2029">
        <v>10.88</v>
      </c>
      <c r="O2029">
        <v>75.739999999999995</v>
      </c>
      <c r="P2029">
        <v>4</v>
      </c>
      <c r="Q2029" t="s">
        <v>21</v>
      </c>
      <c r="R2029">
        <v>59.685000000000002</v>
      </c>
      <c r="S2029">
        <v>1.59</v>
      </c>
      <c r="T2029" s="4">
        <v>39.010999999999903</v>
      </c>
      <c r="U2029" s="4">
        <v>20.624002000000001</v>
      </c>
      <c r="V2029" t="str">
        <f>IF(Table1[[#This Row],[ai_disruption_intensity]]&gt;70,"High",
IF(Table1[[#This Row],[ai_disruption_intensity]]&gt;40,"Medium","Low"))</f>
        <v>Low</v>
      </c>
      <c r="W2029" t="str">
        <f>IF(Table1[[#This Row],[skill_gap_index]]&gt;70,"Large Gap",
IF(Table1[[#This Row],[skill_gap_index]]&gt;40,"Medium Gap","Small Gap"))</f>
        <v>Large Gap</v>
      </c>
      <c r="X2029" s="3" t="str">
        <f>IF(Table1[[#This Row],[automation_risk_percent]]&gt;0.7,"Highly Automatable",
IF(Table1[[#This Row],[automation_risk_percent]]&gt;0.4,"Moderate Risk","Safe Job"))</f>
        <v>Safe Job</v>
      </c>
    </row>
    <row r="2030" spans="1:24" x14ac:dyDescent="0.3">
      <c r="A2030">
        <v>7235</v>
      </c>
      <c r="B2030" t="s">
        <v>39</v>
      </c>
      <c r="C2030" t="s">
        <v>34</v>
      </c>
      <c r="D2030" t="s">
        <v>42</v>
      </c>
      <c r="E2030" s="1">
        <v>2026</v>
      </c>
      <c r="F2030" s="11">
        <v>0.22399999999999998</v>
      </c>
      <c r="G2030">
        <v>24.66</v>
      </c>
      <c r="H2030">
        <v>45.45</v>
      </c>
      <c r="I2030" s="2">
        <v>106572.11</v>
      </c>
      <c r="J2030" s="2">
        <v>102441.46</v>
      </c>
      <c r="K2030" s="2">
        <f>Table1[[#This Row],[Salary_after]]-Table1[[#This Row],[Salary_before]]</f>
        <v>-4130.6499999999942</v>
      </c>
      <c r="L2030" s="11">
        <v>-3.8800000000000001E-2</v>
      </c>
      <c r="M2030" s="11">
        <v>0.10970000000000001</v>
      </c>
      <c r="N2030">
        <v>42.94</v>
      </c>
      <c r="O2030">
        <v>99.73</v>
      </c>
      <c r="P2030">
        <v>5</v>
      </c>
      <c r="Q2030" t="s">
        <v>21</v>
      </c>
      <c r="R2030">
        <v>33.924999999999997</v>
      </c>
      <c r="S2030">
        <v>3.88</v>
      </c>
      <c r="T2030" s="4">
        <v>23.759</v>
      </c>
      <c r="U2030" s="4">
        <v>22.339519999999901</v>
      </c>
      <c r="V2030" t="str">
        <f>IF(Table1[[#This Row],[ai_disruption_intensity]]&gt;70,"High",
IF(Table1[[#This Row],[ai_disruption_intensity]]&gt;40,"Medium","Low"))</f>
        <v>Low</v>
      </c>
      <c r="W2030" t="str">
        <f>IF(Table1[[#This Row],[skill_gap_index]]&gt;70,"Large Gap",
IF(Table1[[#This Row],[skill_gap_index]]&gt;40,"Medium Gap","Small Gap"))</f>
        <v>Medium Gap</v>
      </c>
      <c r="X2030" s="3" t="str">
        <f>IF(Table1[[#This Row],[automation_risk_percent]]&gt;0.7,"Highly Automatable",
IF(Table1[[#This Row],[automation_risk_percent]]&gt;0.4,"Moderate Risk","Safe Job"))</f>
        <v>Safe Job</v>
      </c>
    </row>
    <row r="2031" spans="1:24" x14ac:dyDescent="0.3">
      <c r="A2031">
        <v>7236</v>
      </c>
      <c r="B2031" t="s">
        <v>18</v>
      </c>
      <c r="C2031" t="s">
        <v>33</v>
      </c>
      <c r="D2031" t="s">
        <v>20</v>
      </c>
      <c r="E2031" s="1">
        <v>2025</v>
      </c>
      <c r="F2031" s="11">
        <v>0.45569999999999999</v>
      </c>
      <c r="G2031">
        <v>46.63</v>
      </c>
      <c r="H2031">
        <v>28.54</v>
      </c>
      <c r="I2031" s="2">
        <v>79923.27</v>
      </c>
      <c r="J2031" s="2">
        <v>66289.759999999995</v>
      </c>
      <c r="K2031" s="2">
        <f>Table1[[#This Row],[Salary_after]]-Table1[[#This Row],[Salary_before]]</f>
        <v>-13633.510000000009</v>
      </c>
      <c r="L2031" s="11">
        <v>-0.17059999999999997</v>
      </c>
      <c r="M2031" s="11">
        <v>5.1100000000000007E-2</v>
      </c>
      <c r="N2031">
        <v>31.43</v>
      </c>
      <c r="O2031">
        <v>60.05</v>
      </c>
      <c r="P2031">
        <v>3</v>
      </c>
      <c r="Q2031" t="s">
        <v>25</v>
      </c>
      <c r="R2031">
        <v>37.055</v>
      </c>
      <c r="S2031">
        <v>17.059999999999999</v>
      </c>
      <c r="T2031" s="4">
        <v>31.907999999999902</v>
      </c>
      <c r="U2031" s="4">
        <v>27.364784999999902</v>
      </c>
      <c r="V2031" t="str">
        <f>IF(Table1[[#This Row],[ai_disruption_intensity]]&gt;70,"High",
IF(Table1[[#This Row],[ai_disruption_intensity]]&gt;40,"Medium","Low"))</f>
        <v>Low</v>
      </c>
      <c r="W2031" t="str">
        <f>IF(Table1[[#This Row],[skill_gap_index]]&gt;70,"Large Gap",
IF(Table1[[#This Row],[skill_gap_index]]&gt;40,"Medium Gap","Small Gap"))</f>
        <v>Small Gap</v>
      </c>
      <c r="X2031" s="3" t="str">
        <f>IF(Table1[[#This Row],[automation_risk_percent]]&gt;0.7,"Highly Automatable",
IF(Table1[[#This Row],[automation_risk_percent]]&gt;0.4,"Moderate Risk","Safe Job"))</f>
        <v>Moderate Risk</v>
      </c>
    </row>
    <row r="2032" spans="1:24" x14ac:dyDescent="0.3">
      <c r="A2032">
        <v>7240</v>
      </c>
      <c r="B2032" t="s">
        <v>39</v>
      </c>
      <c r="C2032" t="s">
        <v>38</v>
      </c>
      <c r="D2032" t="s">
        <v>32</v>
      </c>
      <c r="E2032" s="1">
        <v>2026</v>
      </c>
      <c r="F2032" s="11">
        <v>0.48280000000000001</v>
      </c>
      <c r="G2032">
        <v>42.07</v>
      </c>
      <c r="H2032">
        <v>61.61</v>
      </c>
      <c r="I2032" s="2">
        <v>68650.080000000002</v>
      </c>
      <c r="J2032" s="2">
        <v>65329.8</v>
      </c>
      <c r="K2032" s="2">
        <f>Table1[[#This Row],[Salary_after]]-Table1[[#This Row],[Salary_before]]</f>
        <v>-3320.2799999999988</v>
      </c>
      <c r="L2032" s="11">
        <v>-4.8399999999999999E-2</v>
      </c>
      <c r="M2032" s="11">
        <v>0.1003</v>
      </c>
      <c r="N2032">
        <v>36.200000000000003</v>
      </c>
      <c r="O2032">
        <v>44.03</v>
      </c>
      <c r="P2032">
        <v>5</v>
      </c>
      <c r="Q2032" t="s">
        <v>25</v>
      </c>
      <c r="R2032">
        <v>54.945</v>
      </c>
      <c r="S2032">
        <v>4.84</v>
      </c>
      <c r="T2032" s="4">
        <v>39.247</v>
      </c>
      <c r="U2032" s="4">
        <v>21.257683999999902</v>
      </c>
      <c r="V2032" t="str">
        <f>IF(Table1[[#This Row],[ai_disruption_intensity]]&gt;70,"High",
IF(Table1[[#This Row],[ai_disruption_intensity]]&gt;40,"Medium","Low"))</f>
        <v>Low</v>
      </c>
      <c r="W2032" t="str">
        <f>IF(Table1[[#This Row],[skill_gap_index]]&gt;70,"Large Gap",
IF(Table1[[#This Row],[skill_gap_index]]&gt;40,"Medium Gap","Small Gap"))</f>
        <v>Medium Gap</v>
      </c>
      <c r="X2032" s="3" t="str">
        <f>IF(Table1[[#This Row],[automation_risk_percent]]&gt;0.7,"Highly Automatable",
IF(Table1[[#This Row],[automation_risk_percent]]&gt;0.4,"Moderate Risk","Safe Job"))</f>
        <v>Moderate Risk</v>
      </c>
    </row>
    <row r="2033" spans="1:24" x14ac:dyDescent="0.3">
      <c r="A2033">
        <v>7241</v>
      </c>
      <c r="B2033" t="s">
        <v>29</v>
      </c>
      <c r="C2033" t="s">
        <v>40</v>
      </c>
      <c r="D2033" t="s">
        <v>32</v>
      </c>
      <c r="E2033" s="1">
        <v>2026</v>
      </c>
      <c r="F2033" s="11">
        <v>0.76800000000000002</v>
      </c>
      <c r="G2033">
        <v>83.58</v>
      </c>
      <c r="H2033">
        <v>33.71</v>
      </c>
      <c r="I2033" s="2">
        <v>91290.240000000005</v>
      </c>
      <c r="J2033" s="2">
        <v>98140.25</v>
      </c>
      <c r="K2033" s="2">
        <f>Table1[[#This Row],[Salary_after]]-Table1[[#This Row],[Salary_before]]</f>
        <v>6850.0099999999948</v>
      </c>
      <c r="L2033" s="11">
        <v>7.4999999999999997E-2</v>
      </c>
      <c r="M2033" s="11">
        <v>-2.3799999999999998E-2</v>
      </c>
      <c r="N2033">
        <v>27.7</v>
      </c>
      <c r="O2033">
        <v>81.93</v>
      </c>
      <c r="P2033">
        <v>2</v>
      </c>
      <c r="Q2033" t="s">
        <v>37</v>
      </c>
      <c r="R2033">
        <v>55.254999999999903</v>
      </c>
      <c r="S2033">
        <v>7.5</v>
      </c>
      <c r="T2033" s="4">
        <v>43.082999999999998</v>
      </c>
      <c r="U2033" s="4">
        <v>62.922240000000002</v>
      </c>
      <c r="V2033" t="str">
        <f>IF(Table1[[#This Row],[ai_disruption_intensity]]&gt;70,"High",
IF(Table1[[#This Row],[ai_disruption_intensity]]&gt;40,"Medium","Low"))</f>
        <v>Medium</v>
      </c>
      <c r="W2033" t="str">
        <f>IF(Table1[[#This Row],[skill_gap_index]]&gt;70,"Large Gap",
IF(Table1[[#This Row],[skill_gap_index]]&gt;40,"Medium Gap","Small Gap"))</f>
        <v>Small Gap</v>
      </c>
      <c r="X2033" s="3" t="str">
        <f>IF(Table1[[#This Row],[automation_risk_percent]]&gt;0.7,"Highly Automatable",
IF(Table1[[#This Row],[automation_risk_percent]]&gt;0.4,"Moderate Risk","Safe Job"))</f>
        <v>Highly Automatable</v>
      </c>
    </row>
    <row r="2034" spans="1:24" x14ac:dyDescent="0.3">
      <c r="A2034">
        <v>7247</v>
      </c>
      <c r="B2034" t="s">
        <v>29</v>
      </c>
      <c r="C2034" t="s">
        <v>34</v>
      </c>
      <c r="D2034" t="s">
        <v>24</v>
      </c>
      <c r="E2034" s="1">
        <v>2025</v>
      </c>
      <c r="F2034" s="11">
        <v>0.45630000000000004</v>
      </c>
      <c r="G2034">
        <v>37.340000000000003</v>
      </c>
      <c r="H2034">
        <v>40.270000000000003</v>
      </c>
      <c r="I2034" s="2">
        <v>67773.509999999995</v>
      </c>
      <c r="J2034" s="2">
        <v>74124.509999999995</v>
      </c>
      <c r="K2034" s="2">
        <f>Table1[[#This Row],[Salary_after]]-Table1[[#This Row],[Salary_before]]</f>
        <v>6351</v>
      </c>
      <c r="L2034" s="11">
        <v>9.3699999999999992E-2</v>
      </c>
      <c r="M2034" s="11">
        <v>-0.15410000000000001</v>
      </c>
      <c r="N2034">
        <v>12.74</v>
      </c>
      <c r="O2034">
        <v>37.08</v>
      </c>
      <c r="P2034">
        <v>1</v>
      </c>
      <c r="Q2034" t="s">
        <v>25</v>
      </c>
      <c r="R2034">
        <v>42.95</v>
      </c>
      <c r="S2034">
        <v>9.3699999999999992</v>
      </c>
      <c r="T2034" s="4">
        <v>33.143999999999998</v>
      </c>
      <c r="U2034" s="4">
        <v>16.919604</v>
      </c>
      <c r="V2034" t="str">
        <f>IF(Table1[[#This Row],[ai_disruption_intensity]]&gt;70,"High",
IF(Table1[[#This Row],[ai_disruption_intensity]]&gt;40,"Medium","Low"))</f>
        <v>Low</v>
      </c>
      <c r="W2034" t="str">
        <f>IF(Table1[[#This Row],[skill_gap_index]]&gt;70,"Large Gap",
IF(Table1[[#This Row],[skill_gap_index]]&gt;40,"Medium Gap","Small Gap"))</f>
        <v>Medium Gap</v>
      </c>
      <c r="X2034" s="3" t="str">
        <f>IF(Table1[[#This Row],[automation_risk_percent]]&gt;0.7,"Highly Automatable",
IF(Table1[[#This Row],[automation_risk_percent]]&gt;0.4,"Moderate Risk","Safe Job"))</f>
        <v>Moderate Risk</v>
      </c>
    </row>
    <row r="2035" spans="1:24" x14ac:dyDescent="0.3">
      <c r="A2035">
        <v>7251</v>
      </c>
      <c r="B2035" t="s">
        <v>41</v>
      </c>
      <c r="C2035" t="s">
        <v>30</v>
      </c>
      <c r="D2035" t="s">
        <v>28</v>
      </c>
      <c r="E2035" s="1">
        <v>2026</v>
      </c>
      <c r="F2035" s="11">
        <v>0.91280000000000006</v>
      </c>
      <c r="G2035">
        <v>83.87</v>
      </c>
      <c r="H2035">
        <v>26.27</v>
      </c>
      <c r="I2035" s="2">
        <v>114492.69</v>
      </c>
      <c r="J2035" s="2">
        <v>115562.35</v>
      </c>
      <c r="K2035" s="2">
        <f>Table1[[#This Row],[Salary_after]]-Table1[[#This Row],[Salary_before]]</f>
        <v>1069.6600000000035</v>
      </c>
      <c r="L2035" s="11">
        <v>9.300000000000001E-3</v>
      </c>
      <c r="M2035" s="11">
        <v>0.23680000000000001</v>
      </c>
      <c r="N2035">
        <v>93.1</v>
      </c>
      <c r="O2035">
        <v>14.63</v>
      </c>
      <c r="P2035">
        <v>3</v>
      </c>
      <c r="Q2035" t="s">
        <v>37</v>
      </c>
      <c r="R2035">
        <v>58.774999999999999</v>
      </c>
      <c r="S2035">
        <v>0.93</v>
      </c>
      <c r="T2035" s="4">
        <v>44.671999999999997</v>
      </c>
      <c r="U2035" s="4">
        <v>13.354264000000001</v>
      </c>
      <c r="V2035" t="str">
        <f>IF(Table1[[#This Row],[ai_disruption_intensity]]&gt;70,"High",
IF(Table1[[#This Row],[ai_disruption_intensity]]&gt;40,"Medium","Low"))</f>
        <v>Low</v>
      </c>
      <c r="W2035" t="str">
        <f>IF(Table1[[#This Row],[skill_gap_index]]&gt;70,"Large Gap",
IF(Table1[[#This Row],[skill_gap_index]]&gt;40,"Medium Gap","Small Gap"))</f>
        <v>Small Gap</v>
      </c>
      <c r="X2035" s="3" t="str">
        <f>IF(Table1[[#This Row],[automation_risk_percent]]&gt;0.7,"Highly Automatable",
IF(Table1[[#This Row],[automation_risk_percent]]&gt;0.4,"Moderate Risk","Safe Job"))</f>
        <v>Highly Automatable</v>
      </c>
    </row>
    <row r="2036" spans="1:24" x14ac:dyDescent="0.3">
      <c r="A2036">
        <v>7254</v>
      </c>
      <c r="B2036" t="s">
        <v>39</v>
      </c>
      <c r="C2036" t="s">
        <v>19</v>
      </c>
      <c r="D2036" t="s">
        <v>35</v>
      </c>
      <c r="E2036" s="1">
        <v>2025</v>
      </c>
      <c r="F2036" s="11">
        <v>0.73790000000000011</v>
      </c>
      <c r="G2036">
        <v>71.16</v>
      </c>
      <c r="H2036">
        <v>76.8</v>
      </c>
      <c r="I2036" s="2">
        <v>49977.71</v>
      </c>
      <c r="J2036" s="2">
        <v>59524.72</v>
      </c>
      <c r="K2036" s="2">
        <f>Table1[[#This Row],[Salary_after]]-Table1[[#This Row],[Salary_before]]</f>
        <v>9547.010000000002</v>
      </c>
      <c r="L2036" s="11">
        <v>0.191</v>
      </c>
      <c r="M2036" s="11">
        <v>-0.2112</v>
      </c>
      <c r="N2036">
        <v>79.33</v>
      </c>
      <c r="O2036">
        <v>62.15</v>
      </c>
      <c r="P2036">
        <v>2</v>
      </c>
      <c r="Q2036" t="s">
        <v>37</v>
      </c>
      <c r="R2036">
        <v>75.295000000000002</v>
      </c>
      <c r="S2036">
        <v>19.100000000000001</v>
      </c>
      <c r="T2036" s="4">
        <v>58.286000000000001</v>
      </c>
      <c r="U2036" s="4">
        <v>45.860484999999997</v>
      </c>
      <c r="V2036" t="str">
        <f>IF(Table1[[#This Row],[ai_disruption_intensity]]&gt;70,"High",
IF(Table1[[#This Row],[ai_disruption_intensity]]&gt;40,"Medium","Low"))</f>
        <v>Medium</v>
      </c>
      <c r="W2036" t="str">
        <f>IF(Table1[[#This Row],[skill_gap_index]]&gt;70,"Large Gap",
IF(Table1[[#This Row],[skill_gap_index]]&gt;40,"Medium Gap","Small Gap"))</f>
        <v>Large Gap</v>
      </c>
      <c r="X2036" s="3" t="str">
        <f>IF(Table1[[#This Row],[automation_risk_percent]]&gt;0.7,"Highly Automatable",
IF(Table1[[#This Row],[automation_risk_percent]]&gt;0.4,"Moderate Risk","Safe Job"))</f>
        <v>Highly Automatable</v>
      </c>
    </row>
    <row r="2037" spans="1:24" x14ac:dyDescent="0.3">
      <c r="A2037">
        <v>7255</v>
      </c>
      <c r="B2037" t="s">
        <v>26</v>
      </c>
      <c r="C2037" t="s">
        <v>23</v>
      </c>
      <c r="D2037" t="s">
        <v>42</v>
      </c>
      <c r="E2037" s="1">
        <v>2025</v>
      </c>
      <c r="F2037" s="11">
        <v>0.27949999999999997</v>
      </c>
      <c r="G2037">
        <v>25.52</v>
      </c>
      <c r="H2037">
        <v>97.3</v>
      </c>
      <c r="I2037" s="2">
        <v>64143.6</v>
      </c>
      <c r="J2037" s="2">
        <v>61618.239999999998</v>
      </c>
      <c r="K2037" s="2">
        <f>Table1[[#This Row],[Salary_after]]-Table1[[#This Row],[Salary_before]]</f>
        <v>-2525.3600000000006</v>
      </c>
      <c r="L2037" s="11">
        <v>-3.9399999999999998E-2</v>
      </c>
      <c r="M2037" s="11">
        <v>-2.3099999999999999E-2</v>
      </c>
      <c r="N2037">
        <v>39.42</v>
      </c>
      <c r="O2037">
        <v>12.79</v>
      </c>
      <c r="P2037">
        <v>5</v>
      </c>
      <c r="Q2037" t="s">
        <v>21</v>
      </c>
      <c r="R2037">
        <v>62.625</v>
      </c>
      <c r="S2037">
        <v>3.94</v>
      </c>
      <c r="T2037" s="4">
        <v>41.552</v>
      </c>
      <c r="U2037" s="4">
        <v>3.5748049999999898</v>
      </c>
      <c r="V2037" t="str">
        <f>IF(Table1[[#This Row],[ai_disruption_intensity]]&gt;70,"High",
IF(Table1[[#This Row],[ai_disruption_intensity]]&gt;40,"Medium","Low"))</f>
        <v>Low</v>
      </c>
      <c r="W2037" t="str">
        <f>IF(Table1[[#This Row],[skill_gap_index]]&gt;70,"Large Gap",
IF(Table1[[#This Row],[skill_gap_index]]&gt;40,"Medium Gap","Small Gap"))</f>
        <v>Large Gap</v>
      </c>
      <c r="X2037" s="3" t="str">
        <f>IF(Table1[[#This Row],[automation_risk_percent]]&gt;0.7,"Highly Automatable",
IF(Table1[[#This Row],[automation_risk_percent]]&gt;0.4,"Moderate Risk","Safe Job"))</f>
        <v>Safe Job</v>
      </c>
    </row>
    <row r="2038" spans="1:24" x14ac:dyDescent="0.3">
      <c r="A2038">
        <v>7257</v>
      </c>
      <c r="B2038" t="s">
        <v>46</v>
      </c>
      <c r="C2038" t="s">
        <v>23</v>
      </c>
      <c r="D2038" t="s">
        <v>24</v>
      </c>
      <c r="E2038" s="1">
        <v>2025</v>
      </c>
      <c r="F2038" s="11">
        <v>0.05</v>
      </c>
      <c r="G2038">
        <v>5.54</v>
      </c>
      <c r="H2038">
        <v>91.07</v>
      </c>
      <c r="I2038" s="2">
        <v>44671.68</v>
      </c>
      <c r="J2038" s="2">
        <v>45413.49</v>
      </c>
      <c r="K2038" s="2">
        <f>Table1[[#This Row],[Salary_after]]-Table1[[#This Row],[Salary_before]]</f>
        <v>741.80999999999767</v>
      </c>
      <c r="L2038" s="11">
        <v>1.66E-2</v>
      </c>
      <c r="M2038" s="11">
        <v>0.19309999999999999</v>
      </c>
      <c r="N2038">
        <v>35.68</v>
      </c>
      <c r="O2038">
        <v>92.09</v>
      </c>
      <c r="P2038">
        <v>2</v>
      </c>
      <c r="Q2038" t="s">
        <v>21</v>
      </c>
      <c r="R2038">
        <v>48.034999999999997</v>
      </c>
      <c r="S2038">
        <v>1.66</v>
      </c>
      <c r="T2038" s="4">
        <v>29.818999999999999</v>
      </c>
      <c r="U2038" s="4">
        <v>4.6044999999999998</v>
      </c>
      <c r="V2038" t="str">
        <f>IF(Table1[[#This Row],[ai_disruption_intensity]]&gt;70,"High",
IF(Table1[[#This Row],[ai_disruption_intensity]]&gt;40,"Medium","Low"))</f>
        <v>Low</v>
      </c>
      <c r="W2038" t="str">
        <f>IF(Table1[[#This Row],[skill_gap_index]]&gt;70,"Large Gap",
IF(Table1[[#This Row],[skill_gap_index]]&gt;40,"Medium Gap","Small Gap"))</f>
        <v>Large Gap</v>
      </c>
      <c r="X2038" s="3" t="str">
        <f>IF(Table1[[#This Row],[automation_risk_percent]]&gt;0.7,"Highly Automatable",
IF(Table1[[#This Row],[automation_risk_percent]]&gt;0.4,"Moderate Risk","Safe Job"))</f>
        <v>Safe Job</v>
      </c>
    </row>
    <row r="2039" spans="1:24" x14ac:dyDescent="0.3">
      <c r="A2039">
        <v>7259</v>
      </c>
      <c r="B2039" t="s">
        <v>39</v>
      </c>
      <c r="C2039" t="s">
        <v>34</v>
      </c>
      <c r="D2039" t="s">
        <v>35</v>
      </c>
      <c r="E2039" s="1">
        <v>2025</v>
      </c>
      <c r="F2039" s="11">
        <v>0.79900000000000004</v>
      </c>
      <c r="G2039">
        <v>71.510000000000005</v>
      </c>
      <c r="H2039">
        <v>53.92</v>
      </c>
      <c r="I2039" s="2">
        <v>65844.87</v>
      </c>
      <c r="J2039" s="2">
        <v>67773.42</v>
      </c>
      <c r="K2039" s="2">
        <f>Table1[[#This Row],[Salary_after]]-Table1[[#This Row],[Salary_before]]</f>
        <v>1928.5500000000029</v>
      </c>
      <c r="L2039" s="11">
        <v>2.9300000000000003E-2</v>
      </c>
      <c r="M2039" s="11">
        <v>-5.45E-2</v>
      </c>
      <c r="N2039">
        <v>83.04</v>
      </c>
      <c r="O2039">
        <v>82.3</v>
      </c>
      <c r="P2039">
        <v>2</v>
      </c>
      <c r="Q2039" t="s">
        <v>37</v>
      </c>
      <c r="R2039">
        <v>66.91</v>
      </c>
      <c r="S2039">
        <v>2.93</v>
      </c>
      <c r="T2039" s="4">
        <v>49.015000000000001</v>
      </c>
      <c r="U2039" s="4">
        <v>65.7577</v>
      </c>
      <c r="V2039" t="str">
        <f>IF(Table1[[#This Row],[ai_disruption_intensity]]&gt;70,"High",
IF(Table1[[#This Row],[ai_disruption_intensity]]&gt;40,"Medium","Low"))</f>
        <v>Medium</v>
      </c>
      <c r="W2039" t="str">
        <f>IF(Table1[[#This Row],[skill_gap_index]]&gt;70,"Large Gap",
IF(Table1[[#This Row],[skill_gap_index]]&gt;40,"Medium Gap","Small Gap"))</f>
        <v>Medium Gap</v>
      </c>
      <c r="X2039" s="3" t="str">
        <f>IF(Table1[[#This Row],[automation_risk_percent]]&gt;0.7,"Highly Automatable",
IF(Table1[[#This Row],[automation_risk_percent]]&gt;0.4,"Moderate Risk","Safe Job"))</f>
        <v>Highly Automatable</v>
      </c>
    </row>
    <row r="2040" spans="1:24" x14ac:dyDescent="0.3">
      <c r="A2040">
        <v>7261</v>
      </c>
      <c r="B2040" t="s">
        <v>41</v>
      </c>
      <c r="C2040" t="s">
        <v>40</v>
      </c>
      <c r="D2040" t="s">
        <v>28</v>
      </c>
      <c r="E2040" s="1">
        <v>2026</v>
      </c>
      <c r="F2040" s="11">
        <v>0.91060000000000008</v>
      </c>
      <c r="G2040">
        <v>90.44</v>
      </c>
      <c r="H2040">
        <v>71.66</v>
      </c>
      <c r="I2040" s="2">
        <v>109221.72</v>
      </c>
      <c r="J2040" s="2">
        <v>105797.65</v>
      </c>
      <c r="K2040" s="2">
        <f>Table1[[#This Row],[Salary_after]]-Table1[[#This Row],[Salary_before]]</f>
        <v>-3424.070000000007</v>
      </c>
      <c r="L2040" s="11">
        <v>-3.1300000000000001E-2</v>
      </c>
      <c r="M2040" s="11">
        <v>0.1024</v>
      </c>
      <c r="N2040">
        <v>49.75</v>
      </c>
      <c r="O2040">
        <v>91.36</v>
      </c>
      <c r="P2040">
        <v>2</v>
      </c>
      <c r="Q2040" t="s">
        <v>37</v>
      </c>
      <c r="R2040">
        <v>81.36</v>
      </c>
      <c r="S2040">
        <v>3.13</v>
      </c>
      <c r="T2040" s="4">
        <v>58.860999999999997</v>
      </c>
      <c r="U2040" s="4">
        <v>83.192415999999994</v>
      </c>
      <c r="V2040" t="str">
        <f>IF(Table1[[#This Row],[ai_disruption_intensity]]&gt;70,"High",
IF(Table1[[#This Row],[ai_disruption_intensity]]&gt;40,"Medium","Low"))</f>
        <v>High</v>
      </c>
      <c r="W2040" t="str">
        <f>IF(Table1[[#This Row],[skill_gap_index]]&gt;70,"Large Gap",
IF(Table1[[#This Row],[skill_gap_index]]&gt;40,"Medium Gap","Small Gap"))</f>
        <v>Large Gap</v>
      </c>
      <c r="X2040" s="3" t="str">
        <f>IF(Table1[[#This Row],[automation_risk_percent]]&gt;0.7,"Highly Automatable",
IF(Table1[[#This Row],[automation_risk_percent]]&gt;0.4,"Moderate Risk","Safe Job"))</f>
        <v>Highly Automatable</v>
      </c>
    </row>
    <row r="2041" spans="1:24" x14ac:dyDescent="0.3">
      <c r="A2041">
        <v>7264</v>
      </c>
      <c r="B2041" t="s">
        <v>43</v>
      </c>
      <c r="C2041" t="s">
        <v>23</v>
      </c>
      <c r="D2041" t="s">
        <v>47</v>
      </c>
      <c r="E2041" s="1">
        <v>2026</v>
      </c>
      <c r="F2041" s="11">
        <v>0.42749999999999999</v>
      </c>
      <c r="G2041">
        <v>36.28</v>
      </c>
      <c r="H2041">
        <v>63.03</v>
      </c>
      <c r="I2041" s="2">
        <v>125337.76</v>
      </c>
      <c r="J2041" s="2">
        <v>126469.27</v>
      </c>
      <c r="K2041" s="2">
        <f>Table1[[#This Row],[Salary_after]]-Table1[[#This Row],[Salary_before]]</f>
        <v>1131.5100000000093</v>
      </c>
      <c r="L2041" s="11">
        <v>9.0000000000000011E-3</v>
      </c>
      <c r="M2041" s="11">
        <v>1.23E-2</v>
      </c>
      <c r="N2041">
        <v>83.41</v>
      </c>
      <c r="O2041">
        <v>43.94</v>
      </c>
      <c r="P2041">
        <v>1</v>
      </c>
      <c r="Q2041" t="s">
        <v>25</v>
      </c>
      <c r="R2041">
        <v>52.89</v>
      </c>
      <c r="S2041">
        <v>0.9</v>
      </c>
      <c r="T2041" s="4">
        <v>36.279000000000003</v>
      </c>
      <c r="U2041" s="4">
        <v>18.78435</v>
      </c>
      <c r="V2041" t="str">
        <f>IF(Table1[[#This Row],[ai_disruption_intensity]]&gt;70,"High",
IF(Table1[[#This Row],[ai_disruption_intensity]]&gt;40,"Medium","Low"))</f>
        <v>Low</v>
      </c>
      <c r="W2041" t="str">
        <f>IF(Table1[[#This Row],[skill_gap_index]]&gt;70,"Large Gap",
IF(Table1[[#This Row],[skill_gap_index]]&gt;40,"Medium Gap","Small Gap"))</f>
        <v>Medium Gap</v>
      </c>
      <c r="X2041" s="3" t="str">
        <f>IF(Table1[[#This Row],[automation_risk_percent]]&gt;0.7,"Highly Automatable",
IF(Table1[[#This Row],[automation_risk_percent]]&gt;0.4,"Moderate Risk","Safe Job"))</f>
        <v>Moderate Risk</v>
      </c>
    </row>
    <row r="2042" spans="1:24" x14ac:dyDescent="0.3">
      <c r="A2042">
        <v>7268</v>
      </c>
      <c r="B2042" t="s">
        <v>43</v>
      </c>
      <c r="C2042" t="s">
        <v>40</v>
      </c>
      <c r="D2042" t="s">
        <v>31</v>
      </c>
      <c r="E2042" s="1">
        <v>2026</v>
      </c>
      <c r="F2042" s="11">
        <v>0.30920000000000003</v>
      </c>
      <c r="G2042">
        <v>36.020000000000003</v>
      </c>
      <c r="H2042">
        <v>90.85</v>
      </c>
      <c r="I2042" s="2">
        <v>32271.41</v>
      </c>
      <c r="J2042" s="2">
        <v>30322.65</v>
      </c>
      <c r="K2042" s="2">
        <f>Table1[[#This Row],[Salary_after]]-Table1[[#This Row],[Salary_before]]</f>
        <v>-1948.7599999999984</v>
      </c>
      <c r="L2042" s="11">
        <v>-6.0400000000000002E-2</v>
      </c>
      <c r="M2042" s="11">
        <v>7.1300000000000002E-2</v>
      </c>
      <c r="N2042">
        <v>63.77</v>
      </c>
      <c r="O2042">
        <v>86.69</v>
      </c>
      <c r="P2042">
        <v>3</v>
      </c>
      <c r="Q2042" t="s">
        <v>25</v>
      </c>
      <c r="R2042">
        <v>60.884999999999998</v>
      </c>
      <c r="S2042">
        <v>6.04</v>
      </c>
      <c r="T2042" s="4">
        <v>41.435000000000002</v>
      </c>
      <c r="U2042" s="4">
        <v>26.804548</v>
      </c>
      <c r="V2042" t="str">
        <f>IF(Table1[[#This Row],[ai_disruption_intensity]]&gt;70,"High",
IF(Table1[[#This Row],[ai_disruption_intensity]]&gt;40,"Medium","Low"))</f>
        <v>Low</v>
      </c>
      <c r="W2042" t="str">
        <f>IF(Table1[[#This Row],[skill_gap_index]]&gt;70,"Large Gap",
IF(Table1[[#This Row],[skill_gap_index]]&gt;40,"Medium Gap","Small Gap"))</f>
        <v>Large Gap</v>
      </c>
      <c r="X2042" s="3" t="str">
        <f>IF(Table1[[#This Row],[automation_risk_percent]]&gt;0.7,"Highly Automatable",
IF(Table1[[#This Row],[automation_risk_percent]]&gt;0.4,"Moderate Risk","Safe Job"))</f>
        <v>Safe Job</v>
      </c>
    </row>
    <row r="2043" spans="1:24" x14ac:dyDescent="0.3">
      <c r="A2043">
        <v>7270</v>
      </c>
      <c r="B2043" t="s">
        <v>18</v>
      </c>
      <c r="C2043" t="s">
        <v>23</v>
      </c>
      <c r="D2043" t="s">
        <v>31</v>
      </c>
      <c r="E2043" s="1">
        <v>2025</v>
      </c>
      <c r="F2043" s="11">
        <v>0.14480000000000001</v>
      </c>
      <c r="G2043">
        <v>16.559999999999999</v>
      </c>
      <c r="H2043">
        <v>4.29</v>
      </c>
      <c r="I2043" s="2">
        <v>111421.66</v>
      </c>
      <c r="J2043" s="2">
        <v>121974.34</v>
      </c>
      <c r="K2043" s="2">
        <f>Table1[[#This Row],[Salary_after]]-Table1[[#This Row],[Salary_before]]</f>
        <v>10552.679999999993</v>
      </c>
      <c r="L2043" s="11">
        <v>9.4700000000000006E-2</v>
      </c>
      <c r="M2043" s="11">
        <v>-2.5999999999999999E-3</v>
      </c>
      <c r="N2043">
        <v>86.26</v>
      </c>
      <c r="O2043">
        <v>95.33</v>
      </c>
      <c r="P2043">
        <v>1</v>
      </c>
      <c r="Q2043" t="s">
        <v>21</v>
      </c>
      <c r="R2043">
        <v>9.3849999999999998</v>
      </c>
      <c r="S2043">
        <v>9.4700000000000006</v>
      </c>
      <c r="T2043" s="4">
        <v>9.92</v>
      </c>
      <c r="U2043" s="4">
        <v>13.803784</v>
      </c>
      <c r="V2043" t="str">
        <f>IF(Table1[[#This Row],[ai_disruption_intensity]]&gt;70,"High",
IF(Table1[[#This Row],[ai_disruption_intensity]]&gt;40,"Medium","Low"))</f>
        <v>Low</v>
      </c>
      <c r="W2043" t="str">
        <f>IF(Table1[[#This Row],[skill_gap_index]]&gt;70,"Large Gap",
IF(Table1[[#This Row],[skill_gap_index]]&gt;40,"Medium Gap","Small Gap"))</f>
        <v>Small Gap</v>
      </c>
      <c r="X2043" s="3" t="str">
        <f>IF(Table1[[#This Row],[automation_risk_percent]]&gt;0.7,"Highly Automatable",
IF(Table1[[#This Row],[automation_risk_percent]]&gt;0.4,"Moderate Risk","Safe Job"))</f>
        <v>Safe Job</v>
      </c>
    </row>
    <row r="2044" spans="1:24" x14ac:dyDescent="0.3">
      <c r="A2044">
        <v>7280</v>
      </c>
      <c r="B2044" t="s">
        <v>44</v>
      </c>
      <c r="C2044" t="s">
        <v>30</v>
      </c>
      <c r="D2044" t="s">
        <v>20</v>
      </c>
      <c r="E2044" s="1">
        <v>2025</v>
      </c>
      <c r="F2044" s="11">
        <v>0.30590000000000001</v>
      </c>
      <c r="G2044">
        <v>30.93</v>
      </c>
      <c r="H2044">
        <v>83.64</v>
      </c>
      <c r="I2044" s="2">
        <v>67924.539999999994</v>
      </c>
      <c r="J2044" s="2">
        <v>73218.41</v>
      </c>
      <c r="K2044" s="2">
        <f>Table1[[#This Row],[Salary_after]]-Table1[[#This Row],[Salary_before]]</f>
        <v>5293.8700000000099</v>
      </c>
      <c r="L2044" s="11">
        <v>7.7899999999999997E-2</v>
      </c>
      <c r="M2044" s="11">
        <v>-0.17489999999999997</v>
      </c>
      <c r="N2044">
        <v>89.84</v>
      </c>
      <c r="O2044">
        <v>58.21</v>
      </c>
      <c r="P2044">
        <v>2</v>
      </c>
      <c r="Q2044" t="s">
        <v>25</v>
      </c>
      <c r="R2044">
        <v>57.115000000000002</v>
      </c>
      <c r="S2044">
        <v>7.79</v>
      </c>
      <c r="T2044" s="4">
        <v>39.664999999999999</v>
      </c>
      <c r="U2044" s="4">
        <v>17.806439000000001</v>
      </c>
      <c r="V2044" t="str">
        <f>IF(Table1[[#This Row],[ai_disruption_intensity]]&gt;70,"High",
IF(Table1[[#This Row],[ai_disruption_intensity]]&gt;40,"Medium","Low"))</f>
        <v>Low</v>
      </c>
      <c r="W2044" t="str">
        <f>IF(Table1[[#This Row],[skill_gap_index]]&gt;70,"Large Gap",
IF(Table1[[#This Row],[skill_gap_index]]&gt;40,"Medium Gap","Small Gap"))</f>
        <v>Large Gap</v>
      </c>
      <c r="X2044" s="3" t="str">
        <f>IF(Table1[[#This Row],[automation_risk_percent]]&gt;0.7,"Highly Automatable",
IF(Table1[[#This Row],[automation_risk_percent]]&gt;0.4,"Moderate Risk","Safe Job"))</f>
        <v>Safe Job</v>
      </c>
    </row>
    <row r="2045" spans="1:24" x14ac:dyDescent="0.3">
      <c r="A2045">
        <v>7281</v>
      </c>
      <c r="B2045" t="s">
        <v>41</v>
      </c>
      <c r="C2045" t="s">
        <v>34</v>
      </c>
      <c r="D2045" t="s">
        <v>36</v>
      </c>
      <c r="E2045" s="1">
        <v>2025</v>
      </c>
      <c r="F2045" s="11">
        <v>0.39529999999999998</v>
      </c>
      <c r="G2045">
        <v>33.04</v>
      </c>
      <c r="H2045">
        <v>9.5</v>
      </c>
      <c r="I2045" s="2">
        <v>144029.95000000001</v>
      </c>
      <c r="J2045" s="2">
        <v>151792.07999999999</v>
      </c>
      <c r="K2045" s="2">
        <f>Table1[[#This Row],[Salary_after]]-Table1[[#This Row],[Salary_before]]</f>
        <v>7762.1299999999756</v>
      </c>
      <c r="L2045" s="11">
        <v>5.3899999999999997E-2</v>
      </c>
      <c r="M2045" s="11">
        <v>0.11539999999999999</v>
      </c>
      <c r="N2045">
        <v>54.67</v>
      </c>
      <c r="O2045">
        <v>67.25</v>
      </c>
      <c r="P2045">
        <v>4</v>
      </c>
      <c r="Q2045" t="s">
        <v>25</v>
      </c>
      <c r="R2045">
        <v>24.515000000000001</v>
      </c>
      <c r="S2045">
        <v>5.39</v>
      </c>
      <c r="T2045" s="4">
        <v>20.279</v>
      </c>
      <c r="U2045" s="4">
        <v>26.583925000000001</v>
      </c>
      <c r="V2045" t="str">
        <f>IF(Table1[[#This Row],[ai_disruption_intensity]]&gt;70,"High",
IF(Table1[[#This Row],[ai_disruption_intensity]]&gt;40,"Medium","Low"))</f>
        <v>Low</v>
      </c>
      <c r="W2045" t="str">
        <f>IF(Table1[[#This Row],[skill_gap_index]]&gt;70,"Large Gap",
IF(Table1[[#This Row],[skill_gap_index]]&gt;40,"Medium Gap","Small Gap"))</f>
        <v>Small Gap</v>
      </c>
      <c r="X2045" s="3" t="str">
        <f>IF(Table1[[#This Row],[automation_risk_percent]]&gt;0.7,"Highly Automatable",
IF(Table1[[#This Row],[automation_risk_percent]]&gt;0.4,"Moderate Risk","Safe Job"))</f>
        <v>Safe Job</v>
      </c>
    </row>
    <row r="2046" spans="1:24" x14ac:dyDescent="0.3">
      <c r="A2046">
        <v>7282</v>
      </c>
      <c r="B2046" t="s">
        <v>29</v>
      </c>
      <c r="C2046" t="s">
        <v>27</v>
      </c>
      <c r="D2046" t="s">
        <v>47</v>
      </c>
      <c r="E2046" s="1">
        <v>2025</v>
      </c>
      <c r="F2046" s="11">
        <v>0.33909999999999996</v>
      </c>
      <c r="G2046">
        <v>35.549999999999997</v>
      </c>
      <c r="H2046">
        <v>81.08</v>
      </c>
      <c r="I2046" s="2">
        <v>37456.65</v>
      </c>
      <c r="J2046" s="2">
        <v>35079.379999999997</v>
      </c>
      <c r="K2046" s="2">
        <f>Table1[[#This Row],[Salary_after]]-Table1[[#This Row],[Salary_before]]</f>
        <v>-2377.2700000000041</v>
      </c>
      <c r="L2046" s="11">
        <v>-6.3500000000000001E-2</v>
      </c>
      <c r="M2046" s="11">
        <v>1.6799999999999999E-2</v>
      </c>
      <c r="N2046">
        <v>33.42</v>
      </c>
      <c r="O2046">
        <v>77.25</v>
      </c>
      <c r="P2046">
        <v>4</v>
      </c>
      <c r="Q2046" t="s">
        <v>25</v>
      </c>
      <c r="R2046">
        <v>57.494999999999997</v>
      </c>
      <c r="S2046">
        <v>6.35</v>
      </c>
      <c r="T2046" s="4">
        <v>39.792999999999999</v>
      </c>
      <c r="U2046" s="4">
        <v>26.195474999999998</v>
      </c>
      <c r="V2046" t="str">
        <f>IF(Table1[[#This Row],[ai_disruption_intensity]]&gt;70,"High",
IF(Table1[[#This Row],[ai_disruption_intensity]]&gt;40,"Medium","Low"))</f>
        <v>Low</v>
      </c>
      <c r="W2046" t="str">
        <f>IF(Table1[[#This Row],[skill_gap_index]]&gt;70,"Large Gap",
IF(Table1[[#This Row],[skill_gap_index]]&gt;40,"Medium Gap","Small Gap"))</f>
        <v>Large Gap</v>
      </c>
      <c r="X2046" s="3" t="str">
        <f>IF(Table1[[#This Row],[automation_risk_percent]]&gt;0.7,"Highly Automatable",
IF(Table1[[#This Row],[automation_risk_percent]]&gt;0.4,"Moderate Risk","Safe Job"))</f>
        <v>Safe Job</v>
      </c>
    </row>
    <row r="2047" spans="1:24" x14ac:dyDescent="0.3">
      <c r="A2047">
        <v>7285</v>
      </c>
      <c r="B2047" t="s">
        <v>18</v>
      </c>
      <c r="C2047" t="s">
        <v>30</v>
      </c>
      <c r="D2047" t="s">
        <v>36</v>
      </c>
      <c r="E2047" s="1">
        <v>2025</v>
      </c>
      <c r="F2047" s="11">
        <v>0.13730000000000001</v>
      </c>
      <c r="G2047">
        <v>14.97</v>
      </c>
      <c r="H2047">
        <v>22.65</v>
      </c>
      <c r="I2047" s="2">
        <v>148715.63</v>
      </c>
      <c r="J2047" s="2">
        <v>145784.01</v>
      </c>
      <c r="K2047" s="2">
        <f>Table1[[#This Row],[Salary_after]]-Table1[[#This Row],[Salary_before]]</f>
        <v>-2931.6199999999953</v>
      </c>
      <c r="L2047" s="11">
        <v>-1.9699999999999999E-2</v>
      </c>
      <c r="M2047" s="11">
        <v>9.06E-2</v>
      </c>
      <c r="N2047">
        <v>47.5</v>
      </c>
      <c r="O2047">
        <v>61.23</v>
      </c>
      <c r="P2047">
        <v>4</v>
      </c>
      <c r="Q2047" t="s">
        <v>21</v>
      </c>
      <c r="R2047">
        <v>18.189999999999898</v>
      </c>
      <c r="S2047">
        <v>1.97</v>
      </c>
      <c r="T2047" s="4">
        <v>12.877999999999901</v>
      </c>
      <c r="U2047" s="4">
        <v>8.406879</v>
      </c>
      <c r="V2047" t="str">
        <f>IF(Table1[[#This Row],[ai_disruption_intensity]]&gt;70,"High",
IF(Table1[[#This Row],[ai_disruption_intensity]]&gt;40,"Medium","Low"))</f>
        <v>Low</v>
      </c>
      <c r="W2047" t="str">
        <f>IF(Table1[[#This Row],[skill_gap_index]]&gt;70,"Large Gap",
IF(Table1[[#This Row],[skill_gap_index]]&gt;40,"Medium Gap","Small Gap"))</f>
        <v>Small Gap</v>
      </c>
      <c r="X2047" s="3" t="str">
        <f>IF(Table1[[#This Row],[automation_risk_percent]]&gt;0.7,"Highly Automatable",
IF(Table1[[#This Row],[automation_risk_percent]]&gt;0.4,"Moderate Risk","Safe Job"))</f>
        <v>Safe Job</v>
      </c>
    </row>
    <row r="2048" spans="1:24" x14ac:dyDescent="0.3">
      <c r="A2048">
        <v>7289</v>
      </c>
      <c r="B2048" t="s">
        <v>43</v>
      </c>
      <c r="C2048" t="s">
        <v>19</v>
      </c>
      <c r="D2048" t="s">
        <v>35</v>
      </c>
      <c r="E2048" s="1">
        <v>2026</v>
      </c>
      <c r="F2048" s="11">
        <v>0.2697</v>
      </c>
      <c r="G2048">
        <v>24.25</v>
      </c>
      <c r="H2048">
        <v>23.88</v>
      </c>
      <c r="I2048" s="2">
        <v>62596.94</v>
      </c>
      <c r="J2048" s="2">
        <v>66000.92</v>
      </c>
      <c r="K2048" s="2">
        <f>Table1[[#This Row],[Salary_after]]-Table1[[#This Row],[Salary_before]]</f>
        <v>3403.9799999999959</v>
      </c>
      <c r="L2048" s="11">
        <v>5.4400000000000004E-2</v>
      </c>
      <c r="M2048" s="11">
        <v>1.6399999999999998E-2</v>
      </c>
      <c r="N2048">
        <v>38.770000000000003</v>
      </c>
      <c r="O2048">
        <v>34.979999999999997</v>
      </c>
      <c r="P2048">
        <v>4</v>
      </c>
      <c r="Q2048" t="s">
        <v>21</v>
      </c>
      <c r="R2048">
        <v>25.424999999999901</v>
      </c>
      <c r="S2048">
        <v>5.44</v>
      </c>
      <c r="T2048" s="4">
        <v>19.584</v>
      </c>
      <c r="U2048" s="4">
        <v>9.4341059999999999</v>
      </c>
      <c r="V2048" t="str">
        <f>IF(Table1[[#This Row],[ai_disruption_intensity]]&gt;70,"High",
IF(Table1[[#This Row],[ai_disruption_intensity]]&gt;40,"Medium","Low"))</f>
        <v>Low</v>
      </c>
      <c r="W2048" t="str">
        <f>IF(Table1[[#This Row],[skill_gap_index]]&gt;70,"Large Gap",
IF(Table1[[#This Row],[skill_gap_index]]&gt;40,"Medium Gap","Small Gap"))</f>
        <v>Small Gap</v>
      </c>
      <c r="X2048" s="3" t="str">
        <f>IF(Table1[[#This Row],[automation_risk_percent]]&gt;0.7,"Highly Automatable",
IF(Table1[[#This Row],[automation_risk_percent]]&gt;0.4,"Moderate Risk","Safe Job"))</f>
        <v>Safe Job</v>
      </c>
    </row>
    <row r="2049" spans="1:24" x14ac:dyDescent="0.3">
      <c r="A2049">
        <v>7305</v>
      </c>
      <c r="B2049" t="s">
        <v>29</v>
      </c>
      <c r="C2049" t="s">
        <v>33</v>
      </c>
      <c r="D2049" t="s">
        <v>28</v>
      </c>
      <c r="E2049" s="1">
        <v>2026</v>
      </c>
      <c r="F2049" s="11">
        <v>0.93389999999999995</v>
      </c>
      <c r="G2049">
        <v>75.459999999999994</v>
      </c>
      <c r="H2049">
        <v>20.78</v>
      </c>
      <c r="I2049" s="2">
        <v>141653.49</v>
      </c>
      <c r="J2049" s="2">
        <v>132124.16</v>
      </c>
      <c r="K2049" s="2">
        <f>Table1[[#This Row],[Salary_after]]-Table1[[#This Row],[Salary_before]]</f>
        <v>-9529.3299999999872</v>
      </c>
      <c r="L2049" s="11">
        <v>-6.7299999999999999E-2</v>
      </c>
      <c r="M2049" s="11">
        <v>0.13449999999999998</v>
      </c>
      <c r="N2049">
        <v>97.68</v>
      </c>
      <c r="O2049">
        <v>86.99</v>
      </c>
      <c r="P2049">
        <v>5</v>
      </c>
      <c r="Q2049" t="s">
        <v>37</v>
      </c>
      <c r="R2049">
        <v>57.085000000000001</v>
      </c>
      <c r="S2049">
        <v>6.73</v>
      </c>
      <c r="T2049" s="4">
        <v>45.609000000000002</v>
      </c>
      <c r="U2049" s="4">
        <v>81.239960999999994</v>
      </c>
      <c r="V2049" t="str">
        <f>IF(Table1[[#This Row],[ai_disruption_intensity]]&gt;70,"High",
IF(Table1[[#This Row],[ai_disruption_intensity]]&gt;40,"Medium","Low"))</f>
        <v>High</v>
      </c>
      <c r="W2049" t="str">
        <f>IF(Table1[[#This Row],[skill_gap_index]]&gt;70,"Large Gap",
IF(Table1[[#This Row],[skill_gap_index]]&gt;40,"Medium Gap","Small Gap"))</f>
        <v>Small Gap</v>
      </c>
      <c r="X2049" s="3" t="str">
        <f>IF(Table1[[#This Row],[automation_risk_percent]]&gt;0.7,"Highly Automatable",
IF(Table1[[#This Row],[automation_risk_percent]]&gt;0.4,"Moderate Risk","Safe Job"))</f>
        <v>Highly Automatable</v>
      </c>
    </row>
    <row r="2050" spans="1:24" x14ac:dyDescent="0.3">
      <c r="A2050">
        <v>7310</v>
      </c>
      <c r="B2050" t="s">
        <v>39</v>
      </c>
      <c r="C2050" t="s">
        <v>38</v>
      </c>
      <c r="D2050" t="s">
        <v>20</v>
      </c>
      <c r="E2050" s="1">
        <v>2026</v>
      </c>
      <c r="F2050" s="11">
        <v>0.4017</v>
      </c>
      <c r="G2050">
        <v>32.18</v>
      </c>
      <c r="H2050">
        <v>3.66</v>
      </c>
      <c r="I2050" s="2">
        <v>89404.22</v>
      </c>
      <c r="J2050" s="2">
        <v>98093.51</v>
      </c>
      <c r="K2050" s="2">
        <f>Table1[[#This Row],[Salary_after]]-Table1[[#This Row],[Salary_before]]</f>
        <v>8689.2899999999936</v>
      </c>
      <c r="L2050" s="11">
        <v>9.7200000000000009E-2</v>
      </c>
      <c r="M2050" s="11">
        <v>0.10460000000000001</v>
      </c>
      <c r="N2050">
        <v>63.96</v>
      </c>
      <c r="O2050">
        <v>97.83</v>
      </c>
      <c r="P2050">
        <v>2</v>
      </c>
      <c r="Q2050" t="s">
        <v>25</v>
      </c>
      <c r="R2050">
        <v>21.914999999999999</v>
      </c>
      <c r="S2050">
        <v>9.7200000000000006</v>
      </c>
      <c r="T2050" s="4">
        <v>20.082000000000001</v>
      </c>
      <c r="U2050" s="4">
        <v>39.298310999999998</v>
      </c>
      <c r="V2050" t="str">
        <f>IF(Table1[[#This Row],[ai_disruption_intensity]]&gt;70,"High",
IF(Table1[[#This Row],[ai_disruption_intensity]]&gt;40,"Medium","Low"))</f>
        <v>Low</v>
      </c>
      <c r="W2050" t="str">
        <f>IF(Table1[[#This Row],[skill_gap_index]]&gt;70,"Large Gap",
IF(Table1[[#This Row],[skill_gap_index]]&gt;40,"Medium Gap","Small Gap"))</f>
        <v>Small Gap</v>
      </c>
      <c r="X2050" s="3" t="str">
        <f>IF(Table1[[#This Row],[automation_risk_percent]]&gt;0.7,"Highly Automatable",
IF(Table1[[#This Row],[automation_risk_percent]]&gt;0.4,"Moderate Risk","Safe Job"))</f>
        <v>Moderate Risk</v>
      </c>
    </row>
    <row r="2051" spans="1:24" x14ac:dyDescent="0.3">
      <c r="A2051">
        <v>7317</v>
      </c>
      <c r="B2051" t="s">
        <v>44</v>
      </c>
      <c r="C2051" t="s">
        <v>27</v>
      </c>
      <c r="D2051" t="s">
        <v>31</v>
      </c>
      <c r="E2051" s="1">
        <v>2026</v>
      </c>
      <c r="F2051" s="11">
        <v>0.51719999999999999</v>
      </c>
      <c r="G2051">
        <v>55.69</v>
      </c>
      <c r="H2051">
        <v>1.9</v>
      </c>
      <c r="I2051" s="2">
        <v>100911.75</v>
      </c>
      <c r="J2051" s="2">
        <v>126399.27</v>
      </c>
      <c r="K2051" s="2">
        <f>Table1[[#This Row],[Salary_after]]-Table1[[#This Row],[Salary_before]]</f>
        <v>25487.520000000004</v>
      </c>
      <c r="L2051" s="11">
        <v>0.25259999999999999</v>
      </c>
      <c r="M2051" s="11">
        <v>9.8299999999999998E-2</v>
      </c>
      <c r="N2051">
        <v>16.82</v>
      </c>
      <c r="O2051">
        <v>5.56</v>
      </c>
      <c r="P2051">
        <v>3</v>
      </c>
      <c r="Q2051" t="s">
        <v>25</v>
      </c>
      <c r="R2051">
        <v>26.81</v>
      </c>
      <c r="S2051">
        <v>25.26</v>
      </c>
      <c r="T2051" s="4">
        <v>28.835999999999999</v>
      </c>
      <c r="U2051" s="4">
        <v>2.875632</v>
      </c>
      <c r="V2051" t="str">
        <f>IF(Table1[[#This Row],[ai_disruption_intensity]]&gt;70,"High",
IF(Table1[[#This Row],[ai_disruption_intensity]]&gt;40,"Medium","Low"))</f>
        <v>Low</v>
      </c>
      <c r="W2051" t="str">
        <f>IF(Table1[[#This Row],[skill_gap_index]]&gt;70,"Large Gap",
IF(Table1[[#This Row],[skill_gap_index]]&gt;40,"Medium Gap","Small Gap"))</f>
        <v>Small Gap</v>
      </c>
      <c r="X2051" s="3" t="str">
        <f>IF(Table1[[#This Row],[automation_risk_percent]]&gt;0.7,"Highly Automatable",
IF(Table1[[#This Row],[automation_risk_percent]]&gt;0.4,"Moderate Risk","Safe Job"))</f>
        <v>Moderate Risk</v>
      </c>
    </row>
    <row r="2052" spans="1:24" x14ac:dyDescent="0.3">
      <c r="A2052">
        <v>7318</v>
      </c>
      <c r="B2052" t="s">
        <v>46</v>
      </c>
      <c r="C2052" t="s">
        <v>34</v>
      </c>
      <c r="D2052" t="s">
        <v>36</v>
      </c>
      <c r="E2052" s="1">
        <v>2025</v>
      </c>
      <c r="F2052" s="11">
        <v>0.12429999999999999</v>
      </c>
      <c r="G2052">
        <v>14.26</v>
      </c>
      <c r="H2052">
        <v>35.65</v>
      </c>
      <c r="I2052" s="2">
        <v>82083.91</v>
      </c>
      <c r="J2052" s="2">
        <v>94570.32</v>
      </c>
      <c r="K2052" s="2">
        <f>Table1[[#This Row],[Salary_after]]-Table1[[#This Row],[Salary_before]]</f>
        <v>12486.410000000003</v>
      </c>
      <c r="L2052" s="11">
        <v>0.15210000000000001</v>
      </c>
      <c r="M2052" s="11">
        <v>-2.7900000000000001E-2</v>
      </c>
      <c r="N2052">
        <v>33.35</v>
      </c>
      <c r="O2052">
        <v>6.84</v>
      </c>
      <c r="P2052">
        <v>3</v>
      </c>
      <c r="Q2052" t="s">
        <v>21</v>
      </c>
      <c r="R2052">
        <v>24.04</v>
      </c>
      <c r="S2052">
        <v>15.21</v>
      </c>
      <c r="T2052" s="4">
        <v>20.229999999999901</v>
      </c>
      <c r="U2052" s="4">
        <v>0.85021199999999997</v>
      </c>
      <c r="V2052" t="str">
        <f>IF(Table1[[#This Row],[ai_disruption_intensity]]&gt;70,"High",
IF(Table1[[#This Row],[ai_disruption_intensity]]&gt;40,"Medium","Low"))</f>
        <v>Low</v>
      </c>
      <c r="W2052" t="str">
        <f>IF(Table1[[#This Row],[skill_gap_index]]&gt;70,"Large Gap",
IF(Table1[[#This Row],[skill_gap_index]]&gt;40,"Medium Gap","Small Gap"))</f>
        <v>Small Gap</v>
      </c>
      <c r="X2052" s="3" t="str">
        <f>IF(Table1[[#This Row],[automation_risk_percent]]&gt;0.7,"Highly Automatable",
IF(Table1[[#This Row],[automation_risk_percent]]&gt;0.4,"Moderate Risk","Safe Job"))</f>
        <v>Safe Job</v>
      </c>
    </row>
    <row r="2053" spans="1:24" x14ac:dyDescent="0.3">
      <c r="A2053">
        <v>7319</v>
      </c>
      <c r="B2053" t="s">
        <v>39</v>
      </c>
      <c r="C2053" t="s">
        <v>38</v>
      </c>
      <c r="D2053" t="s">
        <v>28</v>
      </c>
      <c r="E2053" s="1">
        <v>2025</v>
      </c>
      <c r="F2053" s="11">
        <v>0.36469999999999997</v>
      </c>
      <c r="G2053">
        <v>39.799999999999997</v>
      </c>
      <c r="H2053">
        <v>91.5</v>
      </c>
      <c r="I2053" s="2">
        <v>36098.589999999997</v>
      </c>
      <c r="J2053" s="2">
        <v>37027.58</v>
      </c>
      <c r="K2053" s="2">
        <f>Table1[[#This Row],[Salary_after]]-Table1[[#This Row],[Salary_before]]</f>
        <v>928.99000000000524</v>
      </c>
      <c r="L2053" s="11">
        <v>2.5699999999999997E-2</v>
      </c>
      <c r="M2053" s="11">
        <v>0.1012</v>
      </c>
      <c r="N2053">
        <v>43.22</v>
      </c>
      <c r="O2053">
        <v>37.75</v>
      </c>
      <c r="P2053">
        <v>1</v>
      </c>
      <c r="Q2053" t="s">
        <v>25</v>
      </c>
      <c r="R2053">
        <v>63.984999999999999</v>
      </c>
      <c r="S2053">
        <v>2.57</v>
      </c>
      <c r="T2053" s="4">
        <v>42.808999999999997</v>
      </c>
      <c r="U2053" s="4">
        <v>13.767424999999999</v>
      </c>
      <c r="V2053" t="str">
        <f>IF(Table1[[#This Row],[ai_disruption_intensity]]&gt;70,"High",
IF(Table1[[#This Row],[ai_disruption_intensity]]&gt;40,"Medium","Low"))</f>
        <v>Low</v>
      </c>
      <c r="W2053" t="str">
        <f>IF(Table1[[#This Row],[skill_gap_index]]&gt;70,"Large Gap",
IF(Table1[[#This Row],[skill_gap_index]]&gt;40,"Medium Gap","Small Gap"))</f>
        <v>Large Gap</v>
      </c>
      <c r="X2053" s="3" t="str">
        <f>IF(Table1[[#This Row],[automation_risk_percent]]&gt;0.7,"Highly Automatable",
IF(Table1[[#This Row],[automation_risk_percent]]&gt;0.4,"Moderate Risk","Safe Job"))</f>
        <v>Safe Job</v>
      </c>
    </row>
    <row r="2054" spans="1:24" x14ac:dyDescent="0.3">
      <c r="A2054">
        <v>7320</v>
      </c>
      <c r="B2054" t="s">
        <v>18</v>
      </c>
      <c r="C2054" t="s">
        <v>33</v>
      </c>
      <c r="D2054" t="s">
        <v>20</v>
      </c>
      <c r="E2054" s="1">
        <v>2026</v>
      </c>
      <c r="F2054" s="11">
        <v>0.54789999999999994</v>
      </c>
      <c r="G2054">
        <v>45.8</v>
      </c>
      <c r="H2054">
        <v>14.5</v>
      </c>
      <c r="I2054" s="2">
        <v>131666.91</v>
      </c>
      <c r="J2054" s="2">
        <v>140256.67000000001</v>
      </c>
      <c r="K2054" s="2">
        <f>Table1[[#This Row],[Salary_after]]-Table1[[#This Row],[Salary_before]]</f>
        <v>8589.7600000000093</v>
      </c>
      <c r="L2054" s="11">
        <v>6.5199999999999994E-2</v>
      </c>
      <c r="M2054" s="11">
        <v>-3.5699999999999996E-2</v>
      </c>
      <c r="N2054">
        <v>30.32</v>
      </c>
      <c r="O2054">
        <v>8.81</v>
      </c>
      <c r="P2054">
        <v>3</v>
      </c>
      <c r="Q2054" t="s">
        <v>25</v>
      </c>
      <c r="R2054">
        <v>34.644999999999897</v>
      </c>
      <c r="S2054">
        <v>6.52</v>
      </c>
      <c r="T2054" s="4">
        <v>28.221999999999898</v>
      </c>
      <c r="U2054" s="4">
        <v>4.8269989999999998</v>
      </c>
      <c r="V2054" t="str">
        <f>IF(Table1[[#This Row],[ai_disruption_intensity]]&gt;70,"High",
IF(Table1[[#This Row],[ai_disruption_intensity]]&gt;40,"Medium","Low"))</f>
        <v>Low</v>
      </c>
      <c r="W2054" t="str">
        <f>IF(Table1[[#This Row],[skill_gap_index]]&gt;70,"Large Gap",
IF(Table1[[#This Row],[skill_gap_index]]&gt;40,"Medium Gap","Small Gap"))</f>
        <v>Small Gap</v>
      </c>
      <c r="X2054" s="3" t="str">
        <f>IF(Table1[[#This Row],[automation_risk_percent]]&gt;0.7,"Highly Automatable",
IF(Table1[[#This Row],[automation_risk_percent]]&gt;0.4,"Moderate Risk","Safe Job"))</f>
        <v>Moderate Risk</v>
      </c>
    </row>
    <row r="2055" spans="1:24" x14ac:dyDescent="0.3">
      <c r="A2055">
        <v>7324</v>
      </c>
      <c r="B2055" t="s">
        <v>45</v>
      </c>
      <c r="C2055" t="s">
        <v>23</v>
      </c>
      <c r="D2055" t="s">
        <v>47</v>
      </c>
      <c r="E2055" s="1">
        <v>2025</v>
      </c>
      <c r="F2055" s="11">
        <v>0.68669999999999998</v>
      </c>
      <c r="G2055">
        <v>76.44</v>
      </c>
      <c r="H2055">
        <v>67.569999999999993</v>
      </c>
      <c r="I2055" s="2">
        <v>104206.05</v>
      </c>
      <c r="J2055" s="2">
        <v>94989.92</v>
      </c>
      <c r="K2055" s="2">
        <f>Table1[[#This Row],[Salary_after]]-Table1[[#This Row],[Salary_before]]</f>
        <v>-9216.1300000000047</v>
      </c>
      <c r="L2055" s="11">
        <v>-8.8399999999999992E-2</v>
      </c>
      <c r="M2055" s="11">
        <v>0.33279999999999998</v>
      </c>
      <c r="N2055">
        <v>86.55</v>
      </c>
      <c r="O2055">
        <v>84.98</v>
      </c>
      <c r="P2055">
        <v>1</v>
      </c>
      <c r="Q2055" t="s">
        <v>37</v>
      </c>
      <c r="R2055">
        <v>68.12</v>
      </c>
      <c r="S2055">
        <v>8.84</v>
      </c>
      <c r="T2055" s="4">
        <v>50.390999999999998</v>
      </c>
      <c r="U2055" s="4">
        <v>58.355766000000003</v>
      </c>
      <c r="V2055" t="str">
        <f>IF(Table1[[#This Row],[ai_disruption_intensity]]&gt;70,"High",
IF(Table1[[#This Row],[ai_disruption_intensity]]&gt;40,"Medium","Low"))</f>
        <v>Medium</v>
      </c>
      <c r="W2055" t="str">
        <f>IF(Table1[[#This Row],[skill_gap_index]]&gt;70,"Large Gap",
IF(Table1[[#This Row],[skill_gap_index]]&gt;40,"Medium Gap","Small Gap"))</f>
        <v>Medium Gap</v>
      </c>
      <c r="X2055" s="3" t="str">
        <f>IF(Table1[[#This Row],[automation_risk_percent]]&gt;0.7,"Highly Automatable",
IF(Table1[[#This Row],[automation_risk_percent]]&gt;0.4,"Moderate Risk","Safe Job"))</f>
        <v>Moderate Risk</v>
      </c>
    </row>
    <row r="2056" spans="1:24" x14ac:dyDescent="0.3">
      <c r="A2056">
        <v>7325</v>
      </c>
      <c r="B2056" t="s">
        <v>46</v>
      </c>
      <c r="C2056" t="s">
        <v>27</v>
      </c>
      <c r="D2056" t="s">
        <v>47</v>
      </c>
      <c r="E2056" s="1">
        <v>2026</v>
      </c>
      <c r="F2056" s="11">
        <v>0.12359999999999999</v>
      </c>
      <c r="G2056">
        <v>10.75</v>
      </c>
      <c r="H2056">
        <v>79.53</v>
      </c>
      <c r="I2056" s="2">
        <v>124275.89</v>
      </c>
      <c r="J2056" s="2">
        <v>131300.26</v>
      </c>
      <c r="K2056" s="2">
        <f>Table1[[#This Row],[Salary_after]]-Table1[[#This Row],[Salary_before]]</f>
        <v>7024.3700000000099</v>
      </c>
      <c r="L2056" s="11">
        <v>5.6500000000000002E-2</v>
      </c>
      <c r="M2056" s="11">
        <v>4.5000000000000005E-3</v>
      </c>
      <c r="N2056">
        <v>53.2</v>
      </c>
      <c r="O2056">
        <v>47</v>
      </c>
      <c r="P2056">
        <v>4</v>
      </c>
      <c r="Q2056" t="s">
        <v>21</v>
      </c>
      <c r="R2056">
        <v>45.945</v>
      </c>
      <c r="S2056">
        <v>5.65</v>
      </c>
      <c r="T2056" s="4">
        <v>30.497999999999902</v>
      </c>
      <c r="U2056" s="4">
        <v>5.8091999999999997</v>
      </c>
      <c r="V2056" t="str">
        <f>IF(Table1[[#This Row],[ai_disruption_intensity]]&gt;70,"High",
IF(Table1[[#This Row],[ai_disruption_intensity]]&gt;40,"Medium","Low"))</f>
        <v>Low</v>
      </c>
      <c r="W2056" t="str">
        <f>IF(Table1[[#This Row],[skill_gap_index]]&gt;70,"Large Gap",
IF(Table1[[#This Row],[skill_gap_index]]&gt;40,"Medium Gap","Small Gap"))</f>
        <v>Large Gap</v>
      </c>
      <c r="X2056" s="3" t="str">
        <f>IF(Table1[[#This Row],[automation_risk_percent]]&gt;0.7,"Highly Automatable",
IF(Table1[[#This Row],[automation_risk_percent]]&gt;0.4,"Moderate Risk","Safe Job"))</f>
        <v>Safe Job</v>
      </c>
    </row>
    <row r="2057" spans="1:24" x14ac:dyDescent="0.3">
      <c r="A2057">
        <v>7327</v>
      </c>
      <c r="B2057" t="s">
        <v>44</v>
      </c>
      <c r="C2057" t="s">
        <v>19</v>
      </c>
      <c r="D2057" t="s">
        <v>47</v>
      </c>
      <c r="E2057" s="1">
        <v>2026</v>
      </c>
      <c r="F2057" s="11">
        <v>0.62470000000000003</v>
      </c>
      <c r="G2057">
        <v>56.83</v>
      </c>
      <c r="H2057">
        <v>70.16</v>
      </c>
      <c r="I2057" s="2">
        <v>54902.11</v>
      </c>
      <c r="J2057" s="2">
        <v>62513.760000000002</v>
      </c>
      <c r="K2057" s="2">
        <f>Table1[[#This Row],[Salary_after]]-Table1[[#This Row],[Salary_before]]</f>
        <v>7611.6500000000015</v>
      </c>
      <c r="L2057" s="11">
        <v>0.1386</v>
      </c>
      <c r="M2057" s="11">
        <v>-2.9100000000000001E-2</v>
      </c>
      <c r="N2057">
        <v>85.61</v>
      </c>
      <c r="O2057">
        <v>34.69</v>
      </c>
      <c r="P2057">
        <v>4</v>
      </c>
      <c r="Q2057" t="s">
        <v>37</v>
      </c>
      <c r="R2057">
        <v>66.314999999999998</v>
      </c>
      <c r="S2057">
        <v>13.86</v>
      </c>
      <c r="T2057" s="4">
        <v>50.194000000000003</v>
      </c>
      <c r="U2057" s="4">
        <v>21.670843000000001</v>
      </c>
      <c r="V2057" t="str">
        <f>IF(Table1[[#This Row],[ai_disruption_intensity]]&gt;70,"High",
IF(Table1[[#This Row],[ai_disruption_intensity]]&gt;40,"Medium","Low"))</f>
        <v>Low</v>
      </c>
      <c r="W2057" t="str">
        <f>IF(Table1[[#This Row],[skill_gap_index]]&gt;70,"Large Gap",
IF(Table1[[#This Row],[skill_gap_index]]&gt;40,"Medium Gap","Small Gap"))</f>
        <v>Large Gap</v>
      </c>
      <c r="X2057" s="3" t="str">
        <f>IF(Table1[[#This Row],[automation_risk_percent]]&gt;0.7,"Highly Automatable",
IF(Table1[[#This Row],[automation_risk_percent]]&gt;0.4,"Moderate Risk","Safe Job"))</f>
        <v>Moderate Risk</v>
      </c>
    </row>
    <row r="2058" spans="1:24" x14ac:dyDescent="0.3">
      <c r="A2058">
        <v>7335</v>
      </c>
      <c r="B2058" t="s">
        <v>18</v>
      </c>
      <c r="C2058" t="s">
        <v>34</v>
      </c>
      <c r="D2058" t="s">
        <v>32</v>
      </c>
      <c r="E2058" s="1">
        <v>2026</v>
      </c>
      <c r="F2058" s="11">
        <v>0.29370000000000002</v>
      </c>
      <c r="G2058">
        <v>27.04</v>
      </c>
      <c r="H2058">
        <v>63.07</v>
      </c>
      <c r="I2058" s="2">
        <v>125537.76</v>
      </c>
      <c r="J2058" s="2">
        <v>116504.65</v>
      </c>
      <c r="K2058" s="2">
        <f>Table1[[#This Row],[Salary_after]]-Table1[[#This Row],[Salary_before]]</f>
        <v>-9033.11</v>
      </c>
      <c r="L2058" s="11">
        <v>-7.2000000000000008E-2</v>
      </c>
      <c r="M2058" s="11">
        <v>-4.8399999999999999E-2</v>
      </c>
      <c r="N2058">
        <v>35.18</v>
      </c>
      <c r="O2058">
        <v>22</v>
      </c>
      <c r="P2058">
        <v>5</v>
      </c>
      <c r="Q2058" t="s">
        <v>21</v>
      </c>
      <c r="R2058">
        <v>46.22</v>
      </c>
      <c r="S2058">
        <v>7.2</v>
      </c>
      <c r="T2058" s="4">
        <v>32.829000000000001</v>
      </c>
      <c r="U2058" s="4">
        <v>6.4614000000000003</v>
      </c>
      <c r="V2058" t="str">
        <f>IF(Table1[[#This Row],[ai_disruption_intensity]]&gt;70,"High",
IF(Table1[[#This Row],[ai_disruption_intensity]]&gt;40,"Medium","Low"))</f>
        <v>Low</v>
      </c>
      <c r="W2058" t="str">
        <f>IF(Table1[[#This Row],[skill_gap_index]]&gt;70,"Large Gap",
IF(Table1[[#This Row],[skill_gap_index]]&gt;40,"Medium Gap","Small Gap"))</f>
        <v>Medium Gap</v>
      </c>
      <c r="X2058" s="3" t="str">
        <f>IF(Table1[[#This Row],[automation_risk_percent]]&gt;0.7,"Highly Automatable",
IF(Table1[[#This Row],[automation_risk_percent]]&gt;0.4,"Moderate Risk","Safe Job"))</f>
        <v>Safe Job</v>
      </c>
    </row>
    <row r="2059" spans="1:24" x14ac:dyDescent="0.3">
      <c r="A2059">
        <v>7336</v>
      </c>
      <c r="B2059" t="s">
        <v>39</v>
      </c>
      <c r="C2059" t="s">
        <v>33</v>
      </c>
      <c r="D2059" t="s">
        <v>42</v>
      </c>
      <c r="E2059" s="1">
        <v>2025</v>
      </c>
      <c r="F2059" s="11">
        <v>0.42619999999999997</v>
      </c>
      <c r="G2059">
        <v>48.69</v>
      </c>
      <c r="H2059">
        <v>10.029999999999999</v>
      </c>
      <c r="I2059" s="2">
        <v>133443.6</v>
      </c>
      <c r="J2059" s="2">
        <v>161888.63</v>
      </c>
      <c r="K2059" s="2">
        <f>Table1[[#This Row],[Salary_after]]-Table1[[#This Row],[Salary_before]]</f>
        <v>28445.03</v>
      </c>
      <c r="L2059" s="11">
        <v>0.2132</v>
      </c>
      <c r="M2059" s="11">
        <v>4.5999999999999999E-2</v>
      </c>
      <c r="N2059">
        <v>83.38</v>
      </c>
      <c r="O2059">
        <v>30.43</v>
      </c>
      <c r="P2059">
        <v>1</v>
      </c>
      <c r="Q2059" t="s">
        <v>25</v>
      </c>
      <c r="R2059">
        <v>26.324999999999999</v>
      </c>
      <c r="S2059">
        <v>21.32</v>
      </c>
      <c r="T2059" s="4">
        <v>26.452999999999999</v>
      </c>
      <c r="U2059" s="4">
        <v>12.969265999999999</v>
      </c>
      <c r="V2059" t="str">
        <f>IF(Table1[[#This Row],[ai_disruption_intensity]]&gt;70,"High",
IF(Table1[[#This Row],[ai_disruption_intensity]]&gt;40,"Medium","Low"))</f>
        <v>Low</v>
      </c>
      <c r="W2059" t="str">
        <f>IF(Table1[[#This Row],[skill_gap_index]]&gt;70,"Large Gap",
IF(Table1[[#This Row],[skill_gap_index]]&gt;40,"Medium Gap","Small Gap"))</f>
        <v>Small Gap</v>
      </c>
      <c r="X2059" s="3" t="str">
        <f>IF(Table1[[#This Row],[automation_risk_percent]]&gt;0.7,"Highly Automatable",
IF(Table1[[#This Row],[automation_risk_percent]]&gt;0.4,"Moderate Risk","Safe Job"))</f>
        <v>Moderate Risk</v>
      </c>
    </row>
    <row r="2060" spans="1:24" x14ac:dyDescent="0.3">
      <c r="A2060">
        <v>7340</v>
      </c>
      <c r="B2060" t="s">
        <v>18</v>
      </c>
      <c r="C2060" t="s">
        <v>19</v>
      </c>
      <c r="D2060" t="s">
        <v>20</v>
      </c>
      <c r="E2060" s="1">
        <v>2025</v>
      </c>
      <c r="F2060" s="11">
        <v>0.34509999999999996</v>
      </c>
      <c r="G2060">
        <v>40.270000000000003</v>
      </c>
      <c r="H2060">
        <v>45.26</v>
      </c>
      <c r="I2060" s="2">
        <v>89714.63</v>
      </c>
      <c r="J2060" s="2">
        <v>84414.67</v>
      </c>
      <c r="K2060" s="2">
        <f>Table1[[#This Row],[Salary_after]]-Table1[[#This Row],[Salary_before]]</f>
        <v>-5299.9600000000064</v>
      </c>
      <c r="L2060" s="11">
        <v>-5.91E-2</v>
      </c>
      <c r="M2060" s="11">
        <v>2.8999999999999998E-2</v>
      </c>
      <c r="N2060">
        <v>54.43</v>
      </c>
      <c r="O2060">
        <v>77.44</v>
      </c>
      <c r="P2060">
        <v>1</v>
      </c>
      <c r="Q2060" t="s">
        <v>25</v>
      </c>
      <c r="R2060">
        <v>39.884999999999998</v>
      </c>
      <c r="S2060">
        <v>5.91</v>
      </c>
      <c r="T2060" s="4">
        <v>29.154999999999902</v>
      </c>
      <c r="U2060" s="4">
        <v>26.724543999999899</v>
      </c>
      <c r="V2060" t="str">
        <f>IF(Table1[[#This Row],[ai_disruption_intensity]]&gt;70,"High",
IF(Table1[[#This Row],[ai_disruption_intensity]]&gt;40,"Medium","Low"))</f>
        <v>Low</v>
      </c>
      <c r="W2060" t="str">
        <f>IF(Table1[[#This Row],[skill_gap_index]]&gt;70,"Large Gap",
IF(Table1[[#This Row],[skill_gap_index]]&gt;40,"Medium Gap","Small Gap"))</f>
        <v>Medium Gap</v>
      </c>
      <c r="X2060" s="3" t="str">
        <f>IF(Table1[[#This Row],[automation_risk_percent]]&gt;0.7,"Highly Automatable",
IF(Table1[[#This Row],[automation_risk_percent]]&gt;0.4,"Moderate Risk","Safe Job"))</f>
        <v>Safe Job</v>
      </c>
    </row>
    <row r="2061" spans="1:24" x14ac:dyDescent="0.3">
      <c r="A2061">
        <v>7344</v>
      </c>
      <c r="B2061" t="s">
        <v>26</v>
      </c>
      <c r="C2061" t="s">
        <v>27</v>
      </c>
      <c r="D2061" t="s">
        <v>36</v>
      </c>
      <c r="E2061" s="1">
        <v>2026</v>
      </c>
      <c r="F2061" s="11">
        <v>0.41840000000000005</v>
      </c>
      <c r="G2061">
        <v>45.63</v>
      </c>
      <c r="H2061">
        <v>71.67</v>
      </c>
      <c r="I2061" s="2">
        <v>83248.12</v>
      </c>
      <c r="J2061" s="2">
        <v>73229.899999999994</v>
      </c>
      <c r="K2061" s="2">
        <f>Table1[[#This Row],[Salary_after]]-Table1[[#This Row],[Salary_before]]</f>
        <v>-10018.220000000001</v>
      </c>
      <c r="L2061" s="11">
        <v>-0.12029999999999999</v>
      </c>
      <c r="M2061" s="11">
        <v>0.10289999999999999</v>
      </c>
      <c r="N2061">
        <v>87.51</v>
      </c>
      <c r="O2061">
        <v>9.82</v>
      </c>
      <c r="P2061">
        <v>2</v>
      </c>
      <c r="Q2061" t="s">
        <v>25</v>
      </c>
      <c r="R2061">
        <v>56.755000000000003</v>
      </c>
      <c r="S2061">
        <v>12.03</v>
      </c>
      <c r="T2061" s="4">
        <v>41.845999999999997</v>
      </c>
      <c r="U2061" s="4">
        <v>4.1086879999999999</v>
      </c>
      <c r="V2061" t="str">
        <f>IF(Table1[[#This Row],[ai_disruption_intensity]]&gt;70,"High",
IF(Table1[[#This Row],[ai_disruption_intensity]]&gt;40,"Medium","Low"))</f>
        <v>Low</v>
      </c>
      <c r="W2061" t="str">
        <f>IF(Table1[[#This Row],[skill_gap_index]]&gt;70,"Large Gap",
IF(Table1[[#This Row],[skill_gap_index]]&gt;40,"Medium Gap","Small Gap"))</f>
        <v>Large Gap</v>
      </c>
      <c r="X2061" s="3" t="str">
        <f>IF(Table1[[#This Row],[automation_risk_percent]]&gt;0.7,"Highly Automatable",
IF(Table1[[#This Row],[automation_risk_percent]]&gt;0.4,"Moderate Risk","Safe Job"))</f>
        <v>Moderate Risk</v>
      </c>
    </row>
    <row r="2062" spans="1:24" x14ac:dyDescent="0.3">
      <c r="A2062">
        <v>7349</v>
      </c>
      <c r="B2062" t="s">
        <v>26</v>
      </c>
      <c r="C2062" t="s">
        <v>27</v>
      </c>
      <c r="D2062" t="s">
        <v>24</v>
      </c>
      <c r="E2062" s="1">
        <v>2026</v>
      </c>
      <c r="F2062" s="11">
        <v>0.17929999999999999</v>
      </c>
      <c r="G2062">
        <v>19.149999999999999</v>
      </c>
      <c r="H2062">
        <v>47.82</v>
      </c>
      <c r="I2062" s="2">
        <v>105305.81</v>
      </c>
      <c r="J2062" s="2">
        <v>108325.52</v>
      </c>
      <c r="K2062" s="2">
        <f>Table1[[#This Row],[Salary_after]]-Table1[[#This Row],[Salary_before]]</f>
        <v>3019.7100000000064</v>
      </c>
      <c r="L2062" s="11">
        <v>2.87E-2</v>
      </c>
      <c r="M2062" s="11">
        <v>2.9399999999999999E-2</v>
      </c>
      <c r="N2062">
        <v>13.65</v>
      </c>
      <c r="O2062">
        <v>56.96</v>
      </c>
      <c r="P2062">
        <v>5</v>
      </c>
      <c r="Q2062" t="s">
        <v>21</v>
      </c>
      <c r="R2062">
        <v>32.875</v>
      </c>
      <c r="S2062">
        <v>2.87</v>
      </c>
      <c r="T2062" s="4">
        <v>22.379000000000001</v>
      </c>
      <c r="U2062" s="4">
        <v>10.212928</v>
      </c>
      <c r="V2062" t="str">
        <f>IF(Table1[[#This Row],[ai_disruption_intensity]]&gt;70,"High",
IF(Table1[[#This Row],[ai_disruption_intensity]]&gt;40,"Medium","Low"))</f>
        <v>Low</v>
      </c>
      <c r="W2062" t="str">
        <f>IF(Table1[[#This Row],[skill_gap_index]]&gt;70,"Large Gap",
IF(Table1[[#This Row],[skill_gap_index]]&gt;40,"Medium Gap","Small Gap"))</f>
        <v>Medium Gap</v>
      </c>
      <c r="X2062" s="3" t="str">
        <f>IF(Table1[[#This Row],[automation_risk_percent]]&gt;0.7,"Highly Automatable",
IF(Table1[[#This Row],[automation_risk_percent]]&gt;0.4,"Moderate Risk","Safe Job"))</f>
        <v>Safe Job</v>
      </c>
    </row>
    <row r="2063" spans="1:24" x14ac:dyDescent="0.3">
      <c r="A2063">
        <v>7351</v>
      </c>
      <c r="B2063" t="s">
        <v>39</v>
      </c>
      <c r="C2063" t="s">
        <v>23</v>
      </c>
      <c r="D2063" t="s">
        <v>28</v>
      </c>
      <c r="E2063" s="1">
        <v>2026</v>
      </c>
      <c r="F2063" s="11">
        <v>0.49719999999999998</v>
      </c>
      <c r="G2063">
        <v>58.8</v>
      </c>
      <c r="H2063">
        <v>83.57</v>
      </c>
      <c r="I2063" s="2">
        <v>103062.95</v>
      </c>
      <c r="J2063" s="2">
        <v>121100.19</v>
      </c>
      <c r="K2063" s="2">
        <f>Table1[[#This Row],[Salary_after]]-Table1[[#This Row],[Salary_before]]</f>
        <v>18037.240000000005</v>
      </c>
      <c r="L2063" s="11">
        <v>0.17499999999999999</v>
      </c>
      <c r="M2063" s="11">
        <v>8.0199999999999994E-2</v>
      </c>
      <c r="N2063">
        <v>82.35</v>
      </c>
      <c r="O2063">
        <v>29.52</v>
      </c>
      <c r="P2063">
        <v>4</v>
      </c>
      <c r="Q2063" t="s">
        <v>25</v>
      </c>
      <c r="R2063">
        <v>66.644999999999996</v>
      </c>
      <c r="S2063">
        <v>17.5</v>
      </c>
      <c r="T2063" s="4">
        <v>50.209000000000003</v>
      </c>
      <c r="U2063" s="4">
        <v>14.677344</v>
      </c>
      <c r="V2063" t="str">
        <f>IF(Table1[[#This Row],[ai_disruption_intensity]]&gt;70,"High",
IF(Table1[[#This Row],[ai_disruption_intensity]]&gt;40,"Medium","Low"))</f>
        <v>Low</v>
      </c>
      <c r="W2063" t="str">
        <f>IF(Table1[[#This Row],[skill_gap_index]]&gt;70,"Large Gap",
IF(Table1[[#This Row],[skill_gap_index]]&gt;40,"Medium Gap","Small Gap"))</f>
        <v>Large Gap</v>
      </c>
      <c r="X2063" s="3" t="str">
        <f>IF(Table1[[#This Row],[automation_risk_percent]]&gt;0.7,"Highly Automatable",
IF(Table1[[#This Row],[automation_risk_percent]]&gt;0.4,"Moderate Risk","Safe Job"))</f>
        <v>Moderate Risk</v>
      </c>
    </row>
    <row r="2064" spans="1:24" x14ac:dyDescent="0.3">
      <c r="A2064">
        <v>7353</v>
      </c>
      <c r="B2064" t="s">
        <v>29</v>
      </c>
      <c r="C2064" t="s">
        <v>30</v>
      </c>
      <c r="D2064" t="s">
        <v>35</v>
      </c>
      <c r="E2064" s="1">
        <v>2026</v>
      </c>
      <c r="F2064" s="11">
        <v>0.40759999999999996</v>
      </c>
      <c r="G2064">
        <v>39.57</v>
      </c>
      <c r="H2064">
        <v>71.89</v>
      </c>
      <c r="I2064" s="2">
        <v>136579.17000000001</v>
      </c>
      <c r="J2064" s="2">
        <v>140208.06</v>
      </c>
      <c r="K2064" s="2">
        <f>Table1[[#This Row],[Salary_after]]-Table1[[#This Row],[Salary_before]]</f>
        <v>3628.8899999999849</v>
      </c>
      <c r="L2064" s="11">
        <v>2.6600000000000002E-2</v>
      </c>
      <c r="M2064" s="11">
        <v>1.1399999999999999E-2</v>
      </c>
      <c r="N2064">
        <v>19.309999999999999</v>
      </c>
      <c r="O2064">
        <v>37.94</v>
      </c>
      <c r="P2064">
        <v>3</v>
      </c>
      <c r="Q2064" t="s">
        <v>25</v>
      </c>
      <c r="R2064">
        <v>56.325000000000003</v>
      </c>
      <c r="S2064">
        <v>2.66</v>
      </c>
      <c r="T2064" s="4">
        <v>38.668999999999997</v>
      </c>
      <c r="U2064" s="4">
        <v>15.464343999999899</v>
      </c>
      <c r="V2064" t="str">
        <f>IF(Table1[[#This Row],[ai_disruption_intensity]]&gt;70,"High",
IF(Table1[[#This Row],[ai_disruption_intensity]]&gt;40,"Medium","Low"))</f>
        <v>Low</v>
      </c>
      <c r="W2064" t="str">
        <f>IF(Table1[[#This Row],[skill_gap_index]]&gt;70,"Large Gap",
IF(Table1[[#This Row],[skill_gap_index]]&gt;40,"Medium Gap","Small Gap"))</f>
        <v>Large Gap</v>
      </c>
      <c r="X2064" s="3" t="str">
        <f>IF(Table1[[#This Row],[automation_risk_percent]]&gt;0.7,"Highly Automatable",
IF(Table1[[#This Row],[automation_risk_percent]]&gt;0.4,"Moderate Risk","Safe Job"))</f>
        <v>Moderate Risk</v>
      </c>
    </row>
    <row r="2065" spans="1:24" x14ac:dyDescent="0.3">
      <c r="A2065">
        <v>7354</v>
      </c>
      <c r="B2065" t="s">
        <v>18</v>
      </c>
      <c r="C2065" t="s">
        <v>38</v>
      </c>
      <c r="D2065" t="s">
        <v>28</v>
      </c>
      <c r="E2065" s="1">
        <v>2025</v>
      </c>
      <c r="F2065" s="11">
        <v>0.79760000000000009</v>
      </c>
      <c r="G2065">
        <v>66</v>
      </c>
      <c r="H2065">
        <v>2.29</v>
      </c>
      <c r="I2065" s="2">
        <v>70037.84</v>
      </c>
      <c r="J2065" s="2">
        <v>73575.95</v>
      </c>
      <c r="K2065" s="2">
        <f>Table1[[#This Row],[Salary_after]]-Table1[[#This Row],[Salary_before]]</f>
        <v>3538.1100000000006</v>
      </c>
      <c r="L2065" s="11">
        <v>5.0499999999999996E-2</v>
      </c>
      <c r="M2065" s="11">
        <v>-8.5800000000000001E-2</v>
      </c>
      <c r="N2065">
        <v>31.04</v>
      </c>
      <c r="O2065">
        <v>5.38</v>
      </c>
      <c r="P2065">
        <v>5</v>
      </c>
      <c r="Q2065" t="s">
        <v>37</v>
      </c>
      <c r="R2065">
        <v>41.024999999999999</v>
      </c>
      <c r="S2065">
        <v>5.05</v>
      </c>
      <c r="T2065" s="4">
        <v>34.106000000000002</v>
      </c>
      <c r="U2065" s="4">
        <v>4.2910880000000002</v>
      </c>
      <c r="V2065" t="str">
        <f>IF(Table1[[#This Row],[ai_disruption_intensity]]&gt;70,"High",
IF(Table1[[#This Row],[ai_disruption_intensity]]&gt;40,"Medium","Low"))</f>
        <v>Low</v>
      </c>
      <c r="W2065" t="str">
        <f>IF(Table1[[#This Row],[skill_gap_index]]&gt;70,"Large Gap",
IF(Table1[[#This Row],[skill_gap_index]]&gt;40,"Medium Gap","Small Gap"))</f>
        <v>Small Gap</v>
      </c>
      <c r="X2065" s="3" t="str">
        <f>IF(Table1[[#This Row],[automation_risk_percent]]&gt;0.7,"Highly Automatable",
IF(Table1[[#This Row],[automation_risk_percent]]&gt;0.4,"Moderate Risk","Safe Job"))</f>
        <v>Highly Automatable</v>
      </c>
    </row>
    <row r="2066" spans="1:24" x14ac:dyDescent="0.3">
      <c r="A2066">
        <v>7358</v>
      </c>
      <c r="B2066" t="s">
        <v>26</v>
      </c>
      <c r="C2066" t="s">
        <v>27</v>
      </c>
      <c r="D2066" t="s">
        <v>20</v>
      </c>
      <c r="E2066" s="1">
        <v>2026</v>
      </c>
      <c r="F2066" s="11">
        <v>0.41739999999999999</v>
      </c>
      <c r="G2066">
        <v>43.1</v>
      </c>
      <c r="H2066">
        <v>12.7</v>
      </c>
      <c r="I2066" s="2">
        <v>40829.4</v>
      </c>
      <c r="J2066" s="2">
        <v>39969.06</v>
      </c>
      <c r="K2066" s="2">
        <f>Table1[[#This Row],[Salary_after]]-Table1[[#This Row],[Salary_before]]</f>
        <v>-860.34000000000378</v>
      </c>
      <c r="L2066" s="11">
        <v>-2.1099999999999997E-2</v>
      </c>
      <c r="M2066" s="11">
        <v>0.13239999999999999</v>
      </c>
      <c r="N2066">
        <v>35.89</v>
      </c>
      <c r="O2066">
        <v>94.22</v>
      </c>
      <c r="P2066">
        <v>2</v>
      </c>
      <c r="Q2066" t="s">
        <v>25</v>
      </c>
      <c r="R2066">
        <v>27.22</v>
      </c>
      <c r="S2066">
        <v>2.11</v>
      </c>
      <c r="T2066" s="4">
        <v>21.138999999999999</v>
      </c>
      <c r="U2066" s="4">
        <v>39.327427999999998</v>
      </c>
      <c r="V2066" t="str">
        <f>IF(Table1[[#This Row],[ai_disruption_intensity]]&gt;70,"High",
IF(Table1[[#This Row],[ai_disruption_intensity]]&gt;40,"Medium","Low"))</f>
        <v>Low</v>
      </c>
      <c r="W2066" t="str">
        <f>IF(Table1[[#This Row],[skill_gap_index]]&gt;70,"Large Gap",
IF(Table1[[#This Row],[skill_gap_index]]&gt;40,"Medium Gap","Small Gap"))</f>
        <v>Small Gap</v>
      </c>
      <c r="X2066" s="3" t="str">
        <f>IF(Table1[[#This Row],[automation_risk_percent]]&gt;0.7,"Highly Automatable",
IF(Table1[[#This Row],[automation_risk_percent]]&gt;0.4,"Moderate Risk","Safe Job"))</f>
        <v>Moderate Risk</v>
      </c>
    </row>
    <row r="2067" spans="1:24" x14ac:dyDescent="0.3">
      <c r="A2067">
        <v>7360</v>
      </c>
      <c r="B2067" t="s">
        <v>22</v>
      </c>
      <c r="C2067" t="s">
        <v>30</v>
      </c>
      <c r="D2067" t="s">
        <v>28</v>
      </c>
      <c r="E2067" s="1">
        <v>2026</v>
      </c>
      <c r="F2067" s="11">
        <v>0.63680000000000003</v>
      </c>
      <c r="G2067">
        <v>57.05</v>
      </c>
      <c r="H2067">
        <v>39.07</v>
      </c>
      <c r="I2067" s="2">
        <v>123742.13</v>
      </c>
      <c r="J2067" s="2">
        <v>128167.28</v>
      </c>
      <c r="K2067" s="2">
        <f>Table1[[#This Row],[Salary_after]]-Table1[[#This Row],[Salary_before]]</f>
        <v>4425.1499999999942</v>
      </c>
      <c r="L2067" s="11">
        <v>3.5799999999999998E-2</v>
      </c>
      <c r="M2067" s="11">
        <v>2.9500000000000002E-2</v>
      </c>
      <c r="N2067">
        <v>85.5</v>
      </c>
      <c r="O2067">
        <v>89.55</v>
      </c>
      <c r="P2067">
        <v>1</v>
      </c>
      <c r="Q2067" t="s">
        <v>37</v>
      </c>
      <c r="R2067">
        <v>51.375</v>
      </c>
      <c r="S2067">
        <v>3.58</v>
      </c>
      <c r="T2067" s="4">
        <v>38.266999999999904</v>
      </c>
      <c r="U2067" s="4">
        <v>57.025439999999897</v>
      </c>
      <c r="V2067" t="str">
        <f>IF(Table1[[#This Row],[ai_disruption_intensity]]&gt;70,"High",
IF(Table1[[#This Row],[ai_disruption_intensity]]&gt;40,"Medium","Low"))</f>
        <v>Medium</v>
      </c>
      <c r="W2067" t="str">
        <f>IF(Table1[[#This Row],[skill_gap_index]]&gt;70,"Large Gap",
IF(Table1[[#This Row],[skill_gap_index]]&gt;40,"Medium Gap","Small Gap"))</f>
        <v>Small Gap</v>
      </c>
      <c r="X2067" s="3" t="str">
        <f>IF(Table1[[#This Row],[automation_risk_percent]]&gt;0.7,"Highly Automatable",
IF(Table1[[#This Row],[automation_risk_percent]]&gt;0.4,"Moderate Risk","Safe Job"))</f>
        <v>Moderate Risk</v>
      </c>
    </row>
    <row r="2068" spans="1:24" x14ac:dyDescent="0.3">
      <c r="A2068">
        <v>7361</v>
      </c>
      <c r="B2068" t="s">
        <v>22</v>
      </c>
      <c r="C2068" t="s">
        <v>19</v>
      </c>
      <c r="D2068" t="s">
        <v>36</v>
      </c>
      <c r="E2068" s="1">
        <v>2026</v>
      </c>
      <c r="F2068" s="11">
        <v>0.30809999999999998</v>
      </c>
      <c r="G2068">
        <v>25.94</v>
      </c>
      <c r="H2068">
        <v>10.06</v>
      </c>
      <c r="I2068" s="2">
        <v>96708.9</v>
      </c>
      <c r="J2068" s="2">
        <v>86243.94</v>
      </c>
      <c r="K2068" s="2">
        <f>Table1[[#This Row],[Salary_after]]-Table1[[#This Row],[Salary_before]]</f>
        <v>-10464.959999999992</v>
      </c>
      <c r="L2068" s="11">
        <v>-0.1082</v>
      </c>
      <c r="M2068" s="11">
        <v>-3.9E-2</v>
      </c>
      <c r="N2068">
        <v>30.02</v>
      </c>
      <c r="O2068">
        <v>56.21</v>
      </c>
      <c r="P2068">
        <v>1</v>
      </c>
      <c r="Q2068" t="s">
        <v>25</v>
      </c>
      <c r="R2068">
        <v>20.434999999999999</v>
      </c>
      <c r="S2068">
        <v>10.82</v>
      </c>
      <c r="T2068" s="4">
        <v>18.588000000000001</v>
      </c>
      <c r="U2068" s="4">
        <v>17.318300999999899</v>
      </c>
      <c r="V2068" t="str">
        <f>IF(Table1[[#This Row],[ai_disruption_intensity]]&gt;70,"High",
IF(Table1[[#This Row],[ai_disruption_intensity]]&gt;40,"Medium","Low"))</f>
        <v>Low</v>
      </c>
      <c r="W2068" t="str">
        <f>IF(Table1[[#This Row],[skill_gap_index]]&gt;70,"Large Gap",
IF(Table1[[#This Row],[skill_gap_index]]&gt;40,"Medium Gap","Small Gap"))</f>
        <v>Small Gap</v>
      </c>
      <c r="X2068" s="3" t="str">
        <f>IF(Table1[[#This Row],[automation_risk_percent]]&gt;0.7,"Highly Automatable",
IF(Table1[[#This Row],[automation_risk_percent]]&gt;0.4,"Moderate Risk","Safe Job"))</f>
        <v>Safe Job</v>
      </c>
    </row>
    <row r="2069" spans="1:24" x14ac:dyDescent="0.3">
      <c r="A2069">
        <v>7366</v>
      </c>
      <c r="B2069" t="s">
        <v>45</v>
      </c>
      <c r="C2069" t="s">
        <v>33</v>
      </c>
      <c r="D2069" t="s">
        <v>36</v>
      </c>
      <c r="E2069" s="1">
        <v>2026</v>
      </c>
      <c r="F2069" s="11">
        <v>0.56119999999999992</v>
      </c>
      <c r="G2069">
        <v>55.13</v>
      </c>
      <c r="H2069">
        <v>92.54</v>
      </c>
      <c r="I2069" s="2">
        <v>138017.66</v>
      </c>
      <c r="J2069" s="2">
        <v>156072.82</v>
      </c>
      <c r="K2069" s="2">
        <f>Table1[[#This Row],[Salary_after]]-Table1[[#This Row],[Salary_before]]</f>
        <v>18055.160000000003</v>
      </c>
      <c r="L2069" s="11">
        <v>0.1308</v>
      </c>
      <c r="M2069" s="11">
        <v>-0.15229999999999999</v>
      </c>
      <c r="N2069">
        <v>91.48</v>
      </c>
      <c r="O2069">
        <v>31.94</v>
      </c>
      <c r="P2069">
        <v>2</v>
      </c>
      <c r="Q2069" t="s">
        <v>25</v>
      </c>
      <c r="R2069">
        <v>74.33</v>
      </c>
      <c r="S2069">
        <v>13.08</v>
      </c>
      <c r="T2069" s="4">
        <v>54.134</v>
      </c>
      <c r="U2069" s="4">
        <v>17.924728000000002</v>
      </c>
      <c r="V2069" t="str">
        <f>IF(Table1[[#This Row],[ai_disruption_intensity]]&gt;70,"High",
IF(Table1[[#This Row],[ai_disruption_intensity]]&gt;40,"Medium","Low"))</f>
        <v>Low</v>
      </c>
      <c r="W2069" t="str">
        <f>IF(Table1[[#This Row],[skill_gap_index]]&gt;70,"Large Gap",
IF(Table1[[#This Row],[skill_gap_index]]&gt;40,"Medium Gap","Small Gap"))</f>
        <v>Large Gap</v>
      </c>
      <c r="X2069" s="3" t="str">
        <f>IF(Table1[[#This Row],[automation_risk_percent]]&gt;0.7,"Highly Automatable",
IF(Table1[[#This Row],[automation_risk_percent]]&gt;0.4,"Moderate Risk","Safe Job"))</f>
        <v>Moderate Risk</v>
      </c>
    </row>
    <row r="2070" spans="1:24" x14ac:dyDescent="0.3">
      <c r="A2070">
        <v>7368</v>
      </c>
      <c r="B2070" t="s">
        <v>18</v>
      </c>
      <c r="C2070" t="s">
        <v>34</v>
      </c>
      <c r="D2070" t="s">
        <v>28</v>
      </c>
      <c r="E2070" s="1">
        <v>2026</v>
      </c>
      <c r="F2070" s="11">
        <v>0.122</v>
      </c>
      <c r="G2070">
        <v>10.7</v>
      </c>
      <c r="H2070">
        <v>61.5</v>
      </c>
      <c r="I2070" s="2">
        <v>83564.73</v>
      </c>
      <c r="J2070" s="2">
        <v>76348.31</v>
      </c>
      <c r="K2070" s="2">
        <f>Table1[[#This Row],[Salary_after]]-Table1[[#This Row],[Salary_before]]</f>
        <v>-7216.4199999999983</v>
      </c>
      <c r="L2070" s="11">
        <v>-8.6400000000000005E-2</v>
      </c>
      <c r="M2070" s="11">
        <v>3.15E-2</v>
      </c>
      <c r="N2070">
        <v>41.24</v>
      </c>
      <c r="O2070">
        <v>52.64</v>
      </c>
      <c r="P2070">
        <v>3</v>
      </c>
      <c r="Q2070" t="s">
        <v>21</v>
      </c>
      <c r="R2070">
        <v>36.85</v>
      </c>
      <c r="S2070">
        <v>8.64</v>
      </c>
      <c r="T2070" s="4">
        <v>25.921999999999901</v>
      </c>
      <c r="U2070" s="4">
        <v>6.4220799999999896</v>
      </c>
      <c r="V2070" t="str">
        <f>IF(Table1[[#This Row],[ai_disruption_intensity]]&gt;70,"High",
IF(Table1[[#This Row],[ai_disruption_intensity]]&gt;40,"Medium","Low"))</f>
        <v>Low</v>
      </c>
      <c r="W2070" t="str">
        <f>IF(Table1[[#This Row],[skill_gap_index]]&gt;70,"Large Gap",
IF(Table1[[#This Row],[skill_gap_index]]&gt;40,"Medium Gap","Small Gap"))</f>
        <v>Medium Gap</v>
      </c>
      <c r="X2070" s="3" t="str">
        <f>IF(Table1[[#This Row],[automation_risk_percent]]&gt;0.7,"Highly Automatable",
IF(Table1[[#This Row],[automation_risk_percent]]&gt;0.4,"Moderate Risk","Safe Job"))</f>
        <v>Safe Job</v>
      </c>
    </row>
    <row r="2071" spans="1:24" x14ac:dyDescent="0.3">
      <c r="A2071">
        <v>7379</v>
      </c>
      <c r="B2071" t="s">
        <v>43</v>
      </c>
      <c r="C2071" t="s">
        <v>38</v>
      </c>
      <c r="D2071" t="s">
        <v>32</v>
      </c>
      <c r="E2071" s="1">
        <v>2026</v>
      </c>
      <c r="F2071" s="11">
        <v>0.75709999999999988</v>
      </c>
      <c r="G2071">
        <v>88.04</v>
      </c>
      <c r="H2071">
        <v>68.38</v>
      </c>
      <c r="I2071" s="2">
        <v>33904.15</v>
      </c>
      <c r="J2071" s="2">
        <v>37998.879999999997</v>
      </c>
      <c r="K2071" s="2">
        <f>Table1[[#This Row],[Salary_after]]-Table1[[#This Row],[Salary_before]]</f>
        <v>4094.7299999999959</v>
      </c>
      <c r="L2071" s="11">
        <v>0.1208</v>
      </c>
      <c r="M2071" s="11">
        <v>7.5600000000000001E-2</v>
      </c>
      <c r="N2071">
        <v>38.770000000000003</v>
      </c>
      <c r="O2071">
        <v>43.56</v>
      </c>
      <c r="P2071">
        <v>5</v>
      </c>
      <c r="Q2071" t="s">
        <v>37</v>
      </c>
      <c r="R2071">
        <v>72.044999999999902</v>
      </c>
      <c r="S2071">
        <v>12.08</v>
      </c>
      <c r="T2071" s="4">
        <v>54.421999999999997</v>
      </c>
      <c r="U2071" s="4">
        <v>32.979275999999999</v>
      </c>
      <c r="V2071" t="str">
        <f>IF(Table1[[#This Row],[ai_disruption_intensity]]&gt;70,"High",
IF(Table1[[#This Row],[ai_disruption_intensity]]&gt;40,"Medium","Low"))</f>
        <v>Low</v>
      </c>
      <c r="W2071" t="str">
        <f>IF(Table1[[#This Row],[skill_gap_index]]&gt;70,"Large Gap",
IF(Table1[[#This Row],[skill_gap_index]]&gt;40,"Medium Gap","Small Gap"))</f>
        <v>Medium Gap</v>
      </c>
      <c r="X2071" s="3" t="str">
        <f>IF(Table1[[#This Row],[automation_risk_percent]]&gt;0.7,"Highly Automatable",
IF(Table1[[#This Row],[automation_risk_percent]]&gt;0.4,"Moderate Risk","Safe Job"))</f>
        <v>Highly Automatable</v>
      </c>
    </row>
    <row r="2072" spans="1:24" x14ac:dyDescent="0.3">
      <c r="A2072">
        <v>7380</v>
      </c>
      <c r="B2072" t="s">
        <v>43</v>
      </c>
      <c r="C2072" t="s">
        <v>38</v>
      </c>
      <c r="D2072" t="s">
        <v>20</v>
      </c>
      <c r="E2072" s="1">
        <v>2026</v>
      </c>
      <c r="F2072" s="11">
        <v>0.29859999999999998</v>
      </c>
      <c r="G2072">
        <v>24.34</v>
      </c>
      <c r="H2072">
        <v>7.27</v>
      </c>
      <c r="I2072" s="2">
        <v>32573.01</v>
      </c>
      <c r="J2072" s="2">
        <v>40123.919999999998</v>
      </c>
      <c r="K2072" s="2">
        <f>Table1[[#This Row],[Salary_after]]-Table1[[#This Row],[Salary_before]]</f>
        <v>7550.91</v>
      </c>
      <c r="L2072" s="11">
        <v>0.23180000000000001</v>
      </c>
      <c r="M2072" s="11">
        <v>0.1033</v>
      </c>
      <c r="N2072">
        <v>37.69</v>
      </c>
      <c r="O2072">
        <v>82.61</v>
      </c>
      <c r="P2072">
        <v>2</v>
      </c>
      <c r="Q2072" t="s">
        <v>21</v>
      </c>
      <c r="R2072">
        <v>18.564999999999898</v>
      </c>
      <c r="S2072">
        <v>23.18</v>
      </c>
      <c r="T2072" s="4">
        <v>21.079000000000001</v>
      </c>
      <c r="U2072" s="4">
        <v>24.667345999999998</v>
      </c>
      <c r="V2072" t="str">
        <f>IF(Table1[[#This Row],[ai_disruption_intensity]]&gt;70,"High",
IF(Table1[[#This Row],[ai_disruption_intensity]]&gt;40,"Medium","Low"))</f>
        <v>Low</v>
      </c>
      <c r="W2072" t="str">
        <f>IF(Table1[[#This Row],[skill_gap_index]]&gt;70,"Large Gap",
IF(Table1[[#This Row],[skill_gap_index]]&gt;40,"Medium Gap","Small Gap"))</f>
        <v>Small Gap</v>
      </c>
      <c r="X2072" s="3" t="str">
        <f>IF(Table1[[#This Row],[automation_risk_percent]]&gt;0.7,"Highly Automatable",
IF(Table1[[#This Row],[automation_risk_percent]]&gt;0.4,"Moderate Risk","Safe Job"))</f>
        <v>Safe Job</v>
      </c>
    </row>
    <row r="2073" spans="1:24" x14ac:dyDescent="0.3">
      <c r="A2073">
        <v>7381</v>
      </c>
      <c r="B2073" t="s">
        <v>22</v>
      </c>
      <c r="C2073" t="s">
        <v>27</v>
      </c>
      <c r="D2073" t="s">
        <v>35</v>
      </c>
      <c r="E2073" s="1">
        <v>2026</v>
      </c>
      <c r="F2073" s="11">
        <v>0.72160000000000002</v>
      </c>
      <c r="G2073">
        <v>61.76</v>
      </c>
      <c r="H2073">
        <v>5.19</v>
      </c>
      <c r="I2073" s="2">
        <v>68325.67</v>
      </c>
      <c r="J2073" s="2">
        <v>68765.259999999995</v>
      </c>
      <c r="K2073" s="2">
        <f>Table1[[#This Row],[Salary_after]]-Table1[[#This Row],[Salary_before]]</f>
        <v>439.58999999999651</v>
      </c>
      <c r="L2073" s="11">
        <v>6.4000000000000003E-3</v>
      </c>
      <c r="M2073" s="11">
        <v>0.2346</v>
      </c>
      <c r="N2073">
        <v>53.93</v>
      </c>
      <c r="O2073">
        <v>15.24</v>
      </c>
      <c r="P2073">
        <v>4</v>
      </c>
      <c r="Q2073" t="s">
        <v>37</v>
      </c>
      <c r="R2073">
        <v>38.674999999999997</v>
      </c>
      <c r="S2073">
        <v>0.64</v>
      </c>
      <c r="T2073" s="4">
        <v>30.613</v>
      </c>
      <c r="U2073" s="4">
        <v>10.997183999999899</v>
      </c>
      <c r="V2073" t="str">
        <f>IF(Table1[[#This Row],[ai_disruption_intensity]]&gt;70,"High",
IF(Table1[[#This Row],[ai_disruption_intensity]]&gt;40,"Medium","Low"))</f>
        <v>Low</v>
      </c>
      <c r="W2073" t="str">
        <f>IF(Table1[[#This Row],[skill_gap_index]]&gt;70,"Large Gap",
IF(Table1[[#This Row],[skill_gap_index]]&gt;40,"Medium Gap","Small Gap"))</f>
        <v>Small Gap</v>
      </c>
      <c r="X2073" s="3" t="str">
        <f>IF(Table1[[#This Row],[automation_risk_percent]]&gt;0.7,"Highly Automatable",
IF(Table1[[#This Row],[automation_risk_percent]]&gt;0.4,"Moderate Risk","Safe Job"))</f>
        <v>Highly Automatable</v>
      </c>
    </row>
    <row r="2074" spans="1:24" x14ac:dyDescent="0.3">
      <c r="A2074">
        <v>7382</v>
      </c>
      <c r="B2074" t="s">
        <v>45</v>
      </c>
      <c r="C2074" t="s">
        <v>38</v>
      </c>
      <c r="D2074" t="s">
        <v>42</v>
      </c>
      <c r="E2074" s="1">
        <v>2025</v>
      </c>
      <c r="F2074" s="11">
        <v>0.34600000000000003</v>
      </c>
      <c r="G2074">
        <v>40.950000000000003</v>
      </c>
      <c r="H2074">
        <v>34.06</v>
      </c>
      <c r="I2074" s="2">
        <v>100971.89</v>
      </c>
      <c r="J2074" s="2">
        <v>119992.66</v>
      </c>
      <c r="K2074" s="2">
        <f>Table1[[#This Row],[Salary_after]]-Table1[[#This Row],[Salary_before]]</f>
        <v>19020.770000000004</v>
      </c>
      <c r="L2074" s="11">
        <v>0.18840000000000001</v>
      </c>
      <c r="M2074" s="11">
        <v>-8.7100000000000011E-2</v>
      </c>
      <c r="N2074">
        <v>43.51</v>
      </c>
      <c r="O2074">
        <v>17.899999999999999</v>
      </c>
      <c r="P2074">
        <v>1</v>
      </c>
      <c r="Q2074" t="s">
        <v>25</v>
      </c>
      <c r="R2074">
        <v>34.33</v>
      </c>
      <c r="S2074">
        <v>18.84</v>
      </c>
      <c r="T2074" s="4">
        <v>29.71</v>
      </c>
      <c r="U2074" s="4">
        <v>6.1933999999999996</v>
      </c>
      <c r="V2074" t="str">
        <f>IF(Table1[[#This Row],[ai_disruption_intensity]]&gt;70,"High",
IF(Table1[[#This Row],[ai_disruption_intensity]]&gt;40,"Medium","Low"))</f>
        <v>Low</v>
      </c>
      <c r="W2074" t="str">
        <f>IF(Table1[[#This Row],[skill_gap_index]]&gt;70,"Large Gap",
IF(Table1[[#This Row],[skill_gap_index]]&gt;40,"Medium Gap","Small Gap"))</f>
        <v>Small Gap</v>
      </c>
      <c r="X2074" s="3" t="str">
        <f>IF(Table1[[#This Row],[automation_risk_percent]]&gt;0.7,"Highly Automatable",
IF(Table1[[#This Row],[automation_risk_percent]]&gt;0.4,"Moderate Risk","Safe Job"))</f>
        <v>Safe Job</v>
      </c>
    </row>
    <row r="2075" spans="1:24" x14ac:dyDescent="0.3">
      <c r="A2075">
        <v>7390</v>
      </c>
      <c r="B2075" t="s">
        <v>44</v>
      </c>
      <c r="C2075" t="s">
        <v>30</v>
      </c>
      <c r="D2075" t="s">
        <v>47</v>
      </c>
      <c r="E2075" s="1">
        <v>2026</v>
      </c>
      <c r="F2075" s="11">
        <v>0.39049999999999996</v>
      </c>
      <c r="G2075">
        <v>43.18</v>
      </c>
      <c r="H2075">
        <v>41.26</v>
      </c>
      <c r="I2075" s="2">
        <v>67180.34</v>
      </c>
      <c r="J2075" s="2">
        <v>74812.09</v>
      </c>
      <c r="K2075" s="2">
        <f>Table1[[#This Row],[Salary_after]]-Table1[[#This Row],[Salary_before]]</f>
        <v>7631.75</v>
      </c>
      <c r="L2075" s="11">
        <v>0.11359999999999999</v>
      </c>
      <c r="M2075" s="11">
        <v>0.10210000000000001</v>
      </c>
      <c r="N2075">
        <v>98.32</v>
      </c>
      <c r="O2075">
        <v>14.89</v>
      </c>
      <c r="P2075">
        <v>1</v>
      </c>
      <c r="Q2075" t="s">
        <v>25</v>
      </c>
      <c r="R2075">
        <v>40.155000000000001</v>
      </c>
      <c r="S2075">
        <v>11.36</v>
      </c>
      <c r="T2075" s="4">
        <v>31.405999999999999</v>
      </c>
      <c r="U2075" s="4">
        <v>5.8145449999999901</v>
      </c>
      <c r="V2075" t="str">
        <f>IF(Table1[[#This Row],[ai_disruption_intensity]]&gt;70,"High",
IF(Table1[[#This Row],[ai_disruption_intensity]]&gt;40,"Medium","Low"))</f>
        <v>Low</v>
      </c>
      <c r="W2075" t="str">
        <f>IF(Table1[[#This Row],[skill_gap_index]]&gt;70,"Large Gap",
IF(Table1[[#This Row],[skill_gap_index]]&gt;40,"Medium Gap","Small Gap"))</f>
        <v>Medium Gap</v>
      </c>
      <c r="X2075" s="3" t="str">
        <f>IF(Table1[[#This Row],[automation_risk_percent]]&gt;0.7,"Highly Automatable",
IF(Table1[[#This Row],[automation_risk_percent]]&gt;0.4,"Moderate Risk","Safe Job"))</f>
        <v>Safe Job</v>
      </c>
    </row>
    <row r="2076" spans="1:24" x14ac:dyDescent="0.3">
      <c r="A2076">
        <v>7391</v>
      </c>
      <c r="B2076" t="s">
        <v>39</v>
      </c>
      <c r="C2076" t="s">
        <v>27</v>
      </c>
      <c r="D2076" t="s">
        <v>20</v>
      </c>
      <c r="E2076" s="1">
        <v>2025</v>
      </c>
      <c r="F2076" s="11">
        <v>0.71329999999999993</v>
      </c>
      <c r="G2076">
        <v>72.02</v>
      </c>
      <c r="H2076">
        <v>10.77</v>
      </c>
      <c r="I2076" s="2">
        <v>125325.43</v>
      </c>
      <c r="J2076" s="2">
        <v>135791.62</v>
      </c>
      <c r="K2076" s="2">
        <f>Table1[[#This Row],[Salary_after]]-Table1[[#This Row],[Salary_before]]</f>
        <v>10466.190000000002</v>
      </c>
      <c r="L2076" s="11">
        <v>8.3499999999999991E-2</v>
      </c>
      <c r="M2076" s="11">
        <v>1.18E-2</v>
      </c>
      <c r="N2076">
        <v>24.2</v>
      </c>
      <c r="O2076">
        <v>71.11</v>
      </c>
      <c r="P2076">
        <v>3</v>
      </c>
      <c r="Q2076" t="s">
        <v>37</v>
      </c>
      <c r="R2076">
        <v>41.05</v>
      </c>
      <c r="S2076">
        <v>8.35</v>
      </c>
      <c r="T2076" s="4">
        <v>34.268000000000001</v>
      </c>
      <c r="U2076" s="4">
        <v>50.722762999999901</v>
      </c>
      <c r="V2076" t="str">
        <f>IF(Table1[[#This Row],[ai_disruption_intensity]]&gt;70,"High",
IF(Table1[[#This Row],[ai_disruption_intensity]]&gt;40,"Medium","Low"))</f>
        <v>Medium</v>
      </c>
      <c r="W2076" t="str">
        <f>IF(Table1[[#This Row],[skill_gap_index]]&gt;70,"Large Gap",
IF(Table1[[#This Row],[skill_gap_index]]&gt;40,"Medium Gap","Small Gap"))</f>
        <v>Small Gap</v>
      </c>
      <c r="X2076" s="3" t="str">
        <f>IF(Table1[[#This Row],[automation_risk_percent]]&gt;0.7,"Highly Automatable",
IF(Table1[[#This Row],[automation_risk_percent]]&gt;0.4,"Moderate Risk","Safe Job"))</f>
        <v>Highly Automatable</v>
      </c>
    </row>
    <row r="2077" spans="1:24" x14ac:dyDescent="0.3">
      <c r="A2077">
        <v>7392</v>
      </c>
      <c r="B2077" t="s">
        <v>29</v>
      </c>
      <c r="C2077" t="s">
        <v>23</v>
      </c>
      <c r="D2077" t="s">
        <v>24</v>
      </c>
      <c r="E2077" s="1">
        <v>2026</v>
      </c>
      <c r="F2077" s="11">
        <v>0.46060000000000001</v>
      </c>
      <c r="G2077">
        <v>41.59</v>
      </c>
      <c r="H2077">
        <v>5.03</v>
      </c>
      <c r="I2077" s="2">
        <v>87829.04</v>
      </c>
      <c r="J2077" s="2">
        <v>82384.740000000005</v>
      </c>
      <c r="K2077" s="2">
        <f>Table1[[#This Row],[Salary_after]]-Table1[[#This Row],[Salary_before]]</f>
        <v>-5444.2999999999884</v>
      </c>
      <c r="L2077" s="11">
        <v>-6.2E-2</v>
      </c>
      <c r="M2077" s="11">
        <v>3.4700000000000002E-2</v>
      </c>
      <c r="N2077">
        <v>30.4</v>
      </c>
      <c r="O2077">
        <v>48.73</v>
      </c>
      <c r="P2077">
        <v>1</v>
      </c>
      <c r="Q2077" t="s">
        <v>25</v>
      </c>
      <c r="R2077">
        <v>25.545000000000002</v>
      </c>
      <c r="S2077">
        <v>6.2</v>
      </c>
      <c r="T2077" s="4">
        <v>21.792999999999999</v>
      </c>
      <c r="U2077" s="4">
        <v>22.445038</v>
      </c>
      <c r="V2077" t="str">
        <f>IF(Table1[[#This Row],[ai_disruption_intensity]]&gt;70,"High",
IF(Table1[[#This Row],[ai_disruption_intensity]]&gt;40,"Medium","Low"))</f>
        <v>Low</v>
      </c>
      <c r="W2077" t="str">
        <f>IF(Table1[[#This Row],[skill_gap_index]]&gt;70,"Large Gap",
IF(Table1[[#This Row],[skill_gap_index]]&gt;40,"Medium Gap","Small Gap"))</f>
        <v>Small Gap</v>
      </c>
      <c r="X2077" s="3" t="str">
        <f>IF(Table1[[#This Row],[automation_risk_percent]]&gt;0.7,"Highly Automatable",
IF(Table1[[#This Row],[automation_risk_percent]]&gt;0.4,"Moderate Risk","Safe Job"))</f>
        <v>Moderate Risk</v>
      </c>
    </row>
    <row r="2078" spans="1:24" x14ac:dyDescent="0.3">
      <c r="A2078">
        <v>7397</v>
      </c>
      <c r="B2078" t="s">
        <v>44</v>
      </c>
      <c r="C2078" t="s">
        <v>19</v>
      </c>
      <c r="D2078" t="s">
        <v>35</v>
      </c>
      <c r="E2078" s="1">
        <v>2025</v>
      </c>
      <c r="F2078" s="11">
        <v>0.52510000000000001</v>
      </c>
      <c r="G2078">
        <v>51.72</v>
      </c>
      <c r="H2078">
        <v>27.96</v>
      </c>
      <c r="I2078" s="2">
        <v>33879.339999999997</v>
      </c>
      <c r="J2078" s="2">
        <v>36739.5</v>
      </c>
      <c r="K2078" s="2">
        <f>Table1[[#This Row],[Salary_after]]-Table1[[#This Row],[Salary_before]]</f>
        <v>2860.1600000000035</v>
      </c>
      <c r="L2078" s="11">
        <v>8.4399999999999989E-2</v>
      </c>
      <c r="M2078" s="11">
        <v>8.6899999999999991E-2</v>
      </c>
      <c r="N2078">
        <v>76.03</v>
      </c>
      <c r="O2078">
        <v>89.3</v>
      </c>
      <c r="P2078">
        <v>2</v>
      </c>
      <c r="Q2078" t="s">
        <v>25</v>
      </c>
      <c r="R2078">
        <v>40.234999999999999</v>
      </c>
      <c r="S2078">
        <v>8.44</v>
      </c>
      <c r="T2078" s="4">
        <v>31.923999999999999</v>
      </c>
      <c r="U2078" s="4">
        <v>46.89143</v>
      </c>
      <c r="V2078" t="str">
        <f>IF(Table1[[#This Row],[ai_disruption_intensity]]&gt;70,"High",
IF(Table1[[#This Row],[ai_disruption_intensity]]&gt;40,"Medium","Low"))</f>
        <v>Medium</v>
      </c>
      <c r="W2078" t="str">
        <f>IF(Table1[[#This Row],[skill_gap_index]]&gt;70,"Large Gap",
IF(Table1[[#This Row],[skill_gap_index]]&gt;40,"Medium Gap","Small Gap"))</f>
        <v>Small Gap</v>
      </c>
      <c r="X2078" s="3" t="str">
        <f>IF(Table1[[#This Row],[automation_risk_percent]]&gt;0.7,"Highly Automatable",
IF(Table1[[#This Row],[automation_risk_percent]]&gt;0.4,"Moderate Risk","Safe Job"))</f>
        <v>Moderate Risk</v>
      </c>
    </row>
    <row r="2079" spans="1:24" x14ac:dyDescent="0.3">
      <c r="A2079">
        <v>7401</v>
      </c>
      <c r="B2079" t="s">
        <v>44</v>
      </c>
      <c r="C2079" t="s">
        <v>19</v>
      </c>
      <c r="D2079" t="s">
        <v>20</v>
      </c>
      <c r="E2079" s="1">
        <v>2026</v>
      </c>
      <c r="F2079" s="11">
        <v>0.5927</v>
      </c>
      <c r="G2079">
        <v>62.64</v>
      </c>
      <c r="H2079">
        <v>49.32</v>
      </c>
      <c r="I2079" s="2">
        <v>127778.58</v>
      </c>
      <c r="J2079" s="2">
        <v>131253.1</v>
      </c>
      <c r="K2079" s="2">
        <f>Table1[[#This Row],[Salary_after]]-Table1[[#This Row],[Salary_before]]</f>
        <v>3474.5200000000041</v>
      </c>
      <c r="L2079" s="11">
        <v>2.7200000000000002E-2</v>
      </c>
      <c r="M2079" s="11">
        <v>0.157</v>
      </c>
      <c r="N2079">
        <v>20.58</v>
      </c>
      <c r="O2079">
        <v>40.619999999999997</v>
      </c>
      <c r="P2079">
        <v>2</v>
      </c>
      <c r="Q2079" t="s">
        <v>25</v>
      </c>
      <c r="R2079">
        <v>54.295000000000002</v>
      </c>
      <c r="S2079">
        <v>2.72</v>
      </c>
      <c r="T2079" s="4">
        <v>39.32</v>
      </c>
      <c r="U2079" s="4">
        <v>24.075474</v>
      </c>
      <c r="V2079" t="str">
        <f>IF(Table1[[#This Row],[ai_disruption_intensity]]&gt;70,"High",
IF(Table1[[#This Row],[ai_disruption_intensity]]&gt;40,"Medium","Low"))</f>
        <v>Low</v>
      </c>
      <c r="W2079" t="str">
        <f>IF(Table1[[#This Row],[skill_gap_index]]&gt;70,"Large Gap",
IF(Table1[[#This Row],[skill_gap_index]]&gt;40,"Medium Gap","Small Gap"))</f>
        <v>Medium Gap</v>
      </c>
      <c r="X2079" s="3" t="str">
        <f>IF(Table1[[#This Row],[automation_risk_percent]]&gt;0.7,"Highly Automatable",
IF(Table1[[#This Row],[automation_risk_percent]]&gt;0.4,"Moderate Risk","Safe Job"))</f>
        <v>Moderate Risk</v>
      </c>
    </row>
    <row r="2080" spans="1:24" x14ac:dyDescent="0.3">
      <c r="A2080">
        <v>7405</v>
      </c>
      <c r="B2080" t="s">
        <v>46</v>
      </c>
      <c r="C2080" t="s">
        <v>38</v>
      </c>
      <c r="D2080" t="s">
        <v>32</v>
      </c>
      <c r="E2080" s="1">
        <v>2026</v>
      </c>
      <c r="F2080" s="11">
        <v>0.48409999999999997</v>
      </c>
      <c r="G2080">
        <v>54.46</v>
      </c>
      <c r="H2080">
        <v>43.85</v>
      </c>
      <c r="I2080" s="2">
        <v>73838.070000000007</v>
      </c>
      <c r="J2080" s="2">
        <v>82613.13</v>
      </c>
      <c r="K2080" s="2">
        <f>Table1[[#This Row],[Salary_after]]-Table1[[#This Row],[Salary_before]]</f>
        <v>8775.0599999999977</v>
      </c>
      <c r="L2080" s="11">
        <v>0.1188</v>
      </c>
      <c r="M2080" s="11">
        <v>-7.690000000000001E-2</v>
      </c>
      <c r="N2080">
        <v>56.67</v>
      </c>
      <c r="O2080">
        <v>47.23</v>
      </c>
      <c r="P2080">
        <v>3</v>
      </c>
      <c r="Q2080" t="s">
        <v>25</v>
      </c>
      <c r="R2080">
        <v>46.129999999999903</v>
      </c>
      <c r="S2080">
        <v>11.88</v>
      </c>
      <c r="T2080" s="4">
        <v>36.082999999999998</v>
      </c>
      <c r="U2080" s="4">
        <v>22.864042999999899</v>
      </c>
      <c r="V2080" t="str">
        <f>IF(Table1[[#This Row],[ai_disruption_intensity]]&gt;70,"High",
IF(Table1[[#This Row],[ai_disruption_intensity]]&gt;40,"Medium","Low"))</f>
        <v>Low</v>
      </c>
      <c r="W2080" t="str">
        <f>IF(Table1[[#This Row],[skill_gap_index]]&gt;70,"Large Gap",
IF(Table1[[#This Row],[skill_gap_index]]&gt;40,"Medium Gap","Small Gap"))</f>
        <v>Medium Gap</v>
      </c>
      <c r="X2080" s="3" t="str">
        <f>IF(Table1[[#This Row],[automation_risk_percent]]&gt;0.7,"Highly Automatable",
IF(Table1[[#This Row],[automation_risk_percent]]&gt;0.4,"Moderate Risk","Safe Job"))</f>
        <v>Moderate Risk</v>
      </c>
    </row>
    <row r="2081" spans="1:24" x14ac:dyDescent="0.3">
      <c r="A2081">
        <v>7407</v>
      </c>
      <c r="B2081" t="s">
        <v>18</v>
      </c>
      <c r="C2081" t="s">
        <v>38</v>
      </c>
      <c r="D2081" t="s">
        <v>24</v>
      </c>
      <c r="E2081" s="1">
        <v>2025</v>
      </c>
      <c r="F2081" s="11">
        <v>0.71329999999999993</v>
      </c>
      <c r="G2081">
        <v>70.97</v>
      </c>
      <c r="H2081">
        <v>81.53</v>
      </c>
      <c r="I2081" s="2">
        <v>55890.35</v>
      </c>
      <c r="J2081" s="2">
        <v>53628.85</v>
      </c>
      <c r="K2081" s="2">
        <f>Table1[[#This Row],[Salary_after]]-Table1[[#This Row],[Salary_before]]</f>
        <v>-2261.5</v>
      </c>
      <c r="L2081" s="11">
        <v>-4.0500000000000001E-2</v>
      </c>
      <c r="M2081" s="11">
        <v>0.13009999999999999</v>
      </c>
      <c r="N2081">
        <v>13.61</v>
      </c>
      <c r="O2081">
        <v>24.1</v>
      </c>
      <c r="P2081">
        <v>3</v>
      </c>
      <c r="Q2081" t="s">
        <v>37</v>
      </c>
      <c r="R2081">
        <v>76.430000000000007</v>
      </c>
      <c r="S2081">
        <v>4.05</v>
      </c>
      <c r="T2081" s="4">
        <v>54.206000000000003</v>
      </c>
      <c r="U2081" s="4">
        <v>17.190529999999999</v>
      </c>
      <c r="V2081" t="str">
        <f>IF(Table1[[#This Row],[ai_disruption_intensity]]&gt;70,"High",
IF(Table1[[#This Row],[ai_disruption_intensity]]&gt;40,"Medium","Low"))</f>
        <v>Low</v>
      </c>
      <c r="W2081" t="str">
        <f>IF(Table1[[#This Row],[skill_gap_index]]&gt;70,"Large Gap",
IF(Table1[[#This Row],[skill_gap_index]]&gt;40,"Medium Gap","Small Gap"))</f>
        <v>Large Gap</v>
      </c>
      <c r="X2081" s="3" t="str">
        <f>IF(Table1[[#This Row],[automation_risk_percent]]&gt;0.7,"Highly Automatable",
IF(Table1[[#This Row],[automation_risk_percent]]&gt;0.4,"Moderate Risk","Safe Job"))</f>
        <v>Highly Automatable</v>
      </c>
    </row>
    <row r="2082" spans="1:24" x14ac:dyDescent="0.3">
      <c r="A2082">
        <v>7409</v>
      </c>
      <c r="B2082" t="s">
        <v>44</v>
      </c>
      <c r="C2082" t="s">
        <v>38</v>
      </c>
      <c r="D2082" t="s">
        <v>24</v>
      </c>
      <c r="E2082" s="1">
        <v>2026</v>
      </c>
      <c r="F2082" s="11">
        <v>0.13880000000000001</v>
      </c>
      <c r="G2082">
        <v>13.72</v>
      </c>
      <c r="H2082">
        <v>28.55</v>
      </c>
      <c r="I2082" s="2">
        <v>117165.41</v>
      </c>
      <c r="J2082" s="2">
        <v>120443.28</v>
      </c>
      <c r="K2082" s="2">
        <f>Table1[[#This Row],[Salary_after]]-Table1[[#This Row],[Salary_before]]</f>
        <v>3277.8699999999953</v>
      </c>
      <c r="L2082" s="11">
        <v>2.7999999999999997E-2</v>
      </c>
      <c r="M2082" s="11">
        <v>-3.49E-2</v>
      </c>
      <c r="N2082">
        <v>95.33</v>
      </c>
      <c r="O2082">
        <v>45.39</v>
      </c>
      <c r="P2082">
        <v>3</v>
      </c>
      <c r="Q2082" t="s">
        <v>21</v>
      </c>
      <c r="R2082">
        <v>21.215</v>
      </c>
      <c r="S2082">
        <v>2.8</v>
      </c>
      <c r="T2082" s="4">
        <v>14.957000000000001</v>
      </c>
      <c r="U2082" s="4">
        <v>6.3001319999999996</v>
      </c>
      <c r="V2082" t="str">
        <f>IF(Table1[[#This Row],[ai_disruption_intensity]]&gt;70,"High",
IF(Table1[[#This Row],[ai_disruption_intensity]]&gt;40,"Medium","Low"))</f>
        <v>Low</v>
      </c>
      <c r="W2082" t="str">
        <f>IF(Table1[[#This Row],[skill_gap_index]]&gt;70,"Large Gap",
IF(Table1[[#This Row],[skill_gap_index]]&gt;40,"Medium Gap","Small Gap"))</f>
        <v>Small Gap</v>
      </c>
      <c r="X2082" s="3" t="str">
        <f>IF(Table1[[#This Row],[automation_risk_percent]]&gt;0.7,"Highly Automatable",
IF(Table1[[#This Row],[automation_risk_percent]]&gt;0.4,"Moderate Risk","Safe Job"))</f>
        <v>Safe Job</v>
      </c>
    </row>
    <row r="2083" spans="1:24" x14ac:dyDescent="0.3">
      <c r="A2083">
        <v>7410</v>
      </c>
      <c r="B2083" t="s">
        <v>45</v>
      </c>
      <c r="C2083" t="s">
        <v>27</v>
      </c>
      <c r="D2083" t="s">
        <v>24</v>
      </c>
      <c r="E2083" s="1">
        <v>2025</v>
      </c>
      <c r="F2083" s="11">
        <v>0.41799999999999998</v>
      </c>
      <c r="G2083">
        <v>41.72</v>
      </c>
      <c r="H2083">
        <v>41.57</v>
      </c>
      <c r="I2083" s="2">
        <v>83697.11</v>
      </c>
      <c r="J2083" s="2">
        <v>84265.5</v>
      </c>
      <c r="K2083" s="2">
        <f>Table1[[#This Row],[Salary_after]]-Table1[[#This Row],[Salary_before]]</f>
        <v>568.38999999999942</v>
      </c>
      <c r="L2083" s="11">
        <v>6.8000000000000005E-3</v>
      </c>
      <c r="M2083" s="11">
        <v>4.9500000000000002E-2</v>
      </c>
      <c r="N2083">
        <v>20.48</v>
      </c>
      <c r="O2083">
        <v>28.53</v>
      </c>
      <c r="P2083">
        <v>4</v>
      </c>
      <c r="Q2083" t="s">
        <v>25</v>
      </c>
      <c r="R2083">
        <v>41.685000000000002</v>
      </c>
      <c r="S2083">
        <v>0.68</v>
      </c>
      <c r="T2083" s="4">
        <v>29.395</v>
      </c>
      <c r="U2083" s="4">
        <v>11.9255399999999</v>
      </c>
      <c r="V2083" t="str">
        <f>IF(Table1[[#This Row],[ai_disruption_intensity]]&gt;70,"High",
IF(Table1[[#This Row],[ai_disruption_intensity]]&gt;40,"Medium","Low"))</f>
        <v>Low</v>
      </c>
      <c r="W2083" t="str">
        <f>IF(Table1[[#This Row],[skill_gap_index]]&gt;70,"Large Gap",
IF(Table1[[#This Row],[skill_gap_index]]&gt;40,"Medium Gap","Small Gap"))</f>
        <v>Medium Gap</v>
      </c>
      <c r="X2083" s="3" t="str">
        <f>IF(Table1[[#This Row],[automation_risk_percent]]&gt;0.7,"Highly Automatable",
IF(Table1[[#This Row],[automation_risk_percent]]&gt;0.4,"Moderate Risk","Safe Job"))</f>
        <v>Moderate Risk</v>
      </c>
    </row>
    <row r="2084" spans="1:24" x14ac:dyDescent="0.3">
      <c r="A2084">
        <v>7413</v>
      </c>
      <c r="B2084" t="s">
        <v>26</v>
      </c>
      <c r="C2084" t="s">
        <v>40</v>
      </c>
      <c r="D2084" t="s">
        <v>28</v>
      </c>
      <c r="E2084" s="1">
        <v>2025</v>
      </c>
      <c r="F2084" s="11">
        <v>0.33549999999999996</v>
      </c>
      <c r="G2084">
        <v>33.94</v>
      </c>
      <c r="H2084">
        <v>18.2</v>
      </c>
      <c r="I2084" s="2">
        <v>91474.95</v>
      </c>
      <c r="J2084" s="2">
        <v>105751.6</v>
      </c>
      <c r="K2084" s="2">
        <f>Table1[[#This Row],[Salary_after]]-Table1[[#This Row],[Salary_before]]</f>
        <v>14276.650000000009</v>
      </c>
      <c r="L2084" s="11">
        <v>0.15609999999999999</v>
      </c>
      <c r="M2084" s="11">
        <v>7.46E-2</v>
      </c>
      <c r="N2084">
        <v>41.31</v>
      </c>
      <c r="O2084">
        <v>9.2200000000000006</v>
      </c>
      <c r="P2084">
        <v>5</v>
      </c>
      <c r="Q2084" t="s">
        <v>25</v>
      </c>
      <c r="R2084">
        <v>25.875</v>
      </c>
      <c r="S2084">
        <v>15.61</v>
      </c>
      <c r="T2084" s="4">
        <v>23.562999999999999</v>
      </c>
      <c r="U2084" s="4">
        <v>3.0933099999999998</v>
      </c>
      <c r="V2084" t="str">
        <f>IF(Table1[[#This Row],[ai_disruption_intensity]]&gt;70,"High",
IF(Table1[[#This Row],[ai_disruption_intensity]]&gt;40,"Medium","Low"))</f>
        <v>Low</v>
      </c>
      <c r="W2084" t="str">
        <f>IF(Table1[[#This Row],[skill_gap_index]]&gt;70,"Large Gap",
IF(Table1[[#This Row],[skill_gap_index]]&gt;40,"Medium Gap","Small Gap"))</f>
        <v>Small Gap</v>
      </c>
      <c r="X2084" s="3" t="str">
        <f>IF(Table1[[#This Row],[automation_risk_percent]]&gt;0.7,"Highly Automatable",
IF(Table1[[#This Row],[automation_risk_percent]]&gt;0.4,"Moderate Risk","Safe Job"))</f>
        <v>Safe Job</v>
      </c>
    </row>
    <row r="2085" spans="1:24" x14ac:dyDescent="0.3">
      <c r="A2085">
        <v>7418</v>
      </c>
      <c r="B2085" t="s">
        <v>43</v>
      </c>
      <c r="C2085" t="s">
        <v>38</v>
      </c>
      <c r="D2085" t="s">
        <v>36</v>
      </c>
      <c r="E2085" s="1">
        <v>2025</v>
      </c>
      <c r="F2085" s="11">
        <v>0.67049999999999998</v>
      </c>
      <c r="G2085">
        <v>56.4</v>
      </c>
      <c r="H2085">
        <v>44.02</v>
      </c>
      <c r="I2085" s="2">
        <v>149385.39000000001</v>
      </c>
      <c r="J2085" s="2">
        <v>123330.22</v>
      </c>
      <c r="K2085" s="2">
        <f>Table1[[#This Row],[Salary_after]]-Table1[[#This Row],[Salary_before]]</f>
        <v>-26055.170000000013</v>
      </c>
      <c r="L2085" s="11">
        <v>-0.1744</v>
      </c>
      <c r="M2085" s="11">
        <v>-8.8100000000000012E-2</v>
      </c>
      <c r="N2085">
        <v>36.47</v>
      </c>
      <c r="O2085">
        <v>48.65</v>
      </c>
      <c r="P2085">
        <v>1</v>
      </c>
      <c r="Q2085" t="s">
        <v>37</v>
      </c>
      <c r="R2085">
        <v>55.534999999999997</v>
      </c>
      <c r="S2085">
        <v>17.440000000000001</v>
      </c>
      <c r="T2085" s="4">
        <v>45.258000000000003</v>
      </c>
      <c r="U2085" s="4">
        <v>32.619824999999999</v>
      </c>
      <c r="V2085" t="str">
        <f>IF(Table1[[#This Row],[ai_disruption_intensity]]&gt;70,"High",
IF(Table1[[#This Row],[ai_disruption_intensity]]&gt;40,"Medium","Low"))</f>
        <v>Low</v>
      </c>
      <c r="W2085" t="str">
        <f>IF(Table1[[#This Row],[skill_gap_index]]&gt;70,"Large Gap",
IF(Table1[[#This Row],[skill_gap_index]]&gt;40,"Medium Gap","Small Gap"))</f>
        <v>Medium Gap</v>
      </c>
      <c r="X2085" s="3" t="str">
        <f>IF(Table1[[#This Row],[automation_risk_percent]]&gt;0.7,"Highly Automatable",
IF(Table1[[#This Row],[automation_risk_percent]]&gt;0.4,"Moderate Risk","Safe Job"))</f>
        <v>Moderate Risk</v>
      </c>
    </row>
    <row r="2086" spans="1:24" x14ac:dyDescent="0.3">
      <c r="A2086">
        <v>7424</v>
      </c>
      <c r="B2086" t="s">
        <v>43</v>
      </c>
      <c r="C2086" t="s">
        <v>27</v>
      </c>
      <c r="D2086" t="s">
        <v>31</v>
      </c>
      <c r="E2086" s="1">
        <v>2025</v>
      </c>
      <c r="F2086" s="11">
        <v>0.31379999999999997</v>
      </c>
      <c r="G2086">
        <v>25.24</v>
      </c>
      <c r="H2086">
        <v>16.55</v>
      </c>
      <c r="I2086" s="2">
        <v>116967.75</v>
      </c>
      <c r="J2086" s="2">
        <v>117063.81</v>
      </c>
      <c r="K2086" s="2">
        <f>Table1[[#This Row],[Salary_after]]-Table1[[#This Row],[Salary_before]]</f>
        <v>96.059999999997672</v>
      </c>
      <c r="L2086" s="11">
        <v>8.0000000000000004E-4</v>
      </c>
      <c r="M2086" s="11">
        <v>3.2300000000000002E-2</v>
      </c>
      <c r="N2086">
        <v>47.26</v>
      </c>
      <c r="O2086">
        <v>12.29</v>
      </c>
      <c r="P2086">
        <v>1</v>
      </c>
      <c r="Q2086" t="s">
        <v>25</v>
      </c>
      <c r="R2086">
        <v>23.965</v>
      </c>
      <c r="S2086">
        <v>0.08</v>
      </c>
      <c r="T2086" s="4">
        <v>17.541</v>
      </c>
      <c r="U2086" s="4">
        <v>3.8566019999999899</v>
      </c>
      <c r="V2086" t="str">
        <f>IF(Table1[[#This Row],[ai_disruption_intensity]]&gt;70,"High",
IF(Table1[[#This Row],[ai_disruption_intensity]]&gt;40,"Medium","Low"))</f>
        <v>Low</v>
      </c>
      <c r="W2086" t="str">
        <f>IF(Table1[[#This Row],[skill_gap_index]]&gt;70,"Large Gap",
IF(Table1[[#This Row],[skill_gap_index]]&gt;40,"Medium Gap","Small Gap"))</f>
        <v>Small Gap</v>
      </c>
      <c r="X2086" s="3" t="str">
        <f>IF(Table1[[#This Row],[automation_risk_percent]]&gt;0.7,"Highly Automatable",
IF(Table1[[#This Row],[automation_risk_percent]]&gt;0.4,"Moderate Risk","Safe Job"))</f>
        <v>Safe Job</v>
      </c>
    </row>
    <row r="2087" spans="1:24" x14ac:dyDescent="0.3">
      <c r="A2087">
        <v>7430</v>
      </c>
      <c r="B2087" t="s">
        <v>18</v>
      </c>
      <c r="C2087" t="s">
        <v>40</v>
      </c>
      <c r="D2087" t="s">
        <v>31</v>
      </c>
      <c r="E2087" s="1">
        <v>2026</v>
      </c>
      <c r="F2087" s="11">
        <v>0.49640000000000001</v>
      </c>
      <c r="G2087">
        <v>53.85</v>
      </c>
      <c r="H2087">
        <v>77.010000000000005</v>
      </c>
      <c r="I2087" s="2">
        <v>62336.19</v>
      </c>
      <c r="J2087" s="2">
        <v>62022.3</v>
      </c>
      <c r="K2087" s="2">
        <f>Table1[[#This Row],[Salary_after]]-Table1[[#This Row],[Salary_before]]</f>
        <v>-313.88999999999942</v>
      </c>
      <c r="L2087" s="11">
        <v>-5.0000000000000001E-3</v>
      </c>
      <c r="M2087" s="11">
        <v>4.2599999999999999E-2</v>
      </c>
      <c r="N2087">
        <v>63.92</v>
      </c>
      <c r="O2087">
        <v>4.04</v>
      </c>
      <c r="P2087">
        <v>1</v>
      </c>
      <c r="Q2087" t="s">
        <v>25</v>
      </c>
      <c r="R2087">
        <v>63.325000000000003</v>
      </c>
      <c r="S2087">
        <v>0.5</v>
      </c>
      <c r="T2087" s="4">
        <v>43.109000000000002</v>
      </c>
      <c r="U2087" s="4">
        <v>2.0054560000000001</v>
      </c>
      <c r="V2087" t="str">
        <f>IF(Table1[[#This Row],[ai_disruption_intensity]]&gt;70,"High",
IF(Table1[[#This Row],[ai_disruption_intensity]]&gt;40,"Medium","Low"))</f>
        <v>Low</v>
      </c>
      <c r="W2087" t="str">
        <f>IF(Table1[[#This Row],[skill_gap_index]]&gt;70,"Large Gap",
IF(Table1[[#This Row],[skill_gap_index]]&gt;40,"Medium Gap","Small Gap"))</f>
        <v>Large Gap</v>
      </c>
      <c r="X2087" s="3" t="str">
        <f>IF(Table1[[#This Row],[automation_risk_percent]]&gt;0.7,"Highly Automatable",
IF(Table1[[#This Row],[automation_risk_percent]]&gt;0.4,"Moderate Risk","Safe Job"))</f>
        <v>Moderate Risk</v>
      </c>
    </row>
    <row r="2088" spans="1:24" x14ac:dyDescent="0.3">
      <c r="A2088">
        <v>7431</v>
      </c>
      <c r="B2088" t="s">
        <v>39</v>
      </c>
      <c r="C2088" t="s">
        <v>34</v>
      </c>
      <c r="D2088" t="s">
        <v>24</v>
      </c>
      <c r="E2088" s="1">
        <v>2026</v>
      </c>
      <c r="F2088" s="11">
        <v>0.2112</v>
      </c>
      <c r="G2088">
        <v>25.31</v>
      </c>
      <c r="H2088">
        <v>38.229999999999997</v>
      </c>
      <c r="I2088" s="2">
        <v>89583.15</v>
      </c>
      <c r="J2088" s="2">
        <v>89814.86</v>
      </c>
      <c r="K2088" s="2">
        <f>Table1[[#This Row],[Salary_after]]-Table1[[#This Row],[Salary_before]]</f>
        <v>231.7100000000064</v>
      </c>
      <c r="L2088" s="11">
        <v>2.5999999999999999E-3</v>
      </c>
      <c r="M2088" s="11">
        <v>3.6200000000000003E-2</v>
      </c>
      <c r="N2088">
        <v>39.28</v>
      </c>
      <c r="O2088">
        <v>53.02</v>
      </c>
      <c r="P2088">
        <v>2</v>
      </c>
      <c r="Q2088" t="s">
        <v>21</v>
      </c>
      <c r="R2088">
        <v>29.674999999999901</v>
      </c>
      <c r="S2088">
        <v>0.26</v>
      </c>
      <c r="T2088" s="4">
        <v>19.995000000000001</v>
      </c>
      <c r="U2088" s="4">
        <v>11.197824000000001</v>
      </c>
      <c r="V2088" t="str">
        <f>IF(Table1[[#This Row],[ai_disruption_intensity]]&gt;70,"High",
IF(Table1[[#This Row],[ai_disruption_intensity]]&gt;40,"Medium","Low"))</f>
        <v>Low</v>
      </c>
      <c r="W2088" t="str">
        <f>IF(Table1[[#This Row],[skill_gap_index]]&gt;70,"Large Gap",
IF(Table1[[#This Row],[skill_gap_index]]&gt;40,"Medium Gap","Small Gap"))</f>
        <v>Small Gap</v>
      </c>
      <c r="X2088" s="3" t="str">
        <f>IF(Table1[[#This Row],[automation_risk_percent]]&gt;0.7,"Highly Automatable",
IF(Table1[[#This Row],[automation_risk_percent]]&gt;0.4,"Moderate Risk","Safe Job"))</f>
        <v>Safe Job</v>
      </c>
    </row>
    <row r="2089" spans="1:24" x14ac:dyDescent="0.3">
      <c r="A2089">
        <v>7435</v>
      </c>
      <c r="B2089" t="s">
        <v>22</v>
      </c>
      <c r="C2089" t="s">
        <v>40</v>
      </c>
      <c r="D2089" t="s">
        <v>47</v>
      </c>
      <c r="E2089" s="1">
        <v>2025</v>
      </c>
      <c r="F2089" s="11">
        <v>0.18140000000000001</v>
      </c>
      <c r="G2089">
        <v>20.16</v>
      </c>
      <c r="H2089">
        <v>52.06</v>
      </c>
      <c r="I2089" s="2">
        <v>127202.99</v>
      </c>
      <c r="J2089" s="2">
        <v>125168.13</v>
      </c>
      <c r="K2089" s="2">
        <f>Table1[[#This Row],[Salary_after]]-Table1[[#This Row],[Salary_before]]</f>
        <v>-2034.8600000000006</v>
      </c>
      <c r="L2089" s="11">
        <v>-1.6E-2</v>
      </c>
      <c r="M2089" s="11">
        <v>0.19159999999999999</v>
      </c>
      <c r="N2089">
        <v>54.72</v>
      </c>
      <c r="O2089">
        <v>2.83</v>
      </c>
      <c r="P2089">
        <v>5</v>
      </c>
      <c r="Q2089" t="s">
        <v>21</v>
      </c>
      <c r="R2089">
        <v>35.1</v>
      </c>
      <c r="S2089">
        <v>1.6</v>
      </c>
      <c r="T2089" s="4">
        <v>23.353999999999999</v>
      </c>
      <c r="U2089" s="4">
        <v>0.51336199999999999</v>
      </c>
      <c r="V2089" t="str">
        <f>IF(Table1[[#This Row],[ai_disruption_intensity]]&gt;70,"High",
IF(Table1[[#This Row],[ai_disruption_intensity]]&gt;40,"Medium","Low"))</f>
        <v>Low</v>
      </c>
      <c r="W2089" t="str">
        <f>IF(Table1[[#This Row],[skill_gap_index]]&gt;70,"Large Gap",
IF(Table1[[#This Row],[skill_gap_index]]&gt;40,"Medium Gap","Small Gap"))</f>
        <v>Medium Gap</v>
      </c>
      <c r="X2089" s="3" t="str">
        <f>IF(Table1[[#This Row],[automation_risk_percent]]&gt;0.7,"Highly Automatable",
IF(Table1[[#This Row],[automation_risk_percent]]&gt;0.4,"Moderate Risk","Safe Job"))</f>
        <v>Safe Job</v>
      </c>
    </row>
    <row r="2090" spans="1:24" x14ac:dyDescent="0.3">
      <c r="A2090">
        <v>7436</v>
      </c>
      <c r="B2090" t="s">
        <v>39</v>
      </c>
      <c r="C2090" t="s">
        <v>38</v>
      </c>
      <c r="D2090" t="s">
        <v>31</v>
      </c>
      <c r="E2090" s="1">
        <v>2025</v>
      </c>
      <c r="F2090" s="11">
        <v>0.46649999999999997</v>
      </c>
      <c r="G2090">
        <v>49.96</v>
      </c>
      <c r="H2090">
        <v>23.37</v>
      </c>
      <c r="I2090" s="2">
        <v>148383.26</v>
      </c>
      <c r="J2090" s="2">
        <v>165078.43</v>
      </c>
      <c r="K2090" s="2">
        <f>Table1[[#This Row],[Salary_after]]-Table1[[#This Row],[Salary_before]]</f>
        <v>16695.169999999984</v>
      </c>
      <c r="L2090" s="11">
        <v>0.1125</v>
      </c>
      <c r="M2090" s="11">
        <v>0.20039999999999999</v>
      </c>
      <c r="N2090">
        <v>83.99</v>
      </c>
      <c r="O2090">
        <v>30.44</v>
      </c>
      <c r="P2090">
        <v>5</v>
      </c>
      <c r="Q2090" t="s">
        <v>25</v>
      </c>
      <c r="R2090">
        <v>35.01</v>
      </c>
      <c r="S2090">
        <v>11.25</v>
      </c>
      <c r="T2090" s="4">
        <v>29.045999999999999</v>
      </c>
      <c r="U2090" s="4">
        <v>14.20026</v>
      </c>
      <c r="V2090" t="str">
        <f>IF(Table1[[#This Row],[ai_disruption_intensity]]&gt;70,"High",
IF(Table1[[#This Row],[ai_disruption_intensity]]&gt;40,"Medium","Low"))</f>
        <v>Low</v>
      </c>
      <c r="W2090" t="str">
        <f>IF(Table1[[#This Row],[skill_gap_index]]&gt;70,"Large Gap",
IF(Table1[[#This Row],[skill_gap_index]]&gt;40,"Medium Gap","Small Gap"))</f>
        <v>Small Gap</v>
      </c>
      <c r="X2090" s="3" t="str">
        <f>IF(Table1[[#This Row],[automation_risk_percent]]&gt;0.7,"Highly Automatable",
IF(Table1[[#This Row],[automation_risk_percent]]&gt;0.4,"Moderate Risk","Safe Job"))</f>
        <v>Moderate Risk</v>
      </c>
    </row>
    <row r="2091" spans="1:24" x14ac:dyDescent="0.3">
      <c r="A2091">
        <v>7445</v>
      </c>
      <c r="B2091" t="s">
        <v>29</v>
      </c>
      <c r="C2091" t="s">
        <v>30</v>
      </c>
      <c r="D2091" t="s">
        <v>35</v>
      </c>
      <c r="E2091" s="1">
        <v>2025</v>
      </c>
      <c r="F2091" s="11">
        <v>0.36909999999999998</v>
      </c>
      <c r="G2091">
        <v>30.31</v>
      </c>
      <c r="H2091">
        <v>50.12</v>
      </c>
      <c r="I2091" s="2">
        <v>145018.71</v>
      </c>
      <c r="J2091" s="2">
        <v>165586.6</v>
      </c>
      <c r="K2091" s="2">
        <f>Table1[[#This Row],[Salary_after]]-Table1[[#This Row],[Salary_before]]</f>
        <v>20567.890000000014</v>
      </c>
      <c r="L2091" s="11">
        <v>0.14180000000000001</v>
      </c>
      <c r="M2091" s="11">
        <v>0.26100000000000001</v>
      </c>
      <c r="N2091">
        <v>84.4</v>
      </c>
      <c r="O2091">
        <v>92.89</v>
      </c>
      <c r="P2091">
        <v>5</v>
      </c>
      <c r="Q2091" t="s">
        <v>25</v>
      </c>
      <c r="R2091">
        <v>43.515000000000001</v>
      </c>
      <c r="S2091">
        <v>14.18</v>
      </c>
      <c r="T2091" s="4">
        <v>34.053999999999903</v>
      </c>
      <c r="U2091" s="4">
        <v>34.285698999999902</v>
      </c>
      <c r="V2091" t="str">
        <f>IF(Table1[[#This Row],[ai_disruption_intensity]]&gt;70,"High",
IF(Table1[[#This Row],[ai_disruption_intensity]]&gt;40,"Medium","Low"))</f>
        <v>Low</v>
      </c>
      <c r="W2091" t="str">
        <f>IF(Table1[[#This Row],[skill_gap_index]]&gt;70,"Large Gap",
IF(Table1[[#This Row],[skill_gap_index]]&gt;40,"Medium Gap","Small Gap"))</f>
        <v>Medium Gap</v>
      </c>
      <c r="X2091" s="3" t="str">
        <f>IF(Table1[[#This Row],[automation_risk_percent]]&gt;0.7,"Highly Automatable",
IF(Table1[[#This Row],[automation_risk_percent]]&gt;0.4,"Moderate Risk","Safe Job"))</f>
        <v>Safe Job</v>
      </c>
    </row>
    <row r="2092" spans="1:24" x14ac:dyDescent="0.3">
      <c r="A2092">
        <v>7451</v>
      </c>
      <c r="B2092" t="s">
        <v>44</v>
      </c>
      <c r="C2092" t="s">
        <v>30</v>
      </c>
      <c r="D2092" t="s">
        <v>32</v>
      </c>
      <c r="E2092" s="1">
        <v>2026</v>
      </c>
      <c r="F2092" s="11">
        <v>0.6493000000000001</v>
      </c>
      <c r="G2092">
        <v>69.95</v>
      </c>
      <c r="H2092">
        <v>74.59</v>
      </c>
      <c r="I2092" s="2">
        <v>38838.769999999997</v>
      </c>
      <c r="J2092" s="2">
        <v>44609.17</v>
      </c>
      <c r="K2092" s="2">
        <f>Table1[[#This Row],[Salary_after]]-Table1[[#This Row],[Salary_before]]</f>
        <v>5770.4000000000015</v>
      </c>
      <c r="L2092" s="11">
        <v>0.14859999999999998</v>
      </c>
      <c r="M2092" s="11">
        <v>0.1027</v>
      </c>
      <c r="N2092">
        <v>60.91</v>
      </c>
      <c r="O2092">
        <v>1.18</v>
      </c>
      <c r="P2092">
        <v>5</v>
      </c>
      <c r="Q2092" t="s">
        <v>37</v>
      </c>
      <c r="R2092">
        <v>69.760000000000005</v>
      </c>
      <c r="S2092">
        <v>14.86</v>
      </c>
      <c r="T2092" s="4">
        <v>52.807000000000002</v>
      </c>
      <c r="U2092" s="4">
        <v>0.76617400000000002</v>
      </c>
      <c r="V2092" t="str">
        <f>IF(Table1[[#This Row],[ai_disruption_intensity]]&gt;70,"High",
IF(Table1[[#This Row],[ai_disruption_intensity]]&gt;40,"Medium","Low"))</f>
        <v>Low</v>
      </c>
      <c r="W2092" t="str">
        <f>IF(Table1[[#This Row],[skill_gap_index]]&gt;70,"Large Gap",
IF(Table1[[#This Row],[skill_gap_index]]&gt;40,"Medium Gap","Small Gap"))</f>
        <v>Large Gap</v>
      </c>
      <c r="X2092" s="3" t="str">
        <f>IF(Table1[[#This Row],[automation_risk_percent]]&gt;0.7,"Highly Automatable",
IF(Table1[[#This Row],[automation_risk_percent]]&gt;0.4,"Moderate Risk","Safe Job"))</f>
        <v>Moderate Risk</v>
      </c>
    </row>
    <row r="2093" spans="1:24" x14ac:dyDescent="0.3">
      <c r="A2093">
        <v>7452</v>
      </c>
      <c r="B2093" t="s">
        <v>44</v>
      </c>
      <c r="C2093" t="s">
        <v>30</v>
      </c>
      <c r="D2093" t="s">
        <v>24</v>
      </c>
      <c r="E2093" s="1">
        <v>2026</v>
      </c>
      <c r="F2093" s="11">
        <v>0.24780000000000002</v>
      </c>
      <c r="G2093">
        <v>29.37</v>
      </c>
      <c r="H2093">
        <v>70.47</v>
      </c>
      <c r="I2093" s="2">
        <v>112620.59</v>
      </c>
      <c r="J2093" s="2">
        <v>103136.46</v>
      </c>
      <c r="K2093" s="2">
        <f>Table1[[#This Row],[Salary_after]]-Table1[[#This Row],[Salary_before]]</f>
        <v>-9484.1299999999901</v>
      </c>
      <c r="L2093" s="11">
        <v>-8.4199999999999997E-2</v>
      </c>
      <c r="M2093" s="11">
        <v>8.6300000000000002E-2</v>
      </c>
      <c r="N2093">
        <v>10.37</v>
      </c>
      <c r="O2093">
        <v>44.07</v>
      </c>
      <c r="P2093">
        <v>5</v>
      </c>
      <c r="Q2093" t="s">
        <v>21</v>
      </c>
      <c r="R2093">
        <v>47.625</v>
      </c>
      <c r="S2093">
        <v>8.42</v>
      </c>
      <c r="T2093" s="4">
        <v>33.578999999999901</v>
      </c>
      <c r="U2093" s="4">
        <v>10.920546</v>
      </c>
      <c r="V2093" t="str">
        <f>IF(Table1[[#This Row],[ai_disruption_intensity]]&gt;70,"High",
IF(Table1[[#This Row],[ai_disruption_intensity]]&gt;40,"Medium","Low"))</f>
        <v>Low</v>
      </c>
      <c r="W2093" t="str">
        <f>IF(Table1[[#This Row],[skill_gap_index]]&gt;70,"Large Gap",
IF(Table1[[#This Row],[skill_gap_index]]&gt;40,"Medium Gap","Small Gap"))</f>
        <v>Large Gap</v>
      </c>
      <c r="X2093" s="3" t="str">
        <f>IF(Table1[[#This Row],[automation_risk_percent]]&gt;0.7,"Highly Automatable",
IF(Table1[[#This Row],[automation_risk_percent]]&gt;0.4,"Moderate Risk","Safe Job"))</f>
        <v>Safe Job</v>
      </c>
    </row>
    <row r="2094" spans="1:24" x14ac:dyDescent="0.3">
      <c r="A2094">
        <v>7455</v>
      </c>
      <c r="B2094" t="s">
        <v>18</v>
      </c>
      <c r="C2094" t="s">
        <v>34</v>
      </c>
      <c r="D2094" t="s">
        <v>24</v>
      </c>
      <c r="E2094" s="1">
        <v>2026</v>
      </c>
      <c r="F2094" s="11">
        <v>0.17050000000000001</v>
      </c>
      <c r="G2094">
        <v>20.079999999999998</v>
      </c>
      <c r="H2094">
        <v>30.86</v>
      </c>
      <c r="I2094" s="2">
        <v>31744.28</v>
      </c>
      <c r="J2094" s="2">
        <v>31257.56</v>
      </c>
      <c r="K2094" s="2">
        <f>Table1[[#This Row],[Salary_after]]-Table1[[#This Row],[Salary_before]]</f>
        <v>-486.71999999999753</v>
      </c>
      <c r="L2094" s="11">
        <v>-1.5300000000000001E-2</v>
      </c>
      <c r="M2094" s="11">
        <v>4.1200000000000001E-2</v>
      </c>
      <c r="N2094">
        <v>60.97</v>
      </c>
      <c r="O2094">
        <v>31.63</v>
      </c>
      <c r="P2094">
        <v>1</v>
      </c>
      <c r="Q2094" t="s">
        <v>21</v>
      </c>
      <c r="R2094">
        <v>23.954999999999998</v>
      </c>
      <c r="S2094">
        <v>1.53</v>
      </c>
      <c r="T2094" s="4">
        <v>16.536999999999999</v>
      </c>
      <c r="U2094" s="4">
        <v>5.3929150000000003</v>
      </c>
      <c r="V2094" t="str">
        <f>IF(Table1[[#This Row],[ai_disruption_intensity]]&gt;70,"High",
IF(Table1[[#This Row],[ai_disruption_intensity]]&gt;40,"Medium","Low"))</f>
        <v>Low</v>
      </c>
      <c r="W2094" t="str">
        <f>IF(Table1[[#This Row],[skill_gap_index]]&gt;70,"Large Gap",
IF(Table1[[#This Row],[skill_gap_index]]&gt;40,"Medium Gap","Small Gap"))</f>
        <v>Small Gap</v>
      </c>
      <c r="X2094" s="3" t="str">
        <f>IF(Table1[[#This Row],[automation_risk_percent]]&gt;0.7,"Highly Automatable",
IF(Table1[[#This Row],[automation_risk_percent]]&gt;0.4,"Moderate Risk","Safe Job"))</f>
        <v>Safe Job</v>
      </c>
    </row>
    <row r="2095" spans="1:24" x14ac:dyDescent="0.3">
      <c r="A2095">
        <v>7457</v>
      </c>
      <c r="B2095" t="s">
        <v>46</v>
      </c>
      <c r="C2095" t="s">
        <v>38</v>
      </c>
      <c r="D2095" t="s">
        <v>36</v>
      </c>
      <c r="E2095" s="1">
        <v>2025</v>
      </c>
      <c r="F2095" s="11">
        <v>6.6400000000000001E-2</v>
      </c>
      <c r="G2095">
        <v>6.15</v>
      </c>
      <c r="H2095">
        <v>55.26</v>
      </c>
      <c r="I2095" s="2">
        <v>94813.5</v>
      </c>
      <c r="J2095" s="2">
        <v>79306.17</v>
      </c>
      <c r="K2095" s="2">
        <f>Table1[[#This Row],[Salary_after]]-Table1[[#This Row],[Salary_before]]</f>
        <v>-15507.330000000002</v>
      </c>
      <c r="L2095" s="11">
        <v>-0.1636</v>
      </c>
      <c r="M2095" s="11">
        <v>-9.7699999999999995E-2</v>
      </c>
      <c r="N2095">
        <v>31.75</v>
      </c>
      <c r="O2095">
        <v>21.54</v>
      </c>
      <c r="P2095">
        <v>4</v>
      </c>
      <c r="Q2095" t="s">
        <v>21</v>
      </c>
      <c r="R2095">
        <v>30.95</v>
      </c>
      <c r="S2095">
        <v>16.36</v>
      </c>
      <c r="T2095" s="4">
        <v>24.1419999999999</v>
      </c>
      <c r="U2095" s="4">
        <v>1.430256</v>
      </c>
      <c r="V2095" t="str">
        <f>IF(Table1[[#This Row],[ai_disruption_intensity]]&gt;70,"High",
IF(Table1[[#This Row],[ai_disruption_intensity]]&gt;40,"Medium","Low"))</f>
        <v>Low</v>
      </c>
      <c r="W2095" t="str">
        <f>IF(Table1[[#This Row],[skill_gap_index]]&gt;70,"Large Gap",
IF(Table1[[#This Row],[skill_gap_index]]&gt;40,"Medium Gap","Small Gap"))</f>
        <v>Medium Gap</v>
      </c>
      <c r="X2095" s="3" t="str">
        <f>IF(Table1[[#This Row],[automation_risk_percent]]&gt;0.7,"Highly Automatable",
IF(Table1[[#This Row],[automation_risk_percent]]&gt;0.4,"Moderate Risk","Safe Job"))</f>
        <v>Safe Job</v>
      </c>
    </row>
    <row r="2096" spans="1:24" x14ac:dyDescent="0.3">
      <c r="A2096">
        <v>7460</v>
      </c>
      <c r="B2096" t="s">
        <v>29</v>
      </c>
      <c r="C2096" t="s">
        <v>23</v>
      </c>
      <c r="D2096" t="s">
        <v>28</v>
      </c>
      <c r="E2096" s="1">
        <v>2026</v>
      </c>
      <c r="F2096" s="11">
        <v>0.29059999999999997</v>
      </c>
      <c r="G2096">
        <v>34.409999999999997</v>
      </c>
      <c r="H2096">
        <v>67.02</v>
      </c>
      <c r="I2096" s="2">
        <v>68022.14</v>
      </c>
      <c r="J2096" s="2">
        <v>73642.63</v>
      </c>
      <c r="K2096" s="2">
        <f>Table1[[#This Row],[Salary_after]]-Table1[[#This Row],[Salary_before]]</f>
        <v>5620.4900000000052</v>
      </c>
      <c r="L2096" s="11">
        <v>8.2599999999999993E-2</v>
      </c>
      <c r="M2096" s="11">
        <v>2.4199999999999999E-2</v>
      </c>
      <c r="N2096">
        <v>33.69</v>
      </c>
      <c r="O2096">
        <v>66.790000000000006</v>
      </c>
      <c r="P2096">
        <v>3</v>
      </c>
      <c r="Q2096" t="s">
        <v>21</v>
      </c>
      <c r="R2096">
        <v>48.04</v>
      </c>
      <c r="S2096">
        <v>8.26</v>
      </c>
      <c r="T2096" s="4">
        <v>34.207999999999998</v>
      </c>
      <c r="U2096" s="4">
        <v>19.409174</v>
      </c>
      <c r="V2096" t="str">
        <f>IF(Table1[[#This Row],[ai_disruption_intensity]]&gt;70,"High",
IF(Table1[[#This Row],[ai_disruption_intensity]]&gt;40,"Medium","Low"))</f>
        <v>Low</v>
      </c>
      <c r="W2096" t="str">
        <f>IF(Table1[[#This Row],[skill_gap_index]]&gt;70,"Large Gap",
IF(Table1[[#This Row],[skill_gap_index]]&gt;40,"Medium Gap","Small Gap"))</f>
        <v>Medium Gap</v>
      </c>
      <c r="X2096" s="3" t="str">
        <f>IF(Table1[[#This Row],[automation_risk_percent]]&gt;0.7,"Highly Automatable",
IF(Table1[[#This Row],[automation_risk_percent]]&gt;0.4,"Moderate Risk","Safe Job"))</f>
        <v>Safe Job</v>
      </c>
    </row>
    <row r="2097" spans="1:24" x14ac:dyDescent="0.3">
      <c r="A2097">
        <v>7463</v>
      </c>
      <c r="B2097" t="s">
        <v>44</v>
      </c>
      <c r="C2097" t="s">
        <v>30</v>
      </c>
      <c r="D2097" t="s">
        <v>20</v>
      </c>
      <c r="E2097" s="1">
        <v>2026</v>
      </c>
      <c r="F2097" s="11">
        <v>0.60680000000000001</v>
      </c>
      <c r="G2097">
        <v>52.24</v>
      </c>
      <c r="H2097">
        <v>14.69</v>
      </c>
      <c r="I2097" s="2">
        <v>71447.42</v>
      </c>
      <c r="J2097" s="2">
        <v>64572.27</v>
      </c>
      <c r="K2097" s="2">
        <f>Table1[[#This Row],[Salary_after]]-Table1[[#This Row],[Salary_before]]</f>
        <v>-6875.1500000000015</v>
      </c>
      <c r="L2097" s="11">
        <v>-9.6199999999999994E-2</v>
      </c>
      <c r="M2097" s="11">
        <v>0.20920000000000002</v>
      </c>
      <c r="N2097">
        <v>59.92</v>
      </c>
      <c r="O2097">
        <v>30.36</v>
      </c>
      <c r="P2097">
        <v>4</v>
      </c>
      <c r="Q2097" t="s">
        <v>37</v>
      </c>
      <c r="R2097">
        <v>37.685000000000002</v>
      </c>
      <c r="S2097">
        <v>9.6199999999999992</v>
      </c>
      <c r="T2097" s="4">
        <v>31.565000000000001</v>
      </c>
      <c r="U2097" s="4">
        <v>18.422447999999999</v>
      </c>
      <c r="V2097" t="str">
        <f>IF(Table1[[#This Row],[ai_disruption_intensity]]&gt;70,"High",
IF(Table1[[#This Row],[ai_disruption_intensity]]&gt;40,"Medium","Low"))</f>
        <v>Low</v>
      </c>
      <c r="W2097" t="str">
        <f>IF(Table1[[#This Row],[skill_gap_index]]&gt;70,"Large Gap",
IF(Table1[[#This Row],[skill_gap_index]]&gt;40,"Medium Gap","Small Gap"))</f>
        <v>Small Gap</v>
      </c>
      <c r="X2097" s="3" t="str">
        <f>IF(Table1[[#This Row],[automation_risk_percent]]&gt;0.7,"Highly Automatable",
IF(Table1[[#This Row],[automation_risk_percent]]&gt;0.4,"Moderate Risk","Safe Job"))</f>
        <v>Moderate Risk</v>
      </c>
    </row>
    <row r="2098" spans="1:24" x14ac:dyDescent="0.3">
      <c r="A2098">
        <v>7464</v>
      </c>
      <c r="B2098" t="s">
        <v>29</v>
      </c>
      <c r="C2098" t="s">
        <v>40</v>
      </c>
      <c r="D2098" t="s">
        <v>28</v>
      </c>
      <c r="E2098" s="1">
        <v>2025</v>
      </c>
      <c r="F2098" s="11">
        <v>0.72199999999999998</v>
      </c>
      <c r="G2098">
        <v>69.86</v>
      </c>
      <c r="H2098">
        <v>12.02</v>
      </c>
      <c r="I2098" s="2">
        <v>55810.55</v>
      </c>
      <c r="J2098" s="2">
        <v>64570.07</v>
      </c>
      <c r="K2098" s="2">
        <f>Table1[[#This Row],[Salary_after]]-Table1[[#This Row],[Salary_before]]</f>
        <v>8759.5199999999968</v>
      </c>
      <c r="L2098" s="11">
        <v>0.157</v>
      </c>
      <c r="M2098" s="11">
        <v>0.13769999999999999</v>
      </c>
      <c r="N2098">
        <v>18.64</v>
      </c>
      <c r="O2098">
        <v>80.83</v>
      </c>
      <c r="P2098">
        <v>1</v>
      </c>
      <c r="Q2098" t="s">
        <v>37</v>
      </c>
      <c r="R2098">
        <v>42.11</v>
      </c>
      <c r="S2098">
        <v>15.7</v>
      </c>
      <c r="T2098" s="4">
        <v>37.195999999999998</v>
      </c>
      <c r="U2098" s="4">
        <v>58.359259999999999</v>
      </c>
      <c r="V2098" t="str">
        <f>IF(Table1[[#This Row],[ai_disruption_intensity]]&gt;70,"High",
IF(Table1[[#This Row],[ai_disruption_intensity]]&gt;40,"Medium","Low"))</f>
        <v>Medium</v>
      </c>
      <c r="W2098" t="str">
        <f>IF(Table1[[#This Row],[skill_gap_index]]&gt;70,"Large Gap",
IF(Table1[[#This Row],[skill_gap_index]]&gt;40,"Medium Gap","Small Gap"))</f>
        <v>Small Gap</v>
      </c>
      <c r="X2098" s="3" t="str">
        <f>IF(Table1[[#This Row],[automation_risk_percent]]&gt;0.7,"Highly Automatable",
IF(Table1[[#This Row],[automation_risk_percent]]&gt;0.4,"Moderate Risk","Safe Job"))</f>
        <v>Highly Automatable</v>
      </c>
    </row>
    <row r="2099" spans="1:24" x14ac:dyDescent="0.3">
      <c r="A2099">
        <v>7473</v>
      </c>
      <c r="B2099" t="s">
        <v>18</v>
      </c>
      <c r="C2099" t="s">
        <v>34</v>
      </c>
      <c r="D2099" t="s">
        <v>47</v>
      </c>
      <c r="E2099" s="1">
        <v>2026</v>
      </c>
      <c r="F2099" s="11">
        <v>0.32390000000000002</v>
      </c>
      <c r="G2099">
        <v>30.84</v>
      </c>
      <c r="H2099">
        <v>76.61</v>
      </c>
      <c r="I2099" s="2">
        <v>54062.71</v>
      </c>
      <c r="J2099" s="2">
        <v>49807.69</v>
      </c>
      <c r="K2099" s="2">
        <f>Table1[[#This Row],[Salary_after]]-Table1[[#This Row],[Salary_before]]</f>
        <v>-4255.0199999999968</v>
      </c>
      <c r="L2099" s="11">
        <v>-7.8700000000000006E-2</v>
      </c>
      <c r="M2099" s="11">
        <v>0.2409</v>
      </c>
      <c r="N2099">
        <v>55.01</v>
      </c>
      <c r="O2099">
        <v>78.69</v>
      </c>
      <c r="P2099">
        <v>5</v>
      </c>
      <c r="Q2099" t="s">
        <v>25</v>
      </c>
      <c r="R2099">
        <v>54.5</v>
      </c>
      <c r="S2099">
        <v>7.87</v>
      </c>
      <c r="T2099" s="4">
        <v>38.299999999999997</v>
      </c>
      <c r="U2099" s="4">
        <v>25.487690999999899</v>
      </c>
      <c r="V2099" t="str">
        <f>IF(Table1[[#This Row],[ai_disruption_intensity]]&gt;70,"High",
IF(Table1[[#This Row],[ai_disruption_intensity]]&gt;40,"Medium","Low"))</f>
        <v>Low</v>
      </c>
      <c r="W2099" t="str">
        <f>IF(Table1[[#This Row],[skill_gap_index]]&gt;70,"Large Gap",
IF(Table1[[#This Row],[skill_gap_index]]&gt;40,"Medium Gap","Small Gap"))</f>
        <v>Large Gap</v>
      </c>
      <c r="X2099" s="3" t="str">
        <f>IF(Table1[[#This Row],[automation_risk_percent]]&gt;0.7,"Highly Automatable",
IF(Table1[[#This Row],[automation_risk_percent]]&gt;0.4,"Moderate Risk","Safe Job"))</f>
        <v>Safe Job</v>
      </c>
    </row>
    <row r="2100" spans="1:24" x14ac:dyDescent="0.3">
      <c r="A2100">
        <v>7474</v>
      </c>
      <c r="B2100" t="s">
        <v>43</v>
      </c>
      <c r="C2100" t="s">
        <v>30</v>
      </c>
      <c r="D2100" t="s">
        <v>24</v>
      </c>
      <c r="E2100" s="1">
        <v>2026</v>
      </c>
      <c r="F2100" s="11">
        <v>0.79519999999999991</v>
      </c>
      <c r="G2100">
        <v>90.06</v>
      </c>
      <c r="H2100">
        <v>16.05</v>
      </c>
      <c r="I2100" s="2">
        <v>56946.22</v>
      </c>
      <c r="J2100" s="2">
        <v>66048.37</v>
      </c>
      <c r="K2100" s="2">
        <f>Table1[[#This Row],[Salary_after]]-Table1[[#This Row],[Salary_before]]</f>
        <v>9102.1499999999942</v>
      </c>
      <c r="L2100" s="11">
        <v>0.1598</v>
      </c>
      <c r="M2100" s="11">
        <v>-1.5700000000000002E-2</v>
      </c>
      <c r="N2100">
        <v>55.84</v>
      </c>
      <c r="O2100">
        <v>90.18</v>
      </c>
      <c r="P2100">
        <v>3</v>
      </c>
      <c r="Q2100" t="s">
        <v>37</v>
      </c>
      <c r="R2100">
        <v>47.784999999999997</v>
      </c>
      <c r="S2100">
        <v>15.98</v>
      </c>
      <c r="T2100" s="4">
        <v>41.416999999999902</v>
      </c>
      <c r="U2100" s="4">
        <v>71.711135999999996</v>
      </c>
      <c r="V2100" t="str">
        <f>IF(Table1[[#This Row],[ai_disruption_intensity]]&gt;70,"High",
IF(Table1[[#This Row],[ai_disruption_intensity]]&gt;40,"Medium","Low"))</f>
        <v>High</v>
      </c>
      <c r="W2100" t="str">
        <f>IF(Table1[[#This Row],[skill_gap_index]]&gt;70,"Large Gap",
IF(Table1[[#This Row],[skill_gap_index]]&gt;40,"Medium Gap","Small Gap"))</f>
        <v>Small Gap</v>
      </c>
      <c r="X2100" s="3" t="str">
        <f>IF(Table1[[#This Row],[automation_risk_percent]]&gt;0.7,"Highly Automatable",
IF(Table1[[#This Row],[automation_risk_percent]]&gt;0.4,"Moderate Risk","Safe Job"))</f>
        <v>Highly Automatable</v>
      </c>
    </row>
    <row r="2101" spans="1:24" x14ac:dyDescent="0.3">
      <c r="A2101">
        <v>7476</v>
      </c>
      <c r="B2101" t="s">
        <v>18</v>
      </c>
      <c r="C2101" t="s">
        <v>23</v>
      </c>
      <c r="D2101" t="s">
        <v>24</v>
      </c>
      <c r="E2101" s="1">
        <v>2026</v>
      </c>
      <c r="F2101" s="11">
        <v>0.2823</v>
      </c>
      <c r="G2101">
        <v>24.65</v>
      </c>
      <c r="H2101">
        <v>94.6</v>
      </c>
      <c r="I2101" s="2">
        <v>143044.56</v>
      </c>
      <c r="J2101" s="2">
        <v>162480.03</v>
      </c>
      <c r="K2101" s="2">
        <f>Table1[[#This Row],[Salary_after]]-Table1[[#This Row],[Salary_before]]</f>
        <v>19435.47</v>
      </c>
      <c r="L2101" s="11">
        <v>0.13589999999999999</v>
      </c>
      <c r="M2101" s="11">
        <v>0.16649999999999998</v>
      </c>
      <c r="N2101">
        <v>47.59</v>
      </c>
      <c r="O2101">
        <v>56.85</v>
      </c>
      <c r="P2101">
        <v>5</v>
      </c>
      <c r="Q2101" t="s">
        <v>21</v>
      </c>
      <c r="R2101">
        <v>61.414999999999999</v>
      </c>
      <c r="S2101">
        <v>13.59</v>
      </c>
      <c r="T2101" s="4">
        <v>43.748999999999903</v>
      </c>
      <c r="U2101" s="4">
        <v>16.048755</v>
      </c>
      <c r="V2101" t="str">
        <f>IF(Table1[[#This Row],[ai_disruption_intensity]]&gt;70,"High",
IF(Table1[[#This Row],[ai_disruption_intensity]]&gt;40,"Medium","Low"))</f>
        <v>Low</v>
      </c>
      <c r="W2101" t="str">
        <f>IF(Table1[[#This Row],[skill_gap_index]]&gt;70,"Large Gap",
IF(Table1[[#This Row],[skill_gap_index]]&gt;40,"Medium Gap","Small Gap"))</f>
        <v>Large Gap</v>
      </c>
      <c r="X2101" s="3" t="str">
        <f>IF(Table1[[#This Row],[automation_risk_percent]]&gt;0.7,"Highly Automatable",
IF(Table1[[#This Row],[automation_risk_percent]]&gt;0.4,"Moderate Risk","Safe Job"))</f>
        <v>Safe Job</v>
      </c>
    </row>
    <row r="2102" spans="1:24" x14ac:dyDescent="0.3">
      <c r="A2102">
        <v>7485</v>
      </c>
      <c r="B2102" t="s">
        <v>45</v>
      </c>
      <c r="C2102" t="s">
        <v>38</v>
      </c>
      <c r="D2102" t="s">
        <v>31</v>
      </c>
      <c r="E2102" s="1">
        <v>2026</v>
      </c>
      <c r="F2102" s="11">
        <v>0.47360000000000002</v>
      </c>
      <c r="G2102">
        <v>46.99</v>
      </c>
      <c r="H2102">
        <v>46.24</v>
      </c>
      <c r="I2102" s="2">
        <v>121394.74</v>
      </c>
      <c r="J2102" s="2">
        <v>131336.41</v>
      </c>
      <c r="K2102" s="2">
        <f>Table1[[#This Row],[Salary_after]]-Table1[[#This Row],[Salary_before]]</f>
        <v>9941.6699999999983</v>
      </c>
      <c r="L2102" s="11">
        <v>8.1900000000000001E-2</v>
      </c>
      <c r="M2102" s="11">
        <v>0.13300000000000001</v>
      </c>
      <c r="N2102">
        <v>32.159999999999997</v>
      </c>
      <c r="O2102">
        <v>61.79</v>
      </c>
      <c r="P2102">
        <v>4</v>
      </c>
      <c r="Q2102" t="s">
        <v>25</v>
      </c>
      <c r="R2102">
        <v>46.8</v>
      </c>
      <c r="S2102">
        <v>8.19</v>
      </c>
      <c r="T2102" s="4">
        <v>35.273000000000003</v>
      </c>
      <c r="U2102" s="4">
        <v>29.263743999999999</v>
      </c>
      <c r="V2102" t="str">
        <f>IF(Table1[[#This Row],[ai_disruption_intensity]]&gt;70,"High",
IF(Table1[[#This Row],[ai_disruption_intensity]]&gt;40,"Medium","Low"))</f>
        <v>Low</v>
      </c>
      <c r="W2102" t="str">
        <f>IF(Table1[[#This Row],[skill_gap_index]]&gt;70,"Large Gap",
IF(Table1[[#This Row],[skill_gap_index]]&gt;40,"Medium Gap","Small Gap"))</f>
        <v>Medium Gap</v>
      </c>
      <c r="X2102" s="3" t="str">
        <f>IF(Table1[[#This Row],[automation_risk_percent]]&gt;0.7,"Highly Automatable",
IF(Table1[[#This Row],[automation_risk_percent]]&gt;0.4,"Moderate Risk","Safe Job"))</f>
        <v>Moderate Risk</v>
      </c>
    </row>
    <row r="2103" spans="1:24" x14ac:dyDescent="0.3">
      <c r="A2103">
        <v>7489</v>
      </c>
      <c r="B2103" t="s">
        <v>18</v>
      </c>
      <c r="C2103" t="s">
        <v>38</v>
      </c>
      <c r="D2103" t="s">
        <v>42</v>
      </c>
      <c r="E2103" s="1">
        <v>2025</v>
      </c>
      <c r="F2103" s="11">
        <v>0.1389</v>
      </c>
      <c r="G2103">
        <v>12.96</v>
      </c>
      <c r="H2103">
        <v>78.010000000000005</v>
      </c>
      <c r="I2103" s="2">
        <v>91456.5</v>
      </c>
      <c r="J2103" s="2">
        <v>87497.02</v>
      </c>
      <c r="K2103" s="2">
        <f>Table1[[#This Row],[Salary_after]]-Table1[[#This Row],[Salary_before]]</f>
        <v>-3959.4799999999959</v>
      </c>
      <c r="L2103" s="11">
        <v>-4.3299999999999998E-2</v>
      </c>
      <c r="M2103" s="11">
        <v>6.8900000000000003E-2</v>
      </c>
      <c r="N2103">
        <v>77.48</v>
      </c>
      <c r="O2103">
        <v>17.190000000000001</v>
      </c>
      <c r="P2103">
        <v>2</v>
      </c>
      <c r="Q2103" t="s">
        <v>21</v>
      </c>
      <c r="R2103">
        <v>45.95</v>
      </c>
      <c r="S2103">
        <v>4.33</v>
      </c>
      <c r="T2103" s="4">
        <v>30.257999999999999</v>
      </c>
      <c r="U2103" s="4">
        <v>2.3876909999999998</v>
      </c>
      <c r="V2103" t="str">
        <f>IF(Table1[[#This Row],[ai_disruption_intensity]]&gt;70,"High",
IF(Table1[[#This Row],[ai_disruption_intensity]]&gt;40,"Medium","Low"))</f>
        <v>Low</v>
      </c>
      <c r="W2103" t="str">
        <f>IF(Table1[[#This Row],[skill_gap_index]]&gt;70,"Large Gap",
IF(Table1[[#This Row],[skill_gap_index]]&gt;40,"Medium Gap","Small Gap"))</f>
        <v>Large Gap</v>
      </c>
      <c r="X2103" s="3" t="str">
        <f>IF(Table1[[#This Row],[automation_risk_percent]]&gt;0.7,"Highly Automatable",
IF(Table1[[#This Row],[automation_risk_percent]]&gt;0.4,"Moderate Risk","Safe Job"))</f>
        <v>Safe Job</v>
      </c>
    </row>
    <row r="2104" spans="1:24" x14ac:dyDescent="0.3">
      <c r="A2104">
        <v>7491</v>
      </c>
      <c r="B2104" t="s">
        <v>43</v>
      </c>
      <c r="C2104" t="s">
        <v>30</v>
      </c>
      <c r="D2104" t="s">
        <v>20</v>
      </c>
      <c r="E2104" s="1">
        <v>2026</v>
      </c>
      <c r="F2104" s="11">
        <v>0.65540000000000009</v>
      </c>
      <c r="G2104">
        <v>55.28</v>
      </c>
      <c r="H2104">
        <v>42.57</v>
      </c>
      <c r="I2104" s="2">
        <v>142646.35999999999</v>
      </c>
      <c r="J2104" s="2">
        <v>140908.94</v>
      </c>
      <c r="K2104" s="2">
        <f>Table1[[#This Row],[Salary_after]]-Table1[[#This Row],[Salary_before]]</f>
        <v>-1737.4199999999837</v>
      </c>
      <c r="L2104" s="11">
        <v>-1.2199999999999999E-2</v>
      </c>
      <c r="M2104" s="11">
        <v>7.6700000000000004E-2</v>
      </c>
      <c r="N2104">
        <v>27.36</v>
      </c>
      <c r="O2104">
        <v>14.95</v>
      </c>
      <c r="P2104">
        <v>2</v>
      </c>
      <c r="Q2104" t="s">
        <v>37</v>
      </c>
      <c r="R2104">
        <v>54.055</v>
      </c>
      <c r="S2104">
        <v>1.22</v>
      </c>
      <c r="T2104" s="4">
        <v>39.353000000000002</v>
      </c>
      <c r="U2104" s="4">
        <v>9.7982300000000002</v>
      </c>
      <c r="V2104" t="str">
        <f>IF(Table1[[#This Row],[ai_disruption_intensity]]&gt;70,"High",
IF(Table1[[#This Row],[ai_disruption_intensity]]&gt;40,"Medium","Low"))</f>
        <v>Low</v>
      </c>
      <c r="W2104" t="str">
        <f>IF(Table1[[#This Row],[skill_gap_index]]&gt;70,"Large Gap",
IF(Table1[[#This Row],[skill_gap_index]]&gt;40,"Medium Gap","Small Gap"))</f>
        <v>Medium Gap</v>
      </c>
      <c r="X2104" s="3" t="str">
        <f>IF(Table1[[#This Row],[automation_risk_percent]]&gt;0.7,"Highly Automatable",
IF(Table1[[#This Row],[automation_risk_percent]]&gt;0.4,"Moderate Risk","Safe Job"))</f>
        <v>Moderate Risk</v>
      </c>
    </row>
    <row r="2105" spans="1:24" x14ac:dyDescent="0.3">
      <c r="A2105">
        <v>7495</v>
      </c>
      <c r="B2105" t="s">
        <v>18</v>
      </c>
      <c r="C2105" t="s">
        <v>40</v>
      </c>
      <c r="D2105" t="s">
        <v>31</v>
      </c>
      <c r="E2105" s="1">
        <v>2025</v>
      </c>
      <c r="F2105" s="11">
        <v>0.1139</v>
      </c>
      <c r="G2105">
        <v>9.19</v>
      </c>
      <c r="H2105">
        <v>67.62</v>
      </c>
      <c r="I2105" s="2">
        <v>43712.26</v>
      </c>
      <c r="J2105" s="2">
        <v>39480.959999999999</v>
      </c>
      <c r="K2105" s="2">
        <f>Table1[[#This Row],[Salary_after]]-Table1[[#This Row],[Salary_before]]</f>
        <v>-4231.3000000000029</v>
      </c>
      <c r="L2105" s="11">
        <v>-9.6799999999999997E-2</v>
      </c>
      <c r="M2105" s="11">
        <v>0.16760000000000003</v>
      </c>
      <c r="N2105">
        <v>58.5</v>
      </c>
      <c r="O2105">
        <v>17.440000000000001</v>
      </c>
      <c r="P2105">
        <v>3</v>
      </c>
      <c r="Q2105" t="s">
        <v>21</v>
      </c>
      <c r="R2105">
        <v>39.505000000000003</v>
      </c>
      <c r="S2105">
        <v>9.68</v>
      </c>
      <c r="T2105" s="4">
        <v>27.745999999999999</v>
      </c>
      <c r="U2105" s="4">
        <v>1.986416</v>
      </c>
      <c r="V2105" t="str">
        <f>IF(Table1[[#This Row],[ai_disruption_intensity]]&gt;70,"High",
IF(Table1[[#This Row],[ai_disruption_intensity]]&gt;40,"Medium","Low"))</f>
        <v>Low</v>
      </c>
      <c r="W2105" t="str">
        <f>IF(Table1[[#This Row],[skill_gap_index]]&gt;70,"Large Gap",
IF(Table1[[#This Row],[skill_gap_index]]&gt;40,"Medium Gap","Small Gap"))</f>
        <v>Medium Gap</v>
      </c>
      <c r="X2105" s="3" t="str">
        <f>IF(Table1[[#This Row],[automation_risk_percent]]&gt;0.7,"Highly Automatable",
IF(Table1[[#This Row],[automation_risk_percent]]&gt;0.4,"Moderate Risk","Safe Job"))</f>
        <v>Safe Job</v>
      </c>
    </row>
    <row r="2106" spans="1:24" x14ac:dyDescent="0.3">
      <c r="A2106">
        <v>7498</v>
      </c>
      <c r="B2106" t="s">
        <v>22</v>
      </c>
      <c r="C2106" t="s">
        <v>30</v>
      </c>
      <c r="D2106" t="s">
        <v>42</v>
      </c>
      <c r="E2106" s="1">
        <v>2025</v>
      </c>
      <c r="F2106" s="11">
        <v>0.3422</v>
      </c>
      <c r="G2106">
        <v>34.35</v>
      </c>
      <c r="H2106">
        <v>15.74</v>
      </c>
      <c r="I2106" s="2">
        <v>32493.77</v>
      </c>
      <c r="J2106" s="2">
        <v>35675.29</v>
      </c>
      <c r="K2106" s="2">
        <f>Table1[[#This Row],[Salary_after]]-Table1[[#This Row],[Salary_before]]</f>
        <v>3181.5200000000004</v>
      </c>
      <c r="L2106" s="11">
        <v>9.7899999999999987E-2</v>
      </c>
      <c r="M2106" s="11">
        <v>-2.2000000000000001E-3</v>
      </c>
      <c r="N2106">
        <v>11.38</v>
      </c>
      <c r="O2106">
        <v>10.94</v>
      </c>
      <c r="P2106">
        <v>4</v>
      </c>
      <c r="Q2106" t="s">
        <v>25</v>
      </c>
      <c r="R2106">
        <v>24.98</v>
      </c>
      <c r="S2106">
        <v>9.7899999999999991</v>
      </c>
      <c r="T2106" s="4">
        <v>21.347000000000001</v>
      </c>
      <c r="U2106" s="4">
        <v>3.7436679999999898</v>
      </c>
      <c r="V2106" t="str">
        <f>IF(Table1[[#This Row],[ai_disruption_intensity]]&gt;70,"High",
IF(Table1[[#This Row],[ai_disruption_intensity]]&gt;40,"Medium","Low"))</f>
        <v>Low</v>
      </c>
      <c r="W2106" t="str">
        <f>IF(Table1[[#This Row],[skill_gap_index]]&gt;70,"Large Gap",
IF(Table1[[#This Row],[skill_gap_index]]&gt;40,"Medium Gap","Small Gap"))</f>
        <v>Small Gap</v>
      </c>
      <c r="X2106" s="3" t="str">
        <f>IF(Table1[[#This Row],[automation_risk_percent]]&gt;0.7,"Highly Automatable",
IF(Table1[[#This Row],[automation_risk_percent]]&gt;0.4,"Moderate Risk","Safe Job"))</f>
        <v>Safe Job</v>
      </c>
    </row>
    <row r="2107" spans="1:24" x14ac:dyDescent="0.3">
      <c r="A2107">
        <v>7503</v>
      </c>
      <c r="B2107" t="s">
        <v>43</v>
      </c>
      <c r="C2107" t="s">
        <v>40</v>
      </c>
      <c r="D2107" t="s">
        <v>35</v>
      </c>
      <c r="E2107" s="1">
        <v>2026</v>
      </c>
      <c r="F2107" s="11">
        <v>0.59140000000000004</v>
      </c>
      <c r="G2107">
        <v>59.97</v>
      </c>
      <c r="H2107">
        <v>55.28</v>
      </c>
      <c r="I2107" s="2">
        <v>42662.02</v>
      </c>
      <c r="J2107" s="2">
        <v>45958.31</v>
      </c>
      <c r="K2107" s="2">
        <f>Table1[[#This Row],[Salary_after]]-Table1[[#This Row],[Salary_before]]</f>
        <v>3296.2900000000009</v>
      </c>
      <c r="L2107" s="11">
        <v>7.7300000000000008E-2</v>
      </c>
      <c r="M2107" s="11">
        <v>-2.0899999999999998E-2</v>
      </c>
      <c r="N2107">
        <v>51.73</v>
      </c>
      <c r="O2107">
        <v>45.71</v>
      </c>
      <c r="P2107">
        <v>2</v>
      </c>
      <c r="Q2107" t="s">
        <v>25</v>
      </c>
      <c r="R2107">
        <v>57.21</v>
      </c>
      <c r="S2107">
        <v>7.73</v>
      </c>
      <c r="T2107" s="4">
        <v>42.558999999999997</v>
      </c>
      <c r="U2107" s="4">
        <v>27.032893999999999</v>
      </c>
      <c r="V2107" t="str">
        <f>IF(Table1[[#This Row],[ai_disruption_intensity]]&gt;70,"High",
IF(Table1[[#This Row],[ai_disruption_intensity]]&gt;40,"Medium","Low"))</f>
        <v>Low</v>
      </c>
      <c r="W2107" t="str">
        <f>IF(Table1[[#This Row],[skill_gap_index]]&gt;70,"Large Gap",
IF(Table1[[#This Row],[skill_gap_index]]&gt;40,"Medium Gap","Small Gap"))</f>
        <v>Medium Gap</v>
      </c>
      <c r="X2107" s="3" t="str">
        <f>IF(Table1[[#This Row],[automation_risk_percent]]&gt;0.7,"Highly Automatable",
IF(Table1[[#This Row],[automation_risk_percent]]&gt;0.4,"Moderate Risk","Safe Job"))</f>
        <v>Moderate Risk</v>
      </c>
    </row>
    <row r="2108" spans="1:24" x14ac:dyDescent="0.3">
      <c r="A2108">
        <v>7506</v>
      </c>
      <c r="B2108" t="s">
        <v>41</v>
      </c>
      <c r="C2108" t="s">
        <v>38</v>
      </c>
      <c r="D2108" t="s">
        <v>42</v>
      </c>
      <c r="E2108" s="1">
        <v>2025</v>
      </c>
      <c r="F2108" s="11">
        <v>0.28249999999999997</v>
      </c>
      <c r="G2108">
        <v>24.36</v>
      </c>
      <c r="H2108">
        <v>59.89</v>
      </c>
      <c r="I2108" s="2">
        <v>66912.800000000003</v>
      </c>
      <c r="J2108" s="2">
        <v>73316.600000000006</v>
      </c>
      <c r="K2108" s="2">
        <f>Table1[[#This Row],[Salary_after]]-Table1[[#This Row],[Salary_before]]</f>
        <v>6403.8000000000029</v>
      </c>
      <c r="L2108" s="11">
        <v>9.5700000000000007E-2</v>
      </c>
      <c r="M2108" s="11">
        <v>-0.1482</v>
      </c>
      <c r="N2108">
        <v>58.08</v>
      </c>
      <c r="O2108">
        <v>6.2</v>
      </c>
      <c r="P2108">
        <v>4</v>
      </c>
      <c r="Q2108" t="s">
        <v>21</v>
      </c>
      <c r="R2108">
        <v>44.07</v>
      </c>
      <c r="S2108">
        <v>9.57</v>
      </c>
      <c r="T2108" s="4">
        <v>32.137999999999998</v>
      </c>
      <c r="U2108" s="4">
        <v>1.7515000000000001</v>
      </c>
      <c r="V2108" t="str">
        <f>IF(Table1[[#This Row],[ai_disruption_intensity]]&gt;70,"High",
IF(Table1[[#This Row],[ai_disruption_intensity]]&gt;40,"Medium","Low"))</f>
        <v>Low</v>
      </c>
      <c r="W2108" t="str">
        <f>IF(Table1[[#This Row],[skill_gap_index]]&gt;70,"Large Gap",
IF(Table1[[#This Row],[skill_gap_index]]&gt;40,"Medium Gap","Small Gap"))</f>
        <v>Medium Gap</v>
      </c>
      <c r="X2108" s="3" t="str">
        <f>IF(Table1[[#This Row],[automation_risk_percent]]&gt;0.7,"Highly Automatable",
IF(Table1[[#This Row],[automation_risk_percent]]&gt;0.4,"Moderate Risk","Safe Job"))</f>
        <v>Safe Job</v>
      </c>
    </row>
    <row r="2109" spans="1:24" x14ac:dyDescent="0.3">
      <c r="A2109">
        <v>7507</v>
      </c>
      <c r="B2109" t="s">
        <v>39</v>
      </c>
      <c r="C2109" t="s">
        <v>38</v>
      </c>
      <c r="D2109" t="s">
        <v>35</v>
      </c>
      <c r="E2109" s="1">
        <v>2025</v>
      </c>
      <c r="F2109" s="11">
        <v>0.57200000000000006</v>
      </c>
      <c r="G2109">
        <v>57.49</v>
      </c>
      <c r="H2109">
        <v>38.14</v>
      </c>
      <c r="I2109" s="2">
        <v>37922.019999999997</v>
      </c>
      <c r="J2109" s="2">
        <v>40386.410000000003</v>
      </c>
      <c r="K2109" s="2">
        <f>Table1[[#This Row],[Salary_after]]-Table1[[#This Row],[Salary_before]]</f>
        <v>2464.3900000000067</v>
      </c>
      <c r="L2109" s="11">
        <v>6.5000000000000002E-2</v>
      </c>
      <c r="M2109" s="11">
        <v>1.4999999999999999E-2</v>
      </c>
      <c r="N2109">
        <v>25.63</v>
      </c>
      <c r="O2109">
        <v>21.93</v>
      </c>
      <c r="P2109">
        <v>3</v>
      </c>
      <c r="Q2109" t="s">
        <v>25</v>
      </c>
      <c r="R2109">
        <v>47.67</v>
      </c>
      <c r="S2109">
        <v>6.5</v>
      </c>
      <c r="T2109" s="4">
        <v>36.271999999999998</v>
      </c>
      <c r="U2109" s="4">
        <v>12.54396</v>
      </c>
      <c r="V2109" t="str">
        <f>IF(Table1[[#This Row],[ai_disruption_intensity]]&gt;70,"High",
IF(Table1[[#This Row],[ai_disruption_intensity]]&gt;40,"Medium","Low"))</f>
        <v>Low</v>
      </c>
      <c r="W2109" t="str">
        <f>IF(Table1[[#This Row],[skill_gap_index]]&gt;70,"Large Gap",
IF(Table1[[#This Row],[skill_gap_index]]&gt;40,"Medium Gap","Small Gap"))</f>
        <v>Small Gap</v>
      </c>
      <c r="X2109" s="3" t="str">
        <f>IF(Table1[[#This Row],[automation_risk_percent]]&gt;0.7,"Highly Automatable",
IF(Table1[[#This Row],[automation_risk_percent]]&gt;0.4,"Moderate Risk","Safe Job"))</f>
        <v>Moderate Risk</v>
      </c>
    </row>
    <row r="2110" spans="1:24" x14ac:dyDescent="0.3">
      <c r="A2110">
        <v>7509</v>
      </c>
      <c r="B2110" t="s">
        <v>22</v>
      </c>
      <c r="C2110" t="s">
        <v>19</v>
      </c>
      <c r="D2110" t="s">
        <v>42</v>
      </c>
      <c r="E2110" s="1">
        <v>2025</v>
      </c>
      <c r="F2110" s="11">
        <v>0.11550000000000001</v>
      </c>
      <c r="G2110">
        <v>10.78</v>
      </c>
      <c r="H2110">
        <v>71.64</v>
      </c>
      <c r="I2110" s="2">
        <v>44833.69</v>
      </c>
      <c r="J2110" s="2">
        <v>47516.959999999999</v>
      </c>
      <c r="K2110" s="2">
        <f>Table1[[#This Row],[Salary_after]]-Table1[[#This Row],[Salary_before]]</f>
        <v>2683.2699999999968</v>
      </c>
      <c r="L2110" s="11">
        <v>5.9800000000000006E-2</v>
      </c>
      <c r="M2110" s="11">
        <v>0.10400000000000001</v>
      </c>
      <c r="N2110">
        <v>19.079999999999998</v>
      </c>
      <c r="O2110">
        <v>9.7799999999999994</v>
      </c>
      <c r="P2110">
        <v>1</v>
      </c>
      <c r="Q2110" t="s">
        <v>21</v>
      </c>
      <c r="R2110">
        <v>41.594999999999999</v>
      </c>
      <c r="S2110">
        <v>5.98</v>
      </c>
      <c r="T2110" s="4">
        <v>27.905999999999999</v>
      </c>
      <c r="U2110" s="4">
        <v>1.1295900000000001</v>
      </c>
      <c r="V2110" t="str">
        <f>IF(Table1[[#This Row],[ai_disruption_intensity]]&gt;70,"High",
IF(Table1[[#This Row],[ai_disruption_intensity]]&gt;40,"Medium","Low"))</f>
        <v>Low</v>
      </c>
      <c r="W2110" t="str">
        <f>IF(Table1[[#This Row],[skill_gap_index]]&gt;70,"Large Gap",
IF(Table1[[#This Row],[skill_gap_index]]&gt;40,"Medium Gap","Small Gap"))</f>
        <v>Large Gap</v>
      </c>
      <c r="X2110" s="3" t="str">
        <f>IF(Table1[[#This Row],[automation_risk_percent]]&gt;0.7,"Highly Automatable",
IF(Table1[[#This Row],[automation_risk_percent]]&gt;0.4,"Moderate Risk","Safe Job"))</f>
        <v>Safe Job</v>
      </c>
    </row>
    <row r="2111" spans="1:24" x14ac:dyDescent="0.3">
      <c r="A2111">
        <v>7511</v>
      </c>
      <c r="B2111" t="s">
        <v>22</v>
      </c>
      <c r="C2111" t="s">
        <v>23</v>
      </c>
      <c r="D2111" t="s">
        <v>20</v>
      </c>
      <c r="E2111" s="1">
        <v>2025</v>
      </c>
      <c r="F2111" s="11">
        <v>0.43</v>
      </c>
      <c r="G2111">
        <v>34.89</v>
      </c>
      <c r="H2111">
        <v>11.61</v>
      </c>
      <c r="I2111" s="2">
        <v>74999.47</v>
      </c>
      <c r="J2111" s="2">
        <v>68517.75</v>
      </c>
      <c r="K2111" s="2">
        <f>Table1[[#This Row],[Salary_after]]-Table1[[#This Row],[Salary_before]]</f>
        <v>-6481.7200000000012</v>
      </c>
      <c r="L2111" s="11">
        <v>-8.6400000000000005E-2</v>
      </c>
      <c r="M2111" s="11">
        <v>4.6100000000000002E-2</v>
      </c>
      <c r="N2111">
        <v>84.25</v>
      </c>
      <c r="O2111">
        <v>94.61</v>
      </c>
      <c r="P2111">
        <v>2</v>
      </c>
      <c r="Q2111" t="s">
        <v>25</v>
      </c>
      <c r="R2111">
        <v>27.305</v>
      </c>
      <c r="S2111">
        <v>8.64</v>
      </c>
      <c r="T2111" s="4">
        <v>23.274999999999999</v>
      </c>
      <c r="U2111" s="4">
        <v>40.682299999999998</v>
      </c>
      <c r="V2111" t="str">
        <f>IF(Table1[[#This Row],[ai_disruption_intensity]]&gt;70,"High",
IF(Table1[[#This Row],[ai_disruption_intensity]]&gt;40,"Medium","Low"))</f>
        <v>Medium</v>
      </c>
      <c r="W2111" t="str">
        <f>IF(Table1[[#This Row],[skill_gap_index]]&gt;70,"Large Gap",
IF(Table1[[#This Row],[skill_gap_index]]&gt;40,"Medium Gap","Small Gap"))</f>
        <v>Small Gap</v>
      </c>
      <c r="X2111" s="3" t="str">
        <f>IF(Table1[[#This Row],[automation_risk_percent]]&gt;0.7,"Highly Automatable",
IF(Table1[[#This Row],[automation_risk_percent]]&gt;0.4,"Moderate Risk","Safe Job"))</f>
        <v>Moderate Risk</v>
      </c>
    </row>
    <row r="2112" spans="1:24" x14ac:dyDescent="0.3">
      <c r="A2112">
        <v>7516</v>
      </c>
      <c r="B2112" t="s">
        <v>39</v>
      </c>
      <c r="C2112" t="s">
        <v>19</v>
      </c>
      <c r="D2112" t="s">
        <v>28</v>
      </c>
      <c r="E2112" s="1">
        <v>2026</v>
      </c>
      <c r="F2112" s="11">
        <v>0.64</v>
      </c>
      <c r="G2112">
        <v>55.94</v>
      </c>
      <c r="H2112">
        <v>99.05</v>
      </c>
      <c r="I2112" s="2">
        <v>132416.94</v>
      </c>
      <c r="J2112" s="2">
        <v>140268.75</v>
      </c>
      <c r="K2112" s="2">
        <f>Table1[[#This Row],[Salary_after]]-Table1[[#This Row],[Salary_before]]</f>
        <v>7851.8099999999977</v>
      </c>
      <c r="L2112" s="11">
        <v>5.9299999999999999E-2</v>
      </c>
      <c r="M2112" s="11">
        <v>0.2034</v>
      </c>
      <c r="N2112">
        <v>31.83</v>
      </c>
      <c r="O2112">
        <v>11.93</v>
      </c>
      <c r="P2112">
        <v>1</v>
      </c>
      <c r="Q2112" t="s">
        <v>37</v>
      </c>
      <c r="R2112">
        <v>81.525000000000006</v>
      </c>
      <c r="S2112">
        <v>5.93</v>
      </c>
      <c r="T2112" s="4">
        <v>57.093999999999902</v>
      </c>
      <c r="U2112" s="4">
        <v>7.6352000000000002</v>
      </c>
      <c r="V2112" t="str">
        <f>IF(Table1[[#This Row],[ai_disruption_intensity]]&gt;70,"High",
IF(Table1[[#This Row],[ai_disruption_intensity]]&gt;40,"Medium","Low"))</f>
        <v>Low</v>
      </c>
      <c r="W2112" t="str">
        <f>IF(Table1[[#This Row],[skill_gap_index]]&gt;70,"Large Gap",
IF(Table1[[#This Row],[skill_gap_index]]&gt;40,"Medium Gap","Small Gap"))</f>
        <v>Large Gap</v>
      </c>
      <c r="X2112" s="3" t="str">
        <f>IF(Table1[[#This Row],[automation_risk_percent]]&gt;0.7,"Highly Automatable",
IF(Table1[[#This Row],[automation_risk_percent]]&gt;0.4,"Moderate Risk","Safe Job"))</f>
        <v>Moderate Risk</v>
      </c>
    </row>
    <row r="2113" spans="1:24" x14ac:dyDescent="0.3">
      <c r="A2113">
        <v>7519</v>
      </c>
      <c r="B2113" t="s">
        <v>18</v>
      </c>
      <c r="C2113" t="s">
        <v>34</v>
      </c>
      <c r="D2113" t="s">
        <v>32</v>
      </c>
      <c r="E2113" s="1">
        <v>2025</v>
      </c>
      <c r="F2113" s="11">
        <v>0.32659999999999995</v>
      </c>
      <c r="G2113">
        <v>37.43</v>
      </c>
      <c r="H2113">
        <v>95.4</v>
      </c>
      <c r="I2113" s="2">
        <v>65300.06</v>
      </c>
      <c r="J2113" s="2">
        <v>62252.41</v>
      </c>
      <c r="K2113" s="2">
        <f>Table1[[#This Row],[Salary_after]]-Table1[[#This Row],[Salary_before]]</f>
        <v>-3047.6499999999942</v>
      </c>
      <c r="L2113" s="11">
        <v>-4.6699999999999998E-2</v>
      </c>
      <c r="M2113" s="11">
        <v>0.17660000000000001</v>
      </c>
      <c r="N2113">
        <v>64.77</v>
      </c>
      <c r="O2113">
        <v>36.42</v>
      </c>
      <c r="P2113">
        <v>5</v>
      </c>
      <c r="Q2113" t="s">
        <v>25</v>
      </c>
      <c r="R2113">
        <v>64.03</v>
      </c>
      <c r="S2113">
        <v>4.67</v>
      </c>
      <c r="T2113" s="4">
        <v>43.085000000000001</v>
      </c>
      <c r="U2113" s="4">
        <v>11.894772</v>
      </c>
      <c r="V2113" t="str">
        <f>IF(Table1[[#This Row],[ai_disruption_intensity]]&gt;70,"High",
IF(Table1[[#This Row],[ai_disruption_intensity]]&gt;40,"Medium","Low"))</f>
        <v>Low</v>
      </c>
      <c r="W2113" t="str">
        <f>IF(Table1[[#This Row],[skill_gap_index]]&gt;70,"Large Gap",
IF(Table1[[#This Row],[skill_gap_index]]&gt;40,"Medium Gap","Small Gap"))</f>
        <v>Large Gap</v>
      </c>
      <c r="X2113" s="3" t="str">
        <f>IF(Table1[[#This Row],[automation_risk_percent]]&gt;0.7,"Highly Automatable",
IF(Table1[[#This Row],[automation_risk_percent]]&gt;0.4,"Moderate Risk","Safe Job"))</f>
        <v>Safe Job</v>
      </c>
    </row>
    <row r="2114" spans="1:24" x14ac:dyDescent="0.3">
      <c r="A2114">
        <v>7521</v>
      </c>
      <c r="B2114" t="s">
        <v>22</v>
      </c>
      <c r="C2114" t="s">
        <v>33</v>
      </c>
      <c r="D2114" t="s">
        <v>35</v>
      </c>
      <c r="E2114" s="1">
        <v>2026</v>
      </c>
      <c r="F2114" s="11">
        <v>0.73140000000000005</v>
      </c>
      <c r="G2114">
        <v>75.92</v>
      </c>
      <c r="H2114">
        <v>95.83</v>
      </c>
      <c r="I2114" s="2">
        <v>127149.86</v>
      </c>
      <c r="J2114" s="2">
        <v>125644.26</v>
      </c>
      <c r="K2114" s="2">
        <f>Table1[[#This Row],[Salary_after]]-Table1[[#This Row],[Salary_before]]</f>
        <v>-1505.6000000000058</v>
      </c>
      <c r="L2114" s="11">
        <v>-1.18E-2</v>
      </c>
      <c r="M2114" s="11">
        <v>7.3800000000000004E-2</v>
      </c>
      <c r="N2114">
        <v>57.89</v>
      </c>
      <c r="O2114">
        <v>86.77</v>
      </c>
      <c r="P2114">
        <v>1</v>
      </c>
      <c r="Q2114" t="s">
        <v>37</v>
      </c>
      <c r="R2114">
        <v>84.484999999999999</v>
      </c>
      <c r="S2114">
        <v>1.18</v>
      </c>
      <c r="T2114" s="4">
        <v>58.358999999999902</v>
      </c>
      <c r="U2114" s="4">
        <v>63.463577999999998</v>
      </c>
      <c r="V2114" t="str">
        <f>IF(Table1[[#This Row],[ai_disruption_intensity]]&gt;70,"High",
IF(Table1[[#This Row],[ai_disruption_intensity]]&gt;40,"Medium","Low"))</f>
        <v>Medium</v>
      </c>
      <c r="W2114" t="str">
        <f>IF(Table1[[#This Row],[skill_gap_index]]&gt;70,"Large Gap",
IF(Table1[[#This Row],[skill_gap_index]]&gt;40,"Medium Gap","Small Gap"))</f>
        <v>Large Gap</v>
      </c>
      <c r="X2114" s="3" t="str">
        <f>IF(Table1[[#This Row],[automation_risk_percent]]&gt;0.7,"Highly Automatable",
IF(Table1[[#This Row],[automation_risk_percent]]&gt;0.4,"Moderate Risk","Safe Job"))</f>
        <v>Highly Automatable</v>
      </c>
    </row>
    <row r="2115" spans="1:24" x14ac:dyDescent="0.3">
      <c r="A2115">
        <v>7524</v>
      </c>
      <c r="B2115" t="s">
        <v>29</v>
      </c>
      <c r="C2115" t="s">
        <v>27</v>
      </c>
      <c r="D2115" t="s">
        <v>35</v>
      </c>
      <c r="E2115" s="1">
        <v>2026</v>
      </c>
      <c r="F2115" s="11">
        <v>0.65709999999999991</v>
      </c>
      <c r="G2115">
        <v>54.03</v>
      </c>
      <c r="H2115">
        <v>94</v>
      </c>
      <c r="I2115" s="2">
        <v>44776.61</v>
      </c>
      <c r="J2115" s="2">
        <v>43030.47</v>
      </c>
      <c r="K2115" s="2">
        <f>Table1[[#This Row],[Salary_after]]-Table1[[#This Row],[Salary_before]]</f>
        <v>-1746.1399999999994</v>
      </c>
      <c r="L2115" s="11">
        <v>-3.9E-2</v>
      </c>
      <c r="M2115" s="11">
        <v>8.9099999999999999E-2</v>
      </c>
      <c r="N2115">
        <v>70.27</v>
      </c>
      <c r="O2115">
        <v>81.709999999999994</v>
      </c>
      <c r="P2115">
        <v>1</v>
      </c>
      <c r="Q2115" t="s">
        <v>37</v>
      </c>
      <c r="R2115">
        <v>79.854999999999905</v>
      </c>
      <c r="S2115">
        <v>3.9</v>
      </c>
      <c r="T2115" s="4">
        <v>55.653999999999897</v>
      </c>
      <c r="U2115" s="4">
        <v>53.691640999999898</v>
      </c>
      <c r="V2115" t="str">
        <f>IF(Table1[[#This Row],[ai_disruption_intensity]]&gt;70,"High",
IF(Table1[[#This Row],[ai_disruption_intensity]]&gt;40,"Medium","Low"))</f>
        <v>Medium</v>
      </c>
      <c r="W2115" t="str">
        <f>IF(Table1[[#This Row],[skill_gap_index]]&gt;70,"Large Gap",
IF(Table1[[#This Row],[skill_gap_index]]&gt;40,"Medium Gap","Small Gap"))</f>
        <v>Large Gap</v>
      </c>
      <c r="X2115" s="3" t="str">
        <f>IF(Table1[[#This Row],[automation_risk_percent]]&gt;0.7,"Highly Automatable",
IF(Table1[[#This Row],[automation_risk_percent]]&gt;0.4,"Moderate Risk","Safe Job"))</f>
        <v>Moderate Risk</v>
      </c>
    </row>
    <row r="2116" spans="1:24" x14ac:dyDescent="0.3">
      <c r="A2116">
        <v>7525</v>
      </c>
      <c r="B2116" t="s">
        <v>39</v>
      </c>
      <c r="C2116" t="s">
        <v>30</v>
      </c>
      <c r="D2116" t="s">
        <v>20</v>
      </c>
      <c r="E2116" s="1">
        <v>2026</v>
      </c>
      <c r="F2116" s="11">
        <v>0.49060000000000004</v>
      </c>
      <c r="G2116">
        <v>50.06</v>
      </c>
      <c r="H2116">
        <v>15.94</v>
      </c>
      <c r="I2116" s="2">
        <v>79707.899999999994</v>
      </c>
      <c r="J2116" s="2">
        <v>77403.289999999994</v>
      </c>
      <c r="K2116" s="2">
        <f>Table1[[#This Row],[Salary_after]]-Table1[[#This Row],[Salary_before]]</f>
        <v>-2304.6100000000006</v>
      </c>
      <c r="L2116" s="11">
        <v>-2.8900000000000002E-2</v>
      </c>
      <c r="M2116" s="11">
        <v>6.1799999999999994E-2</v>
      </c>
      <c r="N2116">
        <v>52.91</v>
      </c>
      <c r="O2116">
        <v>63.8</v>
      </c>
      <c r="P2116">
        <v>2</v>
      </c>
      <c r="Q2116" t="s">
        <v>25</v>
      </c>
      <c r="R2116">
        <v>32.5</v>
      </c>
      <c r="S2116">
        <v>2.89</v>
      </c>
      <c r="T2116" s="4">
        <v>25.273</v>
      </c>
      <c r="U2116" s="4">
        <v>31.300279999999901</v>
      </c>
      <c r="V2116" t="str">
        <f>IF(Table1[[#This Row],[ai_disruption_intensity]]&gt;70,"High",
IF(Table1[[#This Row],[ai_disruption_intensity]]&gt;40,"Medium","Low"))</f>
        <v>Low</v>
      </c>
      <c r="W2116" t="str">
        <f>IF(Table1[[#This Row],[skill_gap_index]]&gt;70,"Large Gap",
IF(Table1[[#This Row],[skill_gap_index]]&gt;40,"Medium Gap","Small Gap"))</f>
        <v>Small Gap</v>
      </c>
      <c r="X2116" s="3" t="str">
        <f>IF(Table1[[#This Row],[automation_risk_percent]]&gt;0.7,"Highly Automatable",
IF(Table1[[#This Row],[automation_risk_percent]]&gt;0.4,"Moderate Risk","Safe Job"))</f>
        <v>Moderate Risk</v>
      </c>
    </row>
    <row r="2117" spans="1:24" x14ac:dyDescent="0.3">
      <c r="A2117">
        <v>7528</v>
      </c>
      <c r="B2117" t="s">
        <v>43</v>
      </c>
      <c r="C2117" t="s">
        <v>40</v>
      </c>
      <c r="D2117" t="s">
        <v>35</v>
      </c>
      <c r="E2117" s="1">
        <v>2025</v>
      </c>
      <c r="F2117" s="11">
        <v>0.16670000000000001</v>
      </c>
      <c r="G2117">
        <v>19.23</v>
      </c>
      <c r="H2117">
        <v>82.25</v>
      </c>
      <c r="I2117" s="2">
        <v>98080.17</v>
      </c>
      <c r="J2117" s="2">
        <v>82225.41</v>
      </c>
      <c r="K2117" s="2">
        <f>Table1[[#This Row],[Salary_after]]-Table1[[#This Row],[Salary_before]]</f>
        <v>-15854.759999999995</v>
      </c>
      <c r="L2117" s="11">
        <v>-0.16170000000000001</v>
      </c>
      <c r="M2117" s="11">
        <v>0.1636</v>
      </c>
      <c r="N2117">
        <v>28.15</v>
      </c>
      <c r="O2117">
        <v>45.54</v>
      </c>
      <c r="P2117">
        <v>4</v>
      </c>
      <c r="Q2117" t="s">
        <v>21</v>
      </c>
      <c r="R2117">
        <v>49.46</v>
      </c>
      <c r="S2117">
        <v>16.170000000000002</v>
      </c>
      <c r="T2117" s="4">
        <v>36.194000000000003</v>
      </c>
      <c r="U2117" s="4">
        <v>7.5915179999999998</v>
      </c>
      <c r="V2117" t="str">
        <f>IF(Table1[[#This Row],[ai_disruption_intensity]]&gt;70,"High",
IF(Table1[[#This Row],[ai_disruption_intensity]]&gt;40,"Medium","Low"))</f>
        <v>Low</v>
      </c>
      <c r="W2117" t="str">
        <f>IF(Table1[[#This Row],[skill_gap_index]]&gt;70,"Large Gap",
IF(Table1[[#This Row],[skill_gap_index]]&gt;40,"Medium Gap","Small Gap"))</f>
        <v>Large Gap</v>
      </c>
      <c r="X2117" s="3" t="str">
        <f>IF(Table1[[#This Row],[automation_risk_percent]]&gt;0.7,"Highly Automatable",
IF(Table1[[#This Row],[automation_risk_percent]]&gt;0.4,"Moderate Risk","Safe Job"))</f>
        <v>Safe Job</v>
      </c>
    </row>
    <row r="2118" spans="1:24" x14ac:dyDescent="0.3">
      <c r="A2118">
        <v>7529</v>
      </c>
      <c r="B2118" t="s">
        <v>22</v>
      </c>
      <c r="C2118" t="s">
        <v>38</v>
      </c>
      <c r="D2118" t="s">
        <v>36</v>
      </c>
      <c r="E2118" s="1">
        <v>2025</v>
      </c>
      <c r="F2118" s="11">
        <v>0.56020000000000003</v>
      </c>
      <c r="G2118">
        <v>67.19</v>
      </c>
      <c r="H2118">
        <v>81.73</v>
      </c>
      <c r="I2118" s="2">
        <v>82116.94</v>
      </c>
      <c r="J2118" s="2">
        <v>78156.149999999994</v>
      </c>
      <c r="K2118" s="2">
        <f>Table1[[#This Row],[Salary_after]]-Table1[[#This Row],[Salary_before]]</f>
        <v>-3960.7900000000081</v>
      </c>
      <c r="L2118" s="11">
        <v>-4.82E-2</v>
      </c>
      <c r="M2118" s="11">
        <v>7.9899999999999999E-2</v>
      </c>
      <c r="N2118">
        <v>47.35</v>
      </c>
      <c r="O2118">
        <v>42.49</v>
      </c>
      <c r="P2118">
        <v>1</v>
      </c>
      <c r="Q2118" t="s">
        <v>25</v>
      </c>
      <c r="R2118">
        <v>68.875</v>
      </c>
      <c r="S2118">
        <v>4.82</v>
      </c>
      <c r="T2118" s="4">
        <v>48.372999999999998</v>
      </c>
      <c r="U2118" s="4">
        <v>23.802897999999999</v>
      </c>
      <c r="V2118" t="str">
        <f>IF(Table1[[#This Row],[ai_disruption_intensity]]&gt;70,"High",
IF(Table1[[#This Row],[ai_disruption_intensity]]&gt;40,"Medium","Low"))</f>
        <v>Low</v>
      </c>
      <c r="W2118" t="str">
        <f>IF(Table1[[#This Row],[skill_gap_index]]&gt;70,"Large Gap",
IF(Table1[[#This Row],[skill_gap_index]]&gt;40,"Medium Gap","Small Gap"))</f>
        <v>Large Gap</v>
      </c>
      <c r="X2118" s="3" t="str">
        <f>IF(Table1[[#This Row],[automation_risk_percent]]&gt;0.7,"Highly Automatable",
IF(Table1[[#This Row],[automation_risk_percent]]&gt;0.4,"Moderate Risk","Safe Job"))</f>
        <v>Moderate Risk</v>
      </c>
    </row>
    <row r="2119" spans="1:24" x14ac:dyDescent="0.3">
      <c r="A2119">
        <v>7532</v>
      </c>
      <c r="B2119" t="s">
        <v>18</v>
      </c>
      <c r="C2119" t="s">
        <v>27</v>
      </c>
      <c r="D2119" t="s">
        <v>20</v>
      </c>
      <c r="E2119" s="1">
        <v>2025</v>
      </c>
      <c r="F2119" s="11">
        <v>0.56520000000000004</v>
      </c>
      <c r="G2119">
        <v>66.849999999999994</v>
      </c>
      <c r="H2119">
        <v>2.0699999999999998</v>
      </c>
      <c r="I2119" s="2">
        <v>141650.75</v>
      </c>
      <c r="J2119" s="2">
        <v>136124.43</v>
      </c>
      <c r="K2119" s="2">
        <f>Table1[[#This Row],[Salary_after]]-Table1[[#This Row],[Salary_before]]</f>
        <v>-5526.320000000007</v>
      </c>
      <c r="L2119" s="11">
        <v>-3.9E-2</v>
      </c>
      <c r="M2119" s="11">
        <v>2.3999999999999998E-3</v>
      </c>
      <c r="N2119">
        <v>83.57</v>
      </c>
      <c r="O2119">
        <v>40.04</v>
      </c>
      <c r="P2119">
        <v>5</v>
      </c>
      <c r="Q2119" t="s">
        <v>25</v>
      </c>
      <c r="R2119">
        <v>29.295000000000002</v>
      </c>
      <c r="S2119">
        <v>3.9</v>
      </c>
      <c r="T2119" s="4">
        <v>24.399000000000001</v>
      </c>
      <c r="U2119" s="4">
        <v>22.630607999999999</v>
      </c>
      <c r="V2119" t="str">
        <f>IF(Table1[[#This Row],[ai_disruption_intensity]]&gt;70,"High",
IF(Table1[[#This Row],[ai_disruption_intensity]]&gt;40,"Medium","Low"))</f>
        <v>Low</v>
      </c>
      <c r="W2119" t="str">
        <f>IF(Table1[[#This Row],[skill_gap_index]]&gt;70,"Large Gap",
IF(Table1[[#This Row],[skill_gap_index]]&gt;40,"Medium Gap","Small Gap"))</f>
        <v>Small Gap</v>
      </c>
      <c r="X2119" s="3" t="str">
        <f>IF(Table1[[#This Row],[automation_risk_percent]]&gt;0.7,"Highly Automatable",
IF(Table1[[#This Row],[automation_risk_percent]]&gt;0.4,"Moderate Risk","Safe Job"))</f>
        <v>Moderate Risk</v>
      </c>
    </row>
    <row r="2120" spans="1:24" x14ac:dyDescent="0.3">
      <c r="A2120">
        <v>7539</v>
      </c>
      <c r="B2120" t="s">
        <v>29</v>
      </c>
      <c r="C2120" t="s">
        <v>23</v>
      </c>
      <c r="D2120" t="s">
        <v>42</v>
      </c>
      <c r="E2120" s="1">
        <v>2026</v>
      </c>
      <c r="F2120" s="11">
        <v>0.43490000000000001</v>
      </c>
      <c r="G2120">
        <v>44.84</v>
      </c>
      <c r="H2120">
        <v>3.13</v>
      </c>
      <c r="I2120" s="2">
        <v>137040.79</v>
      </c>
      <c r="J2120" s="2">
        <v>119368.94</v>
      </c>
      <c r="K2120" s="2">
        <f>Table1[[#This Row],[Salary_after]]-Table1[[#This Row],[Salary_before]]</f>
        <v>-17671.850000000006</v>
      </c>
      <c r="L2120" s="11">
        <v>-0.129</v>
      </c>
      <c r="M2120" s="11">
        <v>2.9100000000000001E-2</v>
      </c>
      <c r="N2120">
        <v>31.54</v>
      </c>
      <c r="O2120">
        <v>84.82</v>
      </c>
      <c r="P2120">
        <v>3</v>
      </c>
      <c r="Q2120" t="s">
        <v>25</v>
      </c>
      <c r="R2120">
        <v>23.31</v>
      </c>
      <c r="S2120">
        <v>12.9</v>
      </c>
      <c r="T2120" s="4">
        <v>22.204999999999998</v>
      </c>
      <c r="U2120" s="4">
        <v>36.888217999999902</v>
      </c>
      <c r="V2120" t="str">
        <f>IF(Table1[[#This Row],[ai_disruption_intensity]]&gt;70,"High",
IF(Table1[[#This Row],[ai_disruption_intensity]]&gt;40,"Medium","Low"))</f>
        <v>Low</v>
      </c>
      <c r="W2120" t="str">
        <f>IF(Table1[[#This Row],[skill_gap_index]]&gt;70,"Large Gap",
IF(Table1[[#This Row],[skill_gap_index]]&gt;40,"Medium Gap","Small Gap"))</f>
        <v>Small Gap</v>
      </c>
      <c r="X2120" s="3" t="str">
        <f>IF(Table1[[#This Row],[automation_risk_percent]]&gt;0.7,"Highly Automatable",
IF(Table1[[#This Row],[automation_risk_percent]]&gt;0.4,"Moderate Risk","Safe Job"))</f>
        <v>Moderate Risk</v>
      </c>
    </row>
    <row r="2121" spans="1:24" x14ac:dyDescent="0.3">
      <c r="A2121">
        <v>7541</v>
      </c>
      <c r="B2121" t="s">
        <v>39</v>
      </c>
      <c r="C2121" t="s">
        <v>33</v>
      </c>
      <c r="D2121" t="s">
        <v>47</v>
      </c>
      <c r="E2121" s="1">
        <v>2025</v>
      </c>
      <c r="F2121" s="11">
        <v>0.41350000000000003</v>
      </c>
      <c r="G2121">
        <v>40.46</v>
      </c>
      <c r="H2121">
        <v>28.53</v>
      </c>
      <c r="I2121" s="2">
        <v>76057.17</v>
      </c>
      <c r="J2121" s="2">
        <v>94178.7</v>
      </c>
      <c r="K2121" s="2">
        <f>Table1[[#This Row],[Salary_after]]-Table1[[#This Row],[Salary_before]]</f>
        <v>18121.53</v>
      </c>
      <c r="L2121" s="11">
        <v>0.23829999999999998</v>
      </c>
      <c r="M2121" s="11">
        <v>-3.0200000000000001E-2</v>
      </c>
      <c r="N2121">
        <v>21.76</v>
      </c>
      <c r="O2121">
        <v>76.400000000000006</v>
      </c>
      <c r="P2121">
        <v>2</v>
      </c>
      <c r="Q2121" t="s">
        <v>25</v>
      </c>
      <c r="R2121">
        <v>34.94</v>
      </c>
      <c r="S2121">
        <v>23.83</v>
      </c>
      <c r="T2121" s="4">
        <v>32.247999999999998</v>
      </c>
      <c r="U2121" s="4">
        <v>31.5914</v>
      </c>
      <c r="V2121" t="str">
        <f>IF(Table1[[#This Row],[ai_disruption_intensity]]&gt;70,"High",
IF(Table1[[#This Row],[ai_disruption_intensity]]&gt;40,"Medium","Low"))</f>
        <v>Low</v>
      </c>
      <c r="W2121" t="str">
        <f>IF(Table1[[#This Row],[skill_gap_index]]&gt;70,"Large Gap",
IF(Table1[[#This Row],[skill_gap_index]]&gt;40,"Medium Gap","Small Gap"))</f>
        <v>Small Gap</v>
      </c>
      <c r="X2121" s="3" t="str">
        <f>IF(Table1[[#This Row],[automation_risk_percent]]&gt;0.7,"Highly Automatable",
IF(Table1[[#This Row],[automation_risk_percent]]&gt;0.4,"Moderate Risk","Safe Job"))</f>
        <v>Moderate Risk</v>
      </c>
    </row>
    <row r="2122" spans="1:24" x14ac:dyDescent="0.3">
      <c r="A2122">
        <v>7542</v>
      </c>
      <c r="B2122" t="s">
        <v>43</v>
      </c>
      <c r="C2122" t="s">
        <v>33</v>
      </c>
      <c r="D2122" t="s">
        <v>32</v>
      </c>
      <c r="E2122" s="1">
        <v>2026</v>
      </c>
      <c r="F2122" s="11">
        <v>0.57640000000000002</v>
      </c>
      <c r="G2122">
        <v>53</v>
      </c>
      <c r="H2122">
        <v>45.93</v>
      </c>
      <c r="I2122" s="2">
        <v>143631.48000000001</v>
      </c>
      <c r="J2122" s="2">
        <v>177843.56</v>
      </c>
      <c r="K2122" s="2">
        <f>Table1[[#This Row],[Salary_after]]-Table1[[#This Row],[Salary_before]]</f>
        <v>34212.079999999987</v>
      </c>
      <c r="L2122" s="11">
        <v>0.2382</v>
      </c>
      <c r="M2122" s="11">
        <v>7.3499999999999996E-2</v>
      </c>
      <c r="N2122">
        <v>71.61</v>
      </c>
      <c r="O2122">
        <v>45.6</v>
      </c>
      <c r="P2122">
        <v>4</v>
      </c>
      <c r="Q2122" t="s">
        <v>25</v>
      </c>
      <c r="R2122">
        <v>51.784999999999997</v>
      </c>
      <c r="S2122">
        <v>23.82</v>
      </c>
      <c r="T2122" s="4">
        <v>43.981000000000002</v>
      </c>
      <c r="U2122" s="4">
        <v>26.283840000000001</v>
      </c>
      <c r="V2122" t="str">
        <f>IF(Table1[[#This Row],[ai_disruption_intensity]]&gt;70,"High",
IF(Table1[[#This Row],[ai_disruption_intensity]]&gt;40,"Medium","Low"))</f>
        <v>Low</v>
      </c>
      <c r="W2122" t="str">
        <f>IF(Table1[[#This Row],[skill_gap_index]]&gt;70,"Large Gap",
IF(Table1[[#This Row],[skill_gap_index]]&gt;40,"Medium Gap","Small Gap"))</f>
        <v>Medium Gap</v>
      </c>
      <c r="X2122" s="3" t="str">
        <f>IF(Table1[[#This Row],[automation_risk_percent]]&gt;0.7,"Highly Automatable",
IF(Table1[[#This Row],[automation_risk_percent]]&gt;0.4,"Moderate Risk","Safe Job"))</f>
        <v>Moderate Risk</v>
      </c>
    </row>
    <row r="2123" spans="1:24" x14ac:dyDescent="0.3">
      <c r="A2123">
        <v>7546</v>
      </c>
      <c r="B2123" t="s">
        <v>29</v>
      </c>
      <c r="C2123" t="s">
        <v>38</v>
      </c>
      <c r="D2123" t="s">
        <v>31</v>
      </c>
      <c r="E2123" s="1">
        <v>2026</v>
      </c>
      <c r="F2123" s="11">
        <v>0.44659999999999994</v>
      </c>
      <c r="G2123">
        <v>39.64</v>
      </c>
      <c r="H2123">
        <v>51.44</v>
      </c>
      <c r="I2123" s="2">
        <v>64906.05</v>
      </c>
      <c r="J2123" s="2">
        <v>66444.039999999994</v>
      </c>
      <c r="K2123" s="2">
        <f>Table1[[#This Row],[Salary_after]]-Table1[[#This Row],[Salary_before]]</f>
        <v>1537.9899999999907</v>
      </c>
      <c r="L2123" s="11">
        <v>2.3700000000000002E-2</v>
      </c>
      <c r="M2123" s="11">
        <v>-4.4000000000000003E-3</v>
      </c>
      <c r="N2123">
        <v>62.7</v>
      </c>
      <c r="O2123">
        <v>21.21</v>
      </c>
      <c r="P2123">
        <v>2</v>
      </c>
      <c r="Q2123" t="s">
        <v>25</v>
      </c>
      <c r="R2123">
        <v>48.05</v>
      </c>
      <c r="S2123">
        <v>2.37</v>
      </c>
      <c r="T2123" s="4">
        <v>34.006999999999998</v>
      </c>
      <c r="U2123" s="4">
        <v>9.4723860000000002</v>
      </c>
      <c r="V2123" t="str">
        <f>IF(Table1[[#This Row],[ai_disruption_intensity]]&gt;70,"High",
IF(Table1[[#This Row],[ai_disruption_intensity]]&gt;40,"Medium","Low"))</f>
        <v>Low</v>
      </c>
      <c r="W2123" t="str">
        <f>IF(Table1[[#This Row],[skill_gap_index]]&gt;70,"Large Gap",
IF(Table1[[#This Row],[skill_gap_index]]&gt;40,"Medium Gap","Small Gap"))</f>
        <v>Medium Gap</v>
      </c>
      <c r="X2123" s="3" t="str">
        <f>IF(Table1[[#This Row],[automation_risk_percent]]&gt;0.7,"Highly Automatable",
IF(Table1[[#This Row],[automation_risk_percent]]&gt;0.4,"Moderate Risk","Safe Job"))</f>
        <v>Moderate Risk</v>
      </c>
    </row>
    <row r="2124" spans="1:24" x14ac:dyDescent="0.3">
      <c r="A2124">
        <v>7549</v>
      </c>
      <c r="B2124" t="s">
        <v>45</v>
      </c>
      <c r="C2124" t="s">
        <v>19</v>
      </c>
      <c r="D2124" t="s">
        <v>31</v>
      </c>
      <c r="E2124" s="1">
        <v>2025</v>
      </c>
      <c r="F2124" s="11">
        <v>0.27600000000000002</v>
      </c>
      <c r="G2124">
        <v>27.86</v>
      </c>
      <c r="H2124">
        <v>33.26</v>
      </c>
      <c r="I2124" s="2">
        <v>87715.86</v>
      </c>
      <c r="J2124" s="2">
        <v>88042.63</v>
      </c>
      <c r="K2124" s="2">
        <f>Table1[[#This Row],[Salary_after]]-Table1[[#This Row],[Salary_before]]</f>
        <v>326.77000000000407</v>
      </c>
      <c r="L2124" s="11">
        <v>3.7000000000000002E-3</v>
      </c>
      <c r="M2124" s="11">
        <v>-7.4700000000000003E-2</v>
      </c>
      <c r="N2124">
        <v>14.26</v>
      </c>
      <c r="O2124">
        <v>84</v>
      </c>
      <c r="P2124">
        <v>2</v>
      </c>
      <c r="Q2124" t="s">
        <v>21</v>
      </c>
      <c r="R2124">
        <v>30.43</v>
      </c>
      <c r="S2124">
        <v>0.37</v>
      </c>
      <c r="T2124" s="4">
        <v>21.129000000000001</v>
      </c>
      <c r="U2124" s="4">
        <v>23.184000000000001</v>
      </c>
      <c r="V2124" t="str">
        <f>IF(Table1[[#This Row],[ai_disruption_intensity]]&gt;70,"High",
IF(Table1[[#This Row],[ai_disruption_intensity]]&gt;40,"Medium","Low"))</f>
        <v>Low</v>
      </c>
      <c r="W2124" t="str">
        <f>IF(Table1[[#This Row],[skill_gap_index]]&gt;70,"Large Gap",
IF(Table1[[#This Row],[skill_gap_index]]&gt;40,"Medium Gap","Small Gap"))</f>
        <v>Small Gap</v>
      </c>
      <c r="X2124" s="3" t="str">
        <f>IF(Table1[[#This Row],[automation_risk_percent]]&gt;0.7,"Highly Automatable",
IF(Table1[[#This Row],[automation_risk_percent]]&gt;0.4,"Moderate Risk","Safe Job"))</f>
        <v>Safe Job</v>
      </c>
    </row>
    <row r="2125" spans="1:24" x14ac:dyDescent="0.3">
      <c r="A2125">
        <v>7551</v>
      </c>
      <c r="B2125" t="s">
        <v>46</v>
      </c>
      <c r="C2125" t="s">
        <v>23</v>
      </c>
      <c r="D2125" t="s">
        <v>28</v>
      </c>
      <c r="E2125" s="1">
        <v>2026</v>
      </c>
      <c r="F2125" s="11">
        <v>0.1139</v>
      </c>
      <c r="G2125">
        <v>12.65</v>
      </c>
      <c r="H2125">
        <v>90.95</v>
      </c>
      <c r="I2125" s="2">
        <v>67785.19</v>
      </c>
      <c r="J2125" s="2">
        <v>66134.740000000005</v>
      </c>
      <c r="K2125" s="2">
        <f>Table1[[#This Row],[Salary_after]]-Table1[[#This Row],[Salary_before]]</f>
        <v>-1650.4499999999971</v>
      </c>
      <c r="L2125" s="11">
        <v>-2.4300000000000002E-2</v>
      </c>
      <c r="M2125" s="11">
        <v>-0.11169999999999999</v>
      </c>
      <c r="N2125">
        <v>44.78</v>
      </c>
      <c r="O2125">
        <v>61.96</v>
      </c>
      <c r="P2125">
        <v>1</v>
      </c>
      <c r="Q2125" t="s">
        <v>21</v>
      </c>
      <c r="R2125">
        <v>51.17</v>
      </c>
      <c r="S2125">
        <v>2.4300000000000002</v>
      </c>
      <c r="T2125" s="4">
        <v>32.57</v>
      </c>
      <c r="U2125" s="4">
        <v>7.0572439999999999</v>
      </c>
      <c r="V2125" t="str">
        <f>IF(Table1[[#This Row],[ai_disruption_intensity]]&gt;70,"High",
IF(Table1[[#This Row],[ai_disruption_intensity]]&gt;40,"Medium","Low"))</f>
        <v>Low</v>
      </c>
      <c r="W2125" t="str">
        <f>IF(Table1[[#This Row],[skill_gap_index]]&gt;70,"Large Gap",
IF(Table1[[#This Row],[skill_gap_index]]&gt;40,"Medium Gap","Small Gap"))</f>
        <v>Large Gap</v>
      </c>
      <c r="X2125" s="3" t="str">
        <f>IF(Table1[[#This Row],[automation_risk_percent]]&gt;0.7,"Highly Automatable",
IF(Table1[[#This Row],[automation_risk_percent]]&gt;0.4,"Moderate Risk","Safe Job"))</f>
        <v>Safe Job</v>
      </c>
    </row>
    <row r="2126" spans="1:24" x14ac:dyDescent="0.3">
      <c r="A2126">
        <v>7552</v>
      </c>
      <c r="B2126" t="s">
        <v>41</v>
      </c>
      <c r="C2126" t="s">
        <v>30</v>
      </c>
      <c r="D2126" t="s">
        <v>20</v>
      </c>
      <c r="E2126" s="1">
        <v>2025</v>
      </c>
      <c r="F2126" s="11">
        <v>0.64410000000000001</v>
      </c>
      <c r="G2126">
        <v>53.78</v>
      </c>
      <c r="H2126">
        <v>13.17</v>
      </c>
      <c r="I2126" s="2">
        <v>36205.4</v>
      </c>
      <c r="J2126" s="2">
        <v>36702.980000000003</v>
      </c>
      <c r="K2126" s="2">
        <f>Table1[[#This Row],[Salary_after]]-Table1[[#This Row],[Salary_before]]</f>
        <v>497.58000000000175</v>
      </c>
      <c r="L2126" s="11">
        <v>1.37E-2</v>
      </c>
      <c r="M2126" s="11">
        <v>9.2799999999999994E-2</v>
      </c>
      <c r="N2126">
        <v>87</v>
      </c>
      <c r="O2126">
        <v>54.13</v>
      </c>
      <c r="P2126">
        <v>4</v>
      </c>
      <c r="Q2126" t="s">
        <v>37</v>
      </c>
      <c r="R2126">
        <v>38.79</v>
      </c>
      <c r="S2126">
        <v>1.37</v>
      </c>
      <c r="T2126" s="4">
        <v>30.126000000000001</v>
      </c>
      <c r="U2126" s="4">
        <v>34.865133</v>
      </c>
      <c r="V2126" t="str">
        <f>IF(Table1[[#This Row],[ai_disruption_intensity]]&gt;70,"High",
IF(Table1[[#This Row],[ai_disruption_intensity]]&gt;40,"Medium","Low"))</f>
        <v>Low</v>
      </c>
      <c r="W2126" t="str">
        <f>IF(Table1[[#This Row],[skill_gap_index]]&gt;70,"Large Gap",
IF(Table1[[#This Row],[skill_gap_index]]&gt;40,"Medium Gap","Small Gap"))</f>
        <v>Small Gap</v>
      </c>
      <c r="X2126" s="3" t="str">
        <f>IF(Table1[[#This Row],[automation_risk_percent]]&gt;0.7,"Highly Automatable",
IF(Table1[[#This Row],[automation_risk_percent]]&gt;0.4,"Moderate Risk","Safe Job"))</f>
        <v>Moderate Risk</v>
      </c>
    </row>
    <row r="2127" spans="1:24" x14ac:dyDescent="0.3">
      <c r="A2127">
        <v>7553</v>
      </c>
      <c r="B2127" t="s">
        <v>39</v>
      </c>
      <c r="C2127" t="s">
        <v>30</v>
      </c>
      <c r="D2127" t="s">
        <v>20</v>
      </c>
      <c r="E2127" s="1">
        <v>2026</v>
      </c>
      <c r="F2127" s="11">
        <v>0.23569999999999999</v>
      </c>
      <c r="G2127">
        <v>24.76</v>
      </c>
      <c r="H2127">
        <v>50.53</v>
      </c>
      <c r="I2127" s="2">
        <v>78983.08</v>
      </c>
      <c r="J2127" s="2">
        <v>90563.13</v>
      </c>
      <c r="K2127" s="2">
        <f>Table1[[#This Row],[Salary_after]]-Table1[[#This Row],[Salary_before]]</f>
        <v>11580.050000000003</v>
      </c>
      <c r="L2127" s="11">
        <v>0.14660000000000001</v>
      </c>
      <c r="M2127" s="11">
        <v>-7.5199999999999989E-2</v>
      </c>
      <c r="N2127">
        <v>65.599999999999994</v>
      </c>
      <c r="O2127">
        <v>15.16</v>
      </c>
      <c r="P2127">
        <v>4</v>
      </c>
      <c r="Q2127" t="s">
        <v>21</v>
      </c>
      <c r="R2127">
        <v>37.049999999999997</v>
      </c>
      <c r="S2127">
        <v>14.66</v>
      </c>
      <c r="T2127" s="4">
        <v>28.984999999999999</v>
      </c>
      <c r="U2127" s="4">
        <v>3.5732119999999998</v>
      </c>
      <c r="V2127" t="str">
        <f>IF(Table1[[#This Row],[ai_disruption_intensity]]&gt;70,"High",
IF(Table1[[#This Row],[ai_disruption_intensity]]&gt;40,"Medium","Low"))</f>
        <v>Low</v>
      </c>
      <c r="W2127" t="str">
        <f>IF(Table1[[#This Row],[skill_gap_index]]&gt;70,"Large Gap",
IF(Table1[[#This Row],[skill_gap_index]]&gt;40,"Medium Gap","Small Gap"))</f>
        <v>Medium Gap</v>
      </c>
      <c r="X2127" s="3" t="str">
        <f>IF(Table1[[#This Row],[automation_risk_percent]]&gt;0.7,"Highly Automatable",
IF(Table1[[#This Row],[automation_risk_percent]]&gt;0.4,"Moderate Risk","Safe Job"))</f>
        <v>Safe Job</v>
      </c>
    </row>
    <row r="2128" spans="1:24" x14ac:dyDescent="0.3">
      <c r="A2128">
        <v>7555</v>
      </c>
      <c r="B2128" t="s">
        <v>45</v>
      </c>
      <c r="C2128" t="s">
        <v>34</v>
      </c>
      <c r="D2128" t="s">
        <v>28</v>
      </c>
      <c r="E2128" s="1">
        <v>2025</v>
      </c>
      <c r="F2128" s="11">
        <v>0.68150000000000011</v>
      </c>
      <c r="G2128">
        <v>63.46</v>
      </c>
      <c r="H2128">
        <v>55.07</v>
      </c>
      <c r="I2128" s="2">
        <v>57701.39</v>
      </c>
      <c r="J2128" s="2">
        <v>53367.49</v>
      </c>
      <c r="K2128" s="2">
        <f>Table1[[#This Row],[Salary_after]]-Table1[[#This Row],[Salary_before]]</f>
        <v>-4333.9000000000015</v>
      </c>
      <c r="L2128" s="11">
        <v>-7.51E-2</v>
      </c>
      <c r="M2128" s="11">
        <v>0.10220000000000001</v>
      </c>
      <c r="N2128">
        <v>90.95</v>
      </c>
      <c r="O2128">
        <v>37.159999999999997</v>
      </c>
      <c r="P2128">
        <v>3</v>
      </c>
      <c r="Q2128" t="s">
        <v>37</v>
      </c>
      <c r="R2128">
        <v>61.61</v>
      </c>
      <c r="S2128">
        <v>7.51</v>
      </c>
      <c r="T2128" s="4">
        <v>46.033999999999999</v>
      </c>
      <c r="U2128" s="4">
        <v>25.324539999999999</v>
      </c>
      <c r="V2128" t="str">
        <f>IF(Table1[[#This Row],[ai_disruption_intensity]]&gt;70,"High",
IF(Table1[[#This Row],[ai_disruption_intensity]]&gt;40,"Medium","Low"))</f>
        <v>Low</v>
      </c>
      <c r="W2128" t="str">
        <f>IF(Table1[[#This Row],[skill_gap_index]]&gt;70,"Large Gap",
IF(Table1[[#This Row],[skill_gap_index]]&gt;40,"Medium Gap","Small Gap"))</f>
        <v>Medium Gap</v>
      </c>
      <c r="X2128" s="3" t="str">
        <f>IF(Table1[[#This Row],[automation_risk_percent]]&gt;0.7,"Highly Automatable",
IF(Table1[[#This Row],[automation_risk_percent]]&gt;0.4,"Moderate Risk","Safe Job"))</f>
        <v>Moderate Risk</v>
      </c>
    </row>
    <row r="2129" spans="1:24" x14ac:dyDescent="0.3">
      <c r="A2129">
        <v>7557</v>
      </c>
      <c r="B2129" t="s">
        <v>29</v>
      </c>
      <c r="C2129" t="s">
        <v>19</v>
      </c>
      <c r="D2129" t="s">
        <v>28</v>
      </c>
      <c r="E2129" s="1">
        <v>2026</v>
      </c>
      <c r="F2129" s="11">
        <v>0.41369999999999996</v>
      </c>
      <c r="G2129">
        <v>41.16</v>
      </c>
      <c r="H2129">
        <v>32.479999999999997</v>
      </c>
      <c r="I2129" s="2">
        <v>83758.28</v>
      </c>
      <c r="J2129" s="2">
        <v>81664.81</v>
      </c>
      <c r="K2129" s="2">
        <f>Table1[[#This Row],[Salary_after]]-Table1[[#This Row],[Salary_before]]</f>
        <v>-2093.4700000000012</v>
      </c>
      <c r="L2129" s="11">
        <v>-2.5000000000000001E-2</v>
      </c>
      <c r="M2129" s="11">
        <v>9.7100000000000006E-2</v>
      </c>
      <c r="N2129">
        <v>85.51</v>
      </c>
      <c r="O2129">
        <v>93.53</v>
      </c>
      <c r="P2129">
        <v>3</v>
      </c>
      <c r="Q2129" t="s">
        <v>25</v>
      </c>
      <c r="R2129">
        <v>36.924999999999997</v>
      </c>
      <c r="S2129">
        <v>2.5</v>
      </c>
      <c r="T2129" s="4">
        <v>27.041999999999899</v>
      </c>
      <c r="U2129" s="4">
        <v>38.693361000000003</v>
      </c>
      <c r="V2129" t="str">
        <f>IF(Table1[[#This Row],[ai_disruption_intensity]]&gt;70,"High",
IF(Table1[[#This Row],[ai_disruption_intensity]]&gt;40,"Medium","Low"))</f>
        <v>Low</v>
      </c>
      <c r="W2129" t="str">
        <f>IF(Table1[[#This Row],[skill_gap_index]]&gt;70,"Large Gap",
IF(Table1[[#This Row],[skill_gap_index]]&gt;40,"Medium Gap","Small Gap"))</f>
        <v>Small Gap</v>
      </c>
      <c r="X2129" s="3" t="str">
        <f>IF(Table1[[#This Row],[automation_risk_percent]]&gt;0.7,"Highly Automatable",
IF(Table1[[#This Row],[automation_risk_percent]]&gt;0.4,"Moderate Risk","Safe Job"))</f>
        <v>Moderate Risk</v>
      </c>
    </row>
    <row r="2130" spans="1:24" x14ac:dyDescent="0.3">
      <c r="A2130">
        <v>7558</v>
      </c>
      <c r="B2130" t="s">
        <v>41</v>
      </c>
      <c r="C2130" t="s">
        <v>34</v>
      </c>
      <c r="D2130" t="s">
        <v>36</v>
      </c>
      <c r="E2130" s="1">
        <v>2026</v>
      </c>
      <c r="F2130" s="11">
        <v>0.81349999999999989</v>
      </c>
      <c r="G2130">
        <v>82.24</v>
      </c>
      <c r="H2130">
        <v>56.4</v>
      </c>
      <c r="I2130" s="2">
        <v>128356.2</v>
      </c>
      <c r="J2130" s="2">
        <v>97651.07</v>
      </c>
      <c r="K2130" s="2">
        <f>Table1[[#This Row],[Salary_after]]-Table1[[#This Row],[Salary_before]]</f>
        <v>-30705.12999999999</v>
      </c>
      <c r="L2130" s="11">
        <v>-0.23920000000000002</v>
      </c>
      <c r="M2130" s="11">
        <v>0.11710000000000001</v>
      </c>
      <c r="N2130">
        <v>79.02</v>
      </c>
      <c r="O2130">
        <v>26.62</v>
      </c>
      <c r="P2130">
        <v>3</v>
      </c>
      <c r="Q2130" t="s">
        <v>37</v>
      </c>
      <c r="R2130">
        <v>68.875</v>
      </c>
      <c r="S2130">
        <v>23.92</v>
      </c>
      <c r="T2130" s="4">
        <v>56.635999999999903</v>
      </c>
      <c r="U2130" s="4">
        <v>21.655369999999898</v>
      </c>
      <c r="V2130" t="str">
        <f>IF(Table1[[#This Row],[ai_disruption_intensity]]&gt;70,"High",
IF(Table1[[#This Row],[ai_disruption_intensity]]&gt;40,"Medium","Low"))</f>
        <v>Low</v>
      </c>
      <c r="W2130" t="str">
        <f>IF(Table1[[#This Row],[skill_gap_index]]&gt;70,"Large Gap",
IF(Table1[[#This Row],[skill_gap_index]]&gt;40,"Medium Gap","Small Gap"))</f>
        <v>Medium Gap</v>
      </c>
      <c r="X2130" s="3" t="str">
        <f>IF(Table1[[#This Row],[automation_risk_percent]]&gt;0.7,"Highly Automatable",
IF(Table1[[#This Row],[automation_risk_percent]]&gt;0.4,"Moderate Risk","Safe Job"))</f>
        <v>Highly Automatable</v>
      </c>
    </row>
    <row r="2131" spans="1:24" x14ac:dyDescent="0.3">
      <c r="A2131">
        <v>7562</v>
      </c>
      <c r="B2131" t="s">
        <v>45</v>
      </c>
      <c r="C2131" t="s">
        <v>34</v>
      </c>
      <c r="D2131" t="s">
        <v>36</v>
      </c>
      <c r="E2131" s="1">
        <v>2026</v>
      </c>
      <c r="F2131" s="11">
        <v>0.28889999999999999</v>
      </c>
      <c r="G2131">
        <v>30.15</v>
      </c>
      <c r="H2131">
        <v>72.5</v>
      </c>
      <c r="I2131" s="2">
        <v>106319.21</v>
      </c>
      <c r="J2131" s="2">
        <v>113023.59</v>
      </c>
      <c r="K2131" s="2">
        <f>Table1[[#This Row],[Salary_after]]-Table1[[#This Row],[Salary_before]]</f>
        <v>6704.3799999999901</v>
      </c>
      <c r="L2131" s="11">
        <v>6.3099999999999989E-2</v>
      </c>
      <c r="M2131" s="11">
        <v>0.21530000000000002</v>
      </c>
      <c r="N2131">
        <v>85.22</v>
      </c>
      <c r="O2131">
        <v>82.67</v>
      </c>
      <c r="P2131">
        <v>3</v>
      </c>
      <c r="Q2131" t="s">
        <v>21</v>
      </c>
      <c r="R2131">
        <v>50.695</v>
      </c>
      <c r="S2131">
        <v>6.31</v>
      </c>
      <c r="T2131" s="4">
        <v>35.198999999999998</v>
      </c>
      <c r="U2131" s="4">
        <v>23.883362999999999</v>
      </c>
      <c r="V2131" t="str">
        <f>IF(Table1[[#This Row],[ai_disruption_intensity]]&gt;70,"High",
IF(Table1[[#This Row],[ai_disruption_intensity]]&gt;40,"Medium","Low"))</f>
        <v>Low</v>
      </c>
      <c r="W2131" t="str">
        <f>IF(Table1[[#This Row],[skill_gap_index]]&gt;70,"Large Gap",
IF(Table1[[#This Row],[skill_gap_index]]&gt;40,"Medium Gap","Small Gap"))</f>
        <v>Large Gap</v>
      </c>
      <c r="X2131" s="3" t="str">
        <f>IF(Table1[[#This Row],[automation_risk_percent]]&gt;0.7,"Highly Automatable",
IF(Table1[[#This Row],[automation_risk_percent]]&gt;0.4,"Moderate Risk","Safe Job"))</f>
        <v>Safe Job</v>
      </c>
    </row>
    <row r="2132" spans="1:24" x14ac:dyDescent="0.3">
      <c r="A2132">
        <v>7566</v>
      </c>
      <c r="B2132" t="s">
        <v>44</v>
      </c>
      <c r="C2132" t="s">
        <v>33</v>
      </c>
      <c r="D2132" t="s">
        <v>42</v>
      </c>
      <c r="E2132" s="1">
        <v>2025</v>
      </c>
      <c r="F2132" s="11">
        <v>0.69030000000000002</v>
      </c>
      <c r="G2132">
        <v>81.96</v>
      </c>
      <c r="H2132">
        <v>2.25</v>
      </c>
      <c r="I2132" s="2">
        <v>42638.27</v>
      </c>
      <c r="J2132" s="2">
        <v>46360.65</v>
      </c>
      <c r="K2132" s="2">
        <f>Table1[[#This Row],[Salary_after]]-Table1[[#This Row],[Salary_before]]</f>
        <v>3722.3800000000047</v>
      </c>
      <c r="L2132" s="11">
        <v>8.7300000000000003E-2</v>
      </c>
      <c r="M2132" s="11">
        <v>1.41E-2</v>
      </c>
      <c r="N2132">
        <v>85.42</v>
      </c>
      <c r="O2132">
        <v>36.67</v>
      </c>
      <c r="P2132">
        <v>3</v>
      </c>
      <c r="Q2132" t="s">
        <v>37</v>
      </c>
      <c r="R2132">
        <v>35.64</v>
      </c>
      <c r="S2132">
        <v>8.73</v>
      </c>
      <c r="T2132" s="4">
        <v>30.905999999999999</v>
      </c>
      <c r="U2132" s="4">
        <v>25.313300999999999</v>
      </c>
      <c r="V2132" t="str">
        <f>IF(Table1[[#This Row],[ai_disruption_intensity]]&gt;70,"High",
IF(Table1[[#This Row],[ai_disruption_intensity]]&gt;40,"Medium","Low"))</f>
        <v>Low</v>
      </c>
      <c r="W2132" t="str">
        <f>IF(Table1[[#This Row],[skill_gap_index]]&gt;70,"Large Gap",
IF(Table1[[#This Row],[skill_gap_index]]&gt;40,"Medium Gap","Small Gap"))</f>
        <v>Small Gap</v>
      </c>
      <c r="X2132" s="3" t="str">
        <f>IF(Table1[[#This Row],[automation_risk_percent]]&gt;0.7,"Highly Automatable",
IF(Table1[[#This Row],[automation_risk_percent]]&gt;0.4,"Moderate Risk","Safe Job"))</f>
        <v>Moderate Risk</v>
      </c>
    </row>
    <row r="2133" spans="1:24" x14ac:dyDescent="0.3">
      <c r="A2133">
        <v>7568</v>
      </c>
      <c r="B2133" t="s">
        <v>18</v>
      </c>
      <c r="C2133" t="s">
        <v>33</v>
      </c>
      <c r="D2133" t="s">
        <v>31</v>
      </c>
      <c r="E2133" s="1">
        <v>2025</v>
      </c>
      <c r="F2133" s="11">
        <v>0.2248</v>
      </c>
      <c r="G2133">
        <v>24.04</v>
      </c>
      <c r="H2133">
        <v>65.33</v>
      </c>
      <c r="I2133" s="2">
        <v>43302.87</v>
      </c>
      <c r="J2133" s="2">
        <v>43921.16</v>
      </c>
      <c r="K2133" s="2">
        <f>Table1[[#This Row],[Salary_after]]-Table1[[#This Row],[Salary_before]]</f>
        <v>618.29000000000087</v>
      </c>
      <c r="L2133" s="11">
        <v>1.43E-2</v>
      </c>
      <c r="M2133" s="11">
        <v>-3.44E-2</v>
      </c>
      <c r="N2133">
        <v>46.27</v>
      </c>
      <c r="O2133">
        <v>54.54</v>
      </c>
      <c r="P2133">
        <v>3</v>
      </c>
      <c r="Q2133" t="s">
        <v>21</v>
      </c>
      <c r="R2133">
        <v>43.905000000000001</v>
      </c>
      <c r="S2133">
        <v>1.43</v>
      </c>
      <c r="T2133" s="4">
        <v>29.02</v>
      </c>
      <c r="U2133" s="4">
        <v>12.2605919999999</v>
      </c>
      <c r="V2133" t="str">
        <f>IF(Table1[[#This Row],[ai_disruption_intensity]]&gt;70,"High",
IF(Table1[[#This Row],[ai_disruption_intensity]]&gt;40,"Medium","Low"))</f>
        <v>Low</v>
      </c>
      <c r="W2133" t="str">
        <f>IF(Table1[[#This Row],[skill_gap_index]]&gt;70,"Large Gap",
IF(Table1[[#This Row],[skill_gap_index]]&gt;40,"Medium Gap","Small Gap"))</f>
        <v>Medium Gap</v>
      </c>
      <c r="X2133" s="3" t="str">
        <f>IF(Table1[[#This Row],[automation_risk_percent]]&gt;0.7,"Highly Automatable",
IF(Table1[[#This Row],[automation_risk_percent]]&gt;0.4,"Moderate Risk","Safe Job"))</f>
        <v>Safe Job</v>
      </c>
    </row>
    <row r="2134" spans="1:24" x14ac:dyDescent="0.3">
      <c r="A2134">
        <v>7577</v>
      </c>
      <c r="B2134" t="s">
        <v>44</v>
      </c>
      <c r="C2134" t="s">
        <v>34</v>
      </c>
      <c r="D2134" t="s">
        <v>31</v>
      </c>
      <c r="E2134" s="1">
        <v>2025</v>
      </c>
      <c r="F2134" s="11">
        <v>0.58700000000000008</v>
      </c>
      <c r="G2134">
        <v>47.87</v>
      </c>
      <c r="H2134">
        <v>55.28</v>
      </c>
      <c r="I2134" s="2">
        <v>46693.440000000002</v>
      </c>
      <c r="J2134" s="2">
        <v>50063.96</v>
      </c>
      <c r="K2134" s="2">
        <f>Table1[[#This Row],[Salary_after]]-Table1[[#This Row],[Salary_before]]</f>
        <v>3370.5199999999968</v>
      </c>
      <c r="L2134" s="11">
        <v>7.22E-2</v>
      </c>
      <c r="M2134" s="11">
        <v>8.14E-2</v>
      </c>
      <c r="N2134">
        <v>96.02</v>
      </c>
      <c r="O2134">
        <v>52.78</v>
      </c>
      <c r="P2134">
        <v>5</v>
      </c>
      <c r="Q2134" t="s">
        <v>25</v>
      </c>
      <c r="R2134">
        <v>56.99</v>
      </c>
      <c r="S2134">
        <v>7.22</v>
      </c>
      <c r="T2134" s="4">
        <v>42.23</v>
      </c>
      <c r="U2134" s="4">
        <v>30.981860000000001</v>
      </c>
      <c r="V2134" t="str">
        <f>IF(Table1[[#This Row],[ai_disruption_intensity]]&gt;70,"High",
IF(Table1[[#This Row],[ai_disruption_intensity]]&gt;40,"Medium","Low"))</f>
        <v>Low</v>
      </c>
      <c r="W2134" t="str">
        <f>IF(Table1[[#This Row],[skill_gap_index]]&gt;70,"Large Gap",
IF(Table1[[#This Row],[skill_gap_index]]&gt;40,"Medium Gap","Small Gap"))</f>
        <v>Medium Gap</v>
      </c>
      <c r="X2134" s="3" t="str">
        <f>IF(Table1[[#This Row],[automation_risk_percent]]&gt;0.7,"Highly Automatable",
IF(Table1[[#This Row],[automation_risk_percent]]&gt;0.4,"Moderate Risk","Safe Job"))</f>
        <v>Moderate Risk</v>
      </c>
    </row>
    <row r="2135" spans="1:24" x14ac:dyDescent="0.3">
      <c r="A2135">
        <v>7579</v>
      </c>
      <c r="B2135" t="s">
        <v>46</v>
      </c>
      <c r="C2135" t="s">
        <v>19</v>
      </c>
      <c r="D2135" t="s">
        <v>28</v>
      </c>
      <c r="E2135" s="1">
        <v>2026</v>
      </c>
      <c r="F2135" s="11">
        <v>0.53110000000000002</v>
      </c>
      <c r="G2135">
        <v>47.06</v>
      </c>
      <c r="H2135">
        <v>75.14</v>
      </c>
      <c r="I2135" s="2">
        <v>47327.45</v>
      </c>
      <c r="J2135" s="2">
        <v>44379.13</v>
      </c>
      <c r="K2135" s="2">
        <f>Table1[[#This Row],[Salary_after]]-Table1[[#This Row],[Salary_before]]</f>
        <v>-2948.3199999999997</v>
      </c>
      <c r="L2135" s="11">
        <v>-6.2300000000000001E-2</v>
      </c>
      <c r="M2135" s="11">
        <v>7.8100000000000003E-2</v>
      </c>
      <c r="N2135">
        <v>84.25</v>
      </c>
      <c r="O2135">
        <v>87.52</v>
      </c>
      <c r="P2135">
        <v>1</v>
      </c>
      <c r="Q2135" t="s">
        <v>25</v>
      </c>
      <c r="R2135">
        <v>64.125</v>
      </c>
      <c r="S2135">
        <v>6.23</v>
      </c>
      <c r="T2135" s="4">
        <v>45.655000000000001</v>
      </c>
      <c r="U2135" s="4">
        <v>46.481871999999903</v>
      </c>
      <c r="V2135" t="str">
        <f>IF(Table1[[#This Row],[ai_disruption_intensity]]&gt;70,"High",
IF(Table1[[#This Row],[ai_disruption_intensity]]&gt;40,"Medium","Low"))</f>
        <v>Medium</v>
      </c>
      <c r="W2135" t="str">
        <f>IF(Table1[[#This Row],[skill_gap_index]]&gt;70,"Large Gap",
IF(Table1[[#This Row],[skill_gap_index]]&gt;40,"Medium Gap","Small Gap"))</f>
        <v>Large Gap</v>
      </c>
      <c r="X2135" s="3" t="str">
        <f>IF(Table1[[#This Row],[automation_risk_percent]]&gt;0.7,"Highly Automatable",
IF(Table1[[#This Row],[automation_risk_percent]]&gt;0.4,"Moderate Risk","Safe Job"))</f>
        <v>Moderate Risk</v>
      </c>
    </row>
    <row r="2136" spans="1:24" x14ac:dyDescent="0.3">
      <c r="A2136">
        <v>7583</v>
      </c>
      <c r="B2136" t="s">
        <v>29</v>
      </c>
      <c r="C2136" t="s">
        <v>27</v>
      </c>
      <c r="D2136" t="s">
        <v>35</v>
      </c>
      <c r="E2136" s="1">
        <v>2026</v>
      </c>
      <c r="F2136" s="11">
        <v>0.31590000000000001</v>
      </c>
      <c r="G2136">
        <v>32.119999999999997</v>
      </c>
      <c r="H2136">
        <v>71.87</v>
      </c>
      <c r="I2136" s="2">
        <v>105622.46</v>
      </c>
      <c r="J2136" s="2">
        <v>85081.99</v>
      </c>
      <c r="K2136" s="2">
        <f>Table1[[#This Row],[Salary_after]]-Table1[[#This Row],[Salary_before]]</f>
        <v>-20540.47</v>
      </c>
      <c r="L2136" s="11">
        <v>-0.19450000000000001</v>
      </c>
      <c r="M2136" s="11">
        <v>0.23550000000000001</v>
      </c>
      <c r="N2136">
        <v>67.06</v>
      </c>
      <c r="O2136">
        <v>90.19</v>
      </c>
      <c r="P2136">
        <v>3</v>
      </c>
      <c r="Q2136" t="s">
        <v>25</v>
      </c>
      <c r="R2136">
        <v>51.73</v>
      </c>
      <c r="S2136">
        <v>19.45</v>
      </c>
      <c r="T2136" s="4">
        <v>40.031999999999996</v>
      </c>
      <c r="U2136" s="4">
        <v>28.491021</v>
      </c>
      <c r="V2136" t="str">
        <f>IF(Table1[[#This Row],[ai_disruption_intensity]]&gt;70,"High",
IF(Table1[[#This Row],[ai_disruption_intensity]]&gt;40,"Medium","Low"))</f>
        <v>Low</v>
      </c>
      <c r="W2136" t="str">
        <f>IF(Table1[[#This Row],[skill_gap_index]]&gt;70,"Large Gap",
IF(Table1[[#This Row],[skill_gap_index]]&gt;40,"Medium Gap","Small Gap"))</f>
        <v>Large Gap</v>
      </c>
      <c r="X2136" s="3" t="str">
        <f>IF(Table1[[#This Row],[automation_risk_percent]]&gt;0.7,"Highly Automatable",
IF(Table1[[#This Row],[automation_risk_percent]]&gt;0.4,"Moderate Risk","Safe Job"))</f>
        <v>Safe Job</v>
      </c>
    </row>
    <row r="2137" spans="1:24" x14ac:dyDescent="0.3">
      <c r="A2137">
        <v>7584</v>
      </c>
      <c r="B2137" t="s">
        <v>39</v>
      </c>
      <c r="C2137" t="s">
        <v>34</v>
      </c>
      <c r="D2137" t="s">
        <v>28</v>
      </c>
      <c r="E2137" s="1">
        <v>2026</v>
      </c>
      <c r="F2137" s="11">
        <v>0.53920000000000001</v>
      </c>
      <c r="G2137">
        <v>44.45</v>
      </c>
      <c r="H2137">
        <v>57.04</v>
      </c>
      <c r="I2137" s="2">
        <v>92905.73</v>
      </c>
      <c r="J2137" s="2">
        <v>113270.06</v>
      </c>
      <c r="K2137" s="2">
        <f>Table1[[#This Row],[Salary_after]]-Table1[[#This Row],[Salary_before]]</f>
        <v>20364.330000000002</v>
      </c>
      <c r="L2137" s="11">
        <v>0.21920000000000001</v>
      </c>
      <c r="M2137" s="11">
        <v>-0.10289999999999999</v>
      </c>
      <c r="N2137">
        <v>70.540000000000006</v>
      </c>
      <c r="O2137">
        <v>3.73</v>
      </c>
      <c r="P2137">
        <v>1</v>
      </c>
      <c r="Q2137" t="s">
        <v>25</v>
      </c>
      <c r="R2137">
        <v>55.48</v>
      </c>
      <c r="S2137">
        <v>21.92</v>
      </c>
      <c r="T2137" s="4">
        <v>45.256</v>
      </c>
      <c r="U2137" s="4">
        <v>2.0112160000000001</v>
      </c>
      <c r="V2137" t="str">
        <f>IF(Table1[[#This Row],[ai_disruption_intensity]]&gt;70,"High",
IF(Table1[[#This Row],[ai_disruption_intensity]]&gt;40,"Medium","Low"))</f>
        <v>Low</v>
      </c>
      <c r="W2137" t="str">
        <f>IF(Table1[[#This Row],[skill_gap_index]]&gt;70,"Large Gap",
IF(Table1[[#This Row],[skill_gap_index]]&gt;40,"Medium Gap","Small Gap"))</f>
        <v>Medium Gap</v>
      </c>
      <c r="X2137" s="3" t="str">
        <f>IF(Table1[[#This Row],[automation_risk_percent]]&gt;0.7,"Highly Automatable",
IF(Table1[[#This Row],[automation_risk_percent]]&gt;0.4,"Moderate Risk","Safe Job"))</f>
        <v>Moderate Risk</v>
      </c>
    </row>
    <row r="2138" spans="1:24" x14ac:dyDescent="0.3">
      <c r="A2138">
        <v>7586</v>
      </c>
      <c r="B2138" t="s">
        <v>44</v>
      </c>
      <c r="C2138" t="s">
        <v>34</v>
      </c>
      <c r="D2138" t="s">
        <v>28</v>
      </c>
      <c r="E2138" s="1">
        <v>2026</v>
      </c>
      <c r="F2138" s="11">
        <v>0.60109999999999997</v>
      </c>
      <c r="G2138">
        <v>64.099999999999994</v>
      </c>
      <c r="H2138">
        <v>19.91</v>
      </c>
      <c r="I2138" s="2">
        <v>131164.60999999999</v>
      </c>
      <c r="J2138" s="2">
        <v>127226.81</v>
      </c>
      <c r="K2138" s="2">
        <f>Table1[[#This Row],[Salary_after]]-Table1[[#This Row],[Salary_before]]</f>
        <v>-3937.7999999999884</v>
      </c>
      <c r="L2138" s="11">
        <v>-0.03</v>
      </c>
      <c r="M2138" s="11">
        <v>0.15960000000000002</v>
      </c>
      <c r="N2138">
        <v>21.78</v>
      </c>
      <c r="O2138">
        <v>60.86</v>
      </c>
      <c r="P2138">
        <v>2</v>
      </c>
      <c r="Q2138" t="s">
        <v>37</v>
      </c>
      <c r="R2138">
        <v>40.01</v>
      </c>
      <c r="S2138">
        <v>3</v>
      </c>
      <c r="T2138" s="4">
        <v>30.916999999999899</v>
      </c>
      <c r="U2138" s="4">
        <v>36.582946</v>
      </c>
      <c r="V2138" t="str">
        <f>IF(Table1[[#This Row],[ai_disruption_intensity]]&gt;70,"High",
IF(Table1[[#This Row],[ai_disruption_intensity]]&gt;40,"Medium","Low"))</f>
        <v>Low</v>
      </c>
      <c r="W2138" t="str">
        <f>IF(Table1[[#This Row],[skill_gap_index]]&gt;70,"Large Gap",
IF(Table1[[#This Row],[skill_gap_index]]&gt;40,"Medium Gap","Small Gap"))</f>
        <v>Small Gap</v>
      </c>
      <c r="X2138" s="3" t="str">
        <f>IF(Table1[[#This Row],[automation_risk_percent]]&gt;0.7,"Highly Automatable",
IF(Table1[[#This Row],[automation_risk_percent]]&gt;0.4,"Moderate Risk","Safe Job"))</f>
        <v>Moderate Risk</v>
      </c>
    </row>
    <row r="2139" spans="1:24" x14ac:dyDescent="0.3">
      <c r="A2139">
        <v>7588</v>
      </c>
      <c r="B2139" t="s">
        <v>26</v>
      </c>
      <c r="C2139" t="s">
        <v>23</v>
      </c>
      <c r="D2139" t="s">
        <v>32</v>
      </c>
      <c r="E2139" s="1">
        <v>2026</v>
      </c>
      <c r="F2139" s="11">
        <v>0.52689999999999992</v>
      </c>
      <c r="G2139">
        <v>47.11</v>
      </c>
      <c r="H2139">
        <v>96.77</v>
      </c>
      <c r="I2139" s="2">
        <v>74742.990000000005</v>
      </c>
      <c r="J2139" s="2">
        <v>73694.570000000007</v>
      </c>
      <c r="K2139" s="2">
        <f>Table1[[#This Row],[Salary_after]]-Table1[[#This Row],[Salary_before]]</f>
        <v>-1048.4199999999983</v>
      </c>
      <c r="L2139" s="11">
        <v>-1.3999999999999999E-2</v>
      </c>
      <c r="M2139" s="11">
        <v>7.9899999999999999E-2</v>
      </c>
      <c r="N2139">
        <v>64.83</v>
      </c>
      <c r="O2139">
        <v>51.76</v>
      </c>
      <c r="P2139">
        <v>3</v>
      </c>
      <c r="Q2139" t="s">
        <v>25</v>
      </c>
      <c r="R2139">
        <v>74.729999999999905</v>
      </c>
      <c r="S2139">
        <v>1.4</v>
      </c>
      <c r="T2139" s="4">
        <v>50.527000000000001</v>
      </c>
      <c r="U2139" s="4">
        <v>27.272343999999901</v>
      </c>
      <c r="V2139" t="str">
        <f>IF(Table1[[#This Row],[ai_disruption_intensity]]&gt;70,"High",
IF(Table1[[#This Row],[ai_disruption_intensity]]&gt;40,"Medium","Low"))</f>
        <v>Low</v>
      </c>
      <c r="W2139" t="str">
        <f>IF(Table1[[#This Row],[skill_gap_index]]&gt;70,"Large Gap",
IF(Table1[[#This Row],[skill_gap_index]]&gt;40,"Medium Gap","Small Gap"))</f>
        <v>Large Gap</v>
      </c>
      <c r="X2139" s="3" t="str">
        <f>IF(Table1[[#This Row],[automation_risk_percent]]&gt;0.7,"Highly Automatable",
IF(Table1[[#This Row],[automation_risk_percent]]&gt;0.4,"Moderate Risk","Safe Job"))</f>
        <v>Moderate Risk</v>
      </c>
    </row>
    <row r="2140" spans="1:24" x14ac:dyDescent="0.3">
      <c r="A2140">
        <v>7589</v>
      </c>
      <c r="B2140" t="s">
        <v>39</v>
      </c>
      <c r="C2140" t="s">
        <v>40</v>
      </c>
      <c r="D2140" t="s">
        <v>36</v>
      </c>
      <c r="E2140" s="1">
        <v>2026</v>
      </c>
      <c r="F2140" s="11">
        <v>0.79449999999999998</v>
      </c>
      <c r="G2140">
        <v>76.540000000000006</v>
      </c>
      <c r="H2140">
        <v>17.93</v>
      </c>
      <c r="I2140" s="2">
        <v>129985.06</v>
      </c>
      <c r="J2140" s="2">
        <v>132267.76999999999</v>
      </c>
      <c r="K2140" s="2">
        <f>Table1[[#This Row],[Salary_after]]-Table1[[#This Row],[Salary_before]]</f>
        <v>2282.7099999999919</v>
      </c>
      <c r="L2140" s="11">
        <v>1.7600000000000001E-2</v>
      </c>
      <c r="M2140" s="11">
        <v>-4.4999999999999998E-2</v>
      </c>
      <c r="N2140">
        <v>74.209999999999994</v>
      </c>
      <c r="O2140">
        <v>33.630000000000003</v>
      </c>
      <c r="P2140">
        <v>5</v>
      </c>
      <c r="Q2140" t="s">
        <v>37</v>
      </c>
      <c r="R2140">
        <v>48.69</v>
      </c>
      <c r="S2140">
        <v>1.76</v>
      </c>
      <c r="T2140" s="4">
        <v>37.686999999999998</v>
      </c>
      <c r="U2140" s="4">
        <v>26.719035000000002</v>
      </c>
      <c r="V2140" t="str">
        <f>IF(Table1[[#This Row],[ai_disruption_intensity]]&gt;70,"High",
IF(Table1[[#This Row],[ai_disruption_intensity]]&gt;40,"Medium","Low"))</f>
        <v>Low</v>
      </c>
      <c r="W2140" t="str">
        <f>IF(Table1[[#This Row],[skill_gap_index]]&gt;70,"Large Gap",
IF(Table1[[#This Row],[skill_gap_index]]&gt;40,"Medium Gap","Small Gap"))</f>
        <v>Small Gap</v>
      </c>
      <c r="X2140" s="3" t="str">
        <f>IF(Table1[[#This Row],[automation_risk_percent]]&gt;0.7,"Highly Automatable",
IF(Table1[[#This Row],[automation_risk_percent]]&gt;0.4,"Moderate Risk","Safe Job"))</f>
        <v>Highly Automatable</v>
      </c>
    </row>
    <row r="2141" spans="1:24" x14ac:dyDescent="0.3">
      <c r="A2141">
        <v>7592</v>
      </c>
      <c r="B2141" t="s">
        <v>18</v>
      </c>
      <c r="C2141" t="s">
        <v>38</v>
      </c>
      <c r="D2141" t="s">
        <v>47</v>
      </c>
      <c r="E2141" s="1">
        <v>2026</v>
      </c>
      <c r="F2141" s="11">
        <v>0.38350000000000001</v>
      </c>
      <c r="G2141">
        <v>40.72</v>
      </c>
      <c r="H2141">
        <v>31.07</v>
      </c>
      <c r="I2141" s="2">
        <v>74331.44</v>
      </c>
      <c r="J2141" s="2">
        <v>78591.48</v>
      </c>
      <c r="K2141" s="2">
        <f>Table1[[#This Row],[Salary_after]]-Table1[[#This Row],[Salary_before]]</f>
        <v>4260.0399999999936</v>
      </c>
      <c r="L2141" s="11">
        <v>5.7300000000000004E-2</v>
      </c>
      <c r="M2141" s="11">
        <v>6.25E-2</v>
      </c>
      <c r="N2141">
        <v>35.42</v>
      </c>
      <c r="O2141">
        <v>24.74</v>
      </c>
      <c r="P2141">
        <v>3</v>
      </c>
      <c r="Q2141" t="s">
        <v>25</v>
      </c>
      <c r="R2141">
        <v>34.71</v>
      </c>
      <c r="S2141">
        <v>5.73</v>
      </c>
      <c r="T2141" s="4">
        <v>26.38</v>
      </c>
      <c r="U2141" s="4">
        <v>9.4877900000000004</v>
      </c>
      <c r="V2141" t="str">
        <f>IF(Table1[[#This Row],[ai_disruption_intensity]]&gt;70,"High",
IF(Table1[[#This Row],[ai_disruption_intensity]]&gt;40,"Medium","Low"))</f>
        <v>Low</v>
      </c>
      <c r="W2141" t="str">
        <f>IF(Table1[[#This Row],[skill_gap_index]]&gt;70,"Large Gap",
IF(Table1[[#This Row],[skill_gap_index]]&gt;40,"Medium Gap","Small Gap"))</f>
        <v>Small Gap</v>
      </c>
      <c r="X2141" s="3" t="str">
        <f>IF(Table1[[#This Row],[automation_risk_percent]]&gt;0.7,"Highly Automatable",
IF(Table1[[#This Row],[automation_risk_percent]]&gt;0.4,"Moderate Risk","Safe Job"))</f>
        <v>Safe Job</v>
      </c>
    </row>
    <row r="2142" spans="1:24" x14ac:dyDescent="0.3">
      <c r="A2142">
        <v>7595</v>
      </c>
      <c r="B2142" t="s">
        <v>18</v>
      </c>
      <c r="C2142" t="s">
        <v>30</v>
      </c>
      <c r="D2142" t="s">
        <v>47</v>
      </c>
      <c r="E2142" s="1">
        <v>2025</v>
      </c>
      <c r="F2142" s="11">
        <v>0.4118</v>
      </c>
      <c r="G2142">
        <v>42.13</v>
      </c>
      <c r="H2142">
        <v>40.17</v>
      </c>
      <c r="I2142" s="2">
        <v>89616.26</v>
      </c>
      <c r="J2142" s="2">
        <v>82217</v>
      </c>
      <c r="K2142" s="2">
        <f>Table1[[#This Row],[Salary_after]]-Table1[[#This Row],[Salary_before]]</f>
        <v>-7399.2599999999948</v>
      </c>
      <c r="L2142" s="11">
        <v>-8.2599999999999993E-2</v>
      </c>
      <c r="M2142" s="11">
        <v>0.2235</v>
      </c>
      <c r="N2142">
        <v>71.599999999999994</v>
      </c>
      <c r="O2142">
        <v>71.430000000000007</v>
      </c>
      <c r="P2142">
        <v>1</v>
      </c>
      <c r="Q2142" t="s">
        <v>25</v>
      </c>
      <c r="R2142">
        <v>40.674999999999997</v>
      </c>
      <c r="S2142">
        <v>8.26</v>
      </c>
      <c r="T2142" s="4">
        <v>31.001000000000001</v>
      </c>
      <c r="U2142" s="4">
        <v>29.414874000000001</v>
      </c>
      <c r="V2142" t="str">
        <f>IF(Table1[[#This Row],[ai_disruption_intensity]]&gt;70,"High",
IF(Table1[[#This Row],[ai_disruption_intensity]]&gt;40,"Medium","Low"))</f>
        <v>Low</v>
      </c>
      <c r="W2142" t="str">
        <f>IF(Table1[[#This Row],[skill_gap_index]]&gt;70,"Large Gap",
IF(Table1[[#This Row],[skill_gap_index]]&gt;40,"Medium Gap","Small Gap"))</f>
        <v>Medium Gap</v>
      </c>
      <c r="X2142" s="3" t="str">
        <f>IF(Table1[[#This Row],[automation_risk_percent]]&gt;0.7,"Highly Automatable",
IF(Table1[[#This Row],[automation_risk_percent]]&gt;0.4,"Moderate Risk","Safe Job"))</f>
        <v>Moderate Risk</v>
      </c>
    </row>
    <row r="2143" spans="1:24" x14ac:dyDescent="0.3">
      <c r="A2143">
        <v>7599</v>
      </c>
      <c r="B2143" t="s">
        <v>18</v>
      </c>
      <c r="C2143" t="s">
        <v>34</v>
      </c>
      <c r="D2143" t="s">
        <v>47</v>
      </c>
      <c r="E2143" s="1">
        <v>2026</v>
      </c>
      <c r="F2143" s="11">
        <v>0.37829999999999997</v>
      </c>
      <c r="G2143">
        <v>40.340000000000003</v>
      </c>
      <c r="H2143">
        <v>39.57</v>
      </c>
      <c r="I2143" s="2">
        <v>58666.21</v>
      </c>
      <c r="J2143" s="2">
        <v>48212.46</v>
      </c>
      <c r="K2143" s="2">
        <f>Table1[[#This Row],[Salary_after]]-Table1[[#This Row],[Salary_before]]</f>
        <v>-10453.75</v>
      </c>
      <c r="L2143" s="11">
        <v>-0.1782</v>
      </c>
      <c r="M2143" s="11">
        <v>-3.4599999999999999E-2</v>
      </c>
      <c r="N2143">
        <v>57.77</v>
      </c>
      <c r="O2143">
        <v>12.29</v>
      </c>
      <c r="P2143">
        <v>3</v>
      </c>
      <c r="Q2143" t="s">
        <v>25</v>
      </c>
      <c r="R2143">
        <v>38.700000000000003</v>
      </c>
      <c r="S2143">
        <v>17.82</v>
      </c>
      <c r="T2143" s="4">
        <v>32.348999999999997</v>
      </c>
      <c r="U2143" s="4">
        <v>4.6493069999999896</v>
      </c>
      <c r="V2143" t="str">
        <f>IF(Table1[[#This Row],[ai_disruption_intensity]]&gt;70,"High",
IF(Table1[[#This Row],[ai_disruption_intensity]]&gt;40,"Medium","Low"))</f>
        <v>Low</v>
      </c>
      <c r="W2143" t="str">
        <f>IF(Table1[[#This Row],[skill_gap_index]]&gt;70,"Large Gap",
IF(Table1[[#This Row],[skill_gap_index]]&gt;40,"Medium Gap","Small Gap"))</f>
        <v>Small Gap</v>
      </c>
      <c r="X2143" s="3" t="str">
        <f>IF(Table1[[#This Row],[automation_risk_percent]]&gt;0.7,"Highly Automatable",
IF(Table1[[#This Row],[automation_risk_percent]]&gt;0.4,"Moderate Risk","Safe Job"))</f>
        <v>Safe Job</v>
      </c>
    </row>
    <row r="2144" spans="1:24" x14ac:dyDescent="0.3">
      <c r="A2144">
        <v>7601</v>
      </c>
      <c r="B2144" t="s">
        <v>44</v>
      </c>
      <c r="C2144" t="s">
        <v>40</v>
      </c>
      <c r="D2144" t="s">
        <v>42</v>
      </c>
      <c r="E2144" s="1">
        <v>2026</v>
      </c>
      <c r="F2144" s="11">
        <v>0.60760000000000003</v>
      </c>
      <c r="G2144">
        <v>70.19</v>
      </c>
      <c r="H2144">
        <v>28.62</v>
      </c>
      <c r="I2144" s="2">
        <v>53735.45</v>
      </c>
      <c r="J2144" s="2">
        <v>45657.71</v>
      </c>
      <c r="K2144" s="2">
        <f>Table1[[#This Row],[Salary_after]]-Table1[[#This Row],[Salary_before]]</f>
        <v>-8077.739999999998</v>
      </c>
      <c r="L2144" s="11">
        <v>-0.15029999999999999</v>
      </c>
      <c r="M2144" s="11">
        <v>5.6600000000000004E-2</v>
      </c>
      <c r="N2144">
        <v>88.37</v>
      </c>
      <c r="O2144">
        <v>24.44</v>
      </c>
      <c r="P2144">
        <v>3</v>
      </c>
      <c r="Q2144" t="s">
        <v>37</v>
      </c>
      <c r="R2144">
        <v>44.69</v>
      </c>
      <c r="S2144">
        <v>15.03</v>
      </c>
      <c r="T2144" s="4">
        <v>37.399000000000001</v>
      </c>
      <c r="U2144" s="4">
        <v>14.849743999999999</v>
      </c>
      <c r="V2144" t="str">
        <f>IF(Table1[[#This Row],[ai_disruption_intensity]]&gt;70,"High",
IF(Table1[[#This Row],[ai_disruption_intensity]]&gt;40,"Medium","Low"))</f>
        <v>Low</v>
      </c>
      <c r="W2144" t="str">
        <f>IF(Table1[[#This Row],[skill_gap_index]]&gt;70,"Large Gap",
IF(Table1[[#This Row],[skill_gap_index]]&gt;40,"Medium Gap","Small Gap"))</f>
        <v>Small Gap</v>
      </c>
      <c r="X2144" s="3" t="str">
        <f>IF(Table1[[#This Row],[automation_risk_percent]]&gt;0.7,"Highly Automatable",
IF(Table1[[#This Row],[automation_risk_percent]]&gt;0.4,"Moderate Risk","Safe Job"))</f>
        <v>Moderate Risk</v>
      </c>
    </row>
    <row r="2145" spans="1:24" x14ac:dyDescent="0.3">
      <c r="A2145">
        <v>7602</v>
      </c>
      <c r="B2145" t="s">
        <v>22</v>
      </c>
      <c r="C2145" t="s">
        <v>40</v>
      </c>
      <c r="D2145" t="s">
        <v>42</v>
      </c>
      <c r="E2145" s="1">
        <v>2025</v>
      </c>
      <c r="F2145" s="11">
        <v>0.31980000000000003</v>
      </c>
      <c r="G2145">
        <v>36.950000000000003</v>
      </c>
      <c r="H2145">
        <v>20.56</v>
      </c>
      <c r="I2145" s="2">
        <v>136174.07999999999</v>
      </c>
      <c r="J2145" s="2">
        <v>121011.27</v>
      </c>
      <c r="K2145" s="2">
        <f>Table1[[#This Row],[Salary_after]]-Table1[[#This Row],[Salary_before]]</f>
        <v>-15162.809999999983</v>
      </c>
      <c r="L2145" s="11">
        <v>-0.11130000000000001</v>
      </c>
      <c r="M2145" s="11">
        <v>-0.03</v>
      </c>
      <c r="N2145">
        <v>52.95</v>
      </c>
      <c r="O2145">
        <v>36.92</v>
      </c>
      <c r="P2145">
        <v>4</v>
      </c>
      <c r="Q2145" t="s">
        <v>25</v>
      </c>
      <c r="R2145">
        <v>26.27</v>
      </c>
      <c r="S2145">
        <v>11.13</v>
      </c>
      <c r="T2145" s="4">
        <v>22.298999999999999</v>
      </c>
      <c r="U2145" s="4">
        <v>11.807016000000001</v>
      </c>
      <c r="V2145" t="str">
        <f>IF(Table1[[#This Row],[ai_disruption_intensity]]&gt;70,"High",
IF(Table1[[#This Row],[ai_disruption_intensity]]&gt;40,"Medium","Low"))</f>
        <v>Low</v>
      </c>
      <c r="W2145" t="str">
        <f>IF(Table1[[#This Row],[skill_gap_index]]&gt;70,"Large Gap",
IF(Table1[[#This Row],[skill_gap_index]]&gt;40,"Medium Gap","Small Gap"))</f>
        <v>Small Gap</v>
      </c>
      <c r="X2145" s="3" t="str">
        <f>IF(Table1[[#This Row],[automation_risk_percent]]&gt;0.7,"Highly Automatable",
IF(Table1[[#This Row],[automation_risk_percent]]&gt;0.4,"Moderate Risk","Safe Job"))</f>
        <v>Safe Job</v>
      </c>
    </row>
    <row r="2146" spans="1:24" x14ac:dyDescent="0.3">
      <c r="A2146">
        <v>7605</v>
      </c>
      <c r="B2146" t="s">
        <v>45</v>
      </c>
      <c r="C2146" t="s">
        <v>40</v>
      </c>
      <c r="D2146" t="s">
        <v>32</v>
      </c>
      <c r="E2146" s="1">
        <v>2026</v>
      </c>
      <c r="F2146" s="11">
        <v>0.51319999999999999</v>
      </c>
      <c r="G2146">
        <v>43.61</v>
      </c>
      <c r="H2146">
        <v>7.53</v>
      </c>
      <c r="I2146" s="2">
        <v>53527.76</v>
      </c>
      <c r="J2146" s="2">
        <v>50432.5</v>
      </c>
      <c r="K2146" s="2">
        <f>Table1[[#This Row],[Salary_after]]-Table1[[#This Row],[Salary_before]]</f>
        <v>-3095.260000000002</v>
      </c>
      <c r="L2146" s="11">
        <v>-5.7800000000000004E-2</v>
      </c>
      <c r="M2146" s="11">
        <v>0.11539999999999999</v>
      </c>
      <c r="N2146">
        <v>62.75</v>
      </c>
      <c r="O2146">
        <v>98.18</v>
      </c>
      <c r="P2146">
        <v>3</v>
      </c>
      <c r="Q2146" t="s">
        <v>25</v>
      </c>
      <c r="R2146">
        <v>29.425000000000001</v>
      </c>
      <c r="S2146">
        <v>5.78</v>
      </c>
      <c r="T2146" s="4">
        <v>24.521000000000001</v>
      </c>
      <c r="U2146" s="4">
        <v>50.385975999999999</v>
      </c>
      <c r="V2146" t="str">
        <f>IF(Table1[[#This Row],[ai_disruption_intensity]]&gt;70,"High",
IF(Table1[[#This Row],[ai_disruption_intensity]]&gt;40,"Medium","Low"))</f>
        <v>Medium</v>
      </c>
      <c r="W2146" t="str">
        <f>IF(Table1[[#This Row],[skill_gap_index]]&gt;70,"Large Gap",
IF(Table1[[#This Row],[skill_gap_index]]&gt;40,"Medium Gap","Small Gap"))</f>
        <v>Small Gap</v>
      </c>
      <c r="X2146" s="3" t="str">
        <f>IF(Table1[[#This Row],[automation_risk_percent]]&gt;0.7,"Highly Automatable",
IF(Table1[[#This Row],[automation_risk_percent]]&gt;0.4,"Moderate Risk","Safe Job"))</f>
        <v>Moderate Risk</v>
      </c>
    </row>
    <row r="2147" spans="1:24" x14ac:dyDescent="0.3">
      <c r="A2147">
        <v>7611</v>
      </c>
      <c r="B2147" t="s">
        <v>18</v>
      </c>
      <c r="C2147" t="s">
        <v>23</v>
      </c>
      <c r="D2147" t="s">
        <v>36</v>
      </c>
      <c r="E2147" s="1">
        <v>2025</v>
      </c>
      <c r="F2147" s="11">
        <v>0.61980000000000002</v>
      </c>
      <c r="G2147">
        <v>55.22</v>
      </c>
      <c r="H2147">
        <v>47.51</v>
      </c>
      <c r="I2147" s="2">
        <v>127842.62</v>
      </c>
      <c r="J2147" s="2">
        <v>128273.39</v>
      </c>
      <c r="K2147" s="2">
        <f>Table1[[#This Row],[Salary_after]]-Table1[[#This Row],[Salary_before]]</f>
        <v>430.77000000000407</v>
      </c>
      <c r="L2147" s="11">
        <v>3.4000000000000002E-3</v>
      </c>
      <c r="M2147" s="11">
        <v>7.8600000000000003E-2</v>
      </c>
      <c r="N2147">
        <v>48.91</v>
      </c>
      <c r="O2147">
        <v>63.15</v>
      </c>
      <c r="P2147">
        <v>4</v>
      </c>
      <c r="Q2147" t="s">
        <v>37</v>
      </c>
      <c r="R2147">
        <v>54.744999999999997</v>
      </c>
      <c r="S2147">
        <v>0.34</v>
      </c>
      <c r="T2147" s="4">
        <v>39.146999999999998</v>
      </c>
      <c r="U2147" s="4">
        <v>39.140369999999997</v>
      </c>
      <c r="V2147" t="str">
        <f>IF(Table1[[#This Row],[ai_disruption_intensity]]&gt;70,"High",
IF(Table1[[#This Row],[ai_disruption_intensity]]&gt;40,"Medium","Low"))</f>
        <v>Low</v>
      </c>
      <c r="W2147" t="str">
        <f>IF(Table1[[#This Row],[skill_gap_index]]&gt;70,"Large Gap",
IF(Table1[[#This Row],[skill_gap_index]]&gt;40,"Medium Gap","Small Gap"))</f>
        <v>Medium Gap</v>
      </c>
      <c r="X2147" s="3" t="str">
        <f>IF(Table1[[#This Row],[automation_risk_percent]]&gt;0.7,"Highly Automatable",
IF(Table1[[#This Row],[automation_risk_percent]]&gt;0.4,"Moderate Risk","Safe Job"))</f>
        <v>Moderate Risk</v>
      </c>
    </row>
    <row r="2148" spans="1:24" x14ac:dyDescent="0.3">
      <c r="A2148">
        <v>7615</v>
      </c>
      <c r="B2148" t="s">
        <v>43</v>
      </c>
      <c r="C2148" t="s">
        <v>19</v>
      </c>
      <c r="D2148" t="s">
        <v>31</v>
      </c>
      <c r="E2148" s="1">
        <v>2026</v>
      </c>
      <c r="F2148" s="11">
        <v>0.7881999999999999</v>
      </c>
      <c r="G2148">
        <v>68.650000000000006</v>
      </c>
      <c r="H2148">
        <v>60.49</v>
      </c>
      <c r="I2148" s="2">
        <v>125685.85</v>
      </c>
      <c r="J2148" s="2">
        <v>135858.78</v>
      </c>
      <c r="K2148" s="2">
        <f>Table1[[#This Row],[Salary_after]]-Table1[[#This Row],[Salary_before]]</f>
        <v>10172.929999999993</v>
      </c>
      <c r="L2148" s="11">
        <v>8.09E-2</v>
      </c>
      <c r="M2148" s="11">
        <v>7.6200000000000004E-2</v>
      </c>
      <c r="N2148">
        <v>64.06</v>
      </c>
      <c r="O2148">
        <v>82.64</v>
      </c>
      <c r="P2148">
        <v>2</v>
      </c>
      <c r="Q2148" t="s">
        <v>37</v>
      </c>
      <c r="R2148">
        <v>69.655000000000001</v>
      </c>
      <c r="S2148">
        <v>8.09</v>
      </c>
      <c r="T2148" s="4">
        <v>52.101999999999997</v>
      </c>
      <c r="U2148" s="4">
        <v>65.136847999999901</v>
      </c>
      <c r="V2148" t="str">
        <f>IF(Table1[[#This Row],[ai_disruption_intensity]]&gt;70,"High",
IF(Table1[[#This Row],[ai_disruption_intensity]]&gt;40,"Medium","Low"))</f>
        <v>Medium</v>
      </c>
      <c r="W2148" t="str">
        <f>IF(Table1[[#This Row],[skill_gap_index]]&gt;70,"Large Gap",
IF(Table1[[#This Row],[skill_gap_index]]&gt;40,"Medium Gap","Small Gap"))</f>
        <v>Medium Gap</v>
      </c>
      <c r="X2148" s="3" t="str">
        <f>IF(Table1[[#This Row],[automation_risk_percent]]&gt;0.7,"Highly Automatable",
IF(Table1[[#This Row],[automation_risk_percent]]&gt;0.4,"Moderate Risk","Safe Job"))</f>
        <v>Highly Automatable</v>
      </c>
    </row>
    <row r="2149" spans="1:24" x14ac:dyDescent="0.3">
      <c r="A2149">
        <v>7616</v>
      </c>
      <c r="B2149" t="s">
        <v>44</v>
      </c>
      <c r="C2149" t="s">
        <v>40</v>
      </c>
      <c r="D2149" t="s">
        <v>32</v>
      </c>
      <c r="E2149" s="1">
        <v>2025</v>
      </c>
      <c r="F2149" s="11">
        <v>0.22309999999999999</v>
      </c>
      <c r="G2149">
        <v>20.18</v>
      </c>
      <c r="H2149">
        <v>44.41</v>
      </c>
      <c r="I2149" s="2">
        <v>132194.13</v>
      </c>
      <c r="J2149" s="2">
        <v>157533.06</v>
      </c>
      <c r="K2149" s="2">
        <f>Table1[[#This Row],[Salary_after]]-Table1[[#This Row],[Salary_before]]</f>
        <v>25338.929999999993</v>
      </c>
      <c r="L2149" s="11">
        <v>0.19170000000000001</v>
      </c>
      <c r="M2149" s="11">
        <v>-6.0400000000000002E-2</v>
      </c>
      <c r="N2149">
        <v>45.62</v>
      </c>
      <c r="O2149">
        <v>80.569999999999993</v>
      </c>
      <c r="P2149">
        <v>4</v>
      </c>
      <c r="Q2149" t="s">
        <v>21</v>
      </c>
      <c r="R2149">
        <v>33.36</v>
      </c>
      <c r="S2149">
        <v>19.170000000000002</v>
      </c>
      <c r="T2149" s="4">
        <v>27.998000000000001</v>
      </c>
      <c r="U2149" s="4">
        <v>17.9751669999999</v>
      </c>
      <c r="V2149" t="str">
        <f>IF(Table1[[#This Row],[ai_disruption_intensity]]&gt;70,"High",
IF(Table1[[#This Row],[ai_disruption_intensity]]&gt;40,"Medium","Low"))</f>
        <v>Low</v>
      </c>
      <c r="W2149" t="str">
        <f>IF(Table1[[#This Row],[skill_gap_index]]&gt;70,"Large Gap",
IF(Table1[[#This Row],[skill_gap_index]]&gt;40,"Medium Gap","Small Gap"))</f>
        <v>Medium Gap</v>
      </c>
      <c r="X2149" s="3" t="str">
        <f>IF(Table1[[#This Row],[automation_risk_percent]]&gt;0.7,"Highly Automatable",
IF(Table1[[#This Row],[automation_risk_percent]]&gt;0.4,"Moderate Risk","Safe Job"))</f>
        <v>Safe Job</v>
      </c>
    </row>
    <row r="2150" spans="1:24" x14ac:dyDescent="0.3">
      <c r="A2150">
        <v>7617</v>
      </c>
      <c r="B2150" t="s">
        <v>43</v>
      </c>
      <c r="C2150" t="s">
        <v>23</v>
      </c>
      <c r="D2150" t="s">
        <v>24</v>
      </c>
      <c r="E2150" s="1">
        <v>2026</v>
      </c>
      <c r="F2150" s="11">
        <v>0.2402</v>
      </c>
      <c r="G2150">
        <v>24.92</v>
      </c>
      <c r="H2150">
        <v>57.79</v>
      </c>
      <c r="I2150" s="2">
        <v>78389.02</v>
      </c>
      <c r="J2150" s="2">
        <v>74950.22</v>
      </c>
      <c r="K2150" s="2">
        <f>Table1[[#This Row],[Salary_after]]-Table1[[#This Row],[Salary_before]]</f>
        <v>-3438.8000000000029</v>
      </c>
      <c r="L2150" s="11">
        <v>-4.3899999999999995E-2</v>
      </c>
      <c r="M2150" s="11">
        <v>0.14849999999999999</v>
      </c>
      <c r="N2150">
        <v>81.37</v>
      </c>
      <c r="O2150">
        <v>30.51</v>
      </c>
      <c r="P2150">
        <v>1</v>
      </c>
      <c r="Q2150" t="s">
        <v>21</v>
      </c>
      <c r="R2150">
        <v>40.905000000000001</v>
      </c>
      <c r="S2150">
        <v>4.3899999999999997</v>
      </c>
      <c r="T2150" s="4">
        <v>28.262</v>
      </c>
      <c r="U2150" s="4">
        <v>7.3285019999999896</v>
      </c>
      <c r="V2150" t="str">
        <f>IF(Table1[[#This Row],[ai_disruption_intensity]]&gt;70,"High",
IF(Table1[[#This Row],[ai_disruption_intensity]]&gt;40,"Medium","Low"))</f>
        <v>Low</v>
      </c>
      <c r="W2150" t="str">
        <f>IF(Table1[[#This Row],[skill_gap_index]]&gt;70,"Large Gap",
IF(Table1[[#This Row],[skill_gap_index]]&gt;40,"Medium Gap","Small Gap"))</f>
        <v>Medium Gap</v>
      </c>
      <c r="X2150" s="3" t="str">
        <f>IF(Table1[[#This Row],[automation_risk_percent]]&gt;0.7,"Highly Automatable",
IF(Table1[[#This Row],[automation_risk_percent]]&gt;0.4,"Moderate Risk","Safe Job"))</f>
        <v>Safe Job</v>
      </c>
    </row>
    <row r="2151" spans="1:24" x14ac:dyDescent="0.3">
      <c r="A2151">
        <v>7618</v>
      </c>
      <c r="B2151" t="s">
        <v>22</v>
      </c>
      <c r="C2151" t="s">
        <v>23</v>
      </c>
      <c r="D2151" t="s">
        <v>31</v>
      </c>
      <c r="E2151" s="1">
        <v>2025</v>
      </c>
      <c r="F2151" s="11">
        <v>0.23149999999999998</v>
      </c>
      <c r="G2151">
        <v>22.13</v>
      </c>
      <c r="H2151">
        <v>79.739999999999995</v>
      </c>
      <c r="I2151" s="2">
        <v>114422.16</v>
      </c>
      <c r="J2151" s="2">
        <v>121750.12</v>
      </c>
      <c r="K2151" s="2">
        <f>Table1[[#This Row],[Salary_after]]-Table1[[#This Row],[Salary_before]]</f>
        <v>7327.9599999999919</v>
      </c>
      <c r="L2151" s="11">
        <v>6.4000000000000001E-2</v>
      </c>
      <c r="M2151" s="11">
        <v>3.5499999999999997E-2</v>
      </c>
      <c r="N2151">
        <v>46.79</v>
      </c>
      <c r="O2151">
        <v>35.08</v>
      </c>
      <c r="P2151">
        <v>2</v>
      </c>
      <c r="Q2151" t="s">
        <v>21</v>
      </c>
      <c r="R2151">
        <v>51.444999999999901</v>
      </c>
      <c r="S2151">
        <v>6.4</v>
      </c>
      <c r="T2151" s="4">
        <v>35.101999999999997</v>
      </c>
      <c r="U2151" s="4">
        <v>8.1210199999999908</v>
      </c>
      <c r="V2151" t="str">
        <f>IF(Table1[[#This Row],[ai_disruption_intensity]]&gt;70,"High",
IF(Table1[[#This Row],[ai_disruption_intensity]]&gt;40,"Medium","Low"))</f>
        <v>Low</v>
      </c>
      <c r="W2151" t="str">
        <f>IF(Table1[[#This Row],[skill_gap_index]]&gt;70,"Large Gap",
IF(Table1[[#This Row],[skill_gap_index]]&gt;40,"Medium Gap","Small Gap"))</f>
        <v>Large Gap</v>
      </c>
      <c r="X2151" s="3" t="str">
        <f>IF(Table1[[#This Row],[automation_risk_percent]]&gt;0.7,"Highly Automatable",
IF(Table1[[#This Row],[automation_risk_percent]]&gt;0.4,"Moderate Risk","Safe Job"))</f>
        <v>Safe Job</v>
      </c>
    </row>
    <row r="2152" spans="1:24" x14ac:dyDescent="0.3">
      <c r="A2152">
        <v>7619</v>
      </c>
      <c r="B2152" t="s">
        <v>22</v>
      </c>
      <c r="C2152" t="s">
        <v>30</v>
      </c>
      <c r="D2152" t="s">
        <v>42</v>
      </c>
      <c r="E2152" s="1">
        <v>2025</v>
      </c>
      <c r="F2152" s="11">
        <v>0.20129999999999998</v>
      </c>
      <c r="G2152">
        <v>16.670000000000002</v>
      </c>
      <c r="H2152">
        <v>34.99</v>
      </c>
      <c r="I2152" s="2">
        <v>41040.26</v>
      </c>
      <c r="J2152" s="2">
        <v>45681.09</v>
      </c>
      <c r="K2152" s="2">
        <f>Table1[[#This Row],[Salary_after]]-Table1[[#This Row],[Salary_before]]</f>
        <v>4640.8299999999945</v>
      </c>
      <c r="L2152" s="11">
        <v>0.11310000000000001</v>
      </c>
      <c r="M2152" s="11">
        <v>3.8300000000000001E-2</v>
      </c>
      <c r="N2152">
        <v>52.85</v>
      </c>
      <c r="O2152">
        <v>48.06</v>
      </c>
      <c r="P2152">
        <v>1</v>
      </c>
      <c r="Q2152" t="s">
        <v>21</v>
      </c>
      <c r="R2152">
        <v>27.56</v>
      </c>
      <c r="S2152">
        <v>11.31</v>
      </c>
      <c r="T2152" s="4">
        <v>21.942</v>
      </c>
      <c r="U2152" s="4">
        <v>9.6744780000000006</v>
      </c>
      <c r="V2152" t="str">
        <f>IF(Table1[[#This Row],[ai_disruption_intensity]]&gt;70,"High",
IF(Table1[[#This Row],[ai_disruption_intensity]]&gt;40,"Medium","Low"))</f>
        <v>Low</v>
      </c>
      <c r="W2152" t="str">
        <f>IF(Table1[[#This Row],[skill_gap_index]]&gt;70,"Large Gap",
IF(Table1[[#This Row],[skill_gap_index]]&gt;40,"Medium Gap","Small Gap"))</f>
        <v>Small Gap</v>
      </c>
      <c r="X2152" s="3" t="str">
        <f>IF(Table1[[#This Row],[automation_risk_percent]]&gt;0.7,"Highly Automatable",
IF(Table1[[#This Row],[automation_risk_percent]]&gt;0.4,"Moderate Risk","Safe Job"))</f>
        <v>Safe Job</v>
      </c>
    </row>
    <row r="2153" spans="1:24" x14ac:dyDescent="0.3">
      <c r="A2153">
        <v>7623</v>
      </c>
      <c r="B2153" t="s">
        <v>26</v>
      </c>
      <c r="C2153" t="s">
        <v>38</v>
      </c>
      <c r="D2153" t="s">
        <v>28</v>
      </c>
      <c r="E2153" s="1">
        <v>2025</v>
      </c>
      <c r="F2153" s="11">
        <v>0.26069999999999999</v>
      </c>
      <c r="G2153">
        <v>27.85</v>
      </c>
      <c r="H2153">
        <v>13.08</v>
      </c>
      <c r="I2153" s="2">
        <v>115796.58</v>
      </c>
      <c r="J2153" s="2">
        <v>110574.58</v>
      </c>
      <c r="K2153" s="2">
        <f>Table1[[#This Row],[Salary_after]]-Table1[[#This Row],[Salary_before]]</f>
        <v>-5222</v>
      </c>
      <c r="L2153" s="11">
        <v>-4.5100000000000001E-2</v>
      </c>
      <c r="M2153" s="11">
        <v>0.31609999999999999</v>
      </c>
      <c r="N2153">
        <v>21.49</v>
      </c>
      <c r="O2153">
        <v>27.83</v>
      </c>
      <c r="P2153">
        <v>2</v>
      </c>
      <c r="Q2153" t="s">
        <v>21</v>
      </c>
      <c r="R2153">
        <v>19.574999999999999</v>
      </c>
      <c r="S2153">
        <v>4.51</v>
      </c>
      <c r="T2153" s="4">
        <v>15.705</v>
      </c>
      <c r="U2153" s="4">
        <v>7.2552810000000001</v>
      </c>
      <c r="V2153" t="str">
        <f>IF(Table1[[#This Row],[ai_disruption_intensity]]&gt;70,"High",
IF(Table1[[#This Row],[ai_disruption_intensity]]&gt;40,"Medium","Low"))</f>
        <v>Low</v>
      </c>
      <c r="W2153" t="str">
        <f>IF(Table1[[#This Row],[skill_gap_index]]&gt;70,"Large Gap",
IF(Table1[[#This Row],[skill_gap_index]]&gt;40,"Medium Gap","Small Gap"))</f>
        <v>Small Gap</v>
      </c>
      <c r="X2153" s="3" t="str">
        <f>IF(Table1[[#This Row],[automation_risk_percent]]&gt;0.7,"Highly Automatable",
IF(Table1[[#This Row],[automation_risk_percent]]&gt;0.4,"Moderate Risk","Safe Job"))</f>
        <v>Safe Job</v>
      </c>
    </row>
    <row r="2154" spans="1:24" x14ac:dyDescent="0.3">
      <c r="A2154">
        <v>7624</v>
      </c>
      <c r="B2154" t="s">
        <v>29</v>
      </c>
      <c r="C2154" t="s">
        <v>23</v>
      </c>
      <c r="D2154" t="s">
        <v>42</v>
      </c>
      <c r="E2154" s="1">
        <v>2025</v>
      </c>
      <c r="F2154" s="11">
        <v>0.45669999999999999</v>
      </c>
      <c r="G2154">
        <v>40.81</v>
      </c>
      <c r="H2154">
        <v>95.42</v>
      </c>
      <c r="I2154" s="2">
        <v>139876.99</v>
      </c>
      <c r="J2154" s="2">
        <v>119989.56</v>
      </c>
      <c r="K2154" s="2">
        <f>Table1[[#This Row],[Salary_after]]-Table1[[#This Row],[Salary_before]]</f>
        <v>-19887.429999999993</v>
      </c>
      <c r="L2154" s="11">
        <v>-0.14219999999999999</v>
      </c>
      <c r="M2154" s="11">
        <v>7.2300000000000003E-2</v>
      </c>
      <c r="N2154">
        <v>92</v>
      </c>
      <c r="O2154">
        <v>74.94</v>
      </c>
      <c r="P2154">
        <v>4</v>
      </c>
      <c r="Q2154" t="s">
        <v>25</v>
      </c>
      <c r="R2154">
        <v>70.545000000000002</v>
      </c>
      <c r="S2154">
        <v>14.22</v>
      </c>
      <c r="T2154" s="4">
        <v>51.16</v>
      </c>
      <c r="U2154" s="4">
        <v>34.225097999999903</v>
      </c>
      <c r="V2154" t="str">
        <f>IF(Table1[[#This Row],[ai_disruption_intensity]]&gt;70,"High",
IF(Table1[[#This Row],[ai_disruption_intensity]]&gt;40,"Medium","Low"))</f>
        <v>Low</v>
      </c>
      <c r="W2154" t="str">
        <f>IF(Table1[[#This Row],[skill_gap_index]]&gt;70,"Large Gap",
IF(Table1[[#This Row],[skill_gap_index]]&gt;40,"Medium Gap","Small Gap"))</f>
        <v>Large Gap</v>
      </c>
      <c r="X2154" s="3" t="str">
        <f>IF(Table1[[#This Row],[automation_risk_percent]]&gt;0.7,"Highly Automatable",
IF(Table1[[#This Row],[automation_risk_percent]]&gt;0.4,"Moderate Risk","Safe Job"))</f>
        <v>Moderate Risk</v>
      </c>
    </row>
    <row r="2155" spans="1:24" x14ac:dyDescent="0.3">
      <c r="A2155">
        <v>7625</v>
      </c>
      <c r="B2155" t="s">
        <v>43</v>
      </c>
      <c r="C2155" t="s">
        <v>33</v>
      </c>
      <c r="D2155" t="s">
        <v>28</v>
      </c>
      <c r="E2155" s="1">
        <v>2026</v>
      </c>
      <c r="F2155" s="11">
        <v>0.12710000000000002</v>
      </c>
      <c r="G2155">
        <v>12.67</v>
      </c>
      <c r="H2155">
        <v>60.49</v>
      </c>
      <c r="I2155" s="2">
        <v>37976.800000000003</v>
      </c>
      <c r="J2155" s="2">
        <v>37781.17</v>
      </c>
      <c r="K2155" s="2">
        <f>Table1[[#This Row],[Salary_after]]-Table1[[#This Row],[Salary_before]]</f>
        <v>-195.63000000000466</v>
      </c>
      <c r="L2155" s="11">
        <v>-5.1999999999999998E-3</v>
      </c>
      <c r="M2155" s="11">
        <v>-1.3600000000000001E-2</v>
      </c>
      <c r="N2155">
        <v>10.18</v>
      </c>
      <c r="O2155">
        <v>4.68</v>
      </c>
      <c r="P2155">
        <v>5</v>
      </c>
      <c r="Q2155" t="s">
        <v>21</v>
      </c>
      <c r="R2155">
        <v>36.6</v>
      </c>
      <c r="S2155">
        <v>0.52</v>
      </c>
      <c r="T2155" s="4">
        <v>23.386999999999901</v>
      </c>
      <c r="U2155" s="4">
        <v>0.59482800000000002</v>
      </c>
      <c r="V2155" t="str">
        <f>IF(Table1[[#This Row],[ai_disruption_intensity]]&gt;70,"High",
IF(Table1[[#This Row],[ai_disruption_intensity]]&gt;40,"Medium","Low"))</f>
        <v>Low</v>
      </c>
      <c r="W2155" t="str">
        <f>IF(Table1[[#This Row],[skill_gap_index]]&gt;70,"Large Gap",
IF(Table1[[#This Row],[skill_gap_index]]&gt;40,"Medium Gap","Small Gap"))</f>
        <v>Medium Gap</v>
      </c>
      <c r="X2155" s="3" t="str">
        <f>IF(Table1[[#This Row],[automation_risk_percent]]&gt;0.7,"Highly Automatable",
IF(Table1[[#This Row],[automation_risk_percent]]&gt;0.4,"Moderate Risk","Safe Job"))</f>
        <v>Safe Job</v>
      </c>
    </row>
    <row r="2156" spans="1:24" x14ac:dyDescent="0.3">
      <c r="A2156">
        <v>7626</v>
      </c>
      <c r="B2156" t="s">
        <v>39</v>
      </c>
      <c r="C2156" t="s">
        <v>33</v>
      </c>
      <c r="D2156" t="s">
        <v>35</v>
      </c>
      <c r="E2156" s="1">
        <v>2026</v>
      </c>
      <c r="F2156" s="11">
        <v>0.21559999999999999</v>
      </c>
      <c r="G2156">
        <v>25.1</v>
      </c>
      <c r="H2156">
        <v>76.63</v>
      </c>
      <c r="I2156" s="2">
        <v>84051.12</v>
      </c>
      <c r="J2156" s="2">
        <v>100610.64</v>
      </c>
      <c r="K2156" s="2">
        <f>Table1[[#This Row],[Salary_after]]-Table1[[#This Row],[Salary_before]]</f>
        <v>16559.520000000004</v>
      </c>
      <c r="L2156" s="11">
        <v>0.19699999999999998</v>
      </c>
      <c r="M2156" s="11">
        <v>2.7999999999999997E-2</v>
      </c>
      <c r="N2156">
        <v>52.69</v>
      </c>
      <c r="O2156">
        <v>6.39</v>
      </c>
      <c r="P2156">
        <v>5</v>
      </c>
      <c r="Q2156" t="s">
        <v>21</v>
      </c>
      <c r="R2156">
        <v>49.094999999999999</v>
      </c>
      <c r="S2156">
        <v>19.7</v>
      </c>
      <c r="T2156" s="4">
        <v>37.522999999999897</v>
      </c>
      <c r="U2156" s="4">
        <v>1.3776839999999999</v>
      </c>
      <c r="V2156" t="str">
        <f>IF(Table1[[#This Row],[ai_disruption_intensity]]&gt;70,"High",
IF(Table1[[#This Row],[ai_disruption_intensity]]&gt;40,"Medium","Low"))</f>
        <v>Low</v>
      </c>
      <c r="W2156" t="str">
        <f>IF(Table1[[#This Row],[skill_gap_index]]&gt;70,"Large Gap",
IF(Table1[[#This Row],[skill_gap_index]]&gt;40,"Medium Gap","Small Gap"))</f>
        <v>Large Gap</v>
      </c>
      <c r="X2156" s="3" t="str">
        <f>IF(Table1[[#This Row],[automation_risk_percent]]&gt;0.7,"Highly Automatable",
IF(Table1[[#This Row],[automation_risk_percent]]&gt;0.4,"Moderate Risk","Safe Job"))</f>
        <v>Safe Job</v>
      </c>
    </row>
    <row r="2157" spans="1:24" x14ac:dyDescent="0.3">
      <c r="A2157">
        <v>7632</v>
      </c>
      <c r="B2157" t="s">
        <v>18</v>
      </c>
      <c r="C2157" t="s">
        <v>34</v>
      </c>
      <c r="D2157" t="s">
        <v>31</v>
      </c>
      <c r="E2157" s="1">
        <v>2025</v>
      </c>
      <c r="F2157" s="11">
        <v>0.43579999999999997</v>
      </c>
      <c r="G2157">
        <v>48.87</v>
      </c>
      <c r="H2157">
        <v>57.76</v>
      </c>
      <c r="I2157" s="2">
        <v>147254.76999999999</v>
      </c>
      <c r="J2157" s="2">
        <v>143577.51</v>
      </c>
      <c r="K2157" s="2">
        <f>Table1[[#This Row],[Salary_after]]-Table1[[#This Row],[Salary_before]]</f>
        <v>-3677.2599999999802</v>
      </c>
      <c r="L2157" s="11">
        <v>-2.5000000000000001E-2</v>
      </c>
      <c r="M2157" s="11">
        <v>2.8900000000000002E-2</v>
      </c>
      <c r="N2157">
        <v>49.33</v>
      </c>
      <c r="O2157">
        <v>7.74</v>
      </c>
      <c r="P2157">
        <v>4</v>
      </c>
      <c r="Q2157" t="s">
        <v>25</v>
      </c>
      <c r="R2157">
        <v>50.67</v>
      </c>
      <c r="S2157">
        <v>2.5</v>
      </c>
      <c r="T2157" s="4">
        <v>35.51</v>
      </c>
      <c r="U2157" s="4">
        <v>3.37309199999999</v>
      </c>
      <c r="V2157" t="str">
        <f>IF(Table1[[#This Row],[ai_disruption_intensity]]&gt;70,"High",
IF(Table1[[#This Row],[ai_disruption_intensity]]&gt;40,"Medium","Low"))</f>
        <v>Low</v>
      </c>
      <c r="W2157" t="str">
        <f>IF(Table1[[#This Row],[skill_gap_index]]&gt;70,"Large Gap",
IF(Table1[[#This Row],[skill_gap_index]]&gt;40,"Medium Gap","Small Gap"))</f>
        <v>Medium Gap</v>
      </c>
      <c r="X2157" s="3" t="str">
        <f>IF(Table1[[#This Row],[automation_risk_percent]]&gt;0.7,"Highly Automatable",
IF(Table1[[#This Row],[automation_risk_percent]]&gt;0.4,"Moderate Risk","Safe Job"))</f>
        <v>Moderate Risk</v>
      </c>
    </row>
    <row r="2158" spans="1:24" x14ac:dyDescent="0.3">
      <c r="A2158">
        <v>7637</v>
      </c>
      <c r="B2158" t="s">
        <v>46</v>
      </c>
      <c r="C2158" t="s">
        <v>33</v>
      </c>
      <c r="D2158" t="s">
        <v>24</v>
      </c>
      <c r="E2158" s="1">
        <v>2025</v>
      </c>
      <c r="F2158" s="11">
        <v>0.13699999999999998</v>
      </c>
      <c r="G2158">
        <v>15.95</v>
      </c>
      <c r="H2158">
        <v>71.27</v>
      </c>
      <c r="I2158" s="2">
        <v>136576.57</v>
      </c>
      <c r="J2158" s="2">
        <v>161738.20000000001</v>
      </c>
      <c r="K2158" s="2">
        <f>Table1[[#This Row],[Salary_after]]-Table1[[#This Row],[Salary_before]]</f>
        <v>25161.630000000005</v>
      </c>
      <c r="L2158" s="11">
        <v>0.18420000000000003</v>
      </c>
      <c r="M2158" s="11">
        <v>-3.6000000000000004E-2</v>
      </c>
      <c r="N2158">
        <v>31.18</v>
      </c>
      <c r="O2158">
        <v>75.11</v>
      </c>
      <c r="P2158">
        <v>2</v>
      </c>
      <c r="Q2158" t="s">
        <v>21</v>
      </c>
      <c r="R2158">
        <v>42.484999999999999</v>
      </c>
      <c r="S2158">
        <v>18.420000000000002</v>
      </c>
      <c r="T2158" s="4">
        <v>32.387</v>
      </c>
      <c r="U2158" s="4">
        <v>10.290069999999901</v>
      </c>
      <c r="V2158" t="str">
        <f>IF(Table1[[#This Row],[ai_disruption_intensity]]&gt;70,"High",
IF(Table1[[#This Row],[ai_disruption_intensity]]&gt;40,"Medium","Low"))</f>
        <v>Low</v>
      </c>
      <c r="W2158" t="str">
        <f>IF(Table1[[#This Row],[skill_gap_index]]&gt;70,"Large Gap",
IF(Table1[[#This Row],[skill_gap_index]]&gt;40,"Medium Gap","Small Gap"))</f>
        <v>Large Gap</v>
      </c>
      <c r="X2158" s="3" t="str">
        <f>IF(Table1[[#This Row],[automation_risk_percent]]&gt;0.7,"Highly Automatable",
IF(Table1[[#This Row],[automation_risk_percent]]&gt;0.4,"Moderate Risk","Safe Job"))</f>
        <v>Safe Job</v>
      </c>
    </row>
    <row r="2159" spans="1:24" x14ac:dyDescent="0.3">
      <c r="A2159">
        <v>7639</v>
      </c>
      <c r="B2159" t="s">
        <v>46</v>
      </c>
      <c r="C2159" t="s">
        <v>27</v>
      </c>
      <c r="D2159" t="s">
        <v>20</v>
      </c>
      <c r="E2159" s="1">
        <v>2025</v>
      </c>
      <c r="F2159" s="11">
        <v>0.68330000000000002</v>
      </c>
      <c r="G2159">
        <v>72.42</v>
      </c>
      <c r="H2159">
        <v>32.35</v>
      </c>
      <c r="I2159" s="2">
        <v>35109.71</v>
      </c>
      <c r="J2159" s="2">
        <v>35197.230000000003</v>
      </c>
      <c r="K2159" s="2">
        <f>Table1[[#This Row],[Salary_after]]-Table1[[#This Row],[Salary_before]]</f>
        <v>87.520000000004075</v>
      </c>
      <c r="L2159" s="11">
        <v>2.5000000000000001E-3</v>
      </c>
      <c r="M2159" s="11">
        <v>6.2300000000000001E-2</v>
      </c>
      <c r="N2159">
        <v>30.48</v>
      </c>
      <c r="O2159">
        <v>49.11</v>
      </c>
      <c r="P2159">
        <v>2</v>
      </c>
      <c r="Q2159" t="s">
        <v>37</v>
      </c>
      <c r="R2159">
        <v>50.34</v>
      </c>
      <c r="S2159">
        <v>0.25</v>
      </c>
      <c r="T2159" s="4">
        <v>37.112000000000002</v>
      </c>
      <c r="U2159" s="4">
        <v>33.556863</v>
      </c>
      <c r="V2159" t="str">
        <f>IF(Table1[[#This Row],[ai_disruption_intensity]]&gt;70,"High",
IF(Table1[[#This Row],[ai_disruption_intensity]]&gt;40,"Medium","Low"))</f>
        <v>Low</v>
      </c>
      <c r="W2159" t="str">
        <f>IF(Table1[[#This Row],[skill_gap_index]]&gt;70,"Large Gap",
IF(Table1[[#This Row],[skill_gap_index]]&gt;40,"Medium Gap","Small Gap"))</f>
        <v>Small Gap</v>
      </c>
      <c r="X2159" s="3" t="str">
        <f>IF(Table1[[#This Row],[automation_risk_percent]]&gt;0.7,"Highly Automatable",
IF(Table1[[#This Row],[automation_risk_percent]]&gt;0.4,"Moderate Risk","Safe Job"))</f>
        <v>Moderate Risk</v>
      </c>
    </row>
    <row r="2160" spans="1:24" x14ac:dyDescent="0.3">
      <c r="A2160">
        <v>7642</v>
      </c>
      <c r="B2160" t="s">
        <v>41</v>
      </c>
      <c r="C2160" t="s">
        <v>30</v>
      </c>
      <c r="D2160" t="s">
        <v>36</v>
      </c>
      <c r="E2160" s="1">
        <v>2026</v>
      </c>
      <c r="F2160" s="11">
        <v>0.76580000000000004</v>
      </c>
      <c r="G2160">
        <v>82.3</v>
      </c>
      <c r="H2160">
        <v>76.98</v>
      </c>
      <c r="I2160" s="2">
        <v>49830.93</v>
      </c>
      <c r="J2160" s="2">
        <v>49628.62</v>
      </c>
      <c r="K2160" s="2">
        <f>Table1[[#This Row],[Salary_after]]-Table1[[#This Row],[Salary_before]]</f>
        <v>-202.30999999999767</v>
      </c>
      <c r="L2160" s="11">
        <v>-4.0999999999999995E-3</v>
      </c>
      <c r="M2160" s="11">
        <v>-9.1000000000000004E-3</v>
      </c>
      <c r="N2160">
        <v>40.85</v>
      </c>
      <c r="O2160">
        <v>77.67</v>
      </c>
      <c r="P2160">
        <v>4</v>
      </c>
      <c r="Q2160" t="s">
        <v>37</v>
      </c>
      <c r="R2160">
        <v>76.78</v>
      </c>
      <c r="S2160">
        <v>0.41</v>
      </c>
      <c r="T2160" s="4">
        <v>53.848999999999997</v>
      </c>
      <c r="U2160" s="4">
        <v>59.479686000000001</v>
      </c>
      <c r="V2160" t="str">
        <f>IF(Table1[[#This Row],[ai_disruption_intensity]]&gt;70,"High",
IF(Table1[[#This Row],[ai_disruption_intensity]]&gt;40,"Medium","Low"))</f>
        <v>Medium</v>
      </c>
      <c r="W2160" t="str">
        <f>IF(Table1[[#This Row],[skill_gap_index]]&gt;70,"Large Gap",
IF(Table1[[#This Row],[skill_gap_index]]&gt;40,"Medium Gap","Small Gap"))</f>
        <v>Large Gap</v>
      </c>
      <c r="X2160" s="3" t="str">
        <f>IF(Table1[[#This Row],[automation_risk_percent]]&gt;0.7,"Highly Automatable",
IF(Table1[[#This Row],[automation_risk_percent]]&gt;0.4,"Moderate Risk","Safe Job"))</f>
        <v>Highly Automatable</v>
      </c>
    </row>
    <row r="2161" spans="1:24" x14ac:dyDescent="0.3">
      <c r="A2161">
        <v>7643</v>
      </c>
      <c r="B2161" t="s">
        <v>43</v>
      </c>
      <c r="C2161" t="s">
        <v>38</v>
      </c>
      <c r="D2161" t="s">
        <v>24</v>
      </c>
      <c r="E2161" s="1">
        <v>2025</v>
      </c>
      <c r="F2161" s="11">
        <v>0.47720000000000001</v>
      </c>
      <c r="G2161">
        <v>55.95</v>
      </c>
      <c r="H2161">
        <v>6.12</v>
      </c>
      <c r="I2161" s="2">
        <v>73641.16</v>
      </c>
      <c r="J2161" s="2">
        <v>66375.61</v>
      </c>
      <c r="K2161" s="2">
        <f>Table1[[#This Row],[Salary_after]]-Table1[[#This Row],[Salary_before]]</f>
        <v>-7265.5500000000029</v>
      </c>
      <c r="L2161" s="11">
        <v>-9.8699999999999996E-2</v>
      </c>
      <c r="M2161" s="11">
        <v>2.5000000000000001E-2</v>
      </c>
      <c r="N2161">
        <v>62.47</v>
      </c>
      <c r="O2161">
        <v>4.0199999999999996</v>
      </c>
      <c r="P2161">
        <v>3</v>
      </c>
      <c r="Q2161" t="s">
        <v>25</v>
      </c>
      <c r="R2161">
        <v>26.919999999999899</v>
      </c>
      <c r="S2161">
        <v>9.8699999999999992</v>
      </c>
      <c r="T2161" s="4">
        <v>23.884999999999899</v>
      </c>
      <c r="U2161" s="4">
        <v>1.9183439999999901</v>
      </c>
      <c r="V2161" t="str">
        <f>IF(Table1[[#This Row],[ai_disruption_intensity]]&gt;70,"High",
IF(Table1[[#This Row],[ai_disruption_intensity]]&gt;40,"Medium","Low"))</f>
        <v>Low</v>
      </c>
      <c r="W2161" t="str">
        <f>IF(Table1[[#This Row],[skill_gap_index]]&gt;70,"Large Gap",
IF(Table1[[#This Row],[skill_gap_index]]&gt;40,"Medium Gap","Small Gap"))</f>
        <v>Small Gap</v>
      </c>
      <c r="X2161" s="3" t="str">
        <f>IF(Table1[[#This Row],[automation_risk_percent]]&gt;0.7,"Highly Automatable",
IF(Table1[[#This Row],[automation_risk_percent]]&gt;0.4,"Moderate Risk","Safe Job"))</f>
        <v>Moderate Risk</v>
      </c>
    </row>
    <row r="2162" spans="1:24" x14ac:dyDescent="0.3">
      <c r="A2162">
        <v>7660</v>
      </c>
      <c r="B2162" t="s">
        <v>18</v>
      </c>
      <c r="C2162" t="s">
        <v>27</v>
      </c>
      <c r="D2162" t="s">
        <v>24</v>
      </c>
      <c r="E2162" s="1">
        <v>2025</v>
      </c>
      <c r="F2162" s="11">
        <v>0.79909999999999992</v>
      </c>
      <c r="G2162">
        <v>77.319999999999993</v>
      </c>
      <c r="H2162">
        <v>21.63</v>
      </c>
      <c r="I2162" s="2">
        <v>49746.71</v>
      </c>
      <c r="J2162" s="2">
        <v>50952.07</v>
      </c>
      <c r="K2162" s="2">
        <f>Table1[[#This Row],[Salary_after]]-Table1[[#This Row],[Salary_before]]</f>
        <v>1205.3600000000006</v>
      </c>
      <c r="L2162" s="11">
        <v>2.4199999999999999E-2</v>
      </c>
      <c r="M2162" s="11">
        <v>7.7499999999999999E-2</v>
      </c>
      <c r="N2162">
        <v>65.2</v>
      </c>
      <c r="O2162">
        <v>54.72</v>
      </c>
      <c r="P2162">
        <v>2</v>
      </c>
      <c r="Q2162" t="s">
        <v>37</v>
      </c>
      <c r="R2162">
        <v>50.769999999999897</v>
      </c>
      <c r="S2162">
        <v>2.42</v>
      </c>
      <c r="T2162" s="4">
        <v>39.178999999999903</v>
      </c>
      <c r="U2162" s="4">
        <v>43.726751999999998</v>
      </c>
      <c r="V2162" t="str">
        <f>IF(Table1[[#This Row],[ai_disruption_intensity]]&gt;70,"High",
IF(Table1[[#This Row],[ai_disruption_intensity]]&gt;40,"Medium","Low"))</f>
        <v>Medium</v>
      </c>
      <c r="W2162" t="str">
        <f>IF(Table1[[#This Row],[skill_gap_index]]&gt;70,"Large Gap",
IF(Table1[[#This Row],[skill_gap_index]]&gt;40,"Medium Gap","Small Gap"))</f>
        <v>Small Gap</v>
      </c>
      <c r="X2162" s="3" t="str">
        <f>IF(Table1[[#This Row],[automation_risk_percent]]&gt;0.7,"Highly Automatable",
IF(Table1[[#This Row],[automation_risk_percent]]&gt;0.4,"Moderate Risk","Safe Job"))</f>
        <v>Highly Automatable</v>
      </c>
    </row>
    <row r="2163" spans="1:24" x14ac:dyDescent="0.3">
      <c r="A2163">
        <v>7663</v>
      </c>
      <c r="B2163" t="s">
        <v>29</v>
      </c>
      <c r="C2163" t="s">
        <v>40</v>
      </c>
      <c r="D2163" t="s">
        <v>28</v>
      </c>
      <c r="E2163" s="1">
        <v>2026</v>
      </c>
      <c r="F2163" s="11">
        <v>0.28889999999999999</v>
      </c>
      <c r="G2163">
        <v>25.26</v>
      </c>
      <c r="H2163">
        <v>9.86</v>
      </c>
      <c r="I2163" s="2">
        <v>75384.710000000006</v>
      </c>
      <c r="J2163" s="2">
        <v>80321.56</v>
      </c>
      <c r="K2163" s="2">
        <f>Table1[[#This Row],[Salary_after]]-Table1[[#This Row],[Salary_before]]</f>
        <v>4936.8499999999913</v>
      </c>
      <c r="L2163" s="11">
        <v>6.5500000000000003E-2</v>
      </c>
      <c r="M2163" s="11">
        <v>0.1434</v>
      </c>
      <c r="N2163">
        <v>19.600000000000001</v>
      </c>
      <c r="O2163">
        <v>79.849999999999994</v>
      </c>
      <c r="P2163">
        <v>3</v>
      </c>
      <c r="Q2163" t="s">
        <v>21</v>
      </c>
      <c r="R2163">
        <v>19.375</v>
      </c>
      <c r="S2163">
        <v>6.55</v>
      </c>
      <c r="T2163" s="4">
        <v>16.478999999999999</v>
      </c>
      <c r="U2163" s="4">
        <v>23.068664999999999</v>
      </c>
      <c r="V2163" t="str">
        <f>IF(Table1[[#This Row],[ai_disruption_intensity]]&gt;70,"High",
IF(Table1[[#This Row],[ai_disruption_intensity]]&gt;40,"Medium","Low"))</f>
        <v>Low</v>
      </c>
      <c r="W2163" t="str">
        <f>IF(Table1[[#This Row],[skill_gap_index]]&gt;70,"Large Gap",
IF(Table1[[#This Row],[skill_gap_index]]&gt;40,"Medium Gap","Small Gap"))</f>
        <v>Small Gap</v>
      </c>
      <c r="X2163" s="3" t="str">
        <f>IF(Table1[[#This Row],[automation_risk_percent]]&gt;0.7,"Highly Automatable",
IF(Table1[[#This Row],[automation_risk_percent]]&gt;0.4,"Moderate Risk","Safe Job"))</f>
        <v>Safe Job</v>
      </c>
    </row>
    <row r="2164" spans="1:24" x14ac:dyDescent="0.3">
      <c r="A2164">
        <v>7665</v>
      </c>
      <c r="B2164" t="s">
        <v>43</v>
      </c>
      <c r="C2164" t="s">
        <v>40</v>
      </c>
      <c r="D2164" t="s">
        <v>35</v>
      </c>
      <c r="E2164" s="1">
        <v>2025</v>
      </c>
      <c r="F2164" s="11">
        <v>0.65639999999999998</v>
      </c>
      <c r="G2164">
        <v>77.16</v>
      </c>
      <c r="H2164">
        <v>57.29</v>
      </c>
      <c r="I2164" s="2">
        <v>40932.46</v>
      </c>
      <c r="J2164" s="2">
        <v>41334.47</v>
      </c>
      <c r="K2164" s="2">
        <f>Table1[[#This Row],[Salary_after]]-Table1[[#This Row],[Salary_before]]</f>
        <v>402.01000000000204</v>
      </c>
      <c r="L2164" s="11">
        <v>9.7999999999999997E-3</v>
      </c>
      <c r="M2164" s="11">
        <v>0.05</v>
      </c>
      <c r="N2164">
        <v>94.48</v>
      </c>
      <c r="O2164">
        <v>99.32</v>
      </c>
      <c r="P2164">
        <v>5</v>
      </c>
      <c r="Q2164" t="s">
        <v>37</v>
      </c>
      <c r="R2164">
        <v>61.465000000000003</v>
      </c>
      <c r="S2164">
        <v>0.98</v>
      </c>
      <c r="T2164" s="4">
        <v>43.736999999999902</v>
      </c>
      <c r="U2164" s="4">
        <v>65.193647999999996</v>
      </c>
      <c r="V2164" t="str">
        <f>IF(Table1[[#This Row],[ai_disruption_intensity]]&gt;70,"High",
IF(Table1[[#This Row],[ai_disruption_intensity]]&gt;40,"Medium","Low"))</f>
        <v>Medium</v>
      </c>
      <c r="W2164" t="str">
        <f>IF(Table1[[#This Row],[skill_gap_index]]&gt;70,"Large Gap",
IF(Table1[[#This Row],[skill_gap_index]]&gt;40,"Medium Gap","Small Gap"))</f>
        <v>Medium Gap</v>
      </c>
      <c r="X2164" s="3" t="str">
        <f>IF(Table1[[#This Row],[automation_risk_percent]]&gt;0.7,"Highly Automatable",
IF(Table1[[#This Row],[automation_risk_percent]]&gt;0.4,"Moderate Risk","Safe Job"))</f>
        <v>Moderate Risk</v>
      </c>
    </row>
    <row r="2165" spans="1:24" x14ac:dyDescent="0.3">
      <c r="A2165">
        <v>7668</v>
      </c>
      <c r="B2165" t="s">
        <v>39</v>
      </c>
      <c r="C2165" t="s">
        <v>40</v>
      </c>
      <c r="D2165" t="s">
        <v>36</v>
      </c>
      <c r="E2165" s="1">
        <v>2025</v>
      </c>
      <c r="F2165" s="11">
        <v>0.46710000000000002</v>
      </c>
      <c r="G2165">
        <v>42.24</v>
      </c>
      <c r="H2165">
        <v>59.06</v>
      </c>
      <c r="I2165" s="2">
        <v>109448.93</v>
      </c>
      <c r="J2165" s="2">
        <v>113567.41</v>
      </c>
      <c r="K2165" s="2">
        <f>Table1[[#This Row],[Salary_after]]-Table1[[#This Row],[Salary_before]]</f>
        <v>4118.4800000000105</v>
      </c>
      <c r="L2165" s="11">
        <v>3.7599999999999995E-2</v>
      </c>
      <c r="M2165" s="11">
        <v>0.17829999999999999</v>
      </c>
      <c r="N2165">
        <v>78.05</v>
      </c>
      <c r="O2165">
        <v>16.940000000000001</v>
      </c>
      <c r="P2165">
        <v>3</v>
      </c>
      <c r="Q2165" t="s">
        <v>25</v>
      </c>
      <c r="R2165">
        <v>52.884999999999998</v>
      </c>
      <c r="S2165">
        <v>3.76</v>
      </c>
      <c r="T2165" s="4">
        <v>37.53</v>
      </c>
      <c r="U2165" s="4">
        <v>7.912674</v>
      </c>
      <c r="V2165" t="str">
        <f>IF(Table1[[#This Row],[ai_disruption_intensity]]&gt;70,"High",
IF(Table1[[#This Row],[ai_disruption_intensity]]&gt;40,"Medium","Low"))</f>
        <v>Low</v>
      </c>
      <c r="W2165" t="str">
        <f>IF(Table1[[#This Row],[skill_gap_index]]&gt;70,"Large Gap",
IF(Table1[[#This Row],[skill_gap_index]]&gt;40,"Medium Gap","Small Gap"))</f>
        <v>Medium Gap</v>
      </c>
      <c r="X2165" s="3" t="str">
        <f>IF(Table1[[#This Row],[automation_risk_percent]]&gt;0.7,"Highly Automatable",
IF(Table1[[#This Row],[automation_risk_percent]]&gt;0.4,"Moderate Risk","Safe Job"))</f>
        <v>Moderate Risk</v>
      </c>
    </row>
    <row r="2166" spans="1:24" x14ac:dyDescent="0.3">
      <c r="A2166">
        <v>7669</v>
      </c>
      <c r="B2166" t="s">
        <v>41</v>
      </c>
      <c r="C2166" t="s">
        <v>38</v>
      </c>
      <c r="D2166" t="s">
        <v>28</v>
      </c>
      <c r="E2166" s="1">
        <v>2025</v>
      </c>
      <c r="F2166" s="11">
        <v>0.3347</v>
      </c>
      <c r="G2166">
        <v>29.18</v>
      </c>
      <c r="H2166">
        <v>84.63</v>
      </c>
      <c r="I2166" s="2">
        <v>96737.99</v>
      </c>
      <c r="J2166" s="2">
        <v>111892.38</v>
      </c>
      <c r="K2166" s="2">
        <f>Table1[[#This Row],[Salary_after]]-Table1[[#This Row],[Salary_before]]</f>
        <v>15154.39</v>
      </c>
      <c r="L2166" s="11">
        <v>0.15670000000000001</v>
      </c>
      <c r="M2166" s="11">
        <v>2.3300000000000001E-2</v>
      </c>
      <c r="N2166">
        <v>21.17</v>
      </c>
      <c r="O2166">
        <v>0.62</v>
      </c>
      <c r="P2166">
        <v>1</v>
      </c>
      <c r="Q2166" t="s">
        <v>25</v>
      </c>
      <c r="R2166">
        <v>59.05</v>
      </c>
      <c r="S2166">
        <v>15.67</v>
      </c>
      <c r="T2166" s="4">
        <v>43.478000000000002</v>
      </c>
      <c r="U2166" s="4">
        <v>0.207514</v>
      </c>
      <c r="V2166" t="str">
        <f>IF(Table1[[#This Row],[ai_disruption_intensity]]&gt;70,"High",
IF(Table1[[#This Row],[ai_disruption_intensity]]&gt;40,"Medium","Low"))</f>
        <v>Low</v>
      </c>
      <c r="W2166" t="str">
        <f>IF(Table1[[#This Row],[skill_gap_index]]&gt;70,"Large Gap",
IF(Table1[[#This Row],[skill_gap_index]]&gt;40,"Medium Gap","Small Gap"))</f>
        <v>Large Gap</v>
      </c>
      <c r="X2166" s="3" t="str">
        <f>IF(Table1[[#This Row],[automation_risk_percent]]&gt;0.7,"Highly Automatable",
IF(Table1[[#This Row],[automation_risk_percent]]&gt;0.4,"Moderate Risk","Safe Job"))</f>
        <v>Safe Job</v>
      </c>
    </row>
    <row r="2167" spans="1:24" x14ac:dyDescent="0.3">
      <c r="A2167">
        <v>7676</v>
      </c>
      <c r="B2167" t="s">
        <v>22</v>
      </c>
      <c r="C2167" t="s">
        <v>27</v>
      </c>
      <c r="D2167" t="s">
        <v>31</v>
      </c>
      <c r="E2167" s="1">
        <v>2025</v>
      </c>
      <c r="F2167" s="11">
        <v>0.33779999999999999</v>
      </c>
      <c r="G2167">
        <v>31.03</v>
      </c>
      <c r="H2167">
        <v>6.99</v>
      </c>
      <c r="I2167" s="2">
        <v>95101.79</v>
      </c>
      <c r="J2167" s="2">
        <v>97107.23</v>
      </c>
      <c r="K2167" s="2">
        <f>Table1[[#This Row],[Salary_after]]-Table1[[#This Row],[Salary_before]]</f>
        <v>2005.4400000000023</v>
      </c>
      <c r="L2167" s="11">
        <v>2.1099999999999997E-2</v>
      </c>
      <c r="M2167" s="11">
        <v>-6.13E-2</v>
      </c>
      <c r="N2167">
        <v>66.239999999999995</v>
      </c>
      <c r="O2167">
        <v>44.21</v>
      </c>
      <c r="P2167">
        <v>5</v>
      </c>
      <c r="Q2167" t="s">
        <v>25</v>
      </c>
      <c r="R2167">
        <v>20.385000000000002</v>
      </c>
      <c r="S2167">
        <v>2.11</v>
      </c>
      <c r="T2167" s="4">
        <v>16.242000000000001</v>
      </c>
      <c r="U2167" s="4">
        <v>14.934138000000001</v>
      </c>
      <c r="V2167" t="str">
        <f>IF(Table1[[#This Row],[ai_disruption_intensity]]&gt;70,"High",
IF(Table1[[#This Row],[ai_disruption_intensity]]&gt;40,"Medium","Low"))</f>
        <v>Low</v>
      </c>
      <c r="W2167" t="str">
        <f>IF(Table1[[#This Row],[skill_gap_index]]&gt;70,"Large Gap",
IF(Table1[[#This Row],[skill_gap_index]]&gt;40,"Medium Gap","Small Gap"))</f>
        <v>Small Gap</v>
      </c>
      <c r="X2167" s="3" t="str">
        <f>IF(Table1[[#This Row],[automation_risk_percent]]&gt;0.7,"Highly Automatable",
IF(Table1[[#This Row],[automation_risk_percent]]&gt;0.4,"Moderate Risk","Safe Job"))</f>
        <v>Safe Job</v>
      </c>
    </row>
    <row r="2168" spans="1:24" x14ac:dyDescent="0.3">
      <c r="A2168">
        <v>7680</v>
      </c>
      <c r="B2168" t="s">
        <v>39</v>
      </c>
      <c r="C2168" t="s">
        <v>38</v>
      </c>
      <c r="D2168" t="s">
        <v>47</v>
      </c>
      <c r="E2168" s="1">
        <v>2025</v>
      </c>
      <c r="F2168" s="11">
        <v>0.49130000000000001</v>
      </c>
      <c r="G2168">
        <v>44.27</v>
      </c>
      <c r="H2168">
        <v>54.75</v>
      </c>
      <c r="I2168" s="2">
        <v>35314.14</v>
      </c>
      <c r="J2168" s="2">
        <v>36162.15</v>
      </c>
      <c r="K2168" s="2">
        <f>Table1[[#This Row],[Salary_after]]-Table1[[#This Row],[Salary_before]]</f>
        <v>848.01000000000204</v>
      </c>
      <c r="L2168" s="11">
        <v>2.4E-2</v>
      </c>
      <c r="M2168" s="11">
        <v>0.1716</v>
      </c>
      <c r="N2168">
        <v>68.650000000000006</v>
      </c>
      <c r="O2168">
        <v>20.09</v>
      </c>
      <c r="P2168">
        <v>1</v>
      </c>
      <c r="Q2168" t="s">
        <v>25</v>
      </c>
      <c r="R2168">
        <v>51.94</v>
      </c>
      <c r="S2168">
        <v>2.4</v>
      </c>
      <c r="T2168" s="4">
        <v>36.796999999999997</v>
      </c>
      <c r="U2168" s="4">
        <v>9.8702170000000002</v>
      </c>
      <c r="V2168" t="str">
        <f>IF(Table1[[#This Row],[ai_disruption_intensity]]&gt;70,"High",
IF(Table1[[#This Row],[ai_disruption_intensity]]&gt;40,"Medium","Low"))</f>
        <v>Low</v>
      </c>
      <c r="W2168" t="str">
        <f>IF(Table1[[#This Row],[skill_gap_index]]&gt;70,"Large Gap",
IF(Table1[[#This Row],[skill_gap_index]]&gt;40,"Medium Gap","Small Gap"))</f>
        <v>Medium Gap</v>
      </c>
      <c r="X2168" s="3" t="str">
        <f>IF(Table1[[#This Row],[automation_risk_percent]]&gt;0.7,"Highly Automatable",
IF(Table1[[#This Row],[automation_risk_percent]]&gt;0.4,"Moderate Risk","Safe Job"))</f>
        <v>Moderate Risk</v>
      </c>
    </row>
    <row r="2169" spans="1:24" x14ac:dyDescent="0.3">
      <c r="A2169">
        <v>7681</v>
      </c>
      <c r="B2169" t="s">
        <v>29</v>
      </c>
      <c r="C2169" t="s">
        <v>34</v>
      </c>
      <c r="D2169" t="s">
        <v>47</v>
      </c>
      <c r="E2169" s="1">
        <v>2026</v>
      </c>
      <c r="F2169" s="11">
        <v>0.64069999999999994</v>
      </c>
      <c r="G2169">
        <v>64.849999999999994</v>
      </c>
      <c r="H2169">
        <v>61.96</v>
      </c>
      <c r="I2169" s="2">
        <v>131690.41</v>
      </c>
      <c r="J2169" s="2">
        <v>135312.18</v>
      </c>
      <c r="K2169" s="2">
        <f>Table1[[#This Row],[Salary_after]]-Table1[[#This Row],[Salary_before]]</f>
        <v>3621.7699999999895</v>
      </c>
      <c r="L2169" s="11">
        <v>2.75E-2</v>
      </c>
      <c r="M2169" s="11">
        <v>0.20519999999999999</v>
      </c>
      <c r="N2169">
        <v>90.41</v>
      </c>
      <c r="O2169">
        <v>35.840000000000003</v>
      </c>
      <c r="P2169">
        <v>5</v>
      </c>
      <c r="Q2169" t="s">
        <v>37</v>
      </c>
      <c r="R2169">
        <v>63.015000000000001</v>
      </c>
      <c r="S2169">
        <v>2.75</v>
      </c>
      <c r="T2169" s="4">
        <v>45.040999999999997</v>
      </c>
      <c r="U2169" s="4">
        <v>22.962688</v>
      </c>
      <c r="V2169" t="str">
        <f>IF(Table1[[#This Row],[ai_disruption_intensity]]&gt;70,"High",
IF(Table1[[#This Row],[ai_disruption_intensity]]&gt;40,"Medium","Low"))</f>
        <v>Low</v>
      </c>
      <c r="W2169" t="str">
        <f>IF(Table1[[#This Row],[skill_gap_index]]&gt;70,"Large Gap",
IF(Table1[[#This Row],[skill_gap_index]]&gt;40,"Medium Gap","Small Gap"))</f>
        <v>Medium Gap</v>
      </c>
      <c r="X2169" s="3" t="str">
        <f>IF(Table1[[#This Row],[automation_risk_percent]]&gt;0.7,"Highly Automatable",
IF(Table1[[#This Row],[automation_risk_percent]]&gt;0.4,"Moderate Risk","Safe Job"))</f>
        <v>Moderate Risk</v>
      </c>
    </row>
    <row r="2170" spans="1:24" x14ac:dyDescent="0.3">
      <c r="A2170">
        <v>7683</v>
      </c>
      <c r="B2170" t="s">
        <v>29</v>
      </c>
      <c r="C2170" t="s">
        <v>27</v>
      </c>
      <c r="D2170" t="s">
        <v>32</v>
      </c>
      <c r="E2170" s="1">
        <v>2025</v>
      </c>
      <c r="F2170" s="11">
        <v>0.3775</v>
      </c>
      <c r="G2170">
        <v>40.6</v>
      </c>
      <c r="H2170">
        <v>13.84</v>
      </c>
      <c r="I2170" s="2">
        <v>147148.32</v>
      </c>
      <c r="J2170" s="2">
        <v>138558.32</v>
      </c>
      <c r="K2170" s="2">
        <f>Table1[[#This Row],[Salary_after]]-Table1[[#This Row],[Salary_before]]</f>
        <v>-8590</v>
      </c>
      <c r="L2170" s="11">
        <v>-5.8400000000000001E-2</v>
      </c>
      <c r="M2170" s="11">
        <v>0.19070000000000001</v>
      </c>
      <c r="N2170">
        <v>63.4</v>
      </c>
      <c r="O2170">
        <v>0.76</v>
      </c>
      <c r="P2170">
        <v>5</v>
      </c>
      <c r="Q2170" t="s">
        <v>25</v>
      </c>
      <c r="R2170">
        <v>25.795000000000002</v>
      </c>
      <c r="S2170">
        <v>5.84</v>
      </c>
      <c r="T2170" s="4">
        <v>21.004000000000001</v>
      </c>
      <c r="U2170" s="4">
        <v>0.28689999999999999</v>
      </c>
      <c r="V2170" t="str">
        <f>IF(Table1[[#This Row],[ai_disruption_intensity]]&gt;70,"High",
IF(Table1[[#This Row],[ai_disruption_intensity]]&gt;40,"Medium","Low"))</f>
        <v>Low</v>
      </c>
      <c r="W2170" t="str">
        <f>IF(Table1[[#This Row],[skill_gap_index]]&gt;70,"Large Gap",
IF(Table1[[#This Row],[skill_gap_index]]&gt;40,"Medium Gap","Small Gap"))</f>
        <v>Small Gap</v>
      </c>
      <c r="X2170" s="3" t="str">
        <f>IF(Table1[[#This Row],[automation_risk_percent]]&gt;0.7,"Highly Automatable",
IF(Table1[[#This Row],[automation_risk_percent]]&gt;0.4,"Moderate Risk","Safe Job"))</f>
        <v>Safe Job</v>
      </c>
    </row>
    <row r="2171" spans="1:24" x14ac:dyDescent="0.3">
      <c r="A2171">
        <v>7685</v>
      </c>
      <c r="B2171" t="s">
        <v>44</v>
      </c>
      <c r="C2171" t="s">
        <v>40</v>
      </c>
      <c r="D2171" t="s">
        <v>20</v>
      </c>
      <c r="E2171" s="1">
        <v>2026</v>
      </c>
      <c r="F2171" s="11">
        <v>0.33579999999999999</v>
      </c>
      <c r="G2171">
        <v>38.53</v>
      </c>
      <c r="H2171">
        <v>38.880000000000003</v>
      </c>
      <c r="I2171" s="2">
        <v>90002.86</v>
      </c>
      <c r="J2171" s="2">
        <v>83974.1</v>
      </c>
      <c r="K2171" s="2">
        <f>Table1[[#This Row],[Salary_after]]-Table1[[#This Row],[Salary_before]]</f>
        <v>-6028.7599999999948</v>
      </c>
      <c r="L2171" s="11">
        <v>-6.7000000000000004E-2</v>
      </c>
      <c r="M2171" s="11">
        <v>6.7599999999999993E-2</v>
      </c>
      <c r="N2171">
        <v>63.74</v>
      </c>
      <c r="O2171">
        <v>57.74</v>
      </c>
      <c r="P2171">
        <v>3</v>
      </c>
      <c r="Q2171" t="s">
        <v>25</v>
      </c>
      <c r="R2171">
        <v>36.229999999999997</v>
      </c>
      <c r="S2171">
        <v>6.7</v>
      </c>
      <c r="T2171" s="4">
        <v>27.106000000000002</v>
      </c>
      <c r="U2171" s="4">
        <v>19.389092000000002</v>
      </c>
      <c r="V2171" t="str">
        <f>IF(Table1[[#This Row],[ai_disruption_intensity]]&gt;70,"High",
IF(Table1[[#This Row],[ai_disruption_intensity]]&gt;40,"Medium","Low"))</f>
        <v>Low</v>
      </c>
      <c r="W2171" t="str">
        <f>IF(Table1[[#This Row],[skill_gap_index]]&gt;70,"Large Gap",
IF(Table1[[#This Row],[skill_gap_index]]&gt;40,"Medium Gap","Small Gap"))</f>
        <v>Small Gap</v>
      </c>
      <c r="X2171" s="3" t="str">
        <f>IF(Table1[[#This Row],[automation_risk_percent]]&gt;0.7,"Highly Automatable",
IF(Table1[[#This Row],[automation_risk_percent]]&gt;0.4,"Moderate Risk","Safe Job"))</f>
        <v>Safe Job</v>
      </c>
    </row>
    <row r="2172" spans="1:24" x14ac:dyDescent="0.3">
      <c r="A2172">
        <v>7687</v>
      </c>
      <c r="B2172" t="s">
        <v>46</v>
      </c>
      <c r="C2172" t="s">
        <v>38</v>
      </c>
      <c r="D2172" t="s">
        <v>20</v>
      </c>
      <c r="E2172" s="1">
        <v>2025</v>
      </c>
      <c r="F2172" s="11">
        <v>0.05</v>
      </c>
      <c r="G2172">
        <v>5.48</v>
      </c>
      <c r="H2172">
        <v>88.29</v>
      </c>
      <c r="I2172" s="2">
        <v>35480.76</v>
      </c>
      <c r="J2172" s="2">
        <v>44741.39</v>
      </c>
      <c r="K2172" s="2">
        <f>Table1[[#This Row],[Salary_after]]-Table1[[#This Row],[Salary_before]]</f>
        <v>9260.6299999999974</v>
      </c>
      <c r="L2172" s="11">
        <v>0.26100000000000001</v>
      </c>
      <c r="M2172" s="11">
        <v>0.15060000000000001</v>
      </c>
      <c r="N2172">
        <v>49.49</v>
      </c>
      <c r="O2172">
        <v>50.27</v>
      </c>
      <c r="P2172">
        <v>5</v>
      </c>
      <c r="Q2172" t="s">
        <v>21</v>
      </c>
      <c r="R2172">
        <v>46.645000000000003</v>
      </c>
      <c r="S2172">
        <v>26.1</v>
      </c>
      <c r="T2172" s="4">
        <v>36.317</v>
      </c>
      <c r="U2172" s="4">
        <v>2.5135000000000001</v>
      </c>
      <c r="V2172" t="str">
        <f>IF(Table1[[#This Row],[ai_disruption_intensity]]&gt;70,"High",
IF(Table1[[#This Row],[ai_disruption_intensity]]&gt;40,"Medium","Low"))</f>
        <v>Low</v>
      </c>
      <c r="W2172" t="str">
        <f>IF(Table1[[#This Row],[skill_gap_index]]&gt;70,"Large Gap",
IF(Table1[[#This Row],[skill_gap_index]]&gt;40,"Medium Gap","Small Gap"))</f>
        <v>Large Gap</v>
      </c>
      <c r="X2172" s="3" t="str">
        <f>IF(Table1[[#This Row],[automation_risk_percent]]&gt;0.7,"Highly Automatable",
IF(Table1[[#This Row],[automation_risk_percent]]&gt;0.4,"Moderate Risk","Safe Job"))</f>
        <v>Safe Job</v>
      </c>
    </row>
    <row r="2173" spans="1:24" x14ac:dyDescent="0.3">
      <c r="A2173">
        <v>7695</v>
      </c>
      <c r="B2173" t="s">
        <v>46</v>
      </c>
      <c r="C2173" t="s">
        <v>19</v>
      </c>
      <c r="D2173" t="s">
        <v>20</v>
      </c>
      <c r="E2173" s="1">
        <v>2025</v>
      </c>
      <c r="F2173" s="11">
        <v>0.18</v>
      </c>
      <c r="G2173">
        <v>17.21</v>
      </c>
      <c r="H2173">
        <v>36.35</v>
      </c>
      <c r="I2173" s="2">
        <v>33910.300000000003</v>
      </c>
      <c r="J2173" s="2">
        <v>28930.82</v>
      </c>
      <c r="K2173" s="2">
        <f>Table1[[#This Row],[Salary_after]]-Table1[[#This Row],[Salary_before]]</f>
        <v>-4979.4800000000032</v>
      </c>
      <c r="L2173" s="11">
        <v>-0.14679999999999999</v>
      </c>
      <c r="M2173" s="11">
        <v>5.4800000000000001E-2</v>
      </c>
      <c r="N2173">
        <v>21.57</v>
      </c>
      <c r="O2173">
        <v>71.040000000000006</v>
      </c>
      <c r="P2173">
        <v>4</v>
      </c>
      <c r="Q2173" t="s">
        <v>21</v>
      </c>
      <c r="R2173">
        <v>27.175000000000001</v>
      </c>
      <c r="S2173">
        <v>14.68</v>
      </c>
      <c r="T2173" s="4">
        <v>22.509</v>
      </c>
      <c r="U2173" s="4">
        <v>12.7872</v>
      </c>
      <c r="V2173" t="str">
        <f>IF(Table1[[#This Row],[ai_disruption_intensity]]&gt;70,"High",
IF(Table1[[#This Row],[ai_disruption_intensity]]&gt;40,"Medium","Low"))</f>
        <v>Low</v>
      </c>
      <c r="W2173" t="str">
        <f>IF(Table1[[#This Row],[skill_gap_index]]&gt;70,"Large Gap",
IF(Table1[[#This Row],[skill_gap_index]]&gt;40,"Medium Gap","Small Gap"))</f>
        <v>Small Gap</v>
      </c>
      <c r="X2173" s="3" t="str">
        <f>IF(Table1[[#This Row],[automation_risk_percent]]&gt;0.7,"Highly Automatable",
IF(Table1[[#This Row],[automation_risk_percent]]&gt;0.4,"Moderate Risk","Safe Job"))</f>
        <v>Safe Job</v>
      </c>
    </row>
    <row r="2174" spans="1:24" x14ac:dyDescent="0.3">
      <c r="A2174">
        <v>7699</v>
      </c>
      <c r="B2174" t="s">
        <v>41</v>
      </c>
      <c r="C2174" t="s">
        <v>19</v>
      </c>
      <c r="D2174" t="s">
        <v>47</v>
      </c>
      <c r="E2174" s="1">
        <v>2026</v>
      </c>
      <c r="F2174" s="11">
        <v>0.48450000000000004</v>
      </c>
      <c r="G2174">
        <v>40.11</v>
      </c>
      <c r="H2174">
        <v>41.76</v>
      </c>
      <c r="I2174" s="2">
        <v>95340.67</v>
      </c>
      <c r="J2174" s="2">
        <v>108835.46</v>
      </c>
      <c r="K2174" s="2">
        <f>Table1[[#This Row],[Salary_after]]-Table1[[#This Row],[Salary_before]]</f>
        <v>13494.790000000008</v>
      </c>
      <c r="L2174" s="11">
        <v>0.14150000000000001</v>
      </c>
      <c r="M2174" s="11">
        <v>7.6600000000000001E-2</v>
      </c>
      <c r="N2174">
        <v>13.98</v>
      </c>
      <c r="O2174">
        <v>98.81</v>
      </c>
      <c r="P2174">
        <v>2</v>
      </c>
      <c r="Q2174" t="s">
        <v>25</v>
      </c>
      <c r="R2174">
        <v>45.104999999999997</v>
      </c>
      <c r="S2174">
        <v>14.15</v>
      </c>
      <c r="T2174" s="4">
        <v>36.152999999999999</v>
      </c>
      <c r="U2174" s="4">
        <v>47.873444999999997</v>
      </c>
      <c r="V2174" t="str">
        <f>IF(Table1[[#This Row],[ai_disruption_intensity]]&gt;70,"High",
IF(Table1[[#This Row],[ai_disruption_intensity]]&gt;40,"Medium","Low"))</f>
        <v>Medium</v>
      </c>
      <c r="W2174" t="str">
        <f>IF(Table1[[#This Row],[skill_gap_index]]&gt;70,"Large Gap",
IF(Table1[[#This Row],[skill_gap_index]]&gt;40,"Medium Gap","Small Gap"))</f>
        <v>Medium Gap</v>
      </c>
      <c r="X2174" s="3" t="str">
        <f>IF(Table1[[#This Row],[automation_risk_percent]]&gt;0.7,"Highly Automatable",
IF(Table1[[#This Row],[automation_risk_percent]]&gt;0.4,"Moderate Risk","Safe Job"))</f>
        <v>Moderate Risk</v>
      </c>
    </row>
    <row r="2175" spans="1:24" x14ac:dyDescent="0.3">
      <c r="A2175">
        <v>7706</v>
      </c>
      <c r="B2175" t="s">
        <v>39</v>
      </c>
      <c r="C2175" t="s">
        <v>33</v>
      </c>
      <c r="D2175" t="s">
        <v>36</v>
      </c>
      <c r="E2175" s="1">
        <v>2026</v>
      </c>
      <c r="F2175" s="11">
        <v>0.74769999999999992</v>
      </c>
      <c r="G2175">
        <v>79.03</v>
      </c>
      <c r="H2175">
        <v>81.69</v>
      </c>
      <c r="I2175" s="2">
        <v>93925.58</v>
      </c>
      <c r="J2175" s="2">
        <v>90405.77</v>
      </c>
      <c r="K2175" s="2">
        <f>Table1[[#This Row],[Salary_after]]-Table1[[#This Row],[Salary_before]]</f>
        <v>-3519.8099999999977</v>
      </c>
      <c r="L2175" s="11">
        <v>-3.7499999999999999E-2</v>
      </c>
      <c r="M2175" s="11">
        <v>-5.4900000000000004E-2</v>
      </c>
      <c r="N2175">
        <v>89.35</v>
      </c>
      <c r="O2175">
        <v>1.56</v>
      </c>
      <c r="P2175">
        <v>2</v>
      </c>
      <c r="Q2175" t="s">
        <v>37</v>
      </c>
      <c r="R2175">
        <v>78.229999999999905</v>
      </c>
      <c r="S2175">
        <v>3.75</v>
      </c>
      <c r="T2175" s="4">
        <v>55.54</v>
      </c>
      <c r="U2175" s="4">
        <v>1.166412</v>
      </c>
      <c r="V2175" t="str">
        <f>IF(Table1[[#This Row],[ai_disruption_intensity]]&gt;70,"High",
IF(Table1[[#This Row],[ai_disruption_intensity]]&gt;40,"Medium","Low"))</f>
        <v>Low</v>
      </c>
      <c r="W2175" t="str">
        <f>IF(Table1[[#This Row],[skill_gap_index]]&gt;70,"Large Gap",
IF(Table1[[#This Row],[skill_gap_index]]&gt;40,"Medium Gap","Small Gap"))</f>
        <v>Large Gap</v>
      </c>
      <c r="X2175" s="3" t="str">
        <f>IF(Table1[[#This Row],[automation_risk_percent]]&gt;0.7,"Highly Automatable",
IF(Table1[[#This Row],[automation_risk_percent]]&gt;0.4,"Moderate Risk","Safe Job"))</f>
        <v>Highly Automatable</v>
      </c>
    </row>
    <row r="2176" spans="1:24" x14ac:dyDescent="0.3">
      <c r="A2176">
        <v>7709</v>
      </c>
      <c r="B2176" t="s">
        <v>29</v>
      </c>
      <c r="C2176" t="s">
        <v>38</v>
      </c>
      <c r="D2176" t="s">
        <v>42</v>
      </c>
      <c r="E2176" s="1">
        <v>2025</v>
      </c>
      <c r="F2176" s="11">
        <v>0.61680000000000001</v>
      </c>
      <c r="G2176">
        <v>55.25</v>
      </c>
      <c r="H2176">
        <v>55.64</v>
      </c>
      <c r="I2176" s="2">
        <v>86058.880000000005</v>
      </c>
      <c r="J2176" s="2">
        <v>77177.19</v>
      </c>
      <c r="K2176" s="2">
        <f>Table1[[#This Row],[Salary_after]]-Table1[[#This Row],[Salary_before]]</f>
        <v>-8881.6900000000023</v>
      </c>
      <c r="L2176" s="11">
        <v>-0.1032</v>
      </c>
      <c r="M2176" s="11">
        <v>4.2500000000000003E-2</v>
      </c>
      <c r="N2176">
        <v>49.17</v>
      </c>
      <c r="O2176">
        <v>76.64</v>
      </c>
      <c r="P2176">
        <v>1</v>
      </c>
      <c r="Q2176" t="s">
        <v>37</v>
      </c>
      <c r="R2176">
        <v>58.66</v>
      </c>
      <c r="S2176">
        <v>10.32</v>
      </c>
      <c r="T2176" s="4">
        <v>44.46</v>
      </c>
      <c r="U2176" s="4">
        <v>47.271552</v>
      </c>
      <c r="V2176" t="str">
        <f>IF(Table1[[#This Row],[ai_disruption_intensity]]&gt;70,"High",
IF(Table1[[#This Row],[ai_disruption_intensity]]&gt;40,"Medium","Low"))</f>
        <v>Medium</v>
      </c>
      <c r="W2176" t="str">
        <f>IF(Table1[[#This Row],[skill_gap_index]]&gt;70,"Large Gap",
IF(Table1[[#This Row],[skill_gap_index]]&gt;40,"Medium Gap","Small Gap"))</f>
        <v>Medium Gap</v>
      </c>
      <c r="X2176" s="3" t="str">
        <f>IF(Table1[[#This Row],[automation_risk_percent]]&gt;0.7,"Highly Automatable",
IF(Table1[[#This Row],[automation_risk_percent]]&gt;0.4,"Moderate Risk","Safe Job"))</f>
        <v>Moderate Risk</v>
      </c>
    </row>
    <row r="2177" spans="1:24" x14ac:dyDescent="0.3">
      <c r="A2177">
        <v>7714</v>
      </c>
      <c r="B2177" t="s">
        <v>26</v>
      </c>
      <c r="C2177" t="s">
        <v>38</v>
      </c>
      <c r="D2177" t="s">
        <v>42</v>
      </c>
      <c r="E2177" s="1">
        <v>2026</v>
      </c>
      <c r="F2177" s="11">
        <v>0.69650000000000001</v>
      </c>
      <c r="G2177">
        <v>71.569999999999993</v>
      </c>
      <c r="H2177">
        <v>33.200000000000003</v>
      </c>
      <c r="I2177" s="2">
        <v>77136.929999999993</v>
      </c>
      <c r="J2177" s="2">
        <v>76990.990000000005</v>
      </c>
      <c r="K2177" s="2">
        <f>Table1[[#This Row],[Salary_after]]-Table1[[#This Row],[Salary_before]]</f>
        <v>-145.93999999998778</v>
      </c>
      <c r="L2177" s="11">
        <v>-1.9E-3</v>
      </c>
      <c r="M2177" s="11">
        <v>-5.6900000000000006E-2</v>
      </c>
      <c r="N2177">
        <v>77.8</v>
      </c>
      <c r="O2177">
        <v>40.94</v>
      </c>
      <c r="P2177">
        <v>5</v>
      </c>
      <c r="Q2177" t="s">
        <v>37</v>
      </c>
      <c r="R2177">
        <v>51.424999999999997</v>
      </c>
      <c r="S2177">
        <v>0.19</v>
      </c>
      <c r="T2177" s="4">
        <v>37.877000000000002</v>
      </c>
      <c r="U2177" s="4">
        <v>28.514710000000001</v>
      </c>
      <c r="V2177" t="str">
        <f>IF(Table1[[#This Row],[ai_disruption_intensity]]&gt;70,"High",
IF(Table1[[#This Row],[ai_disruption_intensity]]&gt;40,"Medium","Low"))</f>
        <v>Low</v>
      </c>
      <c r="W2177" t="str">
        <f>IF(Table1[[#This Row],[skill_gap_index]]&gt;70,"Large Gap",
IF(Table1[[#This Row],[skill_gap_index]]&gt;40,"Medium Gap","Small Gap"))</f>
        <v>Small Gap</v>
      </c>
      <c r="X2177" s="3" t="str">
        <f>IF(Table1[[#This Row],[automation_risk_percent]]&gt;0.7,"Highly Automatable",
IF(Table1[[#This Row],[automation_risk_percent]]&gt;0.4,"Moderate Risk","Safe Job"))</f>
        <v>Moderate Risk</v>
      </c>
    </row>
    <row r="2178" spans="1:24" x14ac:dyDescent="0.3">
      <c r="A2178">
        <v>7719</v>
      </c>
      <c r="B2178" t="s">
        <v>22</v>
      </c>
      <c r="C2178" t="s">
        <v>34</v>
      </c>
      <c r="D2178" t="s">
        <v>32</v>
      </c>
      <c r="E2178" s="1">
        <v>2026</v>
      </c>
      <c r="F2178" s="11">
        <v>0.74560000000000004</v>
      </c>
      <c r="G2178">
        <v>85.36</v>
      </c>
      <c r="H2178">
        <v>98.51</v>
      </c>
      <c r="I2178" s="2">
        <v>101445.57</v>
      </c>
      <c r="J2178" s="2">
        <v>86941.23</v>
      </c>
      <c r="K2178" s="2">
        <f>Table1[[#This Row],[Salary_after]]-Table1[[#This Row],[Salary_before]]</f>
        <v>-14504.340000000011</v>
      </c>
      <c r="L2178" s="11">
        <v>-0.14300000000000002</v>
      </c>
      <c r="M2178" s="11">
        <v>-4.6999999999999993E-3</v>
      </c>
      <c r="N2178">
        <v>31.96</v>
      </c>
      <c r="O2178">
        <v>15.09</v>
      </c>
      <c r="P2178">
        <v>1</v>
      </c>
      <c r="Q2178" t="s">
        <v>37</v>
      </c>
      <c r="R2178">
        <v>86.534999999999997</v>
      </c>
      <c r="S2178">
        <v>14.3</v>
      </c>
      <c r="T2178" s="4">
        <v>63.667000000000002</v>
      </c>
      <c r="U2178" s="4">
        <v>11.251104</v>
      </c>
      <c r="V2178" t="str">
        <f>IF(Table1[[#This Row],[ai_disruption_intensity]]&gt;70,"High",
IF(Table1[[#This Row],[ai_disruption_intensity]]&gt;40,"Medium","Low"))</f>
        <v>Low</v>
      </c>
      <c r="W2178" t="str">
        <f>IF(Table1[[#This Row],[skill_gap_index]]&gt;70,"Large Gap",
IF(Table1[[#This Row],[skill_gap_index]]&gt;40,"Medium Gap","Small Gap"))</f>
        <v>Large Gap</v>
      </c>
      <c r="X2178" s="3" t="str">
        <f>IF(Table1[[#This Row],[automation_risk_percent]]&gt;0.7,"Highly Automatable",
IF(Table1[[#This Row],[automation_risk_percent]]&gt;0.4,"Moderate Risk","Safe Job"))</f>
        <v>Highly Automatable</v>
      </c>
    </row>
    <row r="2179" spans="1:24" x14ac:dyDescent="0.3">
      <c r="A2179">
        <v>7726</v>
      </c>
      <c r="B2179" t="s">
        <v>29</v>
      </c>
      <c r="C2179" t="s">
        <v>19</v>
      </c>
      <c r="D2179" t="s">
        <v>36</v>
      </c>
      <c r="E2179" s="1">
        <v>2026</v>
      </c>
      <c r="F2179" s="11">
        <v>0.89500000000000002</v>
      </c>
      <c r="G2179">
        <v>89.22</v>
      </c>
      <c r="H2179">
        <v>76.92</v>
      </c>
      <c r="I2179" s="2">
        <v>101149.31</v>
      </c>
      <c r="J2179" s="2">
        <v>88912.19</v>
      </c>
      <c r="K2179" s="2">
        <f>Table1[[#This Row],[Salary_after]]-Table1[[#This Row],[Salary_before]]</f>
        <v>-12237.119999999995</v>
      </c>
      <c r="L2179" s="11">
        <v>-0.121</v>
      </c>
      <c r="M2179" s="11">
        <v>-2.5600000000000001E-2</v>
      </c>
      <c r="N2179">
        <v>78.27</v>
      </c>
      <c r="O2179">
        <v>43</v>
      </c>
      <c r="P2179">
        <v>3</v>
      </c>
      <c r="Q2179" t="s">
        <v>37</v>
      </c>
      <c r="R2179">
        <v>83.21</v>
      </c>
      <c r="S2179">
        <v>12.1</v>
      </c>
      <c r="T2179" s="4">
        <v>62.506</v>
      </c>
      <c r="U2179" s="4">
        <v>38.484999999999999</v>
      </c>
      <c r="V2179" t="str">
        <f>IF(Table1[[#This Row],[ai_disruption_intensity]]&gt;70,"High",
IF(Table1[[#This Row],[ai_disruption_intensity]]&gt;40,"Medium","Low"))</f>
        <v>Low</v>
      </c>
      <c r="W2179" t="str">
        <f>IF(Table1[[#This Row],[skill_gap_index]]&gt;70,"Large Gap",
IF(Table1[[#This Row],[skill_gap_index]]&gt;40,"Medium Gap","Small Gap"))</f>
        <v>Large Gap</v>
      </c>
      <c r="X2179" s="3" t="str">
        <f>IF(Table1[[#This Row],[automation_risk_percent]]&gt;0.7,"Highly Automatable",
IF(Table1[[#This Row],[automation_risk_percent]]&gt;0.4,"Moderate Risk","Safe Job"))</f>
        <v>Highly Automatable</v>
      </c>
    </row>
    <row r="2180" spans="1:24" x14ac:dyDescent="0.3">
      <c r="A2180">
        <v>7728</v>
      </c>
      <c r="B2180" t="s">
        <v>46</v>
      </c>
      <c r="C2180" t="s">
        <v>23</v>
      </c>
      <c r="D2180" t="s">
        <v>42</v>
      </c>
      <c r="E2180" s="1">
        <v>2025</v>
      </c>
      <c r="F2180" s="11">
        <v>0.4753</v>
      </c>
      <c r="G2180">
        <v>45.43</v>
      </c>
      <c r="H2180">
        <v>96.03</v>
      </c>
      <c r="I2180" s="2">
        <v>36915.08</v>
      </c>
      <c r="J2180" s="2">
        <v>36641.160000000003</v>
      </c>
      <c r="K2180" s="2">
        <f>Table1[[#This Row],[Salary_after]]-Table1[[#This Row],[Salary_before]]</f>
        <v>-273.91999999999825</v>
      </c>
      <c r="L2180" s="11">
        <v>-7.4000000000000003E-3</v>
      </c>
      <c r="M2180" s="11">
        <v>8.6E-3</v>
      </c>
      <c r="N2180">
        <v>23.91</v>
      </c>
      <c r="O2180">
        <v>54.48</v>
      </c>
      <c r="P2180">
        <v>3</v>
      </c>
      <c r="Q2180" t="s">
        <v>25</v>
      </c>
      <c r="R2180">
        <v>71.78</v>
      </c>
      <c r="S2180">
        <v>0.74</v>
      </c>
      <c r="T2180" s="4">
        <v>48.042999999999999</v>
      </c>
      <c r="U2180" s="4">
        <v>25.894344</v>
      </c>
      <c r="V2180" t="str">
        <f>IF(Table1[[#This Row],[ai_disruption_intensity]]&gt;70,"High",
IF(Table1[[#This Row],[ai_disruption_intensity]]&gt;40,"Medium","Low"))</f>
        <v>Low</v>
      </c>
      <c r="W2180" t="str">
        <f>IF(Table1[[#This Row],[skill_gap_index]]&gt;70,"Large Gap",
IF(Table1[[#This Row],[skill_gap_index]]&gt;40,"Medium Gap","Small Gap"))</f>
        <v>Large Gap</v>
      </c>
      <c r="X2180" s="3" t="str">
        <f>IF(Table1[[#This Row],[automation_risk_percent]]&gt;0.7,"Highly Automatable",
IF(Table1[[#This Row],[automation_risk_percent]]&gt;0.4,"Moderate Risk","Safe Job"))</f>
        <v>Moderate Risk</v>
      </c>
    </row>
    <row r="2181" spans="1:24" x14ac:dyDescent="0.3">
      <c r="A2181">
        <v>7729</v>
      </c>
      <c r="B2181" t="s">
        <v>22</v>
      </c>
      <c r="C2181" t="s">
        <v>34</v>
      </c>
      <c r="D2181" t="s">
        <v>42</v>
      </c>
      <c r="E2181" s="1">
        <v>2025</v>
      </c>
      <c r="F2181" s="11">
        <v>0.10630000000000001</v>
      </c>
      <c r="G2181">
        <v>10.46</v>
      </c>
      <c r="H2181">
        <v>29.49</v>
      </c>
      <c r="I2181" s="2">
        <v>54283.24</v>
      </c>
      <c r="J2181" s="2">
        <v>60461.33</v>
      </c>
      <c r="K2181" s="2">
        <f>Table1[[#This Row],[Salary_after]]-Table1[[#This Row],[Salary_before]]</f>
        <v>6178.0900000000038</v>
      </c>
      <c r="L2181" s="11">
        <v>0.11380000000000001</v>
      </c>
      <c r="M2181" s="11">
        <v>3.2199999999999999E-2</v>
      </c>
      <c r="N2181">
        <v>68.989999999999995</v>
      </c>
      <c r="O2181">
        <v>15.99</v>
      </c>
      <c r="P2181">
        <v>1</v>
      </c>
      <c r="Q2181" t="s">
        <v>21</v>
      </c>
      <c r="R2181">
        <v>20.059999999999999</v>
      </c>
      <c r="S2181">
        <v>11.38</v>
      </c>
      <c r="T2181" s="4">
        <v>16.513000000000002</v>
      </c>
      <c r="U2181" s="4">
        <v>1.6997370000000001</v>
      </c>
      <c r="V2181" t="str">
        <f>IF(Table1[[#This Row],[ai_disruption_intensity]]&gt;70,"High",
IF(Table1[[#This Row],[ai_disruption_intensity]]&gt;40,"Medium","Low"))</f>
        <v>Low</v>
      </c>
      <c r="W2181" t="str">
        <f>IF(Table1[[#This Row],[skill_gap_index]]&gt;70,"Large Gap",
IF(Table1[[#This Row],[skill_gap_index]]&gt;40,"Medium Gap","Small Gap"))</f>
        <v>Small Gap</v>
      </c>
      <c r="X2181" s="3" t="str">
        <f>IF(Table1[[#This Row],[automation_risk_percent]]&gt;0.7,"Highly Automatable",
IF(Table1[[#This Row],[automation_risk_percent]]&gt;0.4,"Moderate Risk","Safe Job"))</f>
        <v>Safe Job</v>
      </c>
    </row>
    <row r="2182" spans="1:24" x14ac:dyDescent="0.3">
      <c r="A2182">
        <v>7732</v>
      </c>
      <c r="B2182" t="s">
        <v>26</v>
      </c>
      <c r="C2182" t="s">
        <v>40</v>
      </c>
      <c r="D2182" t="s">
        <v>20</v>
      </c>
      <c r="E2182" s="1">
        <v>2026</v>
      </c>
      <c r="F2182" s="11">
        <v>0.61939999999999995</v>
      </c>
      <c r="G2182">
        <v>73.89</v>
      </c>
      <c r="H2182">
        <v>89.54</v>
      </c>
      <c r="I2182" s="2">
        <v>82984.399999999994</v>
      </c>
      <c r="J2182" s="2">
        <v>82177.58</v>
      </c>
      <c r="K2182" s="2">
        <f>Table1[[#This Row],[Salary_after]]-Table1[[#This Row],[Salary_before]]</f>
        <v>-806.81999999999243</v>
      </c>
      <c r="L2182" s="11">
        <v>-9.7000000000000003E-3</v>
      </c>
      <c r="M2182" s="11">
        <v>9.820000000000001E-2</v>
      </c>
      <c r="N2182">
        <v>20.23</v>
      </c>
      <c r="O2182">
        <v>34.090000000000003</v>
      </c>
      <c r="P2182">
        <v>3</v>
      </c>
      <c r="Q2182" t="s">
        <v>37</v>
      </c>
      <c r="R2182">
        <v>75.739999999999995</v>
      </c>
      <c r="S2182">
        <v>0.97</v>
      </c>
      <c r="T2182" s="4">
        <v>51.929000000000002</v>
      </c>
      <c r="U2182" s="4">
        <v>21.115345999999999</v>
      </c>
      <c r="V2182" t="str">
        <f>IF(Table1[[#This Row],[ai_disruption_intensity]]&gt;70,"High",
IF(Table1[[#This Row],[ai_disruption_intensity]]&gt;40,"Medium","Low"))</f>
        <v>Low</v>
      </c>
      <c r="W2182" t="str">
        <f>IF(Table1[[#This Row],[skill_gap_index]]&gt;70,"Large Gap",
IF(Table1[[#This Row],[skill_gap_index]]&gt;40,"Medium Gap","Small Gap"))</f>
        <v>Large Gap</v>
      </c>
      <c r="X2182" s="3" t="str">
        <f>IF(Table1[[#This Row],[automation_risk_percent]]&gt;0.7,"Highly Automatable",
IF(Table1[[#This Row],[automation_risk_percent]]&gt;0.4,"Moderate Risk","Safe Job"))</f>
        <v>Moderate Risk</v>
      </c>
    </row>
    <row r="2183" spans="1:24" x14ac:dyDescent="0.3">
      <c r="A2183">
        <v>7733</v>
      </c>
      <c r="B2183" t="s">
        <v>41</v>
      </c>
      <c r="C2183" t="s">
        <v>33</v>
      </c>
      <c r="D2183" t="s">
        <v>31</v>
      </c>
      <c r="E2183" s="1">
        <v>2026</v>
      </c>
      <c r="F2183" s="11">
        <v>0.94889999999999997</v>
      </c>
      <c r="G2183">
        <v>99.67</v>
      </c>
      <c r="H2183">
        <v>34</v>
      </c>
      <c r="I2183" s="2">
        <v>104901.49</v>
      </c>
      <c r="J2183" s="2">
        <v>98610.59</v>
      </c>
      <c r="K2183" s="2">
        <f>Table1[[#This Row],[Salary_after]]-Table1[[#This Row],[Salary_before]]</f>
        <v>-6290.9000000000087</v>
      </c>
      <c r="L2183" s="11">
        <v>-0.06</v>
      </c>
      <c r="M2183" s="11">
        <v>4.0599999999999997E-2</v>
      </c>
      <c r="N2183">
        <v>28.1</v>
      </c>
      <c r="O2183">
        <v>1.92</v>
      </c>
      <c r="P2183">
        <v>2</v>
      </c>
      <c r="Q2183" t="s">
        <v>37</v>
      </c>
      <c r="R2183">
        <v>64.444999999999993</v>
      </c>
      <c r="S2183">
        <v>6</v>
      </c>
      <c r="T2183" s="4">
        <v>49.956000000000003</v>
      </c>
      <c r="U2183" s="4">
        <v>1.821888</v>
      </c>
      <c r="V2183" t="str">
        <f>IF(Table1[[#This Row],[ai_disruption_intensity]]&gt;70,"High",
IF(Table1[[#This Row],[ai_disruption_intensity]]&gt;40,"Medium","Low"))</f>
        <v>Low</v>
      </c>
      <c r="W2183" t="str">
        <f>IF(Table1[[#This Row],[skill_gap_index]]&gt;70,"Large Gap",
IF(Table1[[#This Row],[skill_gap_index]]&gt;40,"Medium Gap","Small Gap"))</f>
        <v>Small Gap</v>
      </c>
      <c r="X2183" s="3" t="str">
        <f>IF(Table1[[#This Row],[automation_risk_percent]]&gt;0.7,"Highly Automatable",
IF(Table1[[#This Row],[automation_risk_percent]]&gt;0.4,"Moderate Risk","Safe Job"))</f>
        <v>Highly Automatable</v>
      </c>
    </row>
    <row r="2184" spans="1:24" x14ac:dyDescent="0.3">
      <c r="A2184">
        <v>7734</v>
      </c>
      <c r="B2184" t="s">
        <v>39</v>
      </c>
      <c r="C2184" t="s">
        <v>27</v>
      </c>
      <c r="D2184" t="s">
        <v>28</v>
      </c>
      <c r="E2184" s="1">
        <v>2025</v>
      </c>
      <c r="F2184" s="11">
        <v>0.27839999999999998</v>
      </c>
      <c r="G2184">
        <v>30.5</v>
      </c>
      <c r="H2184">
        <v>19.329999999999998</v>
      </c>
      <c r="I2184" s="2">
        <v>93366.77</v>
      </c>
      <c r="J2184" s="2">
        <v>97478.48</v>
      </c>
      <c r="K2184" s="2">
        <f>Table1[[#This Row],[Salary_after]]-Table1[[#This Row],[Salary_before]]</f>
        <v>4111.7099999999919</v>
      </c>
      <c r="L2184" s="11">
        <v>4.4000000000000004E-2</v>
      </c>
      <c r="M2184" s="11">
        <v>0.2324</v>
      </c>
      <c r="N2184">
        <v>11.38</v>
      </c>
      <c r="O2184">
        <v>36.33</v>
      </c>
      <c r="P2184">
        <v>2</v>
      </c>
      <c r="Q2184" t="s">
        <v>21</v>
      </c>
      <c r="R2184">
        <v>23.585000000000001</v>
      </c>
      <c r="S2184">
        <v>4.4000000000000004</v>
      </c>
      <c r="T2184" s="4">
        <v>18.254999999999999</v>
      </c>
      <c r="U2184" s="4">
        <v>10.114272</v>
      </c>
      <c r="V2184" t="str">
        <f>IF(Table1[[#This Row],[ai_disruption_intensity]]&gt;70,"High",
IF(Table1[[#This Row],[ai_disruption_intensity]]&gt;40,"Medium","Low"))</f>
        <v>Low</v>
      </c>
      <c r="W2184" t="str">
        <f>IF(Table1[[#This Row],[skill_gap_index]]&gt;70,"Large Gap",
IF(Table1[[#This Row],[skill_gap_index]]&gt;40,"Medium Gap","Small Gap"))</f>
        <v>Small Gap</v>
      </c>
      <c r="X2184" s="3" t="str">
        <f>IF(Table1[[#This Row],[automation_risk_percent]]&gt;0.7,"Highly Automatable",
IF(Table1[[#This Row],[automation_risk_percent]]&gt;0.4,"Moderate Risk","Safe Job"))</f>
        <v>Safe Job</v>
      </c>
    </row>
    <row r="2185" spans="1:24" x14ac:dyDescent="0.3">
      <c r="A2185">
        <v>7738</v>
      </c>
      <c r="B2185" t="s">
        <v>18</v>
      </c>
      <c r="C2185" t="s">
        <v>30</v>
      </c>
      <c r="D2185" t="s">
        <v>42</v>
      </c>
      <c r="E2185" s="1">
        <v>2025</v>
      </c>
      <c r="F2185" s="11">
        <v>0.68969999999999998</v>
      </c>
      <c r="G2185">
        <v>57.22</v>
      </c>
      <c r="H2185">
        <v>6.21</v>
      </c>
      <c r="I2185" s="2">
        <v>83124.240000000005</v>
      </c>
      <c r="J2185" s="2">
        <v>73581.45</v>
      </c>
      <c r="K2185" s="2">
        <f>Table1[[#This Row],[Salary_after]]-Table1[[#This Row],[Salary_before]]</f>
        <v>-9542.7900000000081</v>
      </c>
      <c r="L2185" s="11">
        <v>-0.1148</v>
      </c>
      <c r="M2185" s="11">
        <v>1.8600000000000002E-2</v>
      </c>
      <c r="N2185">
        <v>33.700000000000003</v>
      </c>
      <c r="O2185">
        <v>97.42</v>
      </c>
      <c r="P2185">
        <v>2</v>
      </c>
      <c r="Q2185" t="s">
        <v>37</v>
      </c>
      <c r="R2185">
        <v>37.589999999999897</v>
      </c>
      <c r="S2185">
        <v>11.48</v>
      </c>
      <c r="T2185" s="4">
        <v>32.895000000000003</v>
      </c>
      <c r="U2185" s="4">
        <v>67.190573999999998</v>
      </c>
      <c r="V2185" t="str">
        <f>IF(Table1[[#This Row],[ai_disruption_intensity]]&gt;70,"High",
IF(Table1[[#This Row],[ai_disruption_intensity]]&gt;40,"Medium","Low"))</f>
        <v>Medium</v>
      </c>
      <c r="W2185" t="str">
        <f>IF(Table1[[#This Row],[skill_gap_index]]&gt;70,"Large Gap",
IF(Table1[[#This Row],[skill_gap_index]]&gt;40,"Medium Gap","Small Gap"))</f>
        <v>Small Gap</v>
      </c>
      <c r="X2185" s="3" t="str">
        <f>IF(Table1[[#This Row],[automation_risk_percent]]&gt;0.7,"Highly Automatable",
IF(Table1[[#This Row],[automation_risk_percent]]&gt;0.4,"Moderate Risk","Safe Job"))</f>
        <v>Moderate Risk</v>
      </c>
    </row>
    <row r="2186" spans="1:24" x14ac:dyDescent="0.3">
      <c r="A2186">
        <v>7739</v>
      </c>
      <c r="B2186" t="s">
        <v>18</v>
      </c>
      <c r="C2186" t="s">
        <v>34</v>
      </c>
      <c r="D2186" t="s">
        <v>20</v>
      </c>
      <c r="E2186" s="1">
        <v>2026</v>
      </c>
      <c r="F2186" s="11">
        <v>0.4592</v>
      </c>
      <c r="G2186">
        <v>38.35</v>
      </c>
      <c r="H2186">
        <v>4.97</v>
      </c>
      <c r="I2186" s="2">
        <v>35032.54</v>
      </c>
      <c r="J2186" s="2">
        <v>38509.51</v>
      </c>
      <c r="K2186" s="2">
        <f>Table1[[#This Row],[Salary_after]]-Table1[[#This Row],[Salary_before]]</f>
        <v>3476.9700000000012</v>
      </c>
      <c r="L2186" s="11">
        <v>9.9199999999999997E-2</v>
      </c>
      <c r="M2186" s="11">
        <v>1.9900000000000001E-2</v>
      </c>
      <c r="N2186">
        <v>84.96</v>
      </c>
      <c r="O2186">
        <v>36.79</v>
      </c>
      <c r="P2186">
        <v>1</v>
      </c>
      <c r="Q2186" t="s">
        <v>25</v>
      </c>
      <c r="R2186">
        <v>25.445</v>
      </c>
      <c r="S2186">
        <v>9.92</v>
      </c>
      <c r="T2186" s="4">
        <v>22.835000000000001</v>
      </c>
      <c r="U2186" s="4">
        <v>16.893968000000001</v>
      </c>
      <c r="V2186" t="str">
        <f>IF(Table1[[#This Row],[ai_disruption_intensity]]&gt;70,"High",
IF(Table1[[#This Row],[ai_disruption_intensity]]&gt;40,"Medium","Low"))</f>
        <v>Low</v>
      </c>
      <c r="W2186" t="str">
        <f>IF(Table1[[#This Row],[skill_gap_index]]&gt;70,"Large Gap",
IF(Table1[[#This Row],[skill_gap_index]]&gt;40,"Medium Gap","Small Gap"))</f>
        <v>Small Gap</v>
      </c>
      <c r="X2186" s="3" t="str">
        <f>IF(Table1[[#This Row],[automation_risk_percent]]&gt;0.7,"Highly Automatable",
IF(Table1[[#This Row],[automation_risk_percent]]&gt;0.4,"Moderate Risk","Safe Job"))</f>
        <v>Moderate Risk</v>
      </c>
    </row>
    <row r="2187" spans="1:24" x14ac:dyDescent="0.3">
      <c r="A2187">
        <v>7740</v>
      </c>
      <c r="B2187" t="s">
        <v>46</v>
      </c>
      <c r="C2187" t="s">
        <v>23</v>
      </c>
      <c r="D2187" t="s">
        <v>47</v>
      </c>
      <c r="E2187" s="1">
        <v>2026</v>
      </c>
      <c r="F2187" s="11">
        <v>0.54210000000000003</v>
      </c>
      <c r="G2187">
        <v>59.68</v>
      </c>
      <c r="H2187">
        <v>48.3</v>
      </c>
      <c r="I2187" s="2">
        <v>78526.52</v>
      </c>
      <c r="J2187" s="2">
        <v>74036.84</v>
      </c>
      <c r="K2187" s="2">
        <f>Table1[[#This Row],[Salary_after]]-Table1[[#This Row],[Salary_before]]</f>
        <v>-4489.6800000000076</v>
      </c>
      <c r="L2187" s="11">
        <v>-5.7200000000000001E-2</v>
      </c>
      <c r="M2187" s="11">
        <v>-3.2599999999999997E-2</v>
      </c>
      <c r="N2187">
        <v>40.479999999999997</v>
      </c>
      <c r="O2187">
        <v>81.27</v>
      </c>
      <c r="P2187">
        <v>5</v>
      </c>
      <c r="Q2187" t="s">
        <v>25</v>
      </c>
      <c r="R2187">
        <v>51.254999999999903</v>
      </c>
      <c r="S2187">
        <v>5.72</v>
      </c>
      <c r="T2187" s="4">
        <v>37.89</v>
      </c>
      <c r="U2187" s="4">
        <v>44.056466999999998</v>
      </c>
      <c r="V2187" t="str">
        <f>IF(Table1[[#This Row],[ai_disruption_intensity]]&gt;70,"High",
IF(Table1[[#This Row],[ai_disruption_intensity]]&gt;40,"Medium","Low"))</f>
        <v>Medium</v>
      </c>
      <c r="W2187" t="str">
        <f>IF(Table1[[#This Row],[skill_gap_index]]&gt;70,"Large Gap",
IF(Table1[[#This Row],[skill_gap_index]]&gt;40,"Medium Gap","Small Gap"))</f>
        <v>Medium Gap</v>
      </c>
      <c r="X2187" s="3" t="str">
        <f>IF(Table1[[#This Row],[automation_risk_percent]]&gt;0.7,"Highly Automatable",
IF(Table1[[#This Row],[automation_risk_percent]]&gt;0.4,"Moderate Risk","Safe Job"))</f>
        <v>Moderate Risk</v>
      </c>
    </row>
    <row r="2188" spans="1:24" x14ac:dyDescent="0.3">
      <c r="A2188">
        <v>7746</v>
      </c>
      <c r="B2188" t="s">
        <v>39</v>
      </c>
      <c r="C2188" t="s">
        <v>40</v>
      </c>
      <c r="D2188" t="s">
        <v>20</v>
      </c>
      <c r="E2188" s="1">
        <v>2025</v>
      </c>
      <c r="F2188" s="11">
        <v>0.30249999999999999</v>
      </c>
      <c r="G2188">
        <v>32.46</v>
      </c>
      <c r="H2188">
        <v>25.74</v>
      </c>
      <c r="I2188" s="2">
        <v>58932.99</v>
      </c>
      <c r="J2188" s="2">
        <v>66761.53</v>
      </c>
      <c r="K2188" s="2">
        <f>Table1[[#This Row],[Salary_after]]-Table1[[#This Row],[Salary_before]]</f>
        <v>7828.5400000000009</v>
      </c>
      <c r="L2188" s="11">
        <v>0.1328</v>
      </c>
      <c r="M2188" s="11">
        <v>3.2099999999999997E-2</v>
      </c>
      <c r="N2188">
        <v>65.23</v>
      </c>
      <c r="O2188">
        <v>6.47</v>
      </c>
      <c r="P2188">
        <v>4</v>
      </c>
      <c r="Q2188" t="s">
        <v>25</v>
      </c>
      <c r="R2188">
        <v>27.994999999999902</v>
      </c>
      <c r="S2188">
        <v>13.28</v>
      </c>
      <c r="T2188" s="4">
        <v>23.806000000000001</v>
      </c>
      <c r="U2188" s="4">
        <v>1.9571750000000001</v>
      </c>
      <c r="V2188" t="str">
        <f>IF(Table1[[#This Row],[ai_disruption_intensity]]&gt;70,"High",
IF(Table1[[#This Row],[ai_disruption_intensity]]&gt;40,"Medium","Low"))</f>
        <v>Low</v>
      </c>
      <c r="W2188" t="str">
        <f>IF(Table1[[#This Row],[skill_gap_index]]&gt;70,"Large Gap",
IF(Table1[[#This Row],[skill_gap_index]]&gt;40,"Medium Gap","Small Gap"))</f>
        <v>Small Gap</v>
      </c>
      <c r="X2188" s="3" t="str">
        <f>IF(Table1[[#This Row],[automation_risk_percent]]&gt;0.7,"Highly Automatable",
IF(Table1[[#This Row],[automation_risk_percent]]&gt;0.4,"Moderate Risk","Safe Job"))</f>
        <v>Safe Job</v>
      </c>
    </row>
    <row r="2189" spans="1:24" x14ac:dyDescent="0.3">
      <c r="A2189">
        <v>7749</v>
      </c>
      <c r="B2189" t="s">
        <v>39</v>
      </c>
      <c r="C2189" t="s">
        <v>38</v>
      </c>
      <c r="D2189" t="s">
        <v>32</v>
      </c>
      <c r="E2189" s="1">
        <v>2025</v>
      </c>
      <c r="F2189" s="11">
        <v>0.73439999999999994</v>
      </c>
      <c r="G2189">
        <v>61.82</v>
      </c>
      <c r="H2189">
        <v>76.180000000000007</v>
      </c>
      <c r="I2189" s="2">
        <v>42213.08</v>
      </c>
      <c r="J2189" s="2">
        <v>39277.58</v>
      </c>
      <c r="K2189" s="2">
        <f>Table1[[#This Row],[Salary_after]]-Table1[[#This Row],[Salary_before]]</f>
        <v>-2935.5</v>
      </c>
      <c r="L2189" s="11">
        <v>-6.9500000000000006E-2</v>
      </c>
      <c r="M2189" s="11">
        <v>8.3000000000000004E-2</v>
      </c>
      <c r="N2189">
        <v>55.79</v>
      </c>
      <c r="O2189">
        <v>18.8</v>
      </c>
      <c r="P2189">
        <v>2</v>
      </c>
      <c r="Q2189" t="s">
        <v>37</v>
      </c>
      <c r="R2189">
        <v>74.81</v>
      </c>
      <c r="S2189">
        <v>6.95</v>
      </c>
      <c r="T2189" s="4">
        <v>54.314999999999998</v>
      </c>
      <c r="U2189" s="4">
        <v>13.80672</v>
      </c>
      <c r="V2189" t="str">
        <f>IF(Table1[[#This Row],[ai_disruption_intensity]]&gt;70,"High",
IF(Table1[[#This Row],[ai_disruption_intensity]]&gt;40,"Medium","Low"))</f>
        <v>Low</v>
      </c>
      <c r="W2189" t="str">
        <f>IF(Table1[[#This Row],[skill_gap_index]]&gt;70,"Large Gap",
IF(Table1[[#This Row],[skill_gap_index]]&gt;40,"Medium Gap","Small Gap"))</f>
        <v>Large Gap</v>
      </c>
      <c r="X2189" s="3" t="str">
        <f>IF(Table1[[#This Row],[automation_risk_percent]]&gt;0.7,"Highly Automatable",
IF(Table1[[#This Row],[automation_risk_percent]]&gt;0.4,"Moderate Risk","Safe Job"))</f>
        <v>Highly Automatable</v>
      </c>
    </row>
    <row r="2190" spans="1:24" x14ac:dyDescent="0.3">
      <c r="A2190">
        <v>7754</v>
      </c>
      <c r="B2190" t="s">
        <v>18</v>
      </c>
      <c r="C2190" t="s">
        <v>19</v>
      </c>
      <c r="D2190" t="s">
        <v>20</v>
      </c>
      <c r="E2190" s="1">
        <v>2026</v>
      </c>
      <c r="F2190" s="11">
        <v>0.47869999999999996</v>
      </c>
      <c r="G2190">
        <v>40.049999999999997</v>
      </c>
      <c r="H2190">
        <v>83.36</v>
      </c>
      <c r="I2190" s="2">
        <v>124971.85</v>
      </c>
      <c r="J2190" s="2">
        <v>130521.43</v>
      </c>
      <c r="K2190" s="2">
        <f>Table1[[#This Row],[Salary_after]]-Table1[[#This Row],[Salary_before]]</f>
        <v>5549.5799999999872</v>
      </c>
      <c r="L2190" s="11">
        <v>4.4400000000000002E-2</v>
      </c>
      <c r="M2190" s="11">
        <v>0.15640000000000001</v>
      </c>
      <c r="N2190">
        <v>74.05</v>
      </c>
      <c r="O2190">
        <v>90.71</v>
      </c>
      <c r="P2190">
        <v>5</v>
      </c>
      <c r="Q2190" t="s">
        <v>25</v>
      </c>
      <c r="R2190">
        <v>65.614999999999995</v>
      </c>
      <c r="S2190">
        <v>4.4400000000000004</v>
      </c>
      <c r="T2190" s="4">
        <v>45.488</v>
      </c>
      <c r="U2190" s="4">
        <v>43.422877</v>
      </c>
      <c r="V2190" t="str">
        <f>IF(Table1[[#This Row],[ai_disruption_intensity]]&gt;70,"High",
IF(Table1[[#This Row],[ai_disruption_intensity]]&gt;40,"Medium","Low"))</f>
        <v>Medium</v>
      </c>
      <c r="W2190" t="str">
        <f>IF(Table1[[#This Row],[skill_gap_index]]&gt;70,"Large Gap",
IF(Table1[[#This Row],[skill_gap_index]]&gt;40,"Medium Gap","Small Gap"))</f>
        <v>Large Gap</v>
      </c>
      <c r="X2190" s="3" t="str">
        <f>IF(Table1[[#This Row],[automation_risk_percent]]&gt;0.7,"Highly Automatable",
IF(Table1[[#This Row],[automation_risk_percent]]&gt;0.4,"Moderate Risk","Safe Job"))</f>
        <v>Moderate Risk</v>
      </c>
    </row>
    <row r="2191" spans="1:24" x14ac:dyDescent="0.3">
      <c r="A2191">
        <v>7756</v>
      </c>
      <c r="B2191" t="s">
        <v>44</v>
      </c>
      <c r="C2191" t="s">
        <v>40</v>
      </c>
      <c r="D2191" t="s">
        <v>36</v>
      </c>
      <c r="E2191" s="1">
        <v>2025</v>
      </c>
      <c r="F2191" s="11">
        <v>0.67099999999999993</v>
      </c>
      <c r="G2191">
        <v>75.290000000000006</v>
      </c>
      <c r="H2191">
        <v>85.13</v>
      </c>
      <c r="I2191" s="2">
        <v>122273.37</v>
      </c>
      <c r="J2191" s="2">
        <v>123788.5</v>
      </c>
      <c r="K2191" s="2">
        <f>Table1[[#This Row],[Salary_after]]-Table1[[#This Row],[Salary_before]]</f>
        <v>1515.1300000000047</v>
      </c>
      <c r="L2191" s="11">
        <v>1.24E-2</v>
      </c>
      <c r="M2191" s="11">
        <v>2.53E-2</v>
      </c>
      <c r="N2191">
        <v>56.71</v>
      </c>
      <c r="O2191">
        <v>72.64</v>
      </c>
      <c r="P2191">
        <v>2</v>
      </c>
      <c r="Q2191" t="s">
        <v>37</v>
      </c>
      <c r="R2191">
        <v>76.114999999999995</v>
      </c>
      <c r="S2191">
        <v>1.24</v>
      </c>
      <c r="T2191" s="4">
        <v>52.750999999999998</v>
      </c>
      <c r="U2191" s="4">
        <v>48.741439999999898</v>
      </c>
      <c r="V2191" t="str">
        <f>IF(Table1[[#This Row],[ai_disruption_intensity]]&gt;70,"High",
IF(Table1[[#This Row],[ai_disruption_intensity]]&gt;40,"Medium","Low"))</f>
        <v>Medium</v>
      </c>
      <c r="W2191" t="str">
        <f>IF(Table1[[#This Row],[skill_gap_index]]&gt;70,"Large Gap",
IF(Table1[[#This Row],[skill_gap_index]]&gt;40,"Medium Gap","Small Gap"))</f>
        <v>Large Gap</v>
      </c>
      <c r="X2191" s="3" t="str">
        <f>IF(Table1[[#This Row],[automation_risk_percent]]&gt;0.7,"Highly Automatable",
IF(Table1[[#This Row],[automation_risk_percent]]&gt;0.4,"Moderate Risk","Safe Job"))</f>
        <v>Moderate Risk</v>
      </c>
    </row>
    <row r="2192" spans="1:24" x14ac:dyDescent="0.3">
      <c r="A2192">
        <v>7757</v>
      </c>
      <c r="B2192" t="s">
        <v>45</v>
      </c>
      <c r="C2192" t="s">
        <v>33</v>
      </c>
      <c r="D2192" t="s">
        <v>47</v>
      </c>
      <c r="E2192" s="1">
        <v>2026</v>
      </c>
      <c r="F2192" s="11">
        <v>0.439</v>
      </c>
      <c r="G2192">
        <v>43.61</v>
      </c>
      <c r="H2192">
        <v>12.61</v>
      </c>
      <c r="I2192" s="2">
        <v>138627.03</v>
      </c>
      <c r="J2192" s="2">
        <v>155330.81</v>
      </c>
      <c r="K2192" s="2">
        <f>Table1[[#This Row],[Salary_after]]-Table1[[#This Row],[Salary_before]]</f>
        <v>16703.78</v>
      </c>
      <c r="L2192" s="11">
        <v>0.12050000000000001</v>
      </c>
      <c r="M2192" s="11">
        <v>-0.13339999999999999</v>
      </c>
      <c r="N2192">
        <v>28.64</v>
      </c>
      <c r="O2192">
        <v>36.89</v>
      </c>
      <c r="P2192">
        <v>5</v>
      </c>
      <c r="Q2192" t="s">
        <v>25</v>
      </c>
      <c r="R2192">
        <v>28.254999999999999</v>
      </c>
      <c r="S2192">
        <v>12.05</v>
      </c>
      <c r="T2192" s="4">
        <v>24.957999999999998</v>
      </c>
      <c r="U2192" s="4">
        <v>16.194710000000001</v>
      </c>
      <c r="V2192" t="str">
        <f>IF(Table1[[#This Row],[ai_disruption_intensity]]&gt;70,"High",
IF(Table1[[#This Row],[ai_disruption_intensity]]&gt;40,"Medium","Low"))</f>
        <v>Low</v>
      </c>
      <c r="W2192" t="str">
        <f>IF(Table1[[#This Row],[skill_gap_index]]&gt;70,"Large Gap",
IF(Table1[[#This Row],[skill_gap_index]]&gt;40,"Medium Gap","Small Gap"))</f>
        <v>Small Gap</v>
      </c>
      <c r="X2192" s="3" t="str">
        <f>IF(Table1[[#This Row],[automation_risk_percent]]&gt;0.7,"Highly Automatable",
IF(Table1[[#This Row],[automation_risk_percent]]&gt;0.4,"Moderate Risk","Safe Job"))</f>
        <v>Moderate Risk</v>
      </c>
    </row>
    <row r="2193" spans="1:24" x14ac:dyDescent="0.3">
      <c r="A2193">
        <v>7758</v>
      </c>
      <c r="B2193" t="s">
        <v>41</v>
      </c>
      <c r="C2193" t="s">
        <v>40</v>
      </c>
      <c r="D2193" t="s">
        <v>42</v>
      </c>
      <c r="E2193" s="1">
        <v>2026</v>
      </c>
      <c r="F2193" s="11">
        <v>0.85939999999999994</v>
      </c>
      <c r="G2193">
        <v>75.959999999999994</v>
      </c>
      <c r="H2193">
        <v>20.61</v>
      </c>
      <c r="I2193" s="2">
        <v>61259.89</v>
      </c>
      <c r="J2193" s="2">
        <v>65727.460000000006</v>
      </c>
      <c r="K2193" s="2">
        <f>Table1[[#This Row],[Salary_after]]-Table1[[#This Row],[Salary_before]]</f>
        <v>4467.570000000007</v>
      </c>
      <c r="L2193" s="11">
        <v>7.2900000000000006E-2</v>
      </c>
      <c r="M2193" s="11">
        <v>0.31319999999999998</v>
      </c>
      <c r="N2193">
        <v>25.78</v>
      </c>
      <c r="O2193">
        <v>69.2</v>
      </c>
      <c r="P2193">
        <v>4</v>
      </c>
      <c r="Q2193" t="s">
        <v>37</v>
      </c>
      <c r="R2193">
        <v>53.274999999999999</v>
      </c>
      <c r="S2193">
        <v>7.29</v>
      </c>
      <c r="T2193" s="4">
        <v>42.745999999999903</v>
      </c>
      <c r="U2193" s="4">
        <v>59.470479999999903</v>
      </c>
      <c r="V2193" t="str">
        <f>IF(Table1[[#This Row],[ai_disruption_intensity]]&gt;70,"High",
IF(Table1[[#This Row],[ai_disruption_intensity]]&gt;40,"Medium","Low"))</f>
        <v>Medium</v>
      </c>
      <c r="W2193" t="str">
        <f>IF(Table1[[#This Row],[skill_gap_index]]&gt;70,"Large Gap",
IF(Table1[[#This Row],[skill_gap_index]]&gt;40,"Medium Gap","Small Gap"))</f>
        <v>Small Gap</v>
      </c>
      <c r="X2193" s="3" t="str">
        <f>IF(Table1[[#This Row],[automation_risk_percent]]&gt;0.7,"Highly Automatable",
IF(Table1[[#This Row],[automation_risk_percent]]&gt;0.4,"Moderate Risk","Safe Job"))</f>
        <v>Highly Automatable</v>
      </c>
    </row>
    <row r="2194" spans="1:24" x14ac:dyDescent="0.3">
      <c r="A2194">
        <v>7759</v>
      </c>
      <c r="B2194" t="s">
        <v>46</v>
      </c>
      <c r="C2194" t="s">
        <v>30</v>
      </c>
      <c r="D2194" t="s">
        <v>35</v>
      </c>
      <c r="E2194" s="1">
        <v>2025</v>
      </c>
      <c r="F2194" s="11">
        <v>0.63529999999999998</v>
      </c>
      <c r="G2194">
        <v>55.87</v>
      </c>
      <c r="H2194">
        <v>67.3</v>
      </c>
      <c r="I2194" s="2">
        <v>100366.15</v>
      </c>
      <c r="J2194" s="2">
        <v>111038.52</v>
      </c>
      <c r="K2194" s="2">
        <f>Table1[[#This Row],[Salary_after]]-Table1[[#This Row],[Salary_before]]</f>
        <v>10672.37000000001</v>
      </c>
      <c r="L2194" s="11">
        <v>0.10630000000000001</v>
      </c>
      <c r="M2194" s="11">
        <v>-0.10439999999999999</v>
      </c>
      <c r="N2194">
        <v>28.89</v>
      </c>
      <c r="O2194">
        <v>83.4</v>
      </c>
      <c r="P2194">
        <v>5</v>
      </c>
      <c r="Q2194" t="s">
        <v>37</v>
      </c>
      <c r="R2194">
        <v>65.414999999999907</v>
      </c>
      <c r="S2194">
        <v>10.63</v>
      </c>
      <c r="T2194" s="4">
        <v>48.790999999999997</v>
      </c>
      <c r="U2194" s="4">
        <v>52.984020000000001</v>
      </c>
      <c r="V2194" t="str">
        <f>IF(Table1[[#This Row],[ai_disruption_intensity]]&gt;70,"High",
IF(Table1[[#This Row],[ai_disruption_intensity]]&gt;40,"Medium","Low"))</f>
        <v>Medium</v>
      </c>
      <c r="W2194" t="str">
        <f>IF(Table1[[#This Row],[skill_gap_index]]&gt;70,"Large Gap",
IF(Table1[[#This Row],[skill_gap_index]]&gt;40,"Medium Gap","Small Gap"))</f>
        <v>Medium Gap</v>
      </c>
      <c r="X2194" s="3" t="str">
        <f>IF(Table1[[#This Row],[automation_risk_percent]]&gt;0.7,"Highly Automatable",
IF(Table1[[#This Row],[automation_risk_percent]]&gt;0.4,"Moderate Risk","Safe Job"))</f>
        <v>Moderate Risk</v>
      </c>
    </row>
    <row r="2195" spans="1:24" x14ac:dyDescent="0.3">
      <c r="A2195">
        <v>7766</v>
      </c>
      <c r="B2195" t="s">
        <v>29</v>
      </c>
      <c r="C2195" t="s">
        <v>40</v>
      </c>
      <c r="D2195" t="s">
        <v>35</v>
      </c>
      <c r="E2195" s="1">
        <v>2025</v>
      </c>
      <c r="F2195" s="11">
        <v>0.77400000000000002</v>
      </c>
      <c r="G2195">
        <v>80.22</v>
      </c>
      <c r="H2195">
        <v>72.52</v>
      </c>
      <c r="I2195" s="2">
        <v>51653.27</v>
      </c>
      <c r="J2195" s="2">
        <v>41813.410000000003</v>
      </c>
      <c r="K2195" s="2">
        <f>Table1[[#This Row],[Salary_after]]-Table1[[#This Row],[Salary_before]]</f>
        <v>-9839.8599999999933</v>
      </c>
      <c r="L2195" s="11">
        <v>-0.1905</v>
      </c>
      <c r="M2195" s="11">
        <v>-0.12659999999999999</v>
      </c>
      <c r="N2195">
        <v>98.29</v>
      </c>
      <c r="O2195">
        <v>1.91</v>
      </c>
      <c r="P2195">
        <v>5</v>
      </c>
      <c r="Q2195" t="s">
        <v>37</v>
      </c>
      <c r="R2195">
        <v>74.959999999999994</v>
      </c>
      <c r="S2195">
        <v>19.05</v>
      </c>
      <c r="T2195" s="4">
        <v>58.430999999999997</v>
      </c>
      <c r="U2195" s="4">
        <v>1.47834</v>
      </c>
      <c r="V2195" t="str">
        <f>IF(Table1[[#This Row],[ai_disruption_intensity]]&gt;70,"High",
IF(Table1[[#This Row],[ai_disruption_intensity]]&gt;40,"Medium","Low"))</f>
        <v>Low</v>
      </c>
      <c r="W2195" t="str">
        <f>IF(Table1[[#This Row],[skill_gap_index]]&gt;70,"Large Gap",
IF(Table1[[#This Row],[skill_gap_index]]&gt;40,"Medium Gap","Small Gap"))</f>
        <v>Large Gap</v>
      </c>
      <c r="X2195" s="3" t="str">
        <f>IF(Table1[[#This Row],[automation_risk_percent]]&gt;0.7,"Highly Automatable",
IF(Table1[[#This Row],[automation_risk_percent]]&gt;0.4,"Moderate Risk","Safe Job"))</f>
        <v>Highly Automatable</v>
      </c>
    </row>
    <row r="2196" spans="1:24" x14ac:dyDescent="0.3">
      <c r="A2196">
        <v>7778</v>
      </c>
      <c r="B2196" t="s">
        <v>26</v>
      </c>
      <c r="C2196" t="s">
        <v>27</v>
      </c>
      <c r="D2196" t="s">
        <v>36</v>
      </c>
      <c r="E2196" s="1">
        <v>2026</v>
      </c>
      <c r="F2196" s="11">
        <v>0.39419999999999999</v>
      </c>
      <c r="G2196">
        <v>44.17</v>
      </c>
      <c r="H2196">
        <v>25.31</v>
      </c>
      <c r="I2196" s="2">
        <v>79548.31</v>
      </c>
      <c r="J2196" s="2">
        <v>82557.55</v>
      </c>
      <c r="K2196" s="2">
        <f>Table1[[#This Row],[Salary_after]]-Table1[[#This Row],[Salary_before]]</f>
        <v>3009.2400000000052</v>
      </c>
      <c r="L2196" s="11">
        <v>3.78E-2</v>
      </c>
      <c r="M2196" s="11">
        <v>7.0800000000000002E-2</v>
      </c>
      <c r="N2196">
        <v>36.130000000000003</v>
      </c>
      <c r="O2196">
        <v>62.27</v>
      </c>
      <c r="P2196">
        <v>4</v>
      </c>
      <c r="Q2196" t="s">
        <v>25</v>
      </c>
      <c r="R2196">
        <v>32.365000000000002</v>
      </c>
      <c r="S2196">
        <v>3.78</v>
      </c>
      <c r="T2196" s="4">
        <v>24.495000000000001</v>
      </c>
      <c r="U2196" s="4">
        <v>24.546834</v>
      </c>
      <c r="V2196" t="str">
        <f>IF(Table1[[#This Row],[ai_disruption_intensity]]&gt;70,"High",
IF(Table1[[#This Row],[ai_disruption_intensity]]&gt;40,"Medium","Low"))</f>
        <v>Low</v>
      </c>
      <c r="W2196" t="str">
        <f>IF(Table1[[#This Row],[skill_gap_index]]&gt;70,"Large Gap",
IF(Table1[[#This Row],[skill_gap_index]]&gt;40,"Medium Gap","Small Gap"))</f>
        <v>Small Gap</v>
      </c>
      <c r="X2196" s="3" t="str">
        <f>IF(Table1[[#This Row],[automation_risk_percent]]&gt;0.7,"Highly Automatable",
IF(Table1[[#This Row],[automation_risk_percent]]&gt;0.4,"Moderate Risk","Safe Job"))</f>
        <v>Safe Job</v>
      </c>
    </row>
    <row r="2197" spans="1:24" x14ac:dyDescent="0.3">
      <c r="A2197">
        <v>7781</v>
      </c>
      <c r="B2197" t="s">
        <v>29</v>
      </c>
      <c r="C2197" t="s">
        <v>30</v>
      </c>
      <c r="D2197" t="s">
        <v>24</v>
      </c>
      <c r="E2197" s="1">
        <v>2026</v>
      </c>
      <c r="F2197" s="11">
        <v>0.77190000000000003</v>
      </c>
      <c r="G2197">
        <v>69.3</v>
      </c>
      <c r="H2197">
        <v>70.239999999999995</v>
      </c>
      <c r="I2197" s="2">
        <v>120458.63</v>
      </c>
      <c r="J2197" s="2">
        <v>136952.63</v>
      </c>
      <c r="K2197" s="2">
        <f>Table1[[#This Row],[Salary_after]]-Table1[[#This Row],[Salary_before]]</f>
        <v>16494</v>
      </c>
      <c r="L2197" s="11">
        <v>0.13689999999999999</v>
      </c>
      <c r="M2197" s="11">
        <v>6.9199999999999998E-2</v>
      </c>
      <c r="N2197">
        <v>16.41</v>
      </c>
      <c r="O2197">
        <v>59.48</v>
      </c>
      <c r="P2197">
        <v>5</v>
      </c>
      <c r="Q2197" t="s">
        <v>37</v>
      </c>
      <c r="R2197">
        <v>73.715000000000003</v>
      </c>
      <c r="S2197">
        <v>13.69</v>
      </c>
      <c r="T2197" s="4">
        <v>56.055</v>
      </c>
      <c r="U2197" s="4">
        <v>45.912611999999903</v>
      </c>
      <c r="V2197" t="str">
        <f>IF(Table1[[#This Row],[ai_disruption_intensity]]&gt;70,"High",
IF(Table1[[#This Row],[ai_disruption_intensity]]&gt;40,"Medium","Low"))</f>
        <v>Medium</v>
      </c>
      <c r="W2197" t="str">
        <f>IF(Table1[[#This Row],[skill_gap_index]]&gt;70,"Large Gap",
IF(Table1[[#This Row],[skill_gap_index]]&gt;40,"Medium Gap","Small Gap"))</f>
        <v>Large Gap</v>
      </c>
      <c r="X2197" s="3" t="str">
        <f>IF(Table1[[#This Row],[automation_risk_percent]]&gt;0.7,"Highly Automatable",
IF(Table1[[#This Row],[automation_risk_percent]]&gt;0.4,"Moderate Risk","Safe Job"))</f>
        <v>Highly Automatable</v>
      </c>
    </row>
    <row r="2198" spans="1:24" x14ac:dyDescent="0.3">
      <c r="A2198">
        <v>7783</v>
      </c>
      <c r="B2198" t="s">
        <v>45</v>
      </c>
      <c r="C2198" t="s">
        <v>27</v>
      </c>
      <c r="D2198" t="s">
        <v>28</v>
      </c>
      <c r="E2198" s="1">
        <v>2026</v>
      </c>
      <c r="F2198" s="11">
        <v>0.24379999999999999</v>
      </c>
      <c r="G2198">
        <v>20.53</v>
      </c>
      <c r="H2198">
        <v>39.479999999999997</v>
      </c>
      <c r="I2198" s="2">
        <v>99966.34</v>
      </c>
      <c r="J2198" s="2">
        <v>104446.74</v>
      </c>
      <c r="K2198" s="2">
        <f>Table1[[#This Row],[Salary_after]]-Table1[[#This Row],[Salary_before]]</f>
        <v>4480.4000000000087</v>
      </c>
      <c r="L2198" s="11">
        <v>4.4800000000000006E-2</v>
      </c>
      <c r="M2198" s="11">
        <v>0.1588</v>
      </c>
      <c r="N2198">
        <v>54.25</v>
      </c>
      <c r="O2198">
        <v>28.57</v>
      </c>
      <c r="P2198">
        <v>4</v>
      </c>
      <c r="Q2198" t="s">
        <v>21</v>
      </c>
      <c r="R2198">
        <v>31.93</v>
      </c>
      <c r="S2198">
        <v>4.4800000000000004</v>
      </c>
      <c r="T2198" s="4">
        <v>22.94</v>
      </c>
      <c r="U2198" s="4">
        <v>6.9653660000000004</v>
      </c>
      <c r="V2198" t="str">
        <f>IF(Table1[[#This Row],[ai_disruption_intensity]]&gt;70,"High",
IF(Table1[[#This Row],[ai_disruption_intensity]]&gt;40,"Medium","Low"))</f>
        <v>Low</v>
      </c>
      <c r="W2198" t="str">
        <f>IF(Table1[[#This Row],[skill_gap_index]]&gt;70,"Large Gap",
IF(Table1[[#This Row],[skill_gap_index]]&gt;40,"Medium Gap","Small Gap"))</f>
        <v>Small Gap</v>
      </c>
      <c r="X2198" s="3" t="str">
        <f>IF(Table1[[#This Row],[automation_risk_percent]]&gt;0.7,"Highly Automatable",
IF(Table1[[#This Row],[automation_risk_percent]]&gt;0.4,"Moderate Risk","Safe Job"))</f>
        <v>Safe Job</v>
      </c>
    </row>
    <row r="2199" spans="1:24" x14ac:dyDescent="0.3">
      <c r="A2199">
        <v>7793</v>
      </c>
      <c r="B2199" t="s">
        <v>39</v>
      </c>
      <c r="C2199" t="s">
        <v>23</v>
      </c>
      <c r="D2199" t="s">
        <v>42</v>
      </c>
      <c r="E2199" s="1">
        <v>2025</v>
      </c>
      <c r="F2199" s="11">
        <v>0.27679999999999999</v>
      </c>
      <c r="G2199">
        <v>28.81</v>
      </c>
      <c r="H2199">
        <v>7.04</v>
      </c>
      <c r="I2199" s="2">
        <v>117134.55</v>
      </c>
      <c r="J2199" s="2">
        <v>114460.06</v>
      </c>
      <c r="K2199" s="2">
        <f>Table1[[#This Row],[Salary_after]]-Table1[[#This Row],[Salary_before]]</f>
        <v>-2674.4900000000052</v>
      </c>
      <c r="L2199" s="11">
        <v>-2.2799999999999997E-2</v>
      </c>
      <c r="M2199" s="11">
        <v>5.0099999999999999E-2</v>
      </c>
      <c r="N2199">
        <v>38.729999999999997</v>
      </c>
      <c r="O2199">
        <v>75.02</v>
      </c>
      <c r="P2199">
        <v>4</v>
      </c>
      <c r="Q2199" t="s">
        <v>21</v>
      </c>
      <c r="R2199">
        <v>17.36</v>
      </c>
      <c r="S2199">
        <v>2.2799999999999998</v>
      </c>
      <c r="T2199" s="4">
        <v>13.868</v>
      </c>
      <c r="U2199" s="4">
        <v>20.765535999999901</v>
      </c>
      <c r="V2199" t="str">
        <f>IF(Table1[[#This Row],[ai_disruption_intensity]]&gt;70,"High",
IF(Table1[[#This Row],[ai_disruption_intensity]]&gt;40,"Medium","Low"))</f>
        <v>Low</v>
      </c>
      <c r="W2199" t="str">
        <f>IF(Table1[[#This Row],[skill_gap_index]]&gt;70,"Large Gap",
IF(Table1[[#This Row],[skill_gap_index]]&gt;40,"Medium Gap","Small Gap"))</f>
        <v>Small Gap</v>
      </c>
      <c r="X2199" s="3" t="str">
        <f>IF(Table1[[#This Row],[automation_risk_percent]]&gt;0.7,"Highly Automatable",
IF(Table1[[#This Row],[automation_risk_percent]]&gt;0.4,"Moderate Risk","Safe Job"))</f>
        <v>Safe Job</v>
      </c>
    </row>
    <row r="2200" spans="1:24" x14ac:dyDescent="0.3">
      <c r="A2200">
        <v>7800</v>
      </c>
      <c r="B2200" t="s">
        <v>43</v>
      </c>
      <c r="C2200" t="s">
        <v>23</v>
      </c>
      <c r="D2200" t="s">
        <v>42</v>
      </c>
      <c r="E2200" s="1">
        <v>2025</v>
      </c>
      <c r="F2200" s="11">
        <v>0.35270000000000001</v>
      </c>
      <c r="G2200">
        <v>37.96</v>
      </c>
      <c r="H2200">
        <v>75.55</v>
      </c>
      <c r="I2200" s="2">
        <v>105342.59</v>
      </c>
      <c r="J2200" s="2">
        <v>101647.22</v>
      </c>
      <c r="K2200" s="2">
        <f>Table1[[#This Row],[Salary_after]]-Table1[[#This Row],[Salary_before]]</f>
        <v>-3695.3699999999953</v>
      </c>
      <c r="L2200" s="11">
        <v>-3.5099999999999999E-2</v>
      </c>
      <c r="M2200" s="11">
        <v>0.1895</v>
      </c>
      <c r="N2200">
        <v>58.77</v>
      </c>
      <c r="O2200">
        <v>6.43</v>
      </c>
      <c r="P2200">
        <v>3</v>
      </c>
      <c r="Q2200" t="s">
        <v>25</v>
      </c>
      <c r="R2200">
        <v>55.41</v>
      </c>
      <c r="S2200">
        <v>3.51</v>
      </c>
      <c r="T2200" s="4">
        <v>37.826000000000001</v>
      </c>
      <c r="U2200" s="4">
        <v>2.2678609999999999</v>
      </c>
      <c r="V2200" t="str">
        <f>IF(Table1[[#This Row],[ai_disruption_intensity]]&gt;70,"High",
IF(Table1[[#This Row],[ai_disruption_intensity]]&gt;40,"Medium","Low"))</f>
        <v>Low</v>
      </c>
      <c r="W2200" t="str">
        <f>IF(Table1[[#This Row],[skill_gap_index]]&gt;70,"Large Gap",
IF(Table1[[#This Row],[skill_gap_index]]&gt;40,"Medium Gap","Small Gap"))</f>
        <v>Large Gap</v>
      </c>
      <c r="X2200" s="3" t="str">
        <f>IF(Table1[[#This Row],[automation_risk_percent]]&gt;0.7,"Highly Automatable",
IF(Table1[[#This Row],[automation_risk_percent]]&gt;0.4,"Moderate Risk","Safe Job"))</f>
        <v>Safe Job</v>
      </c>
    </row>
    <row r="2201" spans="1:24" x14ac:dyDescent="0.3">
      <c r="A2201">
        <v>7805</v>
      </c>
      <c r="B2201" t="s">
        <v>29</v>
      </c>
      <c r="C2201" t="s">
        <v>19</v>
      </c>
      <c r="D2201" t="s">
        <v>35</v>
      </c>
      <c r="E2201" s="1">
        <v>2026</v>
      </c>
      <c r="F2201" s="11">
        <v>0.51239999999999997</v>
      </c>
      <c r="G2201">
        <v>41.28</v>
      </c>
      <c r="H2201">
        <v>18.43</v>
      </c>
      <c r="I2201" s="2">
        <v>145467.1</v>
      </c>
      <c r="J2201" s="2">
        <v>148448.57</v>
      </c>
      <c r="K2201" s="2">
        <f>Table1[[#This Row],[Salary_after]]-Table1[[#This Row],[Salary_before]]</f>
        <v>2981.4700000000012</v>
      </c>
      <c r="L2201" s="11">
        <v>2.0499999999999997E-2</v>
      </c>
      <c r="M2201" s="11">
        <v>9.1400000000000009E-2</v>
      </c>
      <c r="N2201">
        <v>46.63</v>
      </c>
      <c r="O2201">
        <v>6.88</v>
      </c>
      <c r="P2201">
        <v>1</v>
      </c>
      <c r="Q2201" t="s">
        <v>25</v>
      </c>
      <c r="R2201">
        <v>34.835000000000001</v>
      </c>
      <c r="S2201">
        <v>2.0499999999999998</v>
      </c>
      <c r="T2201" s="4">
        <v>26.64</v>
      </c>
      <c r="U2201" s="4">
        <v>3.525312</v>
      </c>
      <c r="V2201" t="str">
        <f>IF(Table1[[#This Row],[ai_disruption_intensity]]&gt;70,"High",
IF(Table1[[#This Row],[ai_disruption_intensity]]&gt;40,"Medium","Low"))</f>
        <v>Low</v>
      </c>
      <c r="W2201" t="str">
        <f>IF(Table1[[#This Row],[skill_gap_index]]&gt;70,"Large Gap",
IF(Table1[[#This Row],[skill_gap_index]]&gt;40,"Medium Gap","Small Gap"))</f>
        <v>Small Gap</v>
      </c>
      <c r="X2201" s="3" t="str">
        <f>IF(Table1[[#This Row],[automation_risk_percent]]&gt;0.7,"Highly Automatable",
IF(Table1[[#This Row],[automation_risk_percent]]&gt;0.4,"Moderate Risk","Safe Job"))</f>
        <v>Moderate Risk</v>
      </c>
    </row>
    <row r="2202" spans="1:24" x14ac:dyDescent="0.3">
      <c r="A2202">
        <v>7812</v>
      </c>
      <c r="B2202" t="s">
        <v>45</v>
      </c>
      <c r="C2202" t="s">
        <v>19</v>
      </c>
      <c r="D2202" t="s">
        <v>28</v>
      </c>
      <c r="E2202" s="1">
        <v>2025</v>
      </c>
      <c r="F2202" s="11">
        <v>0.2198</v>
      </c>
      <c r="G2202">
        <v>18.23</v>
      </c>
      <c r="H2202">
        <v>96.49</v>
      </c>
      <c r="I2202" s="2">
        <v>144170.09</v>
      </c>
      <c r="J2202" s="2">
        <v>159596.21</v>
      </c>
      <c r="K2202" s="2">
        <f>Table1[[#This Row],[Salary_after]]-Table1[[#This Row],[Salary_before]]</f>
        <v>15426.119999999995</v>
      </c>
      <c r="L2202" s="11">
        <v>0.107</v>
      </c>
      <c r="M2202" s="11">
        <v>-1.4499999999999999E-2</v>
      </c>
      <c r="N2202">
        <v>88.53</v>
      </c>
      <c r="O2202">
        <v>46.47</v>
      </c>
      <c r="P2202">
        <v>1</v>
      </c>
      <c r="Q2202" t="s">
        <v>21</v>
      </c>
      <c r="R2202">
        <v>59.234999999999999</v>
      </c>
      <c r="S2202">
        <v>10.7</v>
      </c>
      <c r="T2202" s="4">
        <v>40.948999999999998</v>
      </c>
      <c r="U2202" s="4">
        <v>10.214105999999999</v>
      </c>
      <c r="V2202" t="str">
        <f>IF(Table1[[#This Row],[ai_disruption_intensity]]&gt;70,"High",
IF(Table1[[#This Row],[ai_disruption_intensity]]&gt;40,"Medium","Low"))</f>
        <v>Low</v>
      </c>
      <c r="W2202" t="str">
        <f>IF(Table1[[#This Row],[skill_gap_index]]&gt;70,"Large Gap",
IF(Table1[[#This Row],[skill_gap_index]]&gt;40,"Medium Gap","Small Gap"))</f>
        <v>Large Gap</v>
      </c>
      <c r="X2202" s="3" t="str">
        <f>IF(Table1[[#This Row],[automation_risk_percent]]&gt;0.7,"Highly Automatable",
IF(Table1[[#This Row],[automation_risk_percent]]&gt;0.4,"Moderate Risk","Safe Job"))</f>
        <v>Safe Job</v>
      </c>
    </row>
    <row r="2203" spans="1:24" x14ac:dyDescent="0.3">
      <c r="A2203">
        <v>7813</v>
      </c>
      <c r="B2203" t="s">
        <v>26</v>
      </c>
      <c r="C2203" t="s">
        <v>30</v>
      </c>
      <c r="D2203" t="s">
        <v>47</v>
      </c>
      <c r="E2203" s="1">
        <v>2025</v>
      </c>
      <c r="F2203" s="11">
        <v>0.15659999999999999</v>
      </c>
      <c r="G2203">
        <v>13.34</v>
      </c>
      <c r="H2203">
        <v>14.08</v>
      </c>
      <c r="I2203" s="2">
        <v>125631.98</v>
      </c>
      <c r="J2203" s="2">
        <v>144886.47</v>
      </c>
      <c r="K2203" s="2">
        <f>Table1[[#This Row],[Salary_after]]-Table1[[#This Row],[Salary_before]]</f>
        <v>19254.490000000005</v>
      </c>
      <c r="L2203" s="11">
        <v>0.15329999999999999</v>
      </c>
      <c r="M2203" s="11">
        <v>-4.1500000000000002E-2</v>
      </c>
      <c r="N2203">
        <v>58.48</v>
      </c>
      <c r="O2203">
        <v>39.47</v>
      </c>
      <c r="P2203">
        <v>4</v>
      </c>
      <c r="Q2203" t="s">
        <v>21</v>
      </c>
      <c r="R2203">
        <v>14.87</v>
      </c>
      <c r="S2203">
        <v>15.33</v>
      </c>
      <c r="T2203" s="4">
        <v>15.087</v>
      </c>
      <c r="U2203" s="4">
        <v>6.1810019999999897</v>
      </c>
      <c r="V2203" t="str">
        <f>IF(Table1[[#This Row],[ai_disruption_intensity]]&gt;70,"High",
IF(Table1[[#This Row],[ai_disruption_intensity]]&gt;40,"Medium","Low"))</f>
        <v>Low</v>
      </c>
      <c r="W2203" t="str">
        <f>IF(Table1[[#This Row],[skill_gap_index]]&gt;70,"Large Gap",
IF(Table1[[#This Row],[skill_gap_index]]&gt;40,"Medium Gap","Small Gap"))</f>
        <v>Small Gap</v>
      </c>
      <c r="X2203" s="3" t="str">
        <f>IF(Table1[[#This Row],[automation_risk_percent]]&gt;0.7,"Highly Automatable",
IF(Table1[[#This Row],[automation_risk_percent]]&gt;0.4,"Moderate Risk","Safe Job"))</f>
        <v>Safe Job</v>
      </c>
    </row>
    <row r="2204" spans="1:24" x14ac:dyDescent="0.3">
      <c r="A2204">
        <v>7815</v>
      </c>
      <c r="B2204" t="s">
        <v>43</v>
      </c>
      <c r="C2204" t="s">
        <v>33</v>
      </c>
      <c r="D2204" t="s">
        <v>31</v>
      </c>
      <c r="E2204" s="1">
        <v>2026</v>
      </c>
      <c r="F2204" s="11">
        <v>0.55640000000000001</v>
      </c>
      <c r="G2204">
        <v>45.71</v>
      </c>
      <c r="H2204">
        <v>93.11</v>
      </c>
      <c r="I2204" s="2">
        <v>32516.35</v>
      </c>
      <c r="J2204" s="2">
        <v>33275.06</v>
      </c>
      <c r="K2204" s="2">
        <f>Table1[[#This Row],[Salary_after]]-Table1[[#This Row],[Salary_before]]</f>
        <v>758.70999999999913</v>
      </c>
      <c r="L2204" s="11">
        <v>2.3300000000000001E-2</v>
      </c>
      <c r="M2204" s="11">
        <v>1.7299999999999999E-2</v>
      </c>
      <c r="N2204">
        <v>86.2</v>
      </c>
      <c r="O2204">
        <v>79.22</v>
      </c>
      <c r="P2204">
        <v>4</v>
      </c>
      <c r="Q2204" t="s">
        <v>25</v>
      </c>
      <c r="R2204">
        <v>74.375</v>
      </c>
      <c r="S2204">
        <v>2.33</v>
      </c>
      <c r="T2204" s="4">
        <v>50.887999999999998</v>
      </c>
      <c r="U2204" s="4">
        <v>44.078007999999997</v>
      </c>
      <c r="V2204" t="str">
        <f>IF(Table1[[#This Row],[ai_disruption_intensity]]&gt;70,"High",
IF(Table1[[#This Row],[ai_disruption_intensity]]&gt;40,"Medium","Low"))</f>
        <v>Medium</v>
      </c>
      <c r="W2204" t="str">
        <f>IF(Table1[[#This Row],[skill_gap_index]]&gt;70,"Large Gap",
IF(Table1[[#This Row],[skill_gap_index]]&gt;40,"Medium Gap","Small Gap"))</f>
        <v>Large Gap</v>
      </c>
      <c r="X2204" s="3" t="str">
        <f>IF(Table1[[#This Row],[automation_risk_percent]]&gt;0.7,"Highly Automatable",
IF(Table1[[#This Row],[automation_risk_percent]]&gt;0.4,"Moderate Risk","Safe Job"))</f>
        <v>Moderate Risk</v>
      </c>
    </row>
    <row r="2205" spans="1:24" x14ac:dyDescent="0.3">
      <c r="A2205">
        <v>7818</v>
      </c>
      <c r="B2205" t="s">
        <v>46</v>
      </c>
      <c r="C2205" t="s">
        <v>27</v>
      </c>
      <c r="D2205" t="s">
        <v>31</v>
      </c>
      <c r="E2205" s="1">
        <v>2026</v>
      </c>
      <c r="F2205" s="11">
        <v>0.36969999999999997</v>
      </c>
      <c r="G2205">
        <v>39.96</v>
      </c>
      <c r="H2205">
        <v>9.9</v>
      </c>
      <c r="I2205" s="2">
        <v>125662.41</v>
      </c>
      <c r="J2205" s="2">
        <v>122007.36</v>
      </c>
      <c r="K2205" s="2">
        <f>Table1[[#This Row],[Salary_after]]-Table1[[#This Row],[Salary_before]]</f>
        <v>-3655.0500000000029</v>
      </c>
      <c r="L2205" s="11">
        <v>-2.9100000000000001E-2</v>
      </c>
      <c r="M2205" s="11">
        <v>0.1032</v>
      </c>
      <c r="N2205">
        <v>78.88</v>
      </c>
      <c r="O2205">
        <v>18.03</v>
      </c>
      <c r="P2205">
        <v>2</v>
      </c>
      <c r="Q2205" t="s">
        <v>25</v>
      </c>
      <c r="R2205">
        <v>23.434999999999999</v>
      </c>
      <c r="S2205">
        <v>2.91</v>
      </c>
      <c r="T2205" s="4">
        <v>18.631</v>
      </c>
      <c r="U2205" s="4">
        <v>6.6656909999999998</v>
      </c>
      <c r="V2205" t="str">
        <f>IF(Table1[[#This Row],[ai_disruption_intensity]]&gt;70,"High",
IF(Table1[[#This Row],[ai_disruption_intensity]]&gt;40,"Medium","Low"))</f>
        <v>Low</v>
      </c>
      <c r="W2205" t="str">
        <f>IF(Table1[[#This Row],[skill_gap_index]]&gt;70,"Large Gap",
IF(Table1[[#This Row],[skill_gap_index]]&gt;40,"Medium Gap","Small Gap"))</f>
        <v>Small Gap</v>
      </c>
      <c r="X2205" s="3" t="str">
        <f>IF(Table1[[#This Row],[automation_risk_percent]]&gt;0.7,"Highly Automatable",
IF(Table1[[#This Row],[automation_risk_percent]]&gt;0.4,"Moderate Risk","Safe Job"))</f>
        <v>Safe Job</v>
      </c>
    </row>
    <row r="2206" spans="1:24" x14ac:dyDescent="0.3">
      <c r="A2206">
        <v>7821</v>
      </c>
      <c r="B2206" t="s">
        <v>26</v>
      </c>
      <c r="C2206" t="s">
        <v>40</v>
      </c>
      <c r="D2206" t="s">
        <v>24</v>
      </c>
      <c r="E2206" s="1">
        <v>2025</v>
      </c>
      <c r="F2206" s="11">
        <v>0.31690000000000002</v>
      </c>
      <c r="G2206">
        <v>30.27</v>
      </c>
      <c r="H2206">
        <v>69.510000000000005</v>
      </c>
      <c r="I2206" s="2">
        <v>133450.68</v>
      </c>
      <c r="J2206" s="2">
        <v>131343.09</v>
      </c>
      <c r="K2206" s="2">
        <f>Table1[[#This Row],[Salary_after]]-Table1[[#This Row],[Salary_before]]</f>
        <v>-2107.5899999999965</v>
      </c>
      <c r="L2206" s="11">
        <v>-1.5800000000000002E-2</v>
      </c>
      <c r="M2206" s="11">
        <v>-3.95E-2</v>
      </c>
      <c r="N2206">
        <v>86.66</v>
      </c>
      <c r="O2206">
        <v>23.7</v>
      </c>
      <c r="P2206">
        <v>3</v>
      </c>
      <c r="Q2206" t="s">
        <v>25</v>
      </c>
      <c r="R2206">
        <v>50.6</v>
      </c>
      <c r="S2206">
        <v>1.58</v>
      </c>
      <c r="T2206" s="4">
        <v>34.003</v>
      </c>
      <c r="U2206" s="4">
        <v>7.5105300000000002</v>
      </c>
      <c r="V2206" t="str">
        <f>IF(Table1[[#This Row],[ai_disruption_intensity]]&gt;70,"High",
IF(Table1[[#This Row],[ai_disruption_intensity]]&gt;40,"Medium","Low"))</f>
        <v>Low</v>
      </c>
      <c r="W2206" t="str">
        <f>IF(Table1[[#This Row],[skill_gap_index]]&gt;70,"Large Gap",
IF(Table1[[#This Row],[skill_gap_index]]&gt;40,"Medium Gap","Small Gap"))</f>
        <v>Medium Gap</v>
      </c>
      <c r="X2206" s="3" t="str">
        <f>IF(Table1[[#This Row],[automation_risk_percent]]&gt;0.7,"Highly Automatable",
IF(Table1[[#This Row],[automation_risk_percent]]&gt;0.4,"Moderate Risk","Safe Job"))</f>
        <v>Safe Job</v>
      </c>
    </row>
    <row r="2207" spans="1:24" x14ac:dyDescent="0.3">
      <c r="A2207">
        <v>7824</v>
      </c>
      <c r="B2207" t="s">
        <v>46</v>
      </c>
      <c r="C2207" t="s">
        <v>38</v>
      </c>
      <c r="D2207" t="s">
        <v>20</v>
      </c>
      <c r="E2207" s="1">
        <v>2026</v>
      </c>
      <c r="F2207" s="11">
        <v>0.252</v>
      </c>
      <c r="G2207">
        <v>27.61</v>
      </c>
      <c r="H2207">
        <v>11.85</v>
      </c>
      <c r="I2207" s="2">
        <v>93934.86</v>
      </c>
      <c r="J2207" s="2">
        <v>90590.91</v>
      </c>
      <c r="K2207" s="2">
        <f>Table1[[#This Row],[Salary_after]]-Table1[[#This Row],[Salary_before]]</f>
        <v>-3343.9499999999971</v>
      </c>
      <c r="L2207" s="11">
        <v>-3.56E-2</v>
      </c>
      <c r="M2207" s="11">
        <v>9.2300000000000007E-2</v>
      </c>
      <c r="N2207">
        <v>33.81</v>
      </c>
      <c r="O2207">
        <v>66.069999999999993</v>
      </c>
      <c r="P2207">
        <v>2</v>
      </c>
      <c r="Q2207" t="s">
        <v>21</v>
      </c>
      <c r="R2207">
        <v>18.524999999999999</v>
      </c>
      <c r="S2207">
        <v>3.56</v>
      </c>
      <c r="T2207" s="4">
        <v>14.702999999999999</v>
      </c>
      <c r="U2207" s="4">
        <v>16.649639999999899</v>
      </c>
      <c r="V2207" t="str">
        <f>IF(Table1[[#This Row],[ai_disruption_intensity]]&gt;70,"High",
IF(Table1[[#This Row],[ai_disruption_intensity]]&gt;40,"Medium","Low"))</f>
        <v>Low</v>
      </c>
      <c r="W2207" t="str">
        <f>IF(Table1[[#This Row],[skill_gap_index]]&gt;70,"Large Gap",
IF(Table1[[#This Row],[skill_gap_index]]&gt;40,"Medium Gap","Small Gap"))</f>
        <v>Small Gap</v>
      </c>
      <c r="X2207" s="3" t="str">
        <f>IF(Table1[[#This Row],[automation_risk_percent]]&gt;0.7,"Highly Automatable",
IF(Table1[[#This Row],[automation_risk_percent]]&gt;0.4,"Moderate Risk","Safe Job"))</f>
        <v>Safe Job</v>
      </c>
    </row>
    <row r="2208" spans="1:24" x14ac:dyDescent="0.3">
      <c r="A2208">
        <v>7827</v>
      </c>
      <c r="B2208" t="s">
        <v>44</v>
      </c>
      <c r="C2208" t="s">
        <v>30</v>
      </c>
      <c r="D2208" t="s">
        <v>35</v>
      </c>
      <c r="E2208" s="1">
        <v>2025</v>
      </c>
      <c r="F2208" s="11">
        <v>0.76450000000000007</v>
      </c>
      <c r="G2208">
        <v>84.09</v>
      </c>
      <c r="H2208">
        <v>93.97</v>
      </c>
      <c r="I2208" s="2">
        <v>43774.07</v>
      </c>
      <c r="J2208" s="2">
        <v>40234.9</v>
      </c>
      <c r="K2208" s="2">
        <f>Table1[[#This Row],[Salary_after]]-Table1[[#This Row],[Salary_before]]</f>
        <v>-3539.1699999999983</v>
      </c>
      <c r="L2208" s="11">
        <v>-8.09E-2</v>
      </c>
      <c r="M2208" s="11">
        <v>6.3700000000000007E-2</v>
      </c>
      <c r="N2208">
        <v>12.41</v>
      </c>
      <c r="O2208">
        <v>46.63</v>
      </c>
      <c r="P2208">
        <v>1</v>
      </c>
      <c r="Q2208" t="s">
        <v>37</v>
      </c>
      <c r="R2208">
        <v>85.21</v>
      </c>
      <c r="S2208">
        <v>8.09</v>
      </c>
      <c r="T2208" s="4">
        <v>61.198</v>
      </c>
      <c r="U2208" s="4">
        <v>35.648634999999999</v>
      </c>
      <c r="V2208" t="str">
        <f>IF(Table1[[#This Row],[ai_disruption_intensity]]&gt;70,"High",
IF(Table1[[#This Row],[ai_disruption_intensity]]&gt;40,"Medium","Low"))</f>
        <v>Low</v>
      </c>
      <c r="W2208" t="str">
        <f>IF(Table1[[#This Row],[skill_gap_index]]&gt;70,"Large Gap",
IF(Table1[[#This Row],[skill_gap_index]]&gt;40,"Medium Gap","Small Gap"))</f>
        <v>Large Gap</v>
      </c>
      <c r="X2208" s="3" t="str">
        <f>IF(Table1[[#This Row],[automation_risk_percent]]&gt;0.7,"Highly Automatable",
IF(Table1[[#This Row],[automation_risk_percent]]&gt;0.4,"Moderate Risk","Safe Job"))</f>
        <v>Highly Automatable</v>
      </c>
    </row>
    <row r="2209" spans="1:24" x14ac:dyDescent="0.3">
      <c r="A2209">
        <v>7834</v>
      </c>
      <c r="B2209" t="s">
        <v>26</v>
      </c>
      <c r="C2209" t="s">
        <v>23</v>
      </c>
      <c r="D2209" t="s">
        <v>36</v>
      </c>
      <c r="E2209" s="1">
        <v>2025</v>
      </c>
      <c r="F2209" s="11">
        <v>0.65739999999999998</v>
      </c>
      <c r="G2209">
        <v>64.53</v>
      </c>
      <c r="H2209">
        <v>77.239999999999995</v>
      </c>
      <c r="I2209" s="2">
        <v>142042.60999999999</v>
      </c>
      <c r="J2209" s="2">
        <v>141230.49</v>
      </c>
      <c r="K2209" s="2">
        <f>Table1[[#This Row],[Salary_after]]-Table1[[#This Row],[Salary_before]]</f>
        <v>-812.11999999999534</v>
      </c>
      <c r="L2209" s="11">
        <v>-5.6999999999999993E-3</v>
      </c>
      <c r="M2209" s="11">
        <v>-0.1321</v>
      </c>
      <c r="N2209">
        <v>99.59</v>
      </c>
      <c r="O2209">
        <v>35.35</v>
      </c>
      <c r="P2209">
        <v>3</v>
      </c>
      <c r="Q2209" t="s">
        <v>37</v>
      </c>
      <c r="R2209">
        <v>71.489999999999995</v>
      </c>
      <c r="S2209">
        <v>0.56999999999999995</v>
      </c>
      <c r="T2209" s="4">
        <v>49.638999999999903</v>
      </c>
      <c r="U2209" s="4">
        <v>23.239090000000001</v>
      </c>
      <c r="V2209" t="str">
        <f>IF(Table1[[#This Row],[ai_disruption_intensity]]&gt;70,"High",
IF(Table1[[#This Row],[ai_disruption_intensity]]&gt;40,"Medium","Low"))</f>
        <v>Low</v>
      </c>
      <c r="W2209" t="str">
        <f>IF(Table1[[#This Row],[skill_gap_index]]&gt;70,"Large Gap",
IF(Table1[[#This Row],[skill_gap_index]]&gt;40,"Medium Gap","Small Gap"))</f>
        <v>Large Gap</v>
      </c>
      <c r="X2209" s="3" t="str">
        <f>IF(Table1[[#This Row],[automation_risk_percent]]&gt;0.7,"Highly Automatable",
IF(Table1[[#This Row],[automation_risk_percent]]&gt;0.4,"Moderate Risk","Safe Job"))</f>
        <v>Moderate Risk</v>
      </c>
    </row>
    <row r="2210" spans="1:24" x14ac:dyDescent="0.3">
      <c r="A2210">
        <v>7835</v>
      </c>
      <c r="B2210" t="s">
        <v>45</v>
      </c>
      <c r="C2210" t="s">
        <v>30</v>
      </c>
      <c r="D2210" t="s">
        <v>42</v>
      </c>
      <c r="E2210" s="1">
        <v>2025</v>
      </c>
      <c r="F2210" s="11">
        <v>0.53380000000000005</v>
      </c>
      <c r="G2210">
        <v>56.73</v>
      </c>
      <c r="H2210">
        <v>15.41</v>
      </c>
      <c r="I2210" s="2">
        <v>126794.04</v>
      </c>
      <c r="J2210" s="2">
        <v>126918.52</v>
      </c>
      <c r="K2210" s="2">
        <f>Table1[[#This Row],[Salary_after]]-Table1[[#This Row],[Salary_before]]</f>
        <v>124.48000000001048</v>
      </c>
      <c r="L2210" s="11">
        <v>1E-3</v>
      </c>
      <c r="M2210" s="11">
        <v>-0.21440000000000001</v>
      </c>
      <c r="N2210">
        <v>67.86</v>
      </c>
      <c r="O2210">
        <v>41.05</v>
      </c>
      <c r="P2210">
        <v>5</v>
      </c>
      <c r="Q2210" t="s">
        <v>25</v>
      </c>
      <c r="R2210">
        <v>34.395000000000003</v>
      </c>
      <c r="S2210">
        <v>0.1</v>
      </c>
      <c r="T2210" s="4">
        <v>26.004999999999999</v>
      </c>
      <c r="U2210" s="4">
        <v>21.912489999999998</v>
      </c>
      <c r="V2210" t="str">
        <f>IF(Table1[[#This Row],[ai_disruption_intensity]]&gt;70,"High",
IF(Table1[[#This Row],[ai_disruption_intensity]]&gt;40,"Medium","Low"))</f>
        <v>Low</v>
      </c>
      <c r="W2210" t="str">
        <f>IF(Table1[[#This Row],[skill_gap_index]]&gt;70,"Large Gap",
IF(Table1[[#This Row],[skill_gap_index]]&gt;40,"Medium Gap","Small Gap"))</f>
        <v>Small Gap</v>
      </c>
      <c r="X2210" s="3" t="str">
        <f>IF(Table1[[#This Row],[automation_risk_percent]]&gt;0.7,"Highly Automatable",
IF(Table1[[#This Row],[automation_risk_percent]]&gt;0.4,"Moderate Risk","Safe Job"))</f>
        <v>Moderate Risk</v>
      </c>
    </row>
    <row r="2211" spans="1:24" x14ac:dyDescent="0.3">
      <c r="A2211">
        <v>7841</v>
      </c>
      <c r="B2211" t="s">
        <v>26</v>
      </c>
      <c r="C2211" t="s">
        <v>19</v>
      </c>
      <c r="D2211" t="s">
        <v>20</v>
      </c>
      <c r="E2211" s="1">
        <v>2026</v>
      </c>
      <c r="F2211" s="11">
        <v>0.46060000000000001</v>
      </c>
      <c r="G2211">
        <v>40.81</v>
      </c>
      <c r="H2211">
        <v>76.66</v>
      </c>
      <c r="I2211" s="2">
        <v>100072.01</v>
      </c>
      <c r="J2211" s="2">
        <v>106039.32</v>
      </c>
      <c r="K2211" s="2">
        <f>Table1[[#This Row],[Salary_after]]-Table1[[#This Row],[Salary_before]]</f>
        <v>5967.3100000000122</v>
      </c>
      <c r="L2211" s="11">
        <v>5.96E-2</v>
      </c>
      <c r="M2211" s="11">
        <v>9.1300000000000006E-2</v>
      </c>
      <c r="N2211">
        <v>38.659999999999997</v>
      </c>
      <c r="O2211">
        <v>91.37</v>
      </c>
      <c r="P2211">
        <v>1</v>
      </c>
      <c r="Q2211" t="s">
        <v>25</v>
      </c>
      <c r="R2211">
        <v>61.36</v>
      </c>
      <c r="S2211">
        <v>5.96</v>
      </c>
      <c r="T2211" s="4">
        <v>43.209999999999901</v>
      </c>
      <c r="U2211" s="4">
        <v>42.085022000000002</v>
      </c>
      <c r="V2211" t="str">
        <f>IF(Table1[[#This Row],[ai_disruption_intensity]]&gt;70,"High",
IF(Table1[[#This Row],[ai_disruption_intensity]]&gt;40,"Medium","Low"))</f>
        <v>Medium</v>
      </c>
      <c r="W2211" t="str">
        <f>IF(Table1[[#This Row],[skill_gap_index]]&gt;70,"Large Gap",
IF(Table1[[#This Row],[skill_gap_index]]&gt;40,"Medium Gap","Small Gap"))</f>
        <v>Large Gap</v>
      </c>
      <c r="X2211" s="3" t="str">
        <f>IF(Table1[[#This Row],[automation_risk_percent]]&gt;0.7,"Highly Automatable",
IF(Table1[[#This Row],[automation_risk_percent]]&gt;0.4,"Moderate Risk","Safe Job"))</f>
        <v>Moderate Risk</v>
      </c>
    </row>
    <row r="2212" spans="1:24" x14ac:dyDescent="0.3">
      <c r="A2212">
        <v>7843</v>
      </c>
      <c r="B2212" t="s">
        <v>29</v>
      </c>
      <c r="C2212" t="s">
        <v>30</v>
      </c>
      <c r="D2212" t="s">
        <v>35</v>
      </c>
      <c r="E2212" s="1">
        <v>2026</v>
      </c>
      <c r="F2212" s="11">
        <v>0.70620000000000005</v>
      </c>
      <c r="G2212">
        <v>83.51</v>
      </c>
      <c r="H2212">
        <v>20.149999999999999</v>
      </c>
      <c r="I2212" s="2">
        <v>77104.399999999994</v>
      </c>
      <c r="J2212" s="2">
        <v>75039.92</v>
      </c>
      <c r="K2212" s="2">
        <f>Table1[[#This Row],[Salary_after]]-Table1[[#This Row],[Salary_before]]</f>
        <v>-2064.4799999999959</v>
      </c>
      <c r="L2212" s="11">
        <v>-2.6800000000000001E-2</v>
      </c>
      <c r="M2212" s="11">
        <v>7.17E-2</v>
      </c>
      <c r="N2212">
        <v>99.48</v>
      </c>
      <c r="O2212">
        <v>67.81</v>
      </c>
      <c r="P2212">
        <v>2</v>
      </c>
      <c r="Q2212" t="s">
        <v>37</v>
      </c>
      <c r="R2212">
        <v>45.384999999999998</v>
      </c>
      <c r="S2212">
        <v>2.68</v>
      </c>
      <c r="T2212" s="4">
        <v>35.097000000000001</v>
      </c>
      <c r="U2212" s="4">
        <v>47.887422000000001</v>
      </c>
      <c r="V2212" t="str">
        <f>IF(Table1[[#This Row],[ai_disruption_intensity]]&gt;70,"High",
IF(Table1[[#This Row],[ai_disruption_intensity]]&gt;40,"Medium","Low"))</f>
        <v>Medium</v>
      </c>
      <c r="W2212" t="str">
        <f>IF(Table1[[#This Row],[skill_gap_index]]&gt;70,"Large Gap",
IF(Table1[[#This Row],[skill_gap_index]]&gt;40,"Medium Gap","Small Gap"))</f>
        <v>Small Gap</v>
      </c>
      <c r="X2212" s="3" t="str">
        <f>IF(Table1[[#This Row],[automation_risk_percent]]&gt;0.7,"Highly Automatable",
IF(Table1[[#This Row],[automation_risk_percent]]&gt;0.4,"Moderate Risk","Safe Job"))</f>
        <v>Highly Automatable</v>
      </c>
    </row>
    <row r="2213" spans="1:24" x14ac:dyDescent="0.3">
      <c r="A2213">
        <v>7850</v>
      </c>
      <c r="B2213" t="s">
        <v>44</v>
      </c>
      <c r="C2213" t="s">
        <v>30</v>
      </c>
      <c r="D2213" t="s">
        <v>24</v>
      </c>
      <c r="E2213" s="1">
        <v>2025</v>
      </c>
      <c r="F2213" s="11">
        <v>0.70930000000000004</v>
      </c>
      <c r="G2213">
        <v>70.47</v>
      </c>
      <c r="H2213">
        <v>69.06</v>
      </c>
      <c r="I2213" s="2">
        <v>79867.72</v>
      </c>
      <c r="J2213" s="2">
        <v>86188.63</v>
      </c>
      <c r="K2213" s="2">
        <f>Table1[[#This Row],[Salary_after]]-Table1[[#This Row],[Salary_before]]</f>
        <v>6320.9100000000035</v>
      </c>
      <c r="L2213" s="11">
        <v>7.9100000000000004E-2</v>
      </c>
      <c r="M2213" s="11">
        <v>2.2000000000000002E-2</v>
      </c>
      <c r="N2213">
        <v>91.47</v>
      </c>
      <c r="O2213">
        <v>68.22</v>
      </c>
      <c r="P2213">
        <v>4</v>
      </c>
      <c r="Q2213" t="s">
        <v>37</v>
      </c>
      <c r="R2213">
        <v>69.995000000000005</v>
      </c>
      <c r="S2213">
        <v>7.91</v>
      </c>
      <c r="T2213" s="4">
        <v>51.463000000000001</v>
      </c>
      <c r="U2213" s="4">
        <v>48.388446000000002</v>
      </c>
      <c r="V2213" t="str">
        <f>IF(Table1[[#This Row],[ai_disruption_intensity]]&gt;70,"High",
IF(Table1[[#This Row],[ai_disruption_intensity]]&gt;40,"Medium","Low"))</f>
        <v>Medium</v>
      </c>
      <c r="W2213" t="str">
        <f>IF(Table1[[#This Row],[skill_gap_index]]&gt;70,"Large Gap",
IF(Table1[[#This Row],[skill_gap_index]]&gt;40,"Medium Gap","Small Gap"))</f>
        <v>Medium Gap</v>
      </c>
      <c r="X2213" s="3" t="str">
        <f>IF(Table1[[#This Row],[automation_risk_percent]]&gt;0.7,"Highly Automatable",
IF(Table1[[#This Row],[automation_risk_percent]]&gt;0.4,"Moderate Risk","Safe Job"))</f>
        <v>Highly Automatable</v>
      </c>
    </row>
    <row r="2214" spans="1:24" x14ac:dyDescent="0.3">
      <c r="A2214">
        <v>7855</v>
      </c>
      <c r="B2214" t="s">
        <v>39</v>
      </c>
      <c r="C2214" t="s">
        <v>38</v>
      </c>
      <c r="D2214" t="s">
        <v>28</v>
      </c>
      <c r="E2214" s="1">
        <v>2026</v>
      </c>
      <c r="F2214" s="11">
        <v>0.18719999999999998</v>
      </c>
      <c r="G2214">
        <v>16.43</v>
      </c>
      <c r="H2214">
        <v>25.16</v>
      </c>
      <c r="I2214" s="2">
        <v>117339.92</v>
      </c>
      <c r="J2214" s="2">
        <v>126064.07</v>
      </c>
      <c r="K2214" s="2">
        <f>Table1[[#This Row],[Salary_after]]-Table1[[#This Row],[Salary_before]]</f>
        <v>8724.1500000000087</v>
      </c>
      <c r="L2214" s="11">
        <v>7.4299999999999991E-2</v>
      </c>
      <c r="M2214" s="11">
        <v>-0.1105</v>
      </c>
      <c r="N2214">
        <v>61.47</v>
      </c>
      <c r="O2214">
        <v>40.229999999999997</v>
      </c>
      <c r="P2214">
        <v>2</v>
      </c>
      <c r="Q2214" t="s">
        <v>21</v>
      </c>
      <c r="R2214">
        <v>21.939999999999898</v>
      </c>
      <c r="S2214">
        <v>7.43</v>
      </c>
      <c r="T2214" s="4">
        <v>17.265000000000001</v>
      </c>
      <c r="U2214" s="4">
        <v>7.5310559999999898</v>
      </c>
      <c r="V2214" t="str">
        <f>IF(Table1[[#This Row],[ai_disruption_intensity]]&gt;70,"High",
IF(Table1[[#This Row],[ai_disruption_intensity]]&gt;40,"Medium","Low"))</f>
        <v>Low</v>
      </c>
      <c r="W2214" t="str">
        <f>IF(Table1[[#This Row],[skill_gap_index]]&gt;70,"Large Gap",
IF(Table1[[#This Row],[skill_gap_index]]&gt;40,"Medium Gap","Small Gap"))</f>
        <v>Small Gap</v>
      </c>
      <c r="X2214" s="3" t="str">
        <f>IF(Table1[[#This Row],[automation_risk_percent]]&gt;0.7,"Highly Automatable",
IF(Table1[[#This Row],[automation_risk_percent]]&gt;0.4,"Moderate Risk","Safe Job"))</f>
        <v>Safe Job</v>
      </c>
    </row>
    <row r="2215" spans="1:24" x14ac:dyDescent="0.3">
      <c r="A2215">
        <v>7857</v>
      </c>
      <c r="B2215" t="s">
        <v>46</v>
      </c>
      <c r="C2215" t="s">
        <v>27</v>
      </c>
      <c r="D2215" t="s">
        <v>32</v>
      </c>
      <c r="E2215" s="1">
        <v>2025</v>
      </c>
      <c r="F2215" s="11">
        <v>0.15560000000000002</v>
      </c>
      <c r="G2215">
        <v>15.51</v>
      </c>
      <c r="H2215">
        <v>26.74</v>
      </c>
      <c r="I2215" s="2">
        <v>80776.679999999993</v>
      </c>
      <c r="J2215" s="2">
        <v>67260.899999999994</v>
      </c>
      <c r="K2215" s="2">
        <f>Table1[[#This Row],[Salary_after]]-Table1[[#This Row],[Salary_before]]</f>
        <v>-13515.779999999999</v>
      </c>
      <c r="L2215" s="11">
        <v>-0.1673</v>
      </c>
      <c r="M2215" s="11">
        <v>6.3E-3</v>
      </c>
      <c r="N2215">
        <v>36.26</v>
      </c>
      <c r="O2215">
        <v>97.29</v>
      </c>
      <c r="P2215">
        <v>3</v>
      </c>
      <c r="Q2215" t="s">
        <v>21</v>
      </c>
      <c r="R2215">
        <v>21.15</v>
      </c>
      <c r="S2215">
        <v>16.73</v>
      </c>
      <c r="T2215" s="4">
        <v>19.265000000000001</v>
      </c>
      <c r="U2215" s="4">
        <v>15.138324000000001</v>
      </c>
      <c r="V2215" t="str">
        <f>IF(Table1[[#This Row],[ai_disruption_intensity]]&gt;70,"High",
IF(Table1[[#This Row],[ai_disruption_intensity]]&gt;40,"Medium","Low"))</f>
        <v>Low</v>
      </c>
      <c r="W2215" t="str">
        <f>IF(Table1[[#This Row],[skill_gap_index]]&gt;70,"Large Gap",
IF(Table1[[#This Row],[skill_gap_index]]&gt;40,"Medium Gap","Small Gap"))</f>
        <v>Small Gap</v>
      </c>
      <c r="X2215" s="3" t="str">
        <f>IF(Table1[[#This Row],[automation_risk_percent]]&gt;0.7,"Highly Automatable",
IF(Table1[[#This Row],[automation_risk_percent]]&gt;0.4,"Moderate Risk","Safe Job"))</f>
        <v>Safe Job</v>
      </c>
    </row>
    <row r="2216" spans="1:24" x14ac:dyDescent="0.3">
      <c r="A2216">
        <v>7861</v>
      </c>
      <c r="B2216" t="s">
        <v>43</v>
      </c>
      <c r="C2216" t="s">
        <v>40</v>
      </c>
      <c r="D2216" t="s">
        <v>20</v>
      </c>
      <c r="E2216" s="1">
        <v>2026</v>
      </c>
      <c r="F2216" s="11">
        <v>0.7944</v>
      </c>
      <c r="G2216">
        <v>87.84</v>
      </c>
      <c r="H2216">
        <v>28.76</v>
      </c>
      <c r="I2216" s="2">
        <v>111325.67</v>
      </c>
      <c r="J2216" s="2">
        <v>99787.46</v>
      </c>
      <c r="K2216" s="2">
        <f>Table1[[#This Row],[Salary_after]]-Table1[[#This Row],[Salary_before]]</f>
        <v>-11538.209999999992</v>
      </c>
      <c r="L2216" s="11">
        <v>-0.1036</v>
      </c>
      <c r="M2216" s="11">
        <v>-7.0999999999999995E-3</v>
      </c>
      <c r="N2216">
        <v>79.62</v>
      </c>
      <c r="O2216">
        <v>20.96</v>
      </c>
      <c r="P2216">
        <v>4</v>
      </c>
      <c r="Q2216" t="s">
        <v>37</v>
      </c>
      <c r="R2216">
        <v>54.1</v>
      </c>
      <c r="S2216">
        <v>10.36</v>
      </c>
      <c r="T2216" s="4">
        <v>43.511999999999901</v>
      </c>
      <c r="U2216" s="4">
        <v>16.650624000000001</v>
      </c>
      <c r="V2216" t="str">
        <f>IF(Table1[[#This Row],[ai_disruption_intensity]]&gt;70,"High",
IF(Table1[[#This Row],[ai_disruption_intensity]]&gt;40,"Medium","Low"))</f>
        <v>Low</v>
      </c>
      <c r="W2216" t="str">
        <f>IF(Table1[[#This Row],[skill_gap_index]]&gt;70,"Large Gap",
IF(Table1[[#This Row],[skill_gap_index]]&gt;40,"Medium Gap","Small Gap"))</f>
        <v>Small Gap</v>
      </c>
      <c r="X2216" s="3" t="str">
        <f>IF(Table1[[#This Row],[automation_risk_percent]]&gt;0.7,"Highly Automatable",
IF(Table1[[#This Row],[automation_risk_percent]]&gt;0.4,"Moderate Risk","Safe Job"))</f>
        <v>Highly Automatable</v>
      </c>
    </row>
    <row r="2217" spans="1:24" x14ac:dyDescent="0.3">
      <c r="A2217">
        <v>7866</v>
      </c>
      <c r="B2217" t="s">
        <v>41</v>
      </c>
      <c r="C2217" t="s">
        <v>23</v>
      </c>
      <c r="D2217" t="s">
        <v>32</v>
      </c>
      <c r="E2217" s="1">
        <v>2026</v>
      </c>
      <c r="F2217" s="11">
        <v>0.56889999999999996</v>
      </c>
      <c r="G2217">
        <v>65.319999999999993</v>
      </c>
      <c r="H2217">
        <v>2.54</v>
      </c>
      <c r="I2217" s="2">
        <v>126290.54</v>
      </c>
      <c r="J2217" s="2">
        <v>105749.99</v>
      </c>
      <c r="K2217" s="2">
        <f>Table1[[#This Row],[Salary_after]]-Table1[[#This Row],[Salary_before]]</f>
        <v>-20540.549999999988</v>
      </c>
      <c r="L2217" s="11">
        <v>-0.16260000000000002</v>
      </c>
      <c r="M2217" s="11">
        <v>-0.1867</v>
      </c>
      <c r="N2217">
        <v>39.31</v>
      </c>
      <c r="O2217">
        <v>60.71</v>
      </c>
      <c r="P2217">
        <v>3</v>
      </c>
      <c r="Q2217" t="s">
        <v>25</v>
      </c>
      <c r="R2217">
        <v>29.715</v>
      </c>
      <c r="S2217">
        <v>16.260000000000002</v>
      </c>
      <c r="T2217" s="4">
        <v>28.396000000000001</v>
      </c>
      <c r="U2217" s="4">
        <v>34.537919000000002</v>
      </c>
      <c r="V2217" t="str">
        <f>IF(Table1[[#This Row],[ai_disruption_intensity]]&gt;70,"High",
IF(Table1[[#This Row],[ai_disruption_intensity]]&gt;40,"Medium","Low"))</f>
        <v>Low</v>
      </c>
      <c r="W2217" t="str">
        <f>IF(Table1[[#This Row],[skill_gap_index]]&gt;70,"Large Gap",
IF(Table1[[#This Row],[skill_gap_index]]&gt;40,"Medium Gap","Small Gap"))</f>
        <v>Small Gap</v>
      </c>
      <c r="X2217" s="3" t="str">
        <f>IF(Table1[[#This Row],[automation_risk_percent]]&gt;0.7,"Highly Automatable",
IF(Table1[[#This Row],[automation_risk_percent]]&gt;0.4,"Moderate Risk","Safe Job"))</f>
        <v>Moderate Risk</v>
      </c>
    </row>
    <row r="2218" spans="1:24" x14ac:dyDescent="0.3">
      <c r="A2218">
        <v>7867</v>
      </c>
      <c r="B2218" t="s">
        <v>46</v>
      </c>
      <c r="C2218" t="s">
        <v>33</v>
      </c>
      <c r="D2218" t="s">
        <v>24</v>
      </c>
      <c r="E2218" s="1">
        <v>2026</v>
      </c>
      <c r="F2218" s="11">
        <v>0.47299999999999998</v>
      </c>
      <c r="G2218">
        <v>40.880000000000003</v>
      </c>
      <c r="H2218">
        <v>56.57</v>
      </c>
      <c r="I2218" s="2">
        <v>85789.42</v>
      </c>
      <c r="J2218" s="2">
        <v>87826.48</v>
      </c>
      <c r="K2218" s="2">
        <f>Table1[[#This Row],[Salary_after]]-Table1[[#This Row],[Salary_before]]</f>
        <v>2037.0599999999977</v>
      </c>
      <c r="L2218" s="11">
        <v>2.3700000000000002E-2</v>
      </c>
      <c r="M2218" s="11">
        <v>0.1978</v>
      </c>
      <c r="N2218">
        <v>48.66</v>
      </c>
      <c r="O2218">
        <v>52.89</v>
      </c>
      <c r="P2218">
        <v>2</v>
      </c>
      <c r="Q2218" t="s">
        <v>25</v>
      </c>
      <c r="R2218">
        <v>51.935000000000002</v>
      </c>
      <c r="S2218">
        <v>2.37</v>
      </c>
      <c r="T2218" s="4">
        <v>36.601999999999997</v>
      </c>
      <c r="U2218" s="4">
        <v>25.016969999999901</v>
      </c>
      <c r="V2218" t="str">
        <f>IF(Table1[[#This Row],[ai_disruption_intensity]]&gt;70,"High",
IF(Table1[[#This Row],[ai_disruption_intensity]]&gt;40,"Medium","Low"))</f>
        <v>Low</v>
      </c>
      <c r="W2218" t="str">
        <f>IF(Table1[[#This Row],[skill_gap_index]]&gt;70,"Large Gap",
IF(Table1[[#This Row],[skill_gap_index]]&gt;40,"Medium Gap","Small Gap"))</f>
        <v>Medium Gap</v>
      </c>
      <c r="X2218" s="3" t="str">
        <f>IF(Table1[[#This Row],[automation_risk_percent]]&gt;0.7,"Highly Automatable",
IF(Table1[[#This Row],[automation_risk_percent]]&gt;0.4,"Moderate Risk","Safe Job"))</f>
        <v>Moderate Risk</v>
      </c>
    </row>
    <row r="2219" spans="1:24" x14ac:dyDescent="0.3">
      <c r="A2219">
        <v>7869</v>
      </c>
      <c r="B2219" t="s">
        <v>41</v>
      </c>
      <c r="C2219" t="s">
        <v>27</v>
      </c>
      <c r="D2219" t="s">
        <v>35</v>
      </c>
      <c r="E2219" s="1">
        <v>2026</v>
      </c>
      <c r="F2219" s="11">
        <v>0.6159</v>
      </c>
      <c r="G2219">
        <v>52.98</v>
      </c>
      <c r="H2219">
        <v>45.57</v>
      </c>
      <c r="I2219" s="2">
        <v>125924.36</v>
      </c>
      <c r="J2219" s="2">
        <v>128480.39</v>
      </c>
      <c r="K2219" s="2">
        <f>Table1[[#This Row],[Salary_after]]-Table1[[#This Row],[Salary_before]]</f>
        <v>2556.0299999999988</v>
      </c>
      <c r="L2219" s="11">
        <v>2.0299999999999999E-2</v>
      </c>
      <c r="M2219" s="11">
        <v>7.17E-2</v>
      </c>
      <c r="N2219">
        <v>59.27</v>
      </c>
      <c r="O2219">
        <v>63.4</v>
      </c>
      <c r="P2219">
        <v>4</v>
      </c>
      <c r="Q2219" t="s">
        <v>37</v>
      </c>
      <c r="R2219">
        <v>53.58</v>
      </c>
      <c r="S2219">
        <v>2.0299999999999998</v>
      </c>
      <c r="T2219" s="4">
        <v>38.915999999999997</v>
      </c>
      <c r="U2219" s="4">
        <v>39.04806</v>
      </c>
      <c r="V2219" t="str">
        <f>IF(Table1[[#This Row],[ai_disruption_intensity]]&gt;70,"High",
IF(Table1[[#This Row],[ai_disruption_intensity]]&gt;40,"Medium","Low"))</f>
        <v>Low</v>
      </c>
      <c r="W2219" t="str">
        <f>IF(Table1[[#This Row],[skill_gap_index]]&gt;70,"Large Gap",
IF(Table1[[#This Row],[skill_gap_index]]&gt;40,"Medium Gap","Small Gap"))</f>
        <v>Medium Gap</v>
      </c>
      <c r="X2219" s="3" t="str">
        <f>IF(Table1[[#This Row],[automation_risk_percent]]&gt;0.7,"Highly Automatable",
IF(Table1[[#This Row],[automation_risk_percent]]&gt;0.4,"Moderate Risk","Safe Job"))</f>
        <v>Moderate Risk</v>
      </c>
    </row>
    <row r="2220" spans="1:24" x14ac:dyDescent="0.3">
      <c r="A2220">
        <v>7875</v>
      </c>
      <c r="B2220" t="s">
        <v>43</v>
      </c>
      <c r="C2220" t="s">
        <v>34</v>
      </c>
      <c r="D2220" t="s">
        <v>32</v>
      </c>
      <c r="E2220" s="1">
        <v>2026</v>
      </c>
      <c r="F2220" s="11">
        <v>0.45130000000000003</v>
      </c>
      <c r="G2220">
        <v>36.700000000000003</v>
      </c>
      <c r="H2220">
        <v>84.61</v>
      </c>
      <c r="I2220" s="2">
        <v>142351.60999999999</v>
      </c>
      <c r="J2220" s="2">
        <v>165401.07</v>
      </c>
      <c r="K2220" s="2">
        <f>Table1[[#This Row],[Salary_after]]-Table1[[#This Row],[Salary_before]]</f>
        <v>23049.460000000021</v>
      </c>
      <c r="L2220" s="11">
        <v>0.16190000000000002</v>
      </c>
      <c r="M2220" s="11">
        <v>0.15509999999999999</v>
      </c>
      <c r="N2220">
        <v>66.77</v>
      </c>
      <c r="O2220">
        <v>56.81</v>
      </c>
      <c r="P2220">
        <v>4</v>
      </c>
      <c r="Q2220" t="s">
        <v>25</v>
      </c>
      <c r="R2220">
        <v>64.87</v>
      </c>
      <c r="S2220">
        <v>16.190000000000001</v>
      </c>
      <c r="T2220" s="4">
        <v>48.292000000000002</v>
      </c>
      <c r="U2220" s="4">
        <v>25.638352999999999</v>
      </c>
      <c r="V2220" t="str">
        <f>IF(Table1[[#This Row],[ai_disruption_intensity]]&gt;70,"High",
IF(Table1[[#This Row],[ai_disruption_intensity]]&gt;40,"Medium","Low"))</f>
        <v>Low</v>
      </c>
      <c r="W2220" t="str">
        <f>IF(Table1[[#This Row],[skill_gap_index]]&gt;70,"Large Gap",
IF(Table1[[#This Row],[skill_gap_index]]&gt;40,"Medium Gap","Small Gap"))</f>
        <v>Large Gap</v>
      </c>
      <c r="X2220" s="3" t="str">
        <f>IF(Table1[[#This Row],[automation_risk_percent]]&gt;0.7,"Highly Automatable",
IF(Table1[[#This Row],[automation_risk_percent]]&gt;0.4,"Moderate Risk","Safe Job"))</f>
        <v>Moderate Risk</v>
      </c>
    </row>
    <row r="2221" spans="1:24" x14ac:dyDescent="0.3">
      <c r="A2221">
        <v>7877</v>
      </c>
      <c r="B2221" t="s">
        <v>46</v>
      </c>
      <c r="C2221" t="s">
        <v>19</v>
      </c>
      <c r="D2221" t="s">
        <v>32</v>
      </c>
      <c r="E2221" s="1">
        <v>2025</v>
      </c>
      <c r="F2221" s="11">
        <v>5.0900000000000001E-2</v>
      </c>
      <c r="G2221">
        <v>5.66</v>
      </c>
      <c r="H2221">
        <v>67.63</v>
      </c>
      <c r="I2221" s="2">
        <v>107883.87</v>
      </c>
      <c r="J2221" s="2">
        <v>105896.79</v>
      </c>
      <c r="K2221" s="2">
        <f>Table1[[#This Row],[Salary_after]]-Table1[[#This Row],[Salary_before]]</f>
        <v>-1987.0800000000017</v>
      </c>
      <c r="L2221" s="11">
        <v>-1.84E-2</v>
      </c>
      <c r="M2221" s="11">
        <v>0.11609999999999999</v>
      </c>
      <c r="N2221">
        <v>45.98</v>
      </c>
      <c r="O2221">
        <v>41.37</v>
      </c>
      <c r="P2221">
        <v>2</v>
      </c>
      <c r="Q2221" t="s">
        <v>21</v>
      </c>
      <c r="R2221">
        <v>36.36</v>
      </c>
      <c r="S2221">
        <v>1.84</v>
      </c>
      <c r="T2221" s="4">
        <v>22.876999999999999</v>
      </c>
      <c r="U2221" s="4">
        <v>2.1057329999999999</v>
      </c>
      <c r="V2221" t="str">
        <f>IF(Table1[[#This Row],[ai_disruption_intensity]]&gt;70,"High",
IF(Table1[[#This Row],[ai_disruption_intensity]]&gt;40,"Medium","Low"))</f>
        <v>Low</v>
      </c>
      <c r="W2221" t="str">
        <f>IF(Table1[[#This Row],[skill_gap_index]]&gt;70,"Large Gap",
IF(Table1[[#This Row],[skill_gap_index]]&gt;40,"Medium Gap","Small Gap"))</f>
        <v>Medium Gap</v>
      </c>
      <c r="X2221" s="3" t="str">
        <f>IF(Table1[[#This Row],[automation_risk_percent]]&gt;0.7,"Highly Automatable",
IF(Table1[[#This Row],[automation_risk_percent]]&gt;0.4,"Moderate Risk","Safe Job"))</f>
        <v>Safe Job</v>
      </c>
    </row>
    <row r="2222" spans="1:24" x14ac:dyDescent="0.3">
      <c r="A2222">
        <v>7880</v>
      </c>
      <c r="B2222" t="s">
        <v>43</v>
      </c>
      <c r="C2222" t="s">
        <v>27</v>
      </c>
      <c r="D2222" t="s">
        <v>31</v>
      </c>
      <c r="E2222" s="1">
        <v>2025</v>
      </c>
      <c r="F2222" s="11">
        <v>0.74080000000000001</v>
      </c>
      <c r="G2222">
        <v>84.23</v>
      </c>
      <c r="H2222">
        <v>19.27</v>
      </c>
      <c r="I2222" s="2">
        <v>48686.080000000002</v>
      </c>
      <c r="J2222" s="2">
        <v>45256.1</v>
      </c>
      <c r="K2222" s="2">
        <f>Table1[[#This Row],[Salary_after]]-Table1[[#This Row],[Salary_before]]</f>
        <v>-3429.9800000000032</v>
      </c>
      <c r="L2222" s="11">
        <v>-7.0499999999999993E-2</v>
      </c>
      <c r="M2222" s="11">
        <v>-7.8600000000000003E-2</v>
      </c>
      <c r="N2222">
        <v>62.51</v>
      </c>
      <c r="O2222">
        <v>12.41</v>
      </c>
      <c r="P2222">
        <v>2</v>
      </c>
      <c r="Q2222" t="s">
        <v>37</v>
      </c>
      <c r="R2222">
        <v>46.674999999999997</v>
      </c>
      <c r="S2222">
        <v>7.05</v>
      </c>
      <c r="T2222" s="4">
        <v>37.527999999999999</v>
      </c>
      <c r="U2222" s="4">
        <v>9.1933279999999993</v>
      </c>
      <c r="V2222" t="str">
        <f>IF(Table1[[#This Row],[ai_disruption_intensity]]&gt;70,"High",
IF(Table1[[#This Row],[ai_disruption_intensity]]&gt;40,"Medium","Low"))</f>
        <v>Low</v>
      </c>
      <c r="W2222" t="str">
        <f>IF(Table1[[#This Row],[skill_gap_index]]&gt;70,"Large Gap",
IF(Table1[[#This Row],[skill_gap_index]]&gt;40,"Medium Gap","Small Gap"))</f>
        <v>Small Gap</v>
      </c>
      <c r="X2222" s="3" t="str">
        <f>IF(Table1[[#This Row],[automation_risk_percent]]&gt;0.7,"Highly Automatable",
IF(Table1[[#This Row],[automation_risk_percent]]&gt;0.4,"Moderate Risk","Safe Job"))</f>
        <v>Highly Automatable</v>
      </c>
    </row>
    <row r="2223" spans="1:24" x14ac:dyDescent="0.3">
      <c r="A2223">
        <v>7881</v>
      </c>
      <c r="B2223" t="s">
        <v>39</v>
      </c>
      <c r="C2223" t="s">
        <v>34</v>
      </c>
      <c r="D2223" t="s">
        <v>35</v>
      </c>
      <c r="E2223" s="1">
        <v>2025</v>
      </c>
      <c r="F2223" s="11">
        <v>0.47240000000000004</v>
      </c>
      <c r="G2223">
        <v>48.77</v>
      </c>
      <c r="H2223">
        <v>66.09</v>
      </c>
      <c r="I2223" s="2">
        <v>96011.05</v>
      </c>
      <c r="J2223" s="2">
        <v>100503.67999999999</v>
      </c>
      <c r="K2223" s="2">
        <f>Table1[[#This Row],[Salary_after]]-Table1[[#This Row],[Salary_before]]</f>
        <v>4492.6299999999901</v>
      </c>
      <c r="L2223" s="11">
        <v>4.6799999999999994E-2</v>
      </c>
      <c r="M2223" s="11">
        <v>0.1575</v>
      </c>
      <c r="N2223">
        <v>93.21</v>
      </c>
      <c r="O2223">
        <v>70.09</v>
      </c>
      <c r="P2223">
        <v>4</v>
      </c>
      <c r="Q2223" t="s">
        <v>25</v>
      </c>
      <c r="R2223">
        <v>56.664999999999999</v>
      </c>
      <c r="S2223">
        <v>4.68</v>
      </c>
      <c r="T2223" s="4">
        <v>40.126999999999903</v>
      </c>
      <c r="U2223" s="4">
        <v>33.110515999999997</v>
      </c>
      <c r="V2223" t="str">
        <f>IF(Table1[[#This Row],[ai_disruption_intensity]]&gt;70,"High",
IF(Table1[[#This Row],[ai_disruption_intensity]]&gt;40,"Medium","Low"))</f>
        <v>Low</v>
      </c>
      <c r="W2223" t="str">
        <f>IF(Table1[[#This Row],[skill_gap_index]]&gt;70,"Large Gap",
IF(Table1[[#This Row],[skill_gap_index]]&gt;40,"Medium Gap","Small Gap"))</f>
        <v>Medium Gap</v>
      </c>
      <c r="X2223" s="3" t="str">
        <f>IF(Table1[[#This Row],[automation_risk_percent]]&gt;0.7,"Highly Automatable",
IF(Table1[[#This Row],[automation_risk_percent]]&gt;0.4,"Moderate Risk","Safe Job"))</f>
        <v>Moderate Risk</v>
      </c>
    </row>
    <row r="2224" spans="1:24" x14ac:dyDescent="0.3">
      <c r="A2224">
        <v>7882</v>
      </c>
      <c r="B2224" t="s">
        <v>46</v>
      </c>
      <c r="C2224" t="s">
        <v>23</v>
      </c>
      <c r="D2224" t="s">
        <v>20</v>
      </c>
      <c r="E2224" s="1">
        <v>2026</v>
      </c>
      <c r="F2224" s="11">
        <v>0.30530000000000002</v>
      </c>
      <c r="G2224">
        <v>26.98</v>
      </c>
      <c r="H2224">
        <v>1.05</v>
      </c>
      <c r="I2224" s="2">
        <v>40848.339999999997</v>
      </c>
      <c r="J2224" s="2">
        <v>38552.980000000003</v>
      </c>
      <c r="K2224" s="2">
        <f>Table1[[#This Row],[Salary_after]]-Table1[[#This Row],[Salary_before]]</f>
        <v>-2295.3599999999933</v>
      </c>
      <c r="L2224" s="11">
        <v>-5.62E-2</v>
      </c>
      <c r="M2224" s="11">
        <v>-1.15E-2</v>
      </c>
      <c r="N2224">
        <v>76.78</v>
      </c>
      <c r="O2224">
        <v>38.61</v>
      </c>
      <c r="P2224">
        <v>4</v>
      </c>
      <c r="Q2224" t="s">
        <v>25</v>
      </c>
      <c r="R2224">
        <v>15.79</v>
      </c>
      <c r="S2224">
        <v>5.62</v>
      </c>
      <c r="T2224" s="4">
        <v>14.212999999999999</v>
      </c>
      <c r="U2224" s="4">
        <v>11.787633</v>
      </c>
      <c r="V2224" t="str">
        <f>IF(Table1[[#This Row],[ai_disruption_intensity]]&gt;70,"High",
IF(Table1[[#This Row],[ai_disruption_intensity]]&gt;40,"Medium","Low"))</f>
        <v>Low</v>
      </c>
      <c r="W2224" t="str">
        <f>IF(Table1[[#This Row],[skill_gap_index]]&gt;70,"Large Gap",
IF(Table1[[#This Row],[skill_gap_index]]&gt;40,"Medium Gap","Small Gap"))</f>
        <v>Small Gap</v>
      </c>
      <c r="X2224" s="3" t="str">
        <f>IF(Table1[[#This Row],[automation_risk_percent]]&gt;0.7,"Highly Automatable",
IF(Table1[[#This Row],[automation_risk_percent]]&gt;0.4,"Moderate Risk","Safe Job"))</f>
        <v>Safe Job</v>
      </c>
    </row>
    <row r="2225" spans="1:24" x14ac:dyDescent="0.3">
      <c r="A2225">
        <v>7884</v>
      </c>
      <c r="B2225" t="s">
        <v>45</v>
      </c>
      <c r="C2225" t="s">
        <v>19</v>
      </c>
      <c r="D2225" t="s">
        <v>35</v>
      </c>
      <c r="E2225" s="1">
        <v>2025</v>
      </c>
      <c r="F2225" s="11">
        <v>0.28970000000000001</v>
      </c>
      <c r="G2225">
        <v>24.79</v>
      </c>
      <c r="H2225">
        <v>77.06</v>
      </c>
      <c r="I2225" s="2">
        <v>42942.84</v>
      </c>
      <c r="J2225" s="2">
        <v>44947.040000000001</v>
      </c>
      <c r="K2225" s="2">
        <f>Table1[[#This Row],[Salary_after]]-Table1[[#This Row],[Salary_before]]</f>
        <v>2004.2000000000044</v>
      </c>
      <c r="L2225" s="11">
        <v>4.6699999999999998E-2</v>
      </c>
      <c r="M2225" s="11">
        <v>-4.4900000000000002E-2</v>
      </c>
      <c r="N2225">
        <v>31.57</v>
      </c>
      <c r="O2225">
        <v>96.91</v>
      </c>
      <c r="P2225">
        <v>5</v>
      </c>
      <c r="Q2225" t="s">
        <v>21</v>
      </c>
      <c r="R2225">
        <v>53.015000000000001</v>
      </c>
      <c r="S2225">
        <v>4.67</v>
      </c>
      <c r="T2225" s="4">
        <v>36.106999999999999</v>
      </c>
      <c r="U2225" s="4">
        <v>28.0748269999999</v>
      </c>
      <c r="V2225" t="str">
        <f>IF(Table1[[#This Row],[ai_disruption_intensity]]&gt;70,"High",
IF(Table1[[#This Row],[ai_disruption_intensity]]&gt;40,"Medium","Low"))</f>
        <v>Low</v>
      </c>
      <c r="W2225" t="str">
        <f>IF(Table1[[#This Row],[skill_gap_index]]&gt;70,"Large Gap",
IF(Table1[[#This Row],[skill_gap_index]]&gt;40,"Medium Gap","Small Gap"))</f>
        <v>Large Gap</v>
      </c>
      <c r="X2225" s="3" t="str">
        <f>IF(Table1[[#This Row],[automation_risk_percent]]&gt;0.7,"Highly Automatable",
IF(Table1[[#This Row],[automation_risk_percent]]&gt;0.4,"Moderate Risk","Safe Job"))</f>
        <v>Safe Job</v>
      </c>
    </row>
    <row r="2226" spans="1:24" x14ac:dyDescent="0.3">
      <c r="A2226">
        <v>7885</v>
      </c>
      <c r="B2226" t="s">
        <v>18</v>
      </c>
      <c r="C2226" t="s">
        <v>38</v>
      </c>
      <c r="D2226" t="s">
        <v>24</v>
      </c>
      <c r="E2226" s="1">
        <v>2026</v>
      </c>
      <c r="F2226" s="11">
        <v>0.70420000000000005</v>
      </c>
      <c r="G2226">
        <v>77.31</v>
      </c>
      <c r="H2226">
        <v>34.31</v>
      </c>
      <c r="I2226" s="2">
        <v>36813.599999999999</v>
      </c>
      <c r="J2226" s="2">
        <v>32628.07</v>
      </c>
      <c r="K2226" s="2">
        <f>Table1[[#This Row],[Salary_after]]-Table1[[#This Row],[Salary_before]]</f>
        <v>-4185.5299999999988</v>
      </c>
      <c r="L2226" s="11">
        <v>-0.1137</v>
      </c>
      <c r="M2226" s="11">
        <v>-0.1009</v>
      </c>
      <c r="N2226">
        <v>21.47</v>
      </c>
      <c r="O2226">
        <v>12.06</v>
      </c>
      <c r="P2226">
        <v>3</v>
      </c>
      <c r="Q2226" t="s">
        <v>37</v>
      </c>
      <c r="R2226">
        <v>52.365000000000002</v>
      </c>
      <c r="S2226">
        <v>11.37</v>
      </c>
      <c r="T2226" s="4">
        <v>41.872</v>
      </c>
      <c r="U2226" s="4">
        <v>8.4926519999999996</v>
      </c>
      <c r="V2226" t="str">
        <f>IF(Table1[[#This Row],[ai_disruption_intensity]]&gt;70,"High",
IF(Table1[[#This Row],[ai_disruption_intensity]]&gt;40,"Medium","Low"))</f>
        <v>Low</v>
      </c>
      <c r="W2226" t="str">
        <f>IF(Table1[[#This Row],[skill_gap_index]]&gt;70,"Large Gap",
IF(Table1[[#This Row],[skill_gap_index]]&gt;40,"Medium Gap","Small Gap"))</f>
        <v>Small Gap</v>
      </c>
      <c r="X2226" s="3" t="str">
        <f>IF(Table1[[#This Row],[automation_risk_percent]]&gt;0.7,"Highly Automatable",
IF(Table1[[#This Row],[automation_risk_percent]]&gt;0.4,"Moderate Risk","Safe Job"))</f>
        <v>Highly Automatable</v>
      </c>
    </row>
    <row r="2227" spans="1:24" x14ac:dyDescent="0.3">
      <c r="A2227">
        <v>7891</v>
      </c>
      <c r="B2227" t="s">
        <v>29</v>
      </c>
      <c r="C2227" t="s">
        <v>34</v>
      </c>
      <c r="D2227" t="s">
        <v>20</v>
      </c>
      <c r="E2227" s="1">
        <v>2025</v>
      </c>
      <c r="F2227" s="11">
        <v>0.65459999999999996</v>
      </c>
      <c r="G2227">
        <v>74.760000000000005</v>
      </c>
      <c r="H2227">
        <v>15.43</v>
      </c>
      <c r="I2227" s="2">
        <v>123316.22</v>
      </c>
      <c r="J2227" s="2">
        <v>130588.28</v>
      </c>
      <c r="K2227" s="2">
        <f>Table1[[#This Row],[Salary_after]]-Table1[[#This Row],[Salary_before]]</f>
        <v>7272.0599999999977</v>
      </c>
      <c r="L2227" s="11">
        <v>5.9000000000000004E-2</v>
      </c>
      <c r="M2227" s="11">
        <v>-9.7999999999999997E-3</v>
      </c>
      <c r="N2227">
        <v>16.05</v>
      </c>
      <c r="O2227">
        <v>32.700000000000003</v>
      </c>
      <c r="P2227">
        <v>3</v>
      </c>
      <c r="Q2227" t="s">
        <v>37</v>
      </c>
      <c r="R2227">
        <v>40.444999999999901</v>
      </c>
      <c r="S2227">
        <v>5.9</v>
      </c>
      <c r="T2227" s="4">
        <v>32.582999999999998</v>
      </c>
      <c r="U2227" s="4">
        <v>21.405419999999999</v>
      </c>
      <c r="V2227" t="str">
        <f>IF(Table1[[#This Row],[ai_disruption_intensity]]&gt;70,"High",
IF(Table1[[#This Row],[ai_disruption_intensity]]&gt;40,"Medium","Low"))</f>
        <v>Low</v>
      </c>
      <c r="W2227" t="str">
        <f>IF(Table1[[#This Row],[skill_gap_index]]&gt;70,"Large Gap",
IF(Table1[[#This Row],[skill_gap_index]]&gt;40,"Medium Gap","Small Gap"))</f>
        <v>Small Gap</v>
      </c>
      <c r="X2227" s="3" t="str">
        <f>IF(Table1[[#This Row],[automation_risk_percent]]&gt;0.7,"Highly Automatable",
IF(Table1[[#This Row],[automation_risk_percent]]&gt;0.4,"Moderate Risk","Safe Job"))</f>
        <v>Moderate Risk</v>
      </c>
    </row>
    <row r="2228" spans="1:24" x14ac:dyDescent="0.3">
      <c r="A2228">
        <v>7893</v>
      </c>
      <c r="B2228" t="s">
        <v>18</v>
      </c>
      <c r="C2228" t="s">
        <v>38</v>
      </c>
      <c r="D2228" t="s">
        <v>24</v>
      </c>
      <c r="E2228" s="1">
        <v>2025</v>
      </c>
      <c r="F2228" s="11">
        <v>0.2177</v>
      </c>
      <c r="G2228">
        <v>24.79</v>
      </c>
      <c r="H2228">
        <v>86.71</v>
      </c>
      <c r="I2228" s="2">
        <v>54447.040000000001</v>
      </c>
      <c r="J2228" s="2">
        <v>48926.02</v>
      </c>
      <c r="K2228" s="2">
        <f>Table1[[#This Row],[Salary_after]]-Table1[[#This Row],[Salary_before]]</f>
        <v>-5521.0200000000041</v>
      </c>
      <c r="L2228" s="11">
        <v>-0.1014</v>
      </c>
      <c r="M2228" s="11">
        <v>-0.191</v>
      </c>
      <c r="N2228">
        <v>59.4</v>
      </c>
      <c r="O2228">
        <v>2.23</v>
      </c>
      <c r="P2228">
        <v>3</v>
      </c>
      <c r="Q2228" t="s">
        <v>21</v>
      </c>
      <c r="R2228">
        <v>54.239999999999903</v>
      </c>
      <c r="S2228">
        <v>10.14</v>
      </c>
      <c r="T2228" s="4">
        <v>37.762999999999998</v>
      </c>
      <c r="U2228" s="4">
        <v>0.48547099999999999</v>
      </c>
      <c r="V2228" t="str">
        <f>IF(Table1[[#This Row],[ai_disruption_intensity]]&gt;70,"High",
IF(Table1[[#This Row],[ai_disruption_intensity]]&gt;40,"Medium","Low"))</f>
        <v>Low</v>
      </c>
      <c r="W2228" t="str">
        <f>IF(Table1[[#This Row],[skill_gap_index]]&gt;70,"Large Gap",
IF(Table1[[#This Row],[skill_gap_index]]&gt;40,"Medium Gap","Small Gap"))</f>
        <v>Large Gap</v>
      </c>
      <c r="X2228" s="3" t="str">
        <f>IF(Table1[[#This Row],[automation_risk_percent]]&gt;0.7,"Highly Automatable",
IF(Table1[[#This Row],[automation_risk_percent]]&gt;0.4,"Moderate Risk","Safe Job"))</f>
        <v>Safe Job</v>
      </c>
    </row>
    <row r="2229" spans="1:24" x14ac:dyDescent="0.3">
      <c r="A2229">
        <v>7896</v>
      </c>
      <c r="B2229" t="s">
        <v>43</v>
      </c>
      <c r="C2229" t="s">
        <v>34</v>
      </c>
      <c r="D2229" t="s">
        <v>36</v>
      </c>
      <c r="E2229" s="1">
        <v>2026</v>
      </c>
      <c r="F2229" s="11">
        <v>0.28789999999999999</v>
      </c>
      <c r="G2229">
        <v>30.11</v>
      </c>
      <c r="H2229">
        <v>33.520000000000003</v>
      </c>
      <c r="I2229" s="2">
        <v>49937.24</v>
      </c>
      <c r="J2229" s="2">
        <v>39344.269999999997</v>
      </c>
      <c r="K2229" s="2">
        <f>Table1[[#This Row],[Salary_after]]-Table1[[#This Row],[Salary_before]]</f>
        <v>-10592.970000000001</v>
      </c>
      <c r="L2229" s="11">
        <v>-0.21210000000000001</v>
      </c>
      <c r="M2229" s="11">
        <v>4.9100000000000005E-2</v>
      </c>
      <c r="N2229">
        <v>80.39</v>
      </c>
      <c r="O2229">
        <v>65.430000000000007</v>
      </c>
      <c r="P2229">
        <v>3</v>
      </c>
      <c r="Q2229" t="s">
        <v>21</v>
      </c>
      <c r="R2229">
        <v>31.155000000000001</v>
      </c>
      <c r="S2229">
        <v>21.21</v>
      </c>
      <c r="T2229" s="4">
        <v>27.934999999999999</v>
      </c>
      <c r="U2229" s="4">
        <v>18.837297</v>
      </c>
      <c r="V2229" t="str">
        <f>IF(Table1[[#This Row],[ai_disruption_intensity]]&gt;70,"High",
IF(Table1[[#This Row],[ai_disruption_intensity]]&gt;40,"Medium","Low"))</f>
        <v>Low</v>
      </c>
      <c r="W2229" t="str">
        <f>IF(Table1[[#This Row],[skill_gap_index]]&gt;70,"Large Gap",
IF(Table1[[#This Row],[skill_gap_index]]&gt;40,"Medium Gap","Small Gap"))</f>
        <v>Small Gap</v>
      </c>
      <c r="X2229" s="3" t="str">
        <f>IF(Table1[[#This Row],[automation_risk_percent]]&gt;0.7,"Highly Automatable",
IF(Table1[[#This Row],[automation_risk_percent]]&gt;0.4,"Moderate Risk","Safe Job"))</f>
        <v>Safe Job</v>
      </c>
    </row>
    <row r="2230" spans="1:24" x14ac:dyDescent="0.3">
      <c r="A2230">
        <v>7897</v>
      </c>
      <c r="B2230" t="s">
        <v>18</v>
      </c>
      <c r="C2230" t="s">
        <v>33</v>
      </c>
      <c r="D2230" t="s">
        <v>47</v>
      </c>
      <c r="E2230" s="1">
        <v>2025</v>
      </c>
      <c r="F2230" s="11">
        <v>0.14800000000000002</v>
      </c>
      <c r="G2230">
        <v>15.06</v>
      </c>
      <c r="H2230">
        <v>33.65</v>
      </c>
      <c r="I2230" s="2">
        <v>145813.51</v>
      </c>
      <c r="J2230" s="2">
        <v>157261.06</v>
      </c>
      <c r="K2230" s="2">
        <f>Table1[[#This Row],[Salary_after]]-Table1[[#This Row],[Salary_before]]</f>
        <v>11447.549999999988</v>
      </c>
      <c r="L2230" s="11">
        <v>7.85E-2</v>
      </c>
      <c r="M2230" s="11">
        <v>4.5499999999999999E-2</v>
      </c>
      <c r="N2230">
        <v>12.72</v>
      </c>
      <c r="O2230">
        <v>10.33</v>
      </c>
      <c r="P2230">
        <v>1</v>
      </c>
      <c r="Q2230" t="s">
        <v>21</v>
      </c>
      <c r="R2230">
        <v>24.225000000000001</v>
      </c>
      <c r="S2230">
        <v>7.85</v>
      </c>
      <c r="T2230" s="4">
        <v>18.37</v>
      </c>
      <c r="U2230" s="4">
        <v>1.52884</v>
      </c>
      <c r="V2230" t="str">
        <f>IF(Table1[[#This Row],[ai_disruption_intensity]]&gt;70,"High",
IF(Table1[[#This Row],[ai_disruption_intensity]]&gt;40,"Medium","Low"))</f>
        <v>Low</v>
      </c>
      <c r="W2230" t="str">
        <f>IF(Table1[[#This Row],[skill_gap_index]]&gt;70,"Large Gap",
IF(Table1[[#This Row],[skill_gap_index]]&gt;40,"Medium Gap","Small Gap"))</f>
        <v>Small Gap</v>
      </c>
      <c r="X2230" s="3" t="str">
        <f>IF(Table1[[#This Row],[automation_risk_percent]]&gt;0.7,"Highly Automatable",
IF(Table1[[#This Row],[automation_risk_percent]]&gt;0.4,"Moderate Risk","Safe Job"))</f>
        <v>Safe Job</v>
      </c>
    </row>
    <row r="2231" spans="1:24" x14ac:dyDescent="0.3">
      <c r="A2231">
        <v>7900</v>
      </c>
      <c r="B2231" t="s">
        <v>43</v>
      </c>
      <c r="C2231" t="s">
        <v>40</v>
      </c>
      <c r="D2231" t="s">
        <v>28</v>
      </c>
      <c r="E2231" s="1">
        <v>2026</v>
      </c>
      <c r="F2231" s="11">
        <v>0.66359999999999997</v>
      </c>
      <c r="G2231">
        <v>67.459999999999994</v>
      </c>
      <c r="H2231">
        <v>3.82</v>
      </c>
      <c r="I2231" s="2">
        <v>63622.25</v>
      </c>
      <c r="J2231" s="2">
        <v>64089.24</v>
      </c>
      <c r="K2231" s="2">
        <f>Table1[[#This Row],[Salary_after]]-Table1[[#This Row],[Salary_before]]</f>
        <v>466.98999999999796</v>
      </c>
      <c r="L2231" s="11">
        <v>7.3000000000000001E-3</v>
      </c>
      <c r="M2231" s="11">
        <v>-6.3200000000000006E-2</v>
      </c>
      <c r="N2231">
        <v>19.16</v>
      </c>
      <c r="O2231">
        <v>86.97</v>
      </c>
      <c r="P2231">
        <v>4</v>
      </c>
      <c r="Q2231" t="s">
        <v>37</v>
      </c>
      <c r="R2231">
        <v>35.089999999999897</v>
      </c>
      <c r="S2231">
        <v>0.73</v>
      </c>
      <c r="T2231" s="4">
        <v>27.908999999999999</v>
      </c>
      <c r="U2231" s="4">
        <v>57.713292000000003</v>
      </c>
      <c r="V2231" t="str">
        <f>IF(Table1[[#This Row],[ai_disruption_intensity]]&gt;70,"High",
IF(Table1[[#This Row],[ai_disruption_intensity]]&gt;40,"Medium","Low"))</f>
        <v>Medium</v>
      </c>
      <c r="W2231" t="str">
        <f>IF(Table1[[#This Row],[skill_gap_index]]&gt;70,"Large Gap",
IF(Table1[[#This Row],[skill_gap_index]]&gt;40,"Medium Gap","Small Gap"))</f>
        <v>Small Gap</v>
      </c>
      <c r="X2231" s="3" t="str">
        <f>IF(Table1[[#This Row],[automation_risk_percent]]&gt;0.7,"Highly Automatable",
IF(Table1[[#This Row],[automation_risk_percent]]&gt;0.4,"Moderate Risk","Safe Job"))</f>
        <v>Moderate Risk</v>
      </c>
    </row>
    <row r="2232" spans="1:24" x14ac:dyDescent="0.3">
      <c r="A2232">
        <v>7903</v>
      </c>
      <c r="B2232" t="s">
        <v>26</v>
      </c>
      <c r="C2232" t="s">
        <v>34</v>
      </c>
      <c r="D2232" t="s">
        <v>47</v>
      </c>
      <c r="E2232" s="1">
        <v>2026</v>
      </c>
      <c r="F2232" s="11">
        <v>0.21760000000000002</v>
      </c>
      <c r="G2232">
        <v>25.87</v>
      </c>
      <c r="H2232">
        <v>47.77</v>
      </c>
      <c r="I2232" s="2">
        <v>144389.65</v>
      </c>
      <c r="J2232" s="2">
        <v>131277.75</v>
      </c>
      <c r="K2232" s="2">
        <f>Table1[[#This Row],[Salary_after]]-Table1[[#This Row],[Salary_before]]</f>
        <v>-13111.899999999994</v>
      </c>
      <c r="L2232" s="11">
        <v>-9.0800000000000006E-2</v>
      </c>
      <c r="M2232" s="11">
        <v>0.14019999999999999</v>
      </c>
      <c r="N2232">
        <v>67.55</v>
      </c>
      <c r="O2232">
        <v>66.87</v>
      </c>
      <c r="P2232">
        <v>3</v>
      </c>
      <c r="Q2232" t="s">
        <v>21</v>
      </c>
      <c r="R2232">
        <v>34.765000000000001</v>
      </c>
      <c r="S2232">
        <v>9.08</v>
      </c>
      <c r="T2232" s="4">
        <v>25.759</v>
      </c>
      <c r="U2232" s="4">
        <v>14.550912</v>
      </c>
      <c r="V2232" t="str">
        <f>IF(Table1[[#This Row],[ai_disruption_intensity]]&gt;70,"High",
IF(Table1[[#This Row],[ai_disruption_intensity]]&gt;40,"Medium","Low"))</f>
        <v>Low</v>
      </c>
      <c r="W2232" t="str">
        <f>IF(Table1[[#This Row],[skill_gap_index]]&gt;70,"Large Gap",
IF(Table1[[#This Row],[skill_gap_index]]&gt;40,"Medium Gap","Small Gap"))</f>
        <v>Medium Gap</v>
      </c>
      <c r="X2232" s="3" t="str">
        <f>IF(Table1[[#This Row],[automation_risk_percent]]&gt;0.7,"Highly Automatable",
IF(Table1[[#This Row],[automation_risk_percent]]&gt;0.4,"Moderate Risk","Safe Job"))</f>
        <v>Safe Job</v>
      </c>
    </row>
    <row r="2233" spans="1:24" x14ac:dyDescent="0.3">
      <c r="A2233">
        <v>7904</v>
      </c>
      <c r="B2233" t="s">
        <v>41</v>
      </c>
      <c r="C2233" t="s">
        <v>23</v>
      </c>
      <c r="D2233" t="s">
        <v>32</v>
      </c>
      <c r="E2233" s="1">
        <v>2026</v>
      </c>
      <c r="F2233" s="11">
        <v>0.73180000000000012</v>
      </c>
      <c r="G2233">
        <v>82.91</v>
      </c>
      <c r="H2233">
        <v>14.9</v>
      </c>
      <c r="I2233" s="2">
        <v>36055.68</v>
      </c>
      <c r="J2233" s="2">
        <v>37364.31</v>
      </c>
      <c r="K2233" s="2">
        <f>Table1[[#This Row],[Salary_after]]-Table1[[#This Row],[Salary_before]]</f>
        <v>1308.6299999999974</v>
      </c>
      <c r="L2233" s="11">
        <v>3.6299999999999999E-2</v>
      </c>
      <c r="M2233" s="11">
        <v>4.0599999999999997E-2</v>
      </c>
      <c r="N2233">
        <v>41.79</v>
      </c>
      <c r="O2233">
        <v>45.29</v>
      </c>
      <c r="P2233">
        <v>1</v>
      </c>
      <c r="Q2233" t="s">
        <v>37</v>
      </c>
      <c r="R2233">
        <v>44.04</v>
      </c>
      <c r="S2233">
        <v>3.63</v>
      </c>
      <c r="T2233" s="4">
        <v>34.831000000000003</v>
      </c>
      <c r="U2233" s="4">
        <v>33.143222000000002</v>
      </c>
      <c r="V2233" t="str">
        <f>IF(Table1[[#This Row],[ai_disruption_intensity]]&gt;70,"High",
IF(Table1[[#This Row],[ai_disruption_intensity]]&gt;40,"Medium","Low"))</f>
        <v>Low</v>
      </c>
      <c r="W2233" t="str">
        <f>IF(Table1[[#This Row],[skill_gap_index]]&gt;70,"Large Gap",
IF(Table1[[#This Row],[skill_gap_index]]&gt;40,"Medium Gap","Small Gap"))</f>
        <v>Small Gap</v>
      </c>
      <c r="X2233" s="3" t="str">
        <f>IF(Table1[[#This Row],[automation_risk_percent]]&gt;0.7,"Highly Automatable",
IF(Table1[[#This Row],[automation_risk_percent]]&gt;0.4,"Moderate Risk","Safe Job"))</f>
        <v>Highly Automatable</v>
      </c>
    </row>
    <row r="2234" spans="1:24" x14ac:dyDescent="0.3">
      <c r="A2234">
        <v>7905</v>
      </c>
      <c r="B2234" t="s">
        <v>26</v>
      </c>
      <c r="C2234" t="s">
        <v>27</v>
      </c>
      <c r="D2234" t="s">
        <v>42</v>
      </c>
      <c r="E2234" s="1">
        <v>2025</v>
      </c>
      <c r="F2234" s="11">
        <v>0.57009999999999994</v>
      </c>
      <c r="G2234">
        <v>66.55</v>
      </c>
      <c r="H2234">
        <v>97.14</v>
      </c>
      <c r="I2234" s="2">
        <v>129174.15</v>
      </c>
      <c r="J2234" s="2">
        <v>108927.94</v>
      </c>
      <c r="K2234" s="2">
        <f>Table1[[#This Row],[Salary_after]]-Table1[[#This Row],[Salary_before]]</f>
        <v>-20246.209999999992</v>
      </c>
      <c r="L2234" s="11">
        <v>-0.15670000000000001</v>
      </c>
      <c r="M2234" s="11">
        <v>5.1500000000000004E-2</v>
      </c>
      <c r="N2234">
        <v>63.85</v>
      </c>
      <c r="O2234">
        <v>19.68</v>
      </c>
      <c r="P2234">
        <v>3</v>
      </c>
      <c r="Q2234" t="s">
        <v>25</v>
      </c>
      <c r="R2234">
        <v>77.075000000000003</v>
      </c>
      <c r="S2234">
        <v>15.67</v>
      </c>
      <c r="T2234" s="4">
        <v>56.646999999999998</v>
      </c>
      <c r="U2234" s="4">
        <v>11.219567999999899</v>
      </c>
      <c r="V2234" t="str">
        <f>IF(Table1[[#This Row],[ai_disruption_intensity]]&gt;70,"High",
IF(Table1[[#This Row],[ai_disruption_intensity]]&gt;40,"Medium","Low"))</f>
        <v>Low</v>
      </c>
      <c r="W2234" t="str">
        <f>IF(Table1[[#This Row],[skill_gap_index]]&gt;70,"Large Gap",
IF(Table1[[#This Row],[skill_gap_index]]&gt;40,"Medium Gap","Small Gap"))</f>
        <v>Large Gap</v>
      </c>
      <c r="X2234" s="3" t="str">
        <f>IF(Table1[[#This Row],[automation_risk_percent]]&gt;0.7,"Highly Automatable",
IF(Table1[[#This Row],[automation_risk_percent]]&gt;0.4,"Moderate Risk","Safe Job"))</f>
        <v>Moderate Risk</v>
      </c>
    </row>
    <row r="2235" spans="1:24" x14ac:dyDescent="0.3">
      <c r="A2235">
        <v>7906</v>
      </c>
      <c r="B2235" t="s">
        <v>18</v>
      </c>
      <c r="C2235" t="s">
        <v>38</v>
      </c>
      <c r="D2235" t="s">
        <v>24</v>
      </c>
      <c r="E2235" s="1">
        <v>2026</v>
      </c>
      <c r="F2235" s="11">
        <v>0.13900000000000001</v>
      </c>
      <c r="G2235">
        <v>16.23</v>
      </c>
      <c r="H2235">
        <v>48.48</v>
      </c>
      <c r="I2235" s="2">
        <v>90988.83</v>
      </c>
      <c r="J2235" s="2">
        <v>82140.210000000006</v>
      </c>
      <c r="K2235" s="2">
        <f>Table1[[#This Row],[Salary_after]]-Table1[[#This Row],[Salary_before]]</f>
        <v>-8848.6199999999953</v>
      </c>
      <c r="L2235" s="11">
        <v>-9.7200000000000009E-2</v>
      </c>
      <c r="M2235" s="11">
        <v>0.26860000000000001</v>
      </c>
      <c r="N2235">
        <v>50</v>
      </c>
      <c r="O2235">
        <v>91.51</v>
      </c>
      <c r="P2235">
        <v>4</v>
      </c>
      <c r="Q2235" t="s">
        <v>21</v>
      </c>
      <c r="R2235">
        <v>31.189999999999898</v>
      </c>
      <c r="S2235">
        <v>9.7200000000000006</v>
      </c>
      <c r="T2235" s="4">
        <v>23.02</v>
      </c>
      <c r="U2235" s="4">
        <v>12.719889999999999</v>
      </c>
      <c r="V2235" t="str">
        <f>IF(Table1[[#This Row],[ai_disruption_intensity]]&gt;70,"High",
IF(Table1[[#This Row],[ai_disruption_intensity]]&gt;40,"Medium","Low"))</f>
        <v>Low</v>
      </c>
      <c r="W2235" t="str">
        <f>IF(Table1[[#This Row],[skill_gap_index]]&gt;70,"Large Gap",
IF(Table1[[#This Row],[skill_gap_index]]&gt;40,"Medium Gap","Small Gap"))</f>
        <v>Medium Gap</v>
      </c>
      <c r="X2235" s="3" t="str">
        <f>IF(Table1[[#This Row],[automation_risk_percent]]&gt;0.7,"Highly Automatable",
IF(Table1[[#This Row],[automation_risk_percent]]&gt;0.4,"Moderate Risk","Safe Job"))</f>
        <v>Safe Job</v>
      </c>
    </row>
    <row r="2236" spans="1:24" x14ac:dyDescent="0.3">
      <c r="A2236">
        <v>7910</v>
      </c>
      <c r="B2236" t="s">
        <v>43</v>
      </c>
      <c r="C2236" t="s">
        <v>23</v>
      </c>
      <c r="D2236" t="s">
        <v>35</v>
      </c>
      <c r="E2236" s="1">
        <v>2025</v>
      </c>
      <c r="F2236" s="11">
        <v>0.20649999999999999</v>
      </c>
      <c r="G2236">
        <v>20.77</v>
      </c>
      <c r="H2236">
        <v>48.35</v>
      </c>
      <c r="I2236" s="2">
        <v>130399.51</v>
      </c>
      <c r="J2236" s="2">
        <v>124286.21</v>
      </c>
      <c r="K2236" s="2">
        <f>Table1[[#This Row],[Salary_after]]-Table1[[#This Row],[Salary_before]]</f>
        <v>-6113.2999999999884</v>
      </c>
      <c r="L2236" s="11">
        <v>-4.6900000000000004E-2</v>
      </c>
      <c r="M2236" s="11">
        <v>-0.13350000000000001</v>
      </c>
      <c r="N2236">
        <v>44.98</v>
      </c>
      <c r="O2236">
        <v>63.22</v>
      </c>
      <c r="P2236">
        <v>1</v>
      </c>
      <c r="Q2236" t="s">
        <v>21</v>
      </c>
      <c r="R2236">
        <v>34.5</v>
      </c>
      <c r="S2236">
        <v>4.6900000000000004</v>
      </c>
      <c r="T2236" s="4">
        <v>24.172000000000001</v>
      </c>
      <c r="U2236" s="4">
        <v>13.054929999999899</v>
      </c>
      <c r="V2236" t="str">
        <f>IF(Table1[[#This Row],[ai_disruption_intensity]]&gt;70,"High",
IF(Table1[[#This Row],[ai_disruption_intensity]]&gt;40,"Medium","Low"))</f>
        <v>Low</v>
      </c>
      <c r="W2236" t="str">
        <f>IF(Table1[[#This Row],[skill_gap_index]]&gt;70,"Large Gap",
IF(Table1[[#This Row],[skill_gap_index]]&gt;40,"Medium Gap","Small Gap"))</f>
        <v>Medium Gap</v>
      </c>
      <c r="X2236" s="3" t="str">
        <f>IF(Table1[[#This Row],[automation_risk_percent]]&gt;0.7,"Highly Automatable",
IF(Table1[[#This Row],[automation_risk_percent]]&gt;0.4,"Moderate Risk","Safe Job"))</f>
        <v>Safe Job</v>
      </c>
    </row>
    <row r="2237" spans="1:24" x14ac:dyDescent="0.3">
      <c r="A2237">
        <v>7920</v>
      </c>
      <c r="B2237" t="s">
        <v>46</v>
      </c>
      <c r="C2237" t="s">
        <v>19</v>
      </c>
      <c r="D2237" t="s">
        <v>24</v>
      </c>
      <c r="E2237" s="1">
        <v>2025</v>
      </c>
      <c r="F2237" s="11">
        <v>5.2199999999999996E-2</v>
      </c>
      <c r="G2237">
        <v>4.22</v>
      </c>
      <c r="H2237">
        <v>41.3</v>
      </c>
      <c r="I2237" s="2">
        <v>69646.460000000006</v>
      </c>
      <c r="J2237" s="2">
        <v>58556.39</v>
      </c>
      <c r="K2237" s="2">
        <f>Table1[[#This Row],[Salary_after]]-Table1[[#This Row],[Salary_before]]</f>
        <v>-11090.070000000007</v>
      </c>
      <c r="L2237" s="11">
        <v>-0.15920000000000001</v>
      </c>
      <c r="M2237" s="11">
        <v>0.26390000000000002</v>
      </c>
      <c r="N2237">
        <v>45.47</v>
      </c>
      <c r="O2237">
        <v>84.33</v>
      </c>
      <c r="P2237">
        <v>3</v>
      </c>
      <c r="Q2237" t="s">
        <v>21</v>
      </c>
      <c r="R2237">
        <v>23.259999999999899</v>
      </c>
      <c r="S2237">
        <v>15.92</v>
      </c>
      <c r="T2237" s="4">
        <v>19.253999999999898</v>
      </c>
      <c r="U2237" s="4">
        <v>4.4020259999999896</v>
      </c>
      <c r="V2237" t="str">
        <f>IF(Table1[[#This Row],[ai_disruption_intensity]]&gt;70,"High",
IF(Table1[[#This Row],[ai_disruption_intensity]]&gt;40,"Medium","Low"))</f>
        <v>Low</v>
      </c>
      <c r="W2237" t="str">
        <f>IF(Table1[[#This Row],[skill_gap_index]]&gt;70,"Large Gap",
IF(Table1[[#This Row],[skill_gap_index]]&gt;40,"Medium Gap","Small Gap"))</f>
        <v>Medium Gap</v>
      </c>
      <c r="X2237" s="3" t="str">
        <f>IF(Table1[[#This Row],[automation_risk_percent]]&gt;0.7,"Highly Automatable",
IF(Table1[[#This Row],[automation_risk_percent]]&gt;0.4,"Moderate Risk","Safe Job"))</f>
        <v>Safe Job</v>
      </c>
    </row>
    <row r="2238" spans="1:24" x14ac:dyDescent="0.3">
      <c r="A2238">
        <v>7921</v>
      </c>
      <c r="B2238" t="s">
        <v>41</v>
      </c>
      <c r="C2238" t="s">
        <v>19</v>
      </c>
      <c r="D2238" t="s">
        <v>24</v>
      </c>
      <c r="E2238" s="1">
        <v>2025</v>
      </c>
      <c r="F2238" s="11">
        <v>0.68510000000000004</v>
      </c>
      <c r="G2238">
        <v>72.510000000000005</v>
      </c>
      <c r="H2238">
        <v>38.18</v>
      </c>
      <c r="I2238" s="2">
        <v>123221.32</v>
      </c>
      <c r="J2238" s="2">
        <v>119415.19</v>
      </c>
      <c r="K2238" s="2">
        <f>Table1[[#This Row],[Salary_after]]-Table1[[#This Row],[Salary_before]]</f>
        <v>-3806.1300000000047</v>
      </c>
      <c r="L2238" s="11">
        <v>-3.0899999999999997E-2</v>
      </c>
      <c r="M2238" s="11">
        <v>-5.9699999999999996E-2</v>
      </c>
      <c r="N2238">
        <v>14.25</v>
      </c>
      <c r="O2238">
        <v>11.54</v>
      </c>
      <c r="P2238">
        <v>2</v>
      </c>
      <c r="Q2238" t="s">
        <v>37</v>
      </c>
      <c r="R2238">
        <v>53.344999999999999</v>
      </c>
      <c r="S2238">
        <v>3.09</v>
      </c>
      <c r="T2238" s="4">
        <v>39.784999999999997</v>
      </c>
      <c r="U2238" s="4">
        <v>7.9060540000000001</v>
      </c>
      <c r="V2238" t="str">
        <f>IF(Table1[[#This Row],[ai_disruption_intensity]]&gt;70,"High",
IF(Table1[[#This Row],[ai_disruption_intensity]]&gt;40,"Medium","Low"))</f>
        <v>Low</v>
      </c>
      <c r="W2238" t="str">
        <f>IF(Table1[[#This Row],[skill_gap_index]]&gt;70,"Large Gap",
IF(Table1[[#This Row],[skill_gap_index]]&gt;40,"Medium Gap","Small Gap"))</f>
        <v>Small Gap</v>
      </c>
      <c r="X2238" s="3" t="str">
        <f>IF(Table1[[#This Row],[automation_risk_percent]]&gt;0.7,"Highly Automatable",
IF(Table1[[#This Row],[automation_risk_percent]]&gt;0.4,"Moderate Risk","Safe Job"))</f>
        <v>Moderate Risk</v>
      </c>
    </row>
    <row r="2239" spans="1:24" x14ac:dyDescent="0.3">
      <c r="A2239">
        <v>7923</v>
      </c>
      <c r="B2239" t="s">
        <v>43</v>
      </c>
      <c r="C2239" t="s">
        <v>23</v>
      </c>
      <c r="D2239" t="s">
        <v>31</v>
      </c>
      <c r="E2239" s="1">
        <v>2026</v>
      </c>
      <c r="F2239" s="11">
        <v>0.53490000000000004</v>
      </c>
      <c r="G2239">
        <v>61.43</v>
      </c>
      <c r="H2239">
        <v>75.41</v>
      </c>
      <c r="I2239" s="2">
        <v>83954.37</v>
      </c>
      <c r="J2239" s="2">
        <v>86518.19</v>
      </c>
      <c r="K2239" s="2">
        <f>Table1[[#This Row],[Salary_after]]-Table1[[#This Row],[Salary_before]]</f>
        <v>2563.820000000007</v>
      </c>
      <c r="L2239" s="11">
        <v>3.0499999999999999E-2</v>
      </c>
      <c r="M2239" s="11">
        <v>0.2278</v>
      </c>
      <c r="N2239">
        <v>83.21</v>
      </c>
      <c r="O2239">
        <v>77.209999999999994</v>
      </c>
      <c r="P2239">
        <v>1</v>
      </c>
      <c r="Q2239" t="s">
        <v>25</v>
      </c>
      <c r="R2239">
        <v>64.45</v>
      </c>
      <c r="S2239">
        <v>3.05</v>
      </c>
      <c r="T2239" s="4">
        <v>44.933999999999997</v>
      </c>
      <c r="U2239" s="4">
        <v>41.299628999999896</v>
      </c>
      <c r="V2239" t="str">
        <f>IF(Table1[[#This Row],[ai_disruption_intensity]]&gt;70,"High",
IF(Table1[[#This Row],[ai_disruption_intensity]]&gt;40,"Medium","Low"))</f>
        <v>Medium</v>
      </c>
      <c r="W2239" t="str">
        <f>IF(Table1[[#This Row],[skill_gap_index]]&gt;70,"Large Gap",
IF(Table1[[#This Row],[skill_gap_index]]&gt;40,"Medium Gap","Small Gap"))</f>
        <v>Large Gap</v>
      </c>
      <c r="X2239" s="3" t="str">
        <f>IF(Table1[[#This Row],[automation_risk_percent]]&gt;0.7,"Highly Automatable",
IF(Table1[[#This Row],[automation_risk_percent]]&gt;0.4,"Moderate Risk","Safe Job"))</f>
        <v>Moderate Risk</v>
      </c>
    </row>
    <row r="2240" spans="1:24" x14ac:dyDescent="0.3">
      <c r="A2240">
        <v>7929</v>
      </c>
      <c r="B2240" t="s">
        <v>43</v>
      </c>
      <c r="C2240" t="s">
        <v>40</v>
      </c>
      <c r="D2240" t="s">
        <v>32</v>
      </c>
      <c r="E2240" s="1">
        <v>2025</v>
      </c>
      <c r="F2240" s="11">
        <v>0.69650000000000001</v>
      </c>
      <c r="G2240">
        <v>57.78</v>
      </c>
      <c r="H2240">
        <v>60.3</v>
      </c>
      <c r="I2240" s="2">
        <v>100763.22</v>
      </c>
      <c r="J2240" s="2">
        <v>102582.5</v>
      </c>
      <c r="K2240" s="2">
        <f>Table1[[#This Row],[Salary_after]]-Table1[[#This Row],[Salary_before]]</f>
        <v>1819.2799999999988</v>
      </c>
      <c r="L2240" s="11">
        <v>1.8100000000000002E-2</v>
      </c>
      <c r="M2240" s="11">
        <v>-8.0799999999999997E-2</v>
      </c>
      <c r="N2240">
        <v>94.6</v>
      </c>
      <c r="O2240">
        <v>6.59</v>
      </c>
      <c r="P2240">
        <v>1</v>
      </c>
      <c r="Q2240" t="s">
        <v>37</v>
      </c>
      <c r="R2240">
        <v>64.974999999999994</v>
      </c>
      <c r="S2240">
        <v>1.81</v>
      </c>
      <c r="T2240" s="4">
        <v>46.493000000000002</v>
      </c>
      <c r="U2240" s="4">
        <v>4.5899349999999997</v>
      </c>
      <c r="V2240" t="str">
        <f>IF(Table1[[#This Row],[ai_disruption_intensity]]&gt;70,"High",
IF(Table1[[#This Row],[ai_disruption_intensity]]&gt;40,"Medium","Low"))</f>
        <v>Low</v>
      </c>
      <c r="W2240" t="str">
        <f>IF(Table1[[#This Row],[skill_gap_index]]&gt;70,"Large Gap",
IF(Table1[[#This Row],[skill_gap_index]]&gt;40,"Medium Gap","Small Gap"))</f>
        <v>Medium Gap</v>
      </c>
      <c r="X2240" s="3" t="str">
        <f>IF(Table1[[#This Row],[automation_risk_percent]]&gt;0.7,"Highly Automatable",
IF(Table1[[#This Row],[automation_risk_percent]]&gt;0.4,"Moderate Risk","Safe Job"))</f>
        <v>Moderate Risk</v>
      </c>
    </row>
    <row r="2241" spans="1:24" x14ac:dyDescent="0.3">
      <c r="A2241">
        <v>7930</v>
      </c>
      <c r="B2241" t="s">
        <v>41</v>
      </c>
      <c r="C2241" t="s">
        <v>38</v>
      </c>
      <c r="D2241" t="s">
        <v>31</v>
      </c>
      <c r="E2241" s="1">
        <v>2025</v>
      </c>
      <c r="F2241" s="11">
        <v>0.6552</v>
      </c>
      <c r="G2241">
        <v>61.03</v>
      </c>
      <c r="H2241">
        <v>66.94</v>
      </c>
      <c r="I2241" s="2">
        <v>144349.06</v>
      </c>
      <c r="J2241" s="2">
        <v>148429.01999999999</v>
      </c>
      <c r="K2241" s="2">
        <f>Table1[[#This Row],[Salary_after]]-Table1[[#This Row],[Salary_before]]</f>
        <v>4079.9599999999919</v>
      </c>
      <c r="L2241" s="11">
        <v>2.8300000000000002E-2</v>
      </c>
      <c r="M2241" s="11">
        <v>0.1479</v>
      </c>
      <c r="N2241">
        <v>78.239999999999995</v>
      </c>
      <c r="O2241">
        <v>86.49</v>
      </c>
      <c r="P2241">
        <v>5</v>
      </c>
      <c r="Q2241" t="s">
        <v>37</v>
      </c>
      <c r="R2241">
        <v>66.229999999999905</v>
      </c>
      <c r="S2241">
        <v>2.83</v>
      </c>
      <c r="T2241" s="4">
        <v>47.138999999999903</v>
      </c>
      <c r="U2241" s="4">
        <v>56.668247999999899</v>
      </c>
      <c r="V2241" t="str">
        <f>IF(Table1[[#This Row],[ai_disruption_intensity]]&gt;70,"High",
IF(Table1[[#This Row],[ai_disruption_intensity]]&gt;40,"Medium","Low"))</f>
        <v>Medium</v>
      </c>
      <c r="W2241" t="str">
        <f>IF(Table1[[#This Row],[skill_gap_index]]&gt;70,"Large Gap",
IF(Table1[[#This Row],[skill_gap_index]]&gt;40,"Medium Gap","Small Gap"))</f>
        <v>Medium Gap</v>
      </c>
      <c r="X2241" s="3" t="str">
        <f>IF(Table1[[#This Row],[automation_risk_percent]]&gt;0.7,"Highly Automatable",
IF(Table1[[#This Row],[automation_risk_percent]]&gt;0.4,"Moderate Risk","Safe Job"))</f>
        <v>Moderate Risk</v>
      </c>
    </row>
    <row r="2242" spans="1:24" x14ac:dyDescent="0.3">
      <c r="A2242">
        <v>7931</v>
      </c>
      <c r="B2242" t="s">
        <v>18</v>
      </c>
      <c r="C2242" t="s">
        <v>40</v>
      </c>
      <c r="D2242" t="s">
        <v>28</v>
      </c>
      <c r="E2242" s="1">
        <v>2026</v>
      </c>
      <c r="F2242" s="11">
        <v>0.66239999999999999</v>
      </c>
      <c r="G2242">
        <v>61.65</v>
      </c>
      <c r="H2242">
        <v>81.260000000000005</v>
      </c>
      <c r="I2242" s="2">
        <v>67622.259999999995</v>
      </c>
      <c r="J2242" s="2">
        <v>64967.040000000001</v>
      </c>
      <c r="K2242" s="2">
        <f>Table1[[#This Row],[Salary_after]]-Table1[[#This Row],[Salary_before]]</f>
        <v>-2655.2199999999939</v>
      </c>
      <c r="L2242" s="11">
        <v>-3.9300000000000002E-2</v>
      </c>
      <c r="M2242" s="11">
        <v>0.10890000000000001</v>
      </c>
      <c r="N2242">
        <v>61.5</v>
      </c>
      <c r="O2242">
        <v>69.290000000000006</v>
      </c>
      <c r="P2242">
        <v>4</v>
      </c>
      <c r="Q2242" t="s">
        <v>37</v>
      </c>
      <c r="R2242">
        <v>73.75</v>
      </c>
      <c r="S2242">
        <v>3.93</v>
      </c>
      <c r="T2242" s="4">
        <v>52.052999999999997</v>
      </c>
      <c r="U2242" s="4">
        <v>45.897695999999897</v>
      </c>
      <c r="V2242" t="str">
        <f>IF(Table1[[#This Row],[ai_disruption_intensity]]&gt;70,"High",
IF(Table1[[#This Row],[ai_disruption_intensity]]&gt;40,"Medium","Low"))</f>
        <v>Medium</v>
      </c>
      <c r="W2242" t="str">
        <f>IF(Table1[[#This Row],[skill_gap_index]]&gt;70,"Large Gap",
IF(Table1[[#This Row],[skill_gap_index]]&gt;40,"Medium Gap","Small Gap"))</f>
        <v>Large Gap</v>
      </c>
      <c r="X2242" s="3" t="str">
        <f>IF(Table1[[#This Row],[automation_risk_percent]]&gt;0.7,"Highly Automatable",
IF(Table1[[#This Row],[automation_risk_percent]]&gt;0.4,"Moderate Risk","Safe Job"))</f>
        <v>Moderate Risk</v>
      </c>
    </row>
    <row r="2243" spans="1:24" x14ac:dyDescent="0.3">
      <c r="A2243">
        <v>7932</v>
      </c>
      <c r="B2243" t="s">
        <v>41</v>
      </c>
      <c r="C2243" t="s">
        <v>38</v>
      </c>
      <c r="D2243" t="s">
        <v>42</v>
      </c>
      <c r="E2243" s="1">
        <v>2025</v>
      </c>
      <c r="F2243" s="11">
        <v>0.54810000000000003</v>
      </c>
      <c r="G2243">
        <v>61.01</v>
      </c>
      <c r="H2243">
        <v>92.54</v>
      </c>
      <c r="I2243" s="2">
        <v>52350.37</v>
      </c>
      <c r="J2243" s="2">
        <v>52853.78</v>
      </c>
      <c r="K2243" s="2">
        <f>Table1[[#This Row],[Salary_after]]-Table1[[#This Row],[Salary_before]]</f>
        <v>503.40999999999622</v>
      </c>
      <c r="L2243" s="11">
        <v>9.5999999999999992E-3</v>
      </c>
      <c r="M2243" s="11">
        <v>1.4499999999999999E-2</v>
      </c>
      <c r="N2243">
        <v>64.2</v>
      </c>
      <c r="O2243">
        <v>34.130000000000003</v>
      </c>
      <c r="P2243">
        <v>4</v>
      </c>
      <c r="Q2243" t="s">
        <v>25</v>
      </c>
      <c r="R2243">
        <v>73.674999999999997</v>
      </c>
      <c r="S2243">
        <v>0.96</v>
      </c>
      <c r="T2243" s="4">
        <v>49.973999999999997</v>
      </c>
      <c r="U2243" s="4">
        <v>18.706652999999999</v>
      </c>
      <c r="V2243" t="str">
        <f>IF(Table1[[#This Row],[ai_disruption_intensity]]&gt;70,"High",
IF(Table1[[#This Row],[ai_disruption_intensity]]&gt;40,"Medium","Low"))</f>
        <v>Low</v>
      </c>
      <c r="W2243" t="str">
        <f>IF(Table1[[#This Row],[skill_gap_index]]&gt;70,"Large Gap",
IF(Table1[[#This Row],[skill_gap_index]]&gt;40,"Medium Gap","Small Gap"))</f>
        <v>Large Gap</v>
      </c>
      <c r="X2243" s="3" t="str">
        <f>IF(Table1[[#This Row],[automation_risk_percent]]&gt;0.7,"Highly Automatable",
IF(Table1[[#This Row],[automation_risk_percent]]&gt;0.4,"Moderate Risk","Safe Job"))</f>
        <v>Moderate Risk</v>
      </c>
    </row>
    <row r="2244" spans="1:24" x14ac:dyDescent="0.3">
      <c r="A2244">
        <v>7934</v>
      </c>
      <c r="B2244" t="s">
        <v>41</v>
      </c>
      <c r="C2244" t="s">
        <v>30</v>
      </c>
      <c r="D2244" t="s">
        <v>32</v>
      </c>
      <c r="E2244" s="1">
        <v>2026</v>
      </c>
      <c r="F2244" s="11">
        <v>0.68420000000000003</v>
      </c>
      <c r="G2244">
        <v>65.14</v>
      </c>
      <c r="H2244">
        <v>1.18</v>
      </c>
      <c r="I2244" s="2">
        <v>40996.620000000003</v>
      </c>
      <c r="J2244" s="2">
        <v>43748.54</v>
      </c>
      <c r="K2244" s="2">
        <f>Table1[[#This Row],[Salary_after]]-Table1[[#This Row],[Salary_before]]</f>
        <v>2751.9199999999983</v>
      </c>
      <c r="L2244" s="11">
        <v>6.7099999999999993E-2</v>
      </c>
      <c r="M2244" s="11">
        <v>-7.6E-3</v>
      </c>
      <c r="N2244">
        <v>49.79</v>
      </c>
      <c r="O2244">
        <v>58.86</v>
      </c>
      <c r="P2244">
        <v>2</v>
      </c>
      <c r="Q2244" t="s">
        <v>37</v>
      </c>
      <c r="R2244">
        <v>34.799999999999997</v>
      </c>
      <c r="S2244">
        <v>6.71</v>
      </c>
      <c r="T2244" s="4">
        <v>29.734999999999999</v>
      </c>
      <c r="U2244" s="4">
        <v>40.272011999999997</v>
      </c>
      <c r="V2244" t="str">
        <f>IF(Table1[[#This Row],[ai_disruption_intensity]]&gt;70,"High",
IF(Table1[[#This Row],[ai_disruption_intensity]]&gt;40,"Medium","Low"))</f>
        <v>Medium</v>
      </c>
      <c r="W2244" t="str">
        <f>IF(Table1[[#This Row],[skill_gap_index]]&gt;70,"Large Gap",
IF(Table1[[#This Row],[skill_gap_index]]&gt;40,"Medium Gap","Small Gap"))</f>
        <v>Small Gap</v>
      </c>
      <c r="X2244" s="3" t="str">
        <f>IF(Table1[[#This Row],[automation_risk_percent]]&gt;0.7,"Highly Automatable",
IF(Table1[[#This Row],[automation_risk_percent]]&gt;0.4,"Moderate Risk","Safe Job"))</f>
        <v>Moderate Risk</v>
      </c>
    </row>
    <row r="2245" spans="1:24" x14ac:dyDescent="0.3">
      <c r="A2245">
        <v>7939</v>
      </c>
      <c r="B2245" t="s">
        <v>45</v>
      </c>
      <c r="C2245" t="s">
        <v>38</v>
      </c>
      <c r="D2245" t="s">
        <v>28</v>
      </c>
      <c r="E2245" s="1">
        <v>2026</v>
      </c>
      <c r="F2245" s="11">
        <v>0.59209999999999996</v>
      </c>
      <c r="G2245">
        <v>56.46</v>
      </c>
      <c r="H2245">
        <v>56.36</v>
      </c>
      <c r="I2245" s="2">
        <v>142928.25</v>
      </c>
      <c r="J2245" s="2">
        <v>125735.7</v>
      </c>
      <c r="K2245" s="2">
        <f>Table1[[#This Row],[Salary_after]]-Table1[[#This Row],[Salary_before]]</f>
        <v>-17192.550000000003</v>
      </c>
      <c r="L2245" s="11">
        <v>-0.12029999999999999</v>
      </c>
      <c r="M2245" s="11">
        <v>4.4500000000000005E-2</v>
      </c>
      <c r="N2245">
        <v>48.4</v>
      </c>
      <c r="O2245">
        <v>47.85</v>
      </c>
      <c r="P2245">
        <v>1</v>
      </c>
      <c r="Q2245" t="s">
        <v>25</v>
      </c>
      <c r="R2245">
        <v>57.784999999999997</v>
      </c>
      <c r="S2245">
        <v>12.03</v>
      </c>
      <c r="T2245" s="4">
        <v>44.201000000000001</v>
      </c>
      <c r="U2245" s="4">
        <v>28.331985</v>
      </c>
      <c r="V2245" t="str">
        <f>IF(Table1[[#This Row],[ai_disruption_intensity]]&gt;70,"High",
IF(Table1[[#This Row],[ai_disruption_intensity]]&gt;40,"Medium","Low"))</f>
        <v>Low</v>
      </c>
      <c r="W2245" t="str">
        <f>IF(Table1[[#This Row],[skill_gap_index]]&gt;70,"Large Gap",
IF(Table1[[#This Row],[skill_gap_index]]&gt;40,"Medium Gap","Small Gap"))</f>
        <v>Medium Gap</v>
      </c>
      <c r="X2245" s="3" t="str">
        <f>IF(Table1[[#This Row],[automation_risk_percent]]&gt;0.7,"Highly Automatable",
IF(Table1[[#This Row],[automation_risk_percent]]&gt;0.4,"Moderate Risk","Safe Job"))</f>
        <v>Moderate Risk</v>
      </c>
    </row>
    <row r="2246" spans="1:24" x14ac:dyDescent="0.3">
      <c r="A2246">
        <v>7942</v>
      </c>
      <c r="B2246" t="s">
        <v>22</v>
      </c>
      <c r="C2246" t="s">
        <v>33</v>
      </c>
      <c r="D2246" t="s">
        <v>24</v>
      </c>
      <c r="E2246" s="1">
        <v>2025</v>
      </c>
      <c r="F2246" s="11">
        <v>0.15090000000000001</v>
      </c>
      <c r="G2246">
        <v>16.149999999999999</v>
      </c>
      <c r="H2246">
        <v>65.42</v>
      </c>
      <c r="I2246" s="2">
        <v>135158.84</v>
      </c>
      <c r="J2246" s="2">
        <v>161594.63</v>
      </c>
      <c r="K2246" s="2">
        <f>Table1[[#This Row],[Salary_after]]-Table1[[#This Row],[Salary_before]]</f>
        <v>26435.790000000008</v>
      </c>
      <c r="L2246" s="11">
        <v>0.1956</v>
      </c>
      <c r="M2246" s="11">
        <v>0.05</v>
      </c>
      <c r="N2246">
        <v>26.38</v>
      </c>
      <c r="O2246">
        <v>0.28999999999999998</v>
      </c>
      <c r="P2246">
        <v>1</v>
      </c>
      <c r="Q2246" t="s">
        <v>21</v>
      </c>
      <c r="R2246">
        <v>40.255000000000003</v>
      </c>
      <c r="S2246">
        <v>19.559999999999999</v>
      </c>
      <c r="T2246" s="4">
        <v>31.53</v>
      </c>
      <c r="U2246" s="4">
        <v>4.3761000000000001E-2</v>
      </c>
      <c r="V2246" t="str">
        <f>IF(Table1[[#This Row],[ai_disruption_intensity]]&gt;70,"High",
IF(Table1[[#This Row],[ai_disruption_intensity]]&gt;40,"Medium","Low"))</f>
        <v>Low</v>
      </c>
      <c r="W2246" t="str">
        <f>IF(Table1[[#This Row],[skill_gap_index]]&gt;70,"Large Gap",
IF(Table1[[#This Row],[skill_gap_index]]&gt;40,"Medium Gap","Small Gap"))</f>
        <v>Medium Gap</v>
      </c>
      <c r="X2246" s="3" t="str">
        <f>IF(Table1[[#This Row],[automation_risk_percent]]&gt;0.7,"Highly Automatable",
IF(Table1[[#This Row],[automation_risk_percent]]&gt;0.4,"Moderate Risk","Safe Job"))</f>
        <v>Safe Job</v>
      </c>
    </row>
    <row r="2247" spans="1:24" x14ac:dyDescent="0.3">
      <c r="A2247">
        <v>7944</v>
      </c>
      <c r="B2247" t="s">
        <v>18</v>
      </c>
      <c r="C2247" t="s">
        <v>34</v>
      </c>
      <c r="D2247" t="s">
        <v>31</v>
      </c>
      <c r="E2247" s="1">
        <v>2026</v>
      </c>
      <c r="F2247" s="11">
        <v>0.50360000000000005</v>
      </c>
      <c r="G2247">
        <v>40.880000000000003</v>
      </c>
      <c r="H2247">
        <v>84.84</v>
      </c>
      <c r="I2247" s="2">
        <v>105576.67</v>
      </c>
      <c r="J2247" s="2">
        <v>99373.23</v>
      </c>
      <c r="K2247" s="2">
        <f>Table1[[#This Row],[Salary_after]]-Table1[[#This Row],[Salary_before]]</f>
        <v>-6203.4400000000023</v>
      </c>
      <c r="L2247" s="11">
        <v>-5.8799999999999998E-2</v>
      </c>
      <c r="M2247" s="11">
        <v>-2.4300000000000002E-2</v>
      </c>
      <c r="N2247">
        <v>59.82</v>
      </c>
      <c r="O2247">
        <v>56.08</v>
      </c>
      <c r="P2247">
        <v>5</v>
      </c>
      <c r="Q2247" t="s">
        <v>25</v>
      </c>
      <c r="R2247">
        <v>67.599999999999994</v>
      </c>
      <c r="S2247">
        <v>5.88</v>
      </c>
      <c r="T2247" s="4">
        <v>47.36</v>
      </c>
      <c r="U2247" s="4">
        <v>28.241887999999999</v>
      </c>
      <c r="V2247" t="str">
        <f>IF(Table1[[#This Row],[ai_disruption_intensity]]&gt;70,"High",
IF(Table1[[#This Row],[ai_disruption_intensity]]&gt;40,"Medium","Low"))</f>
        <v>Low</v>
      </c>
      <c r="W2247" t="str">
        <f>IF(Table1[[#This Row],[skill_gap_index]]&gt;70,"Large Gap",
IF(Table1[[#This Row],[skill_gap_index]]&gt;40,"Medium Gap","Small Gap"))</f>
        <v>Large Gap</v>
      </c>
      <c r="X2247" s="3" t="str">
        <f>IF(Table1[[#This Row],[automation_risk_percent]]&gt;0.7,"Highly Automatable",
IF(Table1[[#This Row],[automation_risk_percent]]&gt;0.4,"Moderate Risk","Safe Job"))</f>
        <v>Moderate Risk</v>
      </c>
    </row>
    <row r="2248" spans="1:24" x14ac:dyDescent="0.3">
      <c r="A2248">
        <v>7945</v>
      </c>
      <c r="B2248" t="s">
        <v>39</v>
      </c>
      <c r="C2248" t="s">
        <v>34</v>
      </c>
      <c r="D2248" t="s">
        <v>36</v>
      </c>
      <c r="E2248" s="1">
        <v>2025</v>
      </c>
      <c r="F2248" s="11">
        <v>0.66359999999999997</v>
      </c>
      <c r="G2248">
        <v>62.61</v>
      </c>
      <c r="H2248">
        <v>54.93</v>
      </c>
      <c r="I2248" s="2">
        <v>99904.56</v>
      </c>
      <c r="J2248" s="2">
        <v>92282.74</v>
      </c>
      <c r="K2248" s="2">
        <f>Table1[[#This Row],[Salary_after]]-Table1[[#This Row],[Salary_before]]</f>
        <v>-7621.8199999999924</v>
      </c>
      <c r="L2248" s="11">
        <v>-7.6299999999999993E-2</v>
      </c>
      <c r="M2248" s="11">
        <v>6.0499999999999998E-2</v>
      </c>
      <c r="N2248">
        <v>47.01</v>
      </c>
      <c r="O2248">
        <v>33.89</v>
      </c>
      <c r="P2248">
        <v>2</v>
      </c>
      <c r="Q2248" t="s">
        <v>37</v>
      </c>
      <c r="R2248">
        <v>60.644999999999897</v>
      </c>
      <c r="S2248">
        <v>7.63</v>
      </c>
      <c r="T2248" s="4">
        <v>45.311999999999998</v>
      </c>
      <c r="U2248" s="4">
        <v>22.489404</v>
      </c>
      <c r="V2248" t="str">
        <f>IF(Table1[[#This Row],[ai_disruption_intensity]]&gt;70,"High",
IF(Table1[[#This Row],[ai_disruption_intensity]]&gt;40,"Medium","Low"))</f>
        <v>Low</v>
      </c>
      <c r="W2248" t="str">
        <f>IF(Table1[[#This Row],[skill_gap_index]]&gt;70,"Large Gap",
IF(Table1[[#This Row],[skill_gap_index]]&gt;40,"Medium Gap","Small Gap"))</f>
        <v>Medium Gap</v>
      </c>
      <c r="X2248" s="3" t="str">
        <f>IF(Table1[[#This Row],[automation_risk_percent]]&gt;0.7,"Highly Automatable",
IF(Table1[[#This Row],[automation_risk_percent]]&gt;0.4,"Moderate Risk","Safe Job"))</f>
        <v>Moderate Risk</v>
      </c>
    </row>
    <row r="2249" spans="1:24" x14ac:dyDescent="0.3">
      <c r="A2249">
        <v>7946</v>
      </c>
      <c r="B2249" t="s">
        <v>46</v>
      </c>
      <c r="C2249" t="s">
        <v>23</v>
      </c>
      <c r="D2249" t="s">
        <v>35</v>
      </c>
      <c r="E2249" s="1">
        <v>2026</v>
      </c>
      <c r="F2249" s="11">
        <v>0.69489999999999996</v>
      </c>
      <c r="G2249">
        <v>68.540000000000006</v>
      </c>
      <c r="H2249">
        <v>43.52</v>
      </c>
      <c r="I2249" s="2">
        <v>88042.51</v>
      </c>
      <c r="J2249" s="2">
        <v>89746.68</v>
      </c>
      <c r="K2249" s="2">
        <f>Table1[[#This Row],[Salary_after]]-Table1[[#This Row],[Salary_before]]</f>
        <v>1704.1699999999983</v>
      </c>
      <c r="L2249" s="11">
        <v>1.9400000000000001E-2</v>
      </c>
      <c r="M2249" s="11">
        <v>0.12279999999999999</v>
      </c>
      <c r="N2249">
        <v>45.02</v>
      </c>
      <c r="O2249">
        <v>91.26</v>
      </c>
      <c r="P2249">
        <v>3</v>
      </c>
      <c r="Q2249" t="s">
        <v>37</v>
      </c>
      <c r="R2249">
        <v>56.504999999999903</v>
      </c>
      <c r="S2249">
        <v>1.94</v>
      </c>
      <c r="T2249" s="4">
        <v>41.433999999999997</v>
      </c>
      <c r="U2249" s="4">
        <v>63.416573999999997</v>
      </c>
      <c r="V2249" t="str">
        <f>IF(Table1[[#This Row],[ai_disruption_intensity]]&gt;70,"High",
IF(Table1[[#This Row],[ai_disruption_intensity]]&gt;40,"Medium","Low"))</f>
        <v>Medium</v>
      </c>
      <c r="W2249" t="str">
        <f>IF(Table1[[#This Row],[skill_gap_index]]&gt;70,"Large Gap",
IF(Table1[[#This Row],[skill_gap_index]]&gt;40,"Medium Gap","Small Gap"))</f>
        <v>Medium Gap</v>
      </c>
      <c r="X2249" s="3" t="str">
        <f>IF(Table1[[#This Row],[automation_risk_percent]]&gt;0.7,"Highly Automatable",
IF(Table1[[#This Row],[automation_risk_percent]]&gt;0.4,"Moderate Risk","Safe Job"))</f>
        <v>Moderate Risk</v>
      </c>
    </row>
    <row r="2250" spans="1:24" x14ac:dyDescent="0.3">
      <c r="A2250">
        <v>7952</v>
      </c>
      <c r="B2250" t="s">
        <v>22</v>
      </c>
      <c r="C2250" t="s">
        <v>27</v>
      </c>
      <c r="D2250" t="s">
        <v>20</v>
      </c>
      <c r="E2250" s="1">
        <v>2025</v>
      </c>
      <c r="F2250" s="11">
        <v>0.70469999999999999</v>
      </c>
      <c r="G2250">
        <v>57.31</v>
      </c>
      <c r="H2250">
        <v>29.85</v>
      </c>
      <c r="I2250" s="2">
        <v>98029.43</v>
      </c>
      <c r="J2250" s="2">
        <v>91524.99</v>
      </c>
      <c r="K2250" s="2">
        <f>Table1[[#This Row],[Salary_after]]-Table1[[#This Row],[Salary_before]]</f>
        <v>-6504.4399999999878</v>
      </c>
      <c r="L2250" s="11">
        <v>-6.6400000000000001E-2</v>
      </c>
      <c r="M2250" s="11">
        <v>-1.89E-2</v>
      </c>
      <c r="N2250">
        <v>79.84</v>
      </c>
      <c r="O2250">
        <v>29.1</v>
      </c>
      <c r="P2250">
        <v>3</v>
      </c>
      <c r="Q2250" t="s">
        <v>37</v>
      </c>
      <c r="R2250">
        <v>50.16</v>
      </c>
      <c r="S2250">
        <v>6.64</v>
      </c>
      <c r="T2250" s="4">
        <v>39.134999999999998</v>
      </c>
      <c r="U2250" s="4">
        <v>20.506769999999999</v>
      </c>
      <c r="V2250" t="str">
        <f>IF(Table1[[#This Row],[ai_disruption_intensity]]&gt;70,"High",
IF(Table1[[#This Row],[ai_disruption_intensity]]&gt;40,"Medium","Low"))</f>
        <v>Low</v>
      </c>
      <c r="W2250" t="str">
        <f>IF(Table1[[#This Row],[skill_gap_index]]&gt;70,"Large Gap",
IF(Table1[[#This Row],[skill_gap_index]]&gt;40,"Medium Gap","Small Gap"))</f>
        <v>Small Gap</v>
      </c>
      <c r="X2250" s="3" t="str">
        <f>IF(Table1[[#This Row],[automation_risk_percent]]&gt;0.7,"Highly Automatable",
IF(Table1[[#This Row],[automation_risk_percent]]&gt;0.4,"Moderate Risk","Safe Job"))</f>
        <v>Highly Automatable</v>
      </c>
    </row>
    <row r="2251" spans="1:24" x14ac:dyDescent="0.3">
      <c r="A2251">
        <v>7953</v>
      </c>
      <c r="B2251" t="s">
        <v>39</v>
      </c>
      <c r="C2251" t="s">
        <v>23</v>
      </c>
      <c r="D2251" t="s">
        <v>47</v>
      </c>
      <c r="E2251" s="1">
        <v>2026</v>
      </c>
      <c r="F2251" s="11">
        <v>0.127</v>
      </c>
      <c r="G2251">
        <v>13.82</v>
      </c>
      <c r="H2251">
        <v>95.44</v>
      </c>
      <c r="I2251" s="2">
        <v>129832.08</v>
      </c>
      <c r="J2251" s="2">
        <v>101225.41</v>
      </c>
      <c r="K2251" s="2">
        <f>Table1[[#This Row],[Salary_after]]-Table1[[#This Row],[Salary_before]]</f>
        <v>-28606.67</v>
      </c>
      <c r="L2251" s="11">
        <v>-0.22030000000000002</v>
      </c>
      <c r="M2251" s="11">
        <v>0.19239999999999999</v>
      </c>
      <c r="N2251">
        <v>93.26</v>
      </c>
      <c r="O2251">
        <v>76.62</v>
      </c>
      <c r="P2251">
        <v>2</v>
      </c>
      <c r="Q2251" t="s">
        <v>21</v>
      </c>
      <c r="R2251">
        <v>54.07</v>
      </c>
      <c r="S2251">
        <v>22.03</v>
      </c>
      <c r="T2251" s="4">
        <v>40.320999999999998</v>
      </c>
      <c r="U2251" s="4">
        <v>9.7307399999999902</v>
      </c>
      <c r="V2251" t="str">
        <f>IF(Table1[[#This Row],[ai_disruption_intensity]]&gt;70,"High",
IF(Table1[[#This Row],[ai_disruption_intensity]]&gt;40,"Medium","Low"))</f>
        <v>Low</v>
      </c>
      <c r="W2251" t="str">
        <f>IF(Table1[[#This Row],[skill_gap_index]]&gt;70,"Large Gap",
IF(Table1[[#This Row],[skill_gap_index]]&gt;40,"Medium Gap","Small Gap"))</f>
        <v>Large Gap</v>
      </c>
      <c r="X2251" s="3" t="str">
        <f>IF(Table1[[#This Row],[automation_risk_percent]]&gt;0.7,"Highly Automatable",
IF(Table1[[#This Row],[automation_risk_percent]]&gt;0.4,"Moderate Risk","Safe Job"))</f>
        <v>Safe Job</v>
      </c>
    </row>
    <row r="2252" spans="1:24" x14ac:dyDescent="0.3">
      <c r="A2252">
        <v>7954</v>
      </c>
      <c r="B2252" t="s">
        <v>39</v>
      </c>
      <c r="C2252" t="s">
        <v>19</v>
      </c>
      <c r="D2252" t="s">
        <v>35</v>
      </c>
      <c r="E2252" s="1">
        <v>2026</v>
      </c>
      <c r="F2252" s="11">
        <v>0.49950000000000006</v>
      </c>
      <c r="G2252">
        <v>57.53</v>
      </c>
      <c r="H2252">
        <v>60.17</v>
      </c>
      <c r="I2252" s="2">
        <v>146820.56</v>
      </c>
      <c r="J2252" s="2">
        <v>149148.88</v>
      </c>
      <c r="K2252" s="2">
        <f>Table1[[#This Row],[Salary_after]]-Table1[[#This Row],[Salary_before]]</f>
        <v>2328.320000000007</v>
      </c>
      <c r="L2252" s="11">
        <v>1.5900000000000001E-2</v>
      </c>
      <c r="M2252" s="11">
        <v>0.16260000000000002</v>
      </c>
      <c r="N2252">
        <v>93.06</v>
      </c>
      <c r="O2252">
        <v>34.24</v>
      </c>
      <c r="P2252">
        <v>1</v>
      </c>
      <c r="Q2252" t="s">
        <v>25</v>
      </c>
      <c r="R2252">
        <v>55.06</v>
      </c>
      <c r="S2252">
        <v>1.59</v>
      </c>
      <c r="T2252" s="4">
        <v>38.508000000000003</v>
      </c>
      <c r="U2252" s="4">
        <v>17.102879999999999</v>
      </c>
      <c r="V2252" t="str">
        <f>IF(Table1[[#This Row],[ai_disruption_intensity]]&gt;70,"High",
IF(Table1[[#This Row],[ai_disruption_intensity]]&gt;40,"Medium","Low"))</f>
        <v>Low</v>
      </c>
      <c r="W2252" t="str">
        <f>IF(Table1[[#This Row],[skill_gap_index]]&gt;70,"Large Gap",
IF(Table1[[#This Row],[skill_gap_index]]&gt;40,"Medium Gap","Small Gap"))</f>
        <v>Medium Gap</v>
      </c>
      <c r="X2252" s="3" t="str">
        <f>IF(Table1[[#This Row],[automation_risk_percent]]&gt;0.7,"Highly Automatable",
IF(Table1[[#This Row],[automation_risk_percent]]&gt;0.4,"Moderate Risk","Safe Job"))</f>
        <v>Moderate Risk</v>
      </c>
    </row>
    <row r="2253" spans="1:24" x14ac:dyDescent="0.3">
      <c r="A2253">
        <v>7956</v>
      </c>
      <c r="B2253" t="s">
        <v>45</v>
      </c>
      <c r="C2253" t="s">
        <v>27</v>
      </c>
      <c r="D2253" t="s">
        <v>32</v>
      </c>
      <c r="E2253" s="1">
        <v>2026</v>
      </c>
      <c r="F2253" s="11">
        <v>0.73680000000000012</v>
      </c>
      <c r="G2253">
        <v>80.010000000000005</v>
      </c>
      <c r="H2253">
        <v>76.83</v>
      </c>
      <c r="I2253" s="2">
        <v>44457.52</v>
      </c>
      <c r="J2253" s="2">
        <v>46564.85</v>
      </c>
      <c r="K2253" s="2">
        <f>Table1[[#This Row],[Salary_after]]-Table1[[#This Row],[Salary_before]]</f>
        <v>2107.3300000000017</v>
      </c>
      <c r="L2253" s="11">
        <v>4.7400000000000005E-2</v>
      </c>
      <c r="M2253" s="11">
        <v>1.46E-2</v>
      </c>
      <c r="N2253">
        <v>22.83</v>
      </c>
      <c r="O2253">
        <v>30.85</v>
      </c>
      <c r="P2253">
        <v>1</v>
      </c>
      <c r="Q2253" t="s">
        <v>37</v>
      </c>
      <c r="R2253">
        <v>75.254999999999995</v>
      </c>
      <c r="S2253">
        <v>4.74</v>
      </c>
      <c r="T2253" s="4">
        <v>53.942999999999998</v>
      </c>
      <c r="U2253" s="4">
        <v>22.73028</v>
      </c>
      <c r="V2253" t="str">
        <f>IF(Table1[[#This Row],[ai_disruption_intensity]]&gt;70,"High",
IF(Table1[[#This Row],[ai_disruption_intensity]]&gt;40,"Medium","Low"))</f>
        <v>Low</v>
      </c>
      <c r="W2253" t="str">
        <f>IF(Table1[[#This Row],[skill_gap_index]]&gt;70,"Large Gap",
IF(Table1[[#This Row],[skill_gap_index]]&gt;40,"Medium Gap","Small Gap"))</f>
        <v>Large Gap</v>
      </c>
      <c r="X2253" s="3" t="str">
        <f>IF(Table1[[#This Row],[automation_risk_percent]]&gt;0.7,"Highly Automatable",
IF(Table1[[#This Row],[automation_risk_percent]]&gt;0.4,"Moderate Risk","Safe Job"))</f>
        <v>Highly Automatable</v>
      </c>
    </row>
    <row r="2254" spans="1:24" x14ac:dyDescent="0.3">
      <c r="A2254">
        <v>7957</v>
      </c>
      <c r="B2254" t="s">
        <v>46</v>
      </c>
      <c r="C2254" t="s">
        <v>33</v>
      </c>
      <c r="D2254" t="s">
        <v>42</v>
      </c>
      <c r="E2254" s="1">
        <v>2026</v>
      </c>
      <c r="F2254" s="11">
        <v>0.65010000000000001</v>
      </c>
      <c r="G2254">
        <v>73.849999999999994</v>
      </c>
      <c r="H2254">
        <v>5.42</v>
      </c>
      <c r="I2254" s="2">
        <v>83771.7</v>
      </c>
      <c r="J2254" s="2">
        <v>86219.99</v>
      </c>
      <c r="K2254" s="2">
        <f>Table1[[#This Row],[Salary_after]]-Table1[[#This Row],[Salary_before]]</f>
        <v>2448.2900000000081</v>
      </c>
      <c r="L2254" s="11">
        <v>2.92E-2</v>
      </c>
      <c r="M2254" s="11">
        <v>-2.8999999999999998E-2</v>
      </c>
      <c r="N2254">
        <v>19.45</v>
      </c>
      <c r="O2254">
        <v>44.88</v>
      </c>
      <c r="P2254">
        <v>2</v>
      </c>
      <c r="Q2254" t="s">
        <v>37</v>
      </c>
      <c r="R2254">
        <v>35.215000000000003</v>
      </c>
      <c r="S2254">
        <v>2.92</v>
      </c>
      <c r="T2254" s="4">
        <v>28.506</v>
      </c>
      <c r="U2254" s="4">
        <v>29.176487999999999</v>
      </c>
      <c r="V2254" t="str">
        <f>IF(Table1[[#This Row],[ai_disruption_intensity]]&gt;70,"High",
IF(Table1[[#This Row],[ai_disruption_intensity]]&gt;40,"Medium","Low"))</f>
        <v>Low</v>
      </c>
      <c r="W2254" t="str">
        <f>IF(Table1[[#This Row],[skill_gap_index]]&gt;70,"Large Gap",
IF(Table1[[#This Row],[skill_gap_index]]&gt;40,"Medium Gap","Small Gap"))</f>
        <v>Small Gap</v>
      </c>
      <c r="X2254" s="3" t="str">
        <f>IF(Table1[[#This Row],[automation_risk_percent]]&gt;0.7,"Highly Automatable",
IF(Table1[[#This Row],[automation_risk_percent]]&gt;0.4,"Moderate Risk","Safe Job"))</f>
        <v>Moderate Risk</v>
      </c>
    </row>
    <row r="2255" spans="1:24" x14ac:dyDescent="0.3">
      <c r="A2255">
        <v>7958</v>
      </c>
      <c r="B2255" t="s">
        <v>46</v>
      </c>
      <c r="C2255" t="s">
        <v>19</v>
      </c>
      <c r="D2255" t="s">
        <v>20</v>
      </c>
      <c r="E2255" s="1">
        <v>2026</v>
      </c>
      <c r="F2255" s="11">
        <v>0.35549999999999998</v>
      </c>
      <c r="G2255">
        <v>40.67</v>
      </c>
      <c r="H2255">
        <v>95.74</v>
      </c>
      <c r="I2255" s="2">
        <v>91467.71</v>
      </c>
      <c r="J2255" s="2">
        <v>107705.47</v>
      </c>
      <c r="K2255" s="2">
        <f>Table1[[#This Row],[Salary_after]]-Table1[[#This Row],[Salary_before]]</f>
        <v>16237.759999999995</v>
      </c>
      <c r="L2255" s="11">
        <v>0.17749999999999999</v>
      </c>
      <c r="M2255" s="11">
        <v>5.8099999999999999E-2</v>
      </c>
      <c r="N2255">
        <v>27.33</v>
      </c>
      <c r="O2255">
        <v>94.09</v>
      </c>
      <c r="P2255">
        <v>5</v>
      </c>
      <c r="Q2255" t="s">
        <v>25</v>
      </c>
      <c r="R2255">
        <v>65.644999999999996</v>
      </c>
      <c r="S2255">
        <v>17.75</v>
      </c>
      <c r="T2255" s="4">
        <v>48.266999999999904</v>
      </c>
      <c r="U2255" s="4">
        <v>33.448994999999996</v>
      </c>
      <c r="V2255" t="str">
        <f>IF(Table1[[#This Row],[ai_disruption_intensity]]&gt;70,"High",
IF(Table1[[#This Row],[ai_disruption_intensity]]&gt;40,"Medium","Low"))</f>
        <v>Low</v>
      </c>
      <c r="W2255" t="str">
        <f>IF(Table1[[#This Row],[skill_gap_index]]&gt;70,"Large Gap",
IF(Table1[[#This Row],[skill_gap_index]]&gt;40,"Medium Gap","Small Gap"))</f>
        <v>Large Gap</v>
      </c>
      <c r="X2255" s="3" t="str">
        <f>IF(Table1[[#This Row],[automation_risk_percent]]&gt;0.7,"Highly Automatable",
IF(Table1[[#This Row],[automation_risk_percent]]&gt;0.4,"Moderate Risk","Safe Job"))</f>
        <v>Safe Job</v>
      </c>
    </row>
    <row r="2256" spans="1:24" x14ac:dyDescent="0.3">
      <c r="A2256">
        <v>7960</v>
      </c>
      <c r="B2256" t="s">
        <v>22</v>
      </c>
      <c r="C2256" t="s">
        <v>38</v>
      </c>
      <c r="D2256" t="s">
        <v>31</v>
      </c>
      <c r="E2256" s="1">
        <v>2025</v>
      </c>
      <c r="F2256" s="11">
        <v>0.58950000000000002</v>
      </c>
      <c r="G2256">
        <v>49.39</v>
      </c>
      <c r="H2256">
        <v>5.67</v>
      </c>
      <c r="I2256" s="2">
        <v>90743.14</v>
      </c>
      <c r="J2256" s="2">
        <v>98706.73</v>
      </c>
      <c r="K2256" s="2">
        <f>Table1[[#This Row],[Salary_after]]-Table1[[#This Row],[Salary_before]]</f>
        <v>7963.5899999999965</v>
      </c>
      <c r="L2256" s="11">
        <v>8.7799999999999989E-2</v>
      </c>
      <c r="M2256" s="11">
        <v>0.17280000000000001</v>
      </c>
      <c r="N2256">
        <v>87.77</v>
      </c>
      <c r="O2256">
        <v>13.33</v>
      </c>
      <c r="P2256">
        <v>4</v>
      </c>
      <c r="Q2256" t="s">
        <v>25</v>
      </c>
      <c r="R2256">
        <v>32.31</v>
      </c>
      <c r="S2256">
        <v>8.7799999999999994</v>
      </c>
      <c r="T2256" s="4">
        <v>27.914999999999999</v>
      </c>
      <c r="U2256" s="4">
        <v>7.8580350000000001</v>
      </c>
      <c r="V2256" t="str">
        <f>IF(Table1[[#This Row],[ai_disruption_intensity]]&gt;70,"High",
IF(Table1[[#This Row],[ai_disruption_intensity]]&gt;40,"Medium","Low"))</f>
        <v>Low</v>
      </c>
      <c r="W2256" t="str">
        <f>IF(Table1[[#This Row],[skill_gap_index]]&gt;70,"Large Gap",
IF(Table1[[#This Row],[skill_gap_index]]&gt;40,"Medium Gap","Small Gap"))</f>
        <v>Small Gap</v>
      </c>
      <c r="X2256" s="3" t="str">
        <f>IF(Table1[[#This Row],[automation_risk_percent]]&gt;0.7,"Highly Automatable",
IF(Table1[[#This Row],[automation_risk_percent]]&gt;0.4,"Moderate Risk","Safe Job"))</f>
        <v>Moderate Risk</v>
      </c>
    </row>
    <row r="2257" spans="1:24" x14ac:dyDescent="0.3">
      <c r="A2257">
        <v>7961</v>
      </c>
      <c r="B2257" t="s">
        <v>39</v>
      </c>
      <c r="C2257" t="s">
        <v>40</v>
      </c>
      <c r="D2257" t="s">
        <v>28</v>
      </c>
      <c r="E2257" s="1">
        <v>2025</v>
      </c>
      <c r="F2257" s="11">
        <v>0.52400000000000002</v>
      </c>
      <c r="G2257">
        <v>57.98</v>
      </c>
      <c r="H2257">
        <v>93.78</v>
      </c>
      <c r="I2257" s="2">
        <v>42105.96</v>
      </c>
      <c r="J2257" s="2">
        <v>39154.06</v>
      </c>
      <c r="K2257" s="2">
        <f>Table1[[#This Row],[Salary_after]]-Table1[[#This Row],[Salary_before]]</f>
        <v>-2951.9000000000015</v>
      </c>
      <c r="L2257" s="11">
        <v>-7.0099999999999996E-2</v>
      </c>
      <c r="M2257" s="11">
        <v>-7.5499999999999998E-2</v>
      </c>
      <c r="N2257">
        <v>58.67</v>
      </c>
      <c r="O2257">
        <v>40.86</v>
      </c>
      <c r="P2257">
        <v>1</v>
      </c>
      <c r="Q2257" t="s">
        <v>25</v>
      </c>
      <c r="R2257">
        <v>73.09</v>
      </c>
      <c r="S2257">
        <v>7.01</v>
      </c>
      <c r="T2257" s="4">
        <v>51.197000000000003</v>
      </c>
      <c r="U2257" s="4">
        <v>21.410639999999901</v>
      </c>
      <c r="V2257" t="str">
        <f>IF(Table1[[#This Row],[ai_disruption_intensity]]&gt;70,"High",
IF(Table1[[#This Row],[ai_disruption_intensity]]&gt;40,"Medium","Low"))</f>
        <v>Low</v>
      </c>
      <c r="W2257" t="str">
        <f>IF(Table1[[#This Row],[skill_gap_index]]&gt;70,"Large Gap",
IF(Table1[[#This Row],[skill_gap_index]]&gt;40,"Medium Gap","Small Gap"))</f>
        <v>Large Gap</v>
      </c>
      <c r="X2257" s="3" t="str">
        <f>IF(Table1[[#This Row],[automation_risk_percent]]&gt;0.7,"Highly Automatable",
IF(Table1[[#This Row],[automation_risk_percent]]&gt;0.4,"Moderate Risk","Safe Job"))</f>
        <v>Moderate Risk</v>
      </c>
    </row>
    <row r="2258" spans="1:24" x14ac:dyDescent="0.3">
      <c r="A2258">
        <v>7962</v>
      </c>
      <c r="B2258" t="s">
        <v>22</v>
      </c>
      <c r="C2258" t="s">
        <v>30</v>
      </c>
      <c r="D2258" t="s">
        <v>20</v>
      </c>
      <c r="E2258" s="1">
        <v>2025</v>
      </c>
      <c r="F2258" s="11">
        <v>0.70279999999999998</v>
      </c>
      <c r="G2258">
        <v>82.94</v>
      </c>
      <c r="H2258">
        <v>7.01</v>
      </c>
      <c r="I2258" s="2">
        <v>113961.68</v>
      </c>
      <c r="J2258" s="2">
        <v>91929.45</v>
      </c>
      <c r="K2258" s="2">
        <f>Table1[[#This Row],[Salary_after]]-Table1[[#This Row],[Salary_before]]</f>
        <v>-22032.229999999996</v>
      </c>
      <c r="L2258" s="11">
        <v>-0.19329999999999997</v>
      </c>
      <c r="M2258" s="11">
        <v>-6.83E-2</v>
      </c>
      <c r="N2258">
        <v>62.77</v>
      </c>
      <c r="O2258">
        <v>39.44</v>
      </c>
      <c r="P2258">
        <v>3</v>
      </c>
      <c r="Q2258" t="s">
        <v>37</v>
      </c>
      <c r="R2258">
        <v>38.645000000000003</v>
      </c>
      <c r="S2258">
        <v>19.329999999999998</v>
      </c>
      <c r="T2258" s="4">
        <v>36.014000000000003</v>
      </c>
      <c r="U2258" s="4">
        <v>27.7184319999999</v>
      </c>
      <c r="V2258" t="str">
        <f>IF(Table1[[#This Row],[ai_disruption_intensity]]&gt;70,"High",
IF(Table1[[#This Row],[ai_disruption_intensity]]&gt;40,"Medium","Low"))</f>
        <v>Low</v>
      </c>
      <c r="W2258" t="str">
        <f>IF(Table1[[#This Row],[skill_gap_index]]&gt;70,"Large Gap",
IF(Table1[[#This Row],[skill_gap_index]]&gt;40,"Medium Gap","Small Gap"))</f>
        <v>Small Gap</v>
      </c>
      <c r="X2258" s="3" t="str">
        <f>IF(Table1[[#This Row],[automation_risk_percent]]&gt;0.7,"Highly Automatable",
IF(Table1[[#This Row],[automation_risk_percent]]&gt;0.4,"Moderate Risk","Safe Job"))</f>
        <v>Highly Automatable</v>
      </c>
    </row>
    <row r="2259" spans="1:24" x14ac:dyDescent="0.3">
      <c r="A2259">
        <v>7969</v>
      </c>
      <c r="B2259" t="s">
        <v>44</v>
      </c>
      <c r="C2259" t="s">
        <v>23</v>
      </c>
      <c r="D2259" t="s">
        <v>42</v>
      </c>
      <c r="E2259" s="1">
        <v>2026</v>
      </c>
      <c r="F2259" s="11">
        <v>0.59450000000000003</v>
      </c>
      <c r="G2259">
        <v>55.26</v>
      </c>
      <c r="H2259">
        <v>32.25</v>
      </c>
      <c r="I2259" s="2">
        <v>88453.05</v>
      </c>
      <c r="J2259" s="2">
        <v>106876.91</v>
      </c>
      <c r="K2259" s="2">
        <f>Table1[[#This Row],[Salary_after]]-Table1[[#This Row],[Salary_before]]</f>
        <v>18423.86</v>
      </c>
      <c r="L2259" s="11">
        <v>0.20829999999999999</v>
      </c>
      <c r="M2259" s="11">
        <v>0.1084</v>
      </c>
      <c r="N2259">
        <v>65.59</v>
      </c>
      <c r="O2259">
        <v>37.25</v>
      </c>
      <c r="P2259">
        <v>1</v>
      </c>
      <c r="Q2259" t="s">
        <v>25</v>
      </c>
      <c r="R2259">
        <v>45.85</v>
      </c>
      <c r="S2259">
        <v>20.83</v>
      </c>
      <c r="T2259" s="4">
        <v>39.704000000000001</v>
      </c>
      <c r="U2259" s="4">
        <v>22.145125</v>
      </c>
      <c r="V2259" t="str">
        <f>IF(Table1[[#This Row],[ai_disruption_intensity]]&gt;70,"High",
IF(Table1[[#This Row],[ai_disruption_intensity]]&gt;40,"Medium","Low"))</f>
        <v>Low</v>
      </c>
      <c r="W2259" t="str">
        <f>IF(Table1[[#This Row],[skill_gap_index]]&gt;70,"Large Gap",
IF(Table1[[#This Row],[skill_gap_index]]&gt;40,"Medium Gap","Small Gap"))</f>
        <v>Small Gap</v>
      </c>
      <c r="X2259" s="3" t="str">
        <f>IF(Table1[[#This Row],[automation_risk_percent]]&gt;0.7,"Highly Automatable",
IF(Table1[[#This Row],[automation_risk_percent]]&gt;0.4,"Moderate Risk","Safe Job"))</f>
        <v>Moderate Risk</v>
      </c>
    </row>
    <row r="2260" spans="1:24" x14ac:dyDescent="0.3">
      <c r="A2260">
        <v>7970</v>
      </c>
      <c r="B2260" t="s">
        <v>22</v>
      </c>
      <c r="C2260" t="s">
        <v>19</v>
      </c>
      <c r="D2260" t="s">
        <v>24</v>
      </c>
      <c r="E2260" s="1">
        <v>2026</v>
      </c>
      <c r="F2260" s="11">
        <v>0.30780000000000002</v>
      </c>
      <c r="G2260">
        <v>28.42</v>
      </c>
      <c r="H2260">
        <v>64.540000000000006</v>
      </c>
      <c r="I2260" s="2">
        <v>81977.710000000006</v>
      </c>
      <c r="J2260" s="2">
        <v>98745.56</v>
      </c>
      <c r="K2260" s="2">
        <f>Table1[[#This Row],[Salary_after]]-Table1[[#This Row],[Salary_before]]</f>
        <v>16767.849999999991</v>
      </c>
      <c r="L2260" s="11">
        <v>0.20449999999999999</v>
      </c>
      <c r="M2260" s="11">
        <v>-4.7999999999999996E-3</v>
      </c>
      <c r="N2260">
        <v>93.61</v>
      </c>
      <c r="O2260">
        <v>12.63</v>
      </c>
      <c r="P2260">
        <v>1</v>
      </c>
      <c r="Q2260" t="s">
        <v>25</v>
      </c>
      <c r="R2260">
        <v>47.66</v>
      </c>
      <c r="S2260">
        <v>20.45</v>
      </c>
      <c r="T2260" s="4">
        <v>37.808999999999997</v>
      </c>
      <c r="U2260" s="4">
        <v>3.8875139999999999</v>
      </c>
      <c r="V2260" t="str">
        <f>IF(Table1[[#This Row],[ai_disruption_intensity]]&gt;70,"High",
IF(Table1[[#This Row],[ai_disruption_intensity]]&gt;40,"Medium","Low"))</f>
        <v>Low</v>
      </c>
      <c r="W2260" t="str">
        <f>IF(Table1[[#This Row],[skill_gap_index]]&gt;70,"Large Gap",
IF(Table1[[#This Row],[skill_gap_index]]&gt;40,"Medium Gap","Small Gap"))</f>
        <v>Medium Gap</v>
      </c>
      <c r="X2260" s="3" t="str">
        <f>IF(Table1[[#This Row],[automation_risk_percent]]&gt;0.7,"Highly Automatable",
IF(Table1[[#This Row],[automation_risk_percent]]&gt;0.4,"Moderate Risk","Safe Job"))</f>
        <v>Safe Job</v>
      </c>
    </row>
    <row r="2261" spans="1:24" x14ac:dyDescent="0.3">
      <c r="A2261">
        <v>7973</v>
      </c>
      <c r="B2261" t="s">
        <v>29</v>
      </c>
      <c r="C2261" t="s">
        <v>33</v>
      </c>
      <c r="D2261" t="s">
        <v>35</v>
      </c>
      <c r="E2261" s="1">
        <v>2026</v>
      </c>
      <c r="F2261" s="11">
        <v>0.84589999999999999</v>
      </c>
      <c r="G2261">
        <v>82.27</v>
      </c>
      <c r="H2261">
        <v>73.95</v>
      </c>
      <c r="I2261" s="2">
        <v>93647.84</v>
      </c>
      <c r="J2261" s="2">
        <v>95970.08</v>
      </c>
      <c r="K2261" s="2">
        <f>Table1[[#This Row],[Salary_after]]-Table1[[#This Row],[Salary_before]]</f>
        <v>2322.2400000000052</v>
      </c>
      <c r="L2261" s="11">
        <v>2.4799999999999999E-2</v>
      </c>
      <c r="M2261" s="11">
        <v>0.26910000000000001</v>
      </c>
      <c r="N2261">
        <v>52.83</v>
      </c>
      <c r="O2261">
        <v>84.16</v>
      </c>
      <c r="P2261">
        <v>2</v>
      </c>
      <c r="Q2261" t="s">
        <v>37</v>
      </c>
      <c r="R2261">
        <v>79.27</v>
      </c>
      <c r="S2261">
        <v>2.48</v>
      </c>
      <c r="T2261" s="4">
        <v>56.765000000000001</v>
      </c>
      <c r="U2261" s="4">
        <v>71.190944000000002</v>
      </c>
      <c r="V2261" t="str">
        <f>IF(Table1[[#This Row],[ai_disruption_intensity]]&gt;70,"High",
IF(Table1[[#This Row],[ai_disruption_intensity]]&gt;40,"Medium","Low"))</f>
        <v>High</v>
      </c>
      <c r="W2261" t="str">
        <f>IF(Table1[[#This Row],[skill_gap_index]]&gt;70,"Large Gap",
IF(Table1[[#This Row],[skill_gap_index]]&gt;40,"Medium Gap","Small Gap"))</f>
        <v>Large Gap</v>
      </c>
      <c r="X2261" s="3" t="str">
        <f>IF(Table1[[#This Row],[automation_risk_percent]]&gt;0.7,"Highly Automatable",
IF(Table1[[#This Row],[automation_risk_percent]]&gt;0.4,"Moderate Risk","Safe Job"))</f>
        <v>Highly Automatable</v>
      </c>
    </row>
    <row r="2262" spans="1:24" x14ac:dyDescent="0.3">
      <c r="A2262">
        <v>7977</v>
      </c>
      <c r="B2262" t="s">
        <v>45</v>
      </c>
      <c r="C2262" t="s">
        <v>30</v>
      </c>
      <c r="D2262" t="s">
        <v>31</v>
      </c>
      <c r="E2262" s="1">
        <v>2025</v>
      </c>
      <c r="F2262" s="11">
        <v>0.32729999999999998</v>
      </c>
      <c r="G2262">
        <v>26.75</v>
      </c>
      <c r="H2262">
        <v>3.48</v>
      </c>
      <c r="I2262" s="2">
        <v>51001</v>
      </c>
      <c r="J2262" s="2">
        <v>39891.22</v>
      </c>
      <c r="K2262" s="2">
        <f>Table1[[#This Row],[Salary_after]]-Table1[[#This Row],[Salary_before]]</f>
        <v>-11109.779999999999</v>
      </c>
      <c r="L2262" s="11">
        <v>-0.21780000000000002</v>
      </c>
      <c r="M2262" s="11">
        <v>-8.4700000000000011E-2</v>
      </c>
      <c r="N2262">
        <v>27.16</v>
      </c>
      <c r="O2262">
        <v>82.23</v>
      </c>
      <c r="P2262">
        <v>2</v>
      </c>
      <c r="Q2262" t="s">
        <v>25</v>
      </c>
      <c r="R2262">
        <v>18.104999999999901</v>
      </c>
      <c r="S2262">
        <v>21.78</v>
      </c>
      <c r="T2262" s="4">
        <v>20.669999999999899</v>
      </c>
      <c r="U2262" s="4">
        <v>26.913878999999898</v>
      </c>
      <c r="V2262" t="str">
        <f>IF(Table1[[#This Row],[ai_disruption_intensity]]&gt;70,"High",
IF(Table1[[#This Row],[ai_disruption_intensity]]&gt;40,"Medium","Low"))</f>
        <v>Low</v>
      </c>
      <c r="W2262" t="str">
        <f>IF(Table1[[#This Row],[skill_gap_index]]&gt;70,"Large Gap",
IF(Table1[[#This Row],[skill_gap_index]]&gt;40,"Medium Gap","Small Gap"))</f>
        <v>Small Gap</v>
      </c>
      <c r="X2262" s="3" t="str">
        <f>IF(Table1[[#This Row],[automation_risk_percent]]&gt;0.7,"Highly Automatable",
IF(Table1[[#This Row],[automation_risk_percent]]&gt;0.4,"Moderate Risk","Safe Job"))</f>
        <v>Safe Job</v>
      </c>
    </row>
    <row r="2263" spans="1:24" x14ac:dyDescent="0.3">
      <c r="A2263">
        <v>7984</v>
      </c>
      <c r="B2263" t="s">
        <v>44</v>
      </c>
      <c r="C2263" t="s">
        <v>23</v>
      </c>
      <c r="D2263" t="s">
        <v>36</v>
      </c>
      <c r="E2263" s="1">
        <v>2026</v>
      </c>
      <c r="F2263" s="11">
        <v>0.4078</v>
      </c>
      <c r="G2263">
        <v>48.31</v>
      </c>
      <c r="H2263">
        <v>7.35</v>
      </c>
      <c r="I2263" s="2">
        <v>89813.23</v>
      </c>
      <c r="J2263" s="2">
        <v>93326.52</v>
      </c>
      <c r="K2263" s="2">
        <f>Table1[[#This Row],[Salary_after]]-Table1[[#This Row],[Salary_before]]</f>
        <v>3513.2900000000081</v>
      </c>
      <c r="L2263" s="11">
        <v>3.9100000000000003E-2</v>
      </c>
      <c r="M2263" s="11">
        <v>7.4000000000000003E-3</v>
      </c>
      <c r="N2263">
        <v>12.8</v>
      </c>
      <c r="O2263">
        <v>45.51</v>
      </c>
      <c r="P2263">
        <v>4</v>
      </c>
      <c r="Q2263" t="s">
        <v>25</v>
      </c>
      <c r="R2263">
        <v>24.065000000000001</v>
      </c>
      <c r="S2263">
        <v>3.91</v>
      </c>
      <c r="T2263" s="4">
        <v>19.689999999999898</v>
      </c>
      <c r="U2263" s="4">
        <v>18.558978</v>
      </c>
      <c r="V2263" t="str">
        <f>IF(Table1[[#This Row],[ai_disruption_intensity]]&gt;70,"High",
IF(Table1[[#This Row],[ai_disruption_intensity]]&gt;40,"Medium","Low"))</f>
        <v>Low</v>
      </c>
      <c r="W2263" t="str">
        <f>IF(Table1[[#This Row],[skill_gap_index]]&gt;70,"Large Gap",
IF(Table1[[#This Row],[skill_gap_index]]&gt;40,"Medium Gap","Small Gap"))</f>
        <v>Small Gap</v>
      </c>
      <c r="X2263" s="3" t="str">
        <f>IF(Table1[[#This Row],[automation_risk_percent]]&gt;0.7,"Highly Automatable",
IF(Table1[[#This Row],[automation_risk_percent]]&gt;0.4,"Moderate Risk","Safe Job"))</f>
        <v>Moderate Risk</v>
      </c>
    </row>
    <row r="2264" spans="1:24" x14ac:dyDescent="0.3">
      <c r="A2264">
        <v>7986</v>
      </c>
      <c r="B2264" t="s">
        <v>44</v>
      </c>
      <c r="C2264" t="s">
        <v>23</v>
      </c>
      <c r="D2264" t="s">
        <v>31</v>
      </c>
      <c r="E2264" s="1">
        <v>2025</v>
      </c>
      <c r="F2264" s="11">
        <v>0.43619999999999998</v>
      </c>
      <c r="G2264">
        <v>38.159999999999997</v>
      </c>
      <c r="H2264">
        <v>71.55</v>
      </c>
      <c r="I2264" s="2">
        <v>51544.99</v>
      </c>
      <c r="J2264" s="2">
        <v>52235.25</v>
      </c>
      <c r="K2264" s="2">
        <f>Table1[[#This Row],[Salary_after]]-Table1[[#This Row],[Salary_before]]</f>
        <v>690.26000000000204</v>
      </c>
      <c r="L2264" s="11">
        <v>1.34E-2</v>
      </c>
      <c r="M2264" s="11">
        <v>0.16820000000000002</v>
      </c>
      <c r="N2264">
        <v>59.33</v>
      </c>
      <c r="O2264">
        <v>93.35</v>
      </c>
      <c r="P2264">
        <v>2</v>
      </c>
      <c r="Q2264" t="s">
        <v>25</v>
      </c>
      <c r="R2264">
        <v>57.584999999999901</v>
      </c>
      <c r="S2264">
        <v>1.34</v>
      </c>
      <c r="T2264" s="4">
        <v>39.314999999999998</v>
      </c>
      <c r="U2264" s="4">
        <v>40.719269999999902</v>
      </c>
      <c r="V2264" t="str">
        <f>IF(Table1[[#This Row],[ai_disruption_intensity]]&gt;70,"High",
IF(Table1[[#This Row],[ai_disruption_intensity]]&gt;40,"Medium","Low"))</f>
        <v>Medium</v>
      </c>
      <c r="W2264" t="str">
        <f>IF(Table1[[#This Row],[skill_gap_index]]&gt;70,"Large Gap",
IF(Table1[[#This Row],[skill_gap_index]]&gt;40,"Medium Gap","Small Gap"))</f>
        <v>Large Gap</v>
      </c>
      <c r="X2264" s="3" t="str">
        <f>IF(Table1[[#This Row],[automation_risk_percent]]&gt;0.7,"Highly Automatable",
IF(Table1[[#This Row],[automation_risk_percent]]&gt;0.4,"Moderate Risk","Safe Job"))</f>
        <v>Moderate Risk</v>
      </c>
    </row>
    <row r="2265" spans="1:24" x14ac:dyDescent="0.3">
      <c r="A2265">
        <v>7987</v>
      </c>
      <c r="B2265" t="s">
        <v>29</v>
      </c>
      <c r="C2265" t="s">
        <v>30</v>
      </c>
      <c r="D2265" t="s">
        <v>31</v>
      </c>
      <c r="E2265" s="1">
        <v>2026</v>
      </c>
      <c r="F2265" s="11">
        <v>0.79110000000000003</v>
      </c>
      <c r="G2265">
        <v>86.8</v>
      </c>
      <c r="H2265">
        <v>85.8</v>
      </c>
      <c r="I2265" s="2">
        <v>41018.07</v>
      </c>
      <c r="J2265" s="2">
        <v>37275.17</v>
      </c>
      <c r="K2265" s="2">
        <f>Table1[[#This Row],[Salary_after]]-Table1[[#This Row],[Salary_before]]</f>
        <v>-3742.9000000000015</v>
      </c>
      <c r="L2265" s="11">
        <v>-9.1300000000000006E-2</v>
      </c>
      <c r="M2265" s="11">
        <v>0.1273</v>
      </c>
      <c r="N2265">
        <v>35.29</v>
      </c>
      <c r="O2265">
        <v>1.51</v>
      </c>
      <c r="P2265">
        <v>3</v>
      </c>
      <c r="Q2265" t="s">
        <v>37</v>
      </c>
      <c r="R2265">
        <v>82.454999999999998</v>
      </c>
      <c r="S2265">
        <v>9.1300000000000008</v>
      </c>
      <c r="T2265" s="4">
        <v>60.122999999999998</v>
      </c>
      <c r="U2265" s="4">
        <v>1.194561</v>
      </c>
      <c r="V2265" t="str">
        <f>IF(Table1[[#This Row],[ai_disruption_intensity]]&gt;70,"High",
IF(Table1[[#This Row],[ai_disruption_intensity]]&gt;40,"Medium","Low"))</f>
        <v>Low</v>
      </c>
      <c r="W2265" t="str">
        <f>IF(Table1[[#This Row],[skill_gap_index]]&gt;70,"Large Gap",
IF(Table1[[#This Row],[skill_gap_index]]&gt;40,"Medium Gap","Small Gap"))</f>
        <v>Large Gap</v>
      </c>
      <c r="X2265" s="3" t="str">
        <f>IF(Table1[[#This Row],[automation_risk_percent]]&gt;0.7,"Highly Automatable",
IF(Table1[[#This Row],[automation_risk_percent]]&gt;0.4,"Moderate Risk","Safe Job"))</f>
        <v>Highly Automatable</v>
      </c>
    </row>
    <row r="2266" spans="1:24" x14ac:dyDescent="0.3">
      <c r="A2266">
        <v>7990</v>
      </c>
      <c r="B2266" t="s">
        <v>41</v>
      </c>
      <c r="C2266" t="s">
        <v>30</v>
      </c>
      <c r="D2266" t="s">
        <v>24</v>
      </c>
      <c r="E2266" s="1">
        <v>2025</v>
      </c>
      <c r="F2266" s="11">
        <v>0.93959999999999999</v>
      </c>
      <c r="G2266">
        <v>89.49</v>
      </c>
      <c r="H2266">
        <v>65.150000000000006</v>
      </c>
      <c r="I2266" s="2">
        <v>113526.32</v>
      </c>
      <c r="J2266" s="2">
        <v>96661.440000000002</v>
      </c>
      <c r="K2266" s="2">
        <f>Table1[[#This Row],[Salary_after]]-Table1[[#This Row],[Salary_before]]</f>
        <v>-16864.880000000005</v>
      </c>
      <c r="L2266" s="11">
        <v>-0.14859999999999998</v>
      </c>
      <c r="M2266" s="11">
        <v>2.06E-2</v>
      </c>
      <c r="N2266">
        <v>49.43</v>
      </c>
      <c r="O2266">
        <v>47.38</v>
      </c>
      <c r="P2266">
        <v>4</v>
      </c>
      <c r="Q2266" t="s">
        <v>37</v>
      </c>
      <c r="R2266">
        <v>79.555000000000007</v>
      </c>
      <c r="S2266">
        <v>14.86</v>
      </c>
      <c r="T2266" s="4">
        <v>61.586999999999897</v>
      </c>
      <c r="U2266" s="4">
        <v>44.518248</v>
      </c>
      <c r="V2266" t="str">
        <f>IF(Table1[[#This Row],[ai_disruption_intensity]]&gt;70,"High",
IF(Table1[[#This Row],[ai_disruption_intensity]]&gt;40,"Medium","Low"))</f>
        <v>Medium</v>
      </c>
      <c r="W2266" t="str">
        <f>IF(Table1[[#This Row],[skill_gap_index]]&gt;70,"Large Gap",
IF(Table1[[#This Row],[skill_gap_index]]&gt;40,"Medium Gap","Small Gap"))</f>
        <v>Medium Gap</v>
      </c>
      <c r="X2266" s="3" t="str">
        <f>IF(Table1[[#This Row],[automation_risk_percent]]&gt;0.7,"Highly Automatable",
IF(Table1[[#This Row],[automation_risk_percent]]&gt;0.4,"Moderate Risk","Safe Job"))</f>
        <v>Highly Automatable</v>
      </c>
    </row>
    <row r="2267" spans="1:24" x14ac:dyDescent="0.3">
      <c r="A2267">
        <v>7991</v>
      </c>
      <c r="B2267" t="s">
        <v>18</v>
      </c>
      <c r="C2267" t="s">
        <v>34</v>
      </c>
      <c r="D2267" t="s">
        <v>20</v>
      </c>
      <c r="E2267" s="1">
        <v>2026</v>
      </c>
      <c r="F2267" s="11">
        <v>0.76780000000000004</v>
      </c>
      <c r="G2267">
        <v>78.89</v>
      </c>
      <c r="H2267">
        <v>96.99</v>
      </c>
      <c r="I2267" s="2">
        <v>99205.52</v>
      </c>
      <c r="J2267" s="2">
        <v>95884.78</v>
      </c>
      <c r="K2267" s="2">
        <f>Table1[[#This Row],[Salary_after]]-Table1[[#This Row],[Salary_before]]</f>
        <v>-3320.7400000000052</v>
      </c>
      <c r="L2267" s="11">
        <v>-3.3500000000000002E-2</v>
      </c>
      <c r="M2267" s="11">
        <v>-5.28E-2</v>
      </c>
      <c r="N2267">
        <v>81.31</v>
      </c>
      <c r="O2267">
        <v>42.16</v>
      </c>
      <c r="P2267">
        <v>1</v>
      </c>
      <c r="Q2267" t="s">
        <v>37</v>
      </c>
      <c r="R2267">
        <v>86.884999999999906</v>
      </c>
      <c r="S2267">
        <v>3.35</v>
      </c>
      <c r="T2267" s="4">
        <v>60.814</v>
      </c>
      <c r="U2267" s="4">
        <v>32.370447999999897</v>
      </c>
      <c r="V2267" t="str">
        <f>IF(Table1[[#This Row],[ai_disruption_intensity]]&gt;70,"High",
IF(Table1[[#This Row],[ai_disruption_intensity]]&gt;40,"Medium","Low"))</f>
        <v>Low</v>
      </c>
      <c r="W2267" t="str">
        <f>IF(Table1[[#This Row],[skill_gap_index]]&gt;70,"Large Gap",
IF(Table1[[#This Row],[skill_gap_index]]&gt;40,"Medium Gap","Small Gap"))</f>
        <v>Large Gap</v>
      </c>
      <c r="X2267" s="3" t="str">
        <f>IF(Table1[[#This Row],[automation_risk_percent]]&gt;0.7,"Highly Automatable",
IF(Table1[[#This Row],[automation_risk_percent]]&gt;0.4,"Moderate Risk","Safe Job"))</f>
        <v>Highly Automatable</v>
      </c>
    </row>
    <row r="2268" spans="1:24" x14ac:dyDescent="0.3">
      <c r="A2268">
        <v>7993</v>
      </c>
      <c r="B2268" t="s">
        <v>22</v>
      </c>
      <c r="C2268" t="s">
        <v>27</v>
      </c>
      <c r="D2268" t="s">
        <v>36</v>
      </c>
      <c r="E2268" s="1">
        <v>2026</v>
      </c>
      <c r="F2268" s="11">
        <v>0.46689999999999998</v>
      </c>
      <c r="G2268">
        <v>41.36</v>
      </c>
      <c r="H2268">
        <v>88.32</v>
      </c>
      <c r="I2268" s="2">
        <v>63085.85</v>
      </c>
      <c r="J2268" s="2">
        <v>57729.120000000003</v>
      </c>
      <c r="K2268" s="2">
        <f>Table1[[#This Row],[Salary_after]]-Table1[[#This Row],[Salary_before]]</f>
        <v>-5356.7299999999959</v>
      </c>
      <c r="L2268" s="11">
        <v>-8.4900000000000003E-2</v>
      </c>
      <c r="M2268" s="11">
        <v>-3.6699999999999997E-2</v>
      </c>
      <c r="N2268">
        <v>18.61</v>
      </c>
      <c r="O2268">
        <v>49.87</v>
      </c>
      <c r="P2268">
        <v>4</v>
      </c>
      <c r="Q2268" t="s">
        <v>25</v>
      </c>
      <c r="R2268">
        <v>67.504999999999995</v>
      </c>
      <c r="S2268">
        <v>8.49</v>
      </c>
      <c r="T2268" s="4">
        <v>47.718999999999902</v>
      </c>
      <c r="U2268" s="4">
        <v>23.284303000000001</v>
      </c>
      <c r="V2268" t="str">
        <f>IF(Table1[[#This Row],[ai_disruption_intensity]]&gt;70,"High",
IF(Table1[[#This Row],[ai_disruption_intensity]]&gt;40,"Medium","Low"))</f>
        <v>Low</v>
      </c>
      <c r="W2268" t="str">
        <f>IF(Table1[[#This Row],[skill_gap_index]]&gt;70,"Large Gap",
IF(Table1[[#This Row],[skill_gap_index]]&gt;40,"Medium Gap","Small Gap"))</f>
        <v>Large Gap</v>
      </c>
      <c r="X2268" s="3" t="str">
        <f>IF(Table1[[#This Row],[automation_risk_percent]]&gt;0.7,"Highly Automatable",
IF(Table1[[#This Row],[automation_risk_percent]]&gt;0.4,"Moderate Risk","Safe Job"))</f>
        <v>Moderate Risk</v>
      </c>
    </row>
    <row r="2269" spans="1:24" x14ac:dyDescent="0.3">
      <c r="A2269">
        <v>7996</v>
      </c>
      <c r="B2269" t="s">
        <v>43</v>
      </c>
      <c r="C2269" t="s">
        <v>30</v>
      </c>
      <c r="D2269" t="s">
        <v>47</v>
      </c>
      <c r="E2269" s="1">
        <v>2025</v>
      </c>
      <c r="F2269" s="11">
        <v>0.78060000000000007</v>
      </c>
      <c r="G2269">
        <v>81.52</v>
      </c>
      <c r="H2269">
        <v>29.63</v>
      </c>
      <c r="I2269" s="2">
        <v>85005.26</v>
      </c>
      <c r="J2269" s="2">
        <v>79957.22</v>
      </c>
      <c r="K2269" s="2">
        <f>Table1[[#This Row],[Salary_after]]-Table1[[#This Row],[Salary_before]]</f>
        <v>-5048.0399999999936</v>
      </c>
      <c r="L2269" s="11">
        <v>-5.9400000000000001E-2</v>
      </c>
      <c r="M2269" s="11">
        <v>0.2407</v>
      </c>
      <c r="N2269">
        <v>91.97</v>
      </c>
      <c r="O2269">
        <v>86.75</v>
      </c>
      <c r="P2269">
        <v>5</v>
      </c>
      <c r="Q2269" t="s">
        <v>37</v>
      </c>
      <c r="R2269">
        <v>53.844999999999999</v>
      </c>
      <c r="S2269">
        <v>5.94</v>
      </c>
      <c r="T2269" s="4">
        <v>41.894999999999897</v>
      </c>
      <c r="U2269" s="4">
        <v>67.71705</v>
      </c>
      <c r="V2269" t="str">
        <f>IF(Table1[[#This Row],[ai_disruption_intensity]]&gt;70,"High",
IF(Table1[[#This Row],[ai_disruption_intensity]]&gt;40,"Medium","Low"))</f>
        <v>Medium</v>
      </c>
      <c r="W2269" t="str">
        <f>IF(Table1[[#This Row],[skill_gap_index]]&gt;70,"Large Gap",
IF(Table1[[#This Row],[skill_gap_index]]&gt;40,"Medium Gap","Small Gap"))</f>
        <v>Small Gap</v>
      </c>
      <c r="X2269" s="3" t="str">
        <f>IF(Table1[[#This Row],[automation_risk_percent]]&gt;0.7,"Highly Automatable",
IF(Table1[[#This Row],[automation_risk_percent]]&gt;0.4,"Moderate Risk","Safe Job"))</f>
        <v>Highly Automatable</v>
      </c>
    </row>
    <row r="2270" spans="1:24" x14ac:dyDescent="0.3">
      <c r="A2270">
        <v>7997</v>
      </c>
      <c r="B2270" t="s">
        <v>18</v>
      </c>
      <c r="C2270" t="s">
        <v>19</v>
      </c>
      <c r="D2270" t="s">
        <v>35</v>
      </c>
      <c r="E2270" s="1">
        <v>2025</v>
      </c>
      <c r="F2270" s="11">
        <v>0.20280000000000001</v>
      </c>
      <c r="G2270">
        <v>22.59</v>
      </c>
      <c r="H2270">
        <v>94.24</v>
      </c>
      <c r="I2270" s="2">
        <v>68028.990000000005</v>
      </c>
      <c r="J2270" s="2">
        <v>57489.82</v>
      </c>
      <c r="K2270" s="2">
        <f>Table1[[#This Row],[Salary_after]]-Table1[[#This Row],[Salary_before]]</f>
        <v>-10539.170000000006</v>
      </c>
      <c r="L2270" s="11">
        <v>-0.15490000000000001</v>
      </c>
      <c r="M2270" s="11">
        <v>-9.9700000000000011E-2</v>
      </c>
      <c r="N2270">
        <v>34</v>
      </c>
      <c r="O2270">
        <v>16.41</v>
      </c>
      <c r="P2270">
        <v>2</v>
      </c>
      <c r="Q2270" t="s">
        <v>21</v>
      </c>
      <c r="R2270">
        <v>57.26</v>
      </c>
      <c r="S2270">
        <v>15.49</v>
      </c>
      <c r="T2270" s="4">
        <v>41.030999999999999</v>
      </c>
      <c r="U2270" s="4">
        <v>3.3279480000000001</v>
      </c>
      <c r="V2270" t="str">
        <f>IF(Table1[[#This Row],[ai_disruption_intensity]]&gt;70,"High",
IF(Table1[[#This Row],[ai_disruption_intensity]]&gt;40,"Medium","Low"))</f>
        <v>Low</v>
      </c>
      <c r="W2270" t="str">
        <f>IF(Table1[[#This Row],[skill_gap_index]]&gt;70,"Large Gap",
IF(Table1[[#This Row],[skill_gap_index]]&gt;40,"Medium Gap","Small Gap"))</f>
        <v>Large Gap</v>
      </c>
      <c r="X2270" s="3" t="str">
        <f>IF(Table1[[#This Row],[automation_risk_percent]]&gt;0.7,"Highly Automatable",
IF(Table1[[#This Row],[automation_risk_percent]]&gt;0.4,"Moderate Risk","Safe Job"))</f>
        <v>Safe Job</v>
      </c>
    </row>
    <row r="2271" spans="1:24" x14ac:dyDescent="0.3">
      <c r="A2271">
        <v>7999</v>
      </c>
      <c r="B2271" t="s">
        <v>39</v>
      </c>
      <c r="C2271" t="s">
        <v>34</v>
      </c>
      <c r="D2271" t="s">
        <v>42</v>
      </c>
      <c r="E2271" s="1">
        <v>2026</v>
      </c>
      <c r="F2271" s="11">
        <v>0.55110000000000003</v>
      </c>
      <c r="G2271">
        <v>61.07</v>
      </c>
      <c r="H2271">
        <v>33.22</v>
      </c>
      <c r="I2271" s="2">
        <v>70760.710000000006</v>
      </c>
      <c r="J2271" s="2">
        <v>61848.91</v>
      </c>
      <c r="K2271" s="2">
        <f>Table1[[#This Row],[Salary_after]]-Table1[[#This Row],[Salary_before]]</f>
        <v>-8911.8000000000029</v>
      </c>
      <c r="L2271" s="11">
        <v>-0.12590000000000001</v>
      </c>
      <c r="M2271" s="11">
        <v>3.1300000000000001E-2</v>
      </c>
      <c r="N2271">
        <v>93.45</v>
      </c>
      <c r="O2271">
        <v>70.55</v>
      </c>
      <c r="P2271">
        <v>3</v>
      </c>
      <c r="Q2271" t="s">
        <v>25</v>
      </c>
      <c r="R2271">
        <v>44.164999999999999</v>
      </c>
      <c r="S2271">
        <v>12.59</v>
      </c>
      <c r="T2271" s="4">
        <v>35.786999999999999</v>
      </c>
      <c r="U2271" s="4">
        <v>38.880105</v>
      </c>
      <c r="V2271" t="str">
        <f>IF(Table1[[#This Row],[ai_disruption_intensity]]&gt;70,"High",
IF(Table1[[#This Row],[ai_disruption_intensity]]&gt;40,"Medium","Low"))</f>
        <v>Low</v>
      </c>
      <c r="W2271" t="str">
        <f>IF(Table1[[#This Row],[skill_gap_index]]&gt;70,"Large Gap",
IF(Table1[[#This Row],[skill_gap_index]]&gt;40,"Medium Gap","Small Gap"))</f>
        <v>Small Gap</v>
      </c>
      <c r="X2271" s="3" t="str">
        <f>IF(Table1[[#This Row],[automation_risk_percent]]&gt;0.7,"Highly Automatable",
IF(Table1[[#This Row],[automation_risk_percent]]&gt;0.4,"Moderate Risk","Safe Job"))</f>
        <v>Moderate Risk</v>
      </c>
    </row>
    <row r="2272" spans="1:24" x14ac:dyDescent="0.3">
      <c r="A2272">
        <v>8006</v>
      </c>
      <c r="B2272" t="s">
        <v>46</v>
      </c>
      <c r="C2272" t="s">
        <v>23</v>
      </c>
      <c r="D2272" t="s">
        <v>20</v>
      </c>
      <c r="E2272" s="1">
        <v>2026</v>
      </c>
      <c r="F2272" s="11">
        <v>9.8699999999999996E-2</v>
      </c>
      <c r="G2272">
        <v>11.43</v>
      </c>
      <c r="H2272">
        <v>14.42</v>
      </c>
      <c r="I2272" s="2">
        <v>130835.39</v>
      </c>
      <c r="J2272" s="2">
        <v>116998.19</v>
      </c>
      <c r="K2272" s="2">
        <f>Table1[[#This Row],[Salary_after]]-Table1[[#This Row],[Salary_before]]</f>
        <v>-13837.199999999997</v>
      </c>
      <c r="L2272" s="11">
        <v>-0.10580000000000001</v>
      </c>
      <c r="M2272" s="11">
        <v>0.17850000000000002</v>
      </c>
      <c r="N2272">
        <v>39.47</v>
      </c>
      <c r="O2272">
        <v>96.6</v>
      </c>
      <c r="P2272">
        <v>4</v>
      </c>
      <c r="Q2272" t="s">
        <v>21</v>
      </c>
      <c r="R2272">
        <v>12.145</v>
      </c>
      <c r="S2272">
        <v>10.58</v>
      </c>
      <c r="T2272" s="4">
        <v>11.447999999999899</v>
      </c>
      <c r="U2272" s="4">
        <v>9.5344199999999901</v>
      </c>
      <c r="V2272" t="str">
        <f>IF(Table1[[#This Row],[ai_disruption_intensity]]&gt;70,"High",
IF(Table1[[#This Row],[ai_disruption_intensity]]&gt;40,"Medium","Low"))</f>
        <v>Low</v>
      </c>
      <c r="W2272" t="str">
        <f>IF(Table1[[#This Row],[skill_gap_index]]&gt;70,"Large Gap",
IF(Table1[[#This Row],[skill_gap_index]]&gt;40,"Medium Gap","Small Gap"))</f>
        <v>Small Gap</v>
      </c>
      <c r="X2272" s="3" t="str">
        <f>IF(Table1[[#This Row],[automation_risk_percent]]&gt;0.7,"Highly Automatable",
IF(Table1[[#This Row],[automation_risk_percent]]&gt;0.4,"Moderate Risk","Safe Job"))</f>
        <v>Safe Job</v>
      </c>
    </row>
    <row r="2273" spans="1:24" x14ac:dyDescent="0.3">
      <c r="A2273">
        <v>8007</v>
      </c>
      <c r="B2273" t="s">
        <v>39</v>
      </c>
      <c r="C2273" t="s">
        <v>33</v>
      </c>
      <c r="D2273" t="s">
        <v>42</v>
      </c>
      <c r="E2273" s="1">
        <v>2025</v>
      </c>
      <c r="F2273" s="11">
        <v>0.23649999999999999</v>
      </c>
      <c r="G2273">
        <v>25.76</v>
      </c>
      <c r="H2273">
        <v>18.37</v>
      </c>
      <c r="I2273" s="2">
        <v>138647.70000000001</v>
      </c>
      <c r="J2273" s="2">
        <v>140883.95000000001</v>
      </c>
      <c r="K2273" s="2">
        <f>Table1[[#This Row],[Salary_after]]-Table1[[#This Row],[Salary_before]]</f>
        <v>2236.25</v>
      </c>
      <c r="L2273" s="11">
        <v>1.61E-2</v>
      </c>
      <c r="M2273" s="11">
        <v>5.9000000000000004E-2</v>
      </c>
      <c r="N2273">
        <v>89.12</v>
      </c>
      <c r="O2273">
        <v>54.95</v>
      </c>
      <c r="P2273">
        <v>5</v>
      </c>
      <c r="Q2273" t="s">
        <v>21</v>
      </c>
      <c r="R2273">
        <v>21.009999999999899</v>
      </c>
      <c r="S2273">
        <v>1.61</v>
      </c>
      <c r="T2273" s="4">
        <v>15.454000000000001</v>
      </c>
      <c r="U2273" s="4">
        <v>12.995674999999901</v>
      </c>
      <c r="V2273" t="str">
        <f>IF(Table1[[#This Row],[ai_disruption_intensity]]&gt;70,"High",
IF(Table1[[#This Row],[ai_disruption_intensity]]&gt;40,"Medium","Low"))</f>
        <v>Low</v>
      </c>
      <c r="W2273" t="str">
        <f>IF(Table1[[#This Row],[skill_gap_index]]&gt;70,"Large Gap",
IF(Table1[[#This Row],[skill_gap_index]]&gt;40,"Medium Gap","Small Gap"))</f>
        <v>Small Gap</v>
      </c>
      <c r="X2273" s="3" t="str">
        <f>IF(Table1[[#This Row],[automation_risk_percent]]&gt;0.7,"Highly Automatable",
IF(Table1[[#This Row],[automation_risk_percent]]&gt;0.4,"Moderate Risk","Safe Job"))</f>
        <v>Safe Job</v>
      </c>
    </row>
    <row r="2274" spans="1:24" x14ac:dyDescent="0.3">
      <c r="A2274">
        <v>8017</v>
      </c>
      <c r="B2274" t="s">
        <v>45</v>
      </c>
      <c r="C2274" t="s">
        <v>23</v>
      </c>
      <c r="D2274" t="s">
        <v>35</v>
      </c>
      <c r="E2274" s="1">
        <v>2025</v>
      </c>
      <c r="F2274" s="11">
        <v>0.22320000000000001</v>
      </c>
      <c r="G2274">
        <v>24.29</v>
      </c>
      <c r="H2274">
        <v>49.91</v>
      </c>
      <c r="I2274" s="2">
        <v>86788.09</v>
      </c>
      <c r="J2274" s="2">
        <v>85250.38</v>
      </c>
      <c r="K2274" s="2">
        <f>Table1[[#This Row],[Salary_after]]-Table1[[#This Row],[Salary_before]]</f>
        <v>-1537.7099999999919</v>
      </c>
      <c r="L2274" s="11">
        <v>-1.77E-2</v>
      </c>
      <c r="M2274" s="11">
        <v>6.6400000000000001E-2</v>
      </c>
      <c r="N2274">
        <v>54.19</v>
      </c>
      <c r="O2274">
        <v>78.08</v>
      </c>
      <c r="P2274">
        <v>4</v>
      </c>
      <c r="Q2274" t="s">
        <v>21</v>
      </c>
      <c r="R2274">
        <v>36.114999999999903</v>
      </c>
      <c r="S2274">
        <v>1.77</v>
      </c>
      <c r="T2274" s="4">
        <v>24.431999999999999</v>
      </c>
      <c r="U2274" s="4">
        <v>17.427455999999999</v>
      </c>
      <c r="V2274" t="str">
        <f>IF(Table1[[#This Row],[ai_disruption_intensity]]&gt;70,"High",
IF(Table1[[#This Row],[ai_disruption_intensity]]&gt;40,"Medium","Low"))</f>
        <v>Low</v>
      </c>
      <c r="W2274" t="str">
        <f>IF(Table1[[#This Row],[skill_gap_index]]&gt;70,"Large Gap",
IF(Table1[[#This Row],[skill_gap_index]]&gt;40,"Medium Gap","Small Gap"))</f>
        <v>Medium Gap</v>
      </c>
      <c r="X2274" s="3" t="str">
        <f>IF(Table1[[#This Row],[automation_risk_percent]]&gt;0.7,"Highly Automatable",
IF(Table1[[#This Row],[automation_risk_percent]]&gt;0.4,"Moderate Risk","Safe Job"))</f>
        <v>Safe Job</v>
      </c>
    </row>
    <row r="2275" spans="1:24" x14ac:dyDescent="0.3">
      <c r="A2275">
        <v>8022</v>
      </c>
      <c r="B2275" t="s">
        <v>18</v>
      </c>
      <c r="C2275" t="s">
        <v>34</v>
      </c>
      <c r="D2275" t="s">
        <v>32</v>
      </c>
      <c r="E2275" s="1">
        <v>2026</v>
      </c>
      <c r="F2275" s="11">
        <v>0.71959999999999991</v>
      </c>
      <c r="G2275">
        <v>62.79</v>
      </c>
      <c r="H2275">
        <v>6.22</v>
      </c>
      <c r="I2275" s="2">
        <v>99876.97</v>
      </c>
      <c r="J2275" s="2">
        <v>122106.74</v>
      </c>
      <c r="K2275" s="2">
        <f>Table1[[#This Row],[Salary_after]]-Table1[[#This Row],[Salary_before]]</f>
        <v>22229.770000000004</v>
      </c>
      <c r="L2275" s="11">
        <v>0.22260000000000002</v>
      </c>
      <c r="M2275" s="11">
        <v>0.2011</v>
      </c>
      <c r="N2275">
        <v>52.13</v>
      </c>
      <c r="O2275">
        <v>14.19</v>
      </c>
      <c r="P2275">
        <v>3</v>
      </c>
      <c r="Q2275" t="s">
        <v>37</v>
      </c>
      <c r="R2275">
        <v>39.089999999999897</v>
      </c>
      <c r="S2275">
        <v>22.26</v>
      </c>
      <c r="T2275" s="4">
        <v>37.327999999999903</v>
      </c>
      <c r="U2275" s="4">
        <v>10.2111239999999</v>
      </c>
      <c r="V2275" t="str">
        <f>IF(Table1[[#This Row],[ai_disruption_intensity]]&gt;70,"High",
IF(Table1[[#This Row],[ai_disruption_intensity]]&gt;40,"Medium","Low"))</f>
        <v>Low</v>
      </c>
      <c r="W2275" t="str">
        <f>IF(Table1[[#This Row],[skill_gap_index]]&gt;70,"Large Gap",
IF(Table1[[#This Row],[skill_gap_index]]&gt;40,"Medium Gap","Small Gap"))</f>
        <v>Small Gap</v>
      </c>
      <c r="X2275" s="3" t="str">
        <f>IF(Table1[[#This Row],[automation_risk_percent]]&gt;0.7,"Highly Automatable",
IF(Table1[[#This Row],[automation_risk_percent]]&gt;0.4,"Moderate Risk","Safe Job"))</f>
        <v>Highly Automatable</v>
      </c>
    </row>
    <row r="2276" spans="1:24" x14ac:dyDescent="0.3">
      <c r="A2276">
        <v>8024</v>
      </c>
      <c r="B2276" t="s">
        <v>43</v>
      </c>
      <c r="C2276" t="s">
        <v>27</v>
      </c>
      <c r="D2276" t="s">
        <v>47</v>
      </c>
      <c r="E2276" s="1">
        <v>2025</v>
      </c>
      <c r="F2276" s="11">
        <v>0.65749999999999997</v>
      </c>
      <c r="G2276">
        <v>59.44</v>
      </c>
      <c r="H2276">
        <v>36.729999999999997</v>
      </c>
      <c r="I2276" s="2">
        <v>142199.62</v>
      </c>
      <c r="J2276" s="2">
        <v>153965.73000000001</v>
      </c>
      <c r="K2276" s="2">
        <f>Table1[[#This Row],[Salary_after]]-Table1[[#This Row],[Salary_before]]</f>
        <v>11766.110000000015</v>
      </c>
      <c r="L2276" s="11">
        <v>8.2699999999999996E-2</v>
      </c>
      <c r="M2276" s="11">
        <v>-7.2800000000000004E-2</v>
      </c>
      <c r="N2276">
        <v>42.81</v>
      </c>
      <c r="O2276">
        <v>47.12</v>
      </c>
      <c r="P2276">
        <v>1</v>
      </c>
      <c r="Q2276" t="s">
        <v>37</v>
      </c>
      <c r="R2276">
        <v>51.239999999999903</v>
      </c>
      <c r="S2276">
        <v>8.27</v>
      </c>
      <c r="T2276" s="4">
        <v>39.799999999999997</v>
      </c>
      <c r="U2276" s="4">
        <v>30.981399999999901</v>
      </c>
      <c r="V2276" t="str">
        <f>IF(Table1[[#This Row],[ai_disruption_intensity]]&gt;70,"High",
IF(Table1[[#This Row],[ai_disruption_intensity]]&gt;40,"Medium","Low"))</f>
        <v>Low</v>
      </c>
      <c r="W2276" t="str">
        <f>IF(Table1[[#This Row],[skill_gap_index]]&gt;70,"Large Gap",
IF(Table1[[#This Row],[skill_gap_index]]&gt;40,"Medium Gap","Small Gap"))</f>
        <v>Small Gap</v>
      </c>
      <c r="X2276" s="3" t="str">
        <f>IF(Table1[[#This Row],[automation_risk_percent]]&gt;0.7,"Highly Automatable",
IF(Table1[[#This Row],[automation_risk_percent]]&gt;0.4,"Moderate Risk","Safe Job"))</f>
        <v>Moderate Risk</v>
      </c>
    </row>
    <row r="2277" spans="1:24" x14ac:dyDescent="0.3">
      <c r="A2277">
        <v>8027</v>
      </c>
      <c r="B2277" t="s">
        <v>29</v>
      </c>
      <c r="C2277" t="s">
        <v>19</v>
      </c>
      <c r="D2277" t="s">
        <v>24</v>
      </c>
      <c r="E2277" s="1">
        <v>2025</v>
      </c>
      <c r="F2277" s="11">
        <v>0.60699999999999998</v>
      </c>
      <c r="G2277">
        <v>63.69</v>
      </c>
      <c r="H2277">
        <v>17.010000000000002</v>
      </c>
      <c r="I2277" s="2">
        <v>60484.86</v>
      </c>
      <c r="J2277" s="2">
        <v>59982.41</v>
      </c>
      <c r="K2277" s="2">
        <f>Table1[[#This Row],[Salary_after]]-Table1[[#This Row],[Salary_before]]</f>
        <v>-502.44999999999709</v>
      </c>
      <c r="L2277" s="11">
        <v>-8.3000000000000001E-3</v>
      </c>
      <c r="M2277" s="11">
        <v>6.1699999999999998E-2</v>
      </c>
      <c r="N2277">
        <v>30.97</v>
      </c>
      <c r="O2277">
        <v>51</v>
      </c>
      <c r="P2277">
        <v>5</v>
      </c>
      <c r="Q2277" t="s">
        <v>37</v>
      </c>
      <c r="R2277">
        <v>38.854999999999997</v>
      </c>
      <c r="S2277">
        <v>0.83</v>
      </c>
      <c r="T2277" s="4">
        <v>29.632000000000001</v>
      </c>
      <c r="U2277" s="4">
        <v>30.957000000000001</v>
      </c>
      <c r="V2277" t="str">
        <f>IF(Table1[[#This Row],[ai_disruption_intensity]]&gt;70,"High",
IF(Table1[[#This Row],[ai_disruption_intensity]]&gt;40,"Medium","Low"))</f>
        <v>Low</v>
      </c>
      <c r="W2277" t="str">
        <f>IF(Table1[[#This Row],[skill_gap_index]]&gt;70,"Large Gap",
IF(Table1[[#This Row],[skill_gap_index]]&gt;40,"Medium Gap","Small Gap"))</f>
        <v>Small Gap</v>
      </c>
      <c r="X2277" s="3" t="str">
        <f>IF(Table1[[#This Row],[automation_risk_percent]]&gt;0.7,"Highly Automatable",
IF(Table1[[#This Row],[automation_risk_percent]]&gt;0.4,"Moderate Risk","Safe Job"))</f>
        <v>Moderate Risk</v>
      </c>
    </row>
    <row r="2278" spans="1:24" x14ac:dyDescent="0.3">
      <c r="A2278">
        <v>8029</v>
      </c>
      <c r="B2278" t="s">
        <v>45</v>
      </c>
      <c r="C2278" t="s">
        <v>23</v>
      </c>
      <c r="D2278" t="s">
        <v>32</v>
      </c>
      <c r="E2278" s="1">
        <v>2025</v>
      </c>
      <c r="F2278" s="11">
        <v>0.65069999999999995</v>
      </c>
      <c r="G2278">
        <v>74.41</v>
      </c>
      <c r="H2278">
        <v>17.48</v>
      </c>
      <c r="I2278" s="2">
        <v>70901.89</v>
      </c>
      <c r="J2278" s="2">
        <v>74596.320000000007</v>
      </c>
      <c r="K2278" s="2">
        <f>Table1[[#This Row],[Salary_after]]-Table1[[#This Row],[Salary_before]]</f>
        <v>3694.4300000000076</v>
      </c>
      <c r="L2278" s="11">
        <v>5.21E-2</v>
      </c>
      <c r="M2278" s="11">
        <v>7.2599999999999998E-2</v>
      </c>
      <c r="N2278">
        <v>70.02</v>
      </c>
      <c r="O2278">
        <v>20.79</v>
      </c>
      <c r="P2278">
        <v>2</v>
      </c>
      <c r="Q2278" t="s">
        <v>37</v>
      </c>
      <c r="R2278">
        <v>41.274999999999999</v>
      </c>
      <c r="S2278">
        <v>5.21</v>
      </c>
      <c r="T2278" s="4">
        <v>32.835000000000001</v>
      </c>
      <c r="U2278" s="4">
        <v>13.5280529999999</v>
      </c>
      <c r="V2278" t="str">
        <f>IF(Table1[[#This Row],[ai_disruption_intensity]]&gt;70,"High",
IF(Table1[[#This Row],[ai_disruption_intensity]]&gt;40,"Medium","Low"))</f>
        <v>Low</v>
      </c>
      <c r="W2278" t="str">
        <f>IF(Table1[[#This Row],[skill_gap_index]]&gt;70,"Large Gap",
IF(Table1[[#This Row],[skill_gap_index]]&gt;40,"Medium Gap","Small Gap"))</f>
        <v>Small Gap</v>
      </c>
      <c r="X2278" s="3" t="str">
        <f>IF(Table1[[#This Row],[automation_risk_percent]]&gt;0.7,"Highly Automatable",
IF(Table1[[#This Row],[automation_risk_percent]]&gt;0.4,"Moderate Risk","Safe Job"))</f>
        <v>Moderate Risk</v>
      </c>
    </row>
    <row r="2279" spans="1:24" x14ac:dyDescent="0.3">
      <c r="A2279">
        <v>8032</v>
      </c>
      <c r="B2279" t="s">
        <v>18</v>
      </c>
      <c r="C2279" t="s">
        <v>23</v>
      </c>
      <c r="D2279" t="s">
        <v>47</v>
      </c>
      <c r="E2279" s="1">
        <v>2026</v>
      </c>
      <c r="F2279" s="11">
        <v>0.47909999999999997</v>
      </c>
      <c r="G2279">
        <v>50.09</v>
      </c>
      <c r="H2279">
        <v>7.43</v>
      </c>
      <c r="I2279" s="2">
        <v>118672.88</v>
      </c>
      <c r="J2279" s="2">
        <v>107182.11</v>
      </c>
      <c r="K2279" s="2">
        <f>Table1[[#This Row],[Salary_after]]-Table1[[#This Row],[Salary_before]]</f>
        <v>-11490.770000000004</v>
      </c>
      <c r="L2279" s="11">
        <v>-9.6799999999999997E-2</v>
      </c>
      <c r="M2279" s="11">
        <v>2.1000000000000001E-2</v>
      </c>
      <c r="N2279">
        <v>44.84</v>
      </c>
      <c r="O2279">
        <v>9.83</v>
      </c>
      <c r="P2279">
        <v>4</v>
      </c>
      <c r="Q2279" t="s">
        <v>25</v>
      </c>
      <c r="R2279">
        <v>27.669999999999899</v>
      </c>
      <c r="S2279">
        <v>9.68</v>
      </c>
      <c r="T2279" s="4">
        <v>24.296999999999901</v>
      </c>
      <c r="U2279" s="4">
        <v>4.7095529999999997</v>
      </c>
      <c r="V2279" t="str">
        <f>IF(Table1[[#This Row],[ai_disruption_intensity]]&gt;70,"High",
IF(Table1[[#This Row],[ai_disruption_intensity]]&gt;40,"Medium","Low"))</f>
        <v>Low</v>
      </c>
      <c r="W2279" t="str">
        <f>IF(Table1[[#This Row],[skill_gap_index]]&gt;70,"Large Gap",
IF(Table1[[#This Row],[skill_gap_index]]&gt;40,"Medium Gap","Small Gap"))</f>
        <v>Small Gap</v>
      </c>
      <c r="X2279" s="3" t="str">
        <f>IF(Table1[[#This Row],[automation_risk_percent]]&gt;0.7,"Highly Automatable",
IF(Table1[[#This Row],[automation_risk_percent]]&gt;0.4,"Moderate Risk","Safe Job"))</f>
        <v>Moderate Risk</v>
      </c>
    </row>
    <row r="2280" spans="1:24" x14ac:dyDescent="0.3">
      <c r="A2280">
        <v>8034</v>
      </c>
      <c r="B2280" t="s">
        <v>26</v>
      </c>
      <c r="C2280" t="s">
        <v>40</v>
      </c>
      <c r="D2280" t="s">
        <v>35</v>
      </c>
      <c r="E2280" s="1">
        <v>2025</v>
      </c>
      <c r="F2280" s="11">
        <v>0.64200000000000002</v>
      </c>
      <c r="G2280">
        <v>59.86</v>
      </c>
      <c r="H2280">
        <v>19.329999999999998</v>
      </c>
      <c r="I2280" s="2">
        <v>44766.92</v>
      </c>
      <c r="J2280" s="2">
        <v>51723.11</v>
      </c>
      <c r="K2280" s="2">
        <f>Table1[[#This Row],[Salary_after]]-Table1[[#This Row],[Salary_before]]</f>
        <v>6956.1900000000023</v>
      </c>
      <c r="L2280" s="11">
        <v>0.15539999999999998</v>
      </c>
      <c r="M2280" s="11">
        <v>3.6200000000000003E-2</v>
      </c>
      <c r="N2280">
        <v>56.9</v>
      </c>
      <c r="O2280">
        <v>2.0699999999999998</v>
      </c>
      <c r="P2280">
        <v>2</v>
      </c>
      <c r="Q2280" t="s">
        <v>37</v>
      </c>
      <c r="R2280">
        <v>41.765000000000001</v>
      </c>
      <c r="S2280">
        <v>15.54</v>
      </c>
      <c r="T2280" s="4">
        <v>36.140999999999998</v>
      </c>
      <c r="U2280" s="4">
        <v>1.32894</v>
      </c>
      <c r="V2280" t="str">
        <f>IF(Table1[[#This Row],[ai_disruption_intensity]]&gt;70,"High",
IF(Table1[[#This Row],[ai_disruption_intensity]]&gt;40,"Medium","Low"))</f>
        <v>Low</v>
      </c>
      <c r="W2280" t="str">
        <f>IF(Table1[[#This Row],[skill_gap_index]]&gt;70,"Large Gap",
IF(Table1[[#This Row],[skill_gap_index]]&gt;40,"Medium Gap","Small Gap"))</f>
        <v>Small Gap</v>
      </c>
      <c r="X2280" s="3" t="str">
        <f>IF(Table1[[#This Row],[automation_risk_percent]]&gt;0.7,"Highly Automatable",
IF(Table1[[#This Row],[automation_risk_percent]]&gt;0.4,"Moderate Risk","Safe Job"))</f>
        <v>Moderate Risk</v>
      </c>
    </row>
    <row r="2281" spans="1:24" x14ac:dyDescent="0.3">
      <c r="A2281">
        <v>8037</v>
      </c>
      <c r="B2281" t="s">
        <v>18</v>
      </c>
      <c r="C2281" t="s">
        <v>34</v>
      </c>
      <c r="D2281" t="s">
        <v>36</v>
      </c>
      <c r="E2281" s="1">
        <v>2026</v>
      </c>
      <c r="F2281" s="11">
        <v>0.56799999999999995</v>
      </c>
      <c r="G2281">
        <v>61.35</v>
      </c>
      <c r="H2281">
        <v>31.83</v>
      </c>
      <c r="I2281" s="2">
        <v>137109.17000000001</v>
      </c>
      <c r="J2281" s="2">
        <v>139934.28</v>
      </c>
      <c r="K2281" s="2">
        <f>Table1[[#This Row],[Salary_after]]-Table1[[#This Row],[Salary_before]]</f>
        <v>2825.109999999986</v>
      </c>
      <c r="L2281" s="11">
        <v>2.06E-2</v>
      </c>
      <c r="M2281" s="11">
        <v>-1.6000000000000001E-3</v>
      </c>
      <c r="N2281">
        <v>34.630000000000003</v>
      </c>
      <c r="O2281">
        <v>19.920000000000002</v>
      </c>
      <c r="P2281">
        <v>2</v>
      </c>
      <c r="Q2281" t="s">
        <v>25</v>
      </c>
      <c r="R2281">
        <v>44.314999999999998</v>
      </c>
      <c r="S2281">
        <v>2.06</v>
      </c>
      <c r="T2281" s="4">
        <v>32.887</v>
      </c>
      <c r="U2281" s="4">
        <v>11.31456</v>
      </c>
      <c r="V2281" t="str">
        <f>IF(Table1[[#This Row],[ai_disruption_intensity]]&gt;70,"High",
IF(Table1[[#This Row],[ai_disruption_intensity]]&gt;40,"Medium","Low"))</f>
        <v>Low</v>
      </c>
      <c r="W2281" t="str">
        <f>IF(Table1[[#This Row],[skill_gap_index]]&gt;70,"Large Gap",
IF(Table1[[#This Row],[skill_gap_index]]&gt;40,"Medium Gap","Small Gap"))</f>
        <v>Small Gap</v>
      </c>
      <c r="X2281" s="3" t="str">
        <f>IF(Table1[[#This Row],[automation_risk_percent]]&gt;0.7,"Highly Automatable",
IF(Table1[[#This Row],[automation_risk_percent]]&gt;0.4,"Moderate Risk","Safe Job"))</f>
        <v>Moderate Risk</v>
      </c>
    </row>
    <row r="2282" spans="1:24" x14ac:dyDescent="0.3">
      <c r="A2282">
        <v>8044</v>
      </c>
      <c r="B2282" t="s">
        <v>39</v>
      </c>
      <c r="C2282" t="s">
        <v>23</v>
      </c>
      <c r="D2282" t="s">
        <v>32</v>
      </c>
      <c r="E2282" s="1">
        <v>2026</v>
      </c>
      <c r="F2282" s="11">
        <v>0.25989999999999996</v>
      </c>
      <c r="G2282">
        <v>25.83</v>
      </c>
      <c r="H2282">
        <v>88.76</v>
      </c>
      <c r="I2282" s="2">
        <v>33406.92</v>
      </c>
      <c r="J2282" s="2">
        <v>31657.59</v>
      </c>
      <c r="K2282" s="2">
        <f>Table1[[#This Row],[Salary_after]]-Table1[[#This Row],[Salary_before]]</f>
        <v>-1749.3299999999981</v>
      </c>
      <c r="L2282" s="11">
        <v>-5.2400000000000002E-2</v>
      </c>
      <c r="M2282" s="11">
        <v>0.17879999999999999</v>
      </c>
      <c r="N2282">
        <v>58.7</v>
      </c>
      <c r="O2282">
        <v>23.09</v>
      </c>
      <c r="P2282">
        <v>5</v>
      </c>
      <c r="Q2282" t="s">
        <v>21</v>
      </c>
      <c r="R2282">
        <v>57.375</v>
      </c>
      <c r="S2282">
        <v>5.24</v>
      </c>
      <c r="T2282" s="4">
        <v>38.595999999999997</v>
      </c>
      <c r="U2282" s="4">
        <v>6.0010909999999997</v>
      </c>
      <c r="V2282" t="str">
        <f>IF(Table1[[#This Row],[ai_disruption_intensity]]&gt;70,"High",
IF(Table1[[#This Row],[ai_disruption_intensity]]&gt;40,"Medium","Low"))</f>
        <v>Low</v>
      </c>
      <c r="W2282" t="str">
        <f>IF(Table1[[#This Row],[skill_gap_index]]&gt;70,"Large Gap",
IF(Table1[[#This Row],[skill_gap_index]]&gt;40,"Medium Gap","Small Gap"))</f>
        <v>Large Gap</v>
      </c>
      <c r="X2282" s="3" t="str">
        <f>IF(Table1[[#This Row],[automation_risk_percent]]&gt;0.7,"Highly Automatable",
IF(Table1[[#This Row],[automation_risk_percent]]&gt;0.4,"Moderate Risk","Safe Job"))</f>
        <v>Safe Job</v>
      </c>
    </row>
    <row r="2283" spans="1:24" x14ac:dyDescent="0.3">
      <c r="A2283">
        <v>8047</v>
      </c>
      <c r="B2283" t="s">
        <v>39</v>
      </c>
      <c r="C2283" t="s">
        <v>19</v>
      </c>
      <c r="D2283" t="s">
        <v>24</v>
      </c>
      <c r="E2283" s="1">
        <v>2026</v>
      </c>
      <c r="F2283" s="11">
        <v>0.5383</v>
      </c>
      <c r="G2283">
        <v>55.61</v>
      </c>
      <c r="H2283">
        <v>86.69</v>
      </c>
      <c r="I2283" s="2">
        <v>137506.79</v>
      </c>
      <c r="J2283" s="2">
        <v>144768.94</v>
      </c>
      <c r="K2283" s="2">
        <f>Table1[[#This Row],[Salary_after]]-Table1[[#This Row],[Salary_before]]</f>
        <v>7262.1499999999942</v>
      </c>
      <c r="L2283" s="11">
        <v>5.28E-2</v>
      </c>
      <c r="M2283" s="11">
        <v>0.19409999999999999</v>
      </c>
      <c r="N2283">
        <v>27.93</v>
      </c>
      <c r="O2283">
        <v>27.66</v>
      </c>
      <c r="P2283">
        <v>2</v>
      </c>
      <c r="Q2283" t="s">
        <v>25</v>
      </c>
      <c r="R2283">
        <v>70.259999999999906</v>
      </c>
      <c r="S2283">
        <v>5.28</v>
      </c>
      <c r="T2283" s="4">
        <v>49.122999999999998</v>
      </c>
      <c r="U2283" s="4">
        <v>14.889377999999899</v>
      </c>
      <c r="V2283" t="str">
        <f>IF(Table1[[#This Row],[ai_disruption_intensity]]&gt;70,"High",
IF(Table1[[#This Row],[ai_disruption_intensity]]&gt;40,"Medium","Low"))</f>
        <v>Low</v>
      </c>
      <c r="W2283" t="str">
        <f>IF(Table1[[#This Row],[skill_gap_index]]&gt;70,"Large Gap",
IF(Table1[[#This Row],[skill_gap_index]]&gt;40,"Medium Gap","Small Gap"))</f>
        <v>Large Gap</v>
      </c>
      <c r="X2283" s="3" t="str">
        <f>IF(Table1[[#This Row],[automation_risk_percent]]&gt;0.7,"Highly Automatable",
IF(Table1[[#This Row],[automation_risk_percent]]&gt;0.4,"Moderate Risk","Safe Job"))</f>
        <v>Moderate Risk</v>
      </c>
    </row>
    <row r="2284" spans="1:24" x14ac:dyDescent="0.3">
      <c r="A2284">
        <v>8048</v>
      </c>
      <c r="B2284" t="s">
        <v>41</v>
      </c>
      <c r="C2284" t="s">
        <v>34</v>
      </c>
      <c r="D2284" t="s">
        <v>32</v>
      </c>
      <c r="E2284" s="1">
        <v>2025</v>
      </c>
      <c r="F2284" s="11">
        <v>0.67189999999999994</v>
      </c>
      <c r="G2284">
        <v>57.5</v>
      </c>
      <c r="H2284">
        <v>18.399999999999999</v>
      </c>
      <c r="I2284" s="2">
        <v>139371.87</v>
      </c>
      <c r="J2284" s="2">
        <v>102718.78</v>
      </c>
      <c r="K2284" s="2">
        <f>Table1[[#This Row],[Salary_after]]-Table1[[#This Row],[Salary_before]]</f>
        <v>-36653.089999999997</v>
      </c>
      <c r="L2284" s="11">
        <v>-0.26300000000000001</v>
      </c>
      <c r="M2284" s="11">
        <v>0.1825</v>
      </c>
      <c r="N2284">
        <v>92.69</v>
      </c>
      <c r="O2284">
        <v>0.75</v>
      </c>
      <c r="P2284">
        <v>4</v>
      </c>
      <c r="Q2284" t="s">
        <v>37</v>
      </c>
      <c r="R2284">
        <v>42.795000000000002</v>
      </c>
      <c r="S2284">
        <v>26.3</v>
      </c>
      <c r="T2284" s="4">
        <v>40.286000000000001</v>
      </c>
      <c r="U2284" s="4">
        <v>0.50392499999999996</v>
      </c>
      <c r="V2284" t="str">
        <f>IF(Table1[[#This Row],[ai_disruption_intensity]]&gt;70,"High",
IF(Table1[[#This Row],[ai_disruption_intensity]]&gt;40,"Medium","Low"))</f>
        <v>Low</v>
      </c>
      <c r="W2284" t="str">
        <f>IF(Table1[[#This Row],[skill_gap_index]]&gt;70,"Large Gap",
IF(Table1[[#This Row],[skill_gap_index]]&gt;40,"Medium Gap","Small Gap"))</f>
        <v>Small Gap</v>
      </c>
      <c r="X2284" s="3" t="str">
        <f>IF(Table1[[#This Row],[automation_risk_percent]]&gt;0.7,"Highly Automatable",
IF(Table1[[#This Row],[automation_risk_percent]]&gt;0.4,"Moderate Risk","Safe Job"))</f>
        <v>Moderate Risk</v>
      </c>
    </row>
    <row r="2285" spans="1:24" x14ac:dyDescent="0.3">
      <c r="A2285">
        <v>8049</v>
      </c>
      <c r="B2285" t="s">
        <v>45</v>
      </c>
      <c r="C2285" t="s">
        <v>34</v>
      </c>
      <c r="D2285" t="s">
        <v>36</v>
      </c>
      <c r="E2285" s="1">
        <v>2026</v>
      </c>
      <c r="F2285" s="11">
        <v>0.68830000000000002</v>
      </c>
      <c r="G2285">
        <v>63.23</v>
      </c>
      <c r="H2285">
        <v>64.12</v>
      </c>
      <c r="I2285" s="2">
        <v>68783.759999999995</v>
      </c>
      <c r="J2285" s="2">
        <v>78295.539999999994</v>
      </c>
      <c r="K2285" s="2">
        <f>Table1[[#This Row],[Salary_after]]-Table1[[#This Row],[Salary_before]]</f>
        <v>9511.7799999999988</v>
      </c>
      <c r="L2285" s="11">
        <v>0.13830000000000001</v>
      </c>
      <c r="M2285" s="11">
        <v>6.0299999999999999E-2</v>
      </c>
      <c r="N2285">
        <v>26.31</v>
      </c>
      <c r="O2285">
        <v>66.39</v>
      </c>
      <c r="P2285">
        <v>5</v>
      </c>
      <c r="Q2285" t="s">
        <v>37</v>
      </c>
      <c r="R2285">
        <v>66.474999999999994</v>
      </c>
      <c r="S2285">
        <v>13.83</v>
      </c>
      <c r="T2285" s="4">
        <v>50.917000000000002</v>
      </c>
      <c r="U2285" s="4">
        <v>45.696237000000004</v>
      </c>
      <c r="V2285" t="str">
        <f>IF(Table1[[#This Row],[ai_disruption_intensity]]&gt;70,"High",
IF(Table1[[#This Row],[ai_disruption_intensity]]&gt;40,"Medium","Low"))</f>
        <v>Medium</v>
      </c>
      <c r="W2285" t="str">
        <f>IF(Table1[[#This Row],[skill_gap_index]]&gt;70,"Large Gap",
IF(Table1[[#This Row],[skill_gap_index]]&gt;40,"Medium Gap","Small Gap"))</f>
        <v>Medium Gap</v>
      </c>
      <c r="X2285" s="3" t="str">
        <f>IF(Table1[[#This Row],[automation_risk_percent]]&gt;0.7,"Highly Automatable",
IF(Table1[[#This Row],[automation_risk_percent]]&gt;0.4,"Moderate Risk","Safe Job"))</f>
        <v>Moderate Risk</v>
      </c>
    </row>
    <row r="2286" spans="1:24" x14ac:dyDescent="0.3">
      <c r="A2286">
        <v>8053</v>
      </c>
      <c r="B2286" t="s">
        <v>22</v>
      </c>
      <c r="C2286" t="s">
        <v>38</v>
      </c>
      <c r="D2286" t="s">
        <v>36</v>
      </c>
      <c r="E2286" s="1">
        <v>2026</v>
      </c>
      <c r="F2286" s="11">
        <v>0.79519999999999991</v>
      </c>
      <c r="G2286">
        <v>75.069999999999993</v>
      </c>
      <c r="H2286">
        <v>82.23</v>
      </c>
      <c r="I2286" s="2">
        <v>69448.289999999994</v>
      </c>
      <c r="J2286" s="2">
        <v>68876.87</v>
      </c>
      <c r="K2286" s="2">
        <f>Table1[[#This Row],[Salary_after]]-Table1[[#This Row],[Salary_before]]</f>
        <v>-571.41999999999825</v>
      </c>
      <c r="L2286" s="11">
        <v>-8.199999999999999E-3</v>
      </c>
      <c r="M2286" s="11">
        <v>4.2099999999999999E-2</v>
      </c>
      <c r="N2286">
        <v>19.399999999999999</v>
      </c>
      <c r="O2286">
        <v>79.84</v>
      </c>
      <c r="P2286">
        <v>3</v>
      </c>
      <c r="Q2286" t="s">
        <v>37</v>
      </c>
      <c r="R2286">
        <v>80.875</v>
      </c>
      <c r="S2286">
        <v>0.82</v>
      </c>
      <c r="T2286" s="4">
        <v>56.722999999999999</v>
      </c>
      <c r="U2286" s="4">
        <v>63.488768</v>
      </c>
      <c r="V2286" t="str">
        <f>IF(Table1[[#This Row],[ai_disruption_intensity]]&gt;70,"High",
IF(Table1[[#This Row],[ai_disruption_intensity]]&gt;40,"Medium","Low"))</f>
        <v>Medium</v>
      </c>
      <c r="W2286" t="str">
        <f>IF(Table1[[#This Row],[skill_gap_index]]&gt;70,"Large Gap",
IF(Table1[[#This Row],[skill_gap_index]]&gt;40,"Medium Gap","Small Gap"))</f>
        <v>Large Gap</v>
      </c>
      <c r="X2286" s="3" t="str">
        <f>IF(Table1[[#This Row],[automation_risk_percent]]&gt;0.7,"Highly Automatable",
IF(Table1[[#This Row],[automation_risk_percent]]&gt;0.4,"Moderate Risk","Safe Job"))</f>
        <v>Highly Automatable</v>
      </c>
    </row>
    <row r="2287" spans="1:24" x14ac:dyDescent="0.3">
      <c r="A2287">
        <v>8065</v>
      </c>
      <c r="B2287" t="s">
        <v>46</v>
      </c>
      <c r="C2287" t="s">
        <v>40</v>
      </c>
      <c r="D2287" t="s">
        <v>31</v>
      </c>
      <c r="E2287" s="1">
        <v>2026</v>
      </c>
      <c r="F2287" s="11">
        <v>0.44179999999999997</v>
      </c>
      <c r="G2287">
        <v>50.05</v>
      </c>
      <c r="H2287">
        <v>64.180000000000007</v>
      </c>
      <c r="I2287" s="2">
        <v>37847.57</v>
      </c>
      <c r="J2287" s="2">
        <v>35068.74</v>
      </c>
      <c r="K2287" s="2">
        <f>Table1[[#This Row],[Salary_after]]-Table1[[#This Row],[Salary_before]]</f>
        <v>-2778.8300000000017</v>
      </c>
      <c r="L2287" s="11">
        <v>-7.3399999999999993E-2</v>
      </c>
      <c r="M2287" s="11">
        <v>2.8900000000000002E-2</v>
      </c>
      <c r="N2287">
        <v>25.04</v>
      </c>
      <c r="O2287">
        <v>27.12</v>
      </c>
      <c r="P2287">
        <v>2</v>
      </c>
      <c r="Q2287" t="s">
        <v>25</v>
      </c>
      <c r="R2287">
        <v>54.18</v>
      </c>
      <c r="S2287">
        <v>7.34</v>
      </c>
      <c r="T2287" s="4">
        <v>39.128</v>
      </c>
      <c r="U2287" s="4">
        <v>11.981616000000001</v>
      </c>
      <c r="V2287" t="str">
        <f>IF(Table1[[#This Row],[ai_disruption_intensity]]&gt;70,"High",
IF(Table1[[#This Row],[ai_disruption_intensity]]&gt;40,"Medium","Low"))</f>
        <v>Low</v>
      </c>
      <c r="W2287" t="str">
        <f>IF(Table1[[#This Row],[skill_gap_index]]&gt;70,"Large Gap",
IF(Table1[[#This Row],[skill_gap_index]]&gt;40,"Medium Gap","Small Gap"))</f>
        <v>Medium Gap</v>
      </c>
      <c r="X2287" s="3" t="str">
        <f>IF(Table1[[#This Row],[automation_risk_percent]]&gt;0.7,"Highly Automatable",
IF(Table1[[#This Row],[automation_risk_percent]]&gt;0.4,"Moderate Risk","Safe Job"))</f>
        <v>Moderate Risk</v>
      </c>
    </row>
    <row r="2288" spans="1:24" x14ac:dyDescent="0.3">
      <c r="A2288">
        <v>8067</v>
      </c>
      <c r="B2288" t="s">
        <v>18</v>
      </c>
      <c r="C2288" t="s">
        <v>23</v>
      </c>
      <c r="D2288" t="s">
        <v>36</v>
      </c>
      <c r="E2288" s="1">
        <v>2026</v>
      </c>
      <c r="F2288" s="11">
        <v>0.55880000000000007</v>
      </c>
      <c r="G2288">
        <v>60.79</v>
      </c>
      <c r="H2288">
        <v>98.59</v>
      </c>
      <c r="I2288" s="2">
        <v>100412.52</v>
      </c>
      <c r="J2288" s="2">
        <v>110818.33</v>
      </c>
      <c r="K2288" s="2">
        <f>Table1[[#This Row],[Salary_after]]-Table1[[#This Row],[Salary_before]]</f>
        <v>10405.809999999998</v>
      </c>
      <c r="L2288" s="11">
        <v>0.1036</v>
      </c>
      <c r="M2288" s="11">
        <v>0.1162</v>
      </c>
      <c r="N2288">
        <v>18.64</v>
      </c>
      <c r="O2288">
        <v>73.47</v>
      </c>
      <c r="P2288">
        <v>1</v>
      </c>
      <c r="Q2288" t="s">
        <v>25</v>
      </c>
      <c r="R2288">
        <v>77.234999999999999</v>
      </c>
      <c r="S2288">
        <v>10.36</v>
      </c>
      <c r="T2288" s="4">
        <v>55.036999999999999</v>
      </c>
      <c r="U2288" s="4">
        <v>41.055036000000001</v>
      </c>
      <c r="V2288" t="str">
        <f>IF(Table1[[#This Row],[ai_disruption_intensity]]&gt;70,"High",
IF(Table1[[#This Row],[ai_disruption_intensity]]&gt;40,"Medium","Low"))</f>
        <v>Medium</v>
      </c>
      <c r="W2288" t="str">
        <f>IF(Table1[[#This Row],[skill_gap_index]]&gt;70,"Large Gap",
IF(Table1[[#This Row],[skill_gap_index]]&gt;40,"Medium Gap","Small Gap"))</f>
        <v>Large Gap</v>
      </c>
      <c r="X2288" s="3" t="str">
        <f>IF(Table1[[#This Row],[automation_risk_percent]]&gt;0.7,"Highly Automatable",
IF(Table1[[#This Row],[automation_risk_percent]]&gt;0.4,"Moderate Risk","Safe Job"))</f>
        <v>Moderate Risk</v>
      </c>
    </row>
    <row r="2289" spans="1:24" x14ac:dyDescent="0.3">
      <c r="A2289">
        <v>8075</v>
      </c>
      <c r="B2289" t="s">
        <v>41</v>
      </c>
      <c r="C2289" t="s">
        <v>38</v>
      </c>
      <c r="D2289" t="s">
        <v>42</v>
      </c>
      <c r="E2289" s="1">
        <v>2025</v>
      </c>
      <c r="F2289" s="11">
        <v>0.60909999999999997</v>
      </c>
      <c r="G2289">
        <v>65.400000000000006</v>
      </c>
      <c r="H2289">
        <v>64.47</v>
      </c>
      <c r="I2289" s="2">
        <v>38835.9</v>
      </c>
      <c r="J2289" s="2">
        <v>43286.6</v>
      </c>
      <c r="K2289" s="2">
        <f>Table1[[#This Row],[Salary_after]]-Table1[[#This Row],[Salary_before]]</f>
        <v>4450.6999999999971</v>
      </c>
      <c r="L2289" s="11">
        <v>0.11460000000000001</v>
      </c>
      <c r="M2289" s="11">
        <v>0.17800000000000002</v>
      </c>
      <c r="N2289">
        <v>70.27</v>
      </c>
      <c r="O2289">
        <v>84.74</v>
      </c>
      <c r="P2289">
        <v>3</v>
      </c>
      <c r="Q2289" t="s">
        <v>37</v>
      </c>
      <c r="R2289">
        <v>62.69</v>
      </c>
      <c r="S2289">
        <v>11.46</v>
      </c>
      <c r="T2289" s="4">
        <v>47.143000000000001</v>
      </c>
      <c r="U2289" s="4">
        <v>51.615133999999998</v>
      </c>
      <c r="V2289" t="str">
        <f>IF(Table1[[#This Row],[ai_disruption_intensity]]&gt;70,"High",
IF(Table1[[#This Row],[ai_disruption_intensity]]&gt;40,"Medium","Low"))</f>
        <v>Medium</v>
      </c>
      <c r="W2289" t="str">
        <f>IF(Table1[[#This Row],[skill_gap_index]]&gt;70,"Large Gap",
IF(Table1[[#This Row],[skill_gap_index]]&gt;40,"Medium Gap","Small Gap"))</f>
        <v>Medium Gap</v>
      </c>
      <c r="X2289" s="3" t="str">
        <f>IF(Table1[[#This Row],[automation_risk_percent]]&gt;0.7,"Highly Automatable",
IF(Table1[[#This Row],[automation_risk_percent]]&gt;0.4,"Moderate Risk","Safe Job"))</f>
        <v>Moderate Risk</v>
      </c>
    </row>
    <row r="2290" spans="1:24" x14ac:dyDescent="0.3">
      <c r="A2290">
        <v>8088</v>
      </c>
      <c r="B2290" t="s">
        <v>45</v>
      </c>
      <c r="C2290" t="s">
        <v>38</v>
      </c>
      <c r="D2290" t="s">
        <v>28</v>
      </c>
      <c r="E2290" s="1">
        <v>2025</v>
      </c>
      <c r="F2290" s="11">
        <v>0.41659999999999997</v>
      </c>
      <c r="G2290">
        <v>49.55</v>
      </c>
      <c r="H2290">
        <v>73.599999999999994</v>
      </c>
      <c r="I2290" s="2">
        <v>35306.76</v>
      </c>
      <c r="J2290" s="2">
        <v>35045.24</v>
      </c>
      <c r="K2290" s="2">
        <f>Table1[[#This Row],[Salary_after]]-Table1[[#This Row],[Salary_before]]</f>
        <v>-261.52000000000407</v>
      </c>
      <c r="L2290" s="11">
        <v>-7.4000000000000003E-3</v>
      </c>
      <c r="M2290" s="11">
        <v>-4.82E-2</v>
      </c>
      <c r="N2290">
        <v>66.86</v>
      </c>
      <c r="O2290">
        <v>29.04</v>
      </c>
      <c r="P2290">
        <v>3</v>
      </c>
      <c r="Q2290" t="s">
        <v>25</v>
      </c>
      <c r="R2290">
        <v>57.629999999999903</v>
      </c>
      <c r="S2290">
        <v>0.74</v>
      </c>
      <c r="T2290" s="4">
        <v>38.966000000000001</v>
      </c>
      <c r="U2290" s="4">
        <v>12.0980639999999</v>
      </c>
      <c r="V2290" t="str">
        <f>IF(Table1[[#This Row],[ai_disruption_intensity]]&gt;70,"High",
IF(Table1[[#This Row],[ai_disruption_intensity]]&gt;40,"Medium","Low"))</f>
        <v>Low</v>
      </c>
      <c r="W2290" t="str">
        <f>IF(Table1[[#This Row],[skill_gap_index]]&gt;70,"Large Gap",
IF(Table1[[#This Row],[skill_gap_index]]&gt;40,"Medium Gap","Small Gap"))</f>
        <v>Large Gap</v>
      </c>
      <c r="X2290" s="3" t="str">
        <f>IF(Table1[[#This Row],[automation_risk_percent]]&gt;0.7,"Highly Automatable",
IF(Table1[[#This Row],[automation_risk_percent]]&gt;0.4,"Moderate Risk","Safe Job"))</f>
        <v>Moderate Risk</v>
      </c>
    </row>
    <row r="2291" spans="1:24" x14ac:dyDescent="0.3">
      <c r="A2291">
        <v>8092</v>
      </c>
      <c r="B2291" t="s">
        <v>45</v>
      </c>
      <c r="C2291" t="s">
        <v>40</v>
      </c>
      <c r="D2291" t="s">
        <v>24</v>
      </c>
      <c r="E2291" s="1">
        <v>2025</v>
      </c>
      <c r="F2291" s="11">
        <v>0.39319999999999999</v>
      </c>
      <c r="G2291">
        <v>37.5</v>
      </c>
      <c r="H2291">
        <v>59.09</v>
      </c>
      <c r="I2291" s="2">
        <v>123996.94</v>
      </c>
      <c r="J2291" s="2">
        <v>110037.02</v>
      </c>
      <c r="K2291" s="2">
        <f>Table1[[#This Row],[Salary_after]]-Table1[[#This Row],[Salary_before]]</f>
        <v>-13959.919999999998</v>
      </c>
      <c r="L2291" s="11">
        <v>-0.11259999999999999</v>
      </c>
      <c r="M2291" s="11">
        <v>9.9299999999999999E-2</v>
      </c>
      <c r="N2291">
        <v>45.79</v>
      </c>
      <c r="O2291">
        <v>51.26</v>
      </c>
      <c r="P2291">
        <v>5</v>
      </c>
      <c r="Q2291" t="s">
        <v>25</v>
      </c>
      <c r="R2291">
        <v>49.204999999999998</v>
      </c>
      <c r="S2291">
        <v>11.26</v>
      </c>
      <c r="T2291" s="4">
        <v>36.832999999999998</v>
      </c>
      <c r="U2291" s="4">
        <v>20.155431999999902</v>
      </c>
      <c r="V2291" t="str">
        <f>IF(Table1[[#This Row],[ai_disruption_intensity]]&gt;70,"High",
IF(Table1[[#This Row],[ai_disruption_intensity]]&gt;40,"Medium","Low"))</f>
        <v>Low</v>
      </c>
      <c r="W2291" t="str">
        <f>IF(Table1[[#This Row],[skill_gap_index]]&gt;70,"Large Gap",
IF(Table1[[#This Row],[skill_gap_index]]&gt;40,"Medium Gap","Small Gap"))</f>
        <v>Medium Gap</v>
      </c>
      <c r="X2291" s="3" t="str">
        <f>IF(Table1[[#This Row],[automation_risk_percent]]&gt;0.7,"Highly Automatable",
IF(Table1[[#This Row],[automation_risk_percent]]&gt;0.4,"Moderate Risk","Safe Job"))</f>
        <v>Safe Job</v>
      </c>
    </row>
    <row r="2292" spans="1:24" x14ac:dyDescent="0.3">
      <c r="A2292">
        <v>8095</v>
      </c>
      <c r="B2292" t="s">
        <v>29</v>
      </c>
      <c r="C2292" t="s">
        <v>30</v>
      </c>
      <c r="D2292" t="s">
        <v>36</v>
      </c>
      <c r="E2292" s="1">
        <v>2025</v>
      </c>
      <c r="F2292" s="11">
        <v>0.49869999999999998</v>
      </c>
      <c r="G2292">
        <v>57.22</v>
      </c>
      <c r="H2292">
        <v>19.95</v>
      </c>
      <c r="I2292" s="2">
        <v>56140.89</v>
      </c>
      <c r="J2292" s="2">
        <v>56259.21</v>
      </c>
      <c r="K2292" s="2">
        <f>Table1[[#This Row],[Salary_after]]-Table1[[#This Row],[Salary_before]]</f>
        <v>118.31999999999971</v>
      </c>
      <c r="L2292" s="11">
        <v>2.0999999999999999E-3</v>
      </c>
      <c r="M2292" s="11">
        <v>0.107</v>
      </c>
      <c r="N2292">
        <v>50.17</v>
      </c>
      <c r="O2292">
        <v>35.17</v>
      </c>
      <c r="P2292">
        <v>3</v>
      </c>
      <c r="Q2292" t="s">
        <v>25</v>
      </c>
      <c r="R2292">
        <v>34.909999999999997</v>
      </c>
      <c r="S2292">
        <v>0.21</v>
      </c>
      <c r="T2292" s="4">
        <v>25.995999999999999</v>
      </c>
      <c r="U2292" s="4">
        <v>17.539279000000001</v>
      </c>
      <c r="V2292" t="str">
        <f>IF(Table1[[#This Row],[ai_disruption_intensity]]&gt;70,"High",
IF(Table1[[#This Row],[ai_disruption_intensity]]&gt;40,"Medium","Low"))</f>
        <v>Low</v>
      </c>
      <c r="W2292" t="str">
        <f>IF(Table1[[#This Row],[skill_gap_index]]&gt;70,"Large Gap",
IF(Table1[[#This Row],[skill_gap_index]]&gt;40,"Medium Gap","Small Gap"))</f>
        <v>Small Gap</v>
      </c>
      <c r="X2292" s="3" t="str">
        <f>IF(Table1[[#This Row],[automation_risk_percent]]&gt;0.7,"Highly Automatable",
IF(Table1[[#This Row],[automation_risk_percent]]&gt;0.4,"Moderate Risk","Safe Job"))</f>
        <v>Moderate Risk</v>
      </c>
    </row>
    <row r="2293" spans="1:24" x14ac:dyDescent="0.3">
      <c r="A2293">
        <v>8098</v>
      </c>
      <c r="B2293" t="s">
        <v>22</v>
      </c>
      <c r="C2293" t="s">
        <v>33</v>
      </c>
      <c r="D2293" t="s">
        <v>42</v>
      </c>
      <c r="E2293" s="1">
        <v>2025</v>
      </c>
      <c r="F2293" s="11">
        <v>0.67610000000000003</v>
      </c>
      <c r="G2293">
        <v>73.59</v>
      </c>
      <c r="H2293">
        <v>85.2</v>
      </c>
      <c r="I2293" s="2">
        <v>94471.59</v>
      </c>
      <c r="J2293" s="2">
        <v>99198.84</v>
      </c>
      <c r="K2293" s="2">
        <f>Table1[[#This Row],[Salary_after]]-Table1[[#This Row],[Salary_before]]</f>
        <v>4727.25</v>
      </c>
      <c r="L2293" s="11">
        <v>0.05</v>
      </c>
      <c r="M2293" s="11">
        <v>0.18859999999999999</v>
      </c>
      <c r="N2293">
        <v>58.86</v>
      </c>
      <c r="O2293">
        <v>21.16</v>
      </c>
      <c r="P2293">
        <v>5</v>
      </c>
      <c r="Q2293" t="s">
        <v>37</v>
      </c>
      <c r="R2293">
        <v>76.405000000000001</v>
      </c>
      <c r="S2293">
        <v>5</v>
      </c>
      <c r="T2293" s="4">
        <v>54.103999999999999</v>
      </c>
      <c r="U2293" s="4">
        <v>14.306276</v>
      </c>
      <c r="V2293" t="str">
        <f>IF(Table1[[#This Row],[ai_disruption_intensity]]&gt;70,"High",
IF(Table1[[#This Row],[ai_disruption_intensity]]&gt;40,"Medium","Low"))</f>
        <v>Low</v>
      </c>
      <c r="W2293" t="str">
        <f>IF(Table1[[#This Row],[skill_gap_index]]&gt;70,"Large Gap",
IF(Table1[[#This Row],[skill_gap_index]]&gt;40,"Medium Gap","Small Gap"))</f>
        <v>Large Gap</v>
      </c>
      <c r="X2293" s="3" t="str">
        <f>IF(Table1[[#This Row],[automation_risk_percent]]&gt;0.7,"Highly Automatable",
IF(Table1[[#This Row],[automation_risk_percent]]&gt;0.4,"Moderate Risk","Safe Job"))</f>
        <v>Moderate Risk</v>
      </c>
    </row>
    <row r="2294" spans="1:24" x14ac:dyDescent="0.3">
      <c r="A2294">
        <v>8100</v>
      </c>
      <c r="B2294" t="s">
        <v>41</v>
      </c>
      <c r="C2294" t="s">
        <v>23</v>
      </c>
      <c r="D2294" t="s">
        <v>36</v>
      </c>
      <c r="E2294" s="1">
        <v>2026</v>
      </c>
      <c r="F2294" s="11">
        <v>0.56889999999999996</v>
      </c>
      <c r="G2294">
        <v>62.03</v>
      </c>
      <c r="H2294">
        <v>7.21</v>
      </c>
      <c r="I2294" s="2">
        <v>109504.61</v>
      </c>
      <c r="J2294" s="2">
        <v>107962.59</v>
      </c>
      <c r="K2294" s="2">
        <f>Table1[[#This Row],[Salary_after]]-Table1[[#This Row],[Salary_before]]</f>
        <v>-1542.0200000000041</v>
      </c>
      <c r="L2294" s="11">
        <v>-1.41E-2</v>
      </c>
      <c r="M2294" s="11">
        <v>0.21190000000000001</v>
      </c>
      <c r="N2294">
        <v>15.36</v>
      </c>
      <c r="O2294">
        <v>48.19</v>
      </c>
      <c r="P2294">
        <v>5</v>
      </c>
      <c r="Q2294" t="s">
        <v>25</v>
      </c>
      <c r="R2294">
        <v>32.049999999999997</v>
      </c>
      <c r="S2294">
        <v>1.41</v>
      </c>
      <c r="T2294" s="4">
        <v>25.341999999999999</v>
      </c>
      <c r="U2294" s="4">
        <v>27.4152909999999</v>
      </c>
      <c r="V2294" t="str">
        <f>IF(Table1[[#This Row],[ai_disruption_intensity]]&gt;70,"High",
IF(Table1[[#This Row],[ai_disruption_intensity]]&gt;40,"Medium","Low"))</f>
        <v>Low</v>
      </c>
      <c r="W2294" t="str">
        <f>IF(Table1[[#This Row],[skill_gap_index]]&gt;70,"Large Gap",
IF(Table1[[#This Row],[skill_gap_index]]&gt;40,"Medium Gap","Small Gap"))</f>
        <v>Small Gap</v>
      </c>
      <c r="X2294" s="3" t="str">
        <f>IF(Table1[[#This Row],[automation_risk_percent]]&gt;0.7,"Highly Automatable",
IF(Table1[[#This Row],[automation_risk_percent]]&gt;0.4,"Moderate Risk","Safe Job"))</f>
        <v>Moderate Risk</v>
      </c>
    </row>
    <row r="2295" spans="1:24" x14ac:dyDescent="0.3">
      <c r="A2295">
        <v>8101</v>
      </c>
      <c r="B2295" t="s">
        <v>44</v>
      </c>
      <c r="C2295" t="s">
        <v>38</v>
      </c>
      <c r="D2295" t="s">
        <v>32</v>
      </c>
      <c r="E2295" s="1">
        <v>2026</v>
      </c>
      <c r="F2295" s="11">
        <v>0.1439</v>
      </c>
      <c r="G2295">
        <v>13.51</v>
      </c>
      <c r="H2295">
        <v>15.74</v>
      </c>
      <c r="I2295" s="2">
        <v>56324.7</v>
      </c>
      <c r="J2295" s="2">
        <v>53508.72</v>
      </c>
      <c r="K2295" s="2">
        <f>Table1[[#This Row],[Salary_after]]-Table1[[#This Row],[Salary_before]]</f>
        <v>-2815.9799999999959</v>
      </c>
      <c r="L2295" s="11">
        <v>-0.05</v>
      </c>
      <c r="M2295" s="11">
        <v>-6.8699999999999997E-2</v>
      </c>
      <c r="N2295">
        <v>19.71</v>
      </c>
      <c r="O2295">
        <v>52.77</v>
      </c>
      <c r="P2295">
        <v>1</v>
      </c>
      <c r="Q2295" t="s">
        <v>21</v>
      </c>
      <c r="R2295">
        <v>15.065</v>
      </c>
      <c r="S2295">
        <v>5</v>
      </c>
      <c r="T2295" s="4">
        <v>11.978</v>
      </c>
      <c r="U2295" s="4">
        <v>7.5936029999999999</v>
      </c>
      <c r="V2295" t="str">
        <f>IF(Table1[[#This Row],[ai_disruption_intensity]]&gt;70,"High",
IF(Table1[[#This Row],[ai_disruption_intensity]]&gt;40,"Medium","Low"))</f>
        <v>Low</v>
      </c>
      <c r="W2295" t="str">
        <f>IF(Table1[[#This Row],[skill_gap_index]]&gt;70,"Large Gap",
IF(Table1[[#This Row],[skill_gap_index]]&gt;40,"Medium Gap","Small Gap"))</f>
        <v>Small Gap</v>
      </c>
      <c r="X2295" s="3" t="str">
        <f>IF(Table1[[#This Row],[automation_risk_percent]]&gt;0.7,"Highly Automatable",
IF(Table1[[#This Row],[automation_risk_percent]]&gt;0.4,"Moderate Risk","Safe Job"))</f>
        <v>Safe Job</v>
      </c>
    </row>
    <row r="2296" spans="1:24" x14ac:dyDescent="0.3">
      <c r="A2296">
        <v>8105</v>
      </c>
      <c r="B2296" t="s">
        <v>46</v>
      </c>
      <c r="C2296" t="s">
        <v>33</v>
      </c>
      <c r="D2296" t="s">
        <v>28</v>
      </c>
      <c r="E2296" s="1">
        <v>2026</v>
      </c>
      <c r="F2296" s="11">
        <v>0.29719999999999996</v>
      </c>
      <c r="G2296">
        <v>26.99</v>
      </c>
      <c r="H2296">
        <v>97.05</v>
      </c>
      <c r="I2296" s="2">
        <v>34167.99</v>
      </c>
      <c r="J2296" s="2">
        <v>30198.09</v>
      </c>
      <c r="K2296" s="2">
        <f>Table1[[#This Row],[Salary_after]]-Table1[[#This Row],[Salary_before]]</f>
        <v>-3969.8999999999978</v>
      </c>
      <c r="L2296" s="11">
        <v>-0.1162</v>
      </c>
      <c r="M2296" s="11">
        <v>7.0000000000000007E-2</v>
      </c>
      <c r="N2296">
        <v>38.74</v>
      </c>
      <c r="O2296">
        <v>18.39</v>
      </c>
      <c r="P2296">
        <v>3</v>
      </c>
      <c r="Q2296" t="s">
        <v>21</v>
      </c>
      <c r="R2296">
        <v>63.384999999999998</v>
      </c>
      <c r="S2296">
        <v>11.62</v>
      </c>
      <c r="T2296" s="4">
        <v>44.488999999999997</v>
      </c>
      <c r="U2296" s="4">
        <v>5.4655079999999998</v>
      </c>
      <c r="V2296" t="str">
        <f>IF(Table1[[#This Row],[ai_disruption_intensity]]&gt;70,"High",
IF(Table1[[#This Row],[ai_disruption_intensity]]&gt;40,"Medium","Low"))</f>
        <v>Low</v>
      </c>
      <c r="W2296" t="str">
        <f>IF(Table1[[#This Row],[skill_gap_index]]&gt;70,"Large Gap",
IF(Table1[[#This Row],[skill_gap_index]]&gt;40,"Medium Gap","Small Gap"))</f>
        <v>Large Gap</v>
      </c>
      <c r="X2296" s="3" t="str">
        <f>IF(Table1[[#This Row],[automation_risk_percent]]&gt;0.7,"Highly Automatable",
IF(Table1[[#This Row],[automation_risk_percent]]&gt;0.4,"Moderate Risk","Safe Job"))</f>
        <v>Safe Job</v>
      </c>
    </row>
    <row r="2297" spans="1:24" x14ac:dyDescent="0.3">
      <c r="A2297">
        <v>8109</v>
      </c>
      <c r="B2297" t="s">
        <v>46</v>
      </c>
      <c r="C2297" t="s">
        <v>23</v>
      </c>
      <c r="D2297" t="s">
        <v>42</v>
      </c>
      <c r="E2297" s="1">
        <v>2026</v>
      </c>
      <c r="F2297" s="11">
        <v>0.05</v>
      </c>
      <c r="G2297">
        <v>5.98</v>
      </c>
      <c r="H2297">
        <v>62.68</v>
      </c>
      <c r="I2297" s="2">
        <v>148589.57999999999</v>
      </c>
      <c r="J2297" s="2">
        <v>182305.21</v>
      </c>
      <c r="K2297" s="2">
        <f>Table1[[#This Row],[Salary_after]]-Table1[[#This Row],[Salary_before]]</f>
        <v>33715.630000000005</v>
      </c>
      <c r="L2297" s="11">
        <v>0.22690000000000002</v>
      </c>
      <c r="M2297" s="11">
        <v>-6.8000000000000005E-3</v>
      </c>
      <c r="N2297">
        <v>51.53</v>
      </c>
      <c r="O2297">
        <v>0.95</v>
      </c>
      <c r="P2297">
        <v>5</v>
      </c>
      <c r="Q2297" t="s">
        <v>21</v>
      </c>
      <c r="R2297">
        <v>33.840000000000003</v>
      </c>
      <c r="S2297">
        <v>22.69</v>
      </c>
      <c r="T2297" s="4">
        <v>27.610999999999901</v>
      </c>
      <c r="U2297" s="4">
        <v>4.7500000000000001E-2</v>
      </c>
      <c r="V2297" t="str">
        <f>IF(Table1[[#This Row],[ai_disruption_intensity]]&gt;70,"High",
IF(Table1[[#This Row],[ai_disruption_intensity]]&gt;40,"Medium","Low"))</f>
        <v>Low</v>
      </c>
      <c r="W2297" t="str">
        <f>IF(Table1[[#This Row],[skill_gap_index]]&gt;70,"Large Gap",
IF(Table1[[#This Row],[skill_gap_index]]&gt;40,"Medium Gap","Small Gap"))</f>
        <v>Medium Gap</v>
      </c>
      <c r="X2297" s="3" t="str">
        <f>IF(Table1[[#This Row],[automation_risk_percent]]&gt;0.7,"Highly Automatable",
IF(Table1[[#This Row],[automation_risk_percent]]&gt;0.4,"Moderate Risk","Safe Job"))</f>
        <v>Safe Job</v>
      </c>
    </row>
    <row r="2298" spans="1:24" x14ac:dyDescent="0.3">
      <c r="A2298">
        <v>8110</v>
      </c>
      <c r="B2298" t="s">
        <v>29</v>
      </c>
      <c r="C2298" t="s">
        <v>38</v>
      </c>
      <c r="D2298" t="s">
        <v>20</v>
      </c>
      <c r="E2298" s="1">
        <v>2025</v>
      </c>
      <c r="F2298" s="11">
        <v>0.84489999999999998</v>
      </c>
      <c r="G2298">
        <v>82.77</v>
      </c>
      <c r="H2298">
        <v>47.09</v>
      </c>
      <c r="I2298" s="2">
        <v>73195.7</v>
      </c>
      <c r="J2298" s="2">
        <v>85370.880000000005</v>
      </c>
      <c r="K2298" s="2">
        <f>Table1[[#This Row],[Salary_after]]-Table1[[#This Row],[Salary_before]]</f>
        <v>12175.180000000008</v>
      </c>
      <c r="L2298" s="11">
        <v>0.1663</v>
      </c>
      <c r="M2298" s="11">
        <v>2.9999999999999997E-4</v>
      </c>
      <c r="N2298">
        <v>73.06</v>
      </c>
      <c r="O2298">
        <v>80.84</v>
      </c>
      <c r="P2298">
        <v>2</v>
      </c>
      <c r="Q2298" t="s">
        <v>37</v>
      </c>
      <c r="R2298">
        <v>65.789999999999907</v>
      </c>
      <c r="S2298">
        <v>16.63</v>
      </c>
      <c r="T2298" s="4">
        <v>52.911999999999999</v>
      </c>
      <c r="U2298" s="4">
        <v>68.301715999999999</v>
      </c>
      <c r="V2298" t="str">
        <f>IF(Table1[[#This Row],[ai_disruption_intensity]]&gt;70,"High",
IF(Table1[[#This Row],[ai_disruption_intensity]]&gt;40,"Medium","Low"))</f>
        <v>Medium</v>
      </c>
      <c r="W2298" t="str">
        <f>IF(Table1[[#This Row],[skill_gap_index]]&gt;70,"Large Gap",
IF(Table1[[#This Row],[skill_gap_index]]&gt;40,"Medium Gap","Small Gap"))</f>
        <v>Medium Gap</v>
      </c>
      <c r="X2298" s="3" t="str">
        <f>IF(Table1[[#This Row],[automation_risk_percent]]&gt;0.7,"Highly Automatable",
IF(Table1[[#This Row],[automation_risk_percent]]&gt;0.4,"Moderate Risk","Safe Job"))</f>
        <v>Highly Automatable</v>
      </c>
    </row>
    <row r="2299" spans="1:24" x14ac:dyDescent="0.3">
      <c r="A2299">
        <v>8113</v>
      </c>
      <c r="B2299" t="s">
        <v>45</v>
      </c>
      <c r="C2299" t="s">
        <v>23</v>
      </c>
      <c r="D2299" t="s">
        <v>36</v>
      </c>
      <c r="E2299" s="1">
        <v>2025</v>
      </c>
      <c r="F2299" s="11">
        <v>0.2455</v>
      </c>
      <c r="G2299">
        <v>25.48</v>
      </c>
      <c r="H2299">
        <v>10.24</v>
      </c>
      <c r="I2299" s="2">
        <v>126901.77</v>
      </c>
      <c r="J2299" s="2">
        <v>131687.01999999999</v>
      </c>
      <c r="K2299" s="2">
        <f>Table1[[#This Row],[Salary_after]]-Table1[[#This Row],[Salary_before]]</f>
        <v>4785.2499999999854</v>
      </c>
      <c r="L2299" s="11">
        <v>3.7699999999999997E-2</v>
      </c>
      <c r="M2299" s="11">
        <v>6.0400000000000002E-2</v>
      </c>
      <c r="N2299">
        <v>72.11</v>
      </c>
      <c r="O2299">
        <v>4.92</v>
      </c>
      <c r="P2299">
        <v>5</v>
      </c>
      <c r="Q2299" t="s">
        <v>21</v>
      </c>
      <c r="R2299">
        <v>17.395</v>
      </c>
      <c r="S2299">
        <v>3.77</v>
      </c>
      <c r="T2299" s="4">
        <v>14.023</v>
      </c>
      <c r="U2299" s="4">
        <v>1.2078599999999999</v>
      </c>
      <c r="V2299" t="str">
        <f>IF(Table1[[#This Row],[ai_disruption_intensity]]&gt;70,"High",
IF(Table1[[#This Row],[ai_disruption_intensity]]&gt;40,"Medium","Low"))</f>
        <v>Low</v>
      </c>
      <c r="W2299" t="str">
        <f>IF(Table1[[#This Row],[skill_gap_index]]&gt;70,"Large Gap",
IF(Table1[[#This Row],[skill_gap_index]]&gt;40,"Medium Gap","Small Gap"))</f>
        <v>Small Gap</v>
      </c>
      <c r="X2299" s="3" t="str">
        <f>IF(Table1[[#This Row],[automation_risk_percent]]&gt;0.7,"Highly Automatable",
IF(Table1[[#This Row],[automation_risk_percent]]&gt;0.4,"Moderate Risk","Safe Job"))</f>
        <v>Safe Job</v>
      </c>
    </row>
    <row r="2300" spans="1:24" x14ac:dyDescent="0.3">
      <c r="A2300">
        <v>8114</v>
      </c>
      <c r="B2300" t="s">
        <v>22</v>
      </c>
      <c r="C2300" t="s">
        <v>40</v>
      </c>
      <c r="D2300" t="s">
        <v>42</v>
      </c>
      <c r="E2300" s="1">
        <v>2026</v>
      </c>
      <c r="F2300" s="11">
        <v>0.4335</v>
      </c>
      <c r="G2300">
        <v>43.89</v>
      </c>
      <c r="H2300">
        <v>91.68</v>
      </c>
      <c r="I2300" s="2">
        <v>81896.009999999995</v>
      </c>
      <c r="J2300" s="2">
        <v>71691.12</v>
      </c>
      <c r="K2300" s="2">
        <f>Table1[[#This Row],[Salary_after]]-Table1[[#This Row],[Salary_before]]</f>
        <v>-10204.89</v>
      </c>
      <c r="L2300" s="11">
        <v>-0.1246</v>
      </c>
      <c r="M2300" s="11">
        <v>8.7100000000000011E-2</v>
      </c>
      <c r="N2300">
        <v>32.020000000000003</v>
      </c>
      <c r="O2300">
        <v>54.86</v>
      </c>
      <c r="P2300">
        <v>1</v>
      </c>
      <c r="Q2300" t="s">
        <v>25</v>
      </c>
      <c r="R2300">
        <v>67.515000000000001</v>
      </c>
      <c r="S2300">
        <v>12.46</v>
      </c>
      <c r="T2300" s="4">
        <v>48.582000000000001</v>
      </c>
      <c r="U2300" s="4">
        <v>23.78181</v>
      </c>
      <c r="V2300" t="str">
        <f>IF(Table1[[#This Row],[ai_disruption_intensity]]&gt;70,"High",
IF(Table1[[#This Row],[ai_disruption_intensity]]&gt;40,"Medium","Low"))</f>
        <v>Low</v>
      </c>
      <c r="W2300" t="str">
        <f>IF(Table1[[#This Row],[skill_gap_index]]&gt;70,"Large Gap",
IF(Table1[[#This Row],[skill_gap_index]]&gt;40,"Medium Gap","Small Gap"))</f>
        <v>Large Gap</v>
      </c>
      <c r="X2300" s="3" t="str">
        <f>IF(Table1[[#This Row],[automation_risk_percent]]&gt;0.7,"Highly Automatable",
IF(Table1[[#This Row],[automation_risk_percent]]&gt;0.4,"Moderate Risk","Safe Job"))</f>
        <v>Moderate Risk</v>
      </c>
    </row>
    <row r="2301" spans="1:24" x14ac:dyDescent="0.3">
      <c r="A2301">
        <v>8120</v>
      </c>
      <c r="B2301" t="s">
        <v>43</v>
      </c>
      <c r="C2301" t="s">
        <v>34</v>
      </c>
      <c r="D2301" t="s">
        <v>28</v>
      </c>
      <c r="E2301" s="1">
        <v>2025</v>
      </c>
      <c r="F2301" s="11">
        <v>0.67689999999999995</v>
      </c>
      <c r="G2301">
        <v>67.209999999999994</v>
      </c>
      <c r="H2301">
        <v>67.209999999999994</v>
      </c>
      <c r="I2301" s="2">
        <v>92574.46</v>
      </c>
      <c r="J2301" s="2">
        <v>101612.27</v>
      </c>
      <c r="K2301" s="2">
        <f>Table1[[#This Row],[Salary_after]]-Table1[[#This Row],[Salary_before]]</f>
        <v>9037.8099999999977</v>
      </c>
      <c r="L2301" s="11">
        <v>9.7599999999999992E-2</v>
      </c>
      <c r="M2301" s="11">
        <v>6.3099999999999989E-2</v>
      </c>
      <c r="N2301">
        <v>97.02</v>
      </c>
      <c r="O2301">
        <v>36.75</v>
      </c>
      <c r="P2301">
        <v>4</v>
      </c>
      <c r="Q2301" t="s">
        <v>37</v>
      </c>
      <c r="R2301">
        <v>67.449999999999903</v>
      </c>
      <c r="S2301">
        <v>9.76</v>
      </c>
      <c r="T2301" s="4">
        <v>50.166999999999902</v>
      </c>
      <c r="U2301" s="4">
        <v>24.876075</v>
      </c>
      <c r="V2301" t="str">
        <f>IF(Table1[[#This Row],[ai_disruption_intensity]]&gt;70,"High",
IF(Table1[[#This Row],[ai_disruption_intensity]]&gt;40,"Medium","Low"))</f>
        <v>Low</v>
      </c>
      <c r="W2301" t="str">
        <f>IF(Table1[[#This Row],[skill_gap_index]]&gt;70,"Large Gap",
IF(Table1[[#This Row],[skill_gap_index]]&gt;40,"Medium Gap","Small Gap"))</f>
        <v>Medium Gap</v>
      </c>
      <c r="X2301" s="3" t="str">
        <f>IF(Table1[[#This Row],[automation_risk_percent]]&gt;0.7,"Highly Automatable",
IF(Table1[[#This Row],[automation_risk_percent]]&gt;0.4,"Moderate Risk","Safe Job"))</f>
        <v>Moderate Risk</v>
      </c>
    </row>
    <row r="2302" spans="1:24" x14ac:dyDescent="0.3">
      <c r="A2302">
        <v>8122</v>
      </c>
      <c r="B2302" t="s">
        <v>41</v>
      </c>
      <c r="C2302" t="s">
        <v>19</v>
      </c>
      <c r="D2302" t="s">
        <v>20</v>
      </c>
      <c r="E2302" s="1">
        <v>2025</v>
      </c>
      <c r="F2302" s="11">
        <v>0.86419999999999997</v>
      </c>
      <c r="G2302">
        <v>81.8</v>
      </c>
      <c r="H2302">
        <v>69.56</v>
      </c>
      <c r="I2302" s="2">
        <v>138068.98000000001</v>
      </c>
      <c r="J2302" s="2">
        <v>143294.69</v>
      </c>
      <c r="K2302" s="2">
        <f>Table1[[#This Row],[Salary_after]]-Table1[[#This Row],[Salary_before]]</f>
        <v>5225.7099999999919</v>
      </c>
      <c r="L2302" s="11">
        <v>3.78E-2</v>
      </c>
      <c r="M2302" s="11">
        <v>-6.4100000000000004E-2</v>
      </c>
      <c r="N2302">
        <v>91.69</v>
      </c>
      <c r="O2302">
        <v>19.34</v>
      </c>
      <c r="P2302">
        <v>3</v>
      </c>
      <c r="Q2302" t="s">
        <v>37</v>
      </c>
      <c r="R2302">
        <v>77.989999999999995</v>
      </c>
      <c r="S2302">
        <v>3.78</v>
      </c>
      <c r="T2302" s="4">
        <v>56.57</v>
      </c>
      <c r="U2302" s="4">
        <v>16.713628</v>
      </c>
      <c r="V2302" t="str">
        <f>IF(Table1[[#This Row],[ai_disruption_intensity]]&gt;70,"High",
IF(Table1[[#This Row],[ai_disruption_intensity]]&gt;40,"Medium","Low"))</f>
        <v>Low</v>
      </c>
      <c r="W2302" t="str">
        <f>IF(Table1[[#This Row],[skill_gap_index]]&gt;70,"Large Gap",
IF(Table1[[#This Row],[skill_gap_index]]&gt;40,"Medium Gap","Small Gap"))</f>
        <v>Medium Gap</v>
      </c>
      <c r="X2302" s="3" t="str">
        <f>IF(Table1[[#This Row],[automation_risk_percent]]&gt;0.7,"Highly Automatable",
IF(Table1[[#This Row],[automation_risk_percent]]&gt;0.4,"Moderate Risk","Safe Job"))</f>
        <v>Highly Automatable</v>
      </c>
    </row>
    <row r="2303" spans="1:24" x14ac:dyDescent="0.3">
      <c r="A2303">
        <v>8124</v>
      </c>
      <c r="B2303" t="s">
        <v>26</v>
      </c>
      <c r="C2303" t="s">
        <v>27</v>
      </c>
      <c r="D2303" t="s">
        <v>35</v>
      </c>
      <c r="E2303" s="1">
        <v>2026</v>
      </c>
      <c r="F2303" s="11">
        <v>0.05</v>
      </c>
      <c r="G2303">
        <v>4.7</v>
      </c>
      <c r="H2303">
        <v>65.73</v>
      </c>
      <c r="I2303" s="2">
        <v>72093.67</v>
      </c>
      <c r="J2303" s="2">
        <v>72793.67</v>
      </c>
      <c r="K2303" s="2">
        <f>Table1[[#This Row],[Salary_after]]-Table1[[#This Row],[Salary_before]]</f>
        <v>700</v>
      </c>
      <c r="L2303" s="11">
        <v>9.7000000000000003E-3</v>
      </c>
      <c r="M2303" s="11">
        <v>0.11269999999999999</v>
      </c>
      <c r="N2303">
        <v>53.11</v>
      </c>
      <c r="O2303">
        <v>75.849999999999994</v>
      </c>
      <c r="P2303">
        <v>5</v>
      </c>
      <c r="Q2303" t="s">
        <v>21</v>
      </c>
      <c r="R2303">
        <v>35.365000000000002</v>
      </c>
      <c r="S2303">
        <v>0.97</v>
      </c>
      <c r="T2303" s="4">
        <v>22.01</v>
      </c>
      <c r="U2303" s="4">
        <v>3.7925</v>
      </c>
      <c r="V2303" t="str">
        <f>IF(Table1[[#This Row],[ai_disruption_intensity]]&gt;70,"High",
IF(Table1[[#This Row],[ai_disruption_intensity]]&gt;40,"Medium","Low"))</f>
        <v>Low</v>
      </c>
      <c r="W2303" t="str">
        <f>IF(Table1[[#This Row],[skill_gap_index]]&gt;70,"Large Gap",
IF(Table1[[#This Row],[skill_gap_index]]&gt;40,"Medium Gap","Small Gap"))</f>
        <v>Medium Gap</v>
      </c>
      <c r="X2303" s="3" t="str">
        <f>IF(Table1[[#This Row],[automation_risk_percent]]&gt;0.7,"Highly Automatable",
IF(Table1[[#This Row],[automation_risk_percent]]&gt;0.4,"Moderate Risk","Safe Job"))</f>
        <v>Safe Job</v>
      </c>
    </row>
    <row r="2304" spans="1:24" x14ac:dyDescent="0.3">
      <c r="A2304">
        <v>8126</v>
      </c>
      <c r="B2304" t="s">
        <v>41</v>
      </c>
      <c r="C2304" t="s">
        <v>23</v>
      </c>
      <c r="D2304" t="s">
        <v>24</v>
      </c>
      <c r="E2304" s="1">
        <v>2025</v>
      </c>
      <c r="F2304" s="11">
        <v>0.93459999999999999</v>
      </c>
      <c r="G2304">
        <v>75.349999999999994</v>
      </c>
      <c r="H2304">
        <v>23.96</v>
      </c>
      <c r="I2304" s="2">
        <v>84878.51</v>
      </c>
      <c r="J2304" s="2">
        <v>92229.5</v>
      </c>
      <c r="K2304" s="2">
        <f>Table1[[#This Row],[Salary_after]]-Table1[[#This Row],[Salary_before]]</f>
        <v>7350.9900000000052</v>
      </c>
      <c r="L2304" s="11">
        <v>8.6599999999999996E-2</v>
      </c>
      <c r="M2304" s="11">
        <v>-3.8900000000000004E-2</v>
      </c>
      <c r="N2304">
        <v>83.31</v>
      </c>
      <c r="O2304">
        <v>69.75</v>
      </c>
      <c r="P2304">
        <v>1</v>
      </c>
      <c r="Q2304" t="s">
        <v>37</v>
      </c>
      <c r="R2304">
        <v>58.709999999999901</v>
      </c>
      <c r="S2304">
        <v>8.66</v>
      </c>
      <c r="T2304" s="4">
        <v>47.17</v>
      </c>
      <c r="U2304" s="4">
        <v>65.1883499999999</v>
      </c>
      <c r="V2304" t="str">
        <f>IF(Table1[[#This Row],[ai_disruption_intensity]]&gt;70,"High",
IF(Table1[[#This Row],[ai_disruption_intensity]]&gt;40,"Medium","Low"))</f>
        <v>Medium</v>
      </c>
      <c r="W2304" t="str">
        <f>IF(Table1[[#This Row],[skill_gap_index]]&gt;70,"Large Gap",
IF(Table1[[#This Row],[skill_gap_index]]&gt;40,"Medium Gap","Small Gap"))</f>
        <v>Small Gap</v>
      </c>
      <c r="X2304" s="3" t="str">
        <f>IF(Table1[[#This Row],[automation_risk_percent]]&gt;0.7,"Highly Automatable",
IF(Table1[[#This Row],[automation_risk_percent]]&gt;0.4,"Moderate Risk","Safe Job"))</f>
        <v>Highly Automatable</v>
      </c>
    </row>
    <row r="2305" spans="1:24" x14ac:dyDescent="0.3">
      <c r="A2305">
        <v>8128</v>
      </c>
      <c r="B2305" t="s">
        <v>44</v>
      </c>
      <c r="C2305" t="s">
        <v>38</v>
      </c>
      <c r="D2305" t="s">
        <v>24</v>
      </c>
      <c r="E2305" s="1">
        <v>2025</v>
      </c>
      <c r="F2305" s="11">
        <v>0.40869999999999995</v>
      </c>
      <c r="G2305">
        <v>47.34</v>
      </c>
      <c r="H2305">
        <v>88.59</v>
      </c>
      <c r="I2305" s="2">
        <v>32967.82</v>
      </c>
      <c r="J2305" s="2">
        <v>33224.120000000003</v>
      </c>
      <c r="K2305" s="2">
        <f>Table1[[#This Row],[Salary_after]]-Table1[[#This Row],[Salary_before]]</f>
        <v>256.30000000000291</v>
      </c>
      <c r="L2305" s="11">
        <v>7.8000000000000005E-3</v>
      </c>
      <c r="M2305" s="11">
        <v>0.1585</v>
      </c>
      <c r="N2305">
        <v>85.51</v>
      </c>
      <c r="O2305">
        <v>18.13</v>
      </c>
      <c r="P2305">
        <v>3</v>
      </c>
      <c r="Q2305" t="s">
        <v>25</v>
      </c>
      <c r="R2305">
        <v>64.73</v>
      </c>
      <c r="S2305">
        <v>0.78</v>
      </c>
      <c r="T2305" s="4">
        <v>43.158999999999999</v>
      </c>
      <c r="U2305" s="4">
        <v>7.4097309999999901</v>
      </c>
      <c r="V2305" t="str">
        <f>IF(Table1[[#This Row],[ai_disruption_intensity]]&gt;70,"High",
IF(Table1[[#This Row],[ai_disruption_intensity]]&gt;40,"Medium","Low"))</f>
        <v>Low</v>
      </c>
      <c r="W2305" t="str">
        <f>IF(Table1[[#This Row],[skill_gap_index]]&gt;70,"Large Gap",
IF(Table1[[#This Row],[skill_gap_index]]&gt;40,"Medium Gap","Small Gap"))</f>
        <v>Large Gap</v>
      </c>
      <c r="X2305" s="3" t="str">
        <f>IF(Table1[[#This Row],[automation_risk_percent]]&gt;0.7,"Highly Automatable",
IF(Table1[[#This Row],[automation_risk_percent]]&gt;0.4,"Moderate Risk","Safe Job"))</f>
        <v>Moderate Risk</v>
      </c>
    </row>
    <row r="2306" spans="1:24" x14ac:dyDescent="0.3">
      <c r="A2306">
        <v>8129</v>
      </c>
      <c r="B2306" t="s">
        <v>18</v>
      </c>
      <c r="C2306" t="s">
        <v>27</v>
      </c>
      <c r="D2306" t="s">
        <v>31</v>
      </c>
      <c r="E2306" s="1">
        <v>2025</v>
      </c>
      <c r="F2306" s="11">
        <v>0.20579999999999998</v>
      </c>
      <c r="G2306">
        <v>22.41</v>
      </c>
      <c r="H2306">
        <v>27.54</v>
      </c>
      <c r="I2306" s="2">
        <v>97060.87</v>
      </c>
      <c r="J2306" s="2">
        <v>105970.69</v>
      </c>
      <c r="K2306" s="2">
        <f>Table1[[#This Row],[Salary_after]]-Table1[[#This Row],[Salary_before]]</f>
        <v>8909.820000000007</v>
      </c>
      <c r="L2306" s="11">
        <v>9.1799999999999993E-2</v>
      </c>
      <c r="M2306" s="11">
        <v>0.20699999999999999</v>
      </c>
      <c r="N2306">
        <v>72.91</v>
      </c>
      <c r="O2306">
        <v>62.04</v>
      </c>
      <c r="P2306">
        <v>2</v>
      </c>
      <c r="Q2306" t="s">
        <v>21</v>
      </c>
      <c r="R2306">
        <v>24.06</v>
      </c>
      <c r="S2306">
        <v>9.18</v>
      </c>
      <c r="T2306" s="4">
        <v>19.248000000000001</v>
      </c>
      <c r="U2306" s="4">
        <v>12.767831999999901</v>
      </c>
      <c r="V2306" t="str">
        <f>IF(Table1[[#This Row],[ai_disruption_intensity]]&gt;70,"High",
IF(Table1[[#This Row],[ai_disruption_intensity]]&gt;40,"Medium","Low"))</f>
        <v>Low</v>
      </c>
      <c r="W2306" t="str">
        <f>IF(Table1[[#This Row],[skill_gap_index]]&gt;70,"Large Gap",
IF(Table1[[#This Row],[skill_gap_index]]&gt;40,"Medium Gap","Small Gap"))</f>
        <v>Small Gap</v>
      </c>
      <c r="X2306" s="3" t="str">
        <f>IF(Table1[[#This Row],[automation_risk_percent]]&gt;0.7,"Highly Automatable",
IF(Table1[[#This Row],[automation_risk_percent]]&gt;0.4,"Moderate Risk","Safe Job"))</f>
        <v>Safe Job</v>
      </c>
    </row>
    <row r="2307" spans="1:24" x14ac:dyDescent="0.3">
      <c r="A2307">
        <v>8132</v>
      </c>
      <c r="B2307" t="s">
        <v>46</v>
      </c>
      <c r="C2307" t="s">
        <v>33</v>
      </c>
      <c r="D2307" t="s">
        <v>42</v>
      </c>
      <c r="E2307" s="1">
        <v>2025</v>
      </c>
      <c r="F2307" s="11">
        <v>0.31969999999999998</v>
      </c>
      <c r="G2307">
        <v>32.29</v>
      </c>
      <c r="H2307">
        <v>68.45</v>
      </c>
      <c r="I2307" s="2">
        <v>143363.87</v>
      </c>
      <c r="J2307" s="2">
        <v>146029.60999999999</v>
      </c>
      <c r="K2307" s="2">
        <f>Table1[[#This Row],[Salary_after]]-Table1[[#This Row],[Salary_before]]</f>
        <v>2665.7399999999907</v>
      </c>
      <c r="L2307" s="11">
        <v>1.8600000000000002E-2</v>
      </c>
      <c r="M2307" s="11">
        <v>0.14410000000000001</v>
      </c>
      <c r="N2307">
        <v>28.99</v>
      </c>
      <c r="O2307">
        <v>34.67</v>
      </c>
      <c r="P2307">
        <v>1</v>
      </c>
      <c r="Q2307" t="s">
        <v>25</v>
      </c>
      <c r="R2307">
        <v>50.21</v>
      </c>
      <c r="S2307">
        <v>1.86</v>
      </c>
      <c r="T2307" s="4">
        <v>33.881</v>
      </c>
      <c r="U2307" s="4">
        <v>11.083999</v>
      </c>
      <c r="V2307" t="str">
        <f>IF(Table1[[#This Row],[ai_disruption_intensity]]&gt;70,"High",
IF(Table1[[#This Row],[ai_disruption_intensity]]&gt;40,"Medium","Low"))</f>
        <v>Low</v>
      </c>
      <c r="W2307" t="str">
        <f>IF(Table1[[#This Row],[skill_gap_index]]&gt;70,"Large Gap",
IF(Table1[[#This Row],[skill_gap_index]]&gt;40,"Medium Gap","Small Gap"))</f>
        <v>Medium Gap</v>
      </c>
      <c r="X2307" s="3" t="str">
        <f>IF(Table1[[#This Row],[automation_risk_percent]]&gt;0.7,"Highly Automatable",
IF(Table1[[#This Row],[automation_risk_percent]]&gt;0.4,"Moderate Risk","Safe Job"))</f>
        <v>Safe Job</v>
      </c>
    </row>
    <row r="2308" spans="1:24" x14ac:dyDescent="0.3">
      <c r="A2308">
        <v>8135</v>
      </c>
      <c r="B2308" t="s">
        <v>41</v>
      </c>
      <c r="C2308" t="s">
        <v>30</v>
      </c>
      <c r="D2308" t="s">
        <v>47</v>
      </c>
      <c r="E2308" s="1">
        <v>2026</v>
      </c>
      <c r="F2308" s="11">
        <v>0.82279999999999998</v>
      </c>
      <c r="G2308">
        <v>69.86</v>
      </c>
      <c r="H2308">
        <v>80.19</v>
      </c>
      <c r="I2308" s="2">
        <v>117167.17</v>
      </c>
      <c r="J2308" s="2">
        <v>131458.98000000001</v>
      </c>
      <c r="K2308" s="2">
        <f>Table1[[#This Row],[Salary_after]]-Table1[[#This Row],[Salary_before]]</f>
        <v>14291.810000000012</v>
      </c>
      <c r="L2308" s="11">
        <v>0.122</v>
      </c>
      <c r="M2308" s="11">
        <v>-5.9800000000000006E-2</v>
      </c>
      <c r="N2308">
        <v>84.33</v>
      </c>
      <c r="O2308">
        <v>29.14</v>
      </c>
      <c r="P2308">
        <v>3</v>
      </c>
      <c r="Q2308" t="s">
        <v>37</v>
      </c>
      <c r="R2308">
        <v>81.234999999999999</v>
      </c>
      <c r="S2308">
        <v>12.2</v>
      </c>
      <c r="T2308" s="4">
        <v>60.628999999999898</v>
      </c>
      <c r="U2308" s="4">
        <v>23.976392000000001</v>
      </c>
      <c r="V2308" t="str">
        <f>IF(Table1[[#This Row],[ai_disruption_intensity]]&gt;70,"High",
IF(Table1[[#This Row],[ai_disruption_intensity]]&gt;40,"Medium","Low"))</f>
        <v>Low</v>
      </c>
      <c r="W2308" t="str">
        <f>IF(Table1[[#This Row],[skill_gap_index]]&gt;70,"Large Gap",
IF(Table1[[#This Row],[skill_gap_index]]&gt;40,"Medium Gap","Small Gap"))</f>
        <v>Large Gap</v>
      </c>
      <c r="X2308" s="3" t="str">
        <f>IF(Table1[[#This Row],[automation_risk_percent]]&gt;0.7,"Highly Automatable",
IF(Table1[[#This Row],[automation_risk_percent]]&gt;0.4,"Moderate Risk","Safe Job"))</f>
        <v>Highly Automatable</v>
      </c>
    </row>
    <row r="2309" spans="1:24" x14ac:dyDescent="0.3">
      <c r="A2309">
        <v>8140</v>
      </c>
      <c r="B2309" t="s">
        <v>43</v>
      </c>
      <c r="C2309" t="s">
        <v>23</v>
      </c>
      <c r="D2309" t="s">
        <v>42</v>
      </c>
      <c r="E2309" s="1">
        <v>2025</v>
      </c>
      <c r="F2309" s="11">
        <v>0.44030000000000002</v>
      </c>
      <c r="G2309">
        <v>41.89</v>
      </c>
      <c r="H2309">
        <v>59.75</v>
      </c>
      <c r="I2309" s="2">
        <v>31875.18</v>
      </c>
      <c r="J2309" s="2">
        <v>21424.71</v>
      </c>
      <c r="K2309" s="2">
        <f>Table1[[#This Row],[Salary_after]]-Table1[[#This Row],[Salary_before]]</f>
        <v>-10450.470000000001</v>
      </c>
      <c r="L2309" s="11">
        <v>-0.32789999999999997</v>
      </c>
      <c r="M2309" s="11">
        <v>-0.1225</v>
      </c>
      <c r="N2309">
        <v>56.45</v>
      </c>
      <c r="O2309">
        <v>21.24</v>
      </c>
      <c r="P2309">
        <v>4</v>
      </c>
      <c r="Q2309" t="s">
        <v>25</v>
      </c>
      <c r="R2309">
        <v>51.89</v>
      </c>
      <c r="S2309">
        <v>32.79</v>
      </c>
      <c r="T2309" s="4">
        <v>45.374000000000002</v>
      </c>
      <c r="U2309" s="4">
        <v>9.351972</v>
      </c>
      <c r="V2309" t="str">
        <f>IF(Table1[[#This Row],[ai_disruption_intensity]]&gt;70,"High",
IF(Table1[[#This Row],[ai_disruption_intensity]]&gt;40,"Medium","Low"))</f>
        <v>Low</v>
      </c>
      <c r="W2309" t="str">
        <f>IF(Table1[[#This Row],[skill_gap_index]]&gt;70,"Large Gap",
IF(Table1[[#This Row],[skill_gap_index]]&gt;40,"Medium Gap","Small Gap"))</f>
        <v>Medium Gap</v>
      </c>
      <c r="X2309" s="3" t="str">
        <f>IF(Table1[[#This Row],[automation_risk_percent]]&gt;0.7,"Highly Automatable",
IF(Table1[[#This Row],[automation_risk_percent]]&gt;0.4,"Moderate Risk","Safe Job"))</f>
        <v>Moderate Risk</v>
      </c>
    </row>
    <row r="2310" spans="1:24" x14ac:dyDescent="0.3">
      <c r="A2310">
        <v>8150</v>
      </c>
      <c r="B2310" t="s">
        <v>44</v>
      </c>
      <c r="C2310" t="s">
        <v>40</v>
      </c>
      <c r="D2310" t="s">
        <v>24</v>
      </c>
      <c r="E2310" s="1">
        <v>2025</v>
      </c>
      <c r="F2310" s="11">
        <v>0.38240000000000002</v>
      </c>
      <c r="G2310">
        <v>43.61</v>
      </c>
      <c r="H2310">
        <v>65.45</v>
      </c>
      <c r="I2310" s="2">
        <v>109530.21</v>
      </c>
      <c r="J2310" s="2">
        <v>103100.28</v>
      </c>
      <c r="K2310" s="2">
        <f>Table1[[#This Row],[Salary_after]]-Table1[[#This Row],[Salary_before]]</f>
        <v>-6429.9300000000076</v>
      </c>
      <c r="L2310" s="11">
        <v>-5.8700000000000002E-2</v>
      </c>
      <c r="M2310" s="11">
        <v>0.1069</v>
      </c>
      <c r="N2310">
        <v>41.13</v>
      </c>
      <c r="O2310">
        <v>30.8</v>
      </c>
      <c r="P2310">
        <v>5</v>
      </c>
      <c r="Q2310" t="s">
        <v>25</v>
      </c>
      <c r="R2310">
        <v>51.844999999999999</v>
      </c>
      <c r="S2310">
        <v>5.87</v>
      </c>
      <c r="T2310" s="4">
        <v>36.692</v>
      </c>
      <c r="U2310" s="4">
        <v>11.77792</v>
      </c>
      <c r="V2310" t="str">
        <f>IF(Table1[[#This Row],[ai_disruption_intensity]]&gt;70,"High",
IF(Table1[[#This Row],[ai_disruption_intensity]]&gt;40,"Medium","Low"))</f>
        <v>Low</v>
      </c>
      <c r="W2310" t="str">
        <f>IF(Table1[[#This Row],[skill_gap_index]]&gt;70,"Large Gap",
IF(Table1[[#This Row],[skill_gap_index]]&gt;40,"Medium Gap","Small Gap"))</f>
        <v>Medium Gap</v>
      </c>
      <c r="X2310" s="3" t="str">
        <f>IF(Table1[[#This Row],[automation_risk_percent]]&gt;0.7,"Highly Automatable",
IF(Table1[[#This Row],[automation_risk_percent]]&gt;0.4,"Moderate Risk","Safe Job"))</f>
        <v>Safe Job</v>
      </c>
    </row>
    <row r="2311" spans="1:24" x14ac:dyDescent="0.3">
      <c r="A2311">
        <v>8156</v>
      </c>
      <c r="B2311" t="s">
        <v>26</v>
      </c>
      <c r="C2311" t="s">
        <v>30</v>
      </c>
      <c r="D2311" t="s">
        <v>31</v>
      </c>
      <c r="E2311" s="1">
        <v>2026</v>
      </c>
      <c r="F2311" s="11">
        <v>0.65949999999999998</v>
      </c>
      <c r="G2311">
        <v>67.48</v>
      </c>
      <c r="H2311">
        <v>50.05</v>
      </c>
      <c r="I2311" s="2">
        <v>53665.99</v>
      </c>
      <c r="J2311" s="2">
        <v>57467.44</v>
      </c>
      <c r="K2311" s="2">
        <f>Table1[[#This Row],[Salary_after]]-Table1[[#This Row],[Salary_before]]</f>
        <v>3801.4500000000044</v>
      </c>
      <c r="L2311" s="11">
        <v>7.0800000000000002E-2</v>
      </c>
      <c r="M2311" s="11">
        <v>0.15279999999999999</v>
      </c>
      <c r="N2311">
        <v>51.47</v>
      </c>
      <c r="O2311">
        <v>8.7100000000000009</v>
      </c>
      <c r="P2311">
        <v>5</v>
      </c>
      <c r="Q2311" t="s">
        <v>37</v>
      </c>
      <c r="R2311">
        <v>58</v>
      </c>
      <c r="S2311">
        <v>7.08</v>
      </c>
      <c r="T2311" s="4">
        <v>43.518999999999998</v>
      </c>
      <c r="U2311" s="4">
        <v>5.7442450000000003</v>
      </c>
      <c r="V2311" t="str">
        <f>IF(Table1[[#This Row],[ai_disruption_intensity]]&gt;70,"High",
IF(Table1[[#This Row],[ai_disruption_intensity]]&gt;40,"Medium","Low"))</f>
        <v>Low</v>
      </c>
      <c r="W2311" t="str">
        <f>IF(Table1[[#This Row],[skill_gap_index]]&gt;70,"Large Gap",
IF(Table1[[#This Row],[skill_gap_index]]&gt;40,"Medium Gap","Small Gap"))</f>
        <v>Medium Gap</v>
      </c>
      <c r="X2311" s="3" t="str">
        <f>IF(Table1[[#This Row],[automation_risk_percent]]&gt;0.7,"Highly Automatable",
IF(Table1[[#This Row],[automation_risk_percent]]&gt;0.4,"Moderate Risk","Safe Job"))</f>
        <v>Moderate Risk</v>
      </c>
    </row>
    <row r="2312" spans="1:24" x14ac:dyDescent="0.3">
      <c r="A2312">
        <v>8159</v>
      </c>
      <c r="B2312" t="s">
        <v>39</v>
      </c>
      <c r="C2312" t="s">
        <v>23</v>
      </c>
      <c r="D2312" t="s">
        <v>32</v>
      </c>
      <c r="E2312" s="1">
        <v>2025</v>
      </c>
      <c r="F2312" s="11">
        <v>0.26090000000000002</v>
      </c>
      <c r="G2312">
        <v>26.62</v>
      </c>
      <c r="H2312">
        <v>79.03</v>
      </c>
      <c r="I2312" s="2">
        <v>30922.15</v>
      </c>
      <c r="J2312" s="2">
        <v>30243.13</v>
      </c>
      <c r="K2312" s="2">
        <f>Table1[[#This Row],[Salary_after]]-Table1[[#This Row],[Salary_before]]</f>
        <v>-679.02000000000044</v>
      </c>
      <c r="L2312" s="11">
        <v>-2.2000000000000002E-2</v>
      </c>
      <c r="M2312" s="11">
        <v>-0.12659999999999999</v>
      </c>
      <c r="N2312">
        <v>86.05</v>
      </c>
      <c r="O2312">
        <v>79.900000000000006</v>
      </c>
      <c r="P2312">
        <v>3</v>
      </c>
      <c r="Q2312" t="s">
        <v>21</v>
      </c>
      <c r="R2312">
        <v>52.56</v>
      </c>
      <c r="S2312">
        <v>2.2000000000000002</v>
      </c>
      <c r="T2312" s="4">
        <v>34.8049999999999</v>
      </c>
      <c r="U2312" s="4">
        <v>20.84591</v>
      </c>
      <c r="V2312" t="str">
        <f>IF(Table1[[#This Row],[ai_disruption_intensity]]&gt;70,"High",
IF(Table1[[#This Row],[ai_disruption_intensity]]&gt;40,"Medium","Low"))</f>
        <v>Low</v>
      </c>
      <c r="W2312" t="str">
        <f>IF(Table1[[#This Row],[skill_gap_index]]&gt;70,"Large Gap",
IF(Table1[[#This Row],[skill_gap_index]]&gt;40,"Medium Gap","Small Gap"))</f>
        <v>Large Gap</v>
      </c>
      <c r="X2312" s="3" t="str">
        <f>IF(Table1[[#This Row],[automation_risk_percent]]&gt;0.7,"Highly Automatable",
IF(Table1[[#This Row],[automation_risk_percent]]&gt;0.4,"Moderate Risk","Safe Job"))</f>
        <v>Safe Job</v>
      </c>
    </row>
    <row r="2313" spans="1:24" x14ac:dyDescent="0.3">
      <c r="A2313">
        <v>8166</v>
      </c>
      <c r="B2313" t="s">
        <v>18</v>
      </c>
      <c r="C2313" t="s">
        <v>38</v>
      </c>
      <c r="D2313" t="s">
        <v>24</v>
      </c>
      <c r="E2313" s="1">
        <v>2025</v>
      </c>
      <c r="F2313" s="11">
        <v>0.15279999999999999</v>
      </c>
      <c r="G2313">
        <v>13.55</v>
      </c>
      <c r="H2313">
        <v>97.97</v>
      </c>
      <c r="I2313" s="2">
        <v>50432.76</v>
      </c>
      <c r="J2313" s="2">
        <v>53907.75</v>
      </c>
      <c r="K2313" s="2">
        <f>Table1[[#This Row],[Salary_after]]-Table1[[#This Row],[Salary_before]]</f>
        <v>3474.989999999998</v>
      </c>
      <c r="L2313" s="11">
        <v>6.8900000000000003E-2</v>
      </c>
      <c r="M2313" s="11">
        <v>0.27839999999999998</v>
      </c>
      <c r="N2313">
        <v>50.31</v>
      </c>
      <c r="O2313">
        <v>70.180000000000007</v>
      </c>
      <c r="P2313">
        <v>2</v>
      </c>
      <c r="Q2313" t="s">
        <v>21</v>
      </c>
      <c r="R2313">
        <v>56.625</v>
      </c>
      <c r="S2313">
        <v>6.89</v>
      </c>
      <c r="T2313" s="4">
        <v>37.57</v>
      </c>
      <c r="U2313" s="4">
        <v>10.723504</v>
      </c>
      <c r="V2313" t="str">
        <f>IF(Table1[[#This Row],[ai_disruption_intensity]]&gt;70,"High",
IF(Table1[[#This Row],[ai_disruption_intensity]]&gt;40,"Medium","Low"))</f>
        <v>Low</v>
      </c>
      <c r="W2313" t="str">
        <f>IF(Table1[[#This Row],[skill_gap_index]]&gt;70,"Large Gap",
IF(Table1[[#This Row],[skill_gap_index]]&gt;40,"Medium Gap","Small Gap"))</f>
        <v>Large Gap</v>
      </c>
      <c r="X2313" s="3" t="str">
        <f>IF(Table1[[#This Row],[automation_risk_percent]]&gt;0.7,"Highly Automatable",
IF(Table1[[#This Row],[automation_risk_percent]]&gt;0.4,"Moderate Risk","Safe Job"))</f>
        <v>Safe Job</v>
      </c>
    </row>
    <row r="2314" spans="1:24" x14ac:dyDescent="0.3">
      <c r="A2314">
        <v>8172</v>
      </c>
      <c r="B2314" t="s">
        <v>18</v>
      </c>
      <c r="C2314" t="s">
        <v>34</v>
      </c>
      <c r="D2314" t="s">
        <v>36</v>
      </c>
      <c r="E2314" s="1">
        <v>2026</v>
      </c>
      <c r="F2314" s="11">
        <v>0.57469999999999999</v>
      </c>
      <c r="G2314">
        <v>68.14</v>
      </c>
      <c r="H2314">
        <v>20.81</v>
      </c>
      <c r="I2314" s="2">
        <v>107268.15</v>
      </c>
      <c r="J2314" s="2">
        <v>111055.42</v>
      </c>
      <c r="K2314" s="2">
        <f>Table1[[#This Row],[Salary_after]]-Table1[[#This Row],[Salary_before]]</f>
        <v>3787.2700000000041</v>
      </c>
      <c r="L2314" s="11">
        <v>3.5299999999999998E-2</v>
      </c>
      <c r="M2314" s="11">
        <v>-0.11779999999999999</v>
      </c>
      <c r="N2314">
        <v>58.74</v>
      </c>
      <c r="O2314">
        <v>45</v>
      </c>
      <c r="P2314">
        <v>5</v>
      </c>
      <c r="Q2314" t="s">
        <v>25</v>
      </c>
      <c r="R2314">
        <v>39.14</v>
      </c>
      <c r="S2314">
        <v>3.53</v>
      </c>
      <c r="T2314" s="4">
        <v>30.29</v>
      </c>
      <c r="U2314" s="4">
        <v>25.861499999999999</v>
      </c>
      <c r="V2314" t="str">
        <f>IF(Table1[[#This Row],[ai_disruption_intensity]]&gt;70,"High",
IF(Table1[[#This Row],[ai_disruption_intensity]]&gt;40,"Medium","Low"))</f>
        <v>Low</v>
      </c>
      <c r="W2314" t="str">
        <f>IF(Table1[[#This Row],[skill_gap_index]]&gt;70,"Large Gap",
IF(Table1[[#This Row],[skill_gap_index]]&gt;40,"Medium Gap","Small Gap"))</f>
        <v>Small Gap</v>
      </c>
      <c r="X2314" s="3" t="str">
        <f>IF(Table1[[#This Row],[automation_risk_percent]]&gt;0.7,"Highly Automatable",
IF(Table1[[#This Row],[automation_risk_percent]]&gt;0.4,"Moderate Risk","Safe Job"))</f>
        <v>Moderate Risk</v>
      </c>
    </row>
    <row r="2315" spans="1:24" x14ac:dyDescent="0.3">
      <c r="A2315">
        <v>8175</v>
      </c>
      <c r="B2315" t="s">
        <v>41</v>
      </c>
      <c r="C2315" t="s">
        <v>33</v>
      </c>
      <c r="D2315" t="s">
        <v>31</v>
      </c>
      <c r="E2315" s="1">
        <v>2026</v>
      </c>
      <c r="F2315" s="11">
        <v>0.66659999999999997</v>
      </c>
      <c r="G2315">
        <v>79.02</v>
      </c>
      <c r="H2315">
        <v>75.09</v>
      </c>
      <c r="I2315" s="2">
        <v>108640.96000000001</v>
      </c>
      <c r="J2315" s="2">
        <v>116109.19</v>
      </c>
      <c r="K2315" s="2">
        <f>Table1[[#This Row],[Salary_after]]-Table1[[#This Row],[Salary_before]]</f>
        <v>7468.2299999999959</v>
      </c>
      <c r="L2315" s="11">
        <v>6.8699999999999997E-2</v>
      </c>
      <c r="M2315" s="11">
        <v>5.3099999999999994E-2</v>
      </c>
      <c r="N2315">
        <v>74.22</v>
      </c>
      <c r="O2315">
        <v>4.01</v>
      </c>
      <c r="P2315">
        <v>1</v>
      </c>
      <c r="Q2315" t="s">
        <v>37</v>
      </c>
      <c r="R2315">
        <v>70.875</v>
      </c>
      <c r="S2315">
        <v>6.87</v>
      </c>
      <c r="T2315" s="4">
        <v>51.252000000000002</v>
      </c>
      <c r="U2315" s="4">
        <v>2.6730659999999902</v>
      </c>
      <c r="V2315" t="str">
        <f>IF(Table1[[#This Row],[ai_disruption_intensity]]&gt;70,"High",
IF(Table1[[#This Row],[ai_disruption_intensity]]&gt;40,"Medium","Low"))</f>
        <v>Low</v>
      </c>
      <c r="W2315" t="str">
        <f>IF(Table1[[#This Row],[skill_gap_index]]&gt;70,"Large Gap",
IF(Table1[[#This Row],[skill_gap_index]]&gt;40,"Medium Gap","Small Gap"))</f>
        <v>Large Gap</v>
      </c>
      <c r="X2315" s="3" t="str">
        <f>IF(Table1[[#This Row],[automation_risk_percent]]&gt;0.7,"Highly Automatable",
IF(Table1[[#This Row],[automation_risk_percent]]&gt;0.4,"Moderate Risk","Safe Job"))</f>
        <v>Moderate Risk</v>
      </c>
    </row>
    <row r="2316" spans="1:24" x14ac:dyDescent="0.3">
      <c r="A2316">
        <v>8177</v>
      </c>
      <c r="B2316" t="s">
        <v>18</v>
      </c>
      <c r="C2316" t="s">
        <v>23</v>
      </c>
      <c r="D2316" t="s">
        <v>32</v>
      </c>
      <c r="E2316" s="1">
        <v>2026</v>
      </c>
      <c r="F2316" s="11">
        <v>0.1012</v>
      </c>
      <c r="G2316">
        <v>11.72</v>
      </c>
      <c r="H2316">
        <v>74.86</v>
      </c>
      <c r="I2316" s="2">
        <v>64736.639999999999</v>
      </c>
      <c r="J2316" s="2">
        <v>66120.86</v>
      </c>
      <c r="K2316" s="2">
        <f>Table1[[#This Row],[Salary_after]]-Table1[[#This Row],[Salary_before]]</f>
        <v>1384.2200000000012</v>
      </c>
      <c r="L2316" s="11">
        <v>2.1400000000000002E-2</v>
      </c>
      <c r="M2316" s="11">
        <v>0.1211</v>
      </c>
      <c r="N2316">
        <v>24.45</v>
      </c>
      <c r="O2316">
        <v>68.150000000000006</v>
      </c>
      <c r="P2316">
        <v>1</v>
      </c>
      <c r="Q2316" t="s">
        <v>21</v>
      </c>
      <c r="R2316">
        <v>42.49</v>
      </c>
      <c r="S2316">
        <v>2.14</v>
      </c>
      <c r="T2316" s="4">
        <v>27.148</v>
      </c>
      <c r="U2316" s="4">
        <v>6.8967799999999997</v>
      </c>
      <c r="V2316" t="str">
        <f>IF(Table1[[#This Row],[ai_disruption_intensity]]&gt;70,"High",
IF(Table1[[#This Row],[ai_disruption_intensity]]&gt;40,"Medium","Low"))</f>
        <v>Low</v>
      </c>
      <c r="W2316" t="str">
        <f>IF(Table1[[#This Row],[skill_gap_index]]&gt;70,"Large Gap",
IF(Table1[[#This Row],[skill_gap_index]]&gt;40,"Medium Gap","Small Gap"))</f>
        <v>Large Gap</v>
      </c>
      <c r="X2316" s="3" t="str">
        <f>IF(Table1[[#This Row],[automation_risk_percent]]&gt;0.7,"Highly Automatable",
IF(Table1[[#This Row],[automation_risk_percent]]&gt;0.4,"Moderate Risk","Safe Job"))</f>
        <v>Safe Job</v>
      </c>
    </row>
    <row r="2317" spans="1:24" x14ac:dyDescent="0.3">
      <c r="A2317">
        <v>8183</v>
      </c>
      <c r="B2317" t="s">
        <v>29</v>
      </c>
      <c r="C2317" t="s">
        <v>34</v>
      </c>
      <c r="D2317" t="s">
        <v>24</v>
      </c>
      <c r="E2317" s="1">
        <v>2025</v>
      </c>
      <c r="F2317" s="11">
        <v>0.36709999999999998</v>
      </c>
      <c r="G2317">
        <v>41.05</v>
      </c>
      <c r="H2317">
        <v>20.03</v>
      </c>
      <c r="I2317" s="2">
        <v>77329.759999999995</v>
      </c>
      <c r="J2317" s="2">
        <v>62232.81</v>
      </c>
      <c r="K2317" s="2">
        <f>Table1[[#This Row],[Salary_after]]-Table1[[#This Row],[Salary_before]]</f>
        <v>-15096.949999999997</v>
      </c>
      <c r="L2317" s="11">
        <v>-0.19519999999999998</v>
      </c>
      <c r="M2317" s="11">
        <v>0.14330000000000001</v>
      </c>
      <c r="N2317">
        <v>26.11</v>
      </c>
      <c r="O2317">
        <v>40.61</v>
      </c>
      <c r="P2317">
        <v>3</v>
      </c>
      <c r="Q2317" t="s">
        <v>25</v>
      </c>
      <c r="R2317">
        <v>28.37</v>
      </c>
      <c r="S2317">
        <v>19.52</v>
      </c>
      <c r="T2317" s="4">
        <v>26.548999999999999</v>
      </c>
      <c r="U2317" s="4">
        <v>14.907931</v>
      </c>
      <c r="V2317" t="str">
        <f>IF(Table1[[#This Row],[ai_disruption_intensity]]&gt;70,"High",
IF(Table1[[#This Row],[ai_disruption_intensity]]&gt;40,"Medium","Low"))</f>
        <v>Low</v>
      </c>
      <c r="W2317" t="str">
        <f>IF(Table1[[#This Row],[skill_gap_index]]&gt;70,"Large Gap",
IF(Table1[[#This Row],[skill_gap_index]]&gt;40,"Medium Gap","Small Gap"))</f>
        <v>Small Gap</v>
      </c>
      <c r="X2317" s="3" t="str">
        <f>IF(Table1[[#This Row],[automation_risk_percent]]&gt;0.7,"Highly Automatable",
IF(Table1[[#This Row],[automation_risk_percent]]&gt;0.4,"Moderate Risk","Safe Job"))</f>
        <v>Safe Job</v>
      </c>
    </row>
    <row r="2318" spans="1:24" x14ac:dyDescent="0.3">
      <c r="A2318">
        <v>8187</v>
      </c>
      <c r="B2318" t="s">
        <v>41</v>
      </c>
      <c r="C2318" t="s">
        <v>23</v>
      </c>
      <c r="D2318" t="s">
        <v>47</v>
      </c>
      <c r="E2318" s="1">
        <v>2026</v>
      </c>
      <c r="F2318" s="11">
        <v>0.8145</v>
      </c>
      <c r="G2318">
        <v>72.98</v>
      </c>
      <c r="H2318">
        <v>49.32</v>
      </c>
      <c r="I2318" s="2">
        <v>58048.06</v>
      </c>
      <c r="J2318" s="2">
        <v>58870.720000000001</v>
      </c>
      <c r="K2318" s="2">
        <f>Table1[[#This Row],[Salary_after]]-Table1[[#This Row],[Salary_before]]</f>
        <v>822.66000000000349</v>
      </c>
      <c r="L2318" s="11">
        <v>1.4199999999999999E-2</v>
      </c>
      <c r="M2318" s="11">
        <v>9.3299999999999994E-2</v>
      </c>
      <c r="N2318">
        <v>71.010000000000005</v>
      </c>
      <c r="O2318">
        <v>53.12</v>
      </c>
      <c r="P2318">
        <v>5</v>
      </c>
      <c r="Q2318" t="s">
        <v>37</v>
      </c>
      <c r="R2318">
        <v>65.385000000000005</v>
      </c>
      <c r="S2318">
        <v>1.42</v>
      </c>
      <c r="T2318" s="4">
        <v>47.802</v>
      </c>
      <c r="U2318" s="4">
        <v>43.266239999999897</v>
      </c>
      <c r="V2318" t="str">
        <f>IF(Table1[[#This Row],[ai_disruption_intensity]]&gt;70,"High",
IF(Table1[[#This Row],[ai_disruption_intensity]]&gt;40,"Medium","Low"))</f>
        <v>Medium</v>
      </c>
      <c r="W2318" t="str">
        <f>IF(Table1[[#This Row],[skill_gap_index]]&gt;70,"Large Gap",
IF(Table1[[#This Row],[skill_gap_index]]&gt;40,"Medium Gap","Small Gap"))</f>
        <v>Medium Gap</v>
      </c>
      <c r="X2318" s="3" t="str">
        <f>IF(Table1[[#This Row],[automation_risk_percent]]&gt;0.7,"Highly Automatable",
IF(Table1[[#This Row],[automation_risk_percent]]&gt;0.4,"Moderate Risk","Safe Job"))</f>
        <v>Highly Automatable</v>
      </c>
    </row>
    <row r="2319" spans="1:24" x14ac:dyDescent="0.3">
      <c r="A2319">
        <v>8188</v>
      </c>
      <c r="B2319" t="s">
        <v>45</v>
      </c>
      <c r="C2319" t="s">
        <v>19</v>
      </c>
      <c r="D2319" t="s">
        <v>31</v>
      </c>
      <c r="E2319" s="1">
        <v>2025</v>
      </c>
      <c r="F2319" s="11">
        <v>0.29730000000000001</v>
      </c>
      <c r="G2319">
        <v>26.17</v>
      </c>
      <c r="H2319">
        <v>65.66</v>
      </c>
      <c r="I2319" s="2">
        <v>140604.85999999999</v>
      </c>
      <c r="J2319" s="2">
        <v>145543.29999999999</v>
      </c>
      <c r="K2319" s="2">
        <f>Table1[[#This Row],[Salary_after]]-Table1[[#This Row],[Salary_before]]</f>
        <v>4938.4400000000023</v>
      </c>
      <c r="L2319" s="11">
        <v>3.5099999999999999E-2</v>
      </c>
      <c r="M2319" s="11">
        <v>-9.0500000000000011E-2</v>
      </c>
      <c r="N2319">
        <v>57.64</v>
      </c>
      <c r="O2319">
        <v>64.17</v>
      </c>
      <c r="P2319">
        <v>3</v>
      </c>
      <c r="Q2319" t="s">
        <v>21</v>
      </c>
      <c r="R2319">
        <v>47.695</v>
      </c>
      <c r="S2319">
        <v>3.51</v>
      </c>
      <c r="T2319" s="4">
        <v>32.642999999999901</v>
      </c>
      <c r="U2319" s="4">
        <v>19.077741</v>
      </c>
      <c r="V2319" t="str">
        <f>IF(Table1[[#This Row],[ai_disruption_intensity]]&gt;70,"High",
IF(Table1[[#This Row],[ai_disruption_intensity]]&gt;40,"Medium","Low"))</f>
        <v>Low</v>
      </c>
      <c r="W2319" t="str">
        <f>IF(Table1[[#This Row],[skill_gap_index]]&gt;70,"Large Gap",
IF(Table1[[#This Row],[skill_gap_index]]&gt;40,"Medium Gap","Small Gap"))</f>
        <v>Medium Gap</v>
      </c>
      <c r="X2319" s="3" t="str">
        <f>IF(Table1[[#This Row],[automation_risk_percent]]&gt;0.7,"Highly Automatable",
IF(Table1[[#This Row],[automation_risk_percent]]&gt;0.4,"Moderate Risk","Safe Job"))</f>
        <v>Safe Job</v>
      </c>
    </row>
    <row r="2320" spans="1:24" x14ac:dyDescent="0.3">
      <c r="A2320">
        <v>8191</v>
      </c>
      <c r="B2320" t="s">
        <v>22</v>
      </c>
      <c r="C2320" t="s">
        <v>23</v>
      </c>
      <c r="D2320" t="s">
        <v>20</v>
      </c>
      <c r="E2320" s="1">
        <v>2026</v>
      </c>
      <c r="F2320" s="11">
        <v>0.75519999999999998</v>
      </c>
      <c r="G2320">
        <v>61.91</v>
      </c>
      <c r="H2320">
        <v>25.75</v>
      </c>
      <c r="I2320" s="2">
        <v>79454.19</v>
      </c>
      <c r="J2320" s="2">
        <v>76834.13</v>
      </c>
      <c r="K2320" s="2">
        <f>Table1[[#This Row],[Salary_after]]-Table1[[#This Row],[Salary_before]]</f>
        <v>-2620.0599999999977</v>
      </c>
      <c r="L2320" s="11">
        <v>-3.3000000000000002E-2</v>
      </c>
      <c r="M2320" s="11">
        <v>0.1384</v>
      </c>
      <c r="N2320">
        <v>61.33</v>
      </c>
      <c r="O2320">
        <v>65.959999999999994</v>
      </c>
      <c r="P2320">
        <v>5</v>
      </c>
      <c r="Q2320" t="s">
        <v>37</v>
      </c>
      <c r="R2320">
        <v>50.634999999999998</v>
      </c>
      <c r="S2320">
        <v>3.3</v>
      </c>
      <c r="T2320" s="4">
        <v>38.923000000000002</v>
      </c>
      <c r="U2320" s="4">
        <v>49.812991999999902</v>
      </c>
      <c r="V2320" t="str">
        <f>IF(Table1[[#This Row],[ai_disruption_intensity]]&gt;70,"High",
IF(Table1[[#This Row],[ai_disruption_intensity]]&gt;40,"Medium","Low"))</f>
        <v>Medium</v>
      </c>
      <c r="W2320" t="str">
        <f>IF(Table1[[#This Row],[skill_gap_index]]&gt;70,"Large Gap",
IF(Table1[[#This Row],[skill_gap_index]]&gt;40,"Medium Gap","Small Gap"))</f>
        <v>Small Gap</v>
      </c>
      <c r="X2320" s="3" t="str">
        <f>IF(Table1[[#This Row],[automation_risk_percent]]&gt;0.7,"Highly Automatable",
IF(Table1[[#This Row],[automation_risk_percent]]&gt;0.4,"Moderate Risk","Safe Job"))</f>
        <v>Highly Automatable</v>
      </c>
    </row>
    <row r="2321" spans="1:24" x14ac:dyDescent="0.3">
      <c r="A2321">
        <v>8194</v>
      </c>
      <c r="B2321" t="s">
        <v>22</v>
      </c>
      <c r="C2321" t="s">
        <v>33</v>
      </c>
      <c r="D2321" t="s">
        <v>35</v>
      </c>
      <c r="E2321" s="1">
        <v>2026</v>
      </c>
      <c r="F2321" s="11">
        <v>0.36</v>
      </c>
      <c r="G2321">
        <v>36.79</v>
      </c>
      <c r="H2321">
        <v>16.190000000000001</v>
      </c>
      <c r="I2321" s="2">
        <v>145360.51</v>
      </c>
      <c r="J2321" s="2">
        <v>141464.44</v>
      </c>
      <c r="K2321" s="2">
        <f>Table1[[#This Row],[Salary_after]]-Table1[[#This Row],[Salary_before]]</f>
        <v>-3896.070000000007</v>
      </c>
      <c r="L2321" s="11">
        <v>-2.6800000000000001E-2</v>
      </c>
      <c r="M2321" s="11">
        <v>3.85E-2</v>
      </c>
      <c r="N2321">
        <v>30.65</v>
      </c>
      <c r="O2321">
        <v>28.66</v>
      </c>
      <c r="P2321">
        <v>2</v>
      </c>
      <c r="Q2321" t="s">
        <v>25</v>
      </c>
      <c r="R2321">
        <v>26.094999999999999</v>
      </c>
      <c r="S2321">
        <v>2.68</v>
      </c>
      <c r="T2321" s="4">
        <v>20.061</v>
      </c>
      <c r="U2321" s="4">
        <v>10.317600000000001</v>
      </c>
      <c r="V2321" t="str">
        <f>IF(Table1[[#This Row],[ai_disruption_intensity]]&gt;70,"High",
IF(Table1[[#This Row],[ai_disruption_intensity]]&gt;40,"Medium","Low"))</f>
        <v>Low</v>
      </c>
      <c r="W2321" t="str">
        <f>IF(Table1[[#This Row],[skill_gap_index]]&gt;70,"Large Gap",
IF(Table1[[#This Row],[skill_gap_index]]&gt;40,"Medium Gap","Small Gap"))</f>
        <v>Small Gap</v>
      </c>
      <c r="X2321" s="3" t="str">
        <f>IF(Table1[[#This Row],[automation_risk_percent]]&gt;0.7,"Highly Automatable",
IF(Table1[[#This Row],[automation_risk_percent]]&gt;0.4,"Moderate Risk","Safe Job"))</f>
        <v>Safe Job</v>
      </c>
    </row>
    <row r="2322" spans="1:24" x14ac:dyDescent="0.3">
      <c r="A2322">
        <v>8196</v>
      </c>
      <c r="B2322" t="s">
        <v>26</v>
      </c>
      <c r="C2322" t="s">
        <v>27</v>
      </c>
      <c r="D2322" t="s">
        <v>24</v>
      </c>
      <c r="E2322" s="1">
        <v>2025</v>
      </c>
      <c r="F2322" s="11">
        <v>0.32179999999999997</v>
      </c>
      <c r="G2322">
        <v>32.130000000000003</v>
      </c>
      <c r="H2322">
        <v>92.39</v>
      </c>
      <c r="I2322" s="2">
        <v>75633.73</v>
      </c>
      <c r="J2322" s="2">
        <v>75865.61</v>
      </c>
      <c r="K2322" s="2">
        <f>Table1[[#This Row],[Salary_after]]-Table1[[#This Row],[Salary_before]]</f>
        <v>231.88000000000466</v>
      </c>
      <c r="L2322" s="11">
        <v>3.0999999999999999E-3</v>
      </c>
      <c r="M2322" s="11">
        <v>8.4399999999999989E-2</v>
      </c>
      <c r="N2322">
        <v>29.63</v>
      </c>
      <c r="O2322">
        <v>10.37</v>
      </c>
      <c r="P2322">
        <v>3</v>
      </c>
      <c r="Q2322" t="s">
        <v>25</v>
      </c>
      <c r="R2322">
        <v>62.284999999999997</v>
      </c>
      <c r="S2322">
        <v>0.31</v>
      </c>
      <c r="T2322" s="4">
        <v>40.682000000000002</v>
      </c>
      <c r="U2322" s="4">
        <v>3.3370659999999899</v>
      </c>
      <c r="V2322" t="str">
        <f>IF(Table1[[#This Row],[ai_disruption_intensity]]&gt;70,"High",
IF(Table1[[#This Row],[ai_disruption_intensity]]&gt;40,"Medium","Low"))</f>
        <v>Low</v>
      </c>
      <c r="W2322" t="str">
        <f>IF(Table1[[#This Row],[skill_gap_index]]&gt;70,"Large Gap",
IF(Table1[[#This Row],[skill_gap_index]]&gt;40,"Medium Gap","Small Gap"))</f>
        <v>Large Gap</v>
      </c>
      <c r="X2322" s="3" t="str">
        <f>IF(Table1[[#This Row],[automation_risk_percent]]&gt;0.7,"Highly Automatable",
IF(Table1[[#This Row],[automation_risk_percent]]&gt;0.4,"Moderate Risk","Safe Job"))</f>
        <v>Safe Job</v>
      </c>
    </row>
    <row r="2323" spans="1:24" x14ac:dyDescent="0.3">
      <c r="A2323">
        <v>8203</v>
      </c>
      <c r="B2323" t="s">
        <v>43</v>
      </c>
      <c r="C2323" t="s">
        <v>30</v>
      </c>
      <c r="D2323" t="s">
        <v>47</v>
      </c>
      <c r="E2323" s="1">
        <v>2025</v>
      </c>
      <c r="F2323" s="11">
        <v>0.58109999999999995</v>
      </c>
      <c r="G2323">
        <v>54.28</v>
      </c>
      <c r="H2323">
        <v>48.88</v>
      </c>
      <c r="I2323" s="2">
        <v>123839.11</v>
      </c>
      <c r="J2323" s="2">
        <v>140169</v>
      </c>
      <c r="K2323" s="2">
        <f>Table1[[#This Row],[Salary_after]]-Table1[[#This Row],[Salary_before]]</f>
        <v>16329.89</v>
      </c>
      <c r="L2323" s="11">
        <v>0.13189999999999999</v>
      </c>
      <c r="M2323" s="11">
        <v>8.3299999999999999E-2</v>
      </c>
      <c r="N2323">
        <v>47.72</v>
      </c>
      <c r="O2323">
        <v>28.74</v>
      </c>
      <c r="P2323">
        <v>2</v>
      </c>
      <c r="Q2323" t="s">
        <v>25</v>
      </c>
      <c r="R2323">
        <v>53.494999999999997</v>
      </c>
      <c r="S2323">
        <v>13.19</v>
      </c>
      <c r="T2323" s="4">
        <v>41.865000000000002</v>
      </c>
      <c r="U2323" s="4">
        <v>16.700813999999902</v>
      </c>
      <c r="V2323" t="str">
        <f>IF(Table1[[#This Row],[ai_disruption_intensity]]&gt;70,"High",
IF(Table1[[#This Row],[ai_disruption_intensity]]&gt;40,"Medium","Low"))</f>
        <v>Low</v>
      </c>
      <c r="W2323" t="str">
        <f>IF(Table1[[#This Row],[skill_gap_index]]&gt;70,"Large Gap",
IF(Table1[[#This Row],[skill_gap_index]]&gt;40,"Medium Gap","Small Gap"))</f>
        <v>Medium Gap</v>
      </c>
      <c r="X2323" s="3" t="str">
        <f>IF(Table1[[#This Row],[automation_risk_percent]]&gt;0.7,"Highly Automatable",
IF(Table1[[#This Row],[automation_risk_percent]]&gt;0.4,"Moderate Risk","Safe Job"))</f>
        <v>Moderate Risk</v>
      </c>
    </row>
    <row r="2324" spans="1:24" x14ac:dyDescent="0.3">
      <c r="A2324">
        <v>8205</v>
      </c>
      <c r="B2324" t="s">
        <v>44</v>
      </c>
      <c r="C2324" t="s">
        <v>40</v>
      </c>
      <c r="D2324" t="s">
        <v>20</v>
      </c>
      <c r="E2324" s="1">
        <v>2026</v>
      </c>
      <c r="F2324" s="11">
        <v>0.63149999999999995</v>
      </c>
      <c r="G2324">
        <v>55.51</v>
      </c>
      <c r="H2324">
        <v>75.92</v>
      </c>
      <c r="I2324" s="2">
        <v>46678.74</v>
      </c>
      <c r="J2324" s="2">
        <v>44805.13</v>
      </c>
      <c r="K2324" s="2">
        <f>Table1[[#This Row],[Salary_after]]-Table1[[#This Row],[Salary_before]]</f>
        <v>-1873.6100000000006</v>
      </c>
      <c r="L2324" s="11">
        <v>-4.0099999999999997E-2</v>
      </c>
      <c r="M2324" s="11">
        <v>9.3699999999999992E-2</v>
      </c>
      <c r="N2324">
        <v>95.56</v>
      </c>
      <c r="O2324">
        <v>82.66</v>
      </c>
      <c r="P2324">
        <v>2</v>
      </c>
      <c r="Q2324" t="s">
        <v>37</v>
      </c>
      <c r="R2324">
        <v>69.534999999999997</v>
      </c>
      <c r="S2324">
        <v>4.01</v>
      </c>
      <c r="T2324" s="4">
        <v>49.238999999999997</v>
      </c>
      <c r="U2324" s="4">
        <v>52.199789999999901</v>
      </c>
      <c r="V2324" t="str">
        <f>IF(Table1[[#This Row],[ai_disruption_intensity]]&gt;70,"High",
IF(Table1[[#This Row],[ai_disruption_intensity]]&gt;40,"Medium","Low"))</f>
        <v>Medium</v>
      </c>
      <c r="W2324" t="str">
        <f>IF(Table1[[#This Row],[skill_gap_index]]&gt;70,"Large Gap",
IF(Table1[[#This Row],[skill_gap_index]]&gt;40,"Medium Gap","Small Gap"))</f>
        <v>Large Gap</v>
      </c>
      <c r="X2324" s="3" t="str">
        <f>IF(Table1[[#This Row],[automation_risk_percent]]&gt;0.7,"Highly Automatable",
IF(Table1[[#This Row],[automation_risk_percent]]&gt;0.4,"Moderate Risk","Safe Job"))</f>
        <v>Moderate Risk</v>
      </c>
    </row>
    <row r="2325" spans="1:24" x14ac:dyDescent="0.3">
      <c r="A2325">
        <v>8206</v>
      </c>
      <c r="B2325" t="s">
        <v>26</v>
      </c>
      <c r="C2325" t="s">
        <v>23</v>
      </c>
      <c r="D2325" t="s">
        <v>20</v>
      </c>
      <c r="E2325" s="1">
        <v>2025</v>
      </c>
      <c r="F2325" s="11">
        <v>0.25159999999999999</v>
      </c>
      <c r="G2325">
        <v>24.37</v>
      </c>
      <c r="H2325">
        <v>0.38</v>
      </c>
      <c r="I2325" s="2">
        <v>60171.87</v>
      </c>
      <c r="J2325" s="2">
        <v>57758.42</v>
      </c>
      <c r="K2325" s="2">
        <f>Table1[[#This Row],[Salary_after]]-Table1[[#This Row],[Salary_before]]</f>
        <v>-2413.4500000000044</v>
      </c>
      <c r="L2325" s="11">
        <v>-4.0099999999999997E-2</v>
      </c>
      <c r="M2325" s="11">
        <v>-0.1288</v>
      </c>
      <c r="N2325">
        <v>22.51</v>
      </c>
      <c r="O2325">
        <v>47.88</v>
      </c>
      <c r="P2325">
        <v>1</v>
      </c>
      <c r="Q2325" t="s">
        <v>21</v>
      </c>
      <c r="R2325">
        <v>12.77</v>
      </c>
      <c r="S2325">
        <v>4.01</v>
      </c>
      <c r="T2325" s="4">
        <v>11.381</v>
      </c>
      <c r="U2325" s="4">
        <v>12.046608000000001</v>
      </c>
      <c r="V2325" t="str">
        <f>IF(Table1[[#This Row],[ai_disruption_intensity]]&gt;70,"High",
IF(Table1[[#This Row],[ai_disruption_intensity]]&gt;40,"Medium","Low"))</f>
        <v>Low</v>
      </c>
      <c r="W2325" t="str">
        <f>IF(Table1[[#This Row],[skill_gap_index]]&gt;70,"Large Gap",
IF(Table1[[#This Row],[skill_gap_index]]&gt;40,"Medium Gap","Small Gap"))</f>
        <v>Small Gap</v>
      </c>
      <c r="X2325" s="3" t="str">
        <f>IF(Table1[[#This Row],[automation_risk_percent]]&gt;0.7,"Highly Automatable",
IF(Table1[[#This Row],[automation_risk_percent]]&gt;0.4,"Moderate Risk","Safe Job"))</f>
        <v>Safe Job</v>
      </c>
    </row>
    <row r="2326" spans="1:24" x14ac:dyDescent="0.3">
      <c r="A2326">
        <v>8207</v>
      </c>
      <c r="B2326" t="s">
        <v>29</v>
      </c>
      <c r="C2326" t="s">
        <v>19</v>
      </c>
      <c r="D2326" t="s">
        <v>24</v>
      </c>
      <c r="E2326" s="1">
        <v>2025</v>
      </c>
      <c r="F2326" s="11">
        <v>0.71790000000000009</v>
      </c>
      <c r="G2326">
        <v>68.099999999999994</v>
      </c>
      <c r="H2326">
        <v>23.22</v>
      </c>
      <c r="I2326" s="2">
        <v>95725.98</v>
      </c>
      <c r="J2326" s="2">
        <v>95263.55</v>
      </c>
      <c r="K2326" s="2">
        <f>Table1[[#This Row],[Salary_after]]-Table1[[#This Row],[Salary_before]]</f>
        <v>-462.42999999999302</v>
      </c>
      <c r="L2326" s="11">
        <v>-4.7999999999999996E-3</v>
      </c>
      <c r="M2326" s="11">
        <v>3.5699999999999996E-2</v>
      </c>
      <c r="N2326">
        <v>57.48</v>
      </c>
      <c r="O2326">
        <v>33.58</v>
      </c>
      <c r="P2326">
        <v>2</v>
      </c>
      <c r="Q2326" t="s">
        <v>37</v>
      </c>
      <c r="R2326">
        <v>47.505000000000003</v>
      </c>
      <c r="S2326">
        <v>0.48</v>
      </c>
      <c r="T2326" s="4">
        <v>35.826000000000001</v>
      </c>
      <c r="U2326" s="4">
        <v>24.107081999999998</v>
      </c>
      <c r="V2326" t="str">
        <f>IF(Table1[[#This Row],[ai_disruption_intensity]]&gt;70,"High",
IF(Table1[[#This Row],[ai_disruption_intensity]]&gt;40,"Medium","Low"))</f>
        <v>Low</v>
      </c>
      <c r="W2326" t="str">
        <f>IF(Table1[[#This Row],[skill_gap_index]]&gt;70,"Large Gap",
IF(Table1[[#This Row],[skill_gap_index]]&gt;40,"Medium Gap","Small Gap"))</f>
        <v>Small Gap</v>
      </c>
      <c r="X2326" s="3" t="str">
        <f>IF(Table1[[#This Row],[automation_risk_percent]]&gt;0.7,"Highly Automatable",
IF(Table1[[#This Row],[automation_risk_percent]]&gt;0.4,"Moderate Risk","Safe Job"))</f>
        <v>Highly Automatable</v>
      </c>
    </row>
    <row r="2327" spans="1:24" x14ac:dyDescent="0.3">
      <c r="A2327">
        <v>8221</v>
      </c>
      <c r="B2327" t="s">
        <v>44</v>
      </c>
      <c r="C2327" t="s">
        <v>40</v>
      </c>
      <c r="D2327" t="s">
        <v>36</v>
      </c>
      <c r="E2327" s="1">
        <v>2025</v>
      </c>
      <c r="F2327" s="11">
        <v>0.43959999999999999</v>
      </c>
      <c r="G2327">
        <v>48.21</v>
      </c>
      <c r="H2327">
        <v>96.28</v>
      </c>
      <c r="I2327" s="2">
        <v>131266.04</v>
      </c>
      <c r="J2327" s="2">
        <v>127803.66</v>
      </c>
      <c r="K2327" s="2">
        <f>Table1[[#This Row],[Salary_after]]-Table1[[#This Row],[Salary_before]]</f>
        <v>-3462.3800000000047</v>
      </c>
      <c r="L2327" s="11">
        <v>-2.64E-2</v>
      </c>
      <c r="M2327" s="11">
        <v>8.9700000000000002E-2</v>
      </c>
      <c r="N2327">
        <v>23.98</v>
      </c>
      <c r="O2327">
        <v>24.78</v>
      </c>
      <c r="P2327">
        <v>5</v>
      </c>
      <c r="Q2327" t="s">
        <v>25</v>
      </c>
      <c r="R2327">
        <v>70.12</v>
      </c>
      <c r="S2327">
        <v>2.64</v>
      </c>
      <c r="T2327" s="4">
        <v>47.26</v>
      </c>
      <c r="U2327" s="4">
        <v>10.893288</v>
      </c>
      <c r="V2327" t="str">
        <f>IF(Table1[[#This Row],[ai_disruption_intensity]]&gt;70,"High",
IF(Table1[[#This Row],[ai_disruption_intensity]]&gt;40,"Medium","Low"))</f>
        <v>Low</v>
      </c>
      <c r="W2327" t="str">
        <f>IF(Table1[[#This Row],[skill_gap_index]]&gt;70,"Large Gap",
IF(Table1[[#This Row],[skill_gap_index]]&gt;40,"Medium Gap","Small Gap"))</f>
        <v>Large Gap</v>
      </c>
      <c r="X2327" s="3" t="str">
        <f>IF(Table1[[#This Row],[automation_risk_percent]]&gt;0.7,"Highly Automatable",
IF(Table1[[#This Row],[automation_risk_percent]]&gt;0.4,"Moderate Risk","Safe Job"))</f>
        <v>Moderate Risk</v>
      </c>
    </row>
    <row r="2328" spans="1:24" x14ac:dyDescent="0.3">
      <c r="A2328">
        <v>8226</v>
      </c>
      <c r="B2328" t="s">
        <v>18</v>
      </c>
      <c r="C2328" t="s">
        <v>33</v>
      </c>
      <c r="D2328" t="s">
        <v>20</v>
      </c>
      <c r="E2328" s="1">
        <v>2025</v>
      </c>
      <c r="F2328" s="11">
        <v>0.18260000000000001</v>
      </c>
      <c r="G2328">
        <v>17.559999999999999</v>
      </c>
      <c r="H2328">
        <v>82.38</v>
      </c>
      <c r="I2328" s="2">
        <v>45624.54</v>
      </c>
      <c r="J2328" s="2">
        <v>40710.550000000003</v>
      </c>
      <c r="K2328" s="2">
        <f>Table1[[#This Row],[Salary_after]]-Table1[[#This Row],[Salary_before]]</f>
        <v>-4913.989999999998</v>
      </c>
      <c r="L2328" s="11">
        <v>-0.10769999999999999</v>
      </c>
      <c r="M2328" s="11">
        <v>6.6000000000000003E-2</v>
      </c>
      <c r="N2328">
        <v>14.43</v>
      </c>
      <c r="O2328">
        <v>37.869999999999997</v>
      </c>
      <c r="P2328">
        <v>4</v>
      </c>
      <c r="Q2328" t="s">
        <v>21</v>
      </c>
      <c r="R2328">
        <v>50.32</v>
      </c>
      <c r="S2328">
        <v>10.77</v>
      </c>
      <c r="T2328" s="4">
        <v>35.249000000000002</v>
      </c>
      <c r="U2328" s="4">
        <v>6.9150619999999998</v>
      </c>
      <c r="V2328" t="str">
        <f>IF(Table1[[#This Row],[ai_disruption_intensity]]&gt;70,"High",
IF(Table1[[#This Row],[ai_disruption_intensity]]&gt;40,"Medium","Low"))</f>
        <v>Low</v>
      </c>
      <c r="W2328" t="str">
        <f>IF(Table1[[#This Row],[skill_gap_index]]&gt;70,"Large Gap",
IF(Table1[[#This Row],[skill_gap_index]]&gt;40,"Medium Gap","Small Gap"))</f>
        <v>Large Gap</v>
      </c>
      <c r="X2328" s="3" t="str">
        <f>IF(Table1[[#This Row],[automation_risk_percent]]&gt;0.7,"Highly Automatable",
IF(Table1[[#This Row],[automation_risk_percent]]&gt;0.4,"Moderate Risk","Safe Job"))</f>
        <v>Safe Job</v>
      </c>
    </row>
    <row r="2329" spans="1:24" x14ac:dyDescent="0.3">
      <c r="A2329">
        <v>8230</v>
      </c>
      <c r="B2329" t="s">
        <v>45</v>
      </c>
      <c r="C2329" t="s">
        <v>19</v>
      </c>
      <c r="D2329" t="s">
        <v>42</v>
      </c>
      <c r="E2329" s="1">
        <v>2025</v>
      </c>
      <c r="F2329" s="11">
        <v>0.33899999999999997</v>
      </c>
      <c r="G2329">
        <v>27.64</v>
      </c>
      <c r="H2329">
        <v>72.55</v>
      </c>
      <c r="I2329" s="2">
        <v>117909.95</v>
      </c>
      <c r="J2329" s="2">
        <v>130621.63</v>
      </c>
      <c r="K2329" s="2">
        <f>Table1[[#This Row],[Salary_after]]-Table1[[#This Row],[Salary_before]]</f>
        <v>12711.680000000008</v>
      </c>
      <c r="L2329" s="11">
        <v>0.10779999999999999</v>
      </c>
      <c r="M2329" s="11">
        <v>8.7599999999999997E-2</v>
      </c>
      <c r="N2329">
        <v>28.29</v>
      </c>
      <c r="O2329">
        <v>28.62</v>
      </c>
      <c r="P2329">
        <v>1</v>
      </c>
      <c r="Q2329" t="s">
        <v>25</v>
      </c>
      <c r="R2329">
        <v>53.224999999999902</v>
      </c>
      <c r="S2329">
        <v>10.78</v>
      </c>
      <c r="T2329" s="4">
        <v>38.558999999999997</v>
      </c>
      <c r="U2329" s="4">
        <v>9.7021800000000002</v>
      </c>
      <c r="V2329" t="str">
        <f>IF(Table1[[#This Row],[ai_disruption_intensity]]&gt;70,"High",
IF(Table1[[#This Row],[ai_disruption_intensity]]&gt;40,"Medium","Low"))</f>
        <v>Low</v>
      </c>
      <c r="W2329" t="str">
        <f>IF(Table1[[#This Row],[skill_gap_index]]&gt;70,"Large Gap",
IF(Table1[[#This Row],[skill_gap_index]]&gt;40,"Medium Gap","Small Gap"))</f>
        <v>Large Gap</v>
      </c>
      <c r="X2329" s="3" t="str">
        <f>IF(Table1[[#This Row],[automation_risk_percent]]&gt;0.7,"Highly Automatable",
IF(Table1[[#This Row],[automation_risk_percent]]&gt;0.4,"Moderate Risk","Safe Job"))</f>
        <v>Safe Job</v>
      </c>
    </row>
    <row r="2330" spans="1:24" x14ac:dyDescent="0.3">
      <c r="A2330">
        <v>8231</v>
      </c>
      <c r="B2330" t="s">
        <v>29</v>
      </c>
      <c r="C2330" t="s">
        <v>19</v>
      </c>
      <c r="D2330" t="s">
        <v>35</v>
      </c>
      <c r="E2330" s="1">
        <v>2026</v>
      </c>
      <c r="F2330" s="11">
        <v>0.57109999999999994</v>
      </c>
      <c r="G2330">
        <v>47.06</v>
      </c>
      <c r="H2330">
        <v>88.35</v>
      </c>
      <c r="I2330" s="2">
        <v>88875.43</v>
      </c>
      <c r="J2330" s="2">
        <v>86614.91</v>
      </c>
      <c r="K2330" s="2">
        <f>Table1[[#This Row],[Salary_after]]-Table1[[#This Row],[Salary_before]]</f>
        <v>-2260.5199999999895</v>
      </c>
      <c r="L2330" s="11">
        <v>-2.5399999999999999E-2</v>
      </c>
      <c r="M2330" s="11">
        <v>-0.15240000000000001</v>
      </c>
      <c r="N2330">
        <v>39.26</v>
      </c>
      <c r="O2330">
        <v>28.63</v>
      </c>
      <c r="P2330">
        <v>4</v>
      </c>
      <c r="Q2330" t="s">
        <v>25</v>
      </c>
      <c r="R2330">
        <v>72.729999999999905</v>
      </c>
      <c r="S2330">
        <v>2.54</v>
      </c>
      <c r="T2330" s="4">
        <v>50.110999999999997</v>
      </c>
      <c r="U2330" s="4">
        <v>16.350593</v>
      </c>
      <c r="V2330" t="str">
        <f>IF(Table1[[#This Row],[ai_disruption_intensity]]&gt;70,"High",
IF(Table1[[#This Row],[ai_disruption_intensity]]&gt;40,"Medium","Low"))</f>
        <v>Low</v>
      </c>
      <c r="W2330" t="str">
        <f>IF(Table1[[#This Row],[skill_gap_index]]&gt;70,"Large Gap",
IF(Table1[[#This Row],[skill_gap_index]]&gt;40,"Medium Gap","Small Gap"))</f>
        <v>Large Gap</v>
      </c>
      <c r="X2330" s="3" t="str">
        <f>IF(Table1[[#This Row],[automation_risk_percent]]&gt;0.7,"Highly Automatable",
IF(Table1[[#This Row],[automation_risk_percent]]&gt;0.4,"Moderate Risk","Safe Job"))</f>
        <v>Moderate Risk</v>
      </c>
    </row>
    <row r="2331" spans="1:24" x14ac:dyDescent="0.3">
      <c r="A2331">
        <v>8232</v>
      </c>
      <c r="B2331" t="s">
        <v>29</v>
      </c>
      <c r="C2331" t="s">
        <v>34</v>
      </c>
      <c r="D2331" t="s">
        <v>32</v>
      </c>
      <c r="E2331" s="1">
        <v>2025</v>
      </c>
      <c r="F2331" s="11">
        <v>0.56359999999999999</v>
      </c>
      <c r="G2331">
        <v>55.95</v>
      </c>
      <c r="H2331">
        <v>43.33</v>
      </c>
      <c r="I2331" s="2">
        <v>95751.71</v>
      </c>
      <c r="J2331" s="2">
        <v>90258.02</v>
      </c>
      <c r="K2331" s="2">
        <f>Table1[[#This Row],[Salary_after]]-Table1[[#This Row],[Salary_before]]</f>
        <v>-5493.6900000000023</v>
      </c>
      <c r="L2331" s="11">
        <v>-5.74E-2</v>
      </c>
      <c r="M2331" s="11">
        <v>0.1158</v>
      </c>
      <c r="N2331">
        <v>32.69</v>
      </c>
      <c r="O2331">
        <v>59.95</v>
      </c>
      <c r="P2331">
        <v>3</v>
      </c>
      <c r="Q2331" t="s">
        <v>25</v>
      </c>
      <c r="R2331">
        <v>49.844999999999999</v>
      </c>
      <c r="S2331">
        <v>5.74</v>
      </c>
      <c r="T2331" s="4">
        <v>37.265000000000001</v>
      </c>
      <c r="U2331" s="4">
        <v>33.787820000000004</v>
      </c>
      <c r="V2331" t="str">
        <f>IF(Table1[[#This Row],[ai_disruption_intensity]]&gt;70,"High",
IF(Table1[[#This Row],[ai_disruption_intensity]]&gt;40,"Medium","Low"))</f>
        <v>Low</v>
      </c>
      <c r="W2331" t="str">
        <f>IF(Table1[[#This Row],[skill_gap_index]]&gt;70,"Large Gap",
IF(Table1[[#This Row],[skill_gap_index]]&gt;40,"Medium Gap","Small Gap"))</f>
        <v>Medium Gap</v>
      </c>
      <c r="X2331" s="3" t="str">
        <f>IF(Table1[[#This Row],[automation_risk_percent]]&gt;0.7,"Highly Automatable",
IF(Table1[[#This Row],[automation_risk_percent]]&gt;0.4,"Moderate Risk","Safe Job"))</f>
        <v>Moderate Risk</v>
      </c>
    </row>
    <row r="2332" spans="1:24" x14ac:dyDescent="0.3">
      <c r="A2332">
        <v>8233</v>
      </c>
      <c r="B2332" t="s">
        <v>43</v>
      </c>
      <c r="C2332" t="s">
        <v>23</v>
      </c>
      <c r="D2332" t="s">
        <v>36</v>
      </c>
      <c r="E2332" s="1">
        <v>2026</v>
      </c>
      <c r="F2332" s="11">
        <v>0.78299999999999992</v>
      </c>
      <c r="G2332">
        <v>63.18</v>
      </c>
      <c r="H2332">
        <v>67.31</v>
      </c>
      <c r="I2332" s="2">
        <v>113627.66</v>
      </c>
      <c r="J2332" s="2">
        <v>111566.27</v>
      </c>
      <c r="K2332" s="2">
        <f>Table1[[#This Row],[Salary_after]]-Table1[[#This Row],[Salary_before]]</f>
        <v>-2061.3899999999994</v>
      </c>
      <c r="L2332" s="11">
        <v>-1.8100000000000002E-2</v>
      </c>
      <c r="M2332" s="11">
        <v>5.2699999999999997E-2</v>
      </c>
      <c r="N2332">
        <v>64.569999999999993</v>
      </c>
      <c r="O2332">
        <v>11.5</v>
      </c>
      <c r="P2332">
        <v>5</v>
      </c>
      <c r="Q2332" t="s">
        <v>37</v>
      </c>
      <c r="R2332">
        <v>72.805000000000007</v>
      </c>
      <c r="S2332">
        <v>1.81</v>
      </c>
      <c r="T2332" s="4">
        <v>52.055999999999997</v>
      </c>
      <c r="U2332" s="4">
        <v>9.0045000000000002</v>
      </c>
      <c r="V2332" t="str">
        <f>IF(Table1[[#This Row],[ai_disruption_intensity]]&gt;70,"High",
IF(Table1[[#This Row],[ai_disruption_intensity]]&gt;40,"Medium","Low"))</f>
        <v>Low</v>
      </c>
      <c r="W2332" t="str">
        <f>IF(Table1[[#This Row],[skill_gap_index]]&gt;70,"Large Gap",
IF(Table1[[#This Row],[skill_gap_index]]&gt;40,"Medium Gap","Small Gap"))</f>
        <v>Medium Gap</v>
      </c>
      <c r="X2332" s="3" t="str">
        <f>IF(Table1[[#This Row],[automation_risk_percent]]&gt;0.7,"Highly Automatable",
IF(Table1[[#This Row],[automation_risk_percent]]&gt;0.4,"Moderate Risk","Safe Job"))</f>
        <v>Highly Automatable</v>
      </c>
    </row>
    <row r="2333" spans="1:24" x14ac:dyDescent="0.3">
      <c r="A2333">
        <v>8236</v>
      </c>
      <c r="B2333" t="s">
        <v>41</v>
      </c>
      <c r="C2333" t="s">
        <v>34</v>
      </c>
      <c r="D2333" t="s">
        <v>47</v>
      </c>
      <c r="E2333" s="1">
        <v>2026</v>
      </c>
      <c r="F2333" s="11">
        <v>0.3009</v>
      </c>
      <c r="G2333">
        <v>35.979999999999997</v>
      </c>
      <c r="H2333">
        <v>70.790000000000006</v>
      </c>
      <c r="I2333" s="2">
        <v>116728.22</v>
      </c>
      <c r="J2333" s="2">
        <v>144185.07</v>
      </c>
      <c r="K2333" s="2">
        <f>Table1[[#This Row],[Salary_after]]-Table1[[#This Row],[Salary_before]]</f>
        <v>27456.850000000006</v>
      </c>
      <c r="L2333" s="11">
        <v>0.23519999999999999</v>
      </c>
      <c r="M2333" s="11">
        <v>-0.1245</v>
      </c>
      <c r="N2333">
        <v>99.46</v>
      </c>
      <c r="O2333">
        <v>59.51</v>
      </c>
      <c r="P2333">
        <v>1</v>
      </c>
      <c r="Q2333" t="s">
        <v>25</v>
      </c>
      <c r="R2333">
        <v>50.44</v>
      </c>
      <c r="S2333">
        <v>23.52</v>
      </c>
      <c r="T2333" s="4">
        <v>40.329000000000001</v>
      </c>
      <c r="U2333" s="4">
        <v>17.906559000000001</v>
      </c>
      <c r="V2333" t="str">
        <f>IF(Table1[[#This Row],[ai_disruption_intensity]]&gt;70,"High",
IF(Table1[[#This Row],[ai_disruption_intensity]]&gt;40,"Medium","Low"))</f>
        <v>Low</v>
      </c>
      <c r="W2333" t="str">
        <f>IF(Table1[[#This Row],[skill_gap_index]]&gt;70,"Large Gap",
IF(Table1[[#This Row],[skill_gap_index]]&gt;40,"Medium Gap","Small Gap"))</f>
        <v>Large Gap</v>
      </c>
      <c r="X2333" s="3" t="str">
        <f>IF(Table1[[#This Row],[automation_risk_percent]]&gt;0.7,"Highly Automatable",
IF(Table1[[#This Row],[automation_risk_percent]]&gt;0.4,"Moderate Risk","Safe Job"))</f>
        <v>Safe Job</v>
      </c>
    </row>
    <row r="2334" spans="1:24" x14ac:dyDescent="0.3">
      <c r="A2334">
        <v>8237</v>
      </c>
      <c r="B2334" t="s">
        <v>45</v>
      </c>
      <c r="C2334" t="s">
        <v>23</v>
      </c>
      <c r="D2334" t="s">
        <v>31</v>
      </c>
      <c r="E2334" s="1">
        <v>2026</v>
      </c>
      <c r="F2334" s="11">
        <v>0.25329999999999997</v>
      </c>
      <c r="G2334">
        <v>30.03</v>
      </c>
      <c r="H2334">
        <v>53.78</v>
      </c>
      <c r="I2334" s="2">
        <v>32480.799999999999</v>
      </c>
      <c r="J2334" s="2">
        <v>30105.85</v>
      </c>
      <c r="K2334" s="2">
        <f>Table1[[#This Row],[Salary_after]]-Table1[[#This Row],[Salary_before]]</f>
        <v>-2374.9500000000007</v>
      </c>
      <c r="L2334" s="11">
        <v>-7.3099999999999998E-2</v>
      </c>
      <c r="M2334" s="11">
        <v>6.25E-2</v>
      </c>
      <c r="N2334">
        <v>57.48</v>
      </c>
      <c r="O2334">
        <v>82.53</v>
      </c>
      <c r="P2334">
        <v>4</v>
      </c>
      <c r="Q2334" t="s">
        <v>21</v>
      </c>
      <c r="R2334">
        <v>39.555</v>
      </c>
      <c r="S2334">
        <v>7.31</v>
      </c>
      <c r="T2334" s="4">
        <v>28.4589999999999</v>
      </c>
      <c r="U2334" s="4">
        <v>20.904848999999999</v>
      </c>
      <c r="V2334" t="str">
        <f>IF(Table1[[#This Row],[ai_disruption_intensity]]&gt;70,"High",
IF(Table1[[#This Row],[ai_disruption_intensity]]&gt;40,"Medium","Low"))</f>
        <v>Low</v>
      </c>
      <c r="W2334" t="str">
        <f>IF(Table1[[#This Row],[skill_gap_index]]&gt;70,"Large Gap",
IF(Table1[[#This Row],[skill_gap_index]]&gt;40,"Medium Gap","Small Gap"))</f>
        <v>Medium Gap</v>
      </c>
      <c r="X2334" s="3" t="str">
        <f>IF(Table1[[#This Row],[automation_risk_percent]]&gt;0.7,"Highly Automatable",
IF(Table1[[#This Row],[automation_risk_percent]]&gt;0.4,"Moderate Risk","Safe Job"))</f>
        <v>Safe Job</v>
      </c>
    </row>
    <row r="2335" spans="1:24" x14ac:dyDescent="0.3">
      <c r="A2335">
        <v>8238</v>
      </c>
      <c r="B2335" t="s">
        <v>43</v>
      </c>
      <c r="C2335" t="s">
        <v>38</v>
      </c>
      <c r="D2335" t="s">
        <v>47</v>
      </c>
      <c r="E2335" s="1">
        <v>2025</v>
      </c>
      <c r="F2335" s="11">
        <v>0.47720000000000001</v>
      </c>
      <c r="G2335">
        <v>45.31</v>
      </c>
      <c r="H2335">
        <v>88.26</v>
      </c>
      <c r="I2335" s="2">
        <v>141310.81</v>
      </c>
      <c r="J2335" s="2">
        <v>141098.95000000001</v>
      </c>
      <c r="K2335" s="2">
        <f>Table1[[#This Row],[Salary_after]]-Table1[[#This Row],[Salary_before]]</f>
        <v>-211.85999999998603</v>
      </c>
      <c r="L2335" s="11">
        <v>-1.5E-3</v>
      </c>
      <c r="M2335" s="11">
        <v>-0.16789999999999999</v>
      </c>
      <c r="N2335">
        <v>98.46</v>
      </c>
      <c r="O2335">
        <v>17.809999999999999</v>
      </c>
      <c r="P2335">
        <v>5</v>
      </c>
      <c r="Q2335" t="s">
        <v>25</v>
      </c>
      <c r="R2335">
        <v>67.989999999999995</v>
      </c>
      <c r="S2335">
        <v>0.15</v>
      </c>
      <c r="T2335" s="4">
        <v>45.610999999999997</v>
      </c>
      <c r="U2335" s="4">
        <v>8.4989319999999893</v>
      </c>
      <c r="V2335" t="str">
        <f>IF(Table1[[#This Row],[ai_disruption_intensity]]&gt;70,"High",
IF(Table1[[#This Row],[ai_disruption_intensity]]&gt;40,"Medium","Low"))</f>
        <v>Low</v>
      </c>
      <c r="W2335" t="str">
        <f>IF(Table1[[#This Row],[skill_gap_index]]&gt;70,"Large Gap",
IF(Table1[[#This Row],[skill_gap_index]]&gt;40,"Medium Gap","Small Gap"))</f>
        <v>Large Gap</v>
      </c>
      <c r="X2335" s="3" t="str">
        <f>IF(Table1[[#This Row],[automation_risk_percent]]&gt;0.7,"Highly Automatable",
IF(Table1[[#This Row],[automation_risk_percent]]&gt;0.4,"Moderate Risk","Safe Job"))</f>
        <v>Moderate Risk</v>
      </c>
    </row>
    <row r="2336" spans="1:24" x14ac:dyDescent="0.3">
      <c r="A2336">
        <v>8239</v>
      </c>
      <c r="B2336" t="s">
        <v>39</v>
      </c>
      <c r="C2336" t="s">
        <v>38</v>
      </c>
      <c r="D2336" t="s">
        <v>47</v>
      </c>
      <c r="E2336" s="1">
        <v>2026</v>
      </c>
      <c r="F2336" s="11">
        <v>0.30870000000000003</v>
      </c>
      <c r="G2336">
        <v>29.99</v>
      </c>
      <c r="H2336">
        <v>10.09</v>
      </c>
      <c r="I2336" s="2">
        <v>62645.11</v>
      </c>
      <c r="J2336" s="2">
        <v>53090.81</v>
      </c>
      <c r="K2336" s="2">
        <f>Table1[[#This Row],[Salary_after]]-Table1[[#This Row],[Salary_before]]</f>
        <v>-9554.3000000000029</v>
      </c>
      <c r="L2336" s="11">
        <v>-0.1525</v>
      </c>
      <c r="M2336" s="11">
        <v>7.51E-2</v>
      </c>
      <c r="N2336">
        <v>71.77</v>
      </c>
      <c r="O2336">
        <v>34.770000000000003</v>
      </c>
      <c r="P2336">
        <v>4</v>
      </c>
      <c r="Q2336" t="s">
        <v>25</v>
      </c>
      <c r="R2336">
        <v>20.48</v>
      </c>
      <c r="S2336">
        <v>15.25</v>
      </c>
      <c r="T2336" s="4">
        <v>19.95</v>
      </c>
      <c r="U2336" s="4">
        <v>10.733499</v>
      </c>
      <c r="V2336" t="str">
        <f>IF(Table1[[#This Row],[ai_disruption_intensity]]&gt;70,"High",
IF(Table1[[#This Row],[ai_disruption_intensity]]&gt;40,"Medium","Low"))</f>
        <v>Low</v>
      </c>
      <c r="W2336" t="str">
        <f>IF(Table1[[#This Row],[skill_gap_index]]&gt;70,"Large Gap",
IF(Table1[[#This Row],[skill_gap_index]]&gt;40,"Medium Gap","Small Gap"))</f>
        <v>Small Gap</v>
      </c>
      <c r="X2336" s="3" t="str">
        <f>IF(Table1[[#This Row],[automation_risk_percent]]&gt;0.7,"Highly Automatable",
IF(Table1[[#This Row],[automation_risk_percent]]&gt;0.4,"Moderate Risk","Safe Job"))</f>
        <v>Safe Job</v>
      </c>
    </row>
    <row r="2337" spans="1:24" x14ac:dyDescent="0.3">
      <c r="A2337">
        <v>8240</v>
      </c>
      <c r="B2337" t="s">
        <v>46</v>
      </c>
      <c r="C2337" t="s">
        <v>33</v>
      </c>
      <c r="D2337" t="s">
        <v>24</v>
      </c>
      <c r="E2337" s="1">
        <v>2025</v>
      </c>
      <c r="F2337" s="11">
        <v>6.2899999999999998E-2</v>
      </c>
      <c r="G2337">
        <v>6.95</v>
      </c>
      <c r="H2337">
        <v>56.74</v>
      </c>
      <c r="I2337" s="2">
        <v>128984.31</v>
      </c>
      <c r="J2337" s="2">
        <v>133454.95000000001</v>
      </c>
      <c r="K2337" s="2">
        <f>Table1[[#This Row],[Salary_after]]-Table1[[#This Row],[Salary_before]]</f>
        <v>4470.640000000014</v>
      </c>
      <c r="L2337" s="11">
        <v>3.4700000000000002E-2</v>
      </c>
      <c r="M2337" s="11">
        <v>4.3499999999999997E-2</v>
      </c>
      <c r="N2337">
        <v>84.73</v>
      </c>
      <c r="O2337">
        <v>1.61</v>
      </c>
      <c r="P2337">
        <v>2</v>
      </c>
      <c r="Q2337" t="s">
        <v>21</v>
      </c>
      <c r="R2337">
        <v>31.515000000000001</v>
      </c>
      <c r="S2337">
        <v>3.47</v>
      </c>
      <c r="T2337" s="4">
        <v>20.578999999999901</v>
      </c>
      <c r="U2337" s="4">
        <v>0.101269</v>
      </c>
      <c r="V2337" t="str">
        <f>IF(Table1[[#This Row],[ai_disruption_intensity]]&gt;70,"High",
IF(Table1[[#This Row],[ai_disruption_intensity]]&gt;40,"Medium","Low"))</f>
        <v>Low</v>
      </c>
      <c r="W2337" t="str">
        <f>IF(Table1[[#This Row],[skill_gap_index]]&gt;70,"Large Gap",
IF(Table1[[#This Row],[skill_gap_index]]&gt;40,"Medium Gap","Small Gap"))</f>
        <v>Medium Gap</v>
      </c>
      <c r="X2337" s="3" t="str">
        <f>IF(Table1[[#This Row],[automation_risk_percent]]&gt;0.7,"Highly Automatable",
IF(Table1[[#This Row],[automation_risk_percent]]&gt;0.4,"Moderate Risk","Safe Job"))</f>
        <v>Safe Job</v>
      </c>
    </row>
    <row r="2338" spans="1:24" x14ac:dyDescent="0.3">
      <c r="A2338">
        <v>8252</v>
      </c>
      <c r="B2338" t="s">
        <v>39</v>
      </c>
      <c r="C2338" t="s">
        <v>27</v>
      </c>
      <c r="D2338" t="s">
        <v>35</v>
      </c>
      <c r="E2338" s="1">
        <v>2025</v>
      </c>
      <c r="F2338" s="11">
        <v>0.63229999999999997</v>
      </c>
      <c r="G2338">
        <v>53.49</v>
      </c>
      <c r="H2338">
        <v>73.39</v>
      </c>
      <c r="I2338" s="2">
        <v>65730.53</v>
      </c>
      <c r="J2338" s="2">
        <v>56059.29</v>
      </c>
      <c r="K2338" s="2">
        <f>Table1[[#This Row],[Salary_after]]-Table1[[#This Row],[Salary_before]]</f>
        <v>-9671.239999999998</v>
      </c>
      <c r="L2338" s="11">
        <v>-0.14710000000000001</v>
      </c>
      <c r="M2338" s="11">
        <v>-2.1400000000000002E-2</v>
      </c>
      <c r="N2338">
        <v>23.82</v>
      </c>
      <c r="O2338">
        <v>36.15</v>
      </c>
      <c r="P2338">
        <v>2</v>
      </c>
      <c r="Q2338" t="s">
        <v>37</v>
      </c>
      <c r="R2338">
        <v>68.31</v>
      </c>
      <c r="S2338">
        <v>14.71</v>
      </c>
      <c r="T2338" s="4">
        <v>51.721999999999902</v>
      </c>
      <c r="U2338" s="4">
        <v>22.857644999999899</v>
      </c>
      <c r="V2338" t="str">
        <f>IF(Table1[[#This Row],[ai_disruption_intensity]]&gt;70,"High",
IF(Table1[[#This Row],[ai_disruption_intensity]]&gt;40,"Medium","Low"))</f>
        <v>Low</v>
      </c>
      <c r="W2338" t="str">
        <f>IF(Table1[[#This Row],[skill_gap_index]]&gt;70,"Large Gap",
IF(Table1[[#This Row],[skill_gap_index]]&gt;40,"Medium Gap","Small Gap"))</f>
        <v>Large Gap</v>
      </c>
      <c r="X2338" s="3" t="str">
        <f>IF(Table1[[#This Row],[automation_risk_percent]]&gt;0.7,"Highly Automatable",
IF(Table1[[#This Row],[automation_risk_percent]]&gt;0.4,"Moderate Risk","Safe Job"))</f>
        <v>Moderate Risk</v>
      </c>
    </row>
    <row r="2339" spans="1:24" x14ac:dyDescent="0.3">
      <c r="A2339">
        <v>8258</v>
      </c>
      <c r="B2339" t="s">
        <v>41</v>
      </c>
      <c r="C2339" t="s">
        <v>38</v>
      </c>
      <c r="D2339" t="s">
        <v>42</v>
      </c>
      <c r="E2339" s="1">
        <v>2025</v>
      </c>
      <c r="F2339" s="11">
        <v>0.35499999999999998</v>
      </c>
      <c r="G2339">
        <v>32.58</v>
      </c>
      <c r="H2339">
        <v>53.05</v>
      </c>
      <c r="I2339" s="2">
        <v>44931.67</v>
      </c>
      <c r="J2339" s="2">
        <v>41597.78</v>
      </c>
      <c r="K2339" s="2">
        <f>Table1[[#This Row],[Salary_after]]-Table1[[#This Row],[Salary_before]]</f>
        <v>-3333.8899999999994</v>
      </c>
      <c r="L2339" s="11">
        <v>-7.4200000000000002E-2</v>
      </c>
      <c r="M2339" s="11">
        <v>0.18780000000000002</v>
      </c>
      <c r="N2339">
        <v>61.16</v>
      </c>
      <c r="O2339">
        <v>73.42</v>
      </c>
      <c r="P2339">
        <v>5</v>
      </c>
      <c r="Q2339" t="s">
        <v>25</v>
      </c>
      <c r="R2339">
        <v>44.274999999999999</v>
      </c>
      <c r="S2339">
        <v>7.42</v>
      </c>
      <c r="T2339" s="4">
        <v>32.341000000000001</v>
      </c>
      <c r="U2339" s="4">
        <v>26.0641</v>
      </c>
      <c r="V2339" t="str">
        <f>IF(Table1[[#This Row],[ai_disruption_intensity]]&gt;70,"High",
IF(Table1[[#This Row],[ai_disruption_intensity]]&gt;40,"Medium","Low"))</f>
        <v>Low</v>
      </c>
      <c r="W2339" t="str">
        <f>IF(Table1[[#This Row],[skill_gap_index]]&gt;70,"Large Gap",
IF(Table1[[#This Row],[skill_gap_index]]&gt;40,"Medium Gap","Small Gap"))</f>
        <v>Medium Gap</v>
      </c>
      <c r="X2339" s="3" t="str">
        <f>IF(Table1[[#This Row],[automation_risk_percent]]&gt;0.7,"Highly Automatable",
IF(Table1[[#This Row],[automation_risk_percent]]&gt;0.4,"Moderate Risk","Safe Job"))</f>
        <v>Safe Job</v>
      </c>
    </row>
    <row r="2340" spans="1:24" x14ac:dyDescent="0.3">
      <c r="A2340">
        <v>8263</v>
      </c>
      <c r="B2340" t="s">
        <v>45</v>
      </c>
      <c r="C2340" t="s">
        <v>27</v>
      </c>
      <c r="D2340" t="s">
        <v>47</v>
      </c>
      <c r="E2340" s="1">
        <v>2025</v>
      </c>
      <c r="F2340" s="11">
        <v>0.28370000000000001</v>
      </c>
      <c r="G2340">
        <v>22.94</v>
      </c>
      <c r="H2340">
        <v>64.5</v>
      </c>
      <c r="I2340" s="2">
        <v>103023.05</v>
      </c>
      <c r="J2340" s="2">
        <v>113975.61</v>
      </c>
      <c r="K2340" s="2">
        <f>Table1[[#This Row],[Salary_after]]-Table1[[#This Row],[Salary_before]]</f>
        <v>10952.559999999998</v>
      </c>
      <c r="L2340" s="11">
        <v>0.10630000000000001</v>
      </c>
      <c r="M2340" s="11">
        <v>4.3299999999999998E-2</v>
      </c>
      <c r="N2340">
        <v>55.78</v>
      </c>
      <c r="O2340">
        <v>30.35</v>
      </c>
      <c r="P2340">
        <v>1</v>
      </c>
      <c r="Q2340" t="s">
        <v>21</v>
      </c>
      <c r="R2340">
        <v>46.435000000000002</v>
      </c>
      <c r="S2340">
        <v>10.63</v>
      </c>
      <c r="T2340" s="4">
        <v>33.887</v>
      </c>
      <c r="U2340" s="4">
        <v>8.6102950000000007</v>
      </c>
      <c r="V2340" t="str">
        <f>IF(Table1[[#This Row],[ai_disruption_intensity]]&gt;70,"High",
IF(Table1[[#This Row],[ai_disruption_intensity]]&gt;40,"Medium","Low"))</f>
        <v>Low</v>
      </c>
      <c r="W2340" t="str">
        <f>IF(Table1[[#This Row],[skill_gap_index]]&gt;70,"Large Gap",
IF(Table1[[#This Row],[skill_gap_index]]&gt;40,"Medium Gap","Small Gap"))</f>
        <v>Medium Gap</v>
      </c>
      <c r="X2340" s="3" t="str">
        <f>IF(Table1[[#This Row],[automation_risk_percent]]&gt;0.7,"Highly Automatable",
IF(Table1[[#This Row],[automation_risk_percent]]&gt;0.4,"Moderate Risk","Safe Job"))</f>
        <v>Safe Job</v>
      </c>
    </row>
    <row r="2341" spans="1:24" x14ac:dyDescent="0.3">
      <c r="A2341">
        <v>8268</v>
      </c>
      <c r="B2341" t="s">
        <v>41</v>
      </c>
      <c r="C2341" t="s">
        <v>34</v>
      </c>
      <c r="D2341" t="s">
        <v>35</v>
      </c>
      <c r="E2341" s="1">
        <v>2025</v>
      </c>
      <c r="F2341" s="11">
        <v>0.8569</v>
      </c>
      <c r="G2341">
        <v>71.62</v>
      </c>
      <c r="H2341">
        <v>51.26</v>
      </c>
      <c r="I2341" s="2">
        <v>32252.46</v>
      </c>
      <c r="J2341" s="2">
        <v>30025.38</v>
      </c>
      <c r="K2341" s="2">
        <f>Table1[[#This Row],[Salary_after]]-Table1[[#This Row],[Salary_before]]</f>
        <v>-2227.0799999999981</v>
      </c>
      <c r="L2341" s="11">
        <v>-6.9099999999999995E-2</v>
      </c>
      <c r="M2341" s="11">
        <v>8.1000000000000013E-3</v>
      </c>
      <c r="N2341">
        <v>66.180000000000007</v>
      </c>
      <c r="O2341">
        <v>24.87</v>
      </c>
      <c r="P2341">
        <v>4</v>
      </c>
      <c r="Q2341" t="s">
        <v>37</v>
      </c>
      <c r="R2341">
        <v>68.474999999999994</v>
      </c>
      <c r="S2341">
        <v>6.91</v>
      </c>
      <c r="T2341" s="4">
        <v>51.726999999999997</v>
      </c>
      <c r="U2341" s="4">
        <v>21.311102999999999</v>
      </c>
      <c r="V2341" t="str">
        <f>IF(Table1[[#This Row],[ai_disruption_intensity]]&gt;70,"High",
IF(Table1[[#This Row],[ai_disruption_intensity]]&gt;40,"Medium","Low"))</f>
        <v>Low</v>
      </c>
      <c r="W2341" t="str">
        <f>IF(Table1[[#This Row],[skill_gap_index]]&gt;70,"Large Gap",
IF(Table1[[#This Row],[skill_gap_index]]&gt;40,"Medium Gap","Small Gap"))</f>
        <v>Medium Gap</v>
      </c>
      <c r="X2341" s="3" t="str">
        <f>IF(Table1[[#This Row],[automation_risk_percent]]&gt;0.7,"Highly Automatable",
IF(Table1[[#This Row],[automation_risk_percent]]&gt;0.4,"Moderate Risk","Safe Job"))</f>
        <v>Highly Automatable</v>
      </c>
    </row>
    <row r="2342" spans="1:24" x14ac:dyDescent="0.3">
      <c r="A2342">
        <v>8270</v>
      </c>
      <c r="B2342" t="s">
        <v>41</v>
      </c>
      <c r="C2342" t="s">
        <v>27</v>
      </c>
      <c r="D2342" t="s">
        <v>24</v>
      </c>
      <c r="E2342" s="1">
        <v>2026</v>
      </c>
      <c r="F2342" s="11">
        <v>0.82269999999999999</v>
      </c>
      <c r="G2342">
        <v>81.48</v>
      </c>
      <c r="H2342">
        <v>30.2</v>
      </c>
      <c r="I2342" s="2">
        <v>144116.98000000001</v>
      </c>
      <c r="J2342" s="2">
        <v>142192.17000000001</v>
      </c>
      <c r="K2342" s="2">
        <f>Table1[[#This Row],[Salary_after]]-Table1[[#This Row],[Salary_before]]</f>
        <v>-1924.8099999999977</v>
      </c>
      <c r="L2342" s="11">
        <v>-1.34E-2</v>
      </c>
      <c r="M2342" s="11">
        <v>6.9400000000000003E-2</v>
      </c>
      <c r="N2342">
        <v>73.28</v>
      </c>
      <c r="O2342">
        <v>64.709999999999994</v>
      </c>
      <c r="P2342">
        <v>2</v>
      </c>
      <c r="Q2342" t="s">
        <v>37</v>
      </c>
      <c r="R2342">
        <v>56.234999999999999</v>
      </c>
      <c r="S2342">
        <v>1.34</v>
      </c>
      <c r="T2342" s="4">
        <v>42.37</v>
      </c>
      <c r="U2342" s="4">
        <v>53.236916999999899</v>
      </c>
      <c r="V2342" t="str">
        <f>IF(Table1[[#This Row],[ai_disruption_intensity]]&gt;70,"High",
IF(Table1[[#This Row],[ai_disruption_intensity]]&gt;40,"Medium","Low"))</f>
        <v>Medium</v>
      </c>
      <c r="W2342" t="str">
        <f>IF(Table1[[#This Row],[skill_gap_index]]&gt;70,"Large Gap",
IF(Table1[[#This Row],[skill_gap_index]]&gt;40,"Medium Gap","Small Gap"))</f>
        <v>Small Gap</v>
      </c>
      <c r="X2342" s="3" t="str">
        <f>IF(Table1[[#This Row],[automation_risk_percent]]&gt;0.7,"Highly Automatable",
IF(Table1[[#This Row],[automation_risk_percent]]&gt;0.4,"Moderate Risk","Safe Job"))</f>
        <v>Highly Automatable</v>
      </c>
    </row>
    <row r="2343" spans="1:24" x14ac:dyDescent="0.3">
      <c r="A2343">
        <v>8276</v>
      </c>
      <c r="B2343" t="s">
        <v>18</v>
      </c>
      <c r="C2343" t="s">
        <v>19</v>
      </c>
      <c r="D2343" t="s">
        <v>20</v>
      </c>
      <c r="E2343" s="1">
        <v>2026</v>
      </c>
      <c r="F2343" s="11">
        <v>0.24989999999999998</v>
      </c>
      <c r="G2343">
        <v>28.56</v>
      </c>
      <c r="H2343">
        <v>95.32</v>
      </c>
      <c r="I2343" s="2">
        <v>132450.01999999999</v>
      </c>
      <c r="J2343" s="2">
        <v>124881.37</v>
      </c>
      <c r="K2343" s="2">
        <f>Table1[[#This Row],[Salary_after]]-Table1[[#This Row],[Salary_before]]</f>
        <v>-7568.6499999999942</v>
      </c>
      <c r="L2343" s="11">
        <v>-5.7099999999999998E-2</v>
      </c>
      <c r="M2343" s="11">
        <v>0.1275</v>
      </c>
      <c r="N2343">
        <v>46.64</v>
      </c>
      <c r="O2343">
        <v>76.03</v>
      </c>
      <c r="P2343">
        <v>2</v>
      </c>
      <c r="Q2343" t="s">
        <v>21</v>
      </c>
      <c r="R2343">
        <v>60.154999999999902</v>
      </c>
      <c r="S2343">
        <v>5.71</v>
      </c>
      <c r="T2343" s="4">
        <v>40.305</v>
      </c>
      <c r="U2343" s="4">
        <v>18.999896999999901</v>
      </c>
      <c r="V2343" t="str">
        <f>IF(Table1[[#This Row],[ai_disruption_intensity]]&gt;70,"High",
IF(Table1[[#This Row],[ai_disruption_intensity]]&gt;40,"Medium","Low"))</f>
        <v>Low</v>
      </c>
      <c r="W2343" t="str">
        <f>IF(Table1[[#This Row],[skill_gap_index]]&gt;70,"Large Gap",
IF(Table1[[#This Row],[skill_gap_index]]&gt;40,"Medium Gap","Small Gap"))</f>
        <v>Large Gap</v>
      </c>
      <c r="X2343" s="3" t="str">
        <f>IF(Table1[[#This Row],[automation_risk_percent]]&gt;0.7,"Highly Automatable",
IF(Table1[[#This Row],[automation_risk_percent]]&gt;0.4,"Moderate Risk","Safe Job"))</f>
        <v>Safe Job</v>
      </c>
    </row>
    <row r="2344" spans="1:24" x14ac:dyDescent="0.3">
      <c r="A2344">
        <v>8278</v>
      </c>
      <c r="B2344" t="s">
        <v>18</v>
      </c>
      <c r="C2344" t="s">
        <v>23</v>
      </c>
      <c r="D2344" t="s">
        <v>36</v>
      </c>
      <c r="E2344" s="1">
        <v>2026</v>
      </c>
      <c r="F2344" s="11">
        <v>0.48469999999999996</v>
      </c>
      <c r="G2344">
        <v>55.07</v>
      </c>
      <c r="H2344">
        <v>20.14</v>
      </c>
      <c r="I2344" s="2">
        <v>112987.84</v>
      </c>
      <c r="J2344" s="2">
        <v>119506.24000000001</v>
      </c>
      <c r="K2344" s="2">
        <f>Table1[[#This Row],[Salary_after]]-Table1[[#This Row],[Salary_before]]</f>
        <v>6518.4000000000087</v>
      </c>
      <c r="L2344" s="11">
        <v>5.7699999999999994E-2</v>
      </c>
      <c r="M2344" s="11">
        <v>3.5099999999999999E-2</v>
      </c>
      <c r="N2344">
        <v>17.43</v>
      </c>
      <c r="O2344">
        <v>4</v>
      </c>
      <c r="P2344">
        <v>1</v>
      </c>
      <c r="Q2344" t="s">
        <v>25</v>
      </c>
      <c r="R2344">
        <v>34.305</v>
      </c>
      <c r="S2344">
        <v>5.77</v>
      </c>
      <c r="T2344" s="4">
        <v>27.161000000000001</v>
      </c>
      <c r="U2344" s="4">
        <v>1.9387999999999901</v>
      </c>
      <c r="V2344" t="str">
        <f>IF(Table1[[#This Row],[ai_disruption_intensity]]&gt;70,"High",
IF(Table1[[#This Row],[ai_disruption_intensity]]&gt;40,"Medium","Low"))</f>
        <v>Low</v>
      </c>
      <c r="W2344" t="str">
        <f>IF(Table1[[#This Row],[skill_gap_index]]&gt;70,"Large Gap",
IF(Table1[[#This Row],[skill_gap_index]]&gt;40,"Medium Gap","Small Gap"))</f>
        <v>Small Gap</v>
      </c>
      <c r="X2344" s="3" t="str">
        <f>IF(Table1[[#This Row],[automation_risk_percent]]&gt;0.7,"Highly Automatable",
IF(Table1[[#This Row],[automation_risk_percent]]&gt;0.4,"Moderate Risk","Safe Job"))</f>
        <v>Moderate Risk</v>
      </c>
    </row>
    <row r="2345" spans="1:24" x14ac:dyDescent="0.3">
      <c r="A2345">
        <v>8280</v>
      </c>
      <c r="B2345" t="s">
        <v>45</v>
      </c>
      <c r="C2345" t="s">
        <v>34</v>
      </c>
      <c r="D2345" t="s">
        <v>24</v>
      </c>
      <c r="E2345" s="1">
        <v>2026</v>
      </c>
      <c r="F2345" s="11">
        <v>0.53600000000000003</v>
      </c>
      <c r="G2345">
        <v>52.92</v>
      </c>
      <c r="H2345">
        <v>65.23</v>
      </c>
      <c r="I2345" s="2">
        <v>51431.25</v>
      </c>
      <c r="J2345" s="2">
        <v>52988.25</v>
      </c>
      <c r="K2345" s="2">
        <f>Table1[[#This Row],[Salary_after]]-Table1[[#This Row],[Salary_before]]</f>
        <v>1557</v>
      </c>
      <c r="L2345" s="11">
        <v>3.0299999999999997E-2</v>
      </c>
      <c r="M2345" s="11">
        <v>0.12609999999999999</v>
      </c>
      <c r="N2345">
        <v>52.41</v>
      </c>
      <c r="O2345">
        <v>45.74</v>
      </c>
      <c r="P2345">
        <v>1</v>
      </c>
      <c r="Q2345" t="s">
        <v>25</v>
      </c>
      <c r="R2345">
        <v>59.414999999999999</v>
      </c>
      <c r="S2345">
        <v>3.03</v>
      </c>
      <c r="T2345" s="4">
        <v>41.917999999999999</v>
      </c>
      <c r="U2345" s="4">
        <v>24.516639999999999</v>
      </c>
      <c r="V2345" t="str">
        <f>IF(Table1[[#This Row],[ai_disruption_intensity]]&gt;70,"High",
IF(Table1[[#This Row],[ai_disruption_intensity]]&gt;40,"Medium","Low"))</f>
        <v>Low</v>
      </c>
      <c r="W2345" t="str">
        <f>IF(Table1[[#This Row],[skill_gap_index]]&gt;70,"Large Gap",
IF(Table1[[#This Row],[skill_gap_index]]&gt;40,"Medium Gap","Small Gap"))</f>
        <v>Medium Gap</v>
      </c>
      <c r="X2345" s="3" t="str">
        <f>IF(Table1[[#This Row],[automation_risk_percent]]&gt;0.7,"Highly Automatable",
IF(Table1[[#This Row],[automation_risk_percent]]&gt;0.4,"Moderate Risk","Safe Job"))</f>
        <v>Moderate Risk</v>
      </c>
    </row>
    <row r="2346" spans="1:24" x14ac:dyDescent="0.3">
      <c r="A2346">
        <v>8283</v>
      </c>
      <c r="B2346" t="s">
        <v>18</v>
      </c>
      <c r="C2346" t="s">
        <v>30</v>
      </c>
      <c r="D2346" t="s">
        <v>32</v>
      </c>
      <c r="E2346" s="1">
        <v>2025</v>
      </c>
      <c r="F2346" s="11">
        <v>0.79819999999999991</v>
      </c>
      <c r="G2346">
        <v>78.67</v>
      </c>
      <c r="H2346">
        <v>76.19</v>
      </c>
      <c r="I2346" s="2">
        <v>127655.67</v>
      </c>
      <c r="J2346" s="2">
        <v>130902.65</v>
      </c>
      <c r="K2346" s="2">
        <f>Table1[[#This Row],[Salary_after]]-Table1[[#This Row],[Salary_before]]</f>
        <v>3246.9799999999959</v>
      </c>
      <c r="L2346" s="11">
        <v>2.5399999999999999E-2</v>
      </c>
      <c r="M2346" s="11">
        <v>0.21850000000000003</v>
      </c>
      <c r="N2346">
        <v>32.4</v>
      </c>
      <c r="O2346">
        <v>8.67</v>
      </c>
      <c r="P2346">
        <v>2</v>
      </c>
      <c r="Q2346" t="s">
        <v>37</v>
      </c>
      <c r="R2346">
        <v>78.004999999999995</v>
      </c>
      <c r="S2346">
        <v>2.54</v>
      </c>
      <c r="T2346" s="4">
        <v>55.546999999999997</v>
      </c>
      <c r="U2346" s="4">
        <v>6.9203939999999902</v>
      </c>
      <c r="V2346" t="str">
        <f>IF(Table1[[#This Row],[ai_disruption_intensity]]&gt;70,"High",
IF(Table1[[#This Row],[ai_disruption_intensity]]&gt;40,"Medium","Low"))</f>
        <v>Low</v>
      </c>
      <c r="W2346" t="str">
        <f>IF(Table1[[#This Row],[skill_gap_index]]&gt;70,"Large Gap",
IF(Table1[[#This Row],[skill_gap_index]]&gt;40,"Medium Gap","Small Gap"))</f>
        <v>Large Gap</v>
      </c>
      <c r="X2346" s="3" t="str">
        <f>IF(Table1[[#This Row],[automation_risk_percent]]&gt;0.7,"Highly Automatable",
IF(Table1[[#This Row],[automation_risk_percent]]&gt;0.4,"Moderate Risk","Safe Job"))</f>
        <v>Highly Automatable</v>
      </c>
    </row>
    <row r="2347" spans="1:24" x14ac:dyDescent="0.3">
      <c r="A2347">
        <v>8284</v>
      </c>
      <c r="B2347" t="s">
        <v>41</v>
      </c>
      <c r="C2347" t="s">
        <v>40</v>
      </c>
      <c r="D2347" t="s">
        <v>24</v>
      </c>
      <c r="E2347" s="1">
        <v>2025</v>
      </c>
      <c r="F2347" s="11">
        <v>0.36499999999999999</v>
      </c>
      <c r="G2347">
        <v>37.67</v>
      </c>
      <c r="H2347">
        <v>54.58</v>
      </c>
      <c r="I2347" s="2">
        <v>142952.03</v>
      </c>
      <c r="J2347" s="2">
        <v>144241.78</v>
      </c>
      <c r="K2347" s="2">
        <f>Table1[[#This Row],[Salary_after]]-Table1[[#This Row],[Salary_before]]</f>
        <v>1289.75</v>
      </c>
      <c r="L2347" s="11">
        <v>9.0000000000000011E-3</v>
      </c>
      <c r="M2347" s="11">
        <v>0.1043</v>
      </c>
      <c r="N2347">
        <v>85.73</v>
      </c>
      <c r="O2347">
        <v>81.22</v>
      </c>
      <c r="P2347">
        <v>5</v>
      </c>
      <c r="Q2347" t="s">
        <v>25</v>
      </c>
      <c r="R2347">
        <v>45.54</v>
      </c>
      <c r="S2347">
        <v>0.9</v>
      </c>
      <c r="T2347" s="4">
        <v>31.244</v>
      </c>
      <c r="U2347" s="4">
        <v>29.645299999999999</v>
      </c>
      <c r="V2347" t="str">
        <f>IF(Table1[[#This Row],[ai_disruption_intensity]]&gt;70,"High",
IF(Table1[[#This Row],[ai_disruption_intensity]]&gt;40,"Medium","Low"))</f>
        <v>Low</v>
      </c>
      <c r="W2347" t="str">
        <f>IF(Table1[[#This Row],[skill_gap_index]]&gt;70,"Large Gap",
IF(Table1[[#This Row],[skill_gap_index]]&gt;40,"Medium Gap","Small Gap"))</f>
        <v>Medium Gap</v>
      </c>
      <c r="X2347" s="3" t="str">
        <f>IF(Table1[[#This Row],[automation_risk_percent]]&gt;0.7,"Highly Automatable",
IF(Table1[[#This Row],[automation_risk_percent]]&gt;0.4,"Moderate Risk","Safe Job"))</f>
        <v>Safe Job</v>
      </c>
    </row>
    <row r="2348" spans="1:24" x14ac:dyDescent="0.3">
      <c r="A2348">
        <v>8285</v>
      </c>
      <c r="B2348" t="s">
        <v>45</v>
      </c>
      <c r="C2348" t="s">
        <v>33</v>
      </c>
      <c r="D2348" t="s">
        <v>31</v>
      </c>
      <c r="E2348" s="1">
        <v>2026</v>
      </c>
      <c r="F2348" s="11">
        <v>0.62670000000000003</v>
      </c>
      <c r="G2348">
        <v>61.1</v>
      </c>
      <c r="H2348">
        <v>38.94</v>
      </c>
      <c r="I2348" s="2">
        <v>61696.08</v>
      </c>
      <c r="J2348" s="2">
        <v>58287.360000000001</v>
      </c>
      <c r="K2348" s="2">
        <f>Table1[[#This Row],[Salary_after]]-Table1[[#This Row],[Salary_before]]</f>
        <v>-3408.7200000000012</v>
      </c>
      <c r="L2348" s="11">
        <v>-5.5300000000000002E-2</v>
      </c>
      <c r="M2348" s="11">
        <v>-2.2099999999999998E-2</v>
      </c>
      <c r="N2348">
        <v>62.32</v>
      </c>
      <c r="O2348">
        <v>41.36</v>
      </c>
      <c r="P2348">
        <v>2</v>
      </c>
      <c r="Q2348" t="s">
        <v>37</v>
      </c>
      <c r="R2348">
        <v>50.805</v>
      </c>
      <c r="S2348">
        <v>5.53</v>
      </c>
      <c r="T2348" s="4">
        <v>38.408999999999999</v>
      </c>
      <c r="U2348" s="4">
        <v>25.920311999999999</v>
      </c>
      <c r="V2348" t="str">
        <f>IF(Table1[[#This Row],[ai_disruption_intensity]]&gt;70,"High",
IF(Table1[[#This Row],[ai_disruption_intensity]]&gt;40,"Medium","Low"))</f>
        <v>Low</v>
      </c>
      <c r="W2348" t="str">
        <f>IF(Table1[[#This Row],[skill_gap_index]]&gt;70,"Large Gap",
IF(Table1[[#This Row],[skill_gap_index]]&gt;40,"Medium Gap","Small Gap"))</f>
        <v>Small Gap</v>
      </c>
      <c r="X2348" s="3" t="str">
        <f>IF(Table1[[#This Row],[automation_risk_percent]]&gt;0.7,"Highly Automatable",
IF(Table1[[#This Row],[automation_risk_percent]]&gt;0.4,"Moderate Risk","Safe Job"))</f>
        <v>Moderate Risk</v>
      </c>
    </row>
    <row r="2349" spans="1:24" x14ac:dyDescent="0.3">
      <c r="A2349">
        <v>8290</v>
      </c>
      <c r="B2349" t="s">
        <v>29</v>
      </c>
      <c r="C2349" t="s">
        <v>30</v>
      </c>
      <c r="D2349" t="s">
        <v>35</v>
      </c>
      <c r="E2349" s="1">
        <v>2026</v>
      </c>
      <c r="F2349" s="11">
        <v>0.29420000000000002</v>
      </c>
      <c r="G2349">
        <v>27.96</v>
      </c>
      <c r="H2349">
        <v>88.6</v>
      </c>
      <c r="I2349" s="2">
        <v>114597.11</v>
      </c>
      <c r="J2349" s="2">
        <v>100150.69</v>
      </c>
      <c r="K2349" s="2">
        <f>Table1[[#This Row],[Salary_after]]-Table1[[#This Row],[Salary_before]]</f>
        <v>-14446.419999999998</v>
      </c>
      <c r="L2349" s="11">
        <v>-0.12609999999999999</v>
      </c>
      <c r="M2349" s="11">
        <v>1.7600000000000001E-2</v>
      </c>
      <c r="N2349">
        <v>18.690000000000001</v>
      </c>
      <c r="O2349">
        <v>22.94</v>
      </c>
      <c r="P2349">
        <v>1</v>
      </c>
      <c r="Q2349" t="s">
        <v>21</v>
      </c>
      <c r="R2349">
        <v>59.01</v>
      </c>
      <c r="S2349">
        <v>12.61</v>
      </c>
      <c r="T2349" s="4">
        <v>42.131</v>
      </c>
      <c r="U2349" s="4">
        <v>6.7489480000000004</v>
      </c>
      <c r="V2349" t="str">
        <f>IF(Table1[[#This Row],[ai_disruption_intensity]]&gt;70,"High",
IF(Table1[[#This Row],[ai_disruption_intensity]]&gt;40,"Medium","Low"))</f>
        <v>Low</v>
      </c>
      <c r="W2349" t="str">
        <f>IF(Table1[[#This Row],[skill_gap_index]]&gt;70,"Large Gap",
IF(Table1[[#This Row],[skill_gap_index]]&gt;40,"Medium Gap","Small Gap"))</f>
        <v>Large Gap</v>
      </c>
      <c r="X2349" s="3" t="str">
        <f>IF(Table1[[#This Row],[automation_risk_percent]]&gt;0.7,"Highly Automatable",
IF(Table1[[#This Row],[automation_risk_percent]]&gt;0.4,"Moderate Risk","Safe Job"))</f>
        <v>Safe Job</v>
      </c>
    </row>
    <row r="2350" spans="1:24" x14ac:dyDescent="0.3">
      <c r="A2350">
        <v>8296</v>
      </c>
      <c r="B2350" t="s">
        <v>43</v>
      </c>
      <c r="C2350" t="s">
        <v>33</v>
      </c>
      <c r="D2350" t="s">
        <v>20</v>
      </c>
      <c r="E2350" s="1">
        <v>2025</v>
      </c>
      <c r="F2350" s="11">
        <v>0.3221</v>
      </c>
      <c r="G2350">
        <v>31.52</v>
      </c>
      <c r="H2350">
        <v>49</v>
      </c>
      <c r="I2350" s="2">
        <v>64018.33</v>
      </c>
      <c r="J2350" s="2">
        <v>62499.45</v>
      </c>
      <c r="K2350" s="2">
        <f>Table1[[#This Row],[Salary_after]]-Table1[[#This Row],[Salary_before]]</f>
        <v>-1518.8800000000047</v>
      </c>
      <c r="L2350" s="11">
        <v>-2.3700000000000002E-2</v>
      </c>
      <c r="M2350" s="11">
        <v>-6.8000000000000005E-2</v>
      </c>
      <c r="N2350">
        <v>90.73</v>
      </c>
      <c r="O2350">
        <v>25.55</v>
      </c>
      <c r="P2350">
        <v>1</v>
      </c>
      <c r="Q2350" t="s">
        <v>25</v>
      </c>
      <c r="R2350">
        <v>40.604999999999997</v>
      </c>
      <c r="S2350">
        <v>2.37</v>
      </c>
      <c r="T2350" s="4">
        <v>28.294999999999899</v>
      </c>
      <c r="U2350" s="4">
        <v>8.2296549999999993</v>
      </c>
      <c r="V2350" t="str">
        <f>IF(Table1[[#This Row],[ai_disruption_intensity]]&gt;70,"High",
IF(Table1[[#This Row],[ai_disruption_intensity]]&gt;40,"Medium","Low"))</f>
        <v>Low</v>
      </c>
      <c r="W2350" t="str">
        <f>IF(Table1[[#This Row],[skill_gap_index]]&gt;70,"Large Gap",
IF(Table1[[#This Row],[skill_gap_index]]&gt;40,"Medium Gap","Small Gap"))</f>
        <v>Medium Gap</v>
      </c>
      <c r="X2350" s="3" t="str">
        <f>IF(Table1[[#This Row],[automation_risk_percent]]&gt;0.7,"Highly Automatable",
IF(Table1[[#This Row],[automation_risk_percent]]&gt;0.4,"Moderate Risk","Safe Job"))</f>
        <v>Safe Job</v>
      </c>
    </row>
    <row r="2351" spans="1:24" x14ac:dyDescent="0.3">
      <c r="A2351">
        <v>8298</v>
      </c>
      <c r="B2351" t="s">
        <v>29</v>
      </c>
      <c r="C2351" t="s">
        <v>27</v>
      </c>
      <c r="D2351" t="s">
        <v>35</v>
      </c>
      <c r="E2351" s="1">
        <v>2026</v>
      </c>
      <c r="F2351" s="11">
        <v>0.41220000000000001</v>
      </c>
      <c r="G2351">
        <v>45.53</v>
      </c>
      <c r="H2351">
        <v>93.35</v>
      </c>
      <c r="I2351" s="2">
        <v>118546.58</v>
      </c>
      <c r="J2351" s="2">
        <v>126103.46</v>
      </c>
      <c r="K2351" s="2">
        <f>Table1[[#This Row],[Salary_after]]-Table1[[#This Row],[Salary_before]]</f>
        <v>7556.8800000000047</v>
      </c>
      <c r="L2351" s="11">
        <v>6.3700000000000007E-2</v>
      </c>
      <c r="M2351" s="11">
        <v>5.3899999999999997E-2</v>
      </c>
      <c r="N2351">
        <v>84.57</v>
      </c>
      <c r="O2351">
        <v>65.58</v>
      </c>
      <c r="P2351">
        <v>3</v>
      </c>
      <c r="Q2351" t="s">
        <v>25</v>
      </c>
      <c r="R2351">
        <v>67.284999999999997</v>
      </c>
      <c r="S2351">
        <v>6.37</v>
      </c>
      <c r="T2351" s="4">
        <v>46.403999999999897</v>
      </c>
      <c r="U2351" s="4">
        <v>27.032075999999901</v>
      </c>
      <c r="V2351" t="str">
        <f>IF(Table1[[#This Row],[ai_disruption_intensity]]&gt;70,"High",
IF(Table1[[#This Row],[ai_disruption_intensity]]&gt;40,"Medium","Low"))</f>
        <v>Low</v>
      </c>
      <c r="W2351" t="str">
        <f>IF(Table1[[#This Row],[skill_gap_index]]&gt;70,"Large Gap",
IF(Table1[[#This Row],[skill_gap_index]]&gt;40,"Medium Gap","Small Gap"))</f>
        <v>Large Gap</v>
      </c>
      <c r="X2351" s="3" t="str">
        <f>IF(Table1[[#This Row],[automation_risk_percent]]&gt;0.7,"Highly Automatable",
IF(Table1[[#This Row],[automation_risk_percent]]&gt;0.4,"Moderate Risk","Safe Job"))</f>
        <v>Moderate Risk</v>
      </c>
    </row>
    <row r="2352" spans="1:24" x14ac:dyDescent="0.3">
      <c r="A2352">
        <v>8302</v>
      </c>
      <c r="B2352" t="s">
        <v>26</v>
      </c>
      <c r="C2352" t="s">
        <v>30</v>
      </c>
      <c r="D2352" t="s">
        <v>42</v>
      </c>
      <c r="E2352" s="1">
        <v>2025</v>
      </c>
      <c r="F2352" s="11">
        <v>0.65469999999999995</v>
      </c>
      <c r="G2352">
        <v>58.77</v>
      </c>
      <c r="H2352">
        <v>78.52</v>
      </c>
      <c r="I2352" s="2">
        <v>148938.93</v>
      </c>
      <c r="J2352" s="2">
        <v>147716.1</v>
      </c>
      <c r="K2352" s="2">
        <f>Table1[[#This Row],[Salary_after]]-Table1[[#This Row],[Salary_before]]</f>
        <v>-1222.8299999999872</v>
      </c>
      <c r="L2352" s="11">
        <v>-8.199999999999999E-3</v>
      </c>
      <c r="M2352" s="11">
        <v>1.9299999999999998E-2</v>
      </c>
      <c r="N2352">
        <v>49.24</v>
      </c>
      <c r="O2352">
        <v>82.18</v>
      </c>
      <c r="P2352">
        <v>1</v>
      </c>
      <c r="Q2352" t="s">
        <v>37</v>
      </c>
      <c r="R2352">
        <v>71.995000000000005</v>
      </c>
      <c r="S2352">
        <v>0.82</v>
      </c>
      <c r="T2352" s="4">
        <v>49.99</v>
      </c>
      <c r="U2352" s="4">
        <v>53.803246000000001</v>
      </c>
      <c r="V2352" t="str">
        <f>IF(Table1[[#This Row],[ai_disruption_intensity]]&gt;70,"High",
IF(Table1[[#This Row],[ai_disruption_intensity]]&gt;40,"Medium","Low"))</f>
        <v>Medium</v>
      </c>
      <c r="W2352" t="str">
        <f>IF(Table1[[#This Row],[skill_gap_index]]&gt;70,"Large Gap",
IF(Table1[[#This Row],[skill_gap_index]]&gt;40,"Medium Gap","Small Gap"))</f>
        <v>Large Gap</v>
      </c>
      <c r="X2352" s="3" t="str">
        <f>IF(Table1[[#This Row],[automation_risk_percent]]&gt;0.7,"Highly Automatable",
IF(Table1[[#This Row],[automation_risk_percent]]&gt;0.4,"Moderate Risk","Safe Job"))</f>
        <v>Moderate Risk</v>
      </c>
    </row>
    <row r="2353" spans="1:24" x14ac:dyDescent="0.3">
      <c r="A2353">
        <v>8304</v>
      </c>
      <c r="B2353" t="s">
        <v>44</v>
      </c>
      <c r="C2353" t="s">
        <v>27</v>
      </c>
      <c r="D2353" t="s">
        <v>20</v>
      </c>
      <c r="E2353" s="1">
        <v>2026</v>
      </c>
      <c r="F2353" s="11">
        <v>0.74590000000000001</v>
      </c>
      <c r="G2353">
        <v>81.53</v>
      </c>
      <c r="H2353">
        <v>39.81</v>
      </c>
      <c r="I2353" s="2">
        <v>100024.45</v>
      </c>
      <c r="J2353" s="2">
        <v>100138.94</v>
      </c>
      <c r="K2353" s="2">
        <f>Table1[[#This Row],[Salary_after]]-Table1[[#This Row],[Salary_before]]</f>
        <v>114.49000000000524</v>
      </c>
      <c r="L2353" s="11">
        <v>1.1000000000000001E-3</v>
      </c>
      <c r="M2353" s="11">
        <v>-1.43E-2</v>
      </c>
      <c r="N2353">
        <v>25.35</v>
      </c>
      <c r="O2353">
        <v>29.37</v>
      </c>
      <c r="P2353">
        <v>3</v>
      </c>
      <c r="Q2353" t="s">
        <v>37</v>
      </c>
      <c r="R2353">
        <v>57.2</v>
      </c>
      <c r="S2353">
        <v>0.11</v>
      </c>
      <c r="T2353" s="4">
        <v>41.811999999999998</v>
      </c>
      <c r="U2353" s="4">
        <v>21.907083</v>
      </c>
      <c r="V2353" t="str">
        <f>IF(Table1[[#This Row],[ai_disruption_intensity]]&gt;70,"High",
IF(Table1[[#This Row],[ai_disruption_intensity]]&gt;40,"Medium","Low"))</f>
        <v>Low</v>
      </c>
      <c r="W2353" t="str">
        <f>IF(Table1[[#This Row],[skill_gap_index]]&gt;70,"Large Gap",
IF(Table1[[#This Row],[skill_gap_index]]&gt;40,"Medium Gap","Small Gap"))</f>
        <v>Small Gap</v>
      </c>
      <c r="X2353" s="3" t="str">
        <f>IF(Table1[[#This Row],[automation_risk_percent]]&gt;0.7,"Highly Automatable",
IF(Table1[[#This Row],[automation_risk_percent]]&gt;0.4,"Moderate Risk","Safe Job"))</f>
        <v>Highly Automatable</v>
      </c>
    </row>
    <row r="2354" spans="1:24" x14ac:dyDescent="0.3">
      <c r="A2354">
        <v>8305</v>
      </c>
      <c r="B2354" t="s">
        <v>46</v>
      </c>
      <c r="C2354" t="s">
        <v>33</v>
      </c>
      <c r="D2354" t="s">
        <v>24</v>
      </c>
      <c r="E2354" s="1">
        <v>2025</v>
      </c>
      <c r="F2354" s="11">
        <v>0.2792</v>
      </c>
      <c r="G2354">
        <v>28.17</v>
      </c>
      <c r="H2354">
        <v>28.35</v>
      </c>
      <c r="I2354" s="2">
        <v>88025.58</v>
      </c>
      <c r="J2354" s="2">
        <v>81929.75</v>
      </c>
      <c r="K2354" s="2">
        <f>Table1[[#This Row],[Salary_after]]-Table1[[#This Row],[Salary_before]]</f>
        <v>-6095.8300000000017</v>
      </c>
      <c r="L2354" s="11">
        <v>-6.93E-2</v>
      </c>
      <c r="M2354" s="11">
        <v>2.86E-2</v>
      </c>
      <c r="N2354">
        <v>88.04</v>
      </c>
      <c r="O2354">
        <v>28.14</v>
      </c>
      <c r="P2354">
        <v>5</v>
      </c>
      <c r="Q2354" t="s">
        <v>21</v>
      </c>
      <c r="R2354">
        <v>28.135000000000002</v>
      </c>
      <c r="S2354">
        <v>6.93</v>
      </c>
      <c r="T2354" s="4">
        <v>21.751999999999999</v>
      </c>
      <c r="U2354" s="4">
        <v>7.8566880000000001</v>
      </c>
      <c r="V2354" t="str">
        <f>IF(Table1[[#This Row],[ai_disruption_intensity]]&gt;70,"High",
IF(Table1[[#This Row],[ai_disruption_intensity]]&gt;40,"Medium","Low"))</f>
        <v>Low</v>
      </c>
      <c r="W2354" t="str">
        <f>IF(Table1[[#This Row],[skill_gap_index]]&gt;70,"Large Gap",
IF(Table1[[#This Row],[skill_gap_index]]&gt;40,"Medium Gap","Small Gap"))</f>
        <v>Small Gap</v>
      </c>
      <c r="X2354" s="3" t="str">
        <f>IF(Table1[[#This Row],[automation_risk_percent]]&gt;0.7,"Highly Automatable",
IF(Table1[[#This Row],[automation_risk_percent]]&gt;0.4,"Moderate Risk","Safe Job"))</f>
        <v>Safe Job</v>
      </c>
    </row>
    <row r="2355" spans="1:24" x14ac:dyDescent="0.3">
      <c r="A2355">
        <v>8306</v>
      </c>
      <c r="B2355" t="s">
        <v>46</v>
      </c>
      <c r="C2355" t="s">
        <v>34</v>
      </c>
      <c r="D2355" t="s">
        <v>35</v>
      </c>
      <c r="E2355" s="1">
        <v>2025</v>
      </c>
      <c r="F2355" s="11">
        <v>0.42659999999999998</v>
      </c>
      <c r="G2355">
        <v>43.85</v>
      </c>
      <c r="H2355">
        <v>19.920000000000002</v>
      </c>
      <c r="I2355" s="2">
        <v>33594.980000000003</v>
      </c>
      <c r="J2355" s="2">
        <v>33569.730000000003</v>
      </c>
      <c r="K2355" s="2">
        <f>Table1[[#This Row],[Salary_after]]-Table1[[#This Row],[Salary_before]]</f>
        <v>-25.25</v>
      </c>
      <c r="L2355" s="11">
        <v>-8.0000000000000004E-4</v>
      </c>
      <c r="M2355" s="11">
        <v>0.1661</v>
      </c>
      <c r="N2355">
        <v>47.3</v>
      </c>
      <c r="O2355">
        <v>76.290000000000006</v>
      </c>
      <c r="P2355">
        <v>5</v>
      </c>
      <c r="Q2355" t="s">
        <v>25</v>
      </c>
      <c r="R2355">
        <v>31.29</v>
      </c>
      <c r="S2355">
        <v>0.08</v>
      </c>
      <c r="T2355" s="4">
        <v>23.064</v>
      </c>
      <c r="U2355" s="4">
        <v>32.545313999999998</v>
      </c>
      <c r="V2355" t="str">
        <f>IF(Table1[[#This Row],[ai_disruption_intensity]]&gt;70,"High",
IF(Table1[[#This Row],[ai_disruption_intensity]]&gt;40,"Medium","Low"))</f>
        <v>Low</v>
      </c>
      <c r="W2355" t="str">
        <f>IF(Table1[[#This Row],[skill_gap_index]]&gt;70,"Large Gap",
IF(Table1[[#This Row],[skill_gap_index]]&gt;40,"Medium Gap","Small Gap"))</f>
        <v>Small Gap</v>
      </c>
      <c r="X2355" s="3" t="str">
        <f>IF(Table1[[#This Row],[automation_risk_percent]]&gt;0.7,"Highly Automatable",
IF(Table1[[#This Row],[automation_risk_percent]]&gt;0.4,"Moderate Risk","Safe Job"))</f>
        <v>Moderate Risk</v>
      </c>
    </row>
    <row r="2356" spans="1:24" x14ac:dyDescent="0.3">
      <c r="A2356">
        <v>8309</v>
      </c>
      <c r="B2356" t="s">
        <v>29</v>
      </c>
      <c r="C2356" t="s">
        <v>27</v>
      </c>
      <c r="D2356" t="s">
        <v>35</v>
      </c>
      <c r="E2356" s="1">
        <v>2025</v>
      </c>
      <c r="F2356" s="11">
        <v>0.83620000000000005</v>
      </c>
      <c r="G2356">
        <v>74.459999999999994</v>
      </c>
      <c r="H2356">
        <v>40.21</v>
      </c>
      <c r="I2356" s="2">
        <v>82315.149999999994</v>
      </c>
      <c r="J2356" s="2">
        <v>77281.509999999995</v>
      </c>
      <c r="K2356" s="2">
        <f>Table1[[#This Row],[Salary_after]]-Table1[[#This Row],[Salary_before]]</f>
        <v>-5033.6399999999994</v>
      </c>
      <c r="L2356" s="11">
        <v>-6.1200000000000004E-2</v>
      </c>
      <c r="M2356" s="11">
        <v>5.7999999999999996E-2</v>
      </c>
      <c r="N2356">
        <v>62.96</v>
      </c>
      <c r="O2356">
        <v>8.85</v>
      </c>
      <c r="P2356">
        <v>1</v>
      </c>
      <c r="Q2356" t="s">
        <v>37</v>
      </c>
      <c r="R2356">
        <v>61.914999999999999</v>
      </c>
      <c r="S2356">
        <v>6.12</v>
      </c>
      <c r="T2356" s="4">
        <v>47.347000000000001</v>
      </c>
      <c r="U2356" s="4">
        <v>7.4003699999999997</v>
      </c>
      <c r="V2356" t="str">
        <f>IF(Table1[[#This Row],[ai_disruption_intensity]]&gt;70,"High",
IF(Table1[[#This Row],[ai_disruption_intensity]]&gt;40,"Medium","Low"))</f>
        <v>Low</v>
      </c>
      <c r="W2356" t="str">
        <f>IF(Table1[[#This Row],[skill_gap_index]]&gt;70,"Large Gap",
IF(Table1[[#This Row],[skill_gap_index]]&gt;40,"Medium Gap","Small Gap"))</f>
        <v>Medium Gap</v>
      </c>
      <c r="X2356" s="3" t="str">
        <f>IF(Table1[[#This Row],[automation_risk_percent]]&gt;0.7,"Highly Automatable",
IF(Table1[[#This Row],[automation_risk_percent]]&gt;0.4,"Moderate Risk","Safe Job"))</f>
        <v>Highly Automatable</v>
      </c>
    </row>
    <row r="2357" spans="1:24" x14ac:dyDescent="0.3">
      <c r="A2357">
        <v>8310</v>
      </c>
      <c r="B2357" t="s">
        <v>45</v>
      </c>
      <c r="C2357" t="s">
        <v>34</v>
      </c>
      <c r="D2357" t="s">
        <v>32</v>
      </c>
      <c r="E2357" s="1">
        <v>2025</v>
      </c>
      <c r="F2357" s="11">
        <v>0.66459999999999997</v>
      </c>
      <c r="G2357">
        <v>78.77</v>
      </c>
      <c r="H2357">
        <v>28.98</v>
      </c>
      <c r="I2357" s="2">
        <v>90793.81</v>
      </c>
      <c r="J2357" s="2">
        <v>85893.86</v>
      </c>
      <c r="K2357" s="2">
        <f>Table1[[#This Row],[Salary_after]]-Table1[[#This Row],[Salary_before]]</f>
        <v>-4899.9499999999971</v>
      </c>
      <c r="L2357" s="11">
        <v>-5.4000000000000006E-2</v>
      </c>
      <c r="M2357" s="11">
        <v>0.14410000000000001</v>
      </c>
      <c r="N2357">
        <v>24.2</v>
      </c>
      <c r="O2357">
        <v>73.91</v>
      </c>
      <c r="P2357">
        <v>3</v>
      </c>
      <c r="Q2357" t="s">
        <v>37</v>
      </c>
      <c r="R2357">
        <v>47.72</v>
      </c>
      <c r="S2357">
        <v>5.4</v>
      </c>
      <c r="T2357" s="4">
        <v>36.897999999999897</v>
      </c>
      <c r="U2357" s="4">
        <v>49.120585999999903</v>
      </c>
      <c r="V2357" t="str">
        <f>IF(Table1[[#This Row],[ai_disruption_intensity]]&gt;70,"High",
IF(Table1[[#This Row],[ai_disruption_intensity]]&gt;40,"Medium","Low"))</f>
        <v>Medium</v>
      </c>
      <c r="W2357" t="str">
        <f>IF(Table1[[#This Row],[skill_gap_index]]&gt;70,"Large Gap",
IF(Table1[[#This Row],[skill_gap_index]]&gt;40,"Medium Gap","Small Gap"))</f>
        <v>Small Gap</v>
      </c>
      <c r="X2357" s="3" t="str">
        <f>IF(Table1[[#This Row],[automation_risk_percent]]&gt;0.7,"Highly Automatable",
IF(Table1[[#This Row],[automation_risk_percent]]&gt;0.4,"Moderate Risk","Safe Job"))</f>
        <v>Moderate Risk</v>
      </c>
    </row>
    <row r="2358" spans="1:24" x14ac:dyDescent="0.3">
      <c r="A2358">
        <v>8315</v>
      </c>
      <c r="B2358" t="s">
        <v>44</v>
      </c>
      <c r="C2358" t="s">
        <v>38</v>
      </c>
      <c r="D2358" t="s">
        <v>42</v>
      </c>
      <c r="E2358" s="1">
        <v>2025</v>
      </c>
      <c r="F2358" s="11">
        <v>0.52670000000000006</v>
      </c>
      <c r="G2358">
        <v>63.04</v>
      </c>
      <c r="H2358">
        <v>14.12</v>
      </c>
      <c r="I2358" s="2">
        <v>43648.6</v>
      </c>
      <c r="J2358" s="2">
        <v>38406.58</v>
      </c>
      <c r="K2358" s="2">
        <f>Table1[[#This Row],[Salary_after]]-Table1[[#This Row],[Salary_before]]</f>
        <v>-5242.0199999999968</v>
      </c>
      <c r="L2358" s="11">
        <v>-0.1201</v>
      </c>
      <c r="M2358" s="11">
        <v>5.5500000000000001E-2</v>
      </c>
      <c r="N2358">
        <v>64.959999999999994</v>
      </c>
      <c r="O2358">
        <v>19.61</v>
      </c>
      <c r="P2358">
        <v>1</v>
      </c>
      <c r="Q2358" t="s">
        <v>25</v>
      </c>
      <c r="R2358">
        <v>33.395000000000003</v>
      </c>
      <c r="S2358">
        <v>12.01</v>
      </c>
      <c r="T2358" s="4">
        <v>28.907</v>
      </c>
      <c r="U2358" s="4">
        <v>10.328587000000001</v>
      </c>
      <c r="V2358" t="str">
        <f>IF(Table1[[#This Row],[ai_disruption_intensity]]&gt;70,"High",
IF(Table1[[#This Row],[ai_disruption_intensity]]&gt;40,"Medium","Low"))</f>
        <v>Low</v>
      </c>
      <c r="W2358" t="str">
        <f>IF(Table1[[#This Row],[skill_gap_index]]&gt;70,"Large Gap",
IF(Table1[[#This Row],[skill_gap_index]]&gt;40,"Medium Gap","Small Gap"))</f>
        <v>Small Gap</v>
      </c>
      <c r="X2358" s="3" t="str">
        <f>IF(Table1[[#This Row],[automation_risk_percent]]&gt;0.7,"Highly Automatable",
IF(Table1[[#This Row],[automation_risk_percent]]&gt;0.4,"Moderate Risk","Safe Job"))</f>
        <v>Moderate Risk</v>
      </c>
    </row>
    <row r="2359" spans="1:24" x14ac:dyDescent="0.3">
      <c r="A2359">
        <v>8323</v>
      </c>
      <c r="B2359" t="s">
        <v>29</v>
      </c>
      <c r="C2359" t="s">
        <v>33</v>
      </c>
      <c r="D2359" t="s">
        <v>35</v>
      </c>
      <c r="E2359" s="1">
        <v>2025</v>
      </c>
      <c r="F2359" s="11">
        <v>0.39750000000000002</v>
      </c>
      <c r="G2359">
        <v>33.29</v>
      </c>
      <c r="H2359">
        <v>7.59</v>
      </c>
      <c r="I2359" s="2">
        <v>52217.04</v>
      </c>
      <c r="J2359" s="2">
        <v>50096.01</v>
      </c>
      <c r="K2359" s="2">
        <f>Table1[[#This Row],[Salary_after]]-Table1[[#This Row],[Salary_before]]</f>
        <v>-2121.0299999999988</v>
      </c>
      <c r="L2359" s="11">
        <v>-4.0599999999999997E-2</v>
      </c>
      <c r="M2359" s="11">
        <v>0.1002</v>
      </c>
      <c r="N2359">
        <v>41.93</v>
      </c>
      <c r="O2359">
        <v>57.28</v>
      </c>
      <c r="P2359">
        <v>1</v>
      </c>
      <c r="Q2359" t="s">
        <v>25</v>
      </c>
      <c r="R2359">
        <v>23.67</v>
      </c>
      <c r="S2359">
        <v>4.0599999999999996</v>
      </c>
      <c r="T2359" s="4">
        <v>19.395</v>
      </c>
      <c r="U2359" s="4">
        <v>22.768799999999999</v>
      </c>
      <c r="V2359" t="str">
        <f>IF(Table1[[#This Row],[ai_disruption_intensity]]&gt;70,"High",
IF(Table1[[#This Row],[ai_disruption_intensity]]&gt;40,"Medium","Low"))</f>
        <v>Low</v>
      </c>
      <c r="W2359" t="str">
        <f>IF(Table1[[#This Row],[skill_gap_index]]&gt;70,"Large Gap",
IF(Table1[[#This Row],[skill_gap_index]]&gt;40,"Medium Gap","Small Gap"))</f>
        <v>Small Gap</v>
      </c>
      <c r="X2359" s="3" t="str">
        <f>IF(Table1[[#This Row],[automation_risk_percent]]&gt;0.7,"Highly Automatable",
IF(Table1[[#This Row],[automation_risk_percent]]&gt;0.4,"Moderate Risk","Safe Job"))</f>
        <v>Safe Job</v>
      </c>
    </row>
    <row r="2360" spans="1:24" x14ac:dyDescent="0.3">
      <c r="A2360">
        <v>8325</v>
      </c>
      <c r="B2360" t="s">
        <v>22</v>
      </c>
      <c r="C2360" t="s">
        <v>30</v>
      </c>
      <c r="D2360" t="s">
        <v>20</v>
      </c>
      <c r="E2360" s="1">
        <v>2025</v>
      </c>
      <c r="F2360" s="11">
        <v>0.57240000000000002</v>
      </c>
      <c r="G2360">
        <v>56.3</v>
      </c>
      <c r="H2360">
        <v>85.79</v>
      </c>
      <c r="I2360" s="2">
        <v>84178.43</v>
      </c>
      <c r="J2360" s="2">
        <v>82905.06</v>
      </c>
      <c r="K2360" s="2">
        <f>Table1[[#This Row],[Salary_after]]-Table1[[#This Row],[Salary_before]]</f>
        <v>-1273.3699999999953</v>
      </c>
      <c r="L2360" s="11">
        <v>-1.5100000000000001E-2</v>
      </c>
      <c r="M2360" s="11">
        <v>8.48E-2</v>
      </c>
      <c r="N2360">
        <v>87.92</v>
      </c>
      <c r="O2360">
        <v>63.94</v>
      </c>
      <c r="P2360">
        <v>3</v>
      </c>
      <c r="Q2360" t="s">
        <v>25</v>
      </c>
      <c r="R2360">
        <v>71.515000000000001</v>
      </c>
      <c r="S2360">
        <v>1.51</v>
      </c>
      <c r="T2360" s="4">
        <v>49.085999999999999</v>
      </c>
      <c r="U2360" s="4">
        <v>36.599255999999997</v>
      </c>
      <c r="V2360" t="str">
        <f>IF(Table1[[#This Row],[ai_disruption_intensity]]&gt;70,"High",
IF(Table1[[#This Row],[ai_disruption_intensity]]&gt;40,"Medium","Low"))</f>
        <v>Low</v>
      </c>
      <c r="W2360" t="str">
        <f>IF(Table1[[#This Row],[skill_gap_index]]&gt;70,"Large Gap",
IF(Table1[[#This Row],[skill_gap_index]]&gt;40,"Medium Gap","Small Gap"))</f>
        <v>Large Gap</v>
      </c>
      <c r="X2360" s="3" t="str">
        <f>IF(Table1[[#This Row],[automation_risk_percent]]&gt;0.7,"Highly Automatable",
IF(Table1[[#This Row],[automation_risk_percent]]&gt;0.4,"Moderate Risk","Safe Job"))</f>
        <v>Moderate Risk</v>
      </c>
    </row>
    <row r="2361" spans="1:24" x14ac:dyDescent="0.3">
      <c r="A2361">
        <v>8326</v>
      </c>
      <c r="B2361" t="s">
        <v>46</v>
      </c>
      <c r="C2361" t="s">
        <v>40</v>
      </c>
      <c r="D2361" t="s">
        <v>47</v>
      </c>
      <c r="E2361" s="1">
        <v>2026</v>
      </c>
      <c r="F2361" s="11">
        <v>0.55930000000000002</v>
      </c>
      <c r="G2361">
        <v>45.59</v>
      </c>
      <c r="H2361">
        <v>27.73</v>
      </c>
      <c r="I2361" s="2">
        <v>131649.46</v>
      </c>
      <c r="J2361" s="2">
        <v>146908.14000000001</v>
      </c>
      <c r="K2361" s="2">
        <f>Table1[[#This Row],[Salary_after]]-Table1[[#This Row],[Salary_before]]</f>
        <v>15258.680000000022</v>
      </c>
      <c r="L2361" s="11">
        <v>0.1159</v>
      </c>
      <c r="M2361" s="11">
        <v>-4.9000000000000002E-2</v>
      </c>
      <c r="N2361">
        <v>99.3</v>
      </c>
      <c r="O2361">
        <v>17.72</v>
      </c>
      <c r="P2361">
        <v>3</v>
      </c>
      <c r="Q2361" t="s">
        <v>25</v>
      </c>
      <c r="R2361">
        <v>41.83</v>
      </c>
      <c r="S2361">
        <v>11.59</v>
      </c>
      <c r="T2361" s="4">
        <v>34.167999999999999</v>
      </c>
      <c r="U2361" s="4">
        <v>9.9107959999999995</v>
      </c>
      <c r="V2361" t="str">
        <f>IF(Table1[[#This Row],[ai_disruption_intensity]]&gt;70,"High",
IF(Table1[[#This Row],[ai_disruption_intensity]]&gt;40,"Medium","Low"))</f>
        <v>Low</v>
      </c>
      <c r="W2361" t="str">
        <f>IF(Table1[[#This Row],[skill_gap_index]]&gt;70,"Large Gap",
IF(Table1[[#This Row],[skill_gap_index]]&gt;40,"Medium Gap","Small Gap"))</f>
        <v>Small Gap</v>
      </c>
      <c r="X2361" s="3" t="str">
        <f>IF(Table1[[#This Row],[automation_risk_percent]]&gt;0.7,"Highly Automatable",
IF(Table1[[#This Row],[automation_risk_percent]]&gt;0.4,"Moderate Risk","Safe Job"))</f>
        <v>Moderate Risk</v>
      </c>
    </row>
    <row r="2362" spans="1:24" x14ac:dyDescent="0.3">
      <c r="A2362">
        <v>8331</v>
      </c>
      <c r="B2362" t="s">
        <v>45</v>
      </c>
      <c r="C2362" t="s">
        <v>34</v>
      </c>
      <c r="D2362" t="s">
        <v>20</v>
      </c>
      <c r="E2362" s="1">
        <v>2025</v>
      </c>
      <c r="F2362" s="11">
        <v>0.76090000000000002</v>
      </c>
      <c r="G2362">
        <v>67.95</v>
      </c>
      <c r="H2362">
        <v>92.43</v>
      </c>
      <c r="I2362" s="2">
        <v>56598.35</v>
      </c>
      <c r="J2362" s="2">
        <v>64730.16</v>
      </c>
      <c r="K2362" s="2">
        <f>Table1[[#This Row],[Salary_after]]-Table1[[#This Row],[Salary_before]]</f>
        <v>8131.8100000000049</v>
      </c>
      <c r="L2362" s="11">
        <v>0.14369999999999999</v>
      </c>
      <c r="M2362" s="11">
        <v>6.2800000000000009E-2</v>
      </c>
      <c r="N2362">
        <v>82.14</v>
      </c>
      <c r="O2362">
        <v>27.82</v>
      </c>
      <c r="P2362">
        <v>4</v>
      </c>
      <c r="Q2362" t="s">
        <v>37</v>
      </c>
      <c r="R2362">
        <v>84.26</v>
      </c>
      <c r="S2362">
        <v>14.37</v>
      </c>
      <c r="T2362" s="4">
        <v>62.475999999999999</v>
      </c>
      <c r="U2362" s="4">
        <v>21.168237999999999</v>
      </c>
      <c r="V2362" t="str">
        <f>IF(Table1[[#This Row],[ai_disruption_intensity]]&gt;70,"High",
IF(Table1[[#This Row],[ai_disruption_intensity]]&gt;40,"Medium","Low"))</f>
        <v>Low</v>
      </c>
      <c r="W2362" t="str">
        <f>IF(Table1[[#This Row],[skill_gap_index]]&gt;70,"Large Gap",
IF(Table1[[#This Row],[skill_gap_index]]&gt;40,"Medium Gap","Small Gap"))</f>
        <v>Large Gap</v>
      </c>
      <c r="X2362" s="3" t="str">
        <f>IF(Table1[[#This Row],[automation_risk_percent]]&gt;0.7,"Highly Automatable",
IF(Table1[[#This Row],[automation_risk_percent]]&gt;0.4,"Moderate Risk","Safe Job"))</f>
        <v>Highly Automatable</v>
      </c>
    </row>
    <row r="2363" spans="1:24" x14ac:dyDescent="0.3">
      <c r="A2363">
        <v>8332</v>
      </c>
      <c r="B2363" t="s">
        <v>43</v>
      </c>
      <c r="C2363" t="s">
        <v>19</v>
      </c>
      <c r="D2363" t="s">
        <v>35</v>
      </c>
      <c r="E2363" s="1">
        <v>2026</v>
      </c>
      <c r="F2363" s="11">
        <v>0.79010000000000002</v>
      </c>
      <c r="G2363">
        <v>65.760000000000005</v>
      </c>
      <c r="H2363">
        <v>3.48</v>
      </c>
      <c r="I2363" s="2">
        <v>130983.54</v>
      </c>
      <c r="J2363" s="2">
        <v>138471.51999999999</v>
      </c>
      <c r="K2363" s="2">
        <f>Table1[[#This Row],[Salary_after]]-Table1[[#This Row],[Salary_before]]</f>
        <v>7487.9799999999959</v>
      </c>
      <c r="L2363" s="11">
        <v>5.7200000000000001E-2</v>
      </c>
      <c r="M2363" s="11">
        <v>0.13570000000000002</v>
      </c>
      <c r="N2363">
        <v>86.57</v>
      </c>
      <c r="O2363">
        <v>13.76</v>
      </c>
      <c r="P2363">
        <v>1</v>
      </c>
      <c r="Q2363" t="s">
        <v>37</v>
      </c>
      <c r="R2363">
        <v>41.244999999999997</v>
      </c>
      <c r="S2363">
        <v>5.72</v>
      </c>
      <c r="T2363" s="4">
        <v>34.363999999999997</v>
      </c>
      <c r="U2363" s="4">
        <v>10.871776000000001</v>
      </c>
      <c r="V2363" t="str">
        <f>IF(Table1[[#This Row],[ai_disruption_intensity]]&gt;70,"High",
IF(Table1[[#This Row],[ai_disruption_intensity]]&gt;40,"Medium","Low"))</f>
        <v>Low</v>
      </c>
      <c r="W2363" t="str">
        <f>IF(Table1[[#This Row],[skill_gap_index]]&gt;70,"Large Gap",
IF(Table1[[#This Row],[skill_gap_index]]&gt;40,"Medium Gap","Small Gap"))</f>
        <v>Small Gap</v>
      </c>
      <c r="X2363" s="3" t="str">
        <f>IF(Table1[[#This Row],[automation_risk_percent]]&gt;0.7,"Highly Automatable",
IF(Table1[[#This Row],[automation_risk_percent]]&gt;0.4,"Moderate Risk","Safe Job"))</f>
        <v>Highly Automatable</v>
      </c>
    </row>
    <row r="2364" spans="1:24" x14ac:dyDescent="0.3">
      <c r="A2364">
        <v>8335</v>
      </c>
      <c r="B2364" t="s">
        <v>41</v>
      </c>
      <c r="C2364" t="s">
        <v>40</v>
      </c>
      <c r="D2364" t="s">
        <v>24</v>
      </c>
      <c r="E2364" s="1">
        <v>2025</v>
      </c>
      <c r="F2364" s="11">
        <v>0.63039999999999996</v>
      </c>
      <c r="G2364">
        <v>57.39</v>
      </c>
      <c r="H2364">
        <v>80.47</v>
      </c>
      <c r="I2364" s="2">
        <v>69425.429999999993</v>
      </c>
      <c r="J2364" s="2">
        <v>60981.16</v>
      </c>
      <c r="K2364" s="2">
        <f>Table1[[#This Row],[Salary_after]]-Table1[[#This Row],[Salary_before]]</f>
        <v>-8444.2699999999895</v>
      </c>
      <c r="L2364" s="11">
        <v>-0.1216</v>
      </c>
      <c r="M2364" s="11">
        <v>0.21079999999999999</v>
      </c>
      <c r="N2364">
        <v>16.489999999999998</v>
      </c>
      <c r="O2364">
        <v>25.7</v>
      </c>
      <c r="P2364">
        <v>2</v>
      </c>
      <c r="Q2364" t="s">
        <v>37</v>
      </c>
      <c r="R2364">
        <v>71.754999999999995</v>
      </c>
      <c r="S2364">
        <v>12.16</v>
      </c>
      <c r="T2364" s="4">
        <v>53.004999999999903</v>
      </c>
      <c r="U2364" s="4">
        <v>16.201280000000001</v>
      </c>
      <c r="V2364" t="str">
        <f>IF(Table1[[#This Row],[ai_disruption_intensity]]&gt;70,"High",
IF(Table1[[#This Row],[ai_disruption_intensity]]&gt;40,"Medium","Low"))</f>
        <v>Low</v>
      </c>
      <c r="W2364" t="str">
        <f>IF(Table1[[#This Row],[skill_gap_index]]&gt;70,"Large Gap",
IF(Table1[[#This Row],[skill_gap_index]]&gt;40,"Medium Gap","Small Gap"))</f>
        <v>Large Gap</v>
      </c>
      <c r="X2364" s="3" t="str">
        <f>IF(Table1[[#This Row],[automation_risk_percent]]&gt;0.7,"Highly Automatable",
IF(Table1[[#This Row],[automation_risk_percent]]&gt;0.4,"Moderate Risk","Safe Job"))</f>
        <v>Moderate Risk</v>
      </c>
    </row>
    <row r="2365" spans="1:24" x14ac:dyDescent="0.3">
      <c r="A2365">
        <v>8338</v>
      </c>
      <c r="B2365" t="s">
        <v>26</v>
      </c>
      <c r="C2365" t="s">
        <v>27</v>
      </c>
      <c r="D2365" t="s">
        <v>31</v>
      </c>
      <c r="E2365" s="1">
        <v>2026</v>
      </c>
      <c r="F2365" s="11">
        <v>0.1573</v>
      </c>
      <c r="G2365">
        <v>18.39</v>
      </c>
      <c r="H2365">
        <v>24.43</v>
      </c>
      <c r="I2365" s="2">
        <v>37113.339999999997</v>
      </c>
      <c r="J2365" s="2">
        <v>34060.33</v>
      </c>
      <c r="K2365" s="2">
        <f>Table1[[#This Row],[Salary_after]]-Table1[[#This Row],[Salary_before]]</f>
        <v>-3053.0099999999948</v>
      </c>
      <c r="L2365" s="11">
        <v>-8.2299999999999998E-2</v>
      </c>
      <c r="M2365" s="11">
        <v>0.1305</v>
      </c>
      <c r="N2365">
        <v>50.52</v>
      </c>
      <c r="O2365">
        <v>11.16</v>
      </c>
      <c r="P2365">
        <v>2</v>
      </c>
      <c r="Q2365" t="s">
        <v>21</v>
      </c>
      <c r="R2365">
        <v>20.079999999999998</v>
      </c>
      <c r="S2365">
        <v>8.23</v>
      </c>
      <c r="T2365" s="4">
        <v>16.09</v>
      </c>
      <c r="U2365" s="4">
        <v>1.755468</v>
      </c>
      <c r="V2365" t="str">
        <f>IF(Table1[[#This Row],[ai_disruption_intensity]]&gt;70,"High",
IF(Table1[[#This Row],[ai_disruption_intensity]]&gt;40,"Medium","Low"))</f>
        <v>Low</v>
      </c>
      <c r="W2365" t="str">
        <f>IF(Table1[[#This Row],[skill_gap_index]]&gt;70,"Large Gap",
IF(Table1[[#This Row],[skill_gap_index]]&gt;40,"Medium Gap","Small Gap"))</f>
        <v>Small Gap</v>
      </c>
      <c r="X2365" s="3" t="str">
        <f>IF(Table1[[#This Row],[automation_risk_percent]]&gt;0.7,"Highly Automatable",
IF(Table1[[#This Row],[automation_risk_percent]]&gt;0.4,"Moderate Risk","Safe Job"))</f>
        <v>Safe Job</v>
      </c>
    </row>
    <row r="2366" spans="1:24" x14ac:dyDescent="0.3">
      <c r="A2366">
        <v>8343</v>
      </c>
      <c r="B2366" t="s">
        <v>41</v>
      </c>
      <c r="C2366" t="s">
        <v>19</v>
      </c>
      <c r="D2366" t="s">
        <v>42</v>
      </c>
      <c r="E2366" s="1">
        <v>2026</v>
      </c>
      <c r="F2366" s="11">
        <v>0.39169999999999999</v>
      </c>
      <c r="G2366">
        <v>43.41</v>
      </c>
      <c r="H2366">
        <v>49.76</v>
      </c>
      <c r="I2366" s="2">
        <v>94352.75</v>
      </c>
      <c r="J2366" s="2">
        <v>98357.04</v>
      </c>
      <c r="K2366" s="2">
        <f>Table1[[#This Row],[Salary_after]]-Table1[[#This Row],[Salary_before]]</f>
        <v>4004.2899999999936</v>
      </c>
      <c r="L2366" s="11">
        <v>4.24E-2</v>
      </c>
      <c r="M2366" s="11">
        <v>0.11380000000000001</v>
      </c>
      <c r="N2366">
        <v>96.96</v>
      </c>
      <c r="O2366">
        <v>40.53</v>
      </c>
      <c r="P2366">
        <v>1</v>
      </c>
      <c r="Q2366" t="s">
        <v>25</v>
      </c>
      <c r="R2366">
        <v>44.465000000000003</v>
      </c>
      <c r="S2366">
        <v>4.24</v>
      </c>
      <c r="T2366" s="4">
        <v>31.867999999999999</v>
      </c>
      <c r="U2366" s="4">
        <v>15.875601</v>
      </c>
      <c r="V2366" t="str">
        <f>IF(Table1[[#This Row],[ai_disruption_intensity]]&gt;70,"High",
IF(Table1[[#This Row],[ai_disruption_intensity]]&gt;40,"Medium","Low"))</f>
        <v>Low</v>
      </c>
      <c r="W2366" t="str">
        <f>IF(Table1[[#This Row],[skill_gap_index]]&gt;70,"Large Gap",
IF(Table1[[#This Row],[skill_gap_index]]&gt;40,"Medium Gap","Small Gap"))</f>
        <v>Medium Gap</v>
      </c>
      <c r="X2366" s="3" t="str">
        <f>IF(Table1[[#This Row],[automation_risk_percent]]&gt;0.7,"Highly Automatable",
IF(Table1[[#This Row],[automation_risk_percent]]&gt;0.4,"Moderate Risk","Safe Job"))</f>
        <v>Safe Job</v>
      </c>
    </row>
    <row r="2367" spans="1:24" x14ac:dyDescent="0.3">
      <c r="A2367">
        <v>8344</v>
      </c>
      <c r="B2367" t="s">
        <v>26</v>
      </c>
      <c r="C2367" t="s">
        <v>40</v>
      </c>
      <c r="D2367" t="s">
        <v>20</v>
      </c>
      <c r="E2367" s="1">
        <v>2025</v>
      </c>
      <c r="F2367" s="11">
        <v>0.32299999999999995</v>
      </c>
      <c r="G2367">
        <v>33.79</v>
      </c>
      <c r="H2367">
        <v>45.33</v>
      </c>
      <c r="I2367" s="2">
        <v>80353.850000000006</v>
      </c>
      <c r="J2367" s="2">
        <v>88367.23</v>
      </c>
      <c r="K2367" s="2">
        <f>Table1[[#This Row],[Salary_after]]-Table1[[#This Row],[Salary_before]]</f>
        <v>8013.3799999999901</v>
      </c>
      <c r="L2367" s="11">
        <v>9.9700000000000011E-2</v>
      </c>
      <c r="M2367" s="11">
        <v>2.0999999999999999E-3</v>
      </c>
      <c r="N2367">
        <v>58.01</v>
      </c>
      <c r="O2367">
        <v>60.74</v>
      </c>
      <c r="P2367">
        <v>4</v>
      </c>
      <c r="Q2367" t="s">
        <v>25</v>
      </c>
      <c r="R2367">
        <v>38.814999999999998</v>
      </c>
      <c r="S2367">
        <v>9.9700000000000006</v>
      </c>
      <c r="T2367" s="4">
        <v>29.509999999999899</v>
      </c>
      <c r="U2367" s="4">
        <v>19.619019999999999</v>
      </c>
      <c r="V2367" t="str">
        <f>IF(Table1[[#This Row],[ai_disruption_intensity]]&gt;70,"High",
IF(Table1[[#This Row],[ai_disruption_intensity]]&gt;40,"Medium","Low"))</f>
        <v>Low</v>
      </c>
      <c r="W2367" t="str">
        <f>IF(Table1[[#This Row],[skill_gap_index]]&gt;70,"Large Gap",
IF(Table1[[#This Row],[skill_gap_index]]&gt;40,"Medium Gap","Small Gap"))</f>
        <v>Medium Gap</v>
      </c>
      <c r="X2367" s="3" t="str">
        <f>IF(Table1[[#This Row],[automation_risk_percent]]&gt;0.7,"Highly Automatable",
IF(Table1[[#This Row],[automation_risk_percent]]&gt;0.4,"Moderate Risk","Safe Job"))</f>
        <v>Safe Job</v>
      </c>
    </row>
    <row r="2368" spans="1:24" x14ac:dyDescent="0.3">
      <c r="A2368">
        <v>8346</v>
      </c>
      <c r="B2368" t="s">
        <v>45</v>
      </c>
      <c r="C2368" t="s">
        <v>38</v>
      </c>
      <c r="D2368" t="s">
        <v>24</v>
      </c>
      <c r="E2368" s="1">
        <v>2025</v>
      </c>
      <c r="F2368" s="11">
        <v>0.61380000000000001</v>
      </c>
      <c r="G2368">
        <v>56.14</v>
      </c>
      <c r="H2368">
        <v>60.89</v>
      </c>
      <c r="I2368" s="2">
        <v>138752.53</v>
      </c>
      <c r="J2368" s="2">
        <v>161533.89000000001</v>
      </c>
      <c r="K2368" s="2">
        <f>Table1[[#This Row],[Salary_after]]-Table1[[#This Row],[Salary_before]]</f>
        <v>22781.360000000015</v>
      </c>
      <c r="L2368" s="11">
        <v>0.16420000000000001</v>
      </c>
      <c r="M2368" s="11">
        <v>-0.11890000000000001</v>
      </c>
      <c r="N2368">
        <v>93.57</v>
      </c>
      <c r="O2368">
        <v>34.06</v>
      </c>
      <c r="P2368">
        <v>1</v>
      </c>
      <c r="Q2368" t="s">
        <v>37</v>
      </c>
      <c r="R2368">
        <v>61.134999999999998</v>
      </c>
      <c r="S2368">
        <v>16.420000000000002</v>
      </c>
      <c r="T2368" s="4">
        <v>47.744999999999997</v>
      </c>
      <c r="U2368" s="4">
        <v>20.906027999999999</v>
      </c>
      <c r="V2368" t="str">
        <f>IF(Table1[[#This Row],[ai_disruption_intensity]]&gt;70,"High",
IF(Table1[[#This Row],[ai_disruption_intensity]]&gt;40,"Medium","Low"))</f>
        <v>Low</v>
      </c>
      <c r="W2368" t="str">
        <f>IF(Table1[[#This Row],[skill_gap_index]]&gt;70,"Large Gap",
IF(Table1[[#This Row],[skill_gap_index]]&gt;40,"Medium Gap","Small Gap"))</f>
        <v>Medium Gap</v>
      </c>
      <c r="X2368" s="3" t="str">
        <f>IF(Table1[[#This Row],[automation_risk_percent]]&gt;0.7,"Highly Automatable",
IF(Table1[[#This Row],[automation_risk_percent]]&gt;0.4,"Moderate Risk","Safe Job"))</f>
        <v>Moderate Risk</v>
      </c>
    </row>
    <row r="2369" spans="1:24" x14ac:dyDescent="0.3">
      <c r="A2369">
        <v>8355</v>
      </c>
      <c r="B2369" t="s">
        <v>39</v>
      </c>
      <c r="C2369" t="s">
        <v>30</v>
      </c>
      <c r="D2369" t="s">
        <v>42</v>
      </c>
      <c r="E2369" s="1">
        <v>2026</v>
      </c>
      <c r="F2369" s="11">
        <v>0.3931</v>
      </c>
      <c r="G2369">
        <v>33.53</v>
      </c>
      <c r="H2369">
        <v>85.54</v>
      </c>
      <c r="I2369" s="2">
        <v>107312.85</v>
      </c>
      <c r="J2369" s="2">
        <v>113432.99</v>
      </c>
      <c r="K2369" s="2">
        <f>Table1[[#This Row],[Salary_after]]-Table1[[#This Row],[Salary_before]]</f>
        <v>6120.1399999999994</v>
      </c>
      <c r="L2369" s="11">
        <v>5.7000000000000002E-2</v>
      </c>
      <c r="M2369" s="11">
        <v>7.0999999999999995E-3</v>
      </c>
      <c r="N2369">
        <v>73.430000000000007</v>
      </c>
      <c r="O2369">
        <v>44.22</v>
      </c>
      <c r="P2369">
        <v>4</v>
      </c>
      <c r="Q2369" t="s">
        <v>25</v>
      </c>
      <c r="R2369">
        <v>62.424999999999997</v>
      </c>
      <c r="S2369">
        <v>5.7</v>
      </c>
      <c r="T2369" s="4">
        <v>43.095999999999997</v>
      </c>
      <c r="U2369" s="4">
        <v>17.382881999999999</v>
      </c>
      <c r="V2369" t="str">
        <f>IF(Table1[[#This Row],[ai_disruption_intensity]]&gt;70,"High",
IF(Table1[[#This Row],[ai_disruption_intensity]]&gt;40,"Medium","Low"))</f>
        <v>Low</v>
      </c>
      <c r="W2369" t="str">
        <f>IF(Table1[[#This Row],[skill_gap_index]]&gt;70,"Large Gap",
IF(Table1[[#This Row],[skill_gap_index]]&gt;40,"Medium Gap","Small Gap"))</f>
        <v>Large Gap</v>
      </c>
      <c r="X2369" s="3" t="str">
        <f>IF(Table1[[#This Row],[automation_risk_percent]]&gt;0.7,"Highly Automatable",
IF(Table1[[#This Row],[automation_risk_percent]]&gt;0.4,"Moderate Risk","Safe Job"))</f>
        <v>Safe Job</v>
      </c>
    </row>
    <row r="2370" spans="1:24" x14ac:dyDescent="0.3">
      <c r="A2370">
        <v>8356</v>
      </c>
      <c r="B2370" t="s">
        <v>46</v>
      </c>
      <c r="C2370" t="s">
        <v>27</v>
      </c>
      <c r="D2370" t="s">
        <v>32</v>
      </c>
      <c r="E2370" s="1">
        <v>2025</v>
      </c>
      <c r="F2370" s="11">
        <v>0.69290000000000007</v>
      </c>
      <c r="G2370">
        <v>64.78</v>
      </c>
      <c r="H2370">
        <v>9.9499999999999993</v>
      </c>
      <c r="I2370" s="2">
        <v>118015.09</v>
      </c>
      <c r="J2370" s="2">
        <v>124364.94</v>
      </c>
      <c r="K2370" s="2">
        <f>Table1[[#This Row],[Salary_after]]-Table1[[#This Row],[Salary_before]]</f>
        <v>6349.8500000000058</v>
      </c>
      <c r="L2370" s="11">
        <v>5.3800000000000001E-2</v>
      </c>
      <c r="M2370" s="11">
        <v>0.11230000000000001</v>
      </c>
      <c r="N2370">
        <v>93.66</v>
      </c>
      <c r="O2370">
        <v>11.85</v>
      </c>
      <c r="P2370">
        <v>2</v>
      </c>
      <c r="Q2370" t="s">
        <v>37</v>
      </c>
      <c r="R2370">
        <v>39.619999999999997</v>
      </c>
      <c r="S2370">
        <v>5.38</v>
      </c>
      <c r="T2370" s="4">
        <v>32.314999999999998</v>
      </c>
      <c r="U2370" s="4">
        <v>8.2108650000000001</v>
      </c>
      <c r="V2370" t="str">
        <f>IF(Table1[[#This Row],[ai_disruption_intensity]]&gt;70,"High",
IF(Table1[[#This Row],[ai_disruption_intensity]]&gt;40,"Medium","Low"))</f>
        <v>Low</v>
      </c>
      <c r="W2370" t="str">
        <f>IF(Table1[[#This Row],[skill_gap_index]]&gt;70,"Large Gap",
IF(Table1[[#This Row],[skill_gap_index]]&gt;40,"Medium Gap","Small Gap"))</f>
        <v>Small Gap</v>
      </c>
      <c r="X2370" s="3" t="str">
        <f>IF(Table1[[#This Row],[automation_risk_percent]]&gt;0.7,"Highly Automatable",
IF(Table1[[#This Row],[automation_risk_percent]]&gt;0.4,"Moderate Risk","Safe Job"))</f>
        <v>Moderate Risk</v>
      </c>
    </row>
    <row r="2371" spans="1:24" x14ac:dyDescent="0.3">
      <c r="A2371">
        <v>8357</v>
      </c>
      <c r="B2371" t="s">
        <v>45</v>
      </c>
      <c r="C2371" t="s">
        <v>33</v>
      </c>
      <c r="D2371" t="s">
        <v>35</v>
      </c>
      <c r="E2371" s="1">
        <v>2025</v>
      </c>
      <c r="F2371" s="11">
        <v>0.52060000000000006</v>
      </c>
      <c r="G2371">
        <v>46.21</v>
      </c>
      <c r="H2371">
        <v>39.94</v>
      </c>
      <c r="I2371" s="2">
        <v>61810.9</v>
      </c>
      <c r="J2371" s="2">
        <v>55714.6</v>
      </c>
      <c r="K2371" s="2">
        <f>Table1[[#This Row],[Salary_after]]-Table1[[#This Row],[Salary_before]]</f>
        <v>-6096.3000000000029</v>
      </c>
      <c r="L2371" s="11">
        <v>-9.8599999999999993E-2</v>
      </c>
      <c r="M2371" s="11">
        <v>3.7100000000000001E-2</v>
      </c>
      <c r="N2371">
        <v>37.32</v>
      </c>
      <c r="O2371">
        <v>7.09</v>
      </c>
      <c r="P2371">
        <v>3</v>
      </c>
      <c r="Q2371" t="s">
        <v>25</v>
      </c>
      <c r="R2371">
        <v>46</v>
      </c>
      <c r="S2371">
        <v>9.86</v>
      </c>
      <c r="T2371" s="4">
        <v>35.763999999999903</v>
      </c>
      <c r="U2371" s="4">
        <v>3.6910539999999998</v>
      </c>
      <c r="V2371" t="str">
        <f>IF(Table1[[#This Row],[ai_disruption_intensity]]&gt;70,"High",
IF(Table1[[#This Row],[ai_disruption_intensity]]&gt;40,"Medium","Low"))</f>
        <v>Low</v>
      </c>
      <c r="W2371" t="str">
        <f>IF(Table1[[#This Row],[skill_gap_index]]&gt;70,"Large Gap",
IF(Table1[[#This Row],[skill_gap_index]]&gt;40,"Medium Gap","Small Gap"))</f>
        <v>Small Gap</v>
      </c>
      <c r="X2371" s="3" t="str">
        <f>IF(Table1[[#This Row],[automation_risk_percent]]&gt;0.7,"Highly Automatable",
IF(Table1[[#This Row],[automation_risk_percent]]&gt;0.4,"Moderate Risk","Safe Job"))</f>
        <v>Moderate Risk</v>
      </c>
    </row>
    <row r="2372" spans="1:24" x14ac:dyDescent="0.3">
      <c r="A2372">
        <v>8360</v>
      </c>
      <c r="B2372" t="s">
        <v>44</v>
      </c>
      <c r="C2372" t="s">
        <v>33</v>
      </c>
      <c r="D2372" t="s">
        <v>47</v>
      </c>
      <c r="E2372" s="1">
        <v>2025</v>
      </c>
      <c r="F2372" s="11">
        <v>0.14000000000000001</v>
      </c>
      <c r="G2372">
        <v>14.8</v>
      </c>
      <c r="H2372">
        <v>34.590000000000003</v>
      </c>
      <c r="I2372" s="2">
        <v>34717.480000000003</v>
      </c>
      <c r="J2372" s="2">
        <v>33238.800000000003</v>
      </c>
      <c r="K2372" s="2">
        <f>Table1[[#This Row],[Salary_after]]-Table1[[#This Row],[Salary_before]]</f>
        <v>-1478.6800000000003</v>
      </c>
      <c r="L2372" s="11">
        <v>-4.2599999999999999E-2</v>
      </c>
      <c r="M2372" s="11">
        <v>0.13880000000000001</v>
      </c>
      <c r="N2372">
        <v>76.7</v>
      </c>
      <c r="O2372">
        <v>25.42</v>
      </c>
      <c r="P2372">
        <v>5</v>
      </c>
      <c r="Q2372" t="s">
        <v>21</v>
      </c>
      <c r="R2372">
        <v>24.295000000000002</v>
      </c>
      <c r="S2372">
        <v>4.26</v>
      </c>
      <c r="T2372" s="4">
        <v>17.254999999999999</v>
      </c>
      <c r="U2372" s="4">
        <v>3.55879999999999</v>
      </c>
      <c r="V2372" t="str">
        <f>IF(Table1[[#This Row],[ai_disruption_intensity]]&gt;70,"High",
IF(Table1[[#This Row],[ai_disruption_intensity]]&gt;40,"Medium","Low"))</f>
        <v>Low</v>
      </c>
      <c r="W2372" t="str">
        <f>IF(Table1[[#This Row],[skill_gap_index]]&gt;70,"Large Gap",
IF(Table1[[#This Row],[skill_gap_index]]&gt;40,"Medium Gap","Small Gap"))</f>
        <v>Small Gap</v>
      </c>
      <c r="X2372" s="3" t="str">
        <f>IF(Table1[[#This Row],[automation_risk_percent]]&gt;0.7,"Highly Automatable",
IF(Table1[[#This Row],[automation_risk_percent]]&gt;0.4,"Moderate Risk","Safe Job"))</f>
        <v>Safe Job</v>
      </c>
    </row>
    <row r="2373" spans="1:24" x14ac:dyDescent="0.3">
      <c r="A2373">
        <v>8362</v>
      </c>
      <c r="B2373" t="s">
        <v>41</v>
      </c>
      <c r="C2373" t="s">
        <v>34</v>
      </c>
      <c r="D2373" t="s">
        <v>47</v>
      </c>
      <c r="E2373" s="1">
        <v>2025</v>
      </c>
      <c r="F2373" s="11">
        <v>0.60609999999999997</v>
      </c>
      <c r="G2373">
        <v>54.54</v>
      </c>
      <c r="H2373">
        <v>43.38</v>
      </c>
      <c r="I2373" s="2">
        <v>104407.54</v>
      </c>
      <c r="J2373" s="2">
        <v>102315.12</v>
      </c>
      <c r="K2373" s="2">
        <f>Table1[[#This Row],[Salary_after]]-Table1[[#This Row],[Salary_before]]</f>
        <v>-2092.4199999999983</v>
      </c>
      <c r="L2373" s="11">
        <v>-0.02</v>
      </c>
      <c r="M2373" s="11">
        <v>-1.1599999999999999E-2</v>
      </c>
      <c r="N2373">
        <v>31.56</v>
      </c>
      <c r="O2373">
        <v>64.650000000000006</v>
      </c>
      <c r="P2373">
        <v>5</v>
      </c>
      <c r="Q2373" t="s">
        <v>37</v>
      </c>
      <c r="R2373">
        <v>51.994999999999997</v>
      </c>
      <c r="S2373">
        <v>2</v>
      </c>
      <c r="T2373" s="4">
        <v>37.857999999999997</v>
      </c>
      <c r="U2373" s="4">
        <v>39.184365</v>
      </c>
      <c r="V2373" t="str">
        <f>IF(Table1[[#This Row],[ai_disruption_intensity]]&gt;70,"High",
IF(Table1[[#This Row],[ai_disruption_intensity]]&gt;40,"Medium","Low"))</f>
        <v>Low</v>
      </c>
      <c r="W2373" t="str">
        <f>IF(Table1[[#This Row],[skill_gap_index]]&gt;70,"Large Gap",
IF(Table1[[#This Row],[skill_gap_index]]&gt;40,"Medium Gap","Small Gap"))</f>
        <v>Medium Gap</v>
      </c>
      <c r="X2373" s="3" t="str">
        <f>IF(Table1[[#This Row],[automation_risk_percent]]&gt;0.7,"Highly Automatable",
IF(Table1[[#This Row],[automation_risk_percent]]&gt;0.4,"Moderate Risk","Safe Job"))</f>
        <v>Moderate Risk</v>
      </c>
    </row>
    <row r="2374" spans="1:24" x14ac:dyDescent="0.3">
      <c r="A2374">
        <v>8364</v>
      </c>
      <c r="B2374" t="s">
        <v>18</v>
      </c>
      <c r="C2374" t="s">
        <v>34</v>
      </c>
      <c r="D2374" t="s">
        <v>24</v>
      </c>
      <c r="E2374" s="1">
        <v>2025</v>
      </c>
      <c r="F2374" s="11">
        <v>0.5302</v>
      </c>
      <c r="G2374">
        <v>61.07</v>
      </c>
      <c r="H2374">
        <v>24.5</v>
      </c>
      <c r="I2374" s="2">
        <v>52309.55</v>
      </c>
      <c r="J2374" s="2">
        <v>49907.53</v>
      </c>
      <c r="K2374" s="2">
        <f>Table1[[#This Row],[Salary_after]]-Table1[[#This Row],[Salary_before]]</f>
        <v>-2402.0200000000041</v>
      </c>
      <c r="L2374" s="11">
        <v>-4.5899999999999996E-2</v>
      </c>
      <c r="M2374" s="11">
        <v>-5.7500000000000002E-2</v>
      </c>
      <c r="N2374">
        <v>68.430000000000007</v>
      </c>
      <c r="O2374">
        <v>67.19</v>
      </c>
      <c r="P2374">
        <v>3</v>
      </c>
      <c r="Q2374" t="s">
        <v>25</v>
      </c>
      <c r="R2374">
        <v>38.76</v>
      </c>
      <c r="S2374">
        <v>4.59</v>
      </c>
      <c r="T2374" s="4">
        <v>29.934999999999999</v>
      </c>
      <c r="U2374" s="4">
        <v>35.624138000000002</v>
      </c>
      <c r="V2374" t="str">
        <f>IF(Table1[[#This Row],[ai_disruption_intensity]]&gt;70,"High",
IF(Table1[[#This Row],[ai_disruption_intensity]]&gt;40,"Medium","Low"))</f>
        <v>Low</v>
      </c>
      <c r="W2374" t="str">
        <f>IF(Table1[[#This Row],[skill_gap_index]]&gt;70,"Large Gap",
IF(Table1[[#This Row],[skill_gap_index]]&gt;40,"Medium Gap","Small Gap"))</f>
        <v>Small Gap</v>
      </c>
      <c r="X2374" s="3" t="str">
        <f>IF(Table1[[#This Row],[automation_risk_percent]]&gt;0.7,"Highly Automatable",
IF(Table1[[#This Row],[automation_risk_percent]]&gt;0.4,"Moderate Risk","Safe Job"))</f>
        <v>Moderate Risk</v>
      </c>
    </row>
    <row r="2375" spans="1:24" x14ac:dyDescent="0.3">
      <c r="A2375">
        <v>8365</v>
      </c>
      <c r="B2375" t="s">
        <v>41</v>
      </c>
      <c r="C2375" t="s">
        <v>33</v>
      </c>
      <c r="D2375" t="s">
        <v>32</v>
      </c>
      <c r="E2375" s="1">
        <v>2025</v>
      </c>
      <c r="F2375" s="11">
        <v>0.39770000000000005</v>
      </c>
      <c r="G2375">
        <v>33.9</v>
      </c>
      <c r="H2375">
        <v>44.87</v>
      </c>
      <c r="I2375" s="2">
        <v>46942.95</v>
      </c>
      <c r="J2375" s="2">
        <v>49239.62</v>
      </c>
      <c r="K2375" s="2">
        <f>Table1[[#This Row],[Salary_after]]-Table1[[#This Row],[Salary_before]]</f>
        <v>2296.6700000000055</v>
      </c>
      <c r="L2375" s="11">
        <v>4.8899999999999999E-2</v>
      </c>
      <c r="M2375" s="11">
        <v>0.1681</v>
      </c>
      <c r="N2375">
        <v>39.01</v>
      </c>
      <c r="O2375">
        <v>40.549999999999997</v>
      </c>
      <c r="P2375">
        <v>3</v>
      </c>
      <c r="Q2375" t="s">
        <v>25</v>
      </c>
      <c r="R2375">
        <v>42.32</v>
      </c>
      <c r="S2375">
        <v>4.8899999999999997</v>
      </c>
      <c r="T2375" s="4">
        <v>30.835999999999999</v>
      </c>
      <c r="U2375" s="4">
        <v>16.126735</v>
      </c>
      <c r="V2375" t="str">
        <f>IF(Table1[[#This Row],[ai_disruption_intensity]]&gt;70,"High",
IF(Table1[[#This Row],[ai_disruption_intensity]]&gt;40,"Medium","Low"))</f>
        <v>Low</v>
      </c>
      <c r="W2375" t="str">
        <f>IF(Table1[[#This Row],[skill_gap_index]]&gt;70,"Large Gap",
IF(Table1[[#This Row],[skill_gap_index]]&gt;40,"Medium Gap","Small Gap"))</f>
        <v>Medium Gap</v>
      </c>
      <c r="X2375" s="3" t="str">
        <f>IF(Table1[[#This Row],[automation_risk_percent]]&gt;0.7,"Highly Automatable",
IF(Table1[[#This Row],[automation_risk_percent]]&gt;0.4,"Moderate Risk","Safe Job"))</f>
        <v>Safe Job</v>
      </c>
    </row>
    <row r="2376" spans="1:24" x14ac:dyDescent="0.3">
      <c r="A2376">
        <v>8368</v>
      </c>
      <c r="B2376" t="s">
        <v>22</v>
      </c>
      <c r="C2376" t="s">
        <v>19</v>
      </c>
      <c r="D2376" t="s">
        <v>32</v>
      </c>
      <c r="E2376" s="1">
        <v>2025</v>
      </c>
      <c r="F2376" s="11">
        <v>0.2928</v>
      </c>
      <c r="G2376">
        <v>26.86</v>
      </c>
      <c r="H2376">
        <v>80.98</v>
      </c>
      <c r="I2376" s="2">
        <v>119087.56</v>
      </c>
      <c r="J2376" s="2">
        <v>116109.3</v>
      </c>
      <c r="K2376" s="2">
        <f>Table1[[#This Row],[Salary_after]]-Table1[[#This Row],[Salary_before]]</f>
        <v>-2978.2599999999948</v>
      </c>
      <c r="L2376" s="11">
        <v>-2.5000000000000001E-2</v>
      </c>
      <c r="M2376" s="11">
        <v>-9.7000000000000003E-3</v>
      </c>
      <c r="N2376">
        <v>32.619999999999997</v>
      </c>
      <c r="O2376">
        <v>59.55</v>
      </c>
      <c r="P2376">
        <v>4</v>
      </c>
      <c r="Q2376" t="s">
        <v>21</v>
      </c>
      <c r="R2376">
        <v>55.13</v>
      </c>
      <c r="S2376">
        <v>2.5</v>
      </c>
      <c r="T2376" s="4">
        <v>36.756</v>
      </c>
      <c r="U2376" s="4">
        <v>17.436240000000002</v>
      </c>
      <c r="V2376" t="str">
        <f>IF(Table1[[#This Row],[ai_disruption_intensity]]&gt;70,"High",
IF(Table1[[#This Row],[ai_disruption_intensity]]&gt;40,"Medium","Low"))</f>
        <v>Low</v>
      </c>
      <c r="W2376" t="str">
        <f>IF(Table1[[#This Row],[skill_gap_index]]&gt;70,"Large Gap",
IF(Table1[[#This Row],[skill_gap_index]]&gt;40,"Medium Gap","Small Gap"))</f>
        <v>Large Gap</v>
      </c>
      <c r="X2376" s="3" t="str">
        <f>IF(Table1[[#This Row],[automation_risk_percent]]&gt;0.7,"Highly Automatable",
IF(Table1[[#This Row],[automation_risk_percent]]&gt;0.4,"Moderate Risk","Safe Job"))</f>
        <v>Safe Job</v>
      </c>
    </row>
    <row r="2377" spans="1:24" x14ac:dyDescent="0.3">
      <c r="A2377">
        <v>8369</v>
      </c>
      <c r="B2377" t="s">
        <v>29</v>
      </c>
      <c r="C2377" t="s">
        <v>34</v>
      </c>
      <c r="D2377" t="s">
        <v>47</v>
      </c>
      <c r="E2377" s="1">
        <v>2025</v>
      </c>
      <c r="F2377" s="11">
        <v>0.62909999999999999</v>
      </c>
      <c r="G2377">
        <v>67.41</v>
      </c>
      <c r="H2377">
        <v>91.07</v>
      </c>
      <c r="I2377" s="2">
        <v>80528.83</v>
      </c>
      <c r="J2377" s="2">
        <v>85607.49</v>
      </c>
      <c r="K2377" s="2">
        <f>Table1[[#This Row],[Salary_after]]-Table1[[#This Row],[Salary_before]]</f>
        <v>5078.6600000000035</v>
      </c>
      <c r="L2377" s="11">
        <v>6.3099999999999989E-2</v>
      </c>
      <c r="M2377" s="11">
        <v>7.3499999999999996E-2</v>
      </c>
      <c r="N2377">
        <v>58.75</v>
      </c>
      <c r="O2377">
        <v>30.83</v>
      </c>
      <c r="P2377">
        <v>4</v>
      </c>
      <c r="Q2377" t="s">
        <v>37</v>
      </c>
      <c r="R2377">
        <v>76.989999999999995</v>
      </c>
      <c r="S2377">
        <v>6.31</v>
      </c>
      <c r="T2377" s="4">
        <v>54.378</v>
      </c>
      <c r="U2377" s="4">
        <v>19.395152999999901</v>
      </c>
      <c r="V2377" t="str">
        <f>IF(Table1[[#This Row],[ai_disruption_intensity]]&gt;70,"High",
IF(Table1[[#This Row],[ai_disruption_intensity]]&gt;40,"Medium","Low"))</f>
        <v>Low</v>
      </c>
      <c r="W2377" t="str">
        <f>IF(Table1[[#This Row],[skill_gap_index]]&gt;70,"Large Gap",
IF(Table1[[#This Row],[skill_gap_index]]&gt;40,"Medium Gap","Small Gap"))</f>
        <v>Large Gap</v>
      </c>
      <c r="X2377" s="3" t="str">
        <f>IF(Table1[[#This Row],[automation_risk_percent]]&gt;0.7,"Highly Automatable",
IF(Table1[[#This Row],[automation_risk_percent]]&gt;0.4,"Moderate Risk","Safe Job"))</f>
        <v>Moderate Risk</v>
      </c>
    </row>
    <row r="2378" spans="1:24" x14ac:dyDescent="0.3">
      <c r="A2378">
        <v>8377</v>
      </c>
      <c r="B2378" t="s">
        <v>22</v>
      </c>
      <c r="C2378" t="s">
        <v>23</v>
      </c>
      <c r="D2378" t="s">
        <v>32</v>
      </c>
      <c r="E2378" s="1">
        <v>2026</v>
      </c>
      <c r="F2378" s="11">
        <v>0.22559999999999999</v>
      </c>
      <c r="G2378">
        <v>24.02</v>
      </c>
      <c r="H2378">
        <v>27.61</v>
      </c>
      <c r="I2378" s="2">
        <v>122610.36</v>
      </c>
      <c r="J2378" s="2">
        <v>101072.89</v>
      </c>
      <c r="K2378" s="2">
        <f>Table1[[#This Row],[Salary_after]]-Table1[[#This Row],[Salary_before]]</f>
        <v>-21537.47</v>
      </c>
      <c r="L2378" s="11">
        <v>-0.1757</v>
      </c>
      <c r="M2378" s="11">
        <v>-9.8599999999999993E-2</v>
      </c>
      <c r="N2378">
        <v>77.19</v>
      </c>
      <c r="O2378">
        <v>42.53</v>
      </c>
      <c r="P2378">
        <v>4</v>
      </c>
      <c r="Q2378" t="s">
        <v>21</v>
      </c>
      <c r="R2378">
        <v>25.085000000000001</v>
      </c>
      <c r="S2378">
        <v>17.57</v>
      </c>
      <c r="T2378" s="4">
        <v>22.577999999999999</v>
      </c>
      <c r="U2378" s="4">
        <v>9.5947680000000002</v>
      </c>
      <c r="V2378" t="str">
        <f>IF(Table1[[#This Row],[ai_disruption_intensity]]&gt;70,"High",
IF(Table1[[#This Row],[ai_disruption_intensity]]&gt;40,"Medium","Low"))</f>
        <v>Low</v>
      </c>
      <c r="W2378" t="str">
        <f>IF(Table1[[#This Row],[skill_gap_index]]&gt;70,"Large Gap",
IF(Table1[[#This Row],[skill_gap_index]]&gt;40,"Medium Gap","Small Gap"))</f>
        <v>Small Gap</v>
      </c>
      <c r="X2378" s="3" t="str">
        <f>IF(Table1[[#This Row],[automation_risk_percent]]&gt;0.7,"Highly Automatable",
IF(Table1[[#This Row],[automation_risk_percent]]&gt;0.4,"Moderate Risk","Safe Job"))</f>
        <v>Safe Job</v>
      </c>
    </row>
    <row r="2379" spans="1:24" x14ac:dyDescent="0.3">
      <c r="A2379">
        <v>8378</v>
      </c>
      <c r="B2379" t="s">
        <v>29</v>
      </c>
      <c r="C2379" t="s">
        <v>38</v>
      </c>
      <c r="D2379" t="s">
        <v>32</v>
      </c>
      <c r="E2379" s="1">
        <v>2026</v>
      </c>
      <c r="F2379" s="11">
        <v>0.74980000000000002</v>
      </c>
      <c r="G2379">
        <v>85.63</v>
      </c>
      <c r="H2379">
        <v>13.69</v>
      </c>
      <c r="I2379" s="2">
        <v>87482.76</v>
      </c>
      <c r="J2379" s="2">
        <v>79322.320000000007</v>
      </c>
      <c r="K2379" s="2">
        <f>Table1[[#This Row],[Salary_after]]-Table1[[#This Row],[Salary_before]]</f>
        <v>-8160.4399999999878</v>
      </c>
      <c r="L2379" s="11">
        <v>-9.3299999999999994E-2</v>
      </c>
      <c r="M2379" s="11">
        <v>-5.1999999999999998E-3</v>
      </c>
      <c r="N2379">
        <v>28.95</v>
      </c>
      <c r="O2379">
        <v>21.69</v>
      </c>
      <c r="P2379">
        <v>5</v>
      </c>
      <c r="Q2379" t="s">
        <v>37</v>
      </c>
      <c r="R2379">
        <v>44.335000000000001</v>
      </c>
      <c r="S2379">
        <v>9.33</v>
      </c>
      <c r="T2379" s="4">
        <v>36.898000000000003</v>
      </c>
      <c r="U2379" s="4">
        <v>16.263162000000001</v>
      </c>
      <c r="V2379" t="str">
        <f>IF(Table1[[#This Row],[ai_disruption_intensity]]&gt;70,"High",
IF(Table1[[#This Row],[ai_disruption_intensity]]&gt;40,"Medium","Low"))</f>
        <v>Low</v>
      </c>
      <c r="W2379" t="str">
        <f>IF(Table1[[#This Row],[skill_gap_index]]&gt;70,"Large Gap",
IF(Table1[[#This Row],[skill_gap_index]]&gt;40,"Medium Gap","Small Gap"))</f>
        <v>Small Gap</v>
      </c>
      <c r="X2379" s="3" t="str">
        <f>IF(Table1[[#This Row],[automation_risk_percent]]&gt;0.7,"Highly Automatable",
IF(Table1[[#This Row],[automation_risk_percent]]&gt;0.4,"Moderate Risk","Safe Job"))</f>
        <v>Highly Automatable</v>
      </c>
    </row>
    <row r="2380" spans="1:24" x14ac:dyDescent="0.3">
      <c r="A2380">
        <v>8381</v>
      </c>
      <c r="B2380" t="s">
        <v>22</v>
      </c>
      <c r="C2380" t="s">
        <v>23</v>
      </c>
      <c r="D2380" t="s">
        <v>47</v>
      </c>
      <c r="E2380" s="1">
        <v>2026</v>
      </c>
      <c r="F2380" s="11">
        <v>0.75260000000000005</v>
      </c>
      <c r="G2380">
        <v>66.92</v>
      </c>
      <c r="H2380">
        <v>76</v>
      </c>
      <c r="I2380" s="2">
        <v>119728.2</v>
      </c>
      <c r="J2380" s="2">
        <v>107262.02</v>
      </c>
      <c r="K2380" s="2">
        <f>Table1[[#This Row],[Salary_after]]-Table1[[#This Row],[Salary_before]]</f>
        <v>-12466.179999999993</v>
      </c>
      <c r="L2380" s="11">
        <v>-0.1041</v>
      </c>
      <c r="M2380" s="11">
        <v>-1.2800000000000001E-2</v>
      </c>
      <c r="N2380">
        <v>31.96</v>
      </c>
      <c r="O2380">
        <v>56.59</v>
      </c>
      <c r="P2380">
        <v>1</v>
      </c>
      <c r="Q2380" t="s">
        <v>37</v>
      </c>
      <c r="R2380">
        <v>75.63</v>
      </c>
      <c r="S2380">
        <v>10.41</v>
      </c>
      <c r="T2380" s="4">
        <v>56.027000000000001</v>
      </c>
      <c r="U2380" s="4">
        <v>42.589633999999997</v>
      </c>
      <c r="V2380" t="str">
        <f>IF(Table1[[#This Row],[ai_disruption_intensity]]&gt;70,"High",
IF(Table1[[#This Row],[ai_disruption_intensity]]&gt;40,"Medium","Low"))</f>
        <v>Medium</v>
      </c>
      <c r="W2380" t="str">
        <f>IF(Table1[[#This Row],[skill_gap_index]]&gt;70,"Large Gap",
IF(Table1[[#This Row],[skill_gap_index]]&gt;40,"Medium Gap","Small Gap"))</f>
        <v>Large Gap</v>
      </c>
      <c r="X2380" s="3" t="str">
        <f>IF(Table1[[#This Row],[automation_risk_percent]]&gt;0.7,"Highly Automatable",
IF(Table1[[#This Row],[automation_risk_percent]]&gt;0.4,"Moderate Risk","Safe Job"))</f>
        <v>Highly Automatable</v>
      </c>
    </row>
    <row r="2381" spans="1:24" x14ac:dyDescent="0.3">
      <c r="A2381">
        <v>8382</v>
      </c>
      <c r="B2381" t="s">
        <v>22</v>
      </c>
      <c r="C2381" t="s">
        <v>34</v>
      </c>
      <c r="D2381" t="s">
        <v>35</v>
      </c>
      <c r="E2381" s="1">
        <v>2026</v>
      </c>
      <c r="F2381" s="11">
        <v>0.36680000000000001</v>
      </c>
      <c r="G2381">
        <v>36.619999999999997</v>
      </c>
      <c r="H2381">
        <v>81.16</v>
      </c>
      <c r="I2381" s="2">
        <v>90275.57</v>
      </c>
      <c r="J2381" s="2">
        <v>90253.85</v>
      </c>
      <c r="K2381" s="2">
        <f>Table1[[#This Row],[Salary_after]]-Table1[[#This Row],[Salary_before]]</f>
        <v>-21.720000000001164</v>
      </c>
      <c r="L2381" s="11">
        <v>-2.0000000000000001E-4</v>
      </c>
      <c r="M2381" s="11">
        <v>-9.6300000000000011E-2</v>
      </c>
      <c r="N2381">
        <v>83.21</v>
      </c>
      <c r="O2381">
        <v>21.83</v>
      </c>
      <c r="P2381">
        <v>3</v>
      </c>
      <c r="Q2381" t="s">
        <v>25</v>
      </c>
      <c r="R2381">
        <v>58.92</v>
      </c>
      <c r="S2381">
        <v>0.02</v>
      </c>
      <c r="T2381" s="4">
        <v>39.025999999999897</v>
      </c>
      <c r="U2381" s="4">
        <v>8.007244</v>
      </c>
      <c r="V2381" t="str">
        <f>IF(Table1[[#This Row],[ai_disruption_intensity]]&gt;70,"High",
IF(Table1[[#This Row],[ai_disruption_intensity]]&gt;40,"Medium","Low"))</f>
        <v>Low</v>
      </c>
      <c r="W2381" t="str">
        <f>IF(Table1[[#This Row],[skill_gap_index]]&gt;70,"Large Gap",
IF(Table1[[#This Row],[skill_gap_index]]&gt;40,"Medium Gap","Small Gap"))</f>
        <v>Large Gap</v>
      </c>
      <c r="X2381" s="3" t="str">
        <f>IF(Table1[[#This Row],[automation_risk_percent]]&gt;0.7,"Highly Automatable",
IF(Table1[[#This Row],[automation_risk_percent]]&gt;0.4,"Moderate Risk","Safe Job"))</f>
        <v>Safe Job</v>
      </c>
    </row>
    <row r="2382" spans="1:24" x14ac:dyDescent="0.3">
      <c r="A2382">
        <v>8386</v>
      </c>
      <c r="B2382" t="s">
        <v>45</v>
      </c>
      <c r="C2382" t="s">
        <v>19</v>
      </c>
      <c r="D2382" t="s">
        <v>32</v>
      </c>
      <c r="E2382" s="1">
        <v>2026</v>
      </c>
      <c r="F2382" s="11">
        <v>0.68940000000000001</v>
      </c>
      <c r="G2382">
        <v>67.22</v>
      </c>
      <c r="H2382">
        <v>88.98</v>
      </c>
      <c r="I2382" s="2">
        <v>111863.13</v>
      </c>
      <c r="J2382" s="2">
        <v>100734.39</v>
      </c>
      <c r="K2382" s="2">
        <f>Table1[[#This Row],[Salary_after]]-Table1[[#This Row],[Salary_before]]</f>
        <v>-11128.740000000005</v>
      </c>
      <c r="L2382" s="11">
        <v>-9.9499999999999991E-2</v>
      </c>
      <c r="M2382" s="11">
        <v>6.6100000000000006E-2</v>
      </c>
      <c r="N2382">
        <v>61.72</v>
      </c>
      <c r="O2382">
        <v>59.47</v>
      </c>
      <c r="P2382">
        <v>3</v>
      </c>
      <c r="Q2382" t="s">
        <v>37</v>
      </c>
      <c r="R2382">
        <v>78.959999999999994</v>
      </c>
      <c r="S2382">
        <v>9.9499999999999993</v>
      </c>
      <c r="T2382" s="4">
        <v>57.254999999999903</v>
      </c>
      <c r="U2382" s="4">
        <v>40.998617999999901</v>
      </c>
      <c r="V2382" t="str">
        <f>IF(Table1[[#This Row],[ai_disruption_intensity]]&gt;70,"High",
IF(Table1[[#This Row],[ai_disruption_intensity]]&gt;40,"Medium","Low"))</f>
        <v>Medium</v>
      </c>
      <c r="W2382" t="str">
        <f>IF(Table1[[#This Row],[skill_gap_index]]&gt;70,"Large Gap",
IF(Table1[[#This Row],[skill_gap_index]]&gt;40,"Medium Gap","Small Gap"))</f>
        <v>Large Gap</v>
      </c>
      <c r="X2382" s="3" t="str">
        <f>IF(Table1[[#This Row],[automation_risk_percent]]&gt;0.7,"Highly Automatable",
IF(Table1[[#This Row],[automation_risk_percent]]&gt;0.4,"Moderate Risk","Safe Job"))</f>
        <v>Moderate Risk</v>
      </c>
    </row>
    <row r="2383" spans="1:24" x14ac:dyDescent="0.3">
      <c r="A2383">
        <v>8392</v>
      </c>
      <c r="B2383" t="s">
        <v>18</v>
      </c>
      <c r="C2383" t="s">
        <v>40</v>
      </c>
      <c r="D2383" t="s">
        <v>47</v>
      </c>
      <c r="E2383" s="1">
        <v>2026</v>
      </c>
      <c r="F2383" s="11">
        <v>0.37509999999999999</v>
      </c>
      <c r="G2383">
        <v>31.01</v>
      </c>
      <c r="H2383">
        <v>49.7</v>
      </c>
      <c r="I2383" s="2">
        <v>140304.57</v>
      </c>
      <c r="J2383" s="2">
        <v>127401.63</v>
      </c>
      <c r="K2383" s="2">
        <f>Table1[[#This Row],[Salary_after]]-Table1[[#This Row],[Salary_before]]</f>
        <v>-12902.940000000002</v>
      </c>
      <c r="L2383" s="11">
        <v>-9.1999999999999998E-2</v>
      </c>
      <c r="M2383" s="11">
        <v>-9.0000000000000011E-3</v>
      </c>
      <c r="N2383">
        <v>16.02</v>
      </c>
      <c r="O2383">
        <v>10.86</v>
      </c>
      <c r="P2383">
        <v>5</v>
      </c>
      <c r="Q2383" t="s">
        <v>25</v>
      </c>
      <c r="R2383">
        <v>43.604999999999997</v>
      </c>
      <c r="S2383">
        <v>9.1999999999999993</v>
      </c>
      <c r="T2383" s="4">
        <v>32.673999999999999</v>
      </c>
      <c r="U2383" s="4">
        <v>4.0735859999999997</v>
      </c>
      <c r="V2383" t="str">
        <f>IF(Table1[[#This Row],[ai_disruption_intensity]]&gt;70,"High",
IF(Table1[[#This Row],[ai_disruption_intensity]]&gt;40,"Medium","Low"))</f>
        <v>Low</v>
      </c>
      <c r="W2383" t="str">
        <f>IF(Table1[[#This Row],[skill_gap_index]]&gt;70,"Large Gap",
IF(Table1[[#This Row],[skill_gap_index]]&gt;40,"Medium Gap","Small Gap"))</f>
        <v>Medium Gap</v>
      </c>
      <c r="X2383" s="3" t="str">
        <f>IF(Table1[[#This Row],[automation_risk_percent]]&gt;0.7,"Highly Automatable",
IF(Table1[[#This Row],[automation_risk_percent]]&gt;0.4,"Moderate Risk","Safe Job"))</f>
        <v>Safe Job</v>
      </c>
    </row>
    <row r="2384" spans="1:24" x14ac:dyDescent="0.3">
      <c r="A2384">
        <v>8393</v>
      </c>
      <c r="B2384" t="s">
        <v>26</v>
      </c>
      <c r="C2384" t="s">
        <v>23</v>
      </c>
      <c r="D2384" t="s">
        <v>24</v>
      </c>
      <c r="E2384" s="1">
        <v>2026</v>
      </c>
      <c r="F2384" s="11">
        <v>0.63570000000000004</v>
      </c>
      <c r="G2384">
        <v>58.74</v>
      </c>
      <c r="H2384">
        <v>39.22</v>
      </c>
      <c r="I2384" s="2">
        <v>88284.1</v>
      </c>
      <c r="J2384" s="2">
        <v>95225.66</v>
      </c>
      <c r="K2384" s="2">
        <f>Table1[[#This Row],[Salary_after]]-Table1[[#This Row],[Salary_before]]</f>
        <v>6941.5599999999977</v>
      </c>
      <c r="L2384" s="11">
        <v>7.8600000000000003E-2</v>
      </c>
      <c r="M2384" s="11">
        <v>0.11449999999999999</v>
      </c>
      <c r="N2384">
        <v>96.74</v>
      </c>
      <c r="O2384">
        <v>21.07</v>
      </c>
      <c r="P2384">
        <v>1</v>
      </c>
      <c r="Q2384" t="s">
        <v>37</v>
      </c>
      <c r="R2384">
        <v>51.394999999999897</v>
      </c>
      <c r="S2384">
        <v>7.86</v>
      </c>
      <c r="T2384" s="4">
        <v>39.552</v>
      </c>
      <c r="U2384" s="4">
        <v>13.394199</v>
      </c>
      <c r="V2384" t="str">
        <f>IF(Table1[[#This Row],[ai_disruption_intensity]]&gt;70,"High",
IF(Table1[[#This Row],[ai_disruption_intensity]]&gt;40,"Medium","Low"))</f>
        <v>Low</v>
      </c>
      <c r="W2384" t="str">
        <f>IF(Table1[[#This Row],[skill_gap_index]]&gt;70,"Large Gap",
IF(Table1[[#This Row],[skill_gap_index]]&gt;40,"Medium Gap","Small Gap"))</f>
        <v>Small Gap</v>
      </c>
      <c r="X2384" s="3" t="str">
        <f>IF(Table1[[#This Row],[automation_risk_percent]]&gt;0.7,"Highly Automatable",
IF(Table1[[#This Row],[automation_risk_percent]]&gt;0.4,"Moderate Risk","Safe Job"))</f>
        <v>Moderate Risk</v>
      </c>
    </row>
    <row r="2385" spans="1:24" x14ac:dyDescent="0.3">
      <c r="A2385">
        <v>8394</v>
      </c>
      <c r="B2385" t="s">
        <v>46</v>
      </c>
      <c r="C2385" t="s">
        <v>40</v>
      </c>
      <c r="D2385" t="s">
        <v>47</v>
      </c>
      <c r="E2385" s="1">
        <v>2026</v>
      </c>
      <c r="F2385" s="11">
        <v>0.2107</v>
      </c>
      <c r="G2385">
        <v>19.5</v>
      </c>
      <c r="H2385">
        <v>44.53</v>
      </c>
      <c r="I2385" s="2">
        <v>126888.52</v>
      </c>
      <c r="J2385" s="2">
        <v>136450.53</v>
      </c>
      <c r="K2385" s="2">
        <f>Table1[[#This Row],[Salary_after]]-Table1[[#This Row],[Salary_before]]</f>
        <v>9562.0099999999948</v>
      </c>
      <c r="L2385" s="11">
        <v>7.5399999999999995E-2</v>
      </c>
      <c r="M2385" s="11">
        <v>-1.9400000000000001E-2</v>
      </c>
      <c r="N2385">
        <v>28.36</v>
      </c>
      <c r="O2385">
        <v>71.010000000000005</v>
      </c>
      <c r="P2385">
        <v>1</v>
      </c>
      <c r="Q2385" t="s">
        <v>21</v>
      </c>
      <c r="R2385">
        <v>32.799999999999997</v>
      </c>
      <c r="S2385">
        <v>7.54</v>
      </c>
      <c r="T2385" s="4">
        <v>24.048999999999999</v>
      </c>
      <c r="U2385" s="4">
        <v>14.961807</v>
      </c>
      <c r="V2385" t="str">
        <f>IF(Table1[[#This Row],[ai_disruption_intensity]]&gt;70,"High",
IF(Table1[[#This Row],[ai_disruption_intensity]]&gt;40,"Medium","Low"))</f>
        <v>Low</v>
      </c>
      <c r="W2385" t="str">
        <f>IF(Table1[[#This Row],[skill_gap_index]]&gt;70,"Large Gap",
IF(Table1[[#This Row],[skill_gap_index]]&gt;40,"Medium Gap","Small Gap"))</f>
        <v>Medium Gap</v>
      </c>
      <c r="X2385" s="3" t="str">
        <f>IF(Table1[[#This Row],[automation_risk_percent]]&gt;0.7,"Highly Automatable",
IF(Table1[[#This Row],[automation_risk_percent]]&gt;0.4,"Moderate Risk","Safe Job"))</f>
        <v>Safe Job</v>
      </c>
    </row>
    <row r="2386" spans="1:24" x14ac:dyDescent="0.3">
      <c r="A2386">
        <v>8395</v>
      </c>
      <c r="B2386" t="s">
        <v>22</v>
      </c>
      <c r="C2386" t="s">
        <v>23</v>
      </c>
      <c r="D2386" t="s">
        <v>31</v>
      </c>
      <c r="E2386" s="1">
        <v>2026</v>
      </c>
      <c r="F2386" s="11">
        <v>0.65930000000000011</v>
      </c>
      <c r="G2386">
        <v>75.260000000000005</v>
      </c>
      <c r="H2386">
        <v>51.03</v>
      </c>
      <c r="I2386" s="2">
        <v>69445.8</v>
      </c>
      <c r="J2386" s="2">
        <v>64455.32</v>
      </c>
      <c r="K2386" s="2">
        <f>Table1[[#This Row],[Salary_after]]-Table1[[#This Row],[Salary_before]]</f>
        <v>-4990.4800000000032</v>
      </c>
      <c r="L2386" s="11">
        <v>-7.1900000000000006E-2</v>
      </c>
      <c r="M2386" s="11">
        <v>0.1593</v>
      </c>
      <c r="N2386">
        <v>23.33</v>
      </c>
      <c r="O2386">
        <v>83.47</v>
      </c>
      <c r="P2386">
        <v>5</v>
      </c>
      <c r="Q2386" t="s">
        <v>37</v>
      </c>
      <c r="R2386">
        <v>58.48</v>
      </c>
      <c r="S2386">
        <v>7.19</v>
      </c>
      <c r="T2386" s="4">
        <v>43.838000000000001</v>
      </c>
      <c r="U2386" s="4">
        <v>55.031770999999999</v>
      </c>
      <c r="V2386" t="str">
        <f>IF(Table1[[#This Row],[ai_disruption_intensity]]&gt;70,"High",
IF(Table1[[#This Row],[ai_disruption_intensity]]&gt;40,"Medium","Low"))</f>
        <v>Medium</v>
      </c>
      <c r="W2386" t="str">
        <f>IF(Table1[[#This Row],[skill_gap_index]]&gt;70,"Large Gap",
IF(Table1[[#This Row],[skill_gap_index]]&gt;40,"Medium Gap","Small Gap"))</f>
        <v>Medium Gap</v>
      </c>
      <c r="X2386" s="3" t="str">
        <f>IF(Table1[[#This Row],[automation_risk_percent]]&gt;0.7,"Highly Automatable",
IF(Table1[[#This Row],[automation_risk_percent]]&gt;0.4,"Moderate Risk","Safe Job"))</f>
        <v>Moderate Risk</v>
      </c>
    </row>
    <row r="2387" spans="1:24" x14ac:dyDescent="0.3">
      <c r="A2387">
        <v>8398</v>
      </c>
      <c r="B2387" t="s">
        <v>44</v>
      </c>
      <c r="C2387" t="s">
        <v>19</v>
      </c>
      <c r="D2387" t="s">
        <v>47</v>
      </c>
      <c r="E2387" s="1">
        <v>2025</v>
      </c>
      <c r="F2387" s="11">
        <v>0.31420000000000003</v>
      </c>
      <c r="G2387">
        <v>26.78</v>
      </c>
      <c r="H2387">
        <v>8.9700000000000006</v>
      </c>
      <c r="I2387" s="2">
        <v>145227.23000000001</v>
      </c>
      <c r="J2387" s="2">
        <v>165084.64000000001</v>
      </c>
      <c r="K2387" s="2">
        <f>Table1[[#This Row],[Salary_after]]-Table1[[#This Row],[Salary_before]]</f>
        <v>19857.410000000003</v>
      </c>
      <c r="L2387" s="11">
        <v>0.13669999999999999</v>
      </c>
      <c r="M2387" s="11">
        <v>3.1600000000000003E-2</v>
      </c>
      <c r="N2387">
        <v>85.09</v>
      </c>
      <c r="O2387">
        <v>29.98</v>
      </c>
      <c r="P2387">
        <v>2</v>
      </c>
      <c r="Q2387" t="s">
        <v>25</v>
      </c>
      <c r="R2387">
        <v>20.195</v>
      </c>
      <c r="S2387">
        <v>13.67</v>
      </c>
      <c r="T2387" s="4">
        <v>19.36</v>
      </c>
      <c r="U2387" s="4">
        <v>9.4197159999999993</v>
      </c>
      <c r="V2387" t="str">
        <f>IF(Table1[[#This Row],[ai_disruption_intensity]]&gt;70,"High",
IF(Table1[[#This Row],[ai_disruption_intensity]]&gt;40,"Medium","Low"))</f>
        <v>Low</v>
      </c>
      <c r="W2387" t="str">
        <f>IF(Table1[[#This Row],[skill_gap_index]]&gt;70,"Large Gap",
IF(Table1[[#This Row],[skill_gap_index]]&gt;40,"Medium Gap","Small Gap"))</f>
        <v>Small Gap</v>
      </c>
      <c r="X2387" s="3" t="str">
        <f>IF(Table1[[#This Row],[automation_risk_percent]]&gt;0.7,"Highly Automatable",
IF(Table1[[#This Row],[automation_risk_percent]]&gt;0.4,"Moderate Risk","Safe Job"))</f>
        <v>Safe Job</v>
      </c>
    </row>
    <row r="2388" spans="1:24" x14ac:dyDescent="0.3">
      <c r="A2388">
        <v>8402</v>
      </c>
      <c r="B2388" t="s">
        <v>46</v>
      </c>
      <c r="C2388" t="s">
        <v>30</v>
      </c>
      <c r="D2388" t="s">
        <v>35</v>
      </c>
      <c r="E2388" s="1">
        <v>2025</v>
      </c>
      <c r="F2388" s="11">
        <v>0.46509999999999996</v>
      </c>
      <c r="G2388">
        <v>51.03</v>
      </c>
      <c r="H2388">
        <v>29.5</v>
      </c>
      <c r="I2388" s="2">
        <v>124487.71</v>
      </c>
      <c r="J2388" s="2">
        <v>110197.77</v>
      </c>
      <c r="K2388" s="2">
        <f>Table1[[#This Row],[Salary_after]]-Table1[[#This Row],[Salary_before]]</f>
        <v>-14289.940000000002</v>
      </c>
      <c r="L2388" s="11">
        <v>-0.1148</v>
      </c>
      <c r="M2388" s="11">
        <v>-1.77E-2</v>
      </c>
      <c r="N2388">
        <v>22.48</v>
      </c>
      <c r="O2388">
        <v>81.22</v>
      </c>
      <c r="P2388">
        <v>4</v>
      </c>
      <c r="Q2388" t="s">
        <v>25</v>
      </c>
      <c r="R2388">
        <v>38.004999999999903</v>
      </c>
      <c r="S2388">
        <v>11.48</v>
      </c>
      <c r="T2388" s="4">
        <v>30.898</v>
      </c>
      <c r="U2388" s="4">
        <v>37.775421999999999</v>
      </c>
      <c r="V2388" t="str">
        <f>IF(Table1[[#This Row],[ai_disruption_intensity]]&gt;70,"High",
IF(Table1[[#This Row],[ai_disruption_intensity]]&gt;40,"Medium","Low"))</f>
        <v>Low</v>
      </c>
      <c r="W2388" t="str">
        <f>IF(Table1[[#This Row],[skill_gap_index]]&gt;70,"Large Gap",
IF(Table1[[#This Row],[skill_gap_index]]&gt;40,"Medium Gap","Small Gap"))</f>
        <v>Small Gap</v>
      </c>
      <c r="X2388" s="3" t="str">
        <f>IF(Table1[[#This Row],[automation_risk_percent]]&gt;0.7,"Highly Automatable",
IF(Table1[[#This Row],[automation_risk_percent]]&gt;0.4,"Moderate Risk","Safe Job"))</f>
        <v>Moderate Risk</v>
      </c>
    </row>
    <row r="2389" spans="1:24" x14ac:dyDescent="0.3">
      <c r="A2389">
        <v>8403</v>
      </c>
      <c r="B2389" t="s">
        <v>46</v>
      </c>
      <c r="C2389" t="s">
        <v>38</v>
      </c>
      <c r="D2389" t="s">
        <v>36</v>
      </c>
      <c r="E2389" s="1">
        <v>2025</v>
      </c>
      <c r="F2389" s="11">
        <v>0.41009999999999996</v>
      </c>
      <c r="G2389">
        <v>48.42</v>
      </c>
      <c r="H2389">
        <v>64.77</v>
      </c>
      <c r="I2389" s="2">
        <v>70871.16</v>
      </c>
      <c r="J2389" s="2">
        <v>67247.360000000001</v>
      </c>
      <c r="K2389" s="2">
        <f>Table1[[#This Row],[Salary_after]]-Table1[[#This Row],[Salary_before]]</f>
        <v>-3623.8000000000029</v>
      </c>
      <c r="L2389" s="11">
        <v>-5.1100000000000007E-2</v>
      </c>
      <c r="M2389" s="11">
        <v>0.12859999999999999</v>
      </c>
      <c r="N2389">
        <v>36.18</v>
      </c>
      <c r="O2389">
        <v>2.83</v>
      </c>
      <c r="P2389">
        <v>5</v>
      </c>
      <c r="Q2389" t="s">
        <v>25</v>
      </c>
      <c r="R2389">
        <v>52.89</v>
      </c>
      <c r="S2389">
        <v>5.1100000000000003</v>
      </c>
      <c r="T2389" s="4">
        <v>37.367999999999903</v>
      </c>
      <c r="U2389" s="4">
        <v>1.1605829999999999</v>
      </c>
      <c r="V2389" t="str">
        <f>IF(Table1[[#This Row],[ai_disruption_intensity]]&gt;70,"High",
IF(Table1[[#This Row],[ai_disruption_intensity]]&gt;40,"Medium","Low"))</f>
        <v>Low</v>
      </c>
      <c r="W2389" t="str">
        <f>IF(Table1[[#This Row],[skill_gap_index]]&gt;70,"Large Gap",
IF(Table1[[#This Row],[skill_gap_index]]&gt;40,"Medium Gap","Small Gap"))</f>
        <v>Medium Gap</v>
      </c>
      <c r="X2389" s="3" t="str">
        <f>IF(Table1[[#This Row],[automation_risk_percent]]&gt;0.7,"Highly Automatable",
IF(Table1[[#This Row],[automation_risk_percent]]&gt;0.4,"Moderate Risk","Safe Job"))</f>
        <v>Moderate Risk</v>
      </c>
    </row>
    <row r="2390" spans="1:24" x14ac:dyDescent="0.3">
      <c r="A2390">
        <v>8410</v>
      </c>
      <c r="B2390" t="s">
        <v>39</v>
      </c>
      <c r="C2390" t="s">
        <v>33</v>
      </c>
      <c r="D2390" t="s">
        <v>32</v>
      </c>
      <c r="E2390" s="1">
        <v>2025</v>
      </c>
      <c r="F2390" s="11">
        <v>0.50009999999999999</v>
      </c>
      <c r="G2390">
        <v>48.23</v>
      </c>
      <c r="H2390">
        <v>47.65</v>
      </c>
      <c r="I2390" s="2">
        <v>138992.51</v>
      </c>
      <c r="J2390" s="2">
        <v>137914.82999999999</v>
      </c>
      <c r="K2390" s="2">
        <f>Table1[[#This Row],[Salary_after]]-Table1[[#This Row],[Salary_before]]</f>
        <v>-1077.6800000000221</v>
      </c>
      <c r="L2390" s="11">
        <v>-7.8000000000000005E-3</v>
      </c>
      <c r="M2390" s="11">
        <v>0.11410000000000001</v>
      </c>
      <c r="N2390">
        <v>56.29</v>
      </c>
      <c r="O2390">
        <v>11.62</v>
      </c>
      <c r="P2390">
        <v>2</v>
      </c>
      <c r="Q2390" t="s">
        <v>25</v>
      </c>
      <c r="R2390">
        <v>48.83</v>
      </c>
      <c r="S2390">
        <v>0.78</v>
      </c>
      <c r="T2390" s="4">
        <v>34.533000000000001</v>
      </c>
      <c r="U2390" s="4">
        <v>5.8111619999999897</v>
      </c>
      <c r="V2390" t="str">
        <f>IF(Table1[[#This Row],[ai_disruption_intensity]]&gt;70,"High",
IF(Table1[[#This Row],[ai_disruption_intensity]]&gt;40,"Medium","Low"))</f>
        <v>Low</v>
      </c>
      <c r="W2390" t="str">
        <f>IF(Table1[[#This Row],[skill_gap_index]]&gt;70,"Large Gap",
IF(Table1[[#This Row],[skill_gap_index]]&gt;40,"Medium Gap","Small Gap"))</f>
        <v>Medium Gap</v>
      </c>
      <c r="X2390" s="3" t="str">
        <f>IF(Table1[[#This Row],[automation_risk_percent]]&gt;0.7,"Highly Automatable",
IF(Table1[[#This Row],[automation_risk_percent]]&gt;0.4,"Moderate Risk","Safe Job"))</f>
        <v>Moderate Risk</v>
      </c>
    </row>
    <row r="2391" spans="1:24" x14ac:dyDescent="0.3">
      <c r="A2391">
        <v>8420</v>
      </c>
      <c r="B2391" t="s">
        <v>46</v>
      </c>
      <c r="C2391" t="s">
        <v>40</v>
      </c>
      <c r="D2391" t="s">
        <v>24</v>
      </c>
      <c r="E2391" s="1">
        <v>2026</v>
      </c>
      <c r="F2391" s="11">
        <v>0.69440000000000002</v>
      </c>
      <c r="G2391">
        <v>70.13</v>
      </c>
      <c r="H2391">
        <v>5.38</v>
      </c>
      <c r="I2391" s="2">
        <v>49303.040000000001</v>
      </c>
      <c r="J2391" s="2">
        <v>40592.1</v>
      </c>
      <c r="K2391" s="2">
        <f>Table1[[#This Row],[Salary_after]]-Table1[[#This Row],[Salary_before]]</f>
        <v>-8710.9400000000023</v>
      </c>
      <c r="L2391" s="11">
        <v>-0.17670000000000002</v>
      </c>
      <c r="M2391" s="11">
        <v>0.15259999999999999</v>
      </c>
      <c r="N2391">
        <v>20.16</v>
      </c>
      <c r="O2391">
        <v>23.81</v>
      </c>
      <c r="P2391">
        <v>4</v>
      </c>
      <c r="Q2391" t="s">
        <v>37</v>
      </c>
      <c r="R2391">
        <v>37.409999999999997</v>
      </c>
      <c r="S2391">
        <v>17.670000000000002</v>
      </c>
      <c r="T2391" s="4">
        <v>34.691000000000003</v>
      </c>
      <c r="U2391" s="4">
        <v>16.533663999999899</v>
      </c>
      <c r="V2391" t="str">
        <f>IF(Table1[[#This Row],[ai_disruption_intensity]]&gt;70,"High",
IF(Table1[[#This Row],[ai_disruption_intensity]]&gt;40,"Medium","Low"))</f>
        <v>Low</v>
      </c>
      <c r="W2391" t="str">
        <f>IF(Table1[[#This Row],[skill_gap_index]]&gt;70,"Large Gap",
IF(Table1[[#This Row],[skill_gap_index]]&gt;40,"Medium Gap","Small Gap"))</f>
        <v>Small Gap</v>
      </c>
      <c r="X2391" s="3" t="str">
        <f>IF(Table1[[#This Row],[automation_risk_percent]]&gt;0.7,"Highly Automatable",
IF(Table1[[#This Row],[automation_risk_percent]]&gt;0.4,"Moderate Risk","Safe Job"))</f>
        <v>Moderate Risk</v>
      </c>
    </row>
    <row r="2392" spans="1:24" x14ac:dyDescent="0.3">
      <c r="A2392">
        <v>8424</v>
      </c>
      <c r="B2392" t="s">
        <v>43</v>
      </c>
      <c r="C2392" t="s">
        <v>34</v>
      </c>
      <c r="D2392" t="s">
        <v>42</v>
      </c>
      <c r="E2392" s="1">
        <v>2025</v>
      </c>
      <c r="F2392" s="11">
        <v>0.43189999999999995</v>
      </c>
      <c r="G2392">
        <v>45.33</v>
      </c>
      <c r="H2392">
        <v>20.79</v>
      </c>
      <c r="I2392" s="2">
        <v>79935.38</v>
      </c>
      <c r="J2392" s="2">
        <v>67036.929999999993</v>
      </c>
      <c r="K2392" s="2">
        <f>Table1[[#This Row],[Salary_after]]-Table1[[#This Row],[Salary_before]]</f>
        <v>-12898.450000000012</v>
      </c>
      <c r="L2392" s="11">
        <v>-0.16140000000000002</v>
      </c>
      <c r="M2392" s="11">
        <v>0.13780000000000001</v>
      </c>
      <c r="N2392">
        <v>40.26</v>
      </c>
      <c r="O2392">
        <v>80.739999999999995</v>
      </c>
      <c r="P2392">
        <v>5</v>
      </c>
      <c r="Q2392" t="s">
        <v>25</v>
      </c>
      <c r="R2392">
        <v>31.99</v>
      </c>
      <c r="S2392">
        <v>16.14</v>
      </c>
      <c r="T2392" s="4">
        <v>28.354999999999901</v>
      </c>
      <c r="U2392" s="4">
        <v>34.871606</v>
      </c>
      <c r="V2392" t="str">
        <f>IF(Table1[[#This Row],[ai_disruption_intensity]]&gt;70,"High",
IF(Table1[[#This Row],[ai_disruption_intensity]]&gt;40,"Medium","Low"))</f>
        <v>Low</v>
      </c>
      <c r="W2392" t="str">
        <f>IF(Table1[[#This Row],[skill_gap_index]]&gt;70,"Large Gap",
IF(Table1[[#This Row],[skill_gap_index]]&gt;40,"Medium Gap","Small Gap"))</f>
        <v>Small Gap</v>
      </c>
      <c r="X2392" s="3" t="str">
        <f>IF(Table1[[#This Row],[automation_risk_percent]]&gt;0.7,"Highly Automatable",
IF(Table1[[#This Row],[automation_risk_percent]]&gt;0.4,"Moderate Risk","Safe Job"))</f>
        <v>Moderate Risk</v>
      </c>
    </row>
    <row r="2393" spans="1:24" x14ac:dyDescent="0.3">
      <c r="A2393">
        <v>8428</v>
      </c>
      <c r="B2393" t="s">
        <v>46</v>
      </c>
      <c r="C2393" t="s">
        <v>40</v>
      </c>
      <c r="D2393" t="s">
        <v>35</v>
      </c>
      <c r="E2393" s="1">
        <v>2025</v>
      </c>
      <c r="F2393" s="11">
        <v>0.1409</v>
      </c>
      <c r="G2393">
        <v>13.96</v>
      </c>
      <c r="H2393">
        <v>48.68</v>
      </c>
      <c r="I2393" s="2">
        <v>123254.82</v>
      </c>
      <c r="J2393" s="2">
        <v>115750.64</v>
      </c>
      <c r="K2393" s="2">
        <f>Table1[[#This Row],[Salary_after]]-Table1[[#This Row],[Salary_before]]</f>
        <v>-7504.1800000000076</v>
      </c>
      <c r="L2393" s="11">
        <v>-6.0899999999999996E-2</v>
      </c>
      <c r="M2393" s="11">
        <v>-4.3299999999999998E-2</v>
      </c>
      <c r="N2393">
        <v>69.680000000000007</v>
      </c>
      <c r="O2393">
        <v>41.28</v>
      </c>
      <c r="P2393">
        <v>1</v>
      </c>
      <c r="Q2393" t="s">
        <v>21</v>
      </c>
      <c r="R2393">
        <v>31.384999999999899</v>
      </c>
      <c r="S2393">
        <v>6.09</v>
      </c>
      <c r="T2393" s="4">
        <v>22.067</v>
      </c>
      <c r="U2393" s="4">
        <v>5.8163520000000002</v>
      </c>
      <c r="V2393" t="str">
        <f>IF(Table1[[#This Row],[ai_disruption_intensity]]&gt;70,"High",
IF(Table1[[#This Row],[ai_disruption_intensity]]&gt;40,"Medium","Low"))</f>
        <v>Low</v>
      </c>
      <c r="W2393" t="str">
        <f>IF(Table1[[#This Row],[skill_gap_index]]&gt;70,"Large Gap",
IF(Table1[[#This Row],[skill_gap_index]]&gt;40,"Medium Gap","Small Gap"))</f>
        <v>Medium Gap</v>
      </c>
      <c r="X2393" s="3" t="str">
        <f>IF(Table1[[#This Row],[automation_risk_percent]]&gt;0.7,"Highly Automatable",
IF(Table1[[#This Row],[automation_risk_percent]]&gt;0.4,"Moderate Risk","Safe Job"))</f>
        <v>Safe Job</v>
      </c>
    </row>
    <row r="2394" spans="1:24" x14ac:dyDescent="0.3">
      <c r="A2394">
        <v>8433</v>
      </c>
      <c r="B2394" t="s">
        <v>43</v>
      </c>
      <c r="C2394" t="s">
        <v>38</v>
      </c>
      <c r="D2394" t="s">
        <v>36</v>
      </c>
      <c r="E2394" s="1">
        <v>2025</v>
      </c>
      <c r="F2394" s="11">
        <v>0.47889999999999999</v>
      </c>
      <c r="G2394">
        <v>54.56</v>
      </c>
      <c r="H2394">
        <v>79.36</v>
      </c>
      <c r="I2394" s="2">
        <v>74925.97</v>
      </c>
      <c r="J2394" s="2">
        <v>65886.03</v>
      </c>
      <c r="K2394" s="2">
        <f>Table1[[#This Row],[Salary_after]]-Table1[[#This Row],[Salary_before]]</f>
        <v>-9039.9400000000023</v>
      </c>
      <c r="L2394" s="11">
        <v>-0.1207</v>
      </c>
      <c r="M2394" s="11">
        <v>-9.849999999999999E-2</v>
      </c>
      <c r="N2394">
        <v>91.81</v>
      </c>
      <c r="O2394">
        <v>91.73</v>
      </c>
      <c r="P2394">
        <v>1</v>
      </c>
      <c r="Q2394" t="s">
        <v>25</v>
      </c>
      <c r="R2394">
        <v>63.625</v>
      </c>
      <c r="S2394">
        <v>12.07</v>
      </c>
      <c r="T2394" s="4">
        <v>46.585000000000001</v>
      </c>
      <c r="U2394" s="4">
        <v>43.929496999999998</v>
      </c>
      <c r="V2394" t="str">
        <f>IF(Table1[[#This Row],[ai_disruption_intensity]]&gt;70,"High",
IF(Table1[[#This Row],[ai_disruption_intensity]]&gt;40,"Medium","Low"))</f>
        <v>Medium</v>
      </c>
      <c r="W2394" t="str">
        <f>IF(Table1[[#This Row],[skill_gap_index]]&gt;70,"Large Gap",
IF(Table1[[#This Row],[skill_gap_index]]&gt;40,"Medium Gap","Small Gap"))</f>
        <v>Large Gap</v>
      </c>
      <c r="X2394" s="3" t="str">
        <f>IF(Table1[[#This Row],[automation_risk_percent]]&gt;0.7,"Highly Automatable",
IF(Table1[[#This Row],[automation_risk_percent]]&gt;0.4,"Moderate Risk","Safe Job"))</f>
        <v>Moderate Risk</v>
      </c>
    </row>
    <row r="2395" spans="1:24" x14ac:dyDescent="0.3">
      <c r="A2395">
        <v>8438</v>
      </c>
      <c r="B2395" t="s">
        <v>44</v>
      </c>
      <c r="C2395" t="s">
        <v>38</v>
      </c>
      <c r="D2395" t="s">
        <v>35</v>
      </c>
      <c r="E2395" s="1">
        <v>2026</v>
      </c>
      <c r="F2395" s="11">
        <v>0.63180000000000003</v>
      </c>
      <c r="G2395">
        <v>71.34</v>
      </c>
      <c r="H2395">
        <v>79.260000000000005</v>
      </c>
      <c r="I2395" s="2">
        <v>134742.70000000001</v>
      </c>
      <c r="J2395" s="2">
        <v>138639.32999999999</v>
      </c>
      <c r="K2395" s="2">
        <f>Table1[[#This Row],[Salary_after]]-Table1[[#This Row],[Salary_before]]</f>
        <v>3896.6299999999756</v>
      </c>
      <c r="L2395" s="11">
        <v>2.8900000000000002E-2</v>
      </c>
      <c r="M2395" s="11">
        <v>3.5299999999999998E-2</v>
      </c>
      <c r="N2395">
        <v>49.37</v>
      </c>
      <c r="O2395">
        <v>5.69</v>
      </c>
      <c r="P2395">
        <v>3</v>
      </c>
      <c r="Q2395" t="s">
        <v>37</v>
      </c>
      <c r="R2395">
        <v>71.22</v>
      </c>
      <c r="S2395">
        <v>2.89</v>
      </c>
      <c r="T2395" s="4">
        <v>49.917000000000002</v>
      </c>
      <c r="U2395" s="4">
        <v>3.5949420000000001</v>
      </c>
      <c r="V2395" t="str">
        <f>IF(Table1[[#This Row],[ai_disruption_intensity]]&gt;70,"High",
IF(Table1[[#This Row],[ai_disruption_intensity]]&gt;40,"Medium","Low"))</f>
        <v>Low</v>
      </c>
      <c r="W2395" t="str">
        <f>IF(Table1[[#This Row],[skill_gap_index]]&gt;70,"Large Gap",
IF(Table1[[#This Row],[skill_gap_index]]&gt;40,"Medium Gap","Small Gap"))</f>
        <v>Large Gap</v>
      </c>
      <c r="X2395" s="3" t="str">
        <f>IF(Table1[[#This Row],[automation_risk_percent]]&gt;0.7,"Highly Automatable",
IF(Table1[[#This Row],[automation_risk_percent]]&gt;0.4,"Moderate Risk","Safe Job"))</f>
        <v>Moderate Risk</v>
      </c>
    </row>
    <row r="2396" spans="1:24" x14ac:dyDescent="0.3">
      <c r="A2396">
        <v>8439</v>
      </c>
      <c r="B2396" t="s">
        <v>26</v>
      </c>
      <c r="C2396" t="s">
        <v>33</v>
      </c>
      <c r="D2396" t="s">
        <v>32</v>
      </c>
      <c r="E2396" s="1">
        <v>2026</v>
      </c>
      <c r="F2396" s="11">
        <v>0.5494</v>
      </c>
      <c r="G2396">
        <v>61.26</v>
      </c>
      <c r="H2396">
        <v>19.73</v>
      </c>
      <c r="I2396" s="2">
        <v>128821.49</v>
      </c>
      <c r="J2396" s="2">
        <v>126033</v>
      </c>
      <c r="K2396" s="2">
        <f>Table1[[#This Row],[Salary_after]]-Table1[[#This Row],[Salary_before]]</f>
        <v>-2788.4900000000052</v>
      </c>
      <c r="L2396" s="11">
        <v>-2.1600000000000001E-2</v>
      </c>
      <c r="M2396" s="11">
        <v>2.87E-2</v>
      </c>
      <c r="N2396">
        <v>82.8</v>
      </c>
      <c r="O2396">
        <v>29.02</v>
      </c>
      <c r="P2396">
        <v>3</v>
      </c>
      <c r="Q2396" t="s">
        <v>25</v>
      </c>
      <c r="R2396">
        <v>37.335000000000001</v>
      </c>
      <c r="S2396">
        <v>2.16</v>
      </c>
      <c r="T2396" s="4">
        <v>28.542999999999999</v>
      </c>
      <c r="U2396" s="4">
        <v>15.943588</v>
      </c>
      <c r="V2396" t="str">
        <f>IF(Table1[[#This Row],[ai_disruption_intensity]]&gt;70,"High",
IF(Table1[[#This Row],[ai_disruption_intensity]]&gt;40,"Medium","Low"))</f>
        <v>Low</v>
      </c>
      <c r="W2396" t="str">
        <f>IF(Table1[[#This Row],[skill_gap_index]]&gt;70,"Large Gap",
IF(Table1[[#This Row],[skill_gap_index]]&gt;40,"Medium Gap","Small Gap"))</f>
        <v>Small Gap</v>
      </c>
      <c r="X2396" s="3" t="str">
        <f>IF(Table1[[#This Row],[automation_risk_percent]]&gt;0.7,"Highly Automatable",
IF(Table1[[#This Row],[automation_risk_percent]]&gt;0.4,"Moderate Risk","Safe Job"))</f>
        <v>Moderate Risk</v>
      </c>
    </row>
    <row r="2397" spans="1:24" x14ac:dyDescent="0.3">
      <c r="A2397">
        <v>8442</v>
      </c>
      <c r="B2397" t="s">
        <v>29</v>
      </c>
      <c r="C2397" t="s">
        <v>23</v>
      </c>
      <c r="D2397" t="s">
        <v>32</v>
      </c>
      <c r="E2397" s="1">
        <v>2026</v>
      </c>
      <c r="F2397" s="11">
        <v>0.3286</v>
      </c>
      <c r="G2397">
        <v>29.3</v>
      </c>
      <c r="H2397">
        <v>75.39</v>
      </c>
      <c r="I2397" s="2">
        <v>34386.15</v>
      </c>
      <c r="J2397" s="2">
        <v>33261.14</v>
      </c>
      <c r="K2397" s="2">
        <f>Table1[[#This Row],[Salary_after]]-Table1[[#This Row],[Salary_before]]</f>
        <v>-1125.010000000002</v>
      </c>
      <c r="L2397" s="11">
        <v>-3.27E-2</v>
      </c>
      <c r="M2397" s="11">
        <v>-6.2699999999999992E-2</v>
      </c>
      <c r="N2397">
        <v>28.35</v>
      </c>
      <c r="O2397">
        <v>40.799999999999997</v>
      </c>
      <c r="P2397">
        <v>3</v>
      </c>
      <c r="Q2397" t="s">
        <v>25</v>
      </c>
      <c r="R2397">
        <v>54.125</v>
      </c>
      <c r="S2397">
        <v>3.27</v>
      </c>
      <c r="T2397" s="4">
        <v>36.741999999999997</v>
      </c>
      <c r="U2397" s="4">
        <v>13.406879999999999</v>
      </c>
      <c r="V2397" t="str">
        <f>IF(Table1[[#This Row],[ai_disruption_intensity]]&gt;70,"High",
IF(Table1[[#This Row],[ai_disruption_intensity]]&gt;40,"Medium","Low"))</f>
        <v>Low</v>
      </c>
      <c r="W2397" t="str">
        <f>IF(Table1[[#This Row],[skill_gap_index]]&gt;70,"Large Gap",
IF(Table1[[#This Row],[skill_gap_index]]&gt;40,"Medium Gap","Small Gap"))</f>
        <v>Large Gap</v>
      </c>
      <c r="X2397" s="3" t="str">
        <f>IF(Table1[[#This Row],[automation_risk_percent]]&gt;0.7,"Highly Automatable",
IF(Table1[[#This Row],[automation_risk_percent]]&gt;0.4,"Moderate Risk","Safe Job"))</f>
        <v>Safe Job</v>
      </c>
    </row>
    <row r="2398" spans="1:24" x14ac:dyDescent="0.3">
      <c r="A2398">
        <v>8443</v>
      </c>
      <c r="B2398" t="s">
        <v>29</v>
      </c>
      <c r="C2398" t="s">
        <v>40</v>
      </c>
      <c r="D2398" t="s">
        <v>42</v>
      </c>
      <c r="E2398" s="1">
        <v>2026</v>
      </c>
      <c r="F2398" s="11">
        <v>0.623</v>
      </c>
      <c r="G2398">
        <v>70.34</v>
      </c>
      <c r="H2398">
        <v>3.58</v>
      </c>
      <c r="I2398" s="2">
        <v>148427.72</v>
      </c>
      <c r="J2398" s="2">
        <v>150009.26</v>
      </c>
      <c r="K2398" s="2">
        <f>Table1[[#This Row],[Salary_after]]-Table1[[#This Row],[Salary_before]]</f>
        <v>1581.5400000000081</v>
      </c>
      <c r="L2398" s="11">
        <v>1.0700000000000001E-2</v>
      </c>
      <c r="M2398" s="11">
        <v>0.1167</v>
      </c>
      <c r="N2398">
        <v>53.28</v>
      </c>
      <c r="O2398">
        <v>55.06</v>
      </c>
      <c r="P2398">
        <v>5</v>
      </c>
      <c r="Q2398" t="s">
        <v>37</v>
      </c>
      <c r="R2398">
        <v>32.94</v>
      </c>
      <c r="S2398">
        <v>1.07</v>
      </c>
      <c r="T2398" s="4">
        <v>26.315000000000001</v>
      </c>
      <c r="U2398" s="4">
        <v>34.302379999999999</v>
      </c>
      <c r="V2398" t="str">
        <f>IF(Table1[[#This Row],[ai_disruption_intensity]]&gt;70,"High",
IF(Table1[[#This Row],[ai_disruption_intensity]]&gt;40,"Medium","Low"))</f>
        <v>Low</v>
      </c>
      <c r="W2398" t="str">
        <f>IF(Table1[[#This Row],[skill_gap_index]]&gt;70,"Large Gap",
IF(Table1[[#This Row],[skill_gap_index]]&gt;40,"Medium Gap","Small Gap"))</f>
        <v>Small Gap</v>
      </c>
      <c r="X2398" s="3" t="str">
        <f>IF(Table1[[#This Row],[automation_risk_percent]]&gt;0.7,"Highly Automatable",
IF(Table1[[#This Row],[automation_risk_percent]]&gt;0.4,"Moderate Risk","Safe Job"))</f>
        <v>Moderate Risk</v>
      </c>
    </row>
    <row r="2399" spans="1:24" x14ac:dyDescent="0.3">
      <c r="A2399">
        <v>8444</v>
      </c>
      <c r="B2399" t="s">
        <v>39</v>
      </c>
      <c r="C2399" t="s">
        <v>33</v>
      </c>
      <c r="D2399" t="s">
        <v>42</v>
      </c>
      <c r="E2399" s="1">
        <v>2025</v>
      </c>
      <c r="F2399" s="11">
        <v>0.11289999999999999</v>
      </c>
      <c r="G2399">
        <v>12.36</v>
      </c>
      <c r="H2399">
        <v>49.64</v>
      </c>
      <c r="I2399" s="2">
        <v>64324.79</v>
      </c>
      <c r="J2399" s="2">
        <v>52574.400000000001</v>
      </c>
      <c r="K2399" s="2">
        <f>Table1[[#This Row],[Salary_after]]-Table1[[#This Row],[Salary_before]]</f>
        <v>-11750.39</v>
      </c>
      <c r="L2399" s="11">
        <v>-0.1827</v>
      </c>
      <c r="M2399" s="11">
        <v>1.61E-2</v>
      </c>
      <c r="N2399">
        <v>73</v>
      </c>
      <c r="O2399">
        <v>61.44</v>
      </c>
      <c r="P2399">
        <v>4</v>
      </c>
      <c r="Q2399" t="s">
        <v>21</v>
      </c>
      <c r="R2399">
        <v>30.465</v>
      </c>
      <c r="S2399">
        <v>18.27</v>
      </c>
      <c r="T2399" s="4">
        <v>24.888999999999999</v>
      </c>
      <c r="U2399" s="4">
        <v>6.9365759999999899</v>
      </c>
      <c r="V2399" t="str">
        <f>IF(Table1[[#This Row],[ai_disruption_intensity]]&gt;70,"High",
IF(Table1[[#This Row],[ai_disruption_intensity]]&gt;40,"Medium","Low"))</f>
        <v>Low</v>
      </c>
      <c r="W2399" t="str">
        <f>IF(Table1[[#This Row],[skill_gap_index]]&gt;70,"Large Gap",
IF(Table1[[#This Row],[skill_gap_index]]&gt;40,"Medium Gap","Small Gap"))</f>
        <v>Medium Gap</v>
      </c>
      <c r="X2399" s="3" t="str">
        <f>IF(Table1[[#This Row],[automation_risk_percent]]&gt;0.7,"Highly Automatable",
IF(Table1[[#This Row],[automation_risk_percent]]&gt;0.4,"Moderate Risk","Safe Job"))</f>
        <v>Safe Job</v>
      </c>
    </row>
    <row r="2400" spans="1:24" x14ac:dyDescent="0.3">
      <c r="A2400">
        <v>8447</v>
      </c>
      <c r="B2400" t="s">
        <v>44</v>
      </c>
      <c r="C2400" t="s">
        <v>27</v>
      </c>
      <c r="D2400" t="s">
        <v>47</v>
      </c>
      <c r="E2400" s="1">
        <v>2026</v>
      </c>
      <c r="F2400" s="11">
        <v>0.30499999999999999</v>
      </c>
      <c r="G2400">
        <v>33.1</v>
      </c>
      <c r="H2400">
        <v>40.090000000000003</v>
      </c>
      <c r="I2400" s="2">
        <v>85460.22</v>
      </c>
      <c r="J2400" s="2">
        <v>78431.100000000006</v>
      </c>
      <c r="K2400" s="2">
        <f>Table1[[#This Row],[Salary_after]]-Table1[[#This Row],[Salary_before]]</f>
        <v>-7029.1199999999953</v>
      </c>
      <c r="L2400" s="11">
        <v>-8.2299999999999998E-2</v>
      </c>
      <c r="M2400" s="11">
        <v>-4.58E-2</v>
      </c>
      <c r="N2400">
        <v>26.15</v>
      </c>
      <c r="O2400">
        <v>55.38</v>
      </c>
      <c r="P2400">
        <v>5</v>
      </c>
      <c r="Q2400" t="s">
        <v>25</v>
      </c>
      <c r="R2400">
        <v>35.295000000000002</v>
      </c>
      <c r="S2400">
        <v>8.23</v>
      </c>
      <c r="T2400" s="4">
        <v>26.696000000000002</v>
      </c>
      <c r="U2400" s="4">
        <v>16.890899999999998</v>
      </c>
      <c r="V2400" t="str">
        <f>IF(Table1[[#This Row],[ai_disruption_intensity]]&gt;70,"High",
IF(Table1[[#This Row],[ai_disruption_intensity]]&gt;40,"Medium","Low"))</f>
        <v>Low</v>
      </c>
      <c r="W2400" t="str">
        <f>IF(Table1[[#This Row],[skill_gap_index]]&gt;70,"Large Gap",
IF(Table1[[#This Row],[skill_gap_index]]&gt;40,"Medium Gap","Small Gap"))</f>
        <v>Medium Gap</v>
      </c>
      <c r="X2400" s="3" t="str">
        <f>IF(Table1[[#This Row],[automation_risk_percent]]&gt;0.7,"Highly Automatable",
IF(Table1[[#This Row],[automation_risk_percent]]&gt;0.4,"Moderate Risk","Safe Job"))</f>
        <v>Safe Job</v>
      </c>
    </row>
    <row r="2401" spans="1:24" x14ac:dyDescent="0.3">
      <c r="A2401">
        <v>8448</v>
      </c>
      <c r="B2401" t="s">
        <v>22</v>
      </c>
      <c r="C2401" t="s">
        <v>38</v>
      </c>
      <c r="D2401" t="s">
        <v>42</v>
      </c>
      <c r="E2401" s="1">
        <v>2026</v>
      </c>
      <c r="F2401" s="11">
        <v>0.20149999999999998</v>
      </c>
      <c r="G2401">
        <v>18.28</v>
      </c>
      <c r="H2401">
        <v>53.05</v>
      </c>
      <c r="I2401" s="2">
        <v>62979.76</v>
      </c>
      <c r="J2401" s="2">
        <v>61598.99</v>
      </c>
      <c r="K2401" s="2">
        <f>Table1[[#This Row],[Salary_after]]-Table1[[#This Row],[Salary_before]]</f>
        <v>-1380.7700000000041</v>
      </c>
      <c r="L2401" s="11">
        <v>-2.1899999999999999E-2</v>
      </c>
      <c r="M2401" s="11">
        <v>5.4000000000000006E-2</v>
      </c>
      <c r="N2401">
        <v>97.59</v>
      </c>
      <c r="O2401">
        <v>73</v>
      </c>
      <c r="P2401">
        <v>5</v>
      </c>
      <c r="Q2401" t="s">
        <v>21</v>
      </c>
      <c r="R2401">
        <v>36.599999999999902</v>
      </c>
      <c r="S2401">
        <v>2.19</v>
      </c>
      <c r="T2401" s="4">
        <v>24.632000000000001</v>
      </c>
      <c r="U2401" s="4">
        <v>14.709499999999901</v>
      </c>
      <c r="V2401" t="str">
        <f>IF(Table1[[#This Row],[ai_disruption_intensity]]&gt;70,"High",
IF(Table1[[#This Row],[ai_disruption_intensity]]&gt;40,"Medium","Low"))</f>
        <v>Low</v>
      </c>
      <c r="W2401" t="str">
        <f>IF(Table1[[#This Row],[skill_gap_index]]&gt;70,"Large Gap",
IF(Table1[[#This Row],[skill_gap_index]]&gt;40,"Medium Gap","Small Gap"))</f>
        <v>Medium Gap</v>
      </c>
      <c r="X2401" s="3" t="str">
        <f>IF(Table1[[#This Row],[automation_risk_percent]]&gt;0.7,"Highly Automatable",
IF(Table1[[#This Row],[automation_risk_percent]]&gt;0.4,"Moderate Risk","Safe Job"))</f>
        <v>Safe Job</v>
      </c>
    </row>
    <row r="2402" spans="1:24" x14ac:dyDescent="0.3">
      <c r="A2402">
        <v>8449</v>
      </c>
      <c r="B2402" t="s">
        <v>46</v>
      </c>
      <c r="C2402" t="s">
        <v>30</v>
      </c>
      <c r="D2402" t="s">
        <v>42</v>
      </c>
      <c r="E2402" s="1">
        <v>2026</v>
      </c>
      <c r="F2402" s="11">
        <v>0.35270000000000001</v>
      </c>
      <c r="G2402">
        <v>41.2</v>
      </c>
      <c r="H2402">
        <v>86.98</v>
      </c>
      <c r="I2402" s="2">
        <v>73986.52</v>
      </c>
      <c r="J2402" s="2">
        <v>71576.86</v>
      </c>
      <c r="K2402" s="2">
        <f>Table1[[#This Row],[Salary_after]]-Table1[[#This Row],[Salary_before]]</f>
        <v>-2409.6600000000035</v>
      </c>
      <c r="L2402" s="11">
        <v>-3.2599999999999997E-2</v>
      </c>
      <c r="M2402" s="11">
        <v>-5.0000000000000001E-4</v>
      </c>
      <c r="N2402">
        <v>28.78</v>
      </c>
      <c r="O2402">
        <v>75.010000000000005</v>
      </c>
      <c r="P2402">
        <v>3</v>
      </c>
      <c r="Q2402" t="s">
        <v>25</v>
      </c>
      <c r="R2402">
        <v>61.125</v>
      </c>
      <c r="S2402">
        <v>3.26</v>
      </c>
      <c r="T2402" s="4">
        <v>41.18</v>
      </c>
      <c r="U2402" s="4">
        <v>26.456026999999999</v>
      </c>
      <c r="V2402" t="str">
        <f>IF(Table1[[#This Row],[ai_disruption_intensity]]&gt;70,"High",
IF(Table1[[#This Row],[ai_disruption_intensity]]&gt;40,"Medium","Low"))</f>
        <v>Low</v>
      </c>
      <c r="W2402" t="str">
        <f>IF(Table1[[#This Row],[skill_gap_index]]&gt;70,"Large Gap",
IF(Table1[[#This Row],[skill_gap_index]]&gt;40,"Medium Gap","Small Gap"))</f>
        <v>Large Gap</v>
      </c>
      <c r="X2402" s="3" t="str">
        <f>IF(Table1[[#This Row],[automation_risk_percent]]&gt;0.7,"Highly Automatable",
IF(Table1[[#This Row],[automation_risk_percent]]&gt;0.4,"Moderate Risk","Safe Job"))</f>
        <v>Safe Job</v>
      </c>
    </row>
    <row r="2403" spans="1:24" x14ac:dyDescent="0.3">
      <c r="A2403">
        <v>8458</v>
      </c>
      <c r="B2403" t="s">
        <v>45</v>
      </c>
      <c r="C2403" t="s">
        <v>23</v>
      </c>
      <c r="D2403" t="s">
        <v>31</v>
      </c>
      <c r="E2403" s="1">
        <v>2025</v>
      </c>
      <c r="F2403" s="11">
        <v>0.2944</v>
      </c>
      <c r="G2403">
        <v>26.12</v>
      </c>
      <c r="H2403">
        <v>61.11</v>
      </c>
      <c r="I2403" s="2">
        <v>59200.43</v>
      </c>
      <c r="J2403" s="2">
        <v>58079.55</v>
      </c>
      <c r="K2403" s="2">
        <f>Table1[[#This Row],[Salary_after]]-Table1[[#This Row],[Salary_before]]</f>
        <v>-1120.8799999999974</v>
      </c>
      <c r="L2403" s="11">
        <v>-1.89E-2</v>
      </c>
      <c r="M2403" s="11">
        <v>0.10339999999999999</v>
      </c>
      <c r="N2403">
        <v>58.82</v>
      </c>
      <c r="O2403">
        <v>40.92</v>
      </c>
      <c r="P2403">
        <v>2</v>
      </c>
      <c r="Q2403" t="s">
        <v>21</v>
      </c>
      <c r="R2403">
        <v>45.274999999999999</v>
      </c>
      <c r="S2403">
        <v>1.89</v>
      </c>
      <c r="T2403" s="4">
        <v>30.675999999999998</v>
      </c>
      <c r="U2403" s="4">
        <v>12.046848000000001</v>
      </c>
      <c r="V2403" t="str">
        <f>IF(Table1[[#This Row],[ai_disruption_intensity]]&gt;70,"High",
IF(Table1[[#This Row],[ai_disruption_intensity]]&gt;40,"Medium","Low"))</f>
        <v>Low</v>
      </c>
      <c r="W2403" t="str">
        <f>IF(Table1[[#This Row],[skill_gap_index]]&gt;70,"Large Gap",
IF(Table1[[#This Row],[skill_gap_index]]&gt;40,"Medium Gap","Small Gap"))</f>
        <v>Medium Gap</v>
      </c>
      <c r="X2403" s="3" t="str">
        <f>IF(Table1[[#This Row],[automation_risk_percent]]&gt;0.7,"Highly Automatable",
IF(Table1[[#This Row],[automation_risk_percent]]&gt;0.4,"Moderate Risk","Safe Job"))</f>
        <v>Safe Job</v>
      </c>
    </row>
    <row r="2404" spans="1:24" x14ac:dyDescent="0.3">
      <c r="A2404">
        <v>8459</v>
      </c>
      <c r="B2404" t="s">
        <v>18</v>
      </c>
      <c r="C2404" t="s">
        <v>40</v>
      </c>
      <c r="D2404" t="s">
        <v>36</v>
      </c>
      <c r="E2404" s="1">
        <v>2025</v>
      </c>
      <c r="F2404" s="11">
        <v>0.77390000000000003</v>
      </c>
      <c r="G2404">
        <v>75.040000000000006</v>
      </c>
      <c r="H2404">
        <v>56.37</v>
      </c>
      <c r="I2404" s="2">
        <v>121610.79</v>
      </c>
      <c r="J2404" s="2">
        <v>147290.16</v>
      </c>
      <c r="K2404" s="2">
        <f>Table1[[#This Row],[Salary_after]]-Table1[[#This Row],[Salary_before]]</f>
        <v>25679.37000000001</v>
      </c>
      <c r="L2404" s="11">
        <v>0.2112</v>
      </c>
      <c r="M2404" s="11">
        <v>-0.13800000000000001</v>
      </c>
      <c r="N2404">
        <v>35.840000000000003</v>
      </c>
      <c r="O2404">
        <v>46.25</v>
      </c>
      <c r="P2404">
        <v>2</v>
      </c>
      <c r="Q2404" t="s">
        <v>37</v>
      </c>
      <c r="R2404">
        <v>66.88</v>
      </c>
      <c r="S2404">
        <v>21.12</v>
      </c>
      <c r="T2404" s="4">
        <v>54.203000000000003</v>
      </c>
      <c r="U2404" s="4">
        <v>35.792875000000002</v>
      </c>
      <c r="V2404" t="str">
        <f>IF(Table1[[#This Row],[ai_disruption_intensity]]&gt;70,"High",
IF(Table1[[#This Row],[ai_disruption_intensity]]&gt;40,"Medium","Low"))</f>
        <v>Low</v>
      </c>
      <c r="W2404" t="str">
        <f>IF(Table1[[#This Row],[skill_gap_index]]&gt;70,"Large Gap",
IF(Table1[[#This Row],[skill_gap_index]]&gt;40,"Medium Gap","Small Gap"))</f>
        <v>Medium Gap</v>
      </c>
      <c r="X2404" s="3" t="str">
        <f>IF(Table1[[#This Row],[automation_risk_percent]]&gt;0.7,"Highly Automatable",
IF(Table1[[#This Row],[automation_risk_percent]]&gt;0.4,"Moderate Risk","Safe Job"))</f>
        <v>Highly Automatable</v>
      </c>
    </row>
    <row r="2405" spans="1:24" x14ac:dyDescent="0.3">
      <c r="A2405">
        <v>8461</v>
      </c>
      <c r="B2405" t="s">
        <v>22</v>
      </c>
      <c r="C2405" t="s">
        <v>27</v>
      </c>
      <c r="D2405" t="s">
        <v>36</v>
      </c>
      <c r="E2405" s="1">
        <v>2025</v>
      </c>
      <c r="F2405" s="11">
        <v>0.69169999999999998</v>
      </c>
      <c r="G2405">
        <v>63.36</v>
      </c>
      <c r="H2405">
        <v>34.65</v>
      </c>
      <c r="I2405" s="2">
        <v>48028.67</v>
      </c>
      <c r="J2405" s="2">
        <v>49919.58</v>
      </c>
      <c r="K2405" s="2">
        <f>Table1[[#This Row],[Salary_after]]-Table1[[#This Row],[Salary_before]]</f>
        <v>1890.9100000000035</v>
      </c>
      <c r="L2405" s="11">
        <v>3.9399999999999998E-2</v>
      </c>
      <c r="M2405" s="11">
        <v>0.1424</v>
      </c>
      <c r="N2405">
        <v>16.98</v>
      </c>
      <c r="O2405">
        <v>30.37</v>
      </c>
      <c r="P2405">
        <v>2</v>
      </c>
      <c r="Q2405" t="s">
        <v>37</v>
      </c>
      <c r="R2405">
        <v>51.91</v>
      </c>
      <c r="S2405">
        <v>3.94</v>
      </c>
      <c r="T2405" s="4">
        <v>39.244999999999997</v>
      </c>
      <c r="U2405" s="4">
        <v>21.006929</v>
      </c>
      <c r="V2405" t="str">
        <f>IF(Table1[[#This Row],[ai_disruption_intensity]]&gt;70,"High",
IF(Table1[[#This Row],[ai_disruption_intensity]]&gt;40,"Medium","Low"))</f>
        <v>Low</v>
      </c>
      <c r="W2405" t="str">
        <f>IF(Table1[[#This Row],[skill_gap_index]]&gt;70,"Large Gap",
IF(Table1[[#This Row],[skill_gap_index]]&gt;40,"Medium Gap","Small Gap"))</f>
        <v>Small Gap</v>
      </c>
      <c r="X2405" s="3" t="str">
        <f>IF(Table1[[#This Row],[automation_risk_percent]]&gt;0.7,"Highly Automatable",
IF(Table1[[#This Row],[automation_risk_percent]]&gt;0.4,"Moderate Risk","Safe Job"))</f>
        <v>Moderate Risk</v>
      </c>
    </row>
    <row r="2406" spans="1:24" x14ac:dyDescent="0.3">
      <c r="A2406">
        <v>8463</v>
      </c>
      <c r="B2406" t="s">
        <v>44</v>
      </c>
      <c r="C2406" t="s">
        <v>33</v>
      </c>
      <c r="D2406" t="s">
        <v>36</v>
      </c>
      <c r="E2406" s="1">
        <v>2026</v>
      </c>
      <c r="F2406" s="11">
        <v>0.29780000000000001</v>
      </c>
      <c r="G2406">
        <v>28.25</v>
      </c>
      <c r="H2406">
        <v>16.93</v>
      </c>
      <c r="I2406" s="2">
        <v>118679.01</v>
      </c>
      <c r="J2406" s="2">
        <v>133370.31</v>
      </c>
      <c r="K2406" s="2">
        <f>Table1[[#This Row],[Salary_after]]-Table1[[#This Row],[Salary_before]]</f>
        <v>14691.300000000003</v>
      </c>
      <c r="L2406" s="11">
        <v>0.12380000000000001</v>
      </c>
      <c r="M2406" s="11">
        <v>-0.13470000000000001</v>
      </c>
      <c r="N2406">
        <v>69.52</v>
      </c>
      <c r="O2406">
        <v>3.54</v>
      </c>
      <c r="P2406">
        <v>2</v>
      </c>
      <c r="Q2406" t="s">
        <v>21</v>
      </c>
      <c r="R2406">
        <v>23.355</v>
      </c>
      <c r="S2406">
        <v>12.38</v>
      </c>
      <c r="T2406" s="4">
        <v>20.704999999999998</v>
      </c>
      <c r="U2406" s="4">
        <v>1.0542119999999999</v>
      </c>
      <c r="V2406" t="str">
        <f>IF(Table1[[#This Row],[ai_disruption_intensity]]&gt;70,"High",
IF(Table1[[#This Row],[ai_disruption_intensity]]&gt;40,"Medium","Low"))</f>
        <v>Low</v>
      </c>
      <c r="W2406" t="str">
        <f>IF(Table1[[#This Row],[skill_gap_index]]&gt;70,"Large Gap",
IF(Table1[[#This Row],[skill_gap_index]]&gt;40,"Medium Gap","Small Gap"))</f>
        <v>Small Gap</v>
      </c>
      <c r="X2406" s="3" t="str">
        <f>IF(Table1[[#This Row],[automation_risk_percent]]&gt;0.7,"Highly Automatable",
IF(Table1[[#This Row],[automation_risk_percent]]&gt;0.4,"Moderate Risk","Safe Job"))</f>
        <v>Safe Job</v>
      </c>
    </row>
    <row r="2407" spans="1:24" x14ac:dyDescent="0.3">
      <c r="A2407">
        <v>8467</v>
      </c>
      <c r="B2407" t="s">
        <v>39</v>
      </c>
      <c r="C2407" t="s">
        <v>34</v>
      </c>
      <c r="D2407" t="s">
        <v>24</v>
      </c>
      <c r="E2407" s="1">
        <v>2025</v>
      </c>
      <c r="F2407" s="11">
        <v>0.32409999999999994</v>
      </c>
      <c r="G2407">
        <v>35.340000000000003</v>
      </c>
      <c r="H2407">
        <v>55.56</v>
      </c>
      <c r="I2407" s="2">
        <v>117538.64</v>
      </c>
      <c r="J2407" s="2">
        <v>130876.9</v>
      </c>
      <c r="K2407" s="2">
        <f>Table1[[#This Row],[Salary_after]]-Table1[[#This Row],[Salary_before]]</f>
        <v>13338.259999999995</v>
      </c>
      <c r="L2407" s="11">
        <v>0.11349999999999999</v>
      </c>
      <c r="M2407" s="11">
        <v>0.27560000000000001</v>
      </c>
      <c r="N2407">
        <v>38.85</v>
      </c>
      <c r="O2407">
        <v>39.549999999999997</v>
      </c>
      <c r="P2407">
        <v>5</v>
      </c>
      <c r="Q2407" t="s">
        <v>25</v>
      </c>
      <c r="R2407">
        <v>43.984999999999999</v>
      </c>
      <c r="S2407">
        <v>11.35</v>
      </c>
      <c r="T2407" s="4">
        <v>33.036999999999999</v>
      </c>
      <c r="U2407" s="4">
        <v>12.8181549999999</v>
      </c>
      <c r="V2407" t="str">
        <f>IF(Table1[[#This Row],[ai_disruption_intensity]]&gt;70,"High",
IF(Table1[[#This Row],[ai_disruption_intensity]]&gt;40,"Medium","Low"))</f>
        <v>Low</v>
      </c>
      <c r="W2407" t="str">
        <f>IF(Table1[[#This Row],[skill_gap_index]]&gt;70,"Large Gap",
IF(Table1[[#This Row],[skill_gap_index]]&gt;40,"Medium Gap","Small Gap"))</f>
        <v>Medium Gap</v>
      </c>
      <c r="X2407" s="3" t="str">
        <f>IF(Table1[[#This Row],[automation_risk_percent]]&gt;0.7,"Highly Automatable",
IF(Table1[[#This Row],[automation_risk_percent]]&gt;0.4,"Moderate Risk","Safe Job"))</f>
        <v>Safe Job</v>
      </c>
    </row>
    <row r="2408" spans="1:24" x14ac:dyDescent="0.3">
      <c r="A2408">
        <v>8468</v>
      </c>
      <c r="B2408" t="s">
        <v>46</v>
      </c>
      <c r="C2408" t="s">
        <v>19</v>
      </c>
      <c r="D2408" t="s">
        <v>31</v>
      </c>
      <c r="E2408" s="1">
        <v>2025</v>
      </c>
      <c r="F2408" s="11">
        <v>0.62119999999999997</v>
      </c>
      <c r="G2408">
        <v>64</v>
      </c>
      <c r="H2408">
        <v>52.45</v>
      </c>
      <c r="I2408" s="2">
        <v>36375.78</v>
      </c>
      <c r="J2408" s="2">
        <v>40802.85</v>
      </c>
      <c r="K2408" s="2">
        <f>Table1[[#This Row],[Salary_after]]-Table1[[#This Row],[Salary_before]]</f>
        <v>4427.07</v>
      </c>
      <c r="L2408" s="11">
        <v>0.1217</v>
      </c>
      <c r="M2408" s="11">
        <v>0.1618</v>
      </c>
      <c r="N2408">
        <v>72.16</v>
      </c>
      <c r="O2408">
        <v>9.1199999999999992</v>
      </c>
      <c r="P2408">
        <v>5</v>
      </c>
      <c r="Q2408" t="s">
        <v>37</v>
      </c>
      <c r="R2408">
        <v>57.284999999999997</v>
      </c>
      <c r="S2408">
        <v>12.17</v>
      </c>
      <c r="T2408" s="4">
        <v>44.233999999999902</v>
      </c>
      <c r="U2408" s="4">
        <v>5.6653439999999904</v>
      </c>
      <c r="V2408" t="str">
        <f>IF(Table1[[#This Row],[ai_disruption_intensity]]&gt;70,"High",
IF(Table1[[#This Row],[ai_disruption_intensity]]&gt;40,"Medium","Low"))</f>
        <v>Low</v>
      </c>
      <c r="W2408" t="str">
        <f>IF(Table1[[#This Row],[skill_gap_index]]&gt;70,"Large Gap",
IF(Table1[[#This Row],[skill_gap_index]]&gt;40,"Medium Gap","Small Gap"))</f>
        <v>Medium Gap</v>
      </c>
      <c r="X2408" s="3" t="str">
        <f>IF(Table1[[#This Row],[automation_risk_percent]]&gt;0.7,"Highly Automatable",
IF(Table1[[#This Row],[automation_risk_percent]]&gt;0.4,"Moderate Risk","Safe Job"))</f>
        <v>Moderate Risk</v>
      </c>
    </row>
    <row r="2409" spans="1:24" x14ac:dyDescent="0.3">
      <c r="A2409">
        <v>8469</v>
      </c>
      <c r="B2409" t="s">
        <v>26</v>
      </c>
      <c r="C2409" t="s">
        <v>40</v>
      </c>
      <c r="D2409" t="s">
        <v>31</v>
      </c>
      <c r="E2409" s="1">
        <v>2026</v>
      </c>
      <c r="F2409" s="11">
        <v>0.21030000000000001</v>
      </c>
      <c r="G2409">
        <v>19.95</v>
      </c>
      <c r="H2409">
        <v>82.65</v>
      </c>
      <c r="I2409" s="2">
        <v>147680.73000000001</v>
      </c>
      <c r="J2409" s="2">
        <v>167739.07</v>
      </c>
      <c r="K2409" s="2">
        <f>Table1[[#This Row],[Salary_after]]-Table1[[#This Row],[Salary_before]]</f>
        <v>20058.339999999997</v>
      </c>
      <c r="L2409" s="11">
        <v>0.1358</v>
      </c>
      <c r="M2409" s="11">
        <v>-0.16329999999999997</v>
      </c>
      <c r="N2409">
        <v>10.66</v>
      </c>
      <c r="O2409">
        <v>0.88</v>
      </c>
      <c r="P2409">
        <v>4</v>
      </c>
      <c r="Q2409" t="s">
        <v>21</v>
      </c>
      <c r="R2409">
        <v>51.84</v>
      </c>
      <c r="S2409">
        <v>13.58</v>
      </c>
      <c r="T2409" s="4">
        <v>37.280999999999999</v>
      </c>
      <c r="U2409" s="4">
        <v>0.18506400000000001</v>
      </c>
      <c r="V2409" t="str">
        <f>IF(Table1[[#This Row],[ai_disruption_intensity]]&gt;70,"High",
IF(Table1[[#This Row],[ai_disruption_intensity]]&gt;40,"Medium","Low"))</f>
        <v>Low</v>
      </c>
      <c r="W2409" t="str">
        <f>IF(Table1[[#This Row],[skill_gap_index]]&gt;70,"Large Gap",
IF(Table1[[#This Row],[skill_gap_index]]&gt;40,"Medium Gap","Small Gap"))</f>
        <v>Large Gap</v>
      </c>
      <c r="X2409" s="3" t="str">
        <f>IF(Table1[[#This Row],[automation_risk_percent]]&gt;0.7,"Highly Automatable",
IF(Table1[[#This Row],[automation_risk_percent]]&gt;0.4,"Moderate Risk","Safe Job"))</f>
        <v>Safe Job</v>
      </c>
    </row>
    <row r="2410" spans="1:24" x14ac:dyDescent="0.3">
      <c r="A2410">
        <v>8470</v>
      </c>
      <c r="B2410" t="s">
        <v>46</v>
      </c>
      <c r="C2410" t="s">
        <v>34</v>
      </c>
      <c r="D2410" t="s">
        <v>24</v>
      </c>
      <c r="E2410" s="1">
        <v>2026</v>
      </c>
      <c r="F2410" s="11">
        <v>5.2199999999999996E-2</v>
      </c>
      <c r="G2410">
        <v>5.67</v>
      </c>
      <c r="H2410">
        <v>17.809999999999999</v>
      </c>
      <c r="I2410" s="2">
        <v>120941.88</v>
      </c>
      <c r="J2410" s="2">
        <v>134748.81</v>
      </c>
      <c r="K2410" s="2">
        <f>Table1[[#This Row],[Salary_after]]-Table1[[#This Row],[Salary_before]]</f>
        <v>13806.929999999993</v>
      </c>
      <c r="L2410" s="11">
        <v>0.1142</v>
      </c>
      <c r="M2410" s="11">
        <v>2.7799999999999998E-2</v>
      </c>
      <c r="N2410">
        <v>88.33</v>
      </c>
      <c r="O2410">
        <v>87.98</v>
      </c>
      <c r="P2410">
        <v>2</v>
      </c>
      <c r="Q2410" t="s">
        <v>21</v>
      </c>
      <c r="R2410">
        <v>11.514999999999899</v>
      </c>
      <c r="S2410">
        <v>11.42</v>
      </c>
      <c r="T2410" s="4">
        <v>10.856999999999999</v>
      </c>
      <c r="U2410" s="4">
        <v>4.5925560000000001</v>
      </c>
      <c r="V2410" t="str">
        <f>IF(Table1[[#This Row],[ai_disruption_intensity]]&gt;70,"High",
IF(Table1[[#This Row],[ai_disruption_intensity]]&gt;40,"Medium","Low"))</f>
        <v>Low</v>
      </c>
      <c r="W2410" t="str">
        <f>IF(Table1[[#This Row],[skill_gap_index]]&gt;70,"Large Gap",
IF(Table1[[#This Row],[skill_gap_index]]&gt;40,"Medium Gap","Small Gap"))</f>
        <v>Small Gap</v>
      </c>
      <c r="X2410" s="3" t="str">
        <f>IF(Table1[[#This Row],[automation_risk_percent]]&gt;0.7,"Highly Automatable",
IF(Table1[[#This Row],[automation_risk_percent]]&gt;0.4,"Moderate Risk","Safe Job"))</f>
        <v>Safe Job</v>
      </c>
    </row>
    <row r="2411" spans="1:24" x14ac:dyDescent="0.3">
      <c r="A2411">
        <v>8473</v>
      </c>
      <c r="B2411" t="s">
        <v>46</v>
      </c>
      <c r="C2411" t="s">
        <v>27</v>
      </c>
      <c r="D2411" t="s">
        <v>20</v>
      </c>
      <c r="E2411" s="1">
        <v>2025</v>
      </c>
      <c r="F2411" s="11">
        <v>0.67019999999999991</v>
      </c>
      <c r="G2411">
        <v>62.29</v>
      </c>
      <c r="H2411">
        <v>61.67</v>
      </c>
      <c r="I2411" s="2">
        <v>145012</v>
      </c>
      <c r="J2411" s="2">
        <v>96752.07</v>
      </c>
      <c r="K2411" s="2">
        <f>Table1[[#This Row],[Salary_after]]-Table1[[#This Row],[Salary_before]]</f>
        <v>-48259.929999999993</v>
      </c>
      <c r="L2411" s="11">
        <v>-0.33279999999999998</v>
      </c>
      <c r="M2411" s="11">
        <v>4.4500000000000005E-2</v>
      </c>
      <c r="N2411">
        <v>57.49</v>
      </c>
      <c r="O2411">
        <v>3.32</v>
      </c>
      <c r="P2411">
        <v>5</v>
      </c>
      <c r="Q2411" t="s">
        <v>37</v>
      </c>
      <c r="R2411">
        <v>64.344999999999999</v>
      </c>
      <c r="S2411">
        <v>33.28</v>
      </c>
      <c r="T2411" s="4">
        <v>55.292999999999999</v>
      </c>
      <c r="U2411" s="4">
        <v>2.2250639999999899</v>
      </c>
      <c r="V2411" t="str">
        <f>IF(Table1[[#This Row],[ai_disruption_intensity]]&gt;70,"High",
IF(Table1[[#This Row],[ai_disruption_intensity]]&gt;40,"Medium","Low"))</f>
        <v>Low</v>
      </c>
      <c r="W2411" t="str">
        <f>IF(Table1[[#This Row],[skill_gap_index]]&gt;70,"Large Gap",
IF(Table1[[#This Row],[skill_gap_index]]&gt;40,"Medium Gap","Small Gap"))</f>
        <v>Medium Gap</v>
      </c>
      <c r="X2411" s="3" t="str">
        <f>IF(Table1[[#This Row],[automation_risk_percent]]&gt;0.7,"Highly Automatable",
IF(Table1[[#This Row],[automation_risk_percent]]&gt;0.4,"Moderate Risk","Safe Job"))</f>
        <v>Moderate Risk</v>
      </c>
    </row>
    <row r="2412" spans="1:24" x14ac:dyDescent="0.3">
      <c r="A2412">
        <v>8475</v>
      </c>
      <c r="B2412" t="s">
        <v>45</v>
      </c>
      <c r="C2412" t="s">
        <v>33</v>
      </c>
      <c r="D2412" t="s">
        <v>32</v>
      </c>
      <c r="E2412" s="1">
        <v>2025</v>
      </c>
      <c r="F2412" s="11">
        <v>0.33049999999999996</v>
      </c>
      <c r="G2412">
        <v>32.32</v>
      </c>
      <c r="H2412">
        <v>26.19</v>
      </c>
      <c r="I2412" s="2">
        <v>72466.37</v>
      </c>
      <c r="J2412" s="2">
        <v>77889.72</v>
      </c>
      <c r="K2412" s="2">
        <f>Table1[[#This Row],[Salary_after]]-Table1[[#This Row],[Salary_before]]</f>
        <v>5423.3500000000058</v>
      </c>
      <c r="L2412" s="11">
        <v>7.4800000000000005E-2</v>
      </c>
      <c r="M2412" s="11">
        <v>-9.8400000000000001E-2</v>
      </c>
      <c r="N2412">
        <v>62.07</v>
      </c>
      <c r="O2412">
        <v>55.17</v>
      </c>
      <c r="P2412">
        <v>1</v>
      </c>
      <c r="Q2412" t="s">
        <v>25</v>
      </c>
      <c r="R2412">
        <v>29.619999999999902</v>
      </c>
      <c r="S2412">
        <v>7.48</v>
      </c>
      <c r="T2412" s="4">
        <v>23.320999999999898</v>
      </c>
      <c r="U2412" s="4">
        <v>18.233684999999902</v>
      </c>
      <c r="V2412" t="str">
        <f>IF(Table1[[#This Row],[ai_disruption_intensity]]&gt;70,"High",
IF(Table1[[#This Row],[ai_disruption_intensity]]&gt;40,"Medium","Low"))</f>
        <v>Low</v>
      </c>
      <c r="W2412" t="str">
        <f>IF(Table1[[#This Row],[skill_gap_index]]&gt;70,"Large Gap",
IF(Table1[[#This Row],[skill_gap_index]]&gt;40,"Medium Gap","Small Gap"))</f>
        <v>Small Gap</v>
      </c>
      <c r="X2412" s="3" t="str">
        <f>IF(Table1[[#This Row],[automation_risk_percent]]&gt;0.7,"Highly Automatable",
IF(Table1[[#This Row],[automation_risk_percent]]&gt;0.4,"Moderate Risk","Safe Job"))</f>
        <v>Safe Job</v>
      </c>
    </row>
    <row r="2413" spans="1:24" x14ac:dyDescent="0.3">
      <c r="A2413">
        <v>8485</v>
      </c>
      <c r="B2413" t="s">
        <v>29</v>
      </c>
      <c r="C2413" t="s">
        <v>34</v>
      </c>
      <c r="D2413" t="s">
        <v>24</v>
      </c>
      <c r="E2413" s="1">
        <v>2025</v>
      </c>
      <c r="F2413" s="11">
        <v>0.51180000000000003</v>
      </c>
      <c r="G2413">
        <v>53.25</v>
      </c>
      <c r="H2413">
        <v>64.010000000000005</v>
      </c>
      <c r="I2413" s="2">
        <v>144270.17000000001</v>
      </c>
      <c r="J2413" s="2">
        <v>156302.10999999999</v>
      </c>
      <c r="K2413" s="2">
        <f>Table1[[#This Row],[Salary_after]]-Table1[[#This Row],[Salary_before]]</f>
        <v>12031.939999999973</v>
      </c>
      <c r="L2413" s="11">
        <v>8.3400000000000002E-2</v>
      </c>
      <c r="M2413" s="11">
        <v>4.24E-2</v>
      </c>
      <c r="N2413">
        <v>11.95</v>
      </c>
      <c r="O2413">
        <v>27.63</v>
      </c>
      <c r="P2413">
        <v>1</v>
      </c>
      <c r="Q2413" t="s">
        <v>25</v>
      </c>
      <c r="R2413">
        <v>57.594999999999999</v>
      </c>
      <c r="S2413">
        <v>8.34</v>
      </c>
      <c r="T2413" s="4">
        <v>42.177</v>
      </c>
      <c r="U2413" s="4">
        <v>14.141033999999999</v>
      </c>
      <c r="V2413" t="str">
        <f>IF(Table1[[#This Row],[ai_disruption_intensity]]&gt;70,"High",
IF(Table1[[#This Row],[ai_disruption_intensity]]&gt;40,"Medium","Low"))</f>
        <v>Low</v>
      </c>
      <c r="W2413" t="str">
        <f>IF(Table1[[#This Row],[skill_gap_index]]&gt;70,"Large Gap",
IF(Table1[[#This Row],[skill_gap_index]]&gt;40,"Medium Gap","Small Gap"))</f>
        <v>Medium Gap</v>
      </c>
      <c r="X2413" s="3" t="str">
        <f>IF(Table1[[#This Row],[automation_risk_percent]]&gt;0.7,"Highly Automatable",
IF(Table1[[#This Row],[automation_risk_percent]]&gt;0.4,"Moderate Risk","Safe Job"))</f>
        <v>Moderate Risk</v>
      </c>
    </row>
    <row r="2414" spans="1:24" x14ac:dyDescent="0.3">
      <c r="A2414">
        <v>8490</v>
      </c>
      <c r="B2414" t="s">
        <v>22</v>
      </c>
      <c r="C2414" t="s">
        <v>30</v>
      </c>
      <c r="D2414" t="s">
        <v>47</v>
      </c>
      <c r="E2414" s="1">
        <v>2025</v>
      </c>
      <c r="F2414" s="11">
        <v>0.37219999999999998</v>
      </c>
      <c r="G2414">
        <v>44.25</v>
      </c>
      <c r="H2414">
        <v>8.24</v>
      </c>
      <c r="I2414" s="2">
        <v>148157.74</v>
      </c>
      <c r="J2414" s="2">
        <v>149456.72</v>
      </c>
      <c r="K2414" s="2">
        <f>Table1[[#This Row],[Salary_after]]-Table1[[#This Row],[Salary_before]]</f>
        <v>1298.9800000000105</v>
      </c>
      <c r="L2414" s="11">
        <v>8.8000000000000005E-3</v>
      </c>
      <c r="M2414" s="11">
        <v>5.8299999999999998E-2</v>
      </c>
      <c r="N2414">
        <v>83.36</v>
      </c>
      <c r="O2414">
        <v>89.95</v>
      </c>
      <c r="P2414">
        <v>1</v>
      </c>
      <c r="Q2414" t="s">
        <v>25</v>
      </c>
      <c r="R2414">
        <v>22.73</v>
      </c>
      <c r="S2414">
        <v>0.88</v>
      </c>
      <c r="T2414" s="4">
        <v>17.623999999999999</v>
      </c>
      <c r="U2414" s="4">
        <v>33.479389999999903</v>
      </c>
      <c r="V2414" t="str">
        <f>IF(Table1[[#This Row],[ai_disruption_intensity]]&gt;70,"High",
IF(Table1[[#This Row],[ai_disruption_intensity]]&gt;40,"Medium","Low"))</f>
        <v>Low</v>
      </c>
      <c r="W2414" t="str">
        <f>IF(Table1[[#This Row],[skill_gap_index]]&gt;70,"Large Gap",
IF(Table1[[#This Row],[skill_gap_index]]&gt;40,"Medium Gap","Small Gap"))</f>
        <v>Small Gap</v>
      </c>
      <c r="X2414" s="3" t="str">
        <f>IF(Table1[[#This Row],[automation_risk_percent]]&gt;0.7,"Highly Automatable",
IF(Table1[[#This Row],[automation_risk_percent]]&gt;0.4,"Moderate Risk","Safe Job"))</f>
        <v>Safe Job</v>
      </c>
    </row>
    <row r="2415" spans="1:24" x14ac:dyDescent="0.3">
      <c r="A2415">
        <v>8498</v>
      </c>
      <c r="B2415" t="s">
        <v>29</v>
      </c>
      <c r="C2415" t="s">
        <v>40</v>
      </c>
      <c r="D2415" t="s">
        <v>42</v>
      </c>
      <c r="E2415" s="1">
        <v>2026</v>
      </c>
      <c r="F2415" s="11">
        <v>0.47689999999999999</v>
      </c>
      <c r="G2415">
        <v>52.61</v>
      </c>
      <c r="H2415">
        <v>16.7</v>
      </c>
      <c r="I2415" s="2">
        <v>36736.17</v>
      </c>
      <c r="J2415" s="2">
        <v>32283.4</v>
      </c>
      <c r="K2415" s="2">
        <f>Table1[[#This Row],[Salary_after]]-Table1[[#This Row],[Salary_before]]</f>
        <v>-4452.7699999999968</v>
      </c>
      <c r="L2415" s="11">
        <v>-0.12119999999999999</v>
      </c>
      <c r="M2415" s="11">
        <v>0.11779999999999999</v>
      </c>
      <c r="N2415">
        <v>67.900000000000006</v>
      </c>
      <c r="O2415">
        <v>5.85</v>
      </c>
      <c r="P2415">
        <v>1</v>
      </c>
      <c r="Q2415" t="s">
        <v>25</v>
      </c>
      <c r="R2415">
        <v>32.195</v>
      </c>
      <c r="S2415">
        <v>12.12</v>
      </c>
      <c r="T2415" s="4">
        <v>27.721999999999898</v>
      </c>
      <c r="U2415" s="4">
        <v>2.7898649999999998</v>
      </c>
      <c r="V2415" t="str">
        <f>IF(Table1[[#This Row],[ai_disruption_intensity]]&gt;70,"High",
IF(Table1[[#This Row],[ai_disruption_intensity]]&gt;40,"Medium","Low"))</f>
        <v>Low</v>
      </c>
      <c r="W2415" t="str">
        <f>IF(Table1[[#This Row],[skill_gap_index]]&gt;70,"Large Gap",
IF(Table1[[#This Row],[skill_gap_index]]&gt;40,"Medium Gap","Small Gap"))</f>
        <v>Small Gap</v>
      </c>
      <c r="X2415" s="3" t="str">
        <f>IF(Table1[[#This Row],[automation_risk_percent]]&gt;0.7,"Highly Automatable",
IF(Table1[[#This Row],[automation_risk_percent]]&gt;0.4,"Moderate Risk","Safe Job"))</f>
        <v>Moderate Risk</v>
      </c>
    </row>
    <row r="2416" spans="1:24" x14ac:dyDescent="0.3">
      <c r="A2416">
        <v>8500</v>
      </c>
      <c r="B2416" t="s">
        <v>22</v>
      </c>
      <c r="C2416" t="s">
        <v>30</v>
      </c>
      <c r="D2416" t="s">
        <v>35</v>
      </c>
      <c r="E2416" s="1">
        <v>2026</v>
      </c>
      <c r="F2416" s="11">
        <v>0.47240000000000004</v>
      </c>
      <c r="G2416">
        <v>56.5</v>
      </c>
      <c r="H2416">
        <v>21.06</v>
      </c>
      <c r="I2416" s="2">
        <v>48324.7</v>
      </c>
      <c r="J2416" s="2">
        <v>46887.6</v>
      </c>
      <c r="K2416" s="2">
        <f>Table1[[#This Row],[Salary_after]]-Table1[[#This Row],[Salary_before]]</f>
        <v>-1437.0999999999985</v>
      </c>
      <c r="L2416" s="11">
        <v>-2.9700000000000001E-2</v>
      </c>
      <c r="M2416" s="11">
        <v>0.16370000000000001</v>
      </c>
      <c r="N2416">
        <v>86.22</v>
      </c>
      <c r="O2416">
        <v>42.47</v>
      </c>
      <c r="P2416">
        <v>5</v>
      </c>
      <c r="Q2416" t="s">
        <v>25</v>
      </c>
      <c r="R2416">
        <v>34.15</v>
      </c>
      <c r="S2416">
        <v>2.97</v>
      </c>
      <c r="T2416" s="4">
        <v>26.104999999999901</v>
      </c>
      <c r="U2416" s="4">
        <v>20.062828</v>
      </c>
      <c r="V2416" t="str">
        <f>IF(Table1[[#This Row],[ai_disruption_intensity]]&gt;70,"High",
IF(Table1[[#This Row],[ai_disruption_intensity]]&gt;40,"Medium","Low"))</f>
        <v>Low</v>
      </c>
      <c r="W2416" t="str">
        <f>IF(Table1[[#This Row],[skill_gap_index]]&gt;70,"Large Gap",
IF(Table1[[#This Row],[skill_gap_index]]&gt;40,"Medium Gap","Small Gap"))</f>
        <v>Small Gap</v>
      </c>
      <c r="X2416" s="3" t="str">
        <f>IF(Table1[[#This Row],[automation_risk_percent]]&gt;0.7,"Highly Automatable",
IF(Table1[[#This Row],[automation_risk_percent]]&gt;0.4,"Moderate Risk","Safe Job"))</f>
        <v>Moderate Risk</v>
      </c>
    </row>
    <row r="2417" spans="1:24" x14ac:dyDescent="0.3">
      <c r="A2417">
        <v>8501</v>
      </c>
      <c r="B2417" t="s">
        <v>39</v>
      </c>
      <c r="C2417" t="s">
        <v>30</v>
      </c>
      <c r="D2417" t="s">
        <v>36</v>
      </c>
      <c r="E2417" s="1">
        <v>2025</v>
      </c>
      <c r="F2417" s="11">
        <v>0.1152</v>
      </c>
      <c r="G2417">
        <v>10.94</v>
      </c>
      <c r="H2417">
        <v>61.01</v>
      </c>
      <c r="I2417" s="2">
        <v>83706.570000000007</v>
      </c>
      <c r="J2417" s="2">
        <v>83831.95</v>
      </c>
      <c r="K2417" s="2">
        <f>Table1[[#This Row],[Salary_after]]-Table1[[#This Row],[Salary_before]]</f>
        <v>125.3799999999901</v>
      </c>
      <c r="L2417" s="11">
        <v>1.5E-3</v>
      </c>
      <c r="M2417" s="11">
        <v>4.99E-2</v>
      </c>
      <c r="N2417">
        <v>58.97</v>
      </c>
      <c r="O2417">
        <v>69.69</v>
      </c>
      <c r="P2417">
        <v>3</v>
      </c>
      <c r="Q2417" t="s">
        <v>21</v>
      </c>
      <c r="R2417">
        <v>36.265000000000001</v>
      </c>
      <c r="S2417">
        <v>0.15</v>
      </c>
      <c r="T2417" s="4">
        <v>22.956</v>
      </c>
      <c r="U2417" s="4">
        <v>8.0282879999999892</v>
      </c>
      <c r="V2417" t="str">
        <f>IF(Table1[[#This Row],[ai_disruption_intensity]]&gt;70,"High",
IF(Table1[[#This Row],[ai_disruption_intensity]]&gt;40,"Medium","Low"))</f>
        <v>Low</v>
      </c>
      <c r="W2417" t="str">
        <f>IF(Table1[[#This Row],[skill_gap_index]]&gt;70,"Large Gap",
IF(Table1[[#This Row],[skill_gap_index]]&gt;40,"Medium Gap","Small Gap"))</f>
        <v>Medium Gap</v>
      </c>
      <c r="X2417" s="3" t="str">
        <f>IF(Table1[[#This Row],[automation_risk_percent]]&gt;0.7,"Highly Automatable",
IF(Table1[[#This Row],[automation_risk_percent]]&gt;0.4,"Moderate Risk","Safe Job"))</f>
        <v>Safe Job</v>
      </c>
    </row>
    <row r="2418" spans="1:24" x14ac:dyDescent="0.3">
      <c r="A2418">
        <v>8515</v>
      </c>
      <c r="B2418" t="s">
        <v>29</v>
      </c>
      <c r="C2418" t="s">
        <v>19</v>
      </c>
      <c r="D2418" t="s">
        <v>20</v>
      </c>
      <c r="E2418" s="1">
        <v>2025</v>
      </c>
      <c r="F2418" s="11">
        <v>0.92349999999999999</v>
      </c>
      <c r="G2418">
        <v>74.069999999999993</v>
      </c>
      <c r="H2418">
        <v>52.37</v>
      </c>
      <c r="I2418" s="2">
        <v>84385.71</v>
      </c>
      <c r="J2418" s="2">
        <v>85391.03</v>
      </c>
      <c r="K2418" s="2">
        <f>Table1[[#This Row],[Salary_after]]-Table1[[#This Row],[Salary_before]]</f>
        <v>1005.3199999999924</v>
      </c>
      <c r="L2418" s="11">
        <v>1.1899999999999999E-2</v>
      </c>
      <c r="M2418" s="11">
        <v>-0.21539999999999998</v>
      </c>
      <c r="N2418">
        <v>46.32</v>
      </c>
      <c r="O2418">
        <v>34.4</v>
      </c>
      <c r="P2418">
        <v>4</v>
      </c>
      <c r="Q2418" t="s">
        <v>37</v>
      </c>
      <c r="R2418">
        <v>72.36</v>
      </c>
      <c r="S2418">
        <v>1.19</v>
      </c>
      <c r="T2418" s="4">
        <v>53.007999999999903</v>
      </c>
      <c r="U2418" s="4">
        <v>31.7683999999999</v>
      </c>
      <c r="V2418" t="str">
        <f>IF(Table1[[#This Row],[ai_disruption_intensity]]&gt;70,"High",
IF(Table1[[#This Row],[ai_disruption_intensity]]&gt;40,"Medium","Low"))</f>
        <v>Low</v>
      </c>
      <c r="W2418" t="str">
        <f>IF(Table1[[#This Row],[skill_gap_index]]&gt;70,"Large Gap",
IF(Table1[[#This Row],[skill_gap_index]]&gt;40,"Medium Gap","Small Gap"))</f>
        <v>Medium Gap</v>
      </c>
      <c r="X2418" s="3" t="str">
        <f>IF(Table1[[#This Row],[automation_risk_percent]]&gt;0.7,"Highly Automatable",
IF(Table1[[#This Row],[automation_risk_percent]]&gt;0.4,"Moderate Risk","Safe Job"))</f>
        <v>Highly Automatable</v>
      </c>
    </row>
    <row r="2419" spans="1:24" x14ac:dyDescent="0.3">
      <c r="A2419">
        <v>8517</v>
      </c>
      <c r="B2419" t="s">
        <v>39</v>
      </c>
      <c r="C2419" t="s">
        <v>40</v>
      </c>
      <c r="D2419" t="s">
        <v>47</v>
      </c>
      <c r="E2419" s="1">
        <v>2026</v>
      </c>
      <c r="F2419" s="11">
        <v>0.5726</v>
      </c>
      <c r="G2419">
        <v>62.28</v>
      </c>
      <c r="H2419">
        <v>60.24</v>
      </c>
      <c r="I2419" s="2">
        <v>68683.62</v>
      </c>
      <c r="J2419" s="2">
        <v>65394.35</v>
      </c>
      <c r="K2419" s="2">
        <f>Table1[[#This Row],[Salary_after]]-Table1[[#This Row],[Salary_before]]</f>
        <v>-3289.2699999999968</v>
      </c>
      <c r="L2419" s="11">
        <v>-4.7899999999999998E-2</v>
      </c>
      <c r="M2419" s="11">
        <v>0.24629999999999999</v>
      </c>
      <c r="N2419">
        <v>84.89</v>
      </c>
      <c r="O2419">
        <v>57.11</v>
      </c>
      <c r="P2419">
        <v>2</v>
      </c>
      <c r="Q2419" t="s">
        <v>25</v>
      </c>
      <c r="R2419">
        <v>58.75</v>
      </c>
      <c r="S2419">
        <v>4.79</v>
      </c>
      <c r="T2419" s="4">
        <v>42.412999999999997</v>
      </c>
      <c r="U2419" s="4">
        <v>32.701186</v>
      </c>
      <c r="V2419" t="str">
        <f>IF(Table1[[#This Row],[ai_disruption_intensity]]&gt;70,"High",
IF(Table1[[#This Row],[ai_disruption_intensity]]&gt;40,"Medium","Low"))</f>
        <v>Low</v>
      </c>
      <c r="W2419" t="str">
        <f>IF(Table1[[#This Row],[skill_gap_index]]&gt;70,"Large Gap",
IF(Table1[[#This Row],[skill_gap_index]]&gt;40,"Medium Gap","Small Gap"))</f>
        <v>Medium Gap</v>
      </c>
      <c r="X2419" s="3" t="str">
        <f>IF(Table1[[#This Row],[automation_risk_percent]]&gt;0.7,"Highly Automatable",
IF(Table1[[#This Row],[automation_risk_percent]]&gt;0.4,"Moderate Risk","Safe Job"))</f>
        <v>Moderate Risk</v>
      </c>
    </row>
    <row r="2420" spans="1:24" x14ac:dyDescent="0.3">
      <c r="A2420">
        <v>8518</v>
      </c>
      <c r="B2420" t="s">
        <v>41</v>
      </c>
      <c r="C2420" t="s">
        <v>23</v>
      </c>
      <c r="D2420" t="s">
        <v>35</v>
      </c>
      <c r="E2420" s="1">
        <v>2025</v>
      </c>
      <c r="F2420" s="11">
        <v>0.78989999999999994</v>
      </c>
      <c r="G2420">
        <v>90</v>
      </c>
      <c r="H2420">
        <v>82.11</v>
      </c>
      <c r="I2420" s="2">
        <v>78252.87</v>
      </c>
      <c r="J2420" s="2">
        <v>85538.18</v>
      </c>
      <c r="K2420" s="2">
        <f>Table1[[#This Row],[Salary_after]]-Table1[[#This Row],[Salary_before]]</f>
        <v>7285.3099999999977</v>
      </c>
      <c r="L2420" s="11">
        <v>9.3100000000000002E-2</v>
      </c>
      <c r="M2420" s="11">
        <v>1.6899999999999998E-2</v>
      </c>
      <c r="N2420">
        <v>22.88</v>
      </c>
      <c r="O2420">
        <v>27.94</v>
      </c>
      <c r="P2420">
        <v>2</v>
      </c>
      <c r="Q2420" t="s">
        <v>37</v>
      </c>
      <c r="R2420">
        <v>80.55</v>
      </c>
      <c r="S2420">
        <v>9.31</v>
      </c>
      <c r="T2420" s="4">
        <v>59.021999999999998</v>
      </c>
      <c r="U2420" s="4">
        <v>22.069806</v>
      </c>
      <c r="V2420" t="str">
        <f>IF(Table1[[#This Row],[ai_disruption_intensity]]&gt;70,"High",
IF(Table1[[#This Row],[ai_disruption_intensity]]&gt;40,"Medium","Low"))</f>
        <v>Low</v>
      </c>
      <c r="W2420" t="str">
        <f>IF(Table1[[#This Row],[skill_gap_index]]&gt;70,"Large Gap",
IF(Table1[[#This Row],[skill_gap_index]]&gt;40,"Medium Gap","Small Gap"))</f>
        <v>Large Gap</v>
      </c>
      <c r="X2420" s="3" t="str">
        <f>IF(Table1[[#This Row],[automation_risk_percent]]&gt;0.7,"Highly Automatable",
IF(Table1[[#This Row],[automation_risk_percent]]&gt;0.4,"Moderate Risk","Safe Job"))</f>
        <v>Highly Automatable</v>
      </c>
    </row>
    <row r="2421" spans="1:24" x14ac:dyDescent="0.3">
      <c r="A2421">
        <v>8519</v>
      </c>
      <c r="B2421" t="s">
        <v>45</v>
      </c>
      <c r="C2421" t="s">
        <v>34</v>
      </c>
      <c r="D2421" t="s">
        <v>32</v>
      </c>
      <c r="E2421" s="1">
        <v>2026</v>
      </c>
      <c r="F2421" s="11">
        <v>0.18469999999999998</v>
      </c>
      <c r="G2421">
        <v>15.09</v>
      </c>
      <c r="H2421">
        <v>61.59</v>
      </c>
      <c r="I2421" s="2">
        <v>138093.67000000001</v>
      </c>
      <c r="J2421" s="2">
        <v>142066.1</v>
      </c>
      <c r="K2421" s="2">
        <f>Table1[[#This Row],[Salary_after]]-Table1[[#This Row],[Salary_before]]</f>
        <v>3972.429999999993</v>
      </c>
      <c r="L2421" s="11">
        <v>2.8799999999999999E-2</v>
      </c>
      <c r="M2421" s="11">
        <v>1.3899999999999999E-2</v>
      </c>
      <c r="N2421">
        <v>44.14</v>
      </c>
      <c r="O2421">
        <v>61.81</v>
      </c>
      <c r="P2421">
        <v>5</v>
      </c>
      <c r="Q2421" t="s">
        <v>21</v>
      </c>
      <c r="R2421">
        <v>40.03</v>
      </c>
      <c r="S2421">
        <v>2.88</v>
      </c>
      <c r="T2421" s="4">
        <v>26.728999999999999</v>
      </c>
      <c r="U2421" s="4">
        <v>11.416307</v>
      </c>
      <c r="V2421" t="str">
        <f>IF(Table1[[#This Row],[ai_disruption_intensity]]&gt;70,"High",
IF(Table1[[#This Row],[ai_disruption_intensity]]&gt;40,"Medium","Low"))</f>
        <v>Low</v>
      </c>
      <c r="W2421" t="str">
        <f>IF(Table1[[#This Row],[skill_gap_index]]&gt;70,"Large Gap",
IF(Table1[[#This Row],[skill_gap_index]]&gt;40,"Medium Gap","Small Gap"))</f>
        <v>Medium Gap</v>
      </c>
      <c r="X2421" s="3" t="str">
        <f>IF(Table1[[#This Row],[automation_risk_percent]]&gt;0.7,"Highly Automatable",
IF(Table1[[#This Row],[automation_risk_percent]]&gt;0.4,"Moderate Risk","Safe Job"))</f>
        <v>Safe Job</v>
      </c>
    </row>
    <row r="2422" spans="1:24" x14ac:dyDescent="0.3">
      <c r="A2422">
        <v>8523</v>
      </c>
      <c r="B2422" t="s">
        <v>26</v>
      </c>
      <c r="C2422" t="s">
        <v>23</v>
      </c>
      <c r="D2422" t="s">
        <v>47</v>
      </c>
      <c r="E2422" s="1">
        <v>2026</v>
      </c>
      <c r="F2422" s="11">
        <v>8.5800000000000001E-2</v>
      </c>
      <c r="G2422">
        <v>7.39</v>
      </c>
      <c r="H2422">
        <v>34.35</v>
      </c>
      <c r="I2422" s="2">
        <v>119656.68</v>
      </c>
      <c r="J2422" s="2">
        <v>117357.19</v>
      </c>
      <c r="K2422" s="2">
        <f>Table1[[#This Row],[Salary_after]]-Table1[[#This Row],[Salary_before]]</f>
        <v>-2299.4899999999907</v>
      </c>
      <c r="L2422" s="11">
        <v>-1.9199999999999998E-2</v>
      </c>
      <c r="M2422" s="11">
        <v>-3.5999999999999999E-3</v>
      </c>
      <c r="N2422">
        <v>38.67</v>
      </c>
      <c r="O2422">
        <v>48.57</v>
      </c>
      <c r="P2422">
        <v>4</v>
      </c>
      <c r="Q2422" t="s">
        <v>21</v>
      </c>
      <c r="R2422">
        <v>21.465</v>
      </c>
      <c r="S2422">
        <v>1.92</v>
      </c>
      <c r="T2422" s="4">
        <v>14.313000000000001</v>
      </c>
      <c r="U2422" s="4">
        <v>4.167306</v>
      </c>
      <c r="V2422" t="str">
        <f>IF(Table1[[#This Row],[ai_disruption_intensity]]&gt;70,"High",
IF(Table1[[#This Row],[ai_disruption_intensity]]&gt;40,"Medium","Low"))</f>
        <v>Low</v>
      </c>
      <c r="W2422" t="str">
        <f>IF(Table1[[#This Row],[skill_gap_index]]&gt;70,"Large Gap",
IF(Table1[[#This Row],[skill_gap_index]]&gt;40,"Medium Gap","Small Gap"))</f>
        <v>Small Gap</v>
      </c>
      <c r="X2422" s="3" t="str">
        <f>IF(Table1[[#This Row],[automation_risk_percent]]&gt;0.7,"Highly Automatable",
IF(Table1[[#This Row],[automation_risk_percent]]&gt;0.4,"Moderate Risk","Safe Job"))</f>
        <v>Safe Job</v>
      </c>
    </row>
    <row r="2423" spans="1:24" x14ac:dyDescent="0.3">
      <c r="A2423">
        <v>8537</v>
      </c>
      <c r="B2423" t="s">
        <v>41</v>
      </c>
      <c r="C2423" t="s">
        <v>33</v>
      </c>
      <c r="D2423" t="s">
        <v>35</v>
      </c>
      <c r="E2423" s="1">
        <v>2025</v>
      </c>
      <c r="F2423" s="11">
        <v>0.31929999999999997</v>
      </c>
      <c r="G2423">
        <v>27.47</v>
      </c>
      <c r="H2423">
        <v>59.67</v>
      </c>
      <c r="I2423" s="2">
        <v>52799.65</v>
      </c>
      <c r="J2423" s="2">
        <v>50062.51</v>
      </c>
      <c r="K2423" s="2">
        <f>Table1[[#This Row],[Salary_after]]-Table1[[#This Row],[Salary_before]]</f>
        <v>-2737.1399999999994</v>
      </c>
      <c r="L2423" s="11">
        <v>-5.1799999999999999E-2</v>
      </c>
      <c r="M2423" s="11">
        <v>1.0500000000000001E-2</v>
      </c>
      <c r="N2423">
        <v>94.99</v>
      </c>
      <c r="O2423">
        <v>12.49</v>
      </c>
      <c r="P2423">
        <v>2</v>
      </c>
      <c r="Q2423" t="s">
        <v>25</v>
      </c>
      <c r="R2423">
        <v>45.8</v>
      </c>
      <c r="S2423">
        <v>5.18</v>
      </c>
      <c r="T2423" s="4">
        <v>32.226999999999997</v>
      </c>
      <c r="U2423" s="4">
        <v>3.988057</v>
      </c>
      <c r="V2423" t="str">
        <f>IF(Table1[[#This Row],[ai_disruption_intensity]]&gt;70,"High",
IF(Table1[[#This Row],[ai_disruption_intensity]]&gt;40,"Medium","Low"))</f>
        <v>Low</v>
      </c>
      <c r="W2423" t="str">
        <f>IF(Table1[[#This Row],[skill_gap_index]]&gt;70,"Large Gap",
IF(Table1[[#This Row],[skill_gap_index]]&gt;40,"Medium Gap","Small Gap"))</f>
        <v>Medium Gap</v>
      </c>
      <c r="X2423" s="3" t="str">
        <f>IF(Table1[[#This Row],[automation_risk_percent]]&gt;0.7,"Highly Automatable",
IF(Table1[[#This Row],[automation_risk_percent]]&gt;0.4,"Moderate Risk","Safe Job"))</f>
        <v>Safe Job</v>
      </c>
    </row>
    <row r="2424" spans="1:24" x14ac:dyDescent="0.3">
      <c r="A2424">
        <v>8538</v>
      </c>
      <c r="B2424" t="s">
        <v>43</v>
      </c>
      <c r="C2424" t="s">
        <v>27</v>
      </c>
      <c r="D2424" t="s">
        <v>32</v>
      </c>
      <c r="E2424" s="1">
        <v>2026</v>
      </c>
      <c r="F2424" s="11">
        <v>0.75190000000000001</v>
      </c>
      <c r="G2424">
        <v>69.97</v>
      </c>
      <c r="H2424">
        <v>82.16</v>
      </c>
      <c r="I2424" s="2">
        <v>143999.71</v>
      </c>
      <c r="J2424" s="2">
        <v>166491.63</v>
      </c>
      <c r="K2424" s="2">
        <f>Table1[[#This Row],[Salary_after]]-Table1[[#This Row],[Salary_before]]</f>
        <v>22491.920000000013</v>
      </c>
      <c r="L2424" s="11">
        <v>0.15620000000000001</v>
      </c>
      <c r="M2424" s="11">
        <v>6.1100000000000002E-2</v>
      </c>
      <c r="N2424">
        <v>33.94</v>
      </c>
      <c r="O2424">
        <v>38.299999999999997</v>
      </c>
      <c r="P2424">
        <v>3</v>
      </c>
      <c r="Q2424" t="s">
        <v>37</v>
      </c>
      <c r="R2424">
        <v>78.674999999999997</v>
      </c>
      <c r="S2424">
        <v>15.62</v>
      </c>
      <c r="T2424" s="4">
        <v>59.41</v>
      </c>
      <c r="U2424" s="4">
        <v>28.7977699999999</v>
      </c>
      <c r="V2424" t="str">
        <f>IF(Table1[[#This Row],[ai_disruption_intensity]]&gt;70,"High",
IF(Table1[[#This Row],[ai_disruption_intensity]]&gt;40,"Medium","Low"))</f>
        <v>Low</v>
      </c>
      <c r="W2424" t="str">
        <f>IF(Table1[[#This Row],[skill_gap_index]]&gt;70,"Large Gap",
IF(Table1[[#This Row],[skill_gap_index]]&gt;40,"Medium Gap","Small Gap"))</f>
        <v>Large Gap</v>
      </c>
      <c r="X2424" s="3" t="str">
        <f>IF(Table1[[#This Row],[automation_risk_percent]]&gt;0.7,"Highly Automatable",
IF(Table1[[#This Row],[automation_risk_percent]]&gt;0.4,"Moderate Risk","Safe Job"))</f>
        <v>Highly Automatable</v>
      </c>
    </row>
    <row r="2425" spans="1:24" x14ac:dyDescent="0.3">
      <c r="A2425">
        <v>8542</v>
      </c>
      <c r="B2425" t="s">
        <v>43</v>
      </c>
      <c r="C2425" t="s">
        <v>34</v>
      </c>
      <c r="D2425" t="s">
        <v>31</v>
      </c>
      <c r="E2425" s="1">
        <v>2026</v>
      </c>
      <c r="F2425" s="11">
        <v>0.69</v>
      </c>
      <c r="G2425">
        <v>56.14</v>
      </c>
      <c r="H2425">
        <v>53.55</v>
      </c>
      <c r="I2425" s="2">
        <v>108031.67999999999</v>
      </c>
      <c r="J2425" s="2">
        <v>109425.78</v>
      </c>
      <c r="K2425" s="2">
        <f>Table1[[#This Row],[Salary_after]]-Table1[[#This Row],[Salary_before]]</f>
        <v>1394.1000000000058</v>
      </c>
      <c r="L2425" s="11">
        <v>1.29E-2</v>
      </c>
      <c r="M2425" s="11">
        <v>0.1018</v>
      </c>
      <c r="N2425">
        <v>20.53</v>
      </c>
      <c r="O2425">
        <v>93.24</v>
      </c>
      <c r="P2425">
        <v>5</v>
      </c>
      <c r="Q2425" t="s">
        <v>37</v>
      </c>
      <c r="R2425">
        <v>61.274999999999999</v>
      </c>
      <c r="S2425">
        <v>1.29</v>
      </c>
      <c r="T2425" s="4">
        <v>44.052</v>
      </c>
      <c r="U2425" s="4">
        <v>64.335599999999999</v>
      </c>
      <c r="V2425" t="str">
        <f>IF(Table1[[#This Row],[ai_disruption_intensity]]&gt;70,"High",
IF(Table1[[#This Row],[ai_disruption_intensity]]&gt;40,"Medium","Low"))</f>
        <v>Medium</v>
      </c>
      <c r="W2425" t="str">
        <f>IF(Table1[[#This Row],[skill_gap_index]]&gt;70,"Large Gap",
IF(Table1[[#This Row],[skill_gap_index]]&gt;40,"Medium Gap","Small Gap"))</f>
        <v>Medium Gap</v>
      </c>
      <c r="X2425" s="3" t="str">
        <f>IF(Table1[[#This Row],[automation_risk_percent]]&gt;0.7,"Highly Automatable",
IF(Table1[[#This Row],[automation_risk_percent]]&gt;0.4,"Moderate Risk","Safe Job"))</f>
        <v>Moderate Risk</v>
      </c>
    </row>
    <row r="2426" spans="1:24" x14ac:dyDescent="0.3">
      <c r="A2426">
        <v>8550</v>
      </c>
      <c r="B2426" t="s">
        <v>46</v>
      </c>
      <c r="C2426" t="s">
        <v>33</v>
      </c>
      <c r="D2426" t="s">
        <v>24</v>
      </c>
      <c r="E2426" s="1">
        <v>2026</v>
      </c>
      <c r="F2426" s="11">
        <v>0.1104</v>
      </c>
      <c r="G2426">
        <v>11.85</v>
      </c>
      <c r="H2426">
        <v>96.02</v>
      </c>
      <c r="I2426" s="2">
        <v>60727.39</v>
      </c>
      <c r="J2426" s="2">
        <v>54781.77</v>
      </c>
      <c r="K2426" s="2">
        <f>Table1[[#This Row],[Salary_after]]-Table1[[#This Row],[Salary_before]]</f>
        <v>-5945.6200000000026</v>
      </c>
      <c r="L2426" s="11">
        <v>-9.7899999999999987E-2</v>
      </c>
      <c r="M2426" s="11">
        <v>0.13800000000000001</v>
      </c>
      <c r="N2426">
        <v>37.64</v>
      </c>
      <c r="O2426">
        <v>48.53</v>
      </c>
      <c r="P2426">
        <v>2</v>
      </c>
      <c r="Q2426" t="s">
        <v>21</v>
      </c>
      <c r="R2426">
        <v>53.53</v>
      </c>
      <c r="S2426">
        <v>9.7899999999999991</v>
      </c>
      <c r="T2426" s="4">
        <v>36.158999999999899</v>
      </c>
      <c r="U2426" s="4">
        <v>5.3577120000000003</v>
      </c>
      <c r="V2426" t="str">
        <f>IF(Table1[[#This Row],[ai_disruption_intensity]]&gt;70,"High",
IF(Table1[[#This Row],[ai_disruption_intensity]]&gt;40,"Medium","Low"))</f>
        <v>Low</v>
      </c>
      <c r="W2426" t="str">
        <f>IF(Table1[[#This Row],[skill_gap_index]]&gt;70,"Large Gap",
IF(Table1[[#This Row],[skill_gap_index]]&gt;40,"Medium Gap","Small Gap"))</f>
        <v>Large Gap</v>
      </c>
      <c r="X2426" s="3" t="str">
        <f>IF(Table1[[#This Row],[automation_risk_percent]]&gt;0.7,"Highly Automatable",
IF(Table1[[#This Row],[automation_risk_percent]]&gt;0.4,"Moderate Risk","Safe Job"))</f>
        <v>Safe Job</v>
      </c>
    </row>
    <row r="2427" spans="1:24" x14ac:dyDescent="0.3">
      <c r="A2427">
        <v>8553</v>
      </c>
      <c r="B2427" t="s">
        <v>29</v>
      </c>
      <c r="C2427" t="s">
        <v>23</v>
      </c>
      <c r="D2427" t="s">
        <v>32</v>
      </c>
      <c r="E2427" s="1">
        <v>2025</v>
      </c>
      <c r="F2427" s="11">
        <v>0.39600000000000002</v>
      </c>
      <c r="G2427">
        <v>43.88</v>
      </c>
      <c r="H2427">
        <v>62.49</v>
      </c>
      <c r="I2427" s="2">
        <v>118214.88</v>
      </c>
      <c r="J2427" s="2">
        <v>108121.28</v>
      </c>
      <c r="K2427" s="2">
        <f>Table1[[#This Row],[Salary_after]]-Table1[[#This Row],[Salary_before]]</f>
        <v>-10093.600000000006</v>
      </c>
      <c r="L2427" s="11">
        <v>-8.539999999999999E-2</v>
      </c>
      <c r="M2427" s="11">
        <v>2.1299999999999999E-2</v>
      </c>
      <c r="N2427">
        <v>82.48</v>
      </c>
      <c r="O2427">
        <v>14.04</v>
      </c>
      <c r="P2427">
        <v>2</v>
      </c>
      <c r="Q2427" t="s">
        <v>25</v>
      </c>
      <c r="R2427">
        <v>51.045000000000002</v>
      </c>
      <c r="S2427">
        <v>8.5399999999999991</v>
      </c>
      <c r="T2427" s="4">
        <v>37.149000000000001</v>
      </c>
      <c r="U2427" s="4">
        <v>5.5598400000000003</v>
      </c>
      <c r="V2427" t="str">
        <f>IF(Table1[[#This Row],[ai_disruption_intensity]]&gt;70,"High",
IF(Table1[[#This Row],[ai_disruption_intensity]]&gt;40,"Medium","Low"))</f>
        <v>Low</v>
      </c>
      <c r="W2427" t="str">
        <f>IF(Table1[[#This Row],[skill_gap_index]]&gt;70,"Large Gap",
IF(Table1[[#This Row],[skill_gap_index]]&gt;40,"Medium Gap","Small Gap"))</f>
        <v>Medium Gap</v>
      </c>
      <c r="X2427" s="3" t="str">
        <f>IF(Table1[[#This Row],[automation_risk_percent]]&gt;0.7,"Highly Automatable",
IF(Table1[[#This Row],[automation_risk_percent]]&gt;0.4,"Moderate Risk","Safe Job"))</f>
        <v>Safe Job</v>
      </c>
    </row>
    <row r="2428" spans="1:24" x14ac:dyDescent="0.3">
      <c r="A2428">
        <v>8558</v>
      </c>
      <c r="B2428" t="s">
        <v>26</v>
      </c>
      <c r="C2428" t="s">
        <v>30</v>
      </c>
      <c r="D2428" t="s">
        <v>31</v>
      </c>
      <c r="E2428" s="1">
        <v>2025</v>
      </c>
      <c r="F2428" s="11">
        <v>0.2452</v>
      </c>
      <c r="G2428">
        <v>23.55</v>
      </c>
      <c r="H2428">
        <v>88.52</v>
      </c>
      <c r="I2428" s="2">
        <v>101047.34</v>
      </c>
      <c r="J2428" s="2">
        <v>91469.42</v>
      </c>
      <c r="K2428" s="2">
        <f>Table1[[#This Row],[Salary_after]]-Table1[[#This Row],[Salary_before]]</f>
        <v>-9577.9199999999983</v>
      </c>
      <c r="L2428" s="11">
        <v>-9.4800000000000009E-2</v>
      </c>
      <c r="M2428" s="11">
        <v>0.15090000000000001</v>
      </c>
      <c r="N2428">
        <v>99.09</v>
      </c>
      <c r="O2428">
        <v>28.07</v>
      </c>
      <c r="P2428">
        <v>2</v>
      </c>
      <c r="Q2428" t="s">
        <v>21</v>
      </c>
      <c r="R2428">
        <v>56.519999999999897</v>
      </c>
      <c r="S2428">
        <v>9.48</v>
      </c>
      <c r="T2428" s="4">
        <v>39.207999999999998</v>
      </c>
      <c r="U2428" s="4">
        <v>6.8827639999999999</v>
      </c>
      <c r="V2428" t="str">
        <f>IF(Table1[[#This Row],[ai_disruption_intensity]]&gt;70,"High",
IF(Table1[[#This Row],[ai_disruption_intensity]]&gt;40,"Medium","Low"))</f>
        <v>Low</v>
      </c>
      <c r="W2428" t="str">
        <f>IF(Table1[[#This Row],[skill_gap_index]]&gt;70,"Large Gap",
IF(Table1[[#This Row],[skill_gap_index]]&gt;40,"Medium Gap","Small Gap"))</f>
        <v>Large Gap</v>
      </c>
      <c r="X2428" s="3" t="str">
        <f>IF(Table1[[#This Row],[automation_risk_percent]]&gt;0.7,"Highly Automatable",
IF(Table1[[#This Row],[automation_risk_percent]]&gt;0.4,"Moderate Risk","Safe Job"))</f>
        <v>Safe Job</v>
      </c>
    </row>
    <row r="2429" spans="1:24" x14ac:dyDescent="0.3">
      <c r="A2429">
        <v>8561</v>
      </c>
      <c r="B2429" t="s">
        <v>43</v>
      </c>
      <c r="C2429" t="s">
        <v>34</v>
      </c>
      <c r="D2429" t="s">
        <v>36</v>
      </c>
      <c r="E2429" s="1">
        <v>2025</v>
      </c>
      <c r="F2429" s="11">
        <v>0.12710000000000002</v>
      </c>
      <c r="G2429">
        <v>14.89</v>
      </c>
      <c r="H2429">
        <v>30.8</v>
      </c>
      <c r="I2429" s="2">
        <v>65994.3</v>
      </c>
      <c r="J2429" s="2">
        <v>49409.69</v>
      </c>
      <c r="K2429" s="2">
        <f>Table1[[#This Row],[Salary_after]]-Table1[[#This Row],[Salary_before]]</f>
        <v>-16584.61</v>
      </c>
      <c r="L2429" s="11">
        <v>-0.25129999999999997</v>
      </c>
      <c r="M2429" s="11">
        <v>-5.79E-2</v>
      </c>
      <c r="N2429">
        <v>96.61</v>
      </c>
      <c r="O2429">
        <v>16.5</v>
      </c>
      <c r="P2429">
        <v>5</v>
      </c>
      <c r="Q2429" t="s">
        <v>21</v>
      </c>
      <c r="R2429">
        <v>21.754999999999999</v>
      </c>
      <c r="S2429">
        <v>25.13</v>
      </c>
      <c r="T2429" s="4">
        <v>21.863</v>
      </c>
      <c r="U2429" s="4">
        <v>2.0971500000000001</v>
      </c>
      <c r="V2429" t="str">
        <f>IF(Table1[[#This Row],[ai_disruption_intensity]]&gt;70,"High",
IF(Table1[[#This Row],[ai_disruption_intensity]]&gt;40,"Medium","Low"))</f>
        <v>Low</v>
      </c>
      <c r="W2429" t="str">
        <f>IF(Table1[[#This Row],[skill_gap_index]]&gt;70,"Large Gap",
IF(Table1[[#This Row],[skill_gap_index]]&gt;40,"Medium Gap","Small Gap"))</f>
        <v>Small Gap</v>
      </c>
      <c r="X2429" s="3" t="str">
        <f>IF(Table1[[#This Row],[automation_risk_percent]]&gt;0.7,"Highly Automatable",
IF(Table1[[#This Row],[automation_risk_percent]]&gt;0.4,"Moderate Risk","Safe Job"))</f>
        <v>Safe Job</v>
      </c>
    </row>
    <row r="2430" spans="1:24" x14ac:dyDescent="0.3">
      <c r="A2430">
        <v>8563</v>
      </c>
      <c r="B2430" t="s">
        <v>29</v>
      </c>
      <c r="C2430" t="s">
        <v>27</v>
      </c>
      <c r="D2430" t="s">
        <v>36</v>
      </c>
      <c r="E2430" s="1">
        <v>2026</v>
      </c>
      <c r="F2430" s="11">
        <v>0.90510000000000002</v>
      </c>
      <c r="G2430">
        <v>84.8</v>
      </c>
      <c r="H2430">
        <v>31.21</v>
      </c>
      <c r="I2430" s="2">
        <v>117173.36</v>
      </c>
      <c r="J2430" s="2">
        <v>103893.6</v>
      </c>
      <c r="K2430" s="2">
        <f>Table1[[#This Row],[Salary_after]]-Table1[[#This Row],[Salary_before]]</f>
        <v>-13279.759999999995</v>
      </c>
      <c r="L2430" s="11">
        <v>-0.1133</v>
      </c>
      <c r="M2430" s="11">
        <v>0.21210000000000001</v>
      </c>
      <c r="N2430">
        <v>30.58</v>
      </c>
      <c r="O2430">
        <v>61.84</v>
      </c>
      <c r="P2430">
        <v>3</v>
      </c>
      <c r="Q2430" t="s">
        <v>37</v>
      </c>
      <c r="R2430">
        <v>60.86</v>
      </c>
      <c r="S2430">
        <v>11.33</v>
      </c>
      <c r="T2430" s="4">
        <v>48.966000000000001</v>
      </c>
      <c r="U2430" s="4">
        <v>55.971384</v>
      </c>
      <c r="V2430" t="str">
        <f>IF(Table1[[#This Row],[ai_disruption_intensity]]&gt;70,"High",
IF(Table1[[#This Row],[ai_disruption_intensity]]&gt;40,"Medium","Low"))</f>
        <v>Medium</v>
      </c>
      <c r="W2430" t="str">
        <f>IF(Table1[[#This Row],[skill_gap_index]]&gt;70,"Large Gap",
IF(Table1[[#This Row],[skill_gap_index]]&gt;40,"Medium Gap","Small Gap"))</f>
        <v>Small Gap</v>
      </c>
      <c r="X2430" s="3" t="str">
        <f>IF(Table1[[#This Row],[automation_risk_percent]]&gt;0.7,"Highly Automatable",
IF(Table1[[#This Row],[automation_risk_percent]]&gt;0.4,"Moderate Risk","Safe Job"))</f>
        <v>Highly Automatable</v>
      </c>
    </row>
    <row r="2431" spans="1:24" x14ac:dyDescent="0.3">
      <c r="A2431">
        <v>8565</v>
      </c>
      <c r="B2431" t="s">
        <v>29</v>
      </c>
      <c r="C2431" t="s">
        <v>40</v>
      </c>
      <c r="D2431" t="s">
        <v>20</v>
      </c>
      <c r="E2431" s="1">
        <v>2025</v>
      </c>
      <c r="F2431" s="11">
        <v>0.9194</v>
      </c>
      <c r="G2431">
        <v>80.56</v>
      </c>
      <c r="H2431">
        <v>17.23</v>
      </c>
      <c r="I2431" s="2">
        <v>75443.600000000006</v>
      </c>
      <c r="J2431" s="2">
        <v>68865.63</v>
      </c>
      <c r="K2431" s="2">
        <f>Table1[[#This Row],[Salary_after]]-Table1[[#This Row],[Salary_before]]</f>
        <v>-6577.9700000000012</v>
      </c>
      <c r="L2431" s="11">
        <v>-8.72E-2</v>
      </c>
      <c r="M2431" s="11">
        <v>-2.2599999999999999E-2</v>
      </c>
      <c r="N2431">
        <v>95.49</v>
      </c>
      <c r="O2431">
        <v>34.479999999999997</v>
      </c>
      <c r="P2431">
        <v>2</v>
      </c>
      <c r="Q2431" t="s">
        <v>37</v>
      </c>
      <c r="R2431">
        <v>54.585000000000001</v>
      </c>
      <c r="S2431">
        <v>8.7200000000000006</v>
      </c>
      <c r="T2431" s="4">
        <v>44.561</v>
      </c>
      <c r="U2431" s="4">
        <v>31.700911999999999</v>
      </c>
      <c r="V2431" t="str">
        <f>IF(Table1[[#This Row],[ai_disruption_intensity]]&gt;70,"High",
IF(Table1[[#This Row],[ai_disruption_intensity]]&gt;40,"Medium","Low"))</f>
        <v>Low</v>
      </c>
      <c r="W2431" t="str">
        <f>IF(Table1[[#This Row],[skill_gap_index]]&gt;70,"Large Gap",
IF(Table1[[#This Row],[skill_gap_index]]&gt;40,"Medium Gap","Small Gap"))</f>
        <v>Small Gap</v>
      </c>
      <c r="X2431" s="3" t="str">
        <f>IF(Table1[[#This Row],[automation_risk_percent]]&gt;0.7,"Highly Automatable",
IF(Table1[[#This Row],[automation_risk_percent]]&gt;0.4,"Moderate Risk","Safe Job"))</f>
        <v>Highly Automatable</v>
      </c>
    </row>
    <row r="2432" spans="1:24" x14ac:dyDescent="0.3">
      <c r="A2432">
        <v>8566</v>
      </c>
      <c r="B2432" t="s">
        <v>18</v>
      </c>
      <c r="C2432" t="s">
        <v>19</v>
      </c>
      <c r="D2432" t="s">
        <v>20</v>
      </c>
      <c r="E2432" s="1">
        <v>2026</v>
      </c>
      <c r="F2432" s="11">
        <v>0.1419</v>
      </c>
      <c r="G2432">
        <v>16.46</v>
      </c>
      <c r="H2432">
        <v>44.82</v>
      </c>
      <c r="I2432" s="2">
        <v>118313.01</v>
      </c>
      <c r="J2432" s="2">
        <v>125269.03</v>
      </c>
      <c r="K2432" s="2">
        <f>Table1[[#This Row],[Salary_after]]-Table1[[#This Row],[Salary_before]]</f>
        <v>6956.0200000000041</v>
      </c>
      <c r="L2432" s="11">
        <v>5.8799999999999998E-2</v>
      </c>
      <c r="M2432" s="11">
        <v>3.2099999999999997E-2</v>
      </c>
      <c r="N2432">
        <v>35.9</v>
      </c>
      <c r="O2432">
        <v>66.28</v>
      </c>
      <c r="P2432">
        <v>2</v>
      </c>
      <c r="Q2432" t="s">
        <v>21</v>
      </c>
      <c r="R2432">
        <v>29.504999999999999</v>
      </c>
      <c r="S2432">
        <v>5.88</v>
      </c>
      <c r="T2432" s="4">
        <v>20.885999999999999</v>
      </c>
      <c r="U2432" s="4">
        <v>9.405132</v>
      </c>
      <c r="V2432" t="str">
        <f>IF(Table1[[#This Row],[ai_disruption_intensity]]&gt;70,"High",
IF(Table1[[#This Row],[ai_disruption_intensity]]&gt;40,"Medium","Low"))</f>
        <v>Low</v>
      </c>
      <c r="W2432" t="str">
        <f>IF(Table1[[#This Row],[skill_gap_index]]&gt;70,"Large Gap",
IF(Table1[[#This Row],[skill_gap_index]]&gt;40,"Medium Gap","Small Gap"))</f>
        <v>Medium Gap</v>
      </c>
      <c r="X2432" s="3" t="str">
        <f>IF(Table1[[#This Row],[automation_risk_percent]]&gt;0.7,"Highly Automatable",
IF(Table1[[#This Row],[automation_risk_percent]]&gt;0.4,"Moderate Risk","Safe Job"))</f>
        <v>Safe Job</v>
      </c>
    </row>
    <row r="2433" spans="1:24" x14ac:dyDescent="0.3">
      <c r="A2433">
        <v>8568</v>
      </c>
      <c r="B2433" t="s">
        <v>26</v>
      </c>
      <c r="C2433" t="s">
        <v>34</v>
      </c>
      <c r="D2433" t="s">
        <v>32</v>
      </c>
      <c r="E2433" s="1">
        <v>2025</v>
      </c>
      <c r="F2433" s="11">
        <v>0.43909999999999999</v>
      </c>
      <c r="G2433">
        <v>38.909999999999997</v>
      </c>
      <c r="H2433">
        <v>73.88</v>
      </c>
      <c r="I2433" s="2">
        <v>125576.36</v>
      </c>
      <c r="J2433" s="2">
        <v>159591.15</v>
      </c>
      <c r="K2433" s="2">
        <f>Table1[[#This Row],[Salary_after]]-Table1[[#This Row],[Salary_before]]</f>
        <v>34014.789999999994</v>
      </c>
      <c r="L2433" s="11">
        <v>0.27089999999999997</v>
      </c>
      <c r="M2433" s="11">
        <v>-4.1599999999999998E-2</v>
      </c>
      <c r="N2433">
        <v>46.81</v>
      </c>
      <c r="O2433">
        <v>97.4</v>
      </c>
      <c r="P2433">
        <v>3</v>
      </c>
      <c r="Q2433" t="s">
        <v>25</v>
      </c>
      <c r="R2433">
        <v>58.894999999999897</v>
      </c>
      <c r="S2433">
        <v>27.09</v>
      </c>
      <c r="T2433" s="4">
        <v>47.854999999999897</v>
      </c>
      <c r="U2433" s="4">
        <v>42.768339999999903</v>
      </c>
      <c r="V2433" t="str">
        <f>IF(Table1[[#This Row],[ai_disruption_intensity]]&gt;70,"High",
IF(Table1[[#This Row],[ai_disruption_intensity]]&gt;40,"Medium","Low"))</f>
        <v>Medium</v>
      </c>
      <c r="W2433" t="str">
        <f>IF(Table1[[#This Row],[skill_gap_index]]&gt;70,"Large Gap",
IF(Table1[[#This Row],[skill_gap_index]]&gt;40,"Medium Gap","Small Gap"))</f>
        <v>Large Gap</v>
      </c>
      <c r="X2433" s="3" t="str">
        <f>IF(Table1[[#This Row],[automation_risk_percent]]&gt;0.7,"Highly Automatable",
IF(Table1[[#This Row],[automation_risk_percent]]&gt;0.4,"Moderate Risk","Safe Job"))</f>
        <v>Moderate Risk</v>
      </c>
    </row>
    <row r="2434" spans="1:24" x14ac:dyDescent="0.3">
      <c r="A2434">
        <v>8569</v>
      </c>
      <c r="B2434" t="s">
        <v>39</v>
      </c>
      <c r="C2434" t="s">
        <v>27</v>
      </c>
      <c r="D2434" t="s">
        <v>42</v>
      </c>
      <c r="E2434" s="1">
        <v>2025</v>
      </c>
      <c r="F2434" s="11">
        <v>0.74590000000000001</v>
      </c>
      <c r="G2434">
        <v>89.11</v>
      </c>
      <c r="H2434">
        <v>98.49</v>
      </c>
      <c r="I2434" s="2">
        <v>137454.81</v>
      </c>
      <c r="J2434" s="2">
        <v>145996</v>
      </c>
      <c r="K2434" s="2">
        <f>Table1[[#This Row],[Salary_after]]-Table1[[#This Row],[Salary_before]]</f>
        <v>8541.1900000000023</v>
      </c>
      <c r="L2434" s="11">
        <v>6.2100000000000002E-2</v>
      </c>
      <c r="M2434" s="11">
        <v>8.7599999999999997E-2</v>
      </c>
      <c r="N2434">
        <v>79.3</v>
      </c>
      <c r="O2434">
        <v>13.96</v>
      </c>
      <c r="P2434">
        <v>3</v>
      </c>
      <c r="Q2434" t="s">
        <v>37</v>
      </c>
      <c r="R2434">
        <v>86.539999999999907</v>
      </c>
      <c r="S2434">
        <v>6.21</v>
      </c>
      <c r="T2434" s="4">
        <v>61.245999999999903</v>
      </c>
      <c r="U2434" s="4">
        <v>10.412763999999999</v>
      </c>
      <c r="V2434" t="str">
        <f>IF(Table1[[#This Row],[ai_disruption_intensity]]&gt;70,"High",
IF(Table1[[#This Row],[ai_disruption_intensity]]&gt;40,"Medium","Low"))</f>
        <v>Low</v>
      </c>
      <c r="W2434" t="str">
        <f>IF(Table1[[#This Row],[skill_gap_index]]&gt;70,"Large Gap",
IF(Table1[[#This Row],[skill_gap_index]]&gt;40,"Medium Gap","Small Gap"))</f>
        <v>Large Gap</v>
      </c>
      <c r="X2434" s="3" t="str">
        <f>IF(Table1[[#This Row],[automation_risk_percent]]&gt;0.7,"Highly Automatable",
IF(Table1[[#This Row],[automation_risk_percent]]&gt;0.4,"Moderate Risk","Safe Job"))</f>
        <v>Highly Automatable</v>
      </c>
    </row>
    <row r="2435" spans="1:24" x14ac:dyDescent="0.3">
      <c r="A2435">
        <v>8575</v>
      </c>
      <c r="B2435" t="s">
        <v>45</v>
      </c>
      <c r="C2435" t="s">
        <v>23</v>
      </c>
      <c r="D2435" t="s">
        <v>32</v>
      </c>
      <c r="E2435" s="1">
        <v>2026</v>
      </c>
      <c r="F2435" s="11">
        <v>0.37909999999999999</v>
      </c>
      <c r="G2435">
        <v>38.6</v>
      </c>
      <c r="H2435">
        <v>93.55</v>
      </c>
      <c r="I2435" s="2">
        <v>40062.019999999997</v>
      </c>
      <c r="J2435" s="2">
        <v>36111.64</v>
      </c>
      <c r="K2435" s="2">
        <f>Table1[[#This Row],[Salary_after]]-Table1[[#This Row],[Salary_before]]</f>
        <v>-3950.3799999999974</v>
      </c>
      <c r="L2435" s="11">
        <v>-9.8599999999999993E-2</v>
      </c>
      <c r="M2435" s="11">
        <v>4.1299999999999996E-2</v>
      </c>
      <c r="N2435">
        <v>89.52</v>
      </c>
      <c r="O2435">
        <v>13.67</v>
      </c>
      <c r="P2435">
        <v>5</v>
      </c>
      <c r="Q2435" t="s">
        <v>25</v>
      </c>
      <c r="R2435">
        <v>65.729999999999905</v>
      </c>
      <c r="S2435">
        <v>9.86</v>
      </c>
      <c r="T2435" s="4">
        <v>46.186999999999998</v>
      </c>
      <c r="U2435" s="4">
        <v>5.1822970000000002</v>
      </c>
      <c r="V2435" t="str">
        <f>IF(Table1[[#This Row],[ai_disruption_intensity]]&gt;70,"High",
IF(Table1[[#This Row],[ai_disruption_intensity]]&gt;40,"Medium","Low"))</f>
        <v>Low</v>
      </c>
      <c r="W2435" t="str">
        <f>IF(Table1[[#This Row],[skill_gap_index]]&gt;70,"Large Gap",
IF(Table1[[#This Row],[skill_gap_index]]&gt;40,"Medium Gap","Small Gap"))</f>
        <v>Large Gap</v>
      </c>
      <c r="X2435" s="3" t="str">
        <f>IF(Table1[[#This Row],[automation_risk_percent]]&gt;0.7,"Highly Automatable",
IF(Table1[[#This Row],[automation_risk_percent]]&gt;0.4,"Moderate Risk","Safe Job"))</f>
        <v>Safe Job</v>
      </c>
    </row>
    <row r="2436" spans="1:24" x14ac:dyDescent="0.3">
      <c r="A2436">
        <v>8581</v>
      </c>
      <c r="B2436" t="s">
        <v>44</v>
      </c>
      <c r="C2436" t="s">
        <v>27</v>
      </c>
      <c r="D2436" t="s">
        <v>32</v>
      </c>
      <c r="E2436" s="1">
        <v>2025</v>
      </c>
      <c r="F2436" s="11">
        <v>0.61370000000000002</v>
      </c>
      <c r="G2436">
        <v>56.64</v>
      </c>
      <c r="H2436">
        <v>16.690000000000001</v>
      </c>
      <c r="I2436" s="2">
        <v>64923.29</v>
      </c>
      <c r="J2436" s="2">
        <v>71416.14</v>
      </c>
      <c r="K2436" s="2">
        <f>Table1[[#This Row],[Salary_after]]-Table1[[#This Row],[Salary_before]]</f>
        <v>6492.8499999999985</v>
      </c>
      <c r="L2436" s="11">
        <v>0.1</v>
      </c>
      <c r="M2436" s="11">
        <v>8.0700000000000008E-2</v>
      </c>
      <c r="N2436">
        <v>83.83</v>
      </c>
      <c r="O2436">
        <v>15.32</v>
      </c>
      <c r="P2436">
        <v>4</v>
      </c>
      <c r="Q2436" t="s">
        <v>37</v>
      </c>
      <c r="R2436">
        <v>39.03</v>
      </c>
      <c r="S2436">
        <v>10</v>
      </c>
      <c r="T2436" s="4">
        <v>32.555</v>
      </c>
      <c r="U2436" s="4">
        <v>9.4018840000000008</v>
      </c>
      <c r="V2436" t="str">
        <f>IF(Table1[[#This Row],[ai_disruption_intensity]]&gt;70,"High",
IF(Table1[[#This Row],[ai_disruption_intensity]]&gt;40,"Medium","Low"))</f>
        <v>Low</v>
      </c>
      <c r="W2436" t="str">
        <f>IF(Table1[[#This Row],[skill_gap_index]]&gt;70,"Large Gap",
IF(Table1[[#This Row],[skill_gap_index]]&gt;40,"Medium Gap","Small Gap"))</f>
        <v>Small Gap</v>
      </c>
      <c r="X2436" s="3" t="str">
        <f>IF(Table1[[#This Row],[automation_risk_percent]]&gt;0.7,"Highly Automatable",
IF(Table1[[#This Row],[automation_risk_percent]]&gt;0.4,"Moderate Risk","Safe Job"))</f>
        <v>Moderate Risk</v>
      </c>
    </row>
    <row r="2437" spans="1:24" x14ac:dyDescent="0.3">
      <c r="A2437">
        <v>8582</v>
      </c>
      <c r="B2437" t="s">
        <v>26</v>
      </c>
      <c r="C2437" t="s">
        <v>23</v>
      </c>
      <c r="D2437" t="s">
        <v>35</v>
      </c>
      <c r="E2437" s="1">
        <v>2025</v>
      </c>
      <c r="F2437" s="11">
        <v>0.31010000000000004</v>
      </c>
      <c r="G2437">
        <v>36.869999999999997</v>
      </c>
      <c r="H2437">
        <v>23.38</v>
      </c>
      <c r="I2437" s="2">
        <v>36028.67</v>
      </c>
      <c r="J2437" s="2">
        <v>36582.519999999997</v>
      </c>
      <c r="K2437" s="2">
        <f>Table1[[#This Row],[Salary_after]]-Table1[[#This Row],[Salary_before]]</f>
        <v>553.84999999999854</v>
      </c>
      <c r="L2437" s="11">
        <v>1.54E-2</v>
      </c>
      <c r="M2437" s="11">
        <v>-0.1663</v>
      </c>
      <c r="N2437">
        <v>15.03</v>
      </c>
      <c r="O2437">
        <v>42.67</v>
      </c>
      <c r="P2437">
        <v>5</v>
      </c>
      <c r="Q2437" t="s">
        <v>25</v>
      </c>
      <c r="R2437">
        <v>27.195</v>
      </c>
      <c r="S2437">
        <v>1.54</v>
      </c>
      <c r="T2437" s="4">
        <v>19.88</v>
      </c>
      <c r="U2437" s="4">
        <v>13.231966999999999</v>
      </c>
      <c r="V2437" t="str">
        <f>IF(Table1[[#This Row],[ai_disruption_intensity]]&gt;70,"High",
IF(Table1[[#This Row],[ai_disruption_intensity]]&gt;40,"Medium","Low"))</f>
        <v>Low</v>
      </c>
      <c r="W2437" t="str">
        <f>IF(Table1[[#This Row],[skill_gap_index]]&gt;70,"Large Gap",
IF(Table1[[#This Row],[skill_gap_index]]&gt;40,"Medium Gap","Small Gap"))</f>
        <v>Small Gap</v>
      </c>
      <c r="X2437" s="3" t="str">
        <f>IF(Table1[[#This Row],[automation_risk_percent]]&gt;0.7,"Highly Automatable",
IF(Table1[[#This Row],[automation_risk_percent]]&gt;0.4,"Moderate Risk","Safe Job"))</f>
        <v>Safe Job</v>
      </c>
    </row>
    <row r="2438" spans="1:24" x14ac:dyDescent="0.3">
      <c r="A2438">
        <v>8584</v>
      </c>
      <c r="B2438" t="s">
        <v>18</v>
      </c>
      <c r="C2438" t="s">
        <v>19</v>
      </c>
      <c r="D2438" t="s">
        <v>24</v>
      </c>
      <c r="E2438" s="1">
        <v>2025</v>
      </c>
      <c r="F2438" s="11">
        <v>0.68370000000000009</v>
      </c>
      <c r="G2438">
        <v>74.8</v>
      </c>
      <c r="H2438">
        <v>95.6</v>
      </c>
      <c r="I2438" s="2">
        <v>144066.06</v>
      </c>
      <c r="J2438" s="2">
        <v>154519.59</v>
      </c>
      <c r="K2438" s="2">
        <f>Table1[[#This Row],[Salary_after]]-Table1[[#This Row],[Salary_before]]</f>
        <v>10453.529999999999</v>
      </c>
      <c r="L2438" s="11">
        <v>7.2599999999999998E-2</v>
      </c>
      <c r="M2438" s="11">
        <v>0.14349999999999999</v>
      </c>
      <c r="N2438">
        <v>37.479999999999997</v>
      </c>
      <c r="O2438">
        <v>9.1199999999999992</v>
      </c>
      <c r="P2438">
        <v>3</v>
      </c>
      <c r="Q2438" t="s">
        <v>37</v>
      </c>
      <c r="R2438">
        <v>81.984999999999999</v>
      </c>
      <c r="S2438">
        <v>7.26</v>
      </c>
      <c r="T2438" s="4">
        <v>58.205999999999896</v>
      </c>
      <c r="U2438" s="4">
        <v>6.2353440000000004</v>
      </c>
      <c r="V2438" t="str">
        <f>IF(Table1[[#This Row],[ai_disruption_intensity]]&gt;70,"High",
IF(Table1[[#This Row],[ai_disruption_intensity]]&gt;40,"Medium","Low"))</f>
        <v>Low</v>
      </c>
      <c r="W2438" t="str">
        <f>IF(Table1[[#This Row],[skill_gap_index]]&gt;70,"Large Gap",
IF(Table1[[#This Row],[skill_gap_index]]&gt;40,"Medium Gap","Small Gap"))</f>
        <v>Large Gap</v>
      </c>
      <c r="X2438" s="3" t="str">
        <f>IF(Table1[[#This Row],[automation_risk_percent]]&gt;0.7,"Highly Automatable",
IF(Table1[[#This Row],[automation_risk_percent]]&gt;0.4,"Moderate Risk","Safe Job"))</f>
        <v>Moderate Risk</v>
      </c>
    </row>
    <row r="2439" spans="1:24" x14ac:dyDescent="0.3">
      <c r="A2439">
        <v>8585</v>
      </c>
      <c r="B2439" t="s">
        <v>39</v>
      </c>
      <c r="C2439" t="s">
        <v>40</v>
      </c>
      <c r="D2439" t="s">
        <v>42</v>
      </c>
      <c r="E2439" s="1">
        <v>2026</v>
      </c>
      <c r="F2439" s="11">
        <v>0.16500000000000001</v>
      </c>
      <c r="G2439">
        <v>18.059999999999999</v>
      </c>
      <c r="H2439">
        <v>2.84</v>
      </c>
      <c r="I2439" s="2">
        <v>127969.11</v>
      </c>
      <c r="J2439" s="2">
        <v>113143.95</v>
      </c>
      <c r="K2439" s="2">
        <f>Table1[[#This Row],[Salary_after]]-Table1[[#This Row],[Salary_before]]</f>
        <v>-14825.160000000003</v>
      </c>
      <c r="L2439" s="11">
        <v>-0.1158</v>
      </c>
      <c r="M2439" s="11">
        <v>-2.0000000000000001E-4</v>
      </c>
      <c r="N2439">
        <v>46.68</v>
      </c>
      <c r="O2439">
        <v>70.33</v>
      </c>
      <c r="P2439">
        <v>4</v>
      </c>
      <c r="Q2439" t="s">
        <v>21</v>
      </c>
      <c r="R2439">
        <v>9.67</v>
      </c>
      <c r="S2439">
        <v>11.58</v>
      </c>
      <c r="T2439" s="4">
        <v>10.926</v>
      </c>
      <c r="U2439" s="4">
        <v>11.60445</v>
      </c>
      <c r="V2439" t="str">
        <f>IF(Table1[[#This Row],[ai_disruption_intensity]]&gt;70,"High",
IF(Table1[[#This Row],[ai_disruption_intensity]]&gt;40,"Medium","Low"))</f>
        <v>Low</v>
      </c>
      <c r="W2439" t="str">
        <f>IF(Table1[[#This Row],[skill_gap_index]]&gt;70,"Large Gap",
IF(Table1[[#This Row],[skill_gap_index]]&gt;40,"Medium Gap","Small Gap"))</f>
        <v>Small Gap</v>
      </c>
      <c r="X2439" s="3" t="str">
        <f>IF(Table1[[#This Row],[automation_risk_percent]]&gt;0.7,"Highly Automatable",
IF(Table1[[#This Row],[automation_risk_percent]]&gt;0.4,"Moderate Risk","Safe Job"))</f>
        <v>Safe Job</v>
      </c>
    </row>
    <row r="2440" spans="1:24" x14ac:dyDescent="0.3">
      <c r="A2440">
        <v>8595</v>
      </c>
      <c r="B2440" t="s">
        <v>44</v>
      </c>
      <c r="C2440" t="s">
        <v>33</v>
      </c>
      <c r="D2440" t="s">
        <v>24</v>
      </c>
      <c r="E2440" s="1">
        <v>2025</v>
      </c>
      <c r="F2440" s="11">
        <v>0.71010000000000006</v>
      </c>
      <c r="G2440">
        <v>78.37</v>
      </c>
      <c r="H2440">
        <v>21.76</v>
      </c>
      <c r="I2440" s="2">
        <v>128151.84</v>
      </c>
      <c r="J2440" s="2">
        <v>119275.78</v>
      </c>
      <c r="K2440" s="2">
        <f>Table1[[#This Row],[Salary_after]]-Table1[[#This Row],[Salary_before]]</f>
        <v>-8876.0599999999977</v>
      </c>
      <c r="L2440" s="11">
        <v>-6.93E-2</v>
      </c>
      <c r="M2440" s="11">
        <v>0.1351</v>
      </c>
      <c r="N2440">
        <v>99.27</v>
      </c>
      <c r="O2440">
        <v>17.64</v>
      </c>
      <c r="P2440">
        <v>2</v>
      </c>
      <c r="Q2440" t="s">
        <v>37</v>
      </c>
      <c r="R2440">
        <v>46.384999999999998</v>
      </c>
      <c r="S2440">
        <v>6.93</v>
      </c>
      <c r="T2440" s="4">
        <v>37.011000000000003</v>
      </c>
      <c r="U2440" s="4">
        <v>12.526164</v>
      </c>
      <c r="V2440" t="str">
        <f>IF(Table1[[#This Row],[ai_disruption_intensity]]&gt;70,"High",
IF(Table1[[#This Row],[ai_disruption_intensity]]&gt;40,"Medium","Low"))</f>
        <v>Low</v>
      </c>
      <c r="W2440" t="str">
        <f>IF(Table1[[#This Row],[skill_gap_index]]&gt;70,"Large Gap",
IF(Table1[[#This Row],[skill_gap_index]]&gt;40,"Medium Gap","Small Gap"))</f>
        <v>Small Gap</v>
      </c>
      <c r="X2440" s="3" t="str">
        <f>IF(Table1[[#This Row],[automation_risk_percent]]&gt;0.7,"Highly Automatable",
IF(Table1[[#This Row],[automation_risk_percent]]&gt;0.4,"Moderate Risk","Safe Job"))</f>
        <v>Highly Automatable</v>
      </c>
    </row>
    <row r="2441" spans="1:24" x14ac:dyDescent="0.3">
      <c r="A2441">
        <v>8597</v>
      </c>
      <c r="B2441" t="s">
        <v>18</v>
      </c>
      <c r="C2441" t="s">
        <v>38</v>
      </c>
      <c r="D2441" t="s">
        <v>36</v>
      </c>
      <c r="E2441" s="1">
        <v>2026</v>
      </c>
      <c r="F2441" s="11">
        <v>0.55620000000000003</v>
      </c>
      <c r="G2441">
        <v>62.03</v>
      </c>
      <c r="H2441">
        <v>9.9700000000000006</v>
      </c>
      <c r="I2441" s="2">
        <v>145265.24</v>
      </c>
      <c r="J2441" s="2">
        <v>149438.18</v>
      </c>
      <c r="K2441" s="2">
        <f>Table1[[#This Row],[Salary_after]]-Table1[[#This Row],[Salary_before]]</f>
        <v>4172.9400000000023</v>
      </c>
      <c r="L2441" s="11">
        <v>2.87E-2</v>
      </c>
      <c r="M2441" s="11">
        <v>0.13009999999999999</v>
      </c>
      <c r="N2441">
        <v>83.61</v>
      </c>
      <c r="O2441">
        <v>10.91</v>
      </c>
      <c r="P2441">
        <v>4</v>
      </c>
      <c r="Q2441" t="s">
        <v>25</v>
      </c>
      <c r="R2441">
        <v>32.795000000000002</v>
      </c>
      <c r="S2441">
        <v>2.87</v>
      </c>
      <c r="T2441" s="4">
        <v>26.1</v>
      </c>
      <c r="U2441" s="4">
        <v>6.0681419999999999</v>
      </c>
      <c r="V2441" t="str">
        <f>IF(Table1[[#This Row],[ai_disruption_intensity]]&gt;70,"High",
IF(Table1[[#This Row],[ai_disruption_intensity]]&gt;40,"Medium","Low"))</f>
        <v>Low</v>
      </c>
      <c r="W2441" t="str">
        <f>IF(Table1[[#This Row],[skill_gap_index]]&gt;70,"Large Gap",
IF(Table1[[#This Row],[skill_gap_index]]&gt;40,"Medium Gap","Small Gap"))</f>
        <v>Small Gap</v>
      </c>
      <c r="X2441" s="3" t="str">
        <f>IF(Table1[[#This Row],[automation_risk_percent]]&gt;0.7,"Highly Automatable",
IF(Table1[[#This Row],[automation_risk_percent]]&gt;0.4,"Moderate Risk","Safe Job"))</f>
        <v>Moderate Risk</v>
      </c>
    </row>
    <row r="2442" spans="1:24" x14ac:dyDescent="0.3">
      <c r="A2442">
        <v>8601</v>
      </c>
      <c r="B2442" t="s">
        <v>41</v>
      </c>
      <c r="C2442" t="s">
        <v>33</v>
      </c>
      <c r="D2442" t="s">
        <v>42</v>
      </c>
      <c r="E2442" s="1">
        <v>2025</v>
      </c>
      <c r="F2442" s="11">
        <v>0.3488</v>
      </c>
      <c r="G2442">
        <v>36.89</v>
      </c>
      <c r="H2442">
        <v>91.98</v>
      </c>
      <c r="I2442" s="2">
        <v>133097.93</v>
      </c>
      <c r="J2442" s="2">
        <v>119016.66</v>
      </c>
      <c r="K2442" s="2">
        <f>Table1[[#This Row],[Salary_after]]-Table1[[#This Row],[Salary_before]]</f>
        <v>-14081.26999999999</v>
      </c>
      <c r="L2442" s="11">
        <v>-0.10580000000000001</v>
      </c>
      <c r="M2442" s="11">
        <v>0.1026</v>
      </c>
      <c r="N2442">
        <v>80.59</v>
      </c>
      <c r="O2442">
        <v>82.32</v>
      </c>
      <c r="P2442">
        <v>1</v>
      </c>
      <c r="Q2442" t="s">
        <v>25</v>
      </c>
      <c r="R2442">
        <v>63.43</v>
      </c>
      <c r="S2442">
        <v>10.58</v>
      </c>
      <c r="T2442" s="4">
        <v>44.72</v>
      </c>
      <c r="U2442" s="4">
        <v>28.713215999999999</v>
      </c>
      <c r="V2442" t="str">
        <f>IF(Table1[[#This Row],[ai_disruption_intensity]]&gt;70,"High",
IF(Table1[[#This Row],[ai_disruption_intensity]]&gt;40,"Medium","Low"))</f>
        <v>Low</v>
      </c>
      <c r="W2442" t="str">
        <f>IF(Table1[[#This Row],[skill_gap_index]]&gt;70,"Large Gap",
IF(Table1[[#This Row],[skill_gap_index]]&gt;40,"Medium Gap","Small Gap"))</f>
        <v>Large Gap</v>
      </c>
      <c r="X2442" s="3" t="str">
        <f>IF(Table1[[#This Row],[automation_risk_percent]]&gt;0.7,"Highly Automatable",
IF(Table1[[#This Row],[automation_risk_percent]]&gt;0.4,"Moderate Risk","Safe Job"))</f>
        <v>Safe Job</v>
      </c>
    </row>
    <row r="2443" spans="1:24" x14ac:dyDescent="0.3">
      <c r="A2443">
        <v>8606</v>
      </c>
      <c r="B2443" t="s">
        <v>26</v>
      </c>
      <c r="C2443" t="s">
        <v>38</v>
      </c>
      <c r="D2443" t="s">
        <v>35</v>
      </c>
      <c r="E2443" s="1">
        <v>2025</v>
      </c>
      <c r="F2443" s="11">
        <v>0.25609999999999999</v>
      </c>
      <c r="G2443">
        <v>29.3</v>
      </c>
      <c r="H2443">
        <v>85.66</v>
      </c>
      <c r="I2443" s="2">
        <v>88874.04</v>
      </c>
      <c r="J2443" s="2">
        <v>96279.25</v>
      </c>
      <c r="K2443" s="2">
        <f>Table1[[#This Row],[Salary_after]]-Table1[[#This Row],[Salary_before]]</f>
        <v>7405.2100000000064</v>
      </c>
      <c r="L2443" s="11">
        <v>8.3299999999999999E-2</v>
      </c>
      <c r="M2443" s="11">
        <v>0.13189999999999999</v>
      </c>
      <c r="N2443">
        <v>13.97</v>
      </c>
      <c r="O2443">
        <v>61.09</v>
      </c>
      <c r="P2443">
        <v>5</v>
      </c>
      <c r="Q2443" t="s">
        <v>21</v>
      </c>
      <c r="R2443">
        <v>55.634999999999998</v>
      </c>
      <c r="S2443">
        <v>8.33</v>
      </c>
      <c r="T2443" s="4">
        <v>38.440999999999903</v>
      </c>
      <c r="U2443" s="4">
        <v>15.645149</v>
      </c>
      <c r="V2443" t="str">
        <f>IF(Table1[[#This Row],[ai_disruption_intensity]]&gt;70,"High",
IF(Table1[[#This Row],[ai_disruption_intensity]]&gt;40,"Medium","Low"))</f>
        <v>Low</v>
      </c>
      <c r="W2443" t="str">
        <f>IF(Table1[[#This Row],[skill_gap_index]]&gt;70,"Large Gap",
IF(Table1[[#This Row],[skill_gap_index]]&gt;40,"Medium Gap","Small Gap"))</f>
        <v>Large Gap</v>
      </c>
      <c r="X2443" s="3" t="str">
        <f>IF(Table1[[#This Row],[automation_risk_percent]]&gt;0.7,"Highly Automatable",
IF(Table1[[#This Row],[automation_risk_percent]]&gt;0.4,"Moderate Risk","Safe Job"))</f>
        <v>Safe Job</v>
      </c>
    </row>
    <row r="2444" spans="1:24" x14ac:dyDescent="0.3">
      <c r="A2444">
        <v>8608</v>
      </c>
      <c r="B2444" t="s">
        <v>45</v>
      </c>
      <c r="C2444" t="s">
        <v>40</v>
      </c>
      <c r="D2444" t="s">
        <v>24</v>
      </c>
      <c r="E2444" s="1">
        <v>2025</v>
      </c>
      <c r="F2444" s="11">
        <v>0.40329999999999999</v>
      </c>
      <c r="G2444">
        <v>40.799999999999997</v>
      </c>
      <c r="H2444">
        <v>41.9</v>
      </c>
      <c r="I2444" s="2">
        <v>58509.78</v>
      </c>
      <c r="J2444" s="2">
        <v>54010.99</v>
      </c>
      <c r="K2444" s="2">
        <f>Table1[[#This Row],[Salary_after]]-Table1[[#This Row],[Salary_before]]</f>
        <v>-4498.7900000000009</v>
      </c>
      <c r="L2444" s="11">
        <v>-7.690000000000001E-2</v>
      </c>
      <c r="M2444" s="11">
        <v>-0.1109</v>
      </c>
      <c r="N2444">
        <v>71.459999999999994</v>
      </c>
      <c r="O2444">
        <v>98.49</v>
      </c>
      <c r="P2444">
        <v>1</v>
      </c>
      <c r="Q2444" t="s">
        <v>25</v>
      </c>
      <c r="R2444">
        <v>41.114999999999903</v>
      </c>
      <c r="S2444">
        <v>7.69</v>
      </c>
      <c r="T2444" s="4">
        <v>31.008999999999901</v>
      </c>
      <c r="U2444" s="4">
        <v>39.721016999999897</v>
      </c>
      <c r="V2444" t="str">
        <f>IF(Table1[[#This Row],[ai_disruption_intensity]]&gt;70,"High",
IF(Table1[[#This Row],[ai_disruption_intensity]]&gt;40,"Medium","Low"))</f>
        <v>Low</v>
      </c>
      <c r="W2444" t="str">
        <f>IF(Table1[[#This Row],[skill_gap_index]]&gt;70,"Large Gap",
IF(Table1[[#This Row],[skill_gap_index]]&gt;40,"Medium Gap","Small Gap"))</f>
        <v>Medium Gap</v>
      </c>
      <c r="X2444" s="3" t="str">
        <f>IF(Table1[[#This Row],[automation_risk_percent]]&gt;0.7,"Highly Automatable",
IF(Table1[[#This Row],[automation_risk_percent]]&gt;0.4,"Moderate Risk","Safe Job"))</f>
        <v>Moderate Risk</v>
      </c>
    </row>
    <row r="2445" spans="1:24" x14ac:dyDescent="0.3">
      <c r="A2445">
        <v>8611</v>
      </c>
      <c r="B2445" t="s">
        <v>18</v>
      </c>
      <c r="C2445" t="s">
        <v>27</v>
      </c>
      <c r="D2445" t="s">
        <v>36</v>
      </c>
      <c r="E2445" s="1">
        <v>2026</v>
      </c>
      <c r="F2445" s="11">
        <v>0.26030000000000003</v>
      </c>
      <c r="G2445">
        <v>27.95</v>
      </c>
      <c r="H2445">
        <v>23.61</v>
      </c>
      <c r="I2445" s="2">
        <v>133643.81</v>
      </c>
      <c r="J2445" s="2">
        <v>115928.38</v>
      </c>
      <c r="K2445" s="2">
        <f>Table1[[#This Row],[Salary_after]]-Table1[[#This Row],[Salary_before]]</f>
        <v>-17715.429999999993</v>
      </c>
      <c r="L2445" s="11">
        <v>-0.1326</v>
      </c>
      <c r="M2445" s="11">
        <v>-4.07E-2</v>
      </c>
      <c r="N2445">
        <v>30.96</v>
      </c>
      <c r="O2445">
        <v>57.4</v>
      </c>
      <c r="P2445">
        <v>4</v>
      </c>
      <c r="Q2445" t="s">
        <v>21</v>
      </c>
      <c r="R2445">
        <v>24.82</v>
      </c>
      <c r="S2445">
        <v>13.26</v>
      </c>
      <c r="T2445" s="4">
        <v>21.472999999999999</v>
      </c>
      <c r="U2445" s="4">
        <v>14.94122</v>
      </c>
      <c r="V2445" t="str">
        <f>IF(Table1[[#This Row],[ai_disruption_intensity]]&gt;70,"High",
IF(Table1[[#This Row],[ai_disruption_intensity]]&gt;40,"Medium","Low"))</f>
        <v>Low</v>
      </c>
      <c r="W2445" t="str">
        <f>IF(Table1[[#This Row],[skill_gap_index]]&gt;70,"Large Gap",
IF(Table1[[#This Row],[skill_gap_index]]&gt;40,"Medium Gap","Small Gap"))</f>
        <v>Small Gap</v>
      </c>
      <c r="X2445" s="3" t="str">
        <f>IF(Table1[[#This Row],[automation_risk_percent]]&gt;0.7,"Highly Automatable",
IF(Table1[[#This Row],[automation_risk_percent]]&gt;0.4,"Moderate Risk","Safe Job"))</f>
        <v>Safe Job</v>
      </c>
    </row>
    <row r="2446" spans="1:24" x14ac:dyDescent="0.3">
      <c r="A2446">
        <v>8614</v>
      </c>
      <c r="B2446" t="s">
        <v>22</v>
      </c>
      <c r="C2446" t="s">
        <v>33</v>
      </c>
      <c r="D2446" t="s">
        <v>31</v>
      </c>
      <c r="E2446" s="1">
        <v>2026</v>
      </c>
      <c r="F2446" s="11">
        <v>0.68090000000000006</v>
      </c>
      <c r="G2446">
        <v>54.77</v>
      </c>
      <c r="H2446">
        <v>25.72</v>
      </c>
      <c r="I2446" s="2">
        <v>55930.879999999997</v>
      </c>
      <c r="J2446" s="2">
        <v>53742.44</v>
      </c>
      <c r="K2446" s="2">
        <f>Table1[[#This Row],[Salary_after]]-Table1[[#This Row],[Salary_before]]</f>
        <v>-2188.4399999999951</v>
      </c>
      <c r="L2446" s="11">
        <v>-3.9100000000000003E-2</v>
      </c>
      <c r="M2446" s="11">
        <v>-1.09E-2</v>
      </c>
      <c r="N2446">
        <v>40.159999999999997</v>
      </c>
      <c r="O2446">
        <v>62.46</v>
      </c>
      <c r="P2446">
        <v>3</v>
      </c>
      <c r="Q2446" t="s">
        <v>37</v>
      </c>
      <c r="R2446">
        <v>46.905000000000001</v>
      </c>
      <c r="S2446">
        <v>3.91</v>
      </c>
      <c r="T2446" s="4">
        <v>36.125</v>
      </c>
      <c r="U2446" s="4">
        <v>42.529013999999997</v>
      </c>
      <c r="V2446" t="str">
        <f>IF(Table1[[#This Row],[ai_disruption_intensity]]&gt;70,"High",
IF(Table1[[#This Row],[ai_disruption_intensity]]&gt;40,"Medium","Low"))</f>
        <v>Medium</v>
      </c>
      <c r="W2446" t="str">
        <f>IF(Table1[[#This Row],[skill_gap_index]]&gt;70,"Large Gap",
IF(Table1[[#This Row],[skill_gap_index]]&gt;40,"Medium Gap","Small Gap"))</f>
        <v>Small Gap</v>
      </c>
      <c r="X2446" s="3" t="str">
        <f>IF(Table1[[#This Row],[automation_risk_percent]]&gt;0.7,"Highly Automatable",
IF(Table1[[#This Row],[automation_risk_percent]]&gt;0.4,"Moderate Risk","Safe Job"))</f>
        <v>Moderate Risk</v>
      </c>
    </row>
    <row r="2447" spans="1:24" x14ac:dyDescent="0.3">
      <c r="A2447">
        <v>8625</v>
      </c>
      <c r="B2447" t="s">
        <v>22</v>
      </c>
      <c r="C2447" t="s">
        <v>27</v>
      </c>
      <c r="D2447" t="s">
        <v>47</v>
      </c>
      <c r="E2447" s="1">
        <v>2025</v>
      </c>
      <c r="F2447" s="11">
        <v>0.1361</v>
      </c>
      <c r="G2447">
        <v>14.14</v>
      </c>
      <c r="H2447">
        <v>25.11</v>
      </c>
      <c r="I2447" s="2">
        <v>89742.78</v>
      </c>
      <c r="J2447" s="2">
        <v>103560.23</v>
      </c>
      <c r="K2447" s="2">
        <f>Table1[[#This Row],[Salary_after]]-Table1[[#This Row],[Salary_before]]</f>
        <v>13817.449999999997</v>
      </c>
      <c r="L2447" s="11">
        <v>0.154</v>
      </c>
      <c r="M2447" s="11">
        <v>-4.58E-2</v>
      </c>
      <c r="N2447">
        <v>54.03</v>
      </c>
      <c r="O2447">
        <v>30.16</v>
      </c>
      <c r="P2447">
        <v>1</v>
      </c>
      <c r="Q2447" t="s">
        <v>21</v>
      </c>
      <c r="R2447">
        <v>19.36</v>
      </c>
      <c r="S2447">
        <v>15.4</v>
      </c>
      <c r="T2447" s="4">
        <v>17.597000000000001</v>
      </c>
      <c r="U2447" s="4">
        <v>4.1047760000000002</v>
      </c>
      <c r="V2447" t="str">
        <f>IF(Table1[[#This Row],[ai_disruption_intensity]]&gt;70,"High",
IF(Table1[[#This Row],[ai_disruption_intensity]]&gt;40,"Medium","Low"))</f>
        <v>Low</v>
      </c>
      <c r="W2447" t="str">
        <f>IF(Table1[[#This Row],[skill_gap_index]]&gt;70,"Large Gap",
IF(Table1[[#This Row],[skill_gap_index]]&gt;40,"Medium Gap","Small Gap"))</f>
        <v>Small Gap</v>
      </c>
      <c r="X2447" s="3" t="str">
        <f>IF(Table1[[#This Row],[automation_risk_percent]]&gt;0.7,"Highly Automatable",
IF(Table1[[#This Row],[automation_risk_percent]]&gt;0.4,"Moderate Risk","Safe Job"))</f>
        <v>Safe Job</v>
      </c>
    </row>
    <row r="2448" spans="1:24" x14ac:dyDescent="0.3">
      <c r="A2448">
        <v>8628</v>
      </c>
      <c r="B2448" t="s">
        <v>44</v>
      </c>
      <c r="C2448" t="s">
        <v>19</v>
      </c>
      <c r="D2448" t="s">
        <v>31</v>
      </c>
      <c r="E2448" s="1">
        <v>2026</v>
      </c>
      <c r="F2448" s="11">
        <v>0.26250000000000001</v>
      </c>
      <c r="G2448">
        <v>29.39</v>
      </c>
      <c r="H2448">
        <v>14.96</v>
      </c>
      <c r="I2448" s="2">
        <v>105640.7</v>
      </c>
      <c r="J2448" s="2">
        <v>89216.89</v>
      </c>
      <c r="K2448" s="2">
        <f>Table1[[#This Row],[Salary_after]]-Table1[[#This Row],[Salary_before]]</f>
        <v>-16423.809999999998</v>
      </c>
      <c r="L2448" s="11">
        <v>-0.1555</v>
      </c>
      <c r="M2448" s="11">
        <v>0.13769999999999999</v>
      </c>
      <c r="N2448">
        <v>48.63</v>
      </c>
      <c r="O2448">
        <v>11.66</v>
      </c>
      <c r="P2448">
        <v>2</v>
      </c>
      <c r="Q2448" t="s">
        <v>21</v>
      </c>
      <c r="R2448">
        <v>20.605</v>
      </c>
      <c r="S2448">
        <v>15.55</v>
      </c>
      <c r="T2448" s="4">
        <v>19.652999999999999</v>
      </c>
      <c r="U2448" s="4">
        <v>3.0607500000000001</v>
      </c>
      <c r="V2448" t="str">
        <f>IF(Table1[[#This Row],[ai_disruption_intensity]]&gt;70,"High",
IF(Table1[[#This Row],[ai_disruption_intensity]]&gt;40,"Medium","Low"))</f>
        <v>Low</v>
      </c>
      <c r="W2448" t="str">
        <f>IF(Table1[[#This Row],[skill_gap_index]]&gt;70,"Large Gap",
IF(Table1[[#This Row],[skill_gap_index]]&gt;40,"Medium Gap","Small Gap"))</f>
        <v>Small Gap</v>
      </c>
      <c r="X2448" s="3" t="str">
        <f>IF(Table1[[#This Row],[automation_risk_percent]]&gt;0.7,"Highly Automatable",
IF(Table1[[#This Row],[automation_risk_percent]]&gt;0.4,"Moderate Risk","Safe Job"))</f>
        <v>Safe Job</v>
      </c>
    </row>
    <row r="2449" spans="1:24" x14ac:dyDescent="0.3">
      <c r="A2449">
        <v>8629</v>
      </c>
      <c r="B2449" t="s">
        <v>39</v>
      </c>
      <c r="C2449" t="s">
        <v>40</v>
      </c>
      <c r="D2449" t="s">
        <v>20</v>
      </c>
      <c r="E2449" s="1">
        <v>2025</v>
      </c>
      <c r="F2449" s="11">
        <v>0.11789999999999999</v>
      </c>
      <c r="G2449">
        <v>9.49</v>
      </c>
      <c r="H2449">
        <v>17.43</v>
      </c>
      <c r="I2449" s="2">
        <v>134036.76999999999</v>
      </c>
      <c r="J2449" s="2">
        <v>120257.31</v>
      </c>
      <c r="K2449" s="2">
        <f>Table1[[#This Row],[Salary_after]]-Table1[[#This Row],[Salary_before]]</f>
        <v>-13779.459999999992</v>
      </c>
      <c r="L2449" s="11">
        <v>-0.10279999999999999</v>
      </c>
      <c r="M2449" s="11">
        <v>5.6100000000000004E-2</v>
      </c>
      <c r="N2449">
        <v>91.49</v>
      </c>
      <c r="O2449">
        <v>56.89</v>
      </c>
      <c r="P2449">
        <v>2</v>
      </c>
      <c r="Q2449" t="s">
        <v>21</v>
      </c>
      <c r="R2449">
        <v>14.61</v>
      </c>
      <c r="S2449">
        <v>10.28</v>
      </c>
      <c r="T2449" s="4">
        <v>13.029</v>
      </c>
      <c r="U2449" s="4">
        <v>6.7073309999999902</v>
      </c>
      <c r="V2449" t="str">
        <f>IF(Table1[[#This Row],[ai_disruption_intensity]]&gt;70,"High",
IF(Table1[[#This Row],[ai_disruption_intensity]]&gt;40,"Medium","Low"))</f>
        <v>Low</v>
      </c>
      <c r="W2449" t="str">
        <f>IF(Table1[[#This Row],[skill_gap_index]]&gt;70,"Large Gap",
IF(Table1[[#This Row],[skill_gap_index]]&gt;40,"Medium Gap","Small Gap"))</f>
        <v>Small Gap</v>
      </c>
      <c r="X2449" s="3" t="str">
        <f>IF(Table1[[#This Row],[automation_risk_percent]]&gt;0.7,"Highly Automatable",
IF(Table1[[#This Row],[automation_risk_percent]]&gt;0.4,"Moderate Risk","Safe Job"))</f>
        <v>Safe Job</v>
      </c>
    </row>
    <row r="2450" spans="1:24" x14ac:dyDescent="0.3">
      <c r="A2450">
        <v>8631</v>
      </c>
      <c r="B2450" t="s">
        <v>43</v>
      </c>
      <c r="C2450" t="s">
        <v>40</v>
      </c>
      <c r="D2450" t="s">
        <v>36</v>
      </c>
      <c r="E2450" s="1">
        <v>2026</v>
      </c>
      <c r="F2450" s="11">
        <v>0.5353</v>
      </c>
      <c r="G2450">
        <v>61.14</v>
      </c>
      <c r="H2450">
        <v>33.19</v>
      </c>
      <c r="I2450" s="2">
        <v>105306.36</v>
      </c>
      <c r="J2450" s="2">
        <v>101961.14</v>
      </c>
      <c r="K2450" s="2">
        <f>Table1[[#This Row],[Salary_after]]-Table1[[#This Row],[Salary_before]]</f>
        <v>-3345.2200000000012</v>
      </c>
      <c r="L2450" s="11">
        <v>-3.1800000000000002E-2</v>
      </c>
      <c r="M2450" s="11">
        <v>0.19620000000000001</v>
      </c>
      <c r="N2450">
        <v>50.61</v>
      </c>
      <c r="O2450">
        <v>48.55</v>
      </c>
      <c r="P2450">
        <v>4</v>
      </c>
      <c r="Q2450" t="s">
        <v>25</v>
      </c>
      <c r="R2450">
        <v>43.36</v>
      </c>
      <c r="S2450">
        <v>3.18</v>
      </c>
      <c r="T2450" s="4">
        <v>32.323</v>
      </c>
      <c r="U2450" s="4">
        <v>25.988814999999999</v>
      </c>
      <c r="V2450" t="str">
        <f>IF(Table1[[#This Row],[ai_disruption_intensity]]&gt;70,"High",
IF(Table1[[#This Row],[ai_disruption_intensity]]&gt;40,"Medium","Low"))</f>
        <v>Low</v>
      </c>
      <c r="W2450" t="str">
        <f>IF(Table1[[#This Row],[skill_gap_index]]&gt;70,"Large Gap",
IF(Table1[[#This Row],[skill_gap_index]]&gt;40,"Medium Gap","Small Gap"))</f>
        <v>Small Gap</v>
      </c>
      <c r="X2450" s="3" t="str">
        <f>IF(Table1[[#This Row],[automation_risk_percent]]&gt;0.7,"Highly Automatable",
IF(Table1[[#This Row],[automation_risk_percent]]&gt;0.4,"Moderate Risk","Safe Job"))</f>
        <v>Moderate Risk</v>
      </c>
    </row>
    <row r="2451" spans="1:24" x14ac:dyDescent="0.3">
      <c r="A2451">
        <v>8632</v>
      </c>
      <c r="B2451" t="s">
        <v>46</v>
      </c>
      <c r="C2451" t="s">
        <v>38</v>
      </c>
      <c r="D2451" t="s">
        <v>32</v>
      </c>
      <c r="E2451" s="1">
        <v>2026</v>
      </c>
      <c r="F2451" s="11">
        <v>0.48330000000000001</v>
      </c>
      <c r="G2451">
        <v>41.45</v>
      </c>
      <c r="H2451">
        <v>86.1</v>
      </c>
      <c r="I2451" s="2">
        <v>32169.49</v>
      </c>
      <c r="J2451" s="2">
        <v>31941.71</v>
      </c>
      <c r="K2451" s="2">
        <f>Table1[[#This Row],[Salary_after]]-Table1[[#This Row],[Salary_before]]</f>
        <v>-227.78000000000247</v>
      </c>
      <c r="L2451" s="11">
        <v>-7.0999999999999995E-3</v>
      </c>
      <c r="M2451" s="11">
        <v>-7.85E-2</v>
      </c>
      <c r="N2451">
        <v>32.69</v>
      </c>
      <c r="O2451">
        <v>36.56</v>
      </c>
      <c r="P2451">
        <v>5</v>
      </c>
      <c r="Q2451" t="s">
        <v>25</v>
      </c>
      <c r="R2451">
        <v>67.215000000000003</v>
      </c>
      <c r="S2451">
        <v>0.71</v>
      </c>
      <c r="T2451" s="4">
        <v>45.375</v>
      </c>
      <c r="U2451" s="4">
        <v>17.669447999999999</v>
      </c>
      <c r="V2451" t="str">
        <f>IF(Table1[[#This Row],[ai_disruption_intensity]]&gt;70,"High",
IF(Table1[[#This Row],[ai_disruption_intensity]]&gt;40,"Medium","Low"))</f>
        <v>Low</v>
      </c>
      <c r="W2451" t="str">
        <f>IF(Table1[[#This Row],[skill_gap_index]]&gt;70,"Large Gap",
IF(Table1[[#This Row],[skill_gap_index]]&gt;40,"Medium Gap","Small Gap"))</f>
        <v>Large Gap</v>
      </c>
      <c r="X2451" s="3" t="str">
        <f>IF(Table1[[#This Row],[automation_risk_percent]]&gt;0.7,"Highly Automatable",
IF(Table1[[#This Row],[automation_risk_percent]]&gt;0.4,"Moderate Risk","Safe Job"))</f>
        <v>Moderate Risk</v>
      </c>
    </row>
    <row r="2452" spans="1:24" x14ac:dyDescent="0.3">
      <c r="A2452">
        <v>8637</v>
      </c>
      <c r="B2452" t="s">
        <v>29</v>
      </c>
      <c r="C2452" t="s">
        <v>27</v>
      </c>
      <c r="D2452" t="s">
        <v>24</v>
      </c>
      <c r="E2452" s="1">
        <v>2025</v>
      </c>
      <c r="F2452" s="11">
        <v>0.83219999999999994</v>
      </c>
      <c r="G2452">
        <v>82.34</v>
      </c>
      <c r="H2452">
        <v>39.729999999999997</v>
      </c>
      <c r="I2452" s="2">
        <v>141421.76000000001</v>
      </c>
      <c r="J2452" s="2">
        <v>155551.21</v>
      </c>
      <c r="K2452" s="2">
        <f>Table1[[#This Row],[Salary_after]]-Table1[[#This Row],[Salary_before]]</f>
        <v>14129.449999999983</v>
      </c>
      <c r="L2452" s="11">
        <v>9.9900000000000003E-2</v>
      </c>
      <c r="M2452" s="11">
        <v>0.16829999999999998</v>
      </c>
      <c r="N2452">
        <v>27.48</v>
      </c>
      <c r="O2452">
        <v>20.93</v>
      </c>
      <c r="P2452">
        <v>5</v>
      </c>
      <c r="Q2452" t="s">
        <v>37</v>
      </c>
      <c r="R2452">
        <v>61.474999999999902</v>
      </c>
      <c r="S2452">
        <v>9.99</v>
      </c>
      <c r="T2452" s="4">
        <v>48.204000000000001</v>
      </c>
      <c r="U2452" s="4">
        <v>17.417946000000001</v>
      </c>
      <c r="V2452" t="str">
        <f>IF(Table1[[#This Row],[ai_disruption_intensity]]&gt;70,"High",
IF(Table1[[#This Row],[ai_disruption_intensity]]&gt;40,"Medium","Low"))</f>
        <v>Low</v>
      </c>
      <c r="W2452" t="str">
        <f>IF(Table1[[#This Row],[skill_gap_index]]&gt;70,"Large Gap",
IF(Table1[[#This Row],[skill_gap_index]]&gt;40,"Medium Gap","Small Gap"))</f>
        <v>Small Gap</v>
      </c>
      <c r="X2452" s="3" t="str">
        <f>IF(Table1[[#This Row],[automation_risk_percent]]&gt;0.7,"Highly Automatable",
IF(Table1[[#This Row],[automation_risk_percent]]&gt;0.4,"Moderate Risk","Safe Job"))</f>
        <v>Highly Automatable</v>
      </c>
    </row>
    <row r="2453" spans="1:24" x14ac:dyDescent="0.3">
      <c r="A2453">
        <v>8644</v>
      </c>
      <c r="B2453" t="s">
        <v>41</v>
      </c>
      <c r="C2453" t="s">
        <v>30</v>
      </c>
      <c r="D2453" t="s">
        <v>32</v>
      </c>
      <c r="E2453" s="1">
        <v>2025</v>
      </c>
      <c r="F2453" s="11">
        <v>0.26769999999999999</v>
      </c>
      <c r="G2453">
        <v>26.83</v>
      </c>
      <c r="H2453">
        <v>47.39</v>
      </c>
      <c r="I2453" s="2">
        <v>110370.3</v>
      </c>
      <c r="J2453" s="2">
        <v>112240.39</v>
      </c>
      <c r="K2453" s="2">
        <f>Table1[[#This Row],[Salary_after]]-Table1[[#This Row],[Salary_before]]</f>
        <v>1870.0899999999965</v>
      </c>
      <c r="L2453" s="11">
        <v>1.6899999999999998E-2</v>
      </c>
      <c r="M2453" s="11">
        <v>5.8600000000000006E-2</v>
      </c>
      <c r="N2453">
        <v>45.48</v>
      </c>
      <c r="O2453">
        <v>61.11</v>
      </c>
      <c r="P2453">
        <v>5</v>
      </c>
      <c r="Q2453" t="s">
        <v>21</v>
      </c>
      <c r="R2453">
        <v>37.08</v>
      </c>
      <c r="S2453">
        <v>1.69</v>
      </c>
      <c r="T2453" s="4">
        <v>25.431999999999999</v>
      </c>
      <c r="U2453" s="4">
        <v>16.359147</v>
      </c>
      <c r="V2453" t="str">
        <f>IF(Table1[[#This Row],[ai_disruption_intensity]]&gt;70,"High",
IF(Table1[[#This Row],[ai_disruption_intensity]]&gt;40,"Medium","Low"))</f>
        <v>Low</v>
      </c>
      <c r="W2453" t="str">
        <f>IF(Table1[[#This Row],[skill_gap_index]]&gt;70,"Large Gap",
IF(Table1[[#This Row],[skill_gap_index]]&gt;40,"Medium Gap","Small Gap"))</f>
        <v>Medium Gap</v>
      </c>
      <c r="X2453" s="3" t="str">
        <f>IF(Table1[[#This Row],[automation_risk_percent]]&gt;0.7,"Highly Automatable",
IF(Table1[[#This Row],[automation_risk_percent]]&gt;0.4,"Moderate Risk","Safe Job"))</f>
        <v>Safe Job</v>
      </c>
    </row>
    <row r="2454" spans="1:24" x14ac:dyDescent="0.3">
      <c r="A2454">
        <v>8645</v>
      </c>
      <c r="B2454" t="s">
        <v>45</v>
      </c>
      <c r="C2454" t="s">
        <v>27</v>
      </c>
      <c r="D2454" t="s">
        <v>20</v>
      </c>
      <c r="E2454" s="1">
        <v>2026</v>
      </c>
      <c r="F2454" s="11">
        <v>0.48130000000000001</v>
      </c>
      <c r="G2454">
        <v>49.4</v>
      </c>
      <c r="H2454">
        <v>86.74</v>
      </c>
      <c r="I2454" s="2">
        <v>118360.41</v>
      </c>
      <c r="J2454" s="2">
        <v>115661</v>
      </c>
      <c r="K2454" s="2">
        <f>Table1[[#This Row],[Salary_after]]-Table1[[#This Row],[Salary_before]]</f>
        <v>-2699.4100000000035</v>
      </c>
      <c r="L2454" s="11">
        <v>-2.2799999999999997E-2</v>
      </c>
      <c r="M2454" s="11">
        <v>6.5000000000000002E-2</v>
      </c>
      <c r="N2454">
        <v>23.2</v>
      </c>
      <c r="O2454">
        <v>66.33</v>
      </c>
      <c r="P2454">
        <v>2</v>
      </c>
      <c r="Q2454" t="s">
        <v>25</v>
      </c>
      <c r="R2454">
        <v>67.435000000000002</v>
      </c>
      <c r="S2454">
        <v>2.2799999999999998</v>
      </c>
      <c r="T2454" s="4">
        <v>45.957999999999998</v>
      </c>
      <c r="U2454" s="4">
        <v>31.924628999999999</v>
      </c>
      <c r="V2454" t="str">
        <f>IF(Table1[[#This Row],[ai_disruption_intensity]]&gt;70,"High",
IF(Table1[[#This Row],[ai_disruption_intensity]]&gt;40,"Medium","Low"))</f>
        <v>Low</v>
      </c>
      <c r="W2454" t="str">
        <f>IF(Table1[[#This Row],[skill_gap_index]]&gt;70,"Large Gap",
IF(Table1[[#This Row],[skill_gap_index]]&gt;40,"Medium Gap","Small Gap"))</f>
        <v>Large Gap</v>
      </c>
      <c r="X2454" s="3" t="str">
        <f>IF(Table1[[#This Row],[automation_risk_percent]]&gt;0.7,"Highly Automatable",
IF(Table1[[#This Row],[automation_risk_percent]]&gt;0.4,"Moderate Risk","Safe Job"))</f>
        <v>Moderate Risk</v>
      </c>
    </row>
    <row r="2455" spans="1:24" x14ac:dyDescent="0.3">
      <c r="A2455">
        <v>8648</v>
      </c>
      <c r="B2455" t="s">
        <v>18</v>
      </c>
      <c r="C2455" t="s">
        <v>27</v>
      </c>
      <c r="D2455" t="s">
        <v>24</v>
      </c>
      <c r="E2455" s="1">
        <v>2025</v>
      </c>
      <c r="F2455" s="11">
        <v>0.68620000000000003</v>
      </c>
      <c r="G2455">
        <v>82.02</v>
      </c>
      <c r="H2455">
        <v>52.6</v>
      </c>
      <c r="I2455" s="2">
        <v>30248.57</v>
      </c>
      <c r="J2455" s="2">
        <v>28915.86</v>
      </c>
      <c r="K2455" s="2">
        <f>Table1[[#This Row],[Salary_after]]-Table1[[#This Row],[Salary_before]]</f>
        <v>-1332.7099999999991</v>
      </c>
      <c r="L2455" s="11">
        <v>-4.41E-2</v>
      </c>
      <c r="M2455" s="11">
        <v>1.4800000000000001E-2</v>
      </c>
      <c r="N2455">
        <v>73.08</v>
      </c>
      <c r="O2455">
        <v>14.04</v>
      </c>
      <c r="P2455">
        <v>1</v>
      </c>
      <c r="Q2455" t="s">
        <v>37</v>
      </c>
      <c r="R2455">
        <v>60.61</v>
      </c>
      <c r="S2455">
        <v>4.41</v>
      </c>
      <c r="T2455" s="4">
        <v>44.551000000000002</v>
      </c>
      <c r="U2455" s="4">
        <v>9.6342479999999995</v>
      </c>
      <c r="V2455" t="str">
        <f>IF(Table1[[#This Row],[ai_disruption_intensity]]&gt;70,"High",
IF(Table1[[#This Row],[ai_disruption_intensity]]&gt;40,"Medium","Low"))</f>
        <v>Low</v>
      </c>
      <c r="W2455" t="str">
        <f>IF(Table1[[#This Row],[skill_gap_index]]&gt;70,"Large Gap",
IF(Table1[[#This Row],[skill_gap_index]]&gt;40,"Medium Gap","Small Gap"))</f>
        <v>Medium Gap</v>
      </c>
      <c r="X2455" s="3" t="str">
        <f>IF(Table1[[#This Row],[automation_risk_percent]]&gt;0.7,"Highly Automatable",
IF(Table1[[#This Row],[automation_risk_percent]]&gt;0.4,"Moderate Risk","Safe Job"))</f>
        <v>Moderate Risk</v>
      </c>
    </row>
    <row r="2456" spans="1:24" x14ac:dyDescent="0.3">
      <c r="A2456">
        <v>8657</v>
      </c>
      <c r="B2456" t="s">
        <v>18</v>
      </c>
      <c r="C2456" t="s">
        <v>33</v>
      </c>
      <c r="D2456" t="s">
        <v>31</v>
      </c>
      <c r="E2456" s="1">
        <v>2026</v>
      </c>
      <c r="F2456" s="11">
        <v>0.60740000000000005</v>
      </c>
      <c r="G2456">
        <v>70.489999999999995</v>
      </c>
      <c r="H2456">
        <v>93.02</v>
      </c>
      <c r="I2456" s="2">
        <v>112223.21</v>
      </c>
      <c r="J2456" s="2">
        <v>106615.16</v>
      </c>
      <c r="K2456" s="2">
        <f>Table1[[#This Row],[Salary_after]]-Table1[[#This Row],[Salary_before]]</f>
        <v>-5608.0500000000029</v>
      </c>
      <c r="L2456" s="11">
        <v>-0.05</v>
      </c>
      <c r="M2456" s="11">
        <v>-2.1299999999999999E-2</v>
      </c>
      <c r="N2456">
        <v>57.82</v>
      </c>
      <c r="O2456">
        <v>38.619999999999997</v>
      </c>
      <c r="P2456">
        <v>5</v>
      </c>
      <c r="Q2456" t="s">
        <v>37</v>
      </c>
      <c r="R2456">
        <v>76.88</v>
      </c>
      <c r="S2456">
        <v>5</v>
      </c>
      <c r="T2456" s="4">
        <v>53.701999999999998</v>
      </c>
      <c r="U2456" s="4">
        <v>23.457788000000001</v>
      </c>
      <c r="V2456" t="str">
        <f>IF(Table1[[#This Row],[ai_disruption_intensity]]&gt;70,"High",
IF(Table1[[#This Row],[ai_disruption_intensity]]&gt;40,"Medium","Low"))</f>
        <v>Low</v>
      </c>
      <c r="W2456" t="str">
        <f>IF(Table1[[#This Row],[skill_gap_index]]&gt;70,"Large Gap",
IF(Table1[[#This Row],[skill_gap_index]]&gt;40,"Medium Gap","Small Gap"))</f>
        <v>Large Gap</v>
      </c>
      <c r="X2456" s="3" t="str">
        <f>IF(Table1[[#This Row],[automation_risk_percent]]&gt;0.7,"Highly Automatable",
IF(Table1[[#This Row],[automation_risk_percent]]&gt;0.4,"Moderate Risk","Safe Job"))</f>
        <v>Moderate Risk</v>
      </c>
    </row>
    <row r="2457" spans="1:24" x14ac:dyDescent="0.3">
      <c r="A2457">
        <v>8658</v>
      </c>
      <c r="B2457" t="s">
        <v>39</v>
      </c>
      <c r="C2457" t="s">
        <v>30</v>
      </c>
      <c r="D2457" t="s">
        <v>31</v>
      </c>
      <c r="E2457" s="1">
        <v>2026</v>
      </c>
      <c r="F2457" s="11">
        <v>0.56000000000000005</v>
      </c>
      <c r="G2457">
        <v>54.78</v>
      </c>
      <c r="H2457">
        <v>77.5</v>
      </c>
      <c r="I2457" s="2">
        <v>115630.57</v>
      </c>
      <c r="J2457" s="2">
        <v>123791.08</v>
      </c>
      <c r="K2457" s="2">
        <f>Table1[[#This Row],[Salary_after]]-Table1[[#This Row],[Salary_before]]</f>
        <v>8160.5099999999948</v>
      </c>
      <c r="L2457" s="11">
        <v>7.0599999999999996E-2</v>
      </c>
      <c r="M2457" s="11">
        <v>0.10310000000000001</v>
      </c>
      <c r="N2457">
        <v>85.08</v>
      </c>
      <c r="O2457">
        <v>77.959999999999994</v>
      </c>
      <c r="P2457">
        <v>1</v>
      </c>
      <c r="Q2457" t="s">
        <v>25</v>
      </c>
      <c r="R2457">
        <v>66.75</v>
      </c>
      <c r="S2457">
        <v>7.06</v>
      </c>
      <c r="T2457" s="4">
        <v>47.768000000000001</v>
      </c>
      <c r="U2457" s="4">
        <v>43.657599999999903</v>
      </c>
      <c r="V2457" t="str">
        <f>IF(Table1[[#This Row],[ai_disruption_intensity]]&gt;70,"High",
IF(Table1[[#This Row],[ai_disruption_intensity]]&gt;40,"Medium","Low"))</f>
        <v>Medium</v>
      </c>
      <c r="W2457" t="str">
        <f>IF(Table1[[#This Row],[skill_gap_index]]&gt;70,"Large Gap",
IF(Table1[[#This Row],[skill_gap_index]]&gt;40,"Medium Gap","Small Gap"))</f>
        <v>Large Gap</v>
      </c>
      <c r="X2457" s="3" t="str">
        <f>IF(Table1[[#This Row],[automation_risk_percent]]&gt;0.7,"Highly Automatable",
IF(Table1[[#This Row],[automation_risk_percent]]&gt;0.4,"Moderate Risk","Safe Job"))</f>
        <v>Moderate Risk</v>
      </c>
    </row>
    <row r="2458" spans="1:24" x14ac:dyDescent="0.3">
      <c r="A2458">
        <v>8662</v>
      </c>
      <c r="B2458" t="s">
        <v>39</v>
      </c>
      <c r="C2458" t="s">
        <v>33</v>
      </c>
      <c r="D2458" t="s">
        <v>36</v>
      </c>
      <c r="E2458" s="1">
        <v>2026</v>
      </c>
      <c r="F2458" s="11">
        <v>0.62539999999999996</v>
      </c>
      <c r="G2458">
        <v>54.47</v>
      </c>
      <c r="H2458">
        <v>46.55</v>
      </c>
      <c r="I2458" s="2">
        <v>144443.07</v>
      </c>
      <c r="J2458" s="2">
        <v>155133.98000000001</v>
      </c>
      <c r="K2458" s="2">
        <f>Table1[[#This Row],[Salary_after]]-Table1[[#This Row],[Salary_before]]</f>
        <v>10690.910000000003</v>
      </c>
      <c r="L2458" s="11">
        <v>7.400000000000001E-2</v>
      </c>
      <c r="M2458" s="11">
        <v>0.30620000000000003</v>
      </c>
      <c r="N2458">
        <v>15.56</v>
      </c>
      <c r="O2458">
        <v>27.73</v>
      </c>
      <c r="P2458">
        <v>5</v>
      </c>
      <c r="Q2458" t="s">
        <v>37</v>
      </c>
      <c r="R2458">
        <v>54.545000000000002</v>
      </c>
      <c r="S2458">
        <v>7.4</v>
      </c>
      <c r="T2458" s="4">
        <v>41.201000000000001</v>
      </c>
      <c r="U2458" s="4">
        <v>17.342341999999999</v>
      </c>
      <c r="V2458" t="str">
        <f>IF(Table1[[#This Row],[ai_disruption_intensity]]&gt;70,"High",
IF(Table1[[#This Row],[ai_disruption_intensity]]&gt;40,"Medium","Low"))</f>
        <v>Low</v>
      </c>
      <c r="W2458" t="str">
        <f>IF(Table1[[#This Row],[skill_gap_index]]&gt;70,"Large Gap",
IF(Table1[[#This Row],[skill_gap_index]]&gt;40,"Medium Gap","Small Gap"))</f>
        <v>Medium Gap</v>
      </c>
      <c r="X2458" s="3" t="str">
        <f>IF(Table1[[#This Row],[automation_risk_percent]]&gt;0.7,"Highly Automatable",
IF(Table1[[#This Row],[automation_risk_percent]]&gt;0.4,"Moderate Risk","Safe Job"))</f>
        <v>Moderate Risk</v>
      </c>
    </row>
    <row r="2459" spans="1:24" x14ac:dyDescent="0.3">
      <c r="A2459">
        <v>8663</v>
      </c>
      <c r="B2459" t="s">
        <v>46</v>
      </c>
      <c r="C2459" t="s">
        <v>34</v>
      </c>
      <c r="D2459" t="s">
        <v>28</v>
      </c>
      <c r="E2459" s="1">
        <v>2025</v>
      </c>
      <c r="F2459" s="11">
        <v>0.05</v>
      </c>
      <c r="G2459">
        <v>5.75</v>
      </c>
      <c r="H2459">
        <v>64.489999999999995</v>
      </c>
      <c r="I2459" s="2">
        <v>44163.32</v>
      </c>
      <c r="J2459" s="2">
        <v>49186.44</v>
      </c>
      <c r="K2459" s="2">
        <f>Table1[[#This Row],[Salary_after]]-Table1[[#This Row],[Salary_before]]</f>
        <v>5023.1200000000026</v>
      </c>
      <c r="L2459" s="11">
        <v>0.1137</v>
      </c>
      <c r="M2459" s="11">
        <v>1E-4</v>
      </c>
      <c r="N2459">
        <v>22.63</v>
      </c>
      <c r="O2459">
        <v>23.03</v>
      </c>
      <c r="P2459">
        <v>2</v>
      </c>
      <c r="Q2459" t="s">
        <v>21</v>
      </c>
      <c r="R2459">
        <v>34.744999999999997</v>
      </c>
      <c r="S2459">
        <v>11.37</v>
      </c>
      <c r="T2459" s="4">
        <v>24.7579999999999</v>
      </c>
      <c r="U2459" s="4">
        <v>1.1515</v>
      </c>
      <c r="V2459" t="str">
        <f>IF(Table1[[#This Row],[ai_disruption_intensity]]&gt;70,"High",
IF(Table1[[#This Row],[ai_disruption_intensity]]&gt;40,"Medium","Low"))</f>
        <v>Low</v>
      </c>
      <c r="W2459" t="str">
        <f>IF(Table1[[#This Row],[skill_gap_index]]&gt;70,"Large Gap",
IF(Table1[[#This Row],[skill_gap_index]]&gt;40,"Medium Gap","Small Gap"))</f>
        <v>Medium Gap</v>
      </c>
      <c r="X2459" s="3" t="str">
        <f>IF(Table1[[#This Row],[automation_risk_percent]]&gt;0.7,"Highly Automatable",
IF(Table1[[#This Row],[automation_risk_percent]]&gt;0.4,"Moderate Risk","Safe Job"))</f>
        <v>Safe Job</v>
      </c>
    </row>
    <row r="2460" spans="1:24" x14ac:dyDescent="0.3">
      <c r="A2460">
        <v>8666</v>
      </c>
      <c r="B2460" t="s">
        <v>43</v>
      </c>
      <c r="C2460" t="s">
        <v>33</v>
      </c>
      <c r="D2460" t="s">
        <v>24</v>
      </c>
      <c r="E2460" s="1">
        <v>2025</v>
      </c>
      <c r="F2460" s="11">
        <v>0.56140000000000001</v>
      </c>
      <c r="G2460">
        <v>56.59</v>
      </c>
      <c r="H2460">
        <v>61.34</v>
      </c>
      <c r="I2460" s="2">
        <v>33736.870000000003</v>
      </c>
      <c r="J2460" s="2">
        <v>34527.370000000003</v>
      </c>
      <c r="K2460" s="2">
        <f>Table1[[#This Row],[Salary_after]]-Table1[[#This Row],[Salary_before]]</f>
        <v>790.5</v>
      </c>
      <c r="L2460" s="11">
        <v>2.3399999999999997E-2</v>
      </c>
      <c r="M2460" s="11">
        <v>-1.2999999999999999E-3</v>
      </c>
      <c r="N2460">
        <v>86.31</v>
      </c>
      <c r="O2460">
        <v>35.94</v>
      </c>
      <c r="P2460">
        <v>3</v>
      </c>
      <c r="Q2460" t="s">
        <v>25</v>
      </c>
      <c r="R2460">
        <v>58.74</v>
      </c>
      <c r="S2460">
        <v>2.34</v>
      </c>
      <c r="T2460" s="4">
        <v>41.56</v>
      </c>
      <c r="U2460" s="4">
        <v>20.176715999999999</v>
      </c>
      <c r="V2460" t="str">
        <f>IF(Table1[[#This Row],[ai_disruption_intensity]]&gt;70,"High",
IF(Table1[[#This Row],[ai_disruption_intensity]]&gt;40,"Medium","Low"))</f>
        <v>Low</v>
      </c>
      <c r="W2460" t="str">
        <f>IF(Table1[[#This Row],[skill_gap_index]]&gt;70,"Large Gap",
IF(Table1[[#This Row],[skill_gap_index]]&gt;40,"Medium Gap","Small Gap"))</f>
        <v>Medium Gap</v>
      </c>
      <c r="X2460" s="3" t="str">
        <f>IF(Table1[[#This Row],[automation_risk_percent]]&gt;0.7,"Highly Automatable",
IF(Table1[[#This Row],[automation_risk_percent]]&gt;0.4,"Moderate Risk","Safe Job"))</f>
        <v>Moderate Risk</v>
      </c>
    </row>
    <row r="2461" spans="1:24" x14ac:dyDescent="0.3">
      <c r="A2461">
        <v>8667</v>
      </c>
      <c r="B2461" t="s">
        <v>39</v>
      </c>
      <c r="C2461" t="s">
        <v>38</v>
      </c>
      <c r="D2461" t="s">
        <v>24</v>
      </c>
      <c r="E2461" s="1">
        <v>2025</v>
      </c>
      <c r="F2461" s="11">
        <v>0.2165</v>
      </c>
      <c r="G2461">
        <v>19.989999999999998</v>
      </c>
      <c r="H2461">
        <v>41.2</v>
      </c>
      <c r="I2461" s="2">
        <v>105616.31</v>
      </c>
      <c r="J2461" s="2">
        <v>114946.17</v>
      </c>
      <c r="K2461" s="2">
        <f>Table1[[#This Row],[Salary_after]]-Table1[[#This Row],[Salary_before]]</f>
        <v>9329.86</v>
      </c>
      <c r="L2461" s="11">
        <v>8.8300000000000003E-2</v>
      </c>
      <c r="M2461" s="11">
        <v>2.9900000000000003E-2</v>
      </c>
      <c r="N2461">
        <v>46.11</v>
      </c>
      <c r="O2461">
        <v>18.14</v>
      </c>
      <c r="P2461">
        <v>2</v>
      </c>
      <c r="Q2461" t="s">
        <v>21</v>
      </c>
      <c r="R2461">
        <v>31.425000000000001</v>
      </c>
      <c r="S2461">
        <v>8.83</v>
      </c>
      <c r="T2461" s="4">
        <v>23.669</v>
      </c>
      <c r="U2461" s="4">
        <v>3.9273099999999999</v>
      </c>
      <c r="V2461" t="str">
        <f>IF(Table1[[#This Row],[ai_disruption_intensity]]&gt;70,"High",
IF(Table1[[#This Row],[ai_disruption_intensity]]&gt;40,"Medium","Low"))</f>
        <v>Low</v>
      </c>
      <c r="W2461" t="str">
        <f>IF(Table1[[#This Row],[skill_gap_index]]&gt;70,"Large Gap",
IF(Table1[[#This Row],[skill_gap_index]]&gt;40,"Medium Gap","Small Gap"))</f>
        <v>Medium Gap</v>
      </c>
      <c r="X2461" s="3" t="str">
        <f>IF(Table1[[#This Row],[automation_risk_percent]]&gt;0.7,"Highly Automatable",
IF(Table1[[#This Row],[automation_risk_percent]]&gt;0.4,"Moderate Risk","Safe Job"))</f>
        <v>Safe Job</v>
      </c>
    </row>
    <row r="2462" spans="1:24" x14ac:dyDescent="0.3">
      <c r="A2462">
        <v>8669</v>
      </c>
      <c r="B2462" t="s">
        <v>39</v>
      </c>
      <c r="C2462" t="s">
        <v>27</v>
      </c>
      <c r="D2462" t="s">
        <v>35</v>
      </c>
      <c r="E2462" s="1">
        <v>2026</v>
      </c>
      <c r="F2462" s="11">
        <v>0.38290000000000002</v>
      </c>
      <c r="G2462">
        <v>32.880000000000003</v>
      </c>
      <c r="H2462">
        <v>67.2</v>
      </c>
      <c r="I2462" s="2">
        <v>128178.88</v>
      </c>
      <c r="J2462" s="2">
        <v>98677.42</v>
      </c>
      <c r="K2462" s="2">
        <f>Table1[[#This Row],[Salary_after]]-Table1[[#This Row],[Salary_before]]</f>
        <v>-29501.460000000006</v>
      </c>
      <c r="L2462" s="11">
        <v>-0.23019999999999999</v>
      </c>
      <c r="M2462" s="11">
        <v>-0.11689999999999999</v>
      </c>
      <c r="N2462">
        <v>77.98</v>
      </c>
      <c r="O2462">
        <v>50.01</v>
      </c>
      <c r="P2462">
        <v>3</v>
      </c>
      <c r="Q2462" t="s">
        <v>25</v>
      </c>
      <c r="R2462">
        <v>52.744999999999997</v>
      </c>
      <c r="S2462">
        <v>23.02</v>
      </c>
      <c r="T2462" s="4">
        <v>42.381999999999998</v>
      </c>
      <c r="U2462" s="4">
        <v>19.148828999999999</v>
      </c>
      <c r="V2462" t="str">
        <f>IF(Table1[[#This Row],[ai_disruption_intensity]]&gt;70,"High",
IF(Table1[[#This Row],[ai_disruption_intensity]]&gt;40,"Medium","Low"))</f>
        <v>Low</v>
      </c>
      <c r="W2462" t="str">
        <f>IF(Table1[[#This Row],[skill_gap_index]]&gt;70,"Large Gap",
IF(Table1[[#This Row],[skill_gap_index]]&gt;40,"Medium Gap","Small Gap"))</f>
        <v>Medium Gap</v>
      </c>
      <c r="X2462" s="3" t="str">
        <f>IF(Table1[[#This Row],[automation_risk_percent]]&gt;0.7,"Highly Automatable",
IF(Table1[[#This Row],[automation_risk_percent]]&gt;0.4,"Moderate Risk","Safe Job"))</f>
        <v>Safe Job</v>
      </c>
    </row>
    <row r="2463" spans="1:24" x14ac:dyDescent="0.3">
      <c r="A2463">
        <v>8671</v>
      </c>
      <c r="B2463" t="s">
        <v>39</v>
      </c>
      <c r="C2463" t="s">
        <v>40</v>
      </c>
      <c r="D2463" t="s">
        <v>28</v>
      </c>
      <c r="E2463" s="1">
        <v>2025</v>
      </c>
      <c r="F2463" s="11">
        <v>0.3049</v>
      </c>
      <c r="G2463">
        <v>34.229999999999997</v>
      </c>
      <c r="H2463">
        <v>94.62</v>
      </c>
      <c r="I2463" s="2">
        <v>74382.13</v>
      </c>
      <c r="J2463" s="2">
        <v>77970.63</v>
      </c>
      <c r="K2463" s="2">
        <f>Table1[[#This Row],[Salary_after]]-Table1[[#This Row],[Salary_before]]</f>
        <v>3588.5</v>
      </c>
      <c r="L2463" s="11">
        <v>4.82E-2</v>
      </c>
      <c r="M2463" s="11">
        <v>0.10949999999999999</v>
      </c>
      <c r="N2463">
        <v>63.06</v>
      </c>
      <c r="O2463">
        <v>36.76</v>
      </c>
      <c r="P2463">
        <v>2</v>
      </c>
      <c r="Q2463" t="s">
        <v>25</v>
      </c>
      <c r="R2463">
        <v>62.555</v>
      </c>
      <c r="S2463">
        <v>4.82</v>
      </c>
      <c r="T2463" s="4">
        <v>42.027999999999999</v>
      </c>
      <c r="U2463" s="4">
        <v>11.2081239999999</v>
      </c>
      <c r="V2463" t="str">
        <f>IF(Table1[[#This Row],[ai_disruption_intensity]]&gt;70,"High",
IF(Table1[[#This Row],[ai_disruption_intensity]]&gt;40,"Medium","Low"))</f>
        <v>Low</v>
      </c>
      <c r="W2463" t="str">
        <f>IF(Table1[[#This Row],[skill_gap_index]]&gt;70,"Large Gap",
IF(Table1[[#This Row],[skill_gap_index]]&gt;40,"Medium Gap","Small Gap"))</f>
        <v>Large Gap</v>
      </c>
      <c r="X2463" s="3" t="str">
        <f>IF(Table1[[#This Row],[automation_risk_percent]]&gt;0.7,"Highly Automatable",
IF(Table1[[#This Row],[automation_risk_percent]]&gt;0.4,"Moderate Risk","Safe Job"))</f>
        <v>Safe Job</v>
      </c>
    </row>
    <row r="2464" spans="1:24" x14ac:dyDescent="0.3">
      <c r="A2464">
        <v>8673</v>
      </c>
      <c r="B2464" t="s">
        <v>29</v>
      </c>
      <c r="C2464" t="s">
        <v>27</v>
      </c>
      <c r="D2464" t="s">
        <v>35</v>
      </c>
      <c r="E2464" s="1">
        <v>2025</v>
      </c>
      <c r="F2464" s="11">
        <v>0.30859999999999999</v>
      </c>
      <c r="G2464">
        <v>34.11</v>
      </c>
      <c r="H2464">
        <v>66.099999999999994</v>
      </c>
      <c r="I2464" s="2">
        <v>71698.2</v>
      </c>
      <c r="J2464" s="2">
        <v>79441.56</v>
      </c>
      <c r="K2464" s="2">
        <f>Table1[[#This Row],[Salary_after]]-Table1[[#This Row],[Salary_before]]</f>
        <v>7743.3600000000006</v>
      </c>
      <c r="L2464" s="11">
        <v>0.10800000000000001</v>
      </c>
      <c r="M2464" s="11">
        <v>5.7200000000000001E-2</v>
      </c>
      <c r="N2464">
        <v>14</v>
      </c>
      <c r="O2464">
        <v>93.02</v>
      </c>
      <c r="P2464">
        <v>2</v>
      </c>
      <c r="Q2464" t="s">
        <v>25</v>
      </c>
      <c r="R2464">
        <v>48.48</v>
      </c>
      <c r="S2464">
        <v>10.8</v>
      </c>
      <c r="T2464" s="4">
        <v>35.414000000000001</v>
      </c>
      <c r="U2464" s="4">
        <v>28.7059719999999</v>
      </c>
      <c r="V2464" t="str">
        <f>IF(Table1[[#This Row],[ai_disruption_intensity]]&gt;70,"High",
IF(Table1[[#This Row],[ai_disruption_intensity]]&gt;40,"Medium","Low"))</f>
        <v>Low</v>
      </c>
      <c r="W2464" t="str">
        <f>IF(Table1[[#This Row],[skill_gap_index]]&gt;70,"Large Gap",
IF(Table1[[#This Row],[skill_gap_index]]&gt;40,"Medium Gap","Small Gap"))</f>
        <v>Medium Gap</v>
      </c>
      <c r="X2464" s="3" t="str">
        <f>IF(Table1[[#This Row],[automation_risk_percent]]&gt;0.7,"Highly Automatable",
IF(Table1[[#This Row],[automation_risk_percent]]&gt;0.4,"Moderate Risk","Safe Job"))</f>
        <v>Safe Job</v>
      </c>
    </row>
    <row r="2465" spans="1:24" x14ac:dyDescent="0.3">
      <c r="A2465">
        <v>8675</v>
      </c>
      <c r="B2465" t="s">
        <v>43</v>
      </c>
      <c r="C2465" t="s">
        <v>27</v>
      </c>
      <c r="D2465" t="s">
        <v>28</v>
      </c>
      <c r="E2465" s="1">
        <v>2025</v>
      </c>
      <c r="F2465" s="11">
        <v>0.54420000000000002</v>
      </c>
      <c r="G2465">
        <v>47.18</v>
      </c>
      <c r="H2465">
        <v>12.31</v>
      </c>
      <c r="I2465" s="2">
        <v>97436.76</v>
      </c>
      <c r="J2465" s="2">
        <v>84989.56</v>
      </c>
      <c r="K2465" s="2">
        <f>Table1[[#This Row],[Salary_after]]-Table1[[#This Row],[Salary_before]]</f>
        <v>-12447.199999999997</v>
      </c>
      <c r="L2465" s="11">
        <v>-0.12770000000000001</v>
      </c>
      <c r="M2465" s="11">
        <v>9.98E-2</v>
      </c>
      <c r="N2465">
        <v>29.67</v>
      </c>
      <c r="O2465">
        <v>44.58</v>
      </c>
      <c r="P2465">
        <v>4</v>
      </c>
      <c r="Q2465" t="s">
        <v>25</v>
      </c>
      <c r="R2465">
        <v>33.365000000000002</v>
      </c>
      <c r="S2465">
        <v>12.77</v>
      </c>
      <c r="T2465" s="4">
        <v>29.292000000000002</v>
      </c>
      <c r="U2465" s="4">
        <v>24.260435999999999</v>
      </c>
      <c r="V2465" t="str">
        <f>IF(Table1[[#This Row],[ai_disruption_intensity]]&gt;70,"High",
IF(Table1[[#This Row],[ai_disruption_intensity]]&gt;40,"Medium","Low"))</f>
        <v>Low</v>
      </c>
      <c r="W2465" t="str">
        <f>IF(Table1[[#This Row],[skill_gap_index]]&gt;70,"Large Gap",
IF(Table1[[#This Row],[skill_gap_index]]&gt;40,"Medium Gap","Small Gap"))</f>
        <v>Small Gap</v>
      </c>
      <c r="X2465" s="3" t="str">
        <f>IF(Table1[[#This Row],[automation_risk_percent]]&gt;0.7,"Highly Automatable",
IF(Table1[[#This Row],[automation_risk_percent]]&gt;0.4,"Moderate Risk","Safe Job"))</f>
        <v>Moderate Risk</v>
      </c>
    </row>
    <row r="2466" spans="1:24" x14ac:dyDescent="0.3">
      <c r="A2466">
        <v>8680</v>
      </c>
      <c r="B2466" t="s">
        <v>18</v>
      </c>
      <c r="C2466" t="s">
        <v>34</v>
      </c>
      <c r="D2466" t="s">
        <v>31</v>
      </c>
      <c r="E2466" s="1">
        <v>2026</v>
      </c>
      <c r="F2466" s="11">
        <v>0.13350000000000001</v>
      </c>
      <c r="G2466">
        <v>12.96</v>
      </c>
      <c r="H2466">
        <v>85.54</v>
      </c>
      <c r="I2466" s="2">
        <v>144491.38</v>
      </c>
      <c r="J2466" s="2">
        <v>132462.78</v>
      </c>
      <c r="K2466" s="2">
        <f>Table1[[#This Row],[Salary_after]]-Table1[[#This Row],[Salary_before]]</f>
        <v>-12028.600000000006</v>
      </c>
      <c r="L2466" s="11">
        <v>-8.3199999999999996E-2</v>
      </c>
      <c r="M2466" s="11">
        <v>-5.2499999999999998E-2</v>
      </c>
      <c r="N2466">
        <v>61.05</v>
      </c>
      <c r="O2466">
        <v>22.66</v>
      </c>
      <c r="P2466">
        <v>5</v>
      </c>
      <c r="Q2466" t="s">
        <v>21</v>
      </c>
      <c r="R2466">
        <v>49.445</v>
      </c>
      <c r="S2466">
        <v>8.32</v>
      </c>
      <c r="T2466" s="4">
        <v>33.497999999999998</v>
      </c>
      <c r="U2466" s="4">
        <v>3.02510999999999</v>
      </c>
      <c r="V2466" t="str">
        <f>IF(Table1[[#This Row],[ai_disruption_intensity]]&gt;70,"High",
IF(Table1[[#This Row],[ai_disruption_intensity]]&gt;40,"Medium","Low"))</f>
        <v>Low</v>
      </c>
      <c r="W2466" t="str">
        <f>IF(Table1[[#This Row],[skill_gap_index]]&gt;70,"Large Gap",
IF(Table1[[#This Row],[skill_gap_index]]&gt;40,"Medium Gap","Small Gap"))</f>
        <v>Large Gap</v>
      </c>
      <c r="X2466" s="3" t="str">
        <f>IF(Table1[[#This Row],[automation_risk_percent]]&gt;0.7,"Highly Automatable",
IF(Table1[[#This Row],[automation_risk_percent]]&gt;0.4,"Moderate Risk","Safe Job"))</f>
        <v>Safe Job</v>
      </c>
    </row>
    <row r="2467" spans="1:24" x14ac:dyDescent="0.3">
      <c r="A2467">
        <v>8682</v>
      </c>
      <c r="B2467" t="s">
        <v>29</v>
      </c>
      <c r="C2467" t="s">
        <v>27</v>
      </c>
      <c r="D2467" t="s">
        <v>28</v>
      </c>
      <c r="E2467" s="1">
        <v>2026</v>
      </c>
      <c r="F2467" s="11">
        <v>0.78260000000000007</v>
      </c>
      <c r="G2467">
        <v>68.28</v>
      </c>
      <c r="H2467">
        <v>52.9</v>
      </c>
      <c r="I2467" s="2">
        <v>122221.38</v>
      </c>
      <c r="J2467" s="2">
        <v>112873.32</v>
      </c>
      <c r="K2467" s="2">
        <f>Table1[[#This Row],[Salary_after]]-Table1[[#This Row],[Salary_before]]</f>
        <v>-9348.0599999999977</v>
      </c>
      <c r="L2467" s="11">
        <v>-7.6499999999999999E-2</v>
      </c>
      <c r="M2467" s="11">
        <v>4.1100000000000005E-2</v>
      </c>
      <c r="N2467">
        <v>76.319999999999993</v>
      </c>
      <c r="O2467">
        <v>49.41</v>
      </c>
      <c r="P2467">
        <v>1</v>
      </c>
      <c r="Q2467" t="s">
        <v>37</v>
      </c>
      <c r="R2467">
        <v>65.58</v>
      </c>
      <c r="S2467">
        <v>7.65</v>
      </c>
      <c r="T2467" s="4">
        <v>49.469000000000001</v>
      </c>
      <c r="U2467" s="4">
        <v>38.668265999999903</v>
      </c>
      <c r="V2467" t="str">
        <f>IF(Table1[[#This Row],[ai_disruption_intensity]]&gt;70,"High",
IF(Table1[[#This Row],[ai_disruption_intensity]]&gt;40,"Medium","Low"))</f>
        <v>Low</v>
      </c>
      <c r="W2467" t="str">
        <f>IF(Table1[[#This Row],[skill_gap_index]]&gt;70,"Large Gap",
IF(Table1[[#This Row],[skill_gap_index]]&gt;40,"Medium Gap","Small Gap"))</f>
        <v>Medium Gap</v>
      </c>
      <c r="X2467" s="3" t="str">
        <f>IF(Table1[[#This Row],[automation_risk_percent]]&gt;0.7,"Highly Automatable",
IF(Table1[[#This Row],[automation_risk_percent]]&gt;0.4,"Moderate Risk","Safe Job"))</f>
        <v>Highly Automatable</v>
      </c>
    </row>
    <row r="2468" spans="1:24" x14ac:dyDescent="0.3">
      <c r="A2468">
        <v>8687</v>
      </c>
      <c r="B2468" t="s">
        <v>29</v>
      </c>
      <c r="C2468" t="s">
        <v>30</v>
      </c>
      <c r="D2468" t="s">
        <v>35</v>
      </c>
      <c r="E2468" s="1">
        <v>2026</v>
      </c>
      <c r="F2468" s="11">
        <v>0.70979999999999999</v>
      </c>
      <c r="G2468">
        <v>80.849999999999994</v>
      </c>
      <c r="H2468">
        <v>29.66</v>
      </c>
      <c r="I2468" s="2">
        <v>140095.64000000001</v>
      </c>
      <c r="J2468" s="2">
        <v>143904.39000000001</v>
      </c>
      <c r="K2468" s="2">
        <f>Table1[[#This Row],[Salary_after]]-Table1[[#This Row],[Salary_before]]</f>
        <v>3808.75</v>
      </c>
      <c r="L2468" s="11">
        <v>2.7200000000000002E-2</v>
      </c>
      <c r="M2468" s="11">
        <v>0.3085</v>
      </c>
      <c r="N2468">
        <v>85.21</v>
      </c>
      <c r="O2468">
        <v>88.95</v>
      </c>
      <c r="P2468">
        <v>1</v>
      </c>
      <c r="Q2468" t="s">
        <v>37</v>
      </c>
      <c r="R2468">
        <v>50.32</v>
      </c>
      <c r="S2468">
        <v>2.72</v>
      </c>
      <c r="T2468" s="4">
        <v>38.106000000000002</v>
      </c>
      <c r="U2468" s="4">
        <v>63.136710000000001</v>
      </c>
      <c r="V2468" t="str">
        <f>IF(Table1[[#This Row],[ai_disruption_intensity]]&gt;70,"High",
IF(Table1[[#This Row],[ai_disruption_intensity]]&gt;40,"Medium","Low"))</f>
        <v>Medium</v>
      </c>
      <c r="W2468" t="str">
        <f>IF(Table1[[#This Row],[skill_gap_index]]&gt;70,"Large Gap",
IF(Table1[[#This Row],[skill_gap_index]]&gt;40,"Medium Gap","Small Gap"))</f>
        <v>Small Gap</v>
      </c>
      <c r="X2468" s="3" t="str">
        <f>IF(Table1[[#This Row],[automation_risk_percent]]&gt;0.7,"Highly Automatable",
IF(Table1[[#This Row],[automation_risk_percent]]&gt;0.4,"Moderate Risk","Safe Job"))</f>
        <v>Highly Automatable</v>
      </c>
    </row>
    <row r="2469" spans="1:24" x14ac:dyDescent="0.3">
      <c r="A2469">
        <v>8704</v>
      </c>
      <c r="B2469" t="s">
        <v>22</v>
      </c>
      <c r="C2469" t="s">
        <v>33</v>
      </c>
      <c r="D2469" t="s">
        <v>28</v>
      </c>
      <c r="E2469" s="1">
        <v>2026</v>
      </c>
      <c r="F2469" s="11">
        <v>0.2072</v>
      </c>
      <c r="G2469">
        <v>24.38</v>
      </c>
      <c r="H2469">
        <v>74.930000000000007</v>
      </c>
      <c r="I2469" s="2">
        <v>77480.44</v>
      </c>
      <c r="J2469" s="2">
        <v>81951.570000000007</v>
      </c>
      <c r="K2469" s="2">
        <f>Table1[[#This Row],[Salary_after]]-Table1[[#This Row],[Salary_before]]</f>
        <v>4471.1300000000047</v>
      </c>
      <c r="L2469" s="11">
        <v>5.7699999999999994E-2</v>
      </c>
      <c r="M2469" s="11">
        <v>-1.41E-2</v>
      </c>
      <c r="N2469">
        <v>19.78</v>
      </c>
      <c r="O2469">
        <v>12.94</v>
      </c>
      <c r="P2469">
        <v>3</v>
      </c>
      <c r="Q2469" t="s">
        <v>21</v>
      </c>
      <c r="R2469">
        <v>47.825000000000003</v>
      </c>
      <c r="S2469">
        <v>5.77</v>
      </c>
      <c r="T2469" s="4">
        <v>32.497999999999998</v>
      </c>
      <c r="U2469" s="4">
        <v>2.6811679999999898</v>
      </c>
      <c r="V2469" t="str">
        <f>IF(Table1[[#This Row],[ai_disruption_intensity]]&gt;70,"High",
IF(Table1[[#This Row],[ai_disruption_intensity]]&gt;40,"Medium","Low"))</f>
        <v>Low</v>
      </c>
      <c r="W2469" t="str">
        <f>IF(Table1[[#This Row],[skill_gap_index]]&gt;70,"Large Gap",
IF(Table1[[#This Row],[skill_gap_index]]&gt;40,"Medium Gap","Small Gap"))</f>
        <v>Large Gap</v>
      </c>
      <c r="X2469" s="3" t="str">
        <f>IF(Table1[[#This Row],[automation_risk_percent]]&gt;0.7,"Highly Automatable",
IF(Table1[[#This Row],[automation_risk_percent]]&gt;0.4,"Moderate Risk","Safe Job"))</f>
        <v>Safe Job</v>
      </c>
    </row>
    <row r="2470" spans="1:24" x14ac:dyDescent="0.3">
      <c r="A2470">
        <v>8705</v>
      </c>
      <c r="B2470" t="s">
        <v>41</v>
      </c>
      <c r="C2470" t="s">
        <v>19</v>
      </c>
      <c r="D2470" t="s">
        <v>31</v>
      </c>
      <c r="E2470" s="1">
        <v>2025</v>
      </c>
      <c r="F2470" s="11">
        <v>0.38719999999999999</v>
      </c>
      <c r="G2470">
        <v>37.090000000000003</v>
      </c>
      <c r="H2470">
        <v>18.91</v>
      </c>
      <c r="I2470" s="2">
        <v>138516.42000000001</v>
      </c>
      <c r="J2470" s="2">
        <v>142778.91</v>
      </c>
      <c r="K2470" s="2">
        <f>Table1[[#This Row],[Salary_after]]-Table1[[#This Row],[Salary_before]]</f>
        <v>4262.4899999999907</v>
      </c>
      <c r="L2470" s="11">
        <v>3.0800000000000001E-2</v>
      </c>
      <c r="M2470" s="11">
        <v>3.2199999999999999E-2</v>
      </c>
      <c r="N2470">
        <v>98.64</v>
      </c>
      <c r="O2470">
        <v>75.48</v>
      </c>
      <c r="P2470">
        <v>1</v>
      </c>
      <c r="Q2470" t="s">
        <v>25</v>
      </c>
      <c r="R2470">
        <v>28.814999999999898</v>
      </c>
      <c r="S2470">
        <v>3.08</v>
      </c>
      <c r="T2470" s="4">
        <v>22.085000000000001</v>
      </c>
      <c r="U2470" s="4">
        <v>29.225856</v>
      </c>
      <c r="V2470" t="str">
        <f>IF(Table1[[#This Row],[ai_disruption_intensity]]&gt;70,"High",
IF(Table1[[#This Row],[ai_disruption_intensity]]&gt;40,"Medium","Low"))</f>
        <v>Low</v>
      </c>
      <c r="W2470" t="str">
        <f>IF(Table1[[#This Row],[skill_gap_index]]&gt;70,"Large Gap",
IF(Table1[[#This Row],[skill_gap_index]]&gt;40,"Medium Gap","Small Gap"))</f>
        <v>Small Gap</v>
      </c>
      <c r="X2470" s="3" t="str">
        <f>IF(Table1[[#This Row],[automation_risk_percent]]&gt;0.7,"Highly Automatable",
IF(Table1[[#This Row],[automation_risk_percent]]&gt;0.4,"Moderate Risk","Safe Job"))</f>
        <v>Safe Job</v>
      </c>
    </row>
    <row r="2471" spans="1:24" x14ac:dyDescent="0.3">
      <c r="A2471">
        <v>8706</v>
      </c>
      <c r="B2471" t="s">
        <v>43</v>
      </c>
      <c r="C2471" t="s">
        <v>34</v>
      </c>
      <c r="D2471" t="s">
        <v>35</v>
      </c>
      <c r="E2471" s="1">
        <v>2026</v>
      </c>
      <c r="F2471" s="11">
        <v>0.1052</v>
      </c>
      <c r="G2471">
        <v>9.43</v>
      </c>
      <c r="H2471">
        <v>26.73</v>
      </c>
      <c r="I2471" s="2">
        <v>95130.55</v>
      </c>
      <c r="J2471" s="2">
        <v>90146.559999999998</v>
      </c>
      <c r="K2471" s="2">
        <f>Table1[[#This Row],[Salary_after]]-Table1[[#This Row],[Salary_before]]</f>
        <v>-4983.9900000000052</v>
      </c>
      <c r="L2471" s="11">
        <v>-5.2400000000000002E-2</v>
      </c>
      <c r="M2471" s="11">
        <v>-4.82E-2</v>
      </c>
      <c r="N2471">
        <v>14.43</v>
      </c>
      <c r="O2471">
        <v>19.54</v>
      </c>
      <c r="P2471">
        <v>2</v>
      </c>
      <c r="Q2471" t="s">
        <v>21</v>
      </c>
      <c r="R2471">
        <v>18.625</v>
      </c>
      <c r="S2471">
        <v>5.24</v>
      </c>
      <c r="T2471" s="4">
        <v>13.798999999999999</v>
      </c>
      <c r="U2471" s="4">
        <v>2.0556079999999999</v>
      </c>
      <c r="V2471" t="str">
        <f>IF(Table1[[#This Row],[ai_disruption_intensity]]&gt;70,"High",
IF(Table1[[#This Row],[ai_disruption_intensity]]&gt;40,"Medium","Low"))</f>
        <v>Low</v>
      </c>
      <c r="W2471" t="str">
        <f>IF(Table1[[#This Row],[skill_gap_index]]&gt;70,"Large Gap",
IF(Table1[[#This Row],[skill_gap_index]]&gt;40,"Medium Gap","Small Gap"))</f>
        <v>Small Gap</v>
      </c>
      <c r="X2471" s="3" t="str">
        <f>IF(Table1[[#This Row],[automation_risk_percent]]&gt;0.7,"Highly Automatable",
IF(Table1[[#This Row],[automation_risk_percent]]&gt;0.4,"Moderate Risk","Safe Job"))</f>
        <v>Safe Job</v>
      </c>
    </row>
    <row r="2472" spans="1:24" x14ac:dyDescent="0.3">
      <c r="A2472">
        <v>8708</v>
      </c>
      <c r="B2472" t="s">
        <v>43</v>
      </c>
      <c r="C2472" t="s">
        <v>38</v>
      </c>
      <c r="D2472" t="s">
        <v>24</v>
      </c>
      <c r="E2472" s="1">
        <v>2026</v>
      </c>
      <c r="F2472" s="11">
        <v>0.29359999999999997</v>
      </c>
      <c r="G2472">
        <v>32.49</v>
      </c>
      <c r="H2472">
        <v>16.34</v>
      </c>
      <c r="I2472" s="2">
        <v>135917.32999999999</v>
      </c>
      <c r="J2472" s="2">
        <v>135346.81</v>
      </c>
      <c r="K2472" s="2">
        <f>Table1[[#This Row],[Salary_after]]-Table1[[#This Row],[Salary_before]]</f>
        <v>-570.51999999998952</v>
      </c>
      <c r="L2472" s="11">
        <v>-4.1999999999999997E-3</v>
      </c>
      <c r="M2472" s="11">
        <v>3.4999999999999996E-3</v>
      </c>
      <c r="N2472">
        <v>47.91</v>
      </c>
      <c r="O2472">
        <v>62.38</v>
      </c>
      <c r="P2472">
        <v>4</v>
      </c>
      <c r="Q2472" t="s">
        <v>21</v>
      </c>
      <c r="R2472">
        <v>22.85</v>
      </c>
      <c r="S2472">
        <v>0.42</v>
      </c>
      <c r="T2472" s="4">
        <v>16.771999999999998</v>
      </c>
      <c r="U2472" s="4">
        <v>18.314768000000001</v>
      </c>
      <c r="V2472" t="str">
        <f>IF(Table1[[#This Row],[ai_disruption_intensity]]&gt;70,"High",
IF(Table1[[#This Row],[ai_disruption_intensity]]&gt;40,"Medium","Low"))</f>
        <v>Low</v>
      </c>
      <c r="W2472" t="str">
        <f>IF(Table1[[#This Row],[skill_gap_index]]&gt;70,"Large Gap",
IF(Table1[[#This Row],[skill_gap_index]]&gt;40,"Medium Gap","Small Gap"))</f>
        <v>Small Gap</v>
      </c>
      <c r="X2472" s="3" t="str">
        <f>IF(Table1[[#This Row],[automation_risk_percent]]&gt;0.7,"Highly Automatable",
IF(Table1[[#This Row],[automation_risk_percent]]&gt;0.4,"Moderate Risk","Safe Job"))</f>
        <v>Safe Job</v>
      </c>
    </row>
    <row r="2473" spans="1:24" x14ac:dyDescent="0.3">
      <c r="A2473">
        <v>8714</v>
      </c>
      <c r="B2473" t="s">
        <v>46</v>
      </c>
      <c r="C2473" t="s">
        <v>38</v>
      </c>
      <c r="D2473" t="s">
        <v>36</v>
      </c>
      <c r="E2473" s="1">
        <v>2025</v>
      </c>
      <c r="F2473" s="11">
        <v>0.1182</v>
      </c>
      <c r="G2473">
        <v>10.5</v>
      </c>
      <c r="H2473">
        <v>16.010000000000002</v>
      </c>
      <c r="I2473" s="2">
        <v>83142.09</v>
      </c>
      <c r="J2473" s="2">
        <v>90927.72</v>
      </c>
      <c r="K2473" s="2">
        <f>Table1[[#This Row],[Salary_after]]-Table1[[#This Row],[Salary_before]]</f>
        <v>7785.6300000000047</v>
      </c>
      <c r="L2473" s="11">
        <v>9.3599999999999989E-2</v>
      </c>
      <c r="M2473" s="11">
        <v>0.13039999999999999</v>
      </c>
      <c r="N2473">
        <v>18.649999999999999</v>
      </c>
      <c r="O2473">
        <v>49.59</v>
      </c>
      <c r="P2473">
        <v>1</v>
      </c>
      <c r="Q2473" t="s">
        <v>21</v>
      </c>
      <c r="R2473">
        <v>13.914999999999999</v>
      </c>
      <c r="S2473">
        <v>9.36</v>
      </c>
      <c r="T2473" s="4">
        <v>12.339</v>
      </c>
      <c r="U2473" s="4">
        <v>5.8615380000000004</v>
      </c>
      <c r="V2473" t="str">
        <f>IF(Table1[[#This Row],[ai_disruption_intensity]]&gt;70,"High",
IF(Table1[[#This Row],[ai_disruption_intensity]]&gt;40,"Medium","Low"))</f>
        <v>Low</v>
      </c>
      <c r="W2473" t="str">
        <f>IF(Table1[[#This Row],[skill_gap_index]]&gt;70,"Large Gap",
IF(Table1[[#This Row],[skill_gap_index]]&gt;40,"Medium Gap","Small Gap"))</f>
        <v>Small Gap</v>
      </c>
      <c r="X2473" s="3" t="str">
        <f>IF(Table1[[#This Row],[automation_risk_percent]]&gt;0.7,"Highly Automatable",
IF(Table1[[#This Row],[automation_risk_percent]]&gt;0.4,"Moderate Risk","Safe Job"))</f>
        <v>Safe Job</v>
      </c>
    </row>
    <row r="2474" spans="1:24" x14ac:dyDescent="0.3">
      <c r="A2474">
        <v>8724</v>
      </c>
      <c r="B2474" t="s">
        <v>46</v>
      </c>
      <c r="C2474" t="s">
        <v>40</v>
      </c>
      <c r="D2474" t="s">
        <v>31</v>
      </c>
      <c r="E2474" s="1">
        <v>2026</v>
      </c>
      <c r="F2474" s="11">
        <v>0.4279</v>
      </c>
      <c r="G2474">
        <v>50.25</v>
      </c>
      <c r="H2474">
        <v>26</v>
      </c>
      <c r="I2474" s="2">
        <v>45763.839999999997</v>
      </c>
      <c r="J2474" s="2">
        <v>45158.25</v>
      </c>
      <c r="K2474" s="2">
        <f>Table1[[#This Row],[Salary_after]]-Table1[[#This Row],[Salary_before]]</f>
        <v>-605.58999999999651</v>
      </c>
      <c r="L2474" s="11">
        <v>-1.32E-2</v>
      </c>
      <c r="M2474" s="11">
        <v>-3.95E-2</v>
      </c>
      <c r="N2474">
        <v>19.39</v>
      </c>
      <c r="O2474">
        <v>45.38</v>
      </c>
      <c r="P2474">
        <v>1</v>
      </c>
      <c r="Q2474" t="s">
        <v>25</v>
      </c>
      <c r="R2474">
        <v>34.394999999999897</v>
      </c>
      <c r="S2474">
        <v>1.32</v>
      </c>
      <c r="T2474" s="4">
        <v>25.312000000000001</v>
      </c>
      <c r="U2474" s="4">
        <v>19.418102000000001</v>
      </c>
      <c r="V2474" t="str">
        <f>IF(Table1[[#This Row],[ai_disruption_intensity]]&gt;70,"High",
IF(Table1[[#This Row],[ai_disruption_intensity]]&gt;40,"Medium","Low"))</f>
        <v>Low</v>
      </c>
      <c r="W2474" t="str">
        <f>IF(Table1[[#This Row],[skill_gap_index]]&gt;70,"Large Gap",
IF(Table1[[#This Row],[skill_gap_index]]&gt;40,"Medium Gap","Small Gap"))</f>
        <v>Small Gap</v>
      </c>
      <c r="X2474" s="3" t="str">
        <f>IF(Table1[[#This Row],[automation_risk_percent]]&gt;0.7,"Highly Automatable",
IF(Table1[[#This Row],[automation_risk_percent]]&gt;0.4,"Moderate Risk","Safe Job"))</f>
        <v>Moderate Risk</v>
      </c>
    </row>
    <row r="2475" spans="1:24" x14ac:dyDescent="0.3">
      <c r="A2475">
        <v>8731</v>
      </c>
      <c r="B2475" t="s">
        <v>26</v>
      </c>
      <c r="C2475" t="s">
        <v>27</v>
      </c>
      <c r="D2475" t="s">
        <v>28</v>
      </c>
      <c r="E2475" s="1">
        <v>2025</v>
      </c>
      <c r="F2475" s="11">
        <v>0.18109999999999998</v>
      </c>
      <c r="G2475">
        <v>20.079999999999998</v>
      </c>
      <c r="H2475">
        <v>62.92</v>
      </c>
      <c r="I2475" s="2">
        <v>124812.51</v>
      </c>
      <c r="J2475" s="2">
        <v>130649.87</v>
      </c>
      <c r="K2475" s="2">
        <f>Table1[[#This Row],[Salary_after]]-Table1[[#This Row],[Salary_before]]</f>
        <v>5837.3600000000006</v>
      </c>
      <c r="L2475" s="11">
        <v>4.6799999999999994E-2</v>
      </c>
      <c r="M2475" s="11">
        <v>2.3300000000000001E-2</v>
      </c>
      <c r="N2475">
        <v>31.48</v>
      </c>
      <c r="O2475">
        <v>60.19</v>
      </c>
      <c r="P2475">
        <v>2</v>
      </c>
      <c r="Q2475" t="s">
        <v>21</v>
      </c>
      <c r="R2475">
        <v>40.515000000000001</v>
      </c>
      <c r="S2475">
        <v>4.68</v>
      </c>
      <c r="T2475" s="4">
        <v>27.524000000000001</v>
      </c>
      <c r="U2475" s="4">
        <v>10.900409</v>
      </c>
      <c r="V2475" t="str">
        <f>IF(Table1[[#This Row],[ai_disruption_intensity]]&gt;70,"High",
IF(Table1[[#This Row],[ai_disruption_intensity]]&gt;40,"Medium","Low"))</f>
        <v>Low</v>
      </c>
      <c r="W2475" t="str">
        <f>IF(Table1[[#This Row],[skill_gap_index]]&gt;70,"Large Gap",
IF(Table1[[#This Row],[skill_gap_index]]&gt;40,"Medium Gap","Small Gap"))</f>
        <v>Medium Gap</v>
      </c>
      <c r="X2475" s="3" t="str">
        <f>IF(Table1[[#This Row],[automation_risk_percent]]&gt;0.7,"Highly Automatable",
IF(Table1[[#This Row],[automation_risk_percent]]&gt;0.4,"Moderate Risk","Safe Job"))</f>
        <v>Safe Job</v>
      </c>
    </row>
    <row r="2476" spans="1:24" x14ac:dyDescent="0.3">
      <c r="A2476">
        <v>8733</v>
      </c>
      <c r="B2476" t="s">
        <v>45</v>
      </c>
      <c r="C2476" t="s">
        <v>30</v>
      </c>
      <c r="D2476" t="s">
        <v>47</v>
      </c>
      <c r="E2476" s="1">
        <v>2026</v>
      </c>
      <c r="F2476" s="11">
        <v>0.57479999999999998</v>
      </c>
      <c r="G2476">
        <v>53.98</v>
      </c>
      <c r="H2476">
        <v>22.1</v>
      </c>
      <c r="I2476" s="2">
        <v>100196.44</v>
      </c>
      <c r="J2476" s="2">
        <v>103549.69</v>
      </c>
      <c r="K2476" s="2">
        <f>Table1[[#This Row],[Salary_after]]-Table1[[#This Row],[Salary_before]]</f>
        <v>3353.25</v>
      </c>
      <c r="L2476" s="11">
        <v>3.3500000000000002E-2</v>
      </c>
      <c r="M2476" s="11">
        <v>-1.9599999999999999E-2</v>
      </c>
      <c r="N2476">
        <v>26.83</v>
      </c>
      <c r="O2476">
        <v>55.35</v>
      </c>
      <c r="P2476">
        <v>2</v>
      </c>
      <c r="Q2476" t="s">
        <v>25</v>
      </c>
      <c r="R2476">
        <v>39.79</v>
      </c>
      <c r="S2476">
        <v>3.35</v>
      </c>
      <c r="T2476" s="4">
        <v>30.626999999999999</v>
      </c>
      <c r="U2476" s="4">
        <v>31.815180000000002</v>
      </c>
      <c r="V2476" t="str">
        <f>IF(Table1[[#This Row],[ai_disruption_intensity]]&gt;70,"High",
IF(Table1[[#This Row],[ai_disruption_intensity]]&gt;40,"Medium","Low"))</f>
        <v>Low</v>
      </c>
      <c r="W2476" t="str">
        <f>IF(Table1[[#This Row],[skill_gap_index]]&gt;70,"Large Gap",
IF(Table1[[#This Row],[skill_gap_index]]&gt;40,"Medium Gap","Small Gap"))</f>
        <v>Small Gap</v>
      </c>
      <c r="X2476" s="3" t="str">
        <f>IF(Table1[[#This Row],[automation_risk_percent]]&gt;0.7,"Highly Automatable",
IF(Table1[[#This Row],[automation_risk_percent]]&gt;0.4,"Moderate Risk","Safe Job"))</f>
        <v>Moderate Risk</v>
      </c>
    </row>
    <row r="2477" spans="1:24" x14ac:dyDescent="0.3">
      <c r="A2477">
        <v>8735</v>
      </c>
      <c r="B2477" t="s">
        <v>43</v>
      </c>
      <c r="C2477" t="s">
        <v>33</v>
      </c>
      <c r="D2477" t="s">
        <v>31</v>
      </c>
      <c r="E2477" s="1">
        <v>2026</v>
      </c>
      <c r="F2477" s="11">
        <v>0.41439999999999999</v>
      </c>
      <c r="G2477">
        <v>36.380000000000003</v>
      </c>
      <c r="H2477">
        <v>38.479999999999997</v>
      </c>
      <c r="I2477" s="2">
        <v>80170.59</v>
      </c>
      <c r="J2477" s="2">
        <v>85188.62</v>
      </c>
      <c r="K2477" s="2">
        <f>Table1[[#This Row],[Salary_after]]-Table1[[#This Row],[Salary_before]]</f>
        <v>5018.0299999999988</v>
      </c>
      <c r="L2477" s="11">
        <v>6.2600000000000003E-2</v>
      </c>
      <c r="M2477" s="11">
        <v>-7.3899999999999993E-2</v>
      </c>
      <c r="N2477">
        <v>12.78</v>
      </c>
      <c r="O2477">
        <v>19.760000000000002</v>
      </c>
      <c r="P2477">
        <v>2</v>
      </c>
      <c r="Q2477" t="s">
        <v>25</v>
      </c>
      <c r="R2477">
        <v>39.959999999999901</v>
      </c>
      <c r="S2477">
        <v>6.26</v>
      </c>
      <c r="T2477" s="4">
        <v>29.997999999999902</v>
      </c>
      <c r="U2477" s="4">
        <v>8.1885440000000003</v>
      </c>
      <c r="V2477" t="str">
        <f>IF(Table1[[#This Row],[ai_disruption_intensity]]&gt;70,"High",
IF(Table1[[#This Row],[ai_disruption_intensity]]&gt;40,"Medium","Low"))</f>
        <v>Low</v>
      </c>
      <c r="W2477" t="str">
        <f>IF(Table1[[#This Row],[skill_gap_index]]&gt;70,"Large Gap",
IF(Table1[[#This Row],[skill_gap_index]]&gt;40,"Medium Gap","Small Gap"))</f>
        <v>Small Gap</v>
      </c>
      <c r="X2477" s="3" t="str">
        <f>IF(Table1[[#This Row],[automation_risk_percent]]&gt;0.7,"Highly Automatable",
IF(Table1[[#This Row],[automation_risk_percent]]&gt;0.4,"Moderate Risk","Safe Job"))</f>
        <v>Moderate Risk</v>
      </c>
    </row>
    <row r="2478" spans="1:24" x14ac:dyDescent="0.3">
      <c r="A2478">
        <v>8737</v>
      </c>
      <c r="B2478" t="s">
        <v>39</v>
      </c>
      <c r="C2478" t="s">
        <v>33</v>
      </c>
      <c r="D2478" t="s">
        <v>42</v>
      </c>
      <c r="E2478" s="1">
        <v>2025</v>
      </c>
      <c r="F2478" s="11">
        <v>0.61619999999999997</v>
      </c>
      <c r="G2478">
        <v>55.42</v>
      </c>
      <c r="H2478">
        <v>23.66</v>
      </c>
      <c r="I2478" s="2">
        <v>122900.82</v>
      </c>
      <c r="J2478" s="2">
        <v>113245.1</v>
      </c>
      <c r="K2478" s="2">
        <f>Table1[[#This Row],[Salary_after]]-Table1[[#This Row],[Salary_before]]</f>
        <v>-9655.7200000000012</v>
      </c>
      <c r="L2478" s="11">
        <v>-7.8600000000000003E-2</v>
      </c>
      <c r="M2478" s="11">
        <v>2.8500000000000001E-2</v>
      </c>
      <c r="N2478">
        <v>13.2</v>
      </c>
      <c r="O2478">
        <v>41.4</v>
      </c>
      <c r="P2478">
        <v>2</v>
      </c>
      <c r="Q2478" t="s">
        <v>37</v>
      </c>
      <c r="R2478">
        <v>42.64</v>
      </c>
      <c r="S2478">
        <v>7.86</v>
      </c>
      <c r="T2478" s="4">
        <v>34.103999999999999</v>
      </c>
      <c r="U2478" s="4">
        <v>25.510679999999901</v>
      </c>
      <c r="V2478" t="str">
        <f>IF(Table1[[#This Row],[ai_disruption_intensity]]&gt;70,"High",
IF(Table1[[#This Row],[ai_disruption_intensity]]&gt;40,"Medium","Low"))</f>
        <v>Low</v>
      </c>
      <c r="W2478" t="str">
        <f>IF(Table1[[#This Row],[skill_gap_index]]&gt;70,"Large Gap",
IF(Table1[[#This Row],[skill_gap_index]]&gt;40,"Medium Gap","Small Gap"))</f>
        <v>Small Gap</v>
      </c>
      <c r="X2478" s="3" t="str">
        <f>IF(Table1[[#This Row],[automation_risk_percent]]&gt;0.7,"Highly Automatable",
IF(Table1[[#This Row],[automation_risk_percent]]&gt;0.4,"Moderate Risk","Safe Job"))</f>
        <v>Moderate Risk</v>
      </c>
    </row>
    <row r="2479" spans="1:24" x14ac:dyDescent="0.3">
      <c r="A2479">
        <v>8741</v>
      </c>
      <c r="B2479" t="s">
        <v>18</v>
      </c>
      <c r="C2479" t="s">
        <v>38</v>
      </c>
      <c r="D2479" t="s">
        <v>32</v>
      </c>
      <c r="E2479" s="1">
        <v>2026</v>
      </c>
      <c r="F2479" s="11">
        <v>0.35200000000000004</v>
      </c>
      <c r="G2479">
        <v>38.18</v>
      </c>
      <c r="H2479">
        <v>1.97</v>
      </c>
      <c r="I2479" s="2">
        <v>129773.72</v>
      </c>
      <c r="J2479" s="2">
        <v>118126.16</v>
      </c>
      <c r="K2479" s="2">
        <f>Table1[[#This Row],[Salary_after]]-Table1[[#This Row],[Salary_before]]</f>
        <v>-11647.559999999998</v>
      </c>
      <c r="L2479" s="11">
        <v>-8.9800000000000005E-2</v>
      </c>
      <c r="M2479" s="11">
        <v>-0.19719999999999999</v>
      </c>
      <c r="N2479">
        <v>26.45</v>
      </c>
      <c r="O2479">
        <v>93.75</v>
      </c>
      <c r="P2479">
        <v>2</v>
      </c>
      <c r="Q2479" t="s">
        <v>25</v>
      </c>
      <c r="R2479">
        <v>18.585000000000001</v>
      </c>
      <c r="S2479">
        <v>8.98</v>
      </c>
      <c r="T2479" s="4">
        <v>17.364999999999998</v>
      </c>
      <c r="U2479" s="4">
        <v>33</v>
      </c>
      <c r="V2479" t="str">
        <f>IF(Table1[[#This Row],[ai_disruption_intensity]]&gt;70,"High",
IF(Table1[[#This Row],[ai_disruption_intensity]]&gt;40,"Medium","Low"))</f>
        <v>Low</v>
      </c>
      <c r="W2479" t="str">
        <f>IF(Table1[[#This Row],[skill_gap_index]]&gt;70,"Large Gap",
IF(Table1[[#This Row],[skill_gap_index]]&gt;40,"Medium Gap","Small Gap"))</f>
        <v>Small Gap</v>
      </c>
      <c r="X2479" s="3" t="str">
        <f>IF(Table1[[#This Row],[automation_risk_percent]]&gt;0.7,"Highly Automatable",
IF(Table1[[#This Row],[automation_risk_percent]]&gt;0.4,"Moderate Risk","Safe Job"))</f>
        <v>Safe Job</v>
      </c>
    </row>
    <row r="2480" spans="1:24" x14ac:dyDescent="0.3">
      <c r="A2480">
        <v>8743</v>
      </c>
      <c r="B2480" t="s">
        <v>46</v>
      </c>
      <c r="C2480" t="s">
        <v>34</v>
      </c>
      <c r="D2480" t="s">
        <v>42</v>
      </c>
      <c r="E2480" s="1">
        <v>2025</v>
      </c>
      <c r="F2480" s="11">
        <v>0.30159999999999998</v>
      </c>
      <c r="G2480">
        <v>25.92</v>
      </c>
      <c r="H2480">
        <v>26.19</v>
      </c>
      <c r="I2480" s="2">
        <v>88486.25</v>
      </c>
      <c r="J2480" s="2">
        <v>91748.43</v>
      </c>
      <c r="K2480" s="2">
        <f>Table1[[#This Row],[Salary_after]]-Table1[[#This Row],[Salary_before]]</f>
        <v>3262.179999999993</v>
      </c>
      <c r="L2480" s="11">
        <v>3.6900000000000002E-2</v>
      </c>
      <c r="M2480" s="11">
        <v>5.1000000000000004E-3</v>
      </c>
      <c r="N2480">
        <v>11.04</v>
      </c>
      <c r="O2480">
        <v>32.159999999999997</v>
      </c>
      <c r="P2480">
        <v>4</v>
      </c>
      <c r="Q2480" t="s">
        <v>25</v>
      </c>
      <c r="R2480">
        <v>28.175000000000001</v>
      </c>
      <c r="S2480">
        <v>3.69</v>
      </c>
      <c r="T2480" s="4">
        <v>21.027999999999999</v>
      </c>
      <c r="U2480" s="4">
        <v>9.6994559999999996</v>
      </c>
      <c r="V2480" t="str">
        <f>IF(Table1[[#This Row],[ai_disruption_intensity]]&gt;70,"High",
IF(Table1[[#This Row],[ai_disruption_intensity]]&gt;40,"Medium","Low"))</f>
        <v>Low</v>
      </c>
      <c r="W2480" t="str">
        <f>IF(Table1[[#This Row],[skill_gap_index]]&gt;70,"Large Gap",
IF(Table1[[#This Row],[skill_gap_index]]&gt;40,"Medium Gap","Small Gap"))</f>
        <v>Small Gap</v>
      </c>
      <c r="X2480" s="3" t="str">
        <f>IF(Table1[[#This Row],[automation_risk_percent]]&gt;0.7,"Highly Automatable",
IF(Table1[[#This Row],[automation_risk_percent]]&gt;0.4,"Moderate Risk","Safe Job"))</f>
        <v>Safe Job</v>
      </c>
    </row>
    <row r="2481" spans="1:24" x14ac:dyDescent="0.3">
      <c r="A2481">
        <v>8745</v>
      </c>
      <c r="B2481" t="s">
        <v>18</v>
      </c>
      <c r="C2481" t="s">
        <v>19</v>
      </c>
      <c r="D2481" t="s">
        <v>32</v>
      </c>
      <c r="E2481" s="1">
        <v>2026</v>
      </c>
      <c r="F2481" s="11">
        <v>0.43640000000000001</v>
      </c>
      <c r="G2481">
        <v>39.630000000000003</v>
      </c>
      <c r="H2481">
        <v>9.18</v>
      </c>
      <c r="I2481" s="2">
        <v>55977.440000000002</v>
      </c>
      <c r="J2481" s="2">
        <v>46528.63</v>
      </c>
      <c r="K2481" s="2">
        <f>Table1[[#This Row],[Salary_after]]-Table1[[#This Row],[Salary_before]]</f>
        <v>-9448.8100000000049</v>
      </c>
      <c r="L2481" s="11">
        <v>-0.16879999999999998</v>
      </c>
      <c r="M2481" s="11">
        <v>6.4399999999999999E-2</v>
      </c>
      <c r="N2481">
        <v>31.4</v>
      </c>
      <c r="O2481">
        <v>62.07</v>
      </c>
      <c r="P2481">
        <v>5</v>
      </c>
      <c r="Q2481" t="s">
        <v>25</v>
      </c>
      <c r="R2481">
        <v>26.41</v>
      </c>
      <c r="S2481">
        <v>16.88</v>
      </c>
      <c r="T2481" s="4">
        <v>25.274000000000001</v>
      </c>
      <c r="U2481" s="4">
        <v>27.087347999999999</v>
      </c>
      <c r="V2481" t="str">
        <f>IF(Table1[[#This Row],[ai_disruption_intensity]]&gt;70,"High",
IF(Table1[[#This Row],[ai_disruption_intensity]]&gt;40,"Medium","Low"))</f>
        <v>Low</v>
      </c>
      <c r="W2481" t="str">
        <f>IF(Table1[[#This Row],[skill_gap_index]]&gt;70,"Large Gap",
IF(Table1[[#This Row],[skill_gap_index]]&gt;40,"Medium Gap","Small Gap"))</f>
        <v>Small Gap</v>
      </c>
      <c r="X2481" s="3" t="str">
        <f>IF(Table1[[#This Row],[automation_risk_percent]]&gt;0.7,"Highly Automatable",
IF(Table1[[#This Row],[automation_risk_percent]]&gt;0.4,"Moderate Risk","Safe Job"))</f>
        <v>Moderate Risk</v>
      </c>
    </row>
    <row r="2482" spans="1:24" x14ac:dyDescent="0.3">
      <c r="A2482">
        <v>8747</v>
      </c>
      <c r="B2482" t="s">
        <v>45</v>
      </c>
      <c r="C2482" t="s">
        <v>38</v>
      </c>
      <c r="D2482" t="s">
        <v>35</v>
      </c>
      <c r="E2482" s="1">
        <v>2026</v>
      </c>
      <c r="F2482" s="11">
        <v>0.22559999999999999</v>
      </c>
      <c r="G2482">
        <v>19.82</v>
      </c>
      <c r="H2482">
        <v>63.02</v>
      </c>
      <c r="I2482" s="2">
        <v>64050.11</v>
      </c>
      <c r="J2482" s="2">
        <v>65722.7</v>
      </c>
      <c r="K2482" s="2">
        <f>Table1[[#This Row],[Salary_after]]-Table1[[#This Row],[Salary_before]]</f>
        <v>1672.5899999999965</v>
      </c>
      <c r="L2482" s="11">
        <v>2.6099999999999998E-2</v>
      </c>
      <c r="M2482" s="11">
        <v>-0.1517</v>
      </c>
      <c r="N2482">
        <v>77.55</v>
      </c>
      <c r="O2482">
        <v>49.83</v>
      </c>
      <c r="P2482">
        <v>1</v>
      </c>
      <c r="Q2482" t="s">
        <v>21</v>
      </c>
      <c r="R2482">
        <v>42.79</v>
      </c>
      <c r="S2482">
        <v>2.61</v>
      </c>
      <c r="T2482" s="4">
        <v>28.713000000000001</v>
      </c>
      <c r="U2482" s="4">
        <v>11.2416479999999</v>
      </c>
      <c r="V2482" t="str">
        <f>IF(Table1[[#This Row],[ai_disruption_intensity]]&gt;70,"High",
IF(Table1[[#This Row],[ai_disruption_intensity]]&gt;40,"Medium","Low"))</f>
        <v>Low</v>
      </c>
      <c r="W2482" t="str">
        <f>IF(Table1[[#This Row],[skill_gap_index]]&gt;70,"Large Gap",
IF(Table1[[#This Row],[skill_gap_index]]&gt;40,"Medium Gap","Small Gap"))</f>
        <v>Medium Gap</v>
      </c>
      <c r="X2482" s="3" t="str">
        <f>IF(Table1[[#This Row],[automation_risk_percent]]&gt;0.7,"Highly Automatable",
IF(Table1[[#This Row],[automation_risk_percent]]&gt;0.4,"Moderate Risk","Safe Job"))</f>
        <v>Safe Job</v>
      </c>
    </row>
    <row r="2483" spans="1:24" x14ac:dyDescent="0.3">
      <c r="A2483">
        <v>8748</v>
      </c>
      <c r="B2483" t="s">
        <v>22</v>
      </c>
      <c r="C2483" t="s">
        <v>38</v>
      </c>
      <c r="D2483" t="s">
        <v>24</v>
      </c>
      <c r="E2483" s="1">
        <v>2026</v>
      </c>
      <c r="F2483" s="11">
        <v>0.72540000000000004</v>
      </c>
      <c r="G2483">
        <v>61.13</v>
      </c>
      <c r="H2483">
        <v>75.41</v>
      </c>
      <c r="I2483" s="2">
        <v>95236.58</v>
      </c>
      <c r="J2483" s="2">
        <v>89902.01</v>
      </c>
      <c r="K2483" s="2">
        <f>Table1[[#This Row],[Salary_after]]-Table1[[#This Row],[Salary_before]]</f>
        <v>-5334.570000000007</v>
      </c>
      <c r="L2483" s="11">
        <v>-5.5999999999999994E-2</v>
      </c>
      <c r="M2483" s="11">
        <v>0.14660000000000001</v>
      </c>
      <c r="N2483">
        <v>53.39</v>
      </c>
      <c r="O2483">
        <v>82.36</v>
      </c>
      <c r="P2483">
        <v>2</v>
      </c>
      <c r="Q2483" t="s">
        <v>37</v>
      </c>
      <c r="R2483">
        <v>73.974999999999994</v>
      </c>
      <c r="S2483">
        <v>5.6</v>
      </c>
      <c r="T2483" s="4">
        <v>53.319000000000003</v>
      </c>
      <c r="U2483" s="4">
        <v>59.743943999999999</v>
      </c>
      <c r="V2483" t="str">
        <f>IF(Table1[[#This Row],[ai_disruption_intensity]]&gt;70,"High",
IF(Table1[[#This Row],[ai_disruption_intensity]]&gt;40,"Medium","Low"))</f>
        <v>Medium</v>
      </c>
      <c r="W2483" t="str">
        <f>IF(Table1[[#This Row],[skill_gap_index]]&gt;70,"Large Gap",
IF(Table1[[#This Row],[skill_gap_index]]&gt;40,"Medium Gap","Small Gap"))</f>
        <v>Large Gap</v>
      </c>
      <c r="X2483" s="3" t="str">
        <f>IF(Table1[[#This Row],[automation_risk_percent]]&gt;0.7,"Highly Automatable",
IF(Table1[[#This Row],[automation_risk_percent]]&gt;0.4,"Moderate Risk","Safe Job"))</f>
        <v>Highly Automatable</v>
      </c>
    </row>
    <row r="2484" spans="1:24" x14ac:dyDescent="0.3">
      <c r="A2484">
        <v>8750</v>
      </c>
      <c r="B2484" t="s">
        <v>39</v>
      </c>
      <c r="C2484" t="s">
        <v>33</v>
      </c>
      <c r="D2484" t="s">
        <v>35</v>
      </c>
      <c r="E2484" s="1">
        <v>2025</v>
      </c>
      <c r="F2484" s="11">
        <v>0.31489999999999996</v>
      </c>
      <c r="G2484">
        <v>36.97</v>
      </c>
      <c r="H2484">
        <v>9.9499999999999993</v>
      </c>
      <c r="I2484" s="2">
        <v>105362.93</v>
      </c>
      <c r="J2484" s="2">
        <v>96389.84</v>
      </c>
      <c r="K2484" s="2">
        <f>Table1[[#This Row],[Salary_after]]-Table1[[#This Row],[Salary_before]]</f>
        <v>-8973.0899999999965</v>
      </c>
      <c r="L2484" s="11">
        <v>-8.5199999999999998E-2</v>
      </c>
      <c r="M2484" s="11">
        <v>0.1084</v>
      </c>
      <c r="N2484">
        <v>23.5</v>
      </c>
      <c r="O2484">
        <v>4.78</v>
      </c>
      <c r="P2484">
        <v>5</v>
      </c>
      <c r="Q2484" t="s">
        <v>25</v>
      </c>
      <c r="R2484">
        <v>20.72</v>
      </c>
      <c r="S2484">
        <v>8.52</v>
      </c>
      <c r="T2484" s="4">
        <v>18.137</v>
      </c>
      <c r="U2484" s="4">
        <v>1.5052220000000001</v>
      </c>
      <c r="V2484" t="str">
        <f>IF(Table1[[#This Row],[ai_disruption_intensity]]&gt;70,"High",
IF(Table1[[#This Row],[ai_disruption_intensity]]&gt;40,"Medium","Low"))</f>
        <v>Low</v>
      </c>
      <c r="W2484" t="str">
        <f>IF(Table1[[#This Row],[skill_gap_index]]&gt;70,"Large Gap",
IF(Table1[[#This Row],[skill_gap_index]]&gt;40,"Medium Gap","Small Gap"))</f>
        <v>Small Gap</v>
      </c>
      <c r="X2484" s="3" t="str">
        <f>IF(Table1[[#This Row],[automation_risk_percent]]&gt;0.7,"Highly Automatable",
IF(Table1[[#This Row],[automation_risk_percent]]&gt;0.4,"Moderate Risk","Safe Job"))</f>
        <v>Safe Job</v>
      </c>
    </row>
    <row r="2485" spans="1:24" x14ac:dyDescent="0.3">
      <c r="A2485">
        <v>8757</v>
      </c>
      <c r="B2485" t="s">
        <v>46</v>
      </c>
      <c r="C2485" t="s">
        <v>33</v>
      </c>
      <c r="D2485" t="s">
        <v>24</v>
      </c>
      <c r="E2485" s="1">
        <v>2025</v>
      </c>
      <c r="F2485" s="11">
        <v>0.49540000000000001</v>
      </c>
      <c r="G2485">
        <v>51.57</v>
      </c>
      <c r="H2485">
        <v>13.64</v>
      </c>
      <c r="I2485" s="2">
        <v>148565.84</v>
      </c>
      <c r="J2485" s="2">
        <v>143038.68</v>
      </c>
      <c r="K2485" s="2">
        <f>Table1[[#This Row],[Salary_after]]-Table1[[#This Row],[Salary_before]]</f>
        <v>-5527.1600000000035</v>
      </c>
      <c r="L2485" s="11">
        <v>-3.7200000000000004E-2</v>
      </c>
      <c r="M2485" s="11">
        <v>0.1099</v>
      </c>
      <c r="N2485">
        <v>60.74</v>
      </c>
      <c r="O2485">
        <v>78.209999999999994</v>
      </c>
      <c r="P2485">
        <v>3</v>
      </c>
      <c r="Q2485" t="s">
        <v>25</v>
      </c>
      <c r="R2485">
        <v>31.59</v>
      </c>
      <c r="S2485">
        <v>3.72</v>
      </c>
      <c r="T2485" s="4">
        <v>25.024000000000001</v>
      </c>
      <c r="U2485" s="4">
        <v>38.745233999999897</v>
      </c>
      <c r="V2485" t="str">
        <f>IF(Table1[[#This Row],[ai_disruption_intensity]]&gt;70,"High",
IF(Table1[[#This Row],[ai_disruption_intensity]]&gt;40,"Medium","Low"))</f>
        <v>Low</v>
      </c>
      <c r="W2485" t="str">
        <f>IF(Table1[[#This Row],[skill_gap_index]]&gt;70,"Large Gap",
IF(Table1[[#This Row],[skill_gap_index]]&gt;40,"Medium Gap","Small Gap"))</f>
        <v>Small Gap</v>
      </c>
      <c r="X2485" s="3" t="str">
        <f>IF(Table1[[#This Row],[automation_risk_percent]]&gt;0.7,"Highly Automatable",
IF(Table1[[#This Row],[automation_risk_percent]]&gt;0.4,"Moderate Risk","Safe Job"))</f>
        <v>Moderate Risk</v>
      </c>
    </row>
    <row r="2486" spans="1:24" x14ac:dyDescent="0.3">
      <c r="A2486">
        <v>8758</v>
      </c>
      <c r="B2486" t="s">
        <v>39</v>
      </c>
      <c r="C2486" t="s">
        <v>38</v>
      </c>
      <c r="D2486" t="s">
        <v>28</v>
      </c>
      <c r="E2486" s="1">
        <v>2025</v>
      </c>
      <c r="F2486" s="11">
        <v>0.34090000000000004</v>
      </c>
      <c r="G2486">
        <v>34.840000000000003</v>
      </c>
      <c r="H2486">
        <v>45.04</v>
      </c>
      <c r="I2486" s="2">
        <v>121223.83</v>
      </c>
      <c r="J2486" s="2">
        <v>153587.59</v>
      </c>
      <c r="K2486" s="2">
        <f>Table1[[#This Row],[Salary_after]]-Table1[[#This Row],[Salary_before]]</f>
        <v>32363.759999999995</v>
      </c>
      <c r="L2486" s="11">
        <v>0.26700000000000002</v>
      </c>
      <c r="M2486" s="11">
        <v>-3.5099999999999999E-2</v>
      </c>
      <c r="N2486">
        <v>86.1</v>
      </c>
      <c r="O2486">
        <v>69.86</v>
      </c>
      <c r="P2486">
        <v>5</v>
      </c>
      <c r="Q2486" t="s">
        <v>25</v>
      </c>
      <c r="R2486">
        <v>39.564999999999998</v>
      </c>
      <c r="S2486">
        <v>26.7</v>
      </c>
      <c r="T2486" s="4">
        <v>35.158000000000001</v>
      </c>
      <c r="U2486" s="4">
        <v>23.815273999999999</v>
      </c>
      <c r="V2486" t="str">
        <f>IF(Table1[[#This Row],[ai_disruption_intensity]]&gt;70,"High",
IF(Table1[[#This Row],[ai_disruption_intensity]]&gt;40,"Medium","Low"))</f>
        <v>Low</v>
      </c>
      <c r="W2486" t="str">
        <f>IF(Table1[[#This Row],[skill_gap_index]]&gt;70,"Large Gap",
IF(Table1[[#This Row],[skill_gap_index]]&gt;40,"Medium Gap","Small Gap"))</f>
        <v>Medium Gap</v>
      </c>
      <c r="X2486" s="3" t="str">
        <f>IF(Table1[[#This Row],[automation_risk_percent]]&gt;0.7,"Highly Automatable",
IF(Table1[[#This Row],[automation_risk_percent]]&gt;0.4,"Moderate Risk","Safe Job"))</f>
        <v>Safe Job</v>
      </c>
    </row>
    <row r="2487" spans="1:24" x14ac:dyDescent="0.3">
      <c r="A2487">
        <v>8759</v>
      </c>
      <c r="B2487" t="s">
        <v>22</v>
      </c>
      <c r="C2487" t="s">
        <v>38</v>
      </c>
      <c r="D2487" t="s">
        <v>47</v>
      </c>
      <c r="E2487" s="1">
        <v>2025</v>
      </c>
      <c r="F2487" s="11">
        <v>0.46929999999999999</v>
      </c>
      <c r="G2487">
        <v>46.2</v>
      </c>
      <c r="H2487">
        <v>12.68</v>
      </c>
      <c r="I2487" s="2">
        <v>36763.980000000003</v>
      </c>
      <c r="J2487" s="2">
        <v>39495.910000000003</v>
      </c>
      <c r="K2487" s="2">
        <f>Table1[[#This Row],[Salary_after]]-Table1[[#This Row],[Salary_before]]</f>
        <v>2731.9300000000003</v>
      </c>
      <c r="L2487" s="11">
        <v>7.4299999999999991E-2</v>
      </c>
      <c r="M2487" s="11">
        <v>-9.9399999999999988E-2</v>
      </c>
      <c r="N2487">
        <v>84.51</v>
      </c>
      <c r="O2487">
        <v>83.31</v>
      </c>
      <c r="P2487">
        <v>4</v>
      </c>
      <c r="Q2487" t="s">
        <v>25</v>
      </c>
      <c r="R2487">
        <v>29.805</v>
      </c>
      <c r="S2487">
        <v>7.43</v>
      </c>
      <c r="T2487" s="4">
        <v>24.805</v>
      </c>
      <c r="U2487" s="4">
        <v>39.097383000000001</v>
      </c>
      <c r="V2487" t="str">
        <f>IF(Table1[[#This Row],[ai_disruption_intensity]]&gt;70,"High",
IF(Table1[[#This Row],[ai_disruption_intensity]]&gt;40,"Medium","Low"))</f>
        <v>Low</v>
      </c>
      <c r="W2487" t="str">
        <f>IF(Table1[[#This Row],[skill_gap_index]]&gt;70,"Large Gap",
IF(Table1[[#This Row],[skill_gap_index]]&gt;40,"Medium Gap","Small Gap"))</f>
        <v>Small Gap</v>
      </c>
      <c r="X2487" s="3" t="str">
        <f>IF(Table1[[#This Row],[automation_risk_percent]]&gt;0.7,"Highly Automatable",
IF(Table1[[#This Row],[automation_risk_percent]]&gt;0.4,"Moderate Risk","Safe Job"))</f>
        <v>Moderate Risk</v>
      </c>
    </row>
    <row r="2488" spans="1:24" x14ac:dyDescent="0.3">
      <c r="A2488">
        <v>8760</v>
      </c>
      <c r="B2488" t="s">
        <v>29</v>
      </c>
      <c r="C2488" t="s">
        <v>40</v>
      </c>
      <c r="D2488" t="s">
        <v>35</v>
      </c>
      <c r="E2488" s="1">
        <v>2026</v>
      </c>
      <c r="F2488" s="11">
        <v>0.83079999999999998</v>
      </c>
      <c r="G2488">
        <v>98.96</v>
      </c>
      <c r="H2488">
        <v>5.57</v>
      </c>
      <c r="I2488" s="2">
        <v>77981.78</v>
      </c>
      <c r="J2488" s="2">
        <v>77451.34</v>
      </c>
      <c r="K2488" s="2">
        <f>Table1[[#This Row],[Salary_after]]-Table1[[#This Row],[Salary_before]]</f>
        <v>-530.44000000000233</v>
      </c>
      <c r="L2488" s="11">
        <v>-6.8000000000000005E-3</v>
      </c>
      <c r="M2488" s="11">
        <v>0.1361</v>
      </c>
      <c r="N2488">
        <v>88.42</v>
      </c>
      <c r="O2488">
        <v>1.77</v>
      </c>
      <c r="P2488">
        <v>3</v>
      </c>
      <c r="Q2488" t="s">
        <v>37</v>
      </c>
      <c r="R2488">
        <v>44.325000000000003</v>
      </c>
      <c r="S2488">
        <v>0.68</v>
      </c>
      <c r="T2488" s="4">
        <v>35.106999999999999</v>
      </c>
      <c r="U2488" s="4">
        <v>1.4705159999999999</v>
      </c>
      <c r="V2488" t="str">
        <f>IF(Table1[[#This Row],[ai_disruption_intensity]]&gt;70,"High",
IF(Table1[[#This Row],[ai_disruption_intensity]]&gt;40,"Medium","Low"))</f>
        <v>Low</v>
      </c>
      <c r="W2488" t="str">
        <f>IF(Table1[[#This Row],[skill_gap_index]]&gt;70,"Large Gap",
IF(Table1[[#This Row],[skill_gap_index]]&gt;40,"Medium Gap","Small Gap"))</f>
        <v>Small Gap</v>
      </c>
      <c r="X2488" s="3" t="str">
        <f>IF(Table1[[#This Row],[automation_risk_percent]]&gt;0.7,"Highly Automatable",
IF(Table1[[#This Row],[automation_risk_percent]]&gt;0.4,"Moderate Risk","Safe Job"))</f>
        <v>Highly Automatable</v>
      </c>
    </row>
    <row r="2489" spans="1:24" x14ac:dyDescent="0.3">
      <c r="A2489">
        <v>8766</v>
      </c>
      <c r="B2489" t="s">
        <v>29</v>
      </c>
      <c r="C2489" t="s">
        <v>27</v>
      </c>
      <c r="D2489" t="s">
        <v>47</v>
      </c>
      <c r="E2489" s="1">
        <v>2026</v>
      </c>
      <c r="F2489" s="11">
        <v>0.60329999999999995</v>
      </c>
      <c r="G2489">
        <v>53.46</v>
      </c>
      <c r="H2489">
        <v>96.94</v>
      </c>
      <c r="I2489" s="2">
        <v>146045.35999999999</v>
      </c>
      <c r="J2489" s="2">
        <v>161910.85999999999</v>
      </c>
      <c r="K2489" s="2">
        <f>Table1[[#This Row],[Salary_after]]-Table1[[#This Row],[Salary_before]]</f>
        <v>15865.5</v>
      </c>
      <c r="L2489" s="11">
        <v>0.10859999999999999</v>
      </c>
      <c r="M2489" s="11">
        <v>-2.0299999999999999E-2</v>
      </c>
      <c r="N2489">
        <v>20.73</v>
      </c>
      <c r="O2489">
        <v>78.05</v>
      </c>
      <c r="P2489">
        <v>2</v>
      </c>
      <c r="Q2489" t="s">
        <v>37</v>
      </c>
      <c r="R2489">
        <v>78.634999999999906</v>
      </c>
      <c r="S2489">
        <v>10.86</v>
      </c>
      <c r="T2489" s="4">
        <v>56.472000000000001</v>
      </c>
      <c r="U2489" s="4">
        <v>47.087564999999998</v>
      </c>
      <c r="V2489" t="str">
        <f>IF(Table1[[#This Row],[ai_disruption_intensity]]&gt;70,"High",
IF(Table1[[#This Row],[ai_disruption_intensity]]&gt;40,"Medium","Low"))</f>
        <v>Medium</v>
      </c>
      <c r="W2489" t="str">
        <f>IF(Table1[[#This Row],[skill_gap_index]]&gt;70,"Large Gap",
IF(Table1[[#This Row],[skill_gap_index]]&gt;40,"Medium Gap","Small Gap"))</f>
        <v>Large Gap</v>
      </c>
      <c r="X2489" s="3" t="str">
        <f>IF(Table1[[#This Row],[automation_risk_percent]]&gt;0.7,"Highly Automatable",
IF(Table1[[#This Row],[automation_risk_percent]]&gt;0.4,"Moderate Risk","Safe Job"))</f>
        <v>Moderate Risk</v>
      </c>
    </row>
    <row r="2490" spans="1:24" x14ac:dyDescent="0.3">
      <c r="A2490">
        <v>8780</v>
      </c>
      <c r="B2490" t="s">
        <v>41</v>
      </c>
      <c r="C2490" t="s">
        <v>34</v>
      </c>
      <c r="D2490" t="s">
        <v>35</v>
      </c>
      <c r="E2490" s="1">
        <v>2025</v>
      </c>
      <c r="F2490" s="11">
        <v>0.93209999999999993</v>
      </c>
      <c r="G2490">
        <v>96.59</v>
      </c>
      <c r="H2490">
        <v>80.55</v>
      </c>
      <c r="I2490" s="2">
        <v>130098.18</v>
      </c>
      <c r="J2490" s="2">
        <v>141111.13</v>
      </c>
      <c r="K2490" s="2">
        <f>Table1[[#This Row],[Salary_after]]-Table1[[#This Row],[Salary_before]]</f>
        <v>11012.950000000012</v>
      </c>
      <c r="L2490" s="11">
        <v>8.4700000000000011E-2</v>
      </c>
      <c r="M2490" s="11">
        <v>0.1691</v>
      </c>
      <c r="N2490">
        <v>47.61</v>
      </c>
      <c r="O2490">
        <v>56.73</v>
      </c>
      <c r="P2490">
        <v>1</v>
      </c>
      <c r="Q2490" t="s">
        <v>37</v>
      </c>
      <c r="R2490">
        <v>86.88</v>
      </c>
      <c r="S2490">
        <v>8.4700000000000006</v>
      </c>
      <c r="T2490" s="4">
        <v>63.989999999999903</v>
      </c>
      <c r="U2490" s="4">
        <v>52.878032999999903</v>
      </c>
      <c r="V2490" t="str">
        <f>IF(Table1[[#This Row],[ai_disruption_intensity]]&gt;70,"High",
IF(Table1[[#This Row],[ai_disruption_intensity]]&gt;40,"Medium","Low"))</f>
        <v>Medium</v>
      </c>
      <c r="W2490" t="str">
        <f>IF(Table1[[#This Row],[skill_gap_index]]&gt;70,"Large Gap",
IF(Table1[[#This Row],[skill_gap_index]]&gt;40,"Medium Gap","Small Gap"))</f>
        <v>Large Gap</v>
      </c>
      <c r="X2490" s="3" t="str">
        <f>IF(Table1[[#This Row],[automation_risk_percent]]&gt;0.7,"Highly Automatable",
IF(Table1[[#This Row],[automation_risk_percent]]&gt;0.4,"Moderate Risk","Safe Job"))</f>
        <v>Highly Automatable</v>
      </c>
    </row>
    <row r="2491" spans="1:24" x14ac:dyDescent="0.3">
      <c r="A2491">
        <v>8783</v>
      </c>
      <c r="B2491" t="s">
        <v>41</v>
      </c>
      <c r="C2491" t="s">
        <v>34</v>
      </c>
      <c r="D2491" t="s">
        <v>42</v>
      </c>
      <c r="E2491" s="1">
        <v>2026</v>
      </c>
      <c r="F2491" s="11">
        <v>0.69909999999999994</v>
      </c>
      <c r="G2491">
        <v>72.97</v>
      </c>
      <c r="H2491">
        <v>34.049999999999997</v>
      </c>
      <c r="I2491" s="2">
        <v>88245.64</v>
      </c>
      <c r="J2491" s="2">
        <v>94840.19</v>
      </c>
      <c r="K2491" s="2">
        <f>Table1[[#This Row],[Salary_after]]-Table1[[#This Row],[Salary_before]]</f>
        <v>6594.5500000000029</v>
      </c>
      <c r="L2491" s="11">
        <v>7.4700000000000003E-2</v>
      </c>
      <c r="M2491" s="11">
        <v>-6.1600000000000002E-2</v>
      </c>
      <c r="N2491">
        <v>47.64</v>
      </c>
      <c r="O2491">
        <v>2.36</v>
      </c>
      <c r="P2491">
        <v>4</v>
      </c>
      <c r="Q2491" t="s">
        <v>37</v>
      </c>
      <c r="R2491">
        <v>51.98</v>
      </c>
      <c r="S2491">
        <v>7.47</v>
      </c>
      <c r="T2491" s="4">
        <v>40.419999999999902</v>
      </c>
      <c r="U2491" s="4">
        <v>1.6498759999999999</v>
      </c>
      <c r="V2491" t="str">
        <f>IF(Table1[[#This Row],[ai_disruption_intensity]]&gt;70,"High",
IF(Table1[[#This Row],[ai_disruption_intensity]]&gt;40,"Medium","Low"))</f>
        <v>Low</v>
      </c>
      <c r="W2491" t="str">
        <f>IF(Table1[[#This Row],[skill_gap_index]]&gt;70,"Large Gap",
IF(Table1[[#This Row],[skill_gap_index]]&gt;40,"Medium Gap","Small Gap"))</f>
        <v>Small Gap</v>
      </c>
      <c r="X2491" s="3" t="str">
        <f>IF(Table1[[#This Row],[automation_risk_percent]]&gt;0.7,"Highly Automatable",
IF(Table1[[#This Row],[automation_risk_percent]]&gt;0.4,"Moderate Risk","Safe Job"))</f>
        <v>Moderate Risk</v>
      </c>
    </row>
    <row r="2492" spans="1:24" x14ac:dyDescent="0.3">
      <c r="A2492">
        <v>8787</v>
      </c>
      <c r="B2492" t="s">
        <v>43</v>
      </c>
      <c r="C2492" t="s">
        <v>30</v>
      </c>
      <c r="D2492" t="s">
        <v>20</v>
      </c>
      <c r="E2492" s="1">
        <v>2025</v>
      </c>
      <c r="F2492" s="11">
        <v>0.18969999999999998</v>
      </c>
      <c r="G2492">
        <v>22.19</v>
      </c>
      <c r="H2492">
        <v>60.14</v>
      </c>
      <c r="I2492" s="2">
        <v>102727.14</v>
      </c>
      <c r="J2492" s="2">
        <v>94314.63</v>
      </c>
      <c r="K2492" s="2">
        <f>Table1[[#This Row],[Salary_after]]-Table1[[#This Row],[Salary_before]]</f>
        <v>-8412.5099999999948</v>
      </c>
      <c r="L2492" s="11">
        <v>-8.1900000000000001E-2</v>
      </c>
      <c r="M2492" s="11">
        <v>0.3</v>
      </c>
      <c r="N2492">
        <v>32.950000000000003</v>
      </c>
      <c r="O2492">
        <v>61.3</v>
      </c>
      <c r="P2492">
        <v>2</v>
      </c>
      <c r="Q2492" t="s">
        <v>21</v>
      </c>
      <c r="R2492">
        <v>39.555</v>
      </c>
      <c r="S2492">
        <v>8.19</v>
      </c>
      <c r="T2492" s="4">
        <v>28.087</v>
      </c>
      <c r="U2492" s="4">
        <v>11.628609999999901</v>
      </c>
      <c r="V2492" t="str">
        <f>IF(Table1[[#This Row],[ai_disruption_intensity]]&gt;70,"High",
IF(Table1[[#This Row],[ai_disruption_intensity]]&gt;40,"Medium","Low"))</f>
        <v>Low</v>
      </c>
      <c r="W2492" t="str">
        <f>IF(Table1[[#This Row],[skill_gap_index]]&gt;70,"Large Gap",
IF(Table1[[#This Row],[skill_gap_index]]&gt;40,"Medium Gap","Small Gap"))</f>
        <v>Medium Gap</v>
      </c>
      <c r="X2492" s="3" t="str">
        <f>IF(Table1[[#This Row],[automation_risk_percent]]&gt;0.7,"Highly Automatable",
IF(Table1[[#This Row],[automation_risk_percent]]&gt;0.4,"Moderate Risk","Safe Job"))</f>
        <v>Safe Job</v>
      </c>
    </row>
    <row r="2493" spans="1:24" x14ac:dyDescent="0.3">
      <c r="A2493">
        <v>8792</v>
      </c>
      <c r="B2493" t="s">
        <v>44</v>
      </c>
      <c r="C2493" t="s">
        <v>30</v>
      </c>
      <c r="D2493" t="s">
        <v>28</v>
      </c>
      <c r="E2493" s="1">
        <v>2025</v>
      </c>
      <c r="F2493" s="11">
        <v>0.2273</v>
      </c>
      <c r="G2493">
        <v>23.27</v>
      </c>
      <c r="H2493">
        <v>56.44</v>
      </c>
      <c r="I2493" s="2">
        <v>124792.89</v>
      </c>
      <c r="J2493" s="2">
        <v>128358.52</v>
      </c>
      <c r="K2493" s="2">
        <f>Table1[[#This Row],[Salary_after]]-Table1[[#This Row],[Salary_before]]</f>
        <v>3565.6300000000047</v>
      </c>
      <c r="L2493" s="11">
        <v>2.86E-2</v>
      </c>
      <c r="M2493" s="11">
        <v>3.27E-2</v>
      </c>
      <c r="N2493">
        <v>56.68</v>
      </c>
      <c r="O2493">
        <v>20.420000000000002</v>
      </c>
      <c r="P2493">
        <v>5</v>
      </c>
      <c r="Q2493" t="s">
        <v>21</v>
      </c>
      <c r="R2493">
        <v>39.585000000000001</v>
      </c>
      <c r="S2493">
        <v>2.86</v>
      </c>
      <c r="T2493" s="4">
        <v>26.882000000000001</v>
      </c>
      <c r="U2493" s="4">
        <v>4.6414660000000003</v>
      </c>
      <c r="V2493" t="str">
        <f>IF(Table1[[#This Row],[ai_disruption_intensity]]&gt;70,"High",
IF(Table1[[#This Row],[ai_disruption_intensity]]&gt;40,"Medium","Low"))</f>
        <v>Low</v>
      </c>
      <c r="W2493" t="str">
        <f>IF(Table1[[#This Row],[skill_gap_index]]&gt;70,"Large Gap",
IF(Table1[[#This Row],[skill_gap_index]]&gt;40,"Medium Gap","Small Gap"))</f>
        <v>Medium Gap</v>
      </c>
      <c r="X2493" s="3" t="str">
        <f>IF(Table1[[#This Row],[automation_risk_percent]]&gt;0.7,"Highly Automatable",
IF(Table1[[#This Row],[automation_risk_percent]]&gt;0.4,"Moderate Risk","Safe Job"))</f>
        <v>Safe Job</v>
      </c>
    </row>
    <row r="2494" spans="1:24" x14ac:dyDescent="0.3">
      <c r="A2494">
        <v>8793</v>
      </c>
      <c r="B2494" t="s">
        <v>41</v>
      </c>
      <c r="C2494" t="s">
        <v>40</v>
      </c>
      <c r="D2494" t="s">
        <v>31</v>
      </c>
      <c r="E2494" s="1">
        <v>2025</v>
      </c>
      <c r="F2494" s="11">
        <v>0.5393</v>
      </c>
      <c r="G2494">
        <v>63.06</v>
      </c>
      <c r="H2494">
        <v>47.82</v>
      </c>
      <c r="I2494" s="2">
        <v>134965.81</v>
      </c>
      <c r="J2494" s="2">
        <v>144359.79</v>
      </c>
      <c r="K2494" s="2">
        <f>Table1[[#This Row],[Salary_after]]-Table1[[#This Row],[Salary_before]]</f>
        <v>9393.9800000000105</v>
      </c>
      <c r="L2494" s="11">
        <v>6.9599999999999995E-2</v>
      </c>
      <c r="M2494" s="11">
        <v>3.8900000000000004E-2</v>
      </c>
      <c r="N2494">
        <v>87.95</v>
      </c>
      <c r="O2494">
        <v>66</v>
      </c>
      <c r="P2494">
        <v>4</v>
      </c>
      <c r="Q2494" t="s">
        <v>25</v>
      </c>
      <c r="R2494">
        <v>50.875</v>
      </c>
      <c r="S2494">
        <v>6.96</v>
      </c>
      <c r="T2494" s="4">
        <v>38.006</v>
      </c>
      <c r="U2494" s="4">
        <v>35.593800000000002</v>
      </c>
      <c r="V2494" t="str">
        <f>IF(Table1[[#This Row],[ai_disruption_intensity]]&gt;70,"High",
IF(Table1[[#This Row],[ai_disruption_intensity]]&gt;40,"Medium","Low"))</f>
        <v>Low</v>
      </c>
      <c r="W2494" t="str">
        <f>IF(Table1[[#This Row],[skill_gap_index]]&gt;70,"Large Gap",
IF(Table1[[#This Row],[skill_gap_index]]&gt;40,"Medium Gap","Small Gap"))</f>
        <v>Medium Gap</v>
      </c>
      <c r="X2494" s="3" t="str">
        <f>IF(Table1[[#This Row],[automation_risk_percent]]&gt;0.7,"Highly Automatable",
IF(Table1[[#This Row],[automation_risk_percent]]&gt;0.4,"Moderate Risk","Safe Job"))</f>
        <v>Moderate Risk</v>
      </c>
    </row>
    <row r="2495" spans="1:24" x14ac:dyDescent="0.3">
      <c r="A2495">
        <v>8799</v>
      </c>
      <c r="B2495" t="s">
        <v>41</v>
      </c>
      <c r="C2495" t="s">
        <v>27</v>
      </c>
      <c r="D2495" t="s">
        <v>28</v>
      </c>
      <c r="E2495" s="1">
        <v>2026</v>
      </c>
      <c r="F2495" s="11">
        <v>0.73640000000000005</v>
      </c>
      <c r="G2495">
        <v>67.23</v>
      </c>
      <c r="H2495">
        <v>89.85</v>
      </c>
      <c r="I2495" s="2">
        <v>147965.53</v>
      </c>
      <c r="J2495" s="2">
        <v>145264.51</v>
      </c>
      <c r="K2495" s="2">
        <f>Table1[[#This Row],[Salary_after]]-Table1[[#This Row],[Salary_before]]</f>
        <v>-2701.0199999999895</v>
      </c>
      <c r="L2495" s="11">
        <v>-1.83E-2</v>
      </c>
      <c r="M2495" s="11">
        <v>-2.4700000000000003E-2</v>
      </c>
      <c r="N2495">
        <v>37.17</v>
      </c>
      <c r="O2495">
        <v>35.200000000000003</v>
      </c>
      <c r="P2495">
        <v>1</v>
      </c>
      <c r="Q2495" t="s">
        <v>37</v>
      </c>
      <c r="R2495">
        <v>81.745000000000005</v>
      </c>
      <c r="S2495">
        <v>1.83</v>
      </c>
      <c r="T2495" s="4">
        <v>56.96</v>
      </c>
      <c r="U2495" s="4">
        <v>25.921279999999999</v>
      </c>
      <c r="V2495" t="str">
        <f>IF(Table1[[#This Row],[ai_disruption_intensity]]&gt;70,"High",
IF(Table1[[#This Row],[ai_disruption_intensity]]&gt;40,"Medium","Low"))</f>
        <v>Low</v>
      </c>
      <c r="W2495" t="str">
        <f>IF(Table1[[#This Row],[skill_gap_index]]&gt;70,"Large Gap",
IF(Table1[[#This Row],[skill_gap_index]]&gt;40,"Medium Gap","Small Gap"))</f>
        <v>Large Gap</v>
      </c>
      <c r="X2495" s="3" t="str">
        <f>IF(Table1[[#This Row],[automation_risk_percent]]&gt;0.7,"Highly Automatable",
IF(Table1[[#This Row],[automation_risk_percent]]&gt;0.4,"Moderate Risk","Safe Job"))</f>
        <v>Highly Automatable</v>
      </c>
    </row>
    <row r="2496" spans="1:24" x14ac:dyDescent="0.3">
      <c r="A2496">
        <v>8803</v>
      </c>
      <c r="B2496" t="s">
        <v>22</v>
      </c>
      <c r="C2496" t="s">
        <v>30</v>
      </c>
      <c r="D2496" t="s">
        <v>47</v>
      </c>
      <c r="E2496" s="1">
        <v>2025</v>
      </c>
      <c r="F2496" s="11">
        <v>0.47439999999999999</v>
      </c>
      <c r="G2496">
        <v>38.21</v>
      </c>
      <c r="H2496">
        <v>30.58</v>
      </c>
      <c r="I2496" s="2">
        <v>37762.400000000001</v>
      </c>
      <c r="J2496" s="2">
        <v>41646.25</v>
      </c>
      <c r="K2496" s="2">
        <f>Table1[[#This Row],[Salary_after]]-Table1[[#This Row],[Salary_before]]</f>
        <v>3883.8499999999985</v>
      </c>
      <c r="L2496" s="11">
        <v>0.10279999999999999</v>
      </c>
      <c r="M2496" s="11">
        <v>4.3400000000000001E-2</v>
      </c>
      <c r="N2496">
        <v>70.52</v>
      </c>
      <c r="O2496">
        <v>52.46</v>
      </c>
      <c r="P2496">
        <v>5</v>
      </c>
      <c r="Q2496" t="s">
        <v>25</v>
      </c>
      <c r="R2496">
        <v>39.01</v>
      </c>
      <c r="S2496">
        <v>10.28</v>
      </c>
      <c r="T2496" s="4">
        <v>31.233999999999899</v>
      </c>
      <c r="U2496" s="4">
        <v>24.887024</v>
      </c>
      <c r="V2496" t="str">
        <f>IF(Table1[[#This Row],[ai_disruption_intensity]]&gt;70,"High",
IF(Table1[[#This Row],[ai_disruption_intensity]]&gt;40,"Medium","Low"))</f>
        <v>Low</v>
      </c>
      <c r="W2496" t="str">
        <f>IF(Table1[[#This Row],[skill_gap_index]]&gt;70,"Large Gap",
IF(Table1[[#This Row],[skill_gap_index]]&gt;40,"Medium Gap","Small Gap"))</f>
        <v>Small Gap</v>
      </c>
      <c r="X2496" s="3" t="str">
        <f>IF(Table1[[#This Row],[automation_risk_percent]]&gt;0.7,"Highly Automatable",
IF(Table1[[#This Row],[automation_risk_percent]]&gt;0.4,"Moderate Risk","Safe Job"))</f>
        <v>Moderate Risk</v>
      </c>
    </row>
    <row r="2497" spans="1:24" x14ac:dyDescent="0.3">
      <c r="A2497">
        <v>8810</v>
      </c>
      <c r="B2497" t="s">
        <v>46</v>
      </c>
      <c r="C2497" t="s">
        <v>19</v>
      </c>
      <c r="D2497" t="s">
        <v>20</v>
      </c>
      <c r="E2497" s="1">
        <v>2026</v>
      </c>
      <c r="F2497" s="11">
        <v>0.41820000000000002</v>
      </c>
      <c r="G2497">
        <v>45.56</v>
      </c>
      <c r="H2497">
        <v>43.89</v>
      </c>
      <c r="I2497" s="2">
        <v>110089.48</v>
      </c>
      <c r="J2497" s="2">
        <v>121620.56</v>
      </c>
      <c r="K2497" s="2">
        <f>Table1[[#This Row],[Salary_after]]-Table1[[#This Row],[Salary_before]]</f>
        <v>11531.080000000002</v>
      </c>
      <c r="L2497" s="11">
        <v>0.1047</v>
      </c>
      <c r="M2497" s="11">
        <v>9.9100000000000008E-2</v>
      </c>
      <c r="N2497">
        <v>74.02</v>
      </c>
      <c r="O2497">
        <v>74.900000000000006</v>
      </c>
      <c r="P2497">
        <v>4</v>
      </c>
      <c r="Q2497" t="s">
        <v>25</v>
      </c>
      <c r="R2497">
        <v>42.854999999999997</v>
      </c>
      <c r="S2497">
        <v>10.47</v>
      </c>
      <c r="T2497" s="4">
        <v>33.036000000000001</v>
      </c>
      <c r="U2497" s="4">
        <v>31.323180000000001</v>
      </c>
      <c r="V2497" t="str">
        <f>IF(Table1[[#This Row],[ai_disruption_intensity]]&gt;70,"High",
IF(Table1[[#This Row],[ai_disruption_intensity]]&gt;40,"Medium","Low"))</f>
        <v>Low</v>
      </c>
      <c r="W2497" t="str">
        <f>IF(Table1[[#This Row],[skill_gap_index]]&gt;70,"Large Gap",
IF(Table1[[#This Row],[skill_gap_index]]&gt;40,"Medium Gap","Small Gap"))</f>
        <v>Medium Gap</v>
      </c>
      <c r="X2497" s="3" t="str">
        <f>IF(Table1[[#This Row],[automation_risk_percent]]&gt;0.7,"Highly Automatable",
IF(Table1[[#This Row],[automation_risk_percent]]&gt;0.4,"Moderate Risk","Safe Job"))</f>
        <v>Moderate Risk</v>
      </c>
    </row>
    <row r="2498" spans="1:24" x14ac:dyDescent="0.3">
      <c r="A2498">
        <v>8814</v>
      </c>
      <c r="B2498" t="s">
        <v>45</v>
      </c>
      <c r="C2498" t="s">
        <v>27</v>
      </c>
      <c r="D2498" t="s">
        <v>32</v>
      </c>
      <c r="E2498" s="1">
        <v>2025</v>
      </c>
      <c r="F2498" s="11">
        <v>0.58740000000000003</v>
      </c>
      <c r="G2498">
        <v>59.68</v>
      </c>
      <c r="H2498">
        <v>62.15</v>
      </c>
      <c r="I2498" s="2">
        <v>38704.78</v>
      </c>
      <c r="J2498" s="2">
        <v>39320.43</v>
      </c>
      <c r="K2498" s="2">
        <f>Table1[[#This Row],[Salary_after]]-Table1[[#This Row],[Salary_before]]</f>
        <v>615.65000000000146</v>
      </c>
      <c r="L2498" s="11">
        <v>1.5900000000000001E-2</v>
      </c>
      <c r="M2498" s="11">
        <v>-6.0599999999999994E-2</v>
      </c>
      <c r="N2498">
        <v>26.31</v>
      </c>
      <c r="O2498">
        <v>49.87</v>
      </c>
      <c r="P2498">
        <v>5</v>
      </c>
      <c r="Q2498" t="s">
        <v>25</v>
      </c>
      <c r="R2498">
        <v>60.445</v>
      </c>
      <c r="S2498">
        <v>1.59</v>
      </c>
      <c r="T2498" s="4">
        <v>42.618000000000002</v>
      </c>
      <c r="U2498" s="4">
        <v>29.293638000000001</v>
      </c>
      <c r="V2498" t="str">
        <f>IF(Table1[[#This Row],[ai_disruption_intensity]]&gt;70,"High",
IF(Table1[[#This Row],[ai_disruption_intensity]]&gt;40,"Medium","Low"))</f>
        <v>Low</v>
      </c>
      <c r="W2498" t="str">
        <f>IF(Table1[[#This Row],[skill_gap_index]]&gt;70,"Large Gap",
IF(Table1[[#This Row],[skill_gap_index]]&gt;40,"Medium Gap","Small Gap"))</f>
        <v>Medium Gap</v>
      </c>
      <c r="X2498" s="3" t="str">
        <f>IF(Table1[[#This Row],[automation_risk_percent]]&gt;0.7,"Highly Automatable",
IF(Table1[[#This Row],[automation_risk_percent]]&gt;0.4,"Moderate Risk","Safe Job"))</f>
        <v>Moderate Risk</v>
      </c>
    </row>
    <row r="2499" spans="1:24" x14ac:dyDescent="0.3">
      <c r="A2499">
        <v>8823</v>
      </c>
      <c r="B2499" t="s">
        <v>45</v>
      </c>
      <c r="C2499" t="s">
        <v>23</v>
      </c>
      <c r="D2499" t="s">
        <v>24</v>
      </c>
      <c r="E2499" s="1">
        <v>2025</v>
      </c>
      <c r="F2499" s="11">
        <v>0.69030000000000002</v>
      </c>
      <c r="G2499">
        <v>64.77</v>
      </c>
      <c r="H2499">
        <v>26.33</v>
      </c>
      <c r="I2499" s="2">
        <v>96316.08</v>
      </c>
      <c r="J2499" s="2">
        <v>86759.35</v>
      </c>
      <c r="K2499" s="2">
        <f>Table1[[#This Row],[Salary_after]]-Table1[[#This Row],[Salary_before]]</f>
        <v>-9556.7299999999959</v>
      </c>
      <c r="L2499" s="11">
        <v>-9.9199999999999997E-2</v>
      </c>
      <c r="M2499" s="11">
        <v>-8.2899999999999988E-2</v>
      </c>
      <c r="N2499">
        <v>16.22</v>
      </c>
      <c r="O2499">
        <v>99.14</v>
      </c>
      <c r="P2499">
        <v>4</v>
      </c>
      <c r="Q2499" t="s">
        <v>37</v>
      </c>
      <c r="R2499">
        <v>47.68</v>
      </c>
      <c r="S2499">
        <v>9.92</v>
      </c>
      <c r="T2499" s="4">
        <v>38.487000000000002</v>
      </c>
      <c r="U2499" s="4">
        <v>68.436341999999996</v>
      </c>
      <c r="V2499" t="str">
        <f>IF(Table1[[#This Row],[ai_disruption_intensity]]&gt;70,"High",
IF(Table1[[#This Row],[ai_disruption_intensity]]&gt;40,"Medium","Low"))</f>
        <v>Medium</v>
      </c>
      <c r="W2499" t="str">
        <f>IF(Table1[[#This Row],[skill_gap_index]]&gt;70,"Large Gap",
IF(Table1[[#This Row],[skill_gap_index]]&gt;40,"Medium Gap","Small Gap"))</f>
        <v>Small Gap</v>
      </c>
      <c r="X2499" s="3" t="str">
        <f>IF(Table1[[#This Row],[automation_risk_percent]]&gt;0.7,"Highly Automatable",
IF(Table1[[#This Row],[automation_risk_percent]]&gt;0.4,"Moderate Risk","Safe Job"))</f>
        <v>Moderate Risk</v>
      </c>
    </row>
    <row r="2500" spans="1:24" x14ac:dyDescent="0.3">
      <c r="A2500">
        <v>8827</v>
      </c>
      <c r="B2500" t="s">
        <v>29</v>
      </c>
      <c r="C2500" t="s">
        <v>30</v>
      </c>
      <c r="D2500" t="s">
        <v>36</v>
      </c>
      <c r="E2500" s="1">
        <v>2025</v>
      </c>
      <c r="F2500" s="11">
        <v>0.78549999999999998</v>
      </c>
      <c r="G2500">
        <v>64.319999999999993</v>
      </c>
      <c r="H2500">
        <v>31.17</v>
      </c>
      <c r="I2500" s="2">
        <v>131632.51</v>
      </c>
      <c r="J2500" s="2">
        <v>155294.93</v>
      </c>
      <c r="K2500" s="2">
        <f>Table1[[#This Row],[Salary_after]]-Table1[[#This Row],[Salary_before]]</f>
        <v>23662.419999999984</v>
      </c>
      <c r="L2500" s="11">
        <v>0.17980000000000002</v>
      </c>
      <c r="M2500" s="11">
        <v>1.1999999999999999E-3</v>
      </c>
      <c r="N2500">
        <v>19.32</v>
      </c>
      <c r="O2500">
        <v>68.34</v>
      </c>
      <c r="P2500">
        <v>4</v>
      </c>
      <c r="Q2500" t="s">
        <v>37</v>
      </c>
      <c r="R2500">
        <v>54.86</v>
      </c>
      <c r="S2500">
        <v>17.98</v>
      </c>
      <c r="T2500" s="4">
        <v>46.164999999999999</v>
      </c>
      <c r="U2500" s="4">
        <v>53.681069999999998</v>
      </c>
      <c r="V2500" t="str">
        <f>IF(Table1[[#This Row],[ai_disruption_intensity]]&gt;70,"High",
IF(Table1[[#This Row],[ai_disruption_intensity]]&gt;40,"Medium","Low"))</f>
        <v>Medium</v>
      </c>
      <c r="W2500" t="str">
        <f>IF(Table1[[#This Row],[skill_gap_index]]&gt;70,"Large Gap",
IF(Table1[[#This Row],[skill_gap_index]]&gt;40,"Medium Gap","Small Gap"))</f>
        <v>Small Gap</v>
      </c>
      <c r="X2500" s="3" t="str">
        <f>IF(Table1[[#This Row],[automation_risk_percent]]&gt;0.7,"Highly Automatable",
IF(Table1[[#This Row],[automation_risk_percent]]&gt;0.4,"Moderate Risk","Safe Job"))</f>
        <v>Highly Automatable</v>
      </c>
    </row>
    <row r="2501" spans="1:24" x14ac:dyDescent="0.3">
      <c r="A2501">
        <v>8840</v>
      </c>
      <c r="B2501" t="s">
        <v>45</v>
      </c>
      <c r="C2501" t="s">
        <v>27</v>
      </c>
      <c r="D2501" t="s">
        <v>20</v>
      </c>
      <c r="E2501" s="1">
        <v>2025</v>
      </c>
      <c r="F2501" s="11">
        <v>0.45150000000000001</v>
      </c>
      <c r="G2501">
        <v>43.69</v>
      </c>
      <c r="H2501">
        <v>53.27</v>
      </c>
      <c r="I2501" s="2">
        <v>115837.47</v>
      </c>
      <c r="J2501" s="2">
        <v>116351.75</v>
      </c>
      <c r="K2501" s="2">
        <f>Table1[[#This Row],[Salary_after]]-Table1[[#This Row],[Salary_before]]</f>
        <v>514.27999999999884</v>
      </c>
      <c r="L2501" s="11">
        <v>4.4000000000000003E-3</v>
      </c>
      <c r="M2501" s="11">
        <v>-0.1328</v>
      </c>
      <c r="N2501">
        <v>32.799999999999997</v>
      </c>
      <c r="O2501">
        <v>45.93</v>
      </c>
      <c r="P2501">
        <v>2</v>
      </c>
      <c r="Q2501" t="s">
        <v>25</v>
      </c>
      <c r="R2501">
        <v>49.21</v>
      </c>
      <c r="S2501">
        <v>0.44</v>
      </c>
      <c r="T2501" s="4">
        <v>34.172999999999902</v>
      </c>
      <c r="U2501" s="4">
        <v>20.737394999999999</v>
      </c>
      <c r="V2501" t="str">
        <f>IF(Table1[[#This Row],[ai_disruption_intensity]]&gt;70,"High",
IF(Table1[[#This Row],[ai_disruption_intensity]]&gt;40,"Medium","Low"))</f>
        <v>Low</v>
      </c>
      <c r="W2501" t="str">
        <f>IF(Table1[[#This Row],[skill_gap_index]]&gt;70,"Large Gap",
IF(Table1[[#This Row],[skill_gap_index]]&gt;40,"Medium Gap","Small Gap"))</f>
        <v>Medium Gap</v>
      </c>
      <c r="X2501" s="3" t="str">
        <f>IF(Table1[[#This Row],[automation_risk_percent]]&gt;0.7,"Highly Automatable",
IF(Table1[[#This Row],[automation_risk_percent]]&gt;0.4,"Moderate Risk","Safe Job"))</f>
        <v>Moderate Risk</v>
      </c>
    </row>
    <row r="2502" spans="1:24" x14ac:dyDescent="0.3">
      <c r="A2502">
        <v>8841</v>
      </c>
      <c r="B2502" t="s">
        <v>43</v>
      </c>
      <c r="C2502" t="s">
        <v>33</v>
      </c>
      <c r="D2502" t="s">
        <v>36</v>
      </c>
      <c r="E2502" s="1">
        <v>2025</v>
      </c>
      <c r="F2502" s="11">
        <v>0.34119999999999995</v>
      </c>
      <c r="G2502">
        <v>32.33</v>
      </c>
      <c r="H2502">
        <v>57.94</v>
      </c>
      <c r="I2502" s="2">
        <v>112753.32</v>
      </c>
      <c r="J2502" s="2">
        <v>128549.86</v>
      </c>
      <c r="K2502" s="2">
        <f>Table1[[#This Row],[Salary_after]]-Table1[[#This Row],[Salary_before]]</f>
        <v>15796.539999999994</v>
      </c>
      <c r="L2502" s="11">
        <v>0.1401</v>
      </c>
      <c r="M2502" s="11">
        <v>-8.2299999999999998E-2</v>
      </c>
      <c r="N2502">
        <v>21.02</v>
      </c>
      <c r="O2502">
        <v>57.15</v>
      </c>
      <c r="P2502">
        <v>1</v>
      </c>
      <c r="Q2502" t="s">
        <v>25</v>
      </c>
      <c r="R2502">
        <v>46.03</v>
      </c>
      <c r="S2502">
        <v>14.01</v>
      </c>
      <c r="T2502" s="4">
        <v>35.232999999999997</v>
      </c>
      <c r="U2502" s="4">
        <v>19.499579999999899</v>
      </c>
      <c r="V2502" t="str">
        <f>IF(Table1[[#This Row],[ai_disruption_intensity]]&gt;70,"High",
IF(Table1[[#This Row],[ai_disruption_intensity]]&gt;40,"Medium","Low"))</f>
        <v>Low</v>
      </c>
      <c r="W2502" t="str">
        <f>IF(Table1[[#This Row],[skill_gap_index]]&gt;70,"Large Gap",
IF(Table1[[#This Row],[skill_gap_index]]&gt;40,"Medium Gap","Small Gap"))</f>
        <v>Medium Gap</v>
      </c>
      <c r="X2502" s="3" t="str">
        <f>IF(Table1[[#This Row],[automation_risk_percent]]&gt;0.7,"Highly Automatable",
IF(Table1[[#This Row],[automation_risk_percent]]&gt;0.4,"Moderate Risk","Safe Job"))</f>
        <v>Safe Job</v>
      </c>
    </row>
    <row r="2503" spans="1:24" x14ac:dyDescent="0.3">
      <c r="A2503">
        <v>8842</v>
      </c>
      <c r="B2503" t="s">
        <v>39</v>
      </c>
      <c r="C2503" t="s">
        <v>23</v>
      </c>
      <c r="D2503" t="s">
        <v>20</v>
      </c>
      <c r="E2503" s="1">
        <v>2025</v>
      </c>
      <c r="F2503" s="11">
        <v>0.57489999999999997</v>
      </c>
      <c r="G2503">
        <v>49.61</v>
      </c>
      <c r="H2503">
        <v>91.22</v>
      </c>
      <c r="I2503" s="2">
        <v>120895.97</v>
      </c>
      <c r="J2503" s="2">
        <v>105709.92</v>
      </c>
      <c r="K2503" s="2">
        <f>Table1[[#This Row],[Salary_after]]-Table1[[#This Row],[Salary_before]]</f>
        <v>-15186.050000000003</v>
      </c>
      <c r="L2503" s="11">
        <v>-0.12560000000000002</v>
      </c>
      <c r="M2503" s="11">
        <v>6.2800000000000009E-2</v>
      </c>
      <c r="N2503">
        <v>87.9</v>
      </c>
      <c r="O2503">
        <v>6.86</v>
      </c>
      <c r="P2503">
        <v>2</v>
      </c>
      <c r="Q2503" t="s">
        <v>25</v>
      </c>
      <c r="R2503">
        <v>74.355000000000004</v>
      </c>
      <c r="S2503">
        <v>12.56</v>
      </c>
      <c r="T2503" s="4">
        <v>54.13</v>
      </c>
      <c r="U2503" s="4">
        <v>3.9438140000000002</v>
      </c>
      <c r="V2503" t="str">
        <f>IF(Table1[[#This Row],[ai_disruption_intensity]]&gt;70,"High",
IF(Table1[[#This Row],[ai_disruption_intensity]]&gt;40,"Medium","Low"))</f>
        <v>Low</v>
      </c>
      <c r="W2503" t="str">
        <f>IF(Table1[[#This Row],[skill_gap_index]]&gt;70,"Large Gap",
IF(Table1[[#This Row],[skill_gap_index]]&gt;40,"Medium Gap","Small Gap"))</f>
        <v>Large Gap</v>
      </c>
      <c r="X2503" s="3" t="str">
        <f>IF(Table1[[#This Row],[automation_risk_percent]]&gt;0.7,"Highly Automatable",
IF(Table1[[#This Row],[automation_risk_percent]]&gt;0.4,"Moderate Risk","Safe Job"))</f>
        <v>Moderate Risk</v>
      </c>
    </row>
    <row r="2504" spans="1:24" x14ac:dyDescent="0.3">
      <c r="A2504">
        <v>8849</v>
      </c>
      <c r="B2504" t="s">
        <v>29</v>
      </c>
      <c r="C2504" t="s">
        <v>27</v>
      </c>
      <c r="D2504" t="s">
        <v>28</v>
      </c>
      <c r="E2504" s="1">
        <v>2025</v>
      </c>
      <c r="F2504" s="11">
        <v>0.72699999999999998</v>
      </c>
      <c r="G2504">
        <v>62.8</v>
      </c>
      <c r="H2504">
        <v>29.93</v>
      </c>
      <c r="I2504" s="2">
        <v>118657.18</v>
      </c>
      <c r="J2504" s="2">
        <v>120050.11</v>
      </c>
      <c r="K2504" s="2">
        <f>Table1[[#This Row],[Salary_after]]-Table1[[#This Row],[Salary_before]]</f>
        <v>1392.9300000000076</v>
      </c>
      <c r="L2504" s="11">
        <v>1.1699999999999999E-2</v>
      </c>
      <c r="M2504" s="11">
        <v>-7.46E-2</v>
      </c>
      <c r="N2504">
        <v>63.03</v>
      </c>
      <c r="O2504">
        <v>16.440000000000001</v>
      </c>
      <c r="P2504">
        <v>4</v>
      </c>
      <c r="Q2504" t="s">
        <v>37</v>
      </c>
      <c r="R2504">
        <v>51.314999999999998</v>
      </c>
      <c r="S2504">
        <v>1.17</v>
      </c>
      <c r="T2504" s="4">
        <v>38.409999999999997</v>
      </c>
      <c r="U2504" s="4">
        <v>11.951879999999999</v>
      </c>
      <c r="V2504" t="str">
        <f>IF(Table1[[#This Row],[ai_disruption_intensity]]&gt;70,"High",
IF(Table1[[#This Row],[ai_disruption_intensity]]&gt;40,"Medium","Low"))</f>
        <v>Low</v>
      </c>
      <c r="W2504" t="str">
        <f>IF(Table1[[#This Row],[skill_gap_index]]&gt;70,"Large Gap",
IF(Table1[[#This Row],[skill_gap_index]]&gt;40,"Medium Gap","Small Gap"))</f>
        <v>Small Gap</v>
      </c>
      <c r="X2504" s="3" t="str">
        <f>IF(Table1[[#This Row],[automation_risk_percent]]&gt;0.7,"Highly Automatable",
IF(Table1[[#This Row],[automation_risk_percent]]&gt;0.4,"Moderate Risk","Safe Job"))</f>
        <v>Highly Automatable</v>
      </c>
    </row>
    <row r="2505" spans="1:24" x14ac:dyDescent="0.3">
      <c r="A2505">
        <v>8850</v>
      </c>
      <c r="B2505" t="s">
        <v>26</v>
      </c>
      <c r="C2505" t="s">
        <v>40</v>
      </c>
      <c r="D2505" t="s">
        <v>28</v>
      </c>
      <c r="E2505" s="1">
        <v>2025</v>
      </c>
      <c r="F2505" s="11">
        <v>0.1923</v>
      </c>
      <c r="G2505">
        <v>20.05</v>
      </c>
      <c r="H2505">
        <v>46.12</v>
      </c>
      <c r="I2505" s="2">
        <v>109197.75999999999</v>
      </c>
      <c r="J2505" s="2">
        <v>111462.54</v>
      </c>
      <c r="K2505" s="2">
        <f>Table1[[#This Row],[Salary_after]]-Table1[[#This Row],[Salary_before]]</f>
        <v>2264.7799999999988</v>
      </c>
      <c r="L2505" s="11">
        <v>2.07E-2</v>
      </c>
      <c r="M2505" s="11">
        <v>-3.4000000000000002E-3</v>
      </c>
      <c r="N2505">
        <v>79.36</v>
      </c>
      <c r="O2505">
        <v>44.93</v>
      </c>
      <c r="P2505">
        <v>1</v>
      </c>
      <c r="Q2505" t="s">
        <v>21</v>
      </c>
      <c r="R2505">
        <v>32.674999999999997</v>
      </c>
      <c r="S2505">
        <v>2.0699999999999998</v>
      </c>
      <c r="T2505" s="4">
        <v>22.148999999999901</v>
      </c>
      <c r="U2505" s="4">
        <v>8.6400389999999998</v>
      </c>
      <c r="V2505" t="str">
        <f>IF(Table1[[#This Row],[ai_disruption_intensity]]&gt;70,"High",
IF(Table1[[#This Row],[ai_disruption_intensity]]&gt;40,"Medium","Low"))</f>
        <v>Low</v>
      </c>
      <c r="W2505" t="str">
        <f>IF(Table1[[#This Row],[skill_gap_index]]&gt;70,"Large Gap",
IF(Table1[[#This Row],[skill_gap_index]]&gt;40,"Medium Gap","Small Gap"))</f>
        <v>Medium Gap</v>
      </c>
      <c r="X2505" s="3" t="str">
        <f>IF(Table1[[#This Row],[automation_risk_percent]]&gt;0.7,"Highly Automatable",
IF(Table1[[#This Row],[automation_risk_percent]]&gt;0.4,"Moderate Risk","Safe Job"))</f>
        <v>Safe Job</v>
      </c>
    </row>
    <row r="2506" spans="1:24" x14ac:dyDescent="0.3">
      <c r="A2506">
        <v>8853</v>
      </c>
      <c r="B2506" t="s">
        <v>29</v>
      </c>
      <c r="C2506" t="s">
        <v>38</v>
      </c>
      <c r="D2506" t="s">
        <v>42</v>
      </c>
      <c r="E2506" s="1">
        <v>2026</v>
      </c>
      <c r="F2506" s="11">
        <v>0.88540000000000008</v>
      </c>
      <c r="G2506">
        <v>77.75</v>
      </c>
      <c r="H2506">
        <v>22.85</v>
      </c>
      <c r="I2506" s="2">
        <v>142735.72</v>
      </c>
      <c r="J2506" s="2">
        <v>127874.35</v>
      </c>
      <c r="K2506" s="2">
        <f>Table1[[#This Row],[Salary_after]]-Table1[[#This Row],[Salary_before]]</f>
        <v>-14861.369999999995</v>
      </c>
      <c r="L2506" s="11">
        <v>-0.1041</v>
      </c>
      <c r="M2506" s="11">
        <v>-5.2199999999999996E-2</v>
      </c>
      <c r="N2506">
        <v>93.13</v>
      </c>
      <c r="O2506">
        <v>37.51</v>
      </c>
      <c r="P2506">
        <v>5</v>
      </c>
      <c r="Q2506" t="s">
        <v>37</v>
      </c>
      <c r="R2506">
        <v>55.695</v>
      </c>
      <c r="S2506">
        <v>10.41</v>
      </c>
      <c r="T2506" s="4">
        <v>45.393999999999998</v>
      </c>
      <c r="U2506" s="4">
        <v>33.211354</v>
      </c>
      <c r="V2506" t="str">
        <f>IF(Table1[[#This Row],[ai_disruption_intensity]]&gt;70,"High",
IF(Table1[[#This Row],[ai_disruption_intensity]]&gt;40,"Medium","Low"))</f>
        <v>Low</v>
      </c>
      <c r="W2506" t="str">
        <f>IF(Table1[[#This Row],[skill_gap_index]]&gt;70,"Large Gap",
IF(Table1[[#This Row],[skill_gap_index]]&gt;40,"Medium Gap","Small Gap"))</f>
        <v>Small Gap</v>
      </c>
      <c r="X2506" s="3" t="str">
        <f>IF(Table1[[#This Row],[automation_risk_percent]]&gt;0.7,"Highly Automatable",
IF(Table1[[#This Row],[automation_risk_percent]]&gt;0.4,"Moderate Risk","Safe Job"))</f>
        <v>Highly Automatable</v>
      </c>
    </row>
    <row r="2507" spans="1:24" x14ac:dyDescent="0.3">
      <c r="A2507">
        <v>8860</v>
      </c>
      <c r="B2507" t="s">
        <v>44</v>
      </c>
      <c r="C2507" t="s">
        <v>34</v>
      </c>
      <c r="D2507" t="s">
        <v>47</v>
      </c>
      <c r="E2507" s="1">
        <v>2025</v>
      </c>
      <c r="F2507" s="11">
        <v>0.33779999999999999</v>
      </c>
      <c r="G2507">
        <v>30.09</v>
      </c>
      <c r="H2507">
        <v>65.02</v>
      </c>
      <c r="I2507" s="2">
        <v>149703.1</v>
      </c>
      <c r="J2507" s="2">
        <v>162431.76999999999</v>
      </c>
      <c r="K2507" s="2">
        <f>Table1[[#This Row],[Salary_after]]-Table1[[#This Row],[Salary_before]]</f>
        <v>12728.669999999984</v>
      </c>
      <c r="L2507" s="11">
        <v>8.5000000000000006E-2</v>
      </c>
      <c r="M2507" s="11">
        <v>0.11599999999999999</v>
      </c>
      <c r="N2507">
        <v>66.69</v>
      </c>
      <c r="O2507">
        <v>36.82</v>
      </c>
      <c r="P2507">
        <v>5</v>
      </c>
      <c r="Q2507" t="s">
        <v>25</v>
      </c>
      <c r="R2507">
        <v>49.4</v>
      </c>
      <c r="S2507">
        <v>8.5</v>
      </c>
      <c r="T2507" s="4">
        <v>35.567999999999998</v>
      </c>
      <c r="U2507" s="4">
        <v>12.437796000000001</v>
      </c>
      <c r="V2507" t="str">
        <f>IF(Table1[[#This Row],[ai_disruption_intensity]]&gt;70,"High",
IF(Table1[[#This Row],[ai_disruption_intensity]]&gt;40,"Medium","Low"))</f>
        <v>Low</v>
      </c>
      <c r="W2507" t="str">
        <f>IF(Table1[[#This Row],[skill_gap_index]]&gt;70,"Large Gap",
IF(Table1[[#This Row],[skill_gap_index]]&gt;40,"Medium Gap","Small Gap"))</f>
        <v>Medium Gap</v>
      </c>
      <c r="X2507" s="3" t="str">
        <f>IF(Table1[[#This Row],[automation_risk_percent]]&gt;0.7,"Highly Automatable",
IF(Table1[[#This Row],[automation_risk_percent]]&gt;0.4,"Moderate Risk","Safe Job"))</f>
        <v>Safe Job</v>
      </c>
    </row>
    <row r="2508" spans="1:24" x14ac:dyDescent="0.3">
      <c r="A2508">
        <v>8867</v>
      </c>
      <c r="B2508" t="s">
        <v>39</v>
      </c>
      <c r="C2508" t="s">
        <v>34</v>
      </c>
      <c r="D2508" t="s">
        <v>31</v>
      </c>
      <c r="E2508" s="1">
        <v>2026</v>
      </c>
      <c r="F2508" s="11">
        <v>0.78879999999999995</v>
      </c>
      <c r="G2508">
        <v>87.85</v>
      </c>
      <c r="H2508">
        <v>71.790000000000006</v>
      </c>
      <c r="I2508" s="2">
        <v>30247.64</v>
      </c>
      <c r="J2508" s="2">
        <v>31757.73</v>
      </c>
      <c r="K2508" s="2">
        <f>Table1[[#This Row],[Salary_after]]-Table1[[#This Row],[Salary_before]]</f>
        <v>1510.0900000000001</v>
      </c>
      <c r="L2508" s="11">
        <v>4.99E-2</v>
      </c>
      <c r="M2508" s="11">
        <v>2.81E-2</v>
      </c>
      <c r="N2508">
        <v>43.13</v>
      </c>
      <c r="O2508">
        <v>33.46</v>
      </c>
      <c r="P2508">
        <v>2</v>
      </c>
      <c r="Q2508" t="s">
        <v>37</v>
      </c>
      <c r="R2508">
        <v>75.334999999999994</v>
      </c>
      <c r="S2508">
        <v>4.99</v>
      </c>
      <c r="T2508" s="4">
        <v>54.585999999999999</v>
      </c>
      <c r="U2508" s="4">
        <v>26.393248</v>
      </c>
      <c r="V2508" t="str">
        <f>IF(Table1[[#This Row],[ai_disruption_intensity]]&gt;70,"High",
IF(Table1[[#This Row],[ai_disruption_intensity]]&gt;40,"Medium","Low"))</f>
        <v>Low</v>
      </c>
      <c r="W2508" t="str">
        <f>IF(Table1[[#This Row],[skill_gap_index]]&gt;70,"Large Gap",
IF(Table1[[#This Row],[skill_gap_index]]&gt;40,"Medium Gap","Small Gap"))</f>
        <v>Large Gap</v>
      </c>
      <c r="X2508" s="3" t="str">
        <f>IF(Table1[[#This Row],[automation_risk_percent]]&gt;0.7,"Highly Automatable",
IF(Table1[[#This Row],[automation_risk_percent]]&gt;0.4,"Moderate Risk","Safe Job"))</f>
        <v>Highly Automatable</v>
      </c>
    </row>
    <row r="2509" spans="1:24" x14ac:dyDescent="0.3">
      <c r="A2509">
        <v>8868</v>
      </c>
      <c r="B2509" t="s">
        <v>41</v>
      </c>
      <c r="C2509" t="s">
        <v>34</v>
      </c>
      <c r="D2509" t="s">
        <v>35</v>
      </c>
      <c r="E2509" s="1">
        <v>2026</v>
      </c>
      <c r="F2509" s="11">
        <v>0.626</v>
      </c>
      <c r="G2509">
        <v>61.3</v>
      </c>
      <c r="H2509">
        <v>85.88</v>
      </c>
      <c r="I2509" s="2">
        <v>39803.53</v>
      </c>
      <c r="J2509" s="2">
        <v>44919.3</v>
      </c>
      <c r="K2509" s="2">
        <f>Table1[[#This Row],[Salary_after]]-Table1[[#This Row],[Salary_before]]</f>
        <v>5115.7700000000041</v>
      </c>
      <c r="L2509" s="11">
        <v>0.1285</v>
      </c>
      <c r="M2509" s="11">
        <v>0.1535</v>
      </c>
      <c r="N2509">
        <v>89.21</v>
      </c>
      <c r="O2509">
        <v>41.58</v>
      </c>
      <c r="P2509">
        <v>3</v>
      </c>
      <c r="Q2509" t="s">
        <v>37</v>
      </c>
      <c r="R2509">
        <v>74.239999999999995</v>
      </c>
      <c r="S2509">
        <v>12.85</v>
      </c>
      <c r="T2509" s="4">
        <v>54.658999999999999</v>
      </c>
      <c r="U2509" s="4">
        <v>26.02908</v>
      </c>
      <c r="V2509" t="str">
        <f>IF(Table1[[#This Row],[ai_disruption_intensity]]&gt;70,"High",
IF(Table1[[#This Row],[ai_disruption_intensity]]&gt;40,"Medium","Low"))</f>
        <v>Low</v>
      </c>
      <c r="W2509" t="str">
        <f>IF(Table1[[#This Row],[skill_gap_index]]&gt;70,"Large Gap",
IF(Table1[[#This Row],[skill_gap_index]]&gt;40,"Medium Gap","Small Gap"))</f>
        <v>Large Gap</v>
      </c>
      <c r="X2509" s="3" t="str">
        <f>IF(Table1[[#This Row],[automation_risk_percent]]&gt;0.7,"Highly Automatable",
IF(Table1[[#This Row],[automation_risk_percent]]&gt;0.4,"Moderate Risk","Safe Job"))</f>
        <v>Moderate Risk</v>
      </c>
    </row>
    <row r="2510" spans="1:24" x14ac:dyDescent="0.3">
      <c r="A2510">
        <v>8872</v>
      </c>
      <c r="B2510" t="s">
        <v>26</v>
      </c>
      <c r="C2510" t="s">
        <v>23</v>
      </c>
      <c r="D2510" t="s">
        <v>32</v>
      </c>
      <c r="E2510" s="1">
        <v>2025</v>
      </c>
      <c r="F2510" s="11">
        <v>0.45329999999999998</v>
      </c>
      <c r="G2510">
        <v>54.12</v>
      </c>
      <c r="H2510">
        <v>14.09</v>
      </c>
      <c r="I2510" s="2">
        <v>105513.27</v>
      </c>
      <c r="J2510" s="2">
        <v>97119.45</v>
      </c>
      <c r="K2510" s="2">
        <f>Table1[[#This Row],[Salary_after]]-Table1[[#This Row],[Salary_before]]</f>
        <v>-8393.820000000007</v>
      </c>
      <c r="L2510" s="11">
        <v>-7.9600000000000004E-2</v>
      </c>
      <c r="M2510" s="11">
        <v>1.5800000000000002E-2</v>
      </c>
      <c r="N2510">
        <v>96.74</v>
      </c>
      <c r="O2510">
        <v>7.19</v>
      </c>
      <c r="P2510">
        <v>4</v>
      </c>
      <c r="Q2510" t="s">
        <v>25</v>
      </c>
      <c r="R2510">
        <v>29.71</v>
      </c>
      <c r="S2510">
        <v>7.96</v>
      </c>
      <c r="T2510" s="4">
        <v>24.747</v>
      </c>
      <c r="U2510" s="4">
        <v>3.2592270000000001</v>
      </c>
      <c r="V2510" t="str">
        <f>IF(Table1[[#This Row],[ai_disruption_intensity]]&gt;70,"High",
IF(Table1[[#This Row],[ai_disruption_intensity]]&gt;40,"Medium","Low"))</f>
        <v>Low</v>
      </c>
      <c r="W2510" t="str">
        <f>IF(Table1[[#This Row],[skill_gap_index]]&gt;70,"Large Gap",
IF(Table1[[#This Row],[skill_gap_index]]&gt;40,"Medium Gap","Small Gap"))</f>
        <v>Small Gap</v>
      </c>
      <c r="X2510" s="3" t="str">
        <f>IF(Table1[[#This Row],[automation_risk_percent]]&gt;0.7,"Highly Automatable",
IF(Table1[[#This Row],[automation_risk_percent]]&gt;0.4,"Moderate Risk","Safe Job"))</f>
        <v>Moderate Risk</v>
      </c>
    </row>
    <row r="2511" spans="1:24" x14ac:dyDescent="0.3">
      <c r="A2511">
        <v>8873</v>
      </c>
      <c r="B2511" t="s">
        <v>39</v>
      </c>
      <c r="C2511" t="s">
        <v>34</v>
      </c>
      <c r="D2511" t="s">
        <v>32</v>
      </c>
      <c r="E2511" s="1">
        <v>2026</v>
      </c>
      <c r="F2511" s="11">
        <v>0.78260000000000007</v>
      </c>
      <c r="G2511">
        <v>72.11</v>
      </c>
      <c r="H2511">
        <v>86.03</v>
      </c>
      <c r="I2511" s="2">
        <v>96517.41</v>
      </c>
      <c r="J2511" s="2">
        <v>95097.01</v>
      </c>
      <c r="K2511" s="2">
        <f>Table1[[#This Row],[Salary_after]]-Table1[[#This Row],[Salary_before]]</f>
        <v>-1420.4000000000087</v>
      </c>
      <c r="L2511" s="11">
        <v>-1.47E-2</v>
      </c>
      <c r="M2511" s="11">
        <v>0.13269999999999998</v>
      </c>
      <c r="N2511">
        <v>86.48</v>
      </c>
      <c r="O2511">
        <v>23.84</v>
      </c>
      <c r="P2511">
        <v>2</v>
      </c>
      <c r="Q2511" t="s">
        <v>37</v>
      </c>
      <c r="R2511">
        <v>82.144999999999996</v>
      </c>
      <c r="S2511">
        <v>1.47</v>
      </c>
      <c r="T2511" s="4">
        <v>57.554000000000002</v>
      </c>
      <c r="U2511" s="4">
        <v>18.657184000000001</v>
      </c>
      <c r="V2511" t="str">
        <f>IF(Table1[[#This Row],[ai_disruption_intensity]]&gt;70,"High",
IF(Table1[[#This Row],[ai_disruption_intensity]]&gt;40,"Medium","Low"))</f>
        <v>Low</v>
      </c>
      <c r="W2511" t="str">
        <f>IF(Table1[[#This Row],[skill_gap_index]]&gt;70,"Large Gap",
IF(Table1[[#This Row],[skill_gap_index]]&gt;40,"Medium Gap","Small Gap"))</f>
        <v>Large Gap</v>
      </c>
      <c r="X2511" s="3" t="str">
        <f>IF(Table1[[#This Row],[automation_risk_percent]]&gt;0.7,"Highly Automatable",
IF(Table1[[#This Row],[automation_risk_percent]]&gt;0.4,"Moderate Risk","Safe Job"))</f>
        <v>Highly Automatable</v>
      </c>
    </row>
    <row r="2512" spans="1:24" x14ac:dyDescent="0.3">
      <c r="A2512">
        <v>8877</v>
      </c>
      <c r="B2512" t="s">
        <v>45</v>
      </c>
      <c r="C2512" t="s">
        <v>19</v>
      </c>
      <c r="D2512" t="s">
        <v>20</v>
      </c>
      <c r="E2512" s="1">
        <v>2026</v>
      </c>
      <c r="F2512" s="11">
        <v>0.14980000000000002</v>
      </c>
      <c r="G2512">
        <v>12.26</v>
      </c>
      <c r="H2512">
        <v>23.71</v>
      </c>
      <c r="I2512" s="2">
        <v>110071.77</v>
      </c>
      <c r="J2512" s="2">
        <v>102751.59</v>
      </c>
      <c r="K2512" s="2">
        <f>Table1[[#This Row],[Salary_after]]-Table1[[#This Row],[Salary_before]]</f>
        <v>-7320.1800000000076</v>
      </c>
      <c r="L2512" s="11">
        <v>-6.6500000000000004E-2</v>
      </c>
      <c r="M2512" s="11">
        <v>8.9099999999999999E-2</v>
      </c>
      <c r="N2512">
        <v>22.52</v>
      </c>
      <c r="O2512">
        <v>59.32</v>
      </c>
      <c r="P2512">
        <v>5</v>
      </c>
      <c r="Q2512" t="s">
        <v>21</v>
      </c>
      <c r="R2512">
        <v>19.344999999999999</v>
      </c>
      <c r="S2512">
        <v>6.65</v>
      </c>
      <c r="T2512" s="4">
        <v>15.1</v>
      </c>
      <c r="U2512" s="4">
        <v>8.8861360000000005</v>
      </c>
      <c r="V2512" t="str">
        <f>IF(Table1[[#This Row],[ai_disruption_intensity]]&gt;70,"High",
IF(Table1[[#This Row],[ai_disruption_intensity]]&gt;40,"Medium","Low"))</f>
        <v>Low</v>
      </c>
      <c r="W2512" t="str">
        <f>IF(Table1[[#This Row],[skill_gap_index]]&gt;70,"Large Gap",
IF(Table1[[#This Row],[skill_gap_index]]&gt;40,"Medium Gap","Small Gap"))</f>
        <v>Small Gap</v>
      </c>
      <c r="X2512" s="3" t="str">
        <f>IF(Table1[[#This Row],[automation_risk_percent]]&gt;0.7,"Highly Automatable",
IF(Table1[[#This Row],[automation_risk_percent]]&gt;0.4,"Moderate Risk","Safe Job"))</f>
        <v>Safe Job</v>
      </c>
    </row>
    <row r="2513" spans="1:24" x14ac:dyDescent="0.3">
      <c r="A2513">
        <v>8882</v>
      </c>
      <c r="B2513" t="s">
        <v>18</v>
      </c>
      <c r="C2513" t="s">
        <v>33</v>
      </c>
      <c r="D2513" t="s">
        <v>47</v>
      </c>
      <c r="E2513" s="1">
        <v>2026</v>
      </c>
      <c r="F2513" s="11">
        <v>0.38829999999999998</v>
      </c>
      <c r="G2513">
        <v>45.16</v>
      </c>
      <c r="H2513">
        <v>99.35</v>
      </c>
      <c r="I2513" s="2">
        <v>66988.38</v>
      </c>
      <c r="J2513" s="2">
        <v>63435.89</v>
      </c>
      <c r="K2513" s="2">
        <f>Table1[[#This Row],[Salary_after]]-Table1[[#This Row],[Salary_before]]</f>
        <v>-3552.4900000000052</v>
      </c>
      <c r="L2513" s="11">
        <v>-5.2999999999999999E-2</v>
      </c>
      <c r="M2513" s="11">
        <v>5.3E-3</v>
      </c>
      <c r="N2513">
        <v>42.09</v>
      </c>
      <c r="O2513">
        <v>56.26</v>
      </c>
      <c r="P2513">
        <v>5</v>
      </c>
      <c r="Q2513" t="s">
        <v>25</v>
      </c>
      <c r="R2513">
        <v>69.09</v>
      </c>
      <c r="S2513">
        <v>5.3</v>
      </c>
      <c r="T2513" s="4">
        <v>46.9269999999999</v>
      </c>
      <c r="U2513" s="4">
        <v>21.845757999999901</v>
      </c>
      <c r="V2513" t="str">
        <f>IF(Table1[[#This Row],[ai_disruption_intensity]]&gt;70,"High",
IF(Table1[[#This Row],[ai_disruption_intensity]]&gt;40,"Medium","Low"))</f>
        <v>Low</v>
      </c>
      <c r="W2513" t="str">
        <f>IF(Table1[[#This Row],[skill_gap_index]]&gt;70,"Large Gap",
IF(Table1[[#This Row],[skill_gap_index]]&gt;40,"Medium Gap","Small Gap"))</f>
        <v>Large Gap</v>
      </c>
      <c r="X2513" s="3" t="str">
        <f>IF(Table1[[#This Row],[automation_risk_percent]]&gt;0.7,"Highly Automatable",
IF(Table1[[#This Row],[automation_risk_percent]]&gt;0.4,"Moderate Risk","Safe Job"))</f>
        <v>Safe Job</v>
      </c>
    </row>
    <row r="2514" spans="1:24" x14ac:dyDescent="0.3">
      <c r="A2514">
        <v>8886</v>
      </c>
      <c r="B2514" t="s">
        <v>29</v>
      </c>
      <c r="C2514" t="s">
        <v>23</v>
      </c>
      <c r="D2514" t="s">
        <v>28</v>
      </c>
      <c r="E2514" s="1">
        <v>2025</v>
      </c>
      <c r="F2514" s="11">
        <v>0.82629999999999992</v>
      </c>
      <c r="G2514">
        <v>81.99</v>
      </c>
      <c r="H2514">
        <v>95.79</v>
      </c>
      <c r="I2514" s="2">
        <v>46717.07</v>
      </c>
      <c r="J2514" s="2">
        <v>43631.78</v>
      </c>
      <c r="K2514" s="2">
        <f>Table1[[#This Row],[Salary_after]]-Table1[[#This Row],[Salary_before]]</f>
        <v>-3085.2900000000009</v>
      </c>
      <c r="L2514" s="11">
        <v>-6.6000000000000003E-2</v>
      </c>
      <c r="M2514" s="11">
        <v>-0.1628</v>
      </c>
      <c r="N2514">
        <v>56.06</v>
      </c>
      <c r="O2514">
        <v>82.52</v>
      </c>
      <c r="P2514">
        <v>4</v>
      </c>
      <c r="Q2514" t="s">
        <v>37</v>
      </c>
      <c r="R2514">
        <v>89.21</v>
      </c>
      <c r="S2514">
        <v>6.6</v>
      </c>
      <c r="T2514" s="4">
        <v>63.768999999999998</v>
      </c>
      <c r="U2514" s="4">
        <v>68.186275999999907</v>
      </c>
      <c r="V2514" t="str">
        <f>IF(Table1[[#This Row],[ai_disruption_intensity]]&gt;70,"High",
IF(Table1[[#This Row],[ai_disruption_intensity]]&gt;40,"Medium","Low"))</f>
        <v>Medium</v>
      </c>
      <c r="W2514" t="str">
        <f>IF(Table1[[#This Row],[skill_gap_index]]&gt;70,"Large Gap",
IF(Table1[[#This Row],[skill_gap_index]]&gt;40,"Medium Gap","Small Gap"))</f>
        <v>Large Gap</v>
      </c>
      <c r="X2514" s="3" t="str">
        <f>IF(Table1[[#This Row],[automation_risk_percent]]&gt;0.7,"Highly Automatable",
IF(Table1[[#This Row],[automation_risk_percent]]&gt;0.4,"Moderate Risk","Safe Job"))</f>
        <v>Highly Automatable</v>
      </c>
    </row>
    <row r="2515" spans="1:24" x14ac:dyDescent="0.3">
      <c r="A2515">
        <v>8888</v>
      </c>
      <c r="B2515" t="s">
        <v>26</v>
      </c>
      <c r="C2515" t="s">
        <v>30</v>
      </c>
      <c r="D2515" t="s">
        <v>36</v>
      </c>
      <c r="E2515" s="1">
        <v>2025</v>
      </c>
      <c r="F2515" s="11">
        <v>0.34499999999999997</v>
      </c>
      <c r="G2515">
        <v>37.53</v>
      </c>
      <c r="H2515">
        <v>51.9</v>
      </c>
      <c r="I2515" s="2">
        <v>104547.93</v>
      </c>
      <c r="J2515" s="2">
        <v>120764.09</v>
      </c>
      <c r="K2515" s="2">
        <f>Table1[[#This Row],[Salary_after]]-Table1[[#This Row],[Salary_before]]</f>
        <v>16216.160000000003</v>
      </c>
      <c r="L2515" s="11">
        <v>0.15509999999999999</v>
      </c>
      <c r="M2515" s="11">
        <v>-2.18E-2</v>
      </c>
      <c r="N2515">
        <v>51.93</v>
      </c>
      <c r="O2515">
        <v>22.27</v>
      </c>
      <c r="P2515">
        <v>4</v>
      </c>
      <c r="Q2515" t="s">
        <v>25</v>
      </c>
      <c r="R2515">
        <v>43.2</v>
      </c>
      <c r="S2515">
        <v>15.51</v>
      </c>
      <c r="T2515" s="4">
        <v>34.022999999999897</v>
      </c>
      <c r="U2515" s="4">
        <v>7.6831499999999897</v>
      </c>
      <c r="V2515" t="str">
        <f>IF(Table1[[#This Row],[ai_disruption_intensity]]&gt;70,"High",
IF(Table1[[#This Row],[ai_disruption_intensity]]&gt;40,"Medium","Low"))</f>
        <v>Low</v>
      </c>
      <c r="W2515" t="str">
        <f>IF(Table1[[#This Row],[skill_gap_index]]&gt;70,"Large Gap",
IF(Table1[[#This Row],[skill_gap_index]]&gt;40,"Medium Gap","Small Gap"))</f>
        <v>Medium Gap</v>
      </c>
      <c r="X2515" s="3" t="str">
        <f>IF(Table1[[#This Row],[automation_risk_percent]]&gt;0.7,"Highly Automatable",
IF(Table1[[#This Row],[automation_risk_percent]]&gt;0.4,"Moderate Risk","Safe Job"))</f>
        <v>Safe Job</v>
      </c>
    </row>
    <row r="2516" spans="1:24" x14ac:dyDescent="0.3">
      <c r="A2516">
        <v>8892</v>
      </c>
      <c r="B2516" t="s">
        <v>44</v>
      </c>
      <c r="C2516" t="s">
        <v>23</v>
      </c>
      <c r="D2516" t="s">
        <v>28</v>
      </c>
      <c r="E2516" s="1">
        <v>2026</v>
      </c>
      <c r="F2516" s="11">
        <v>0.32819999999999999</v>
      </c>
      <c r="G2516">
        <v>31.84</v>
      </c>
      <c r="H2516">
        <v>99.09</v>
      </c>
      <c r="I2516" s="2">
        <v>40948.28</v>
      </c>
      <c r="J2516" s="2">
        <v>36678.01</v>
      </c>
      <c r="K2516" s="2">
        <f>Table1[[#This Row],[Salary_after]]-Table1[[#This Row],[Salary_before]]</f>
        <v>-4270.2699999999968</v>
      </c>
      <c r="L2516" s="11">
        <v>-0.1043</v>
      </c>
      <c r="M2516" s="11">
        <v>-5.2999999999999999E-2</v>
      </c>
      <c r="N2516">
        <v>97.71</v>
      </c>
      <c r="O2516">
        <v>40.72</v>
      </c>
      <c r="P2516">
        <v>2</v>
      </c>
      <c r="Q2516" t="s">
        <v>25</v>
      </c>
      <c r="R2516">
        <v>65.954999999999998</v>
      </c>
      <c r="S2516">
        <v>10.43</v>
      </c>
      <c r="T2516" s="4">
        <v>45.984000000000002</v>
      </c>
      <c r="U2516" s="4">
        <v>13.364303999999899</v>
      </c>
      <c r="V2516" t="str">
        <f>IF(Table1[[#This Row],[ai_disruption_intensity]]&gt;70,"High",
IF(Table1[[#This Row],[ai_disruption_intensity]]&gt;40,"Medium","Low"))</f>
        <v>Low</v>
      </c>
      <c r="W2516" t="str">
        <f>IF(Table1[[#This Row],[skill_gap_index]]&gt;70,"Large Gap",
IF(Table1[[#This Row],[skill_gap_index]]&gt;40,"Medium Gap","Small Gap"))</f>
        <v>Large Gap</v>
      </c>
      <c r="X2516" s="3" t="str">
        <f>IF(Table1[[#This Row],[automation_risk_percent]]&gt;0.7,"Highly Automatable",
IF(Table1[[#This Row],[automation_risk_percent]]&gt;0.4,"Moderate Risk","Safe Job"))</f>
        <v>Safe Job</v>
      </c>
    </row>
    <row r="2517" spans="1:24" x14ac:dyDescent="0.3">
      <c r="A2517">
        <v>8895</v>
      </c>
      <c r="B2517" t="s">
        <v>44</v>
      </c>
      <c r="C2517" t="s">
        <v>38</v>
      </c>
      <c r="D2517" t="s">
        <v>20</v>
      </c>
      <c r="E2517" s="1">
        <v>2026</v>
      </c>
      <c r="F2517" s="11">
        <v>0.68920000000000003</v>
      </c>
      <c r="G2517">
        <v>67.84</v>
      </c>
      <c r="H2517">
        <v>3.36</v>
      </c>
      <c r="I2517" s="2">
        <v>58839.44</v>
      </c>
      <c r="J2517" s="2">
        <v>57802.2</v>
      </c>
      <c r="K2517" s="2">
        <f>Table1[[#This Row],[Salary_after]]-Table1[[#This Row],[Salary_before]]</f>
        <v>-1037.2400000000052</v>
      </c>
      <c r="L2517" s="11">
        <v>-1.7600000000000001E-2</v>
      </c>
      <c r="M2517" s="11">
        <v>-2.9500000000000002E-2</v>
      </c>
      <c r="N2517">
        <v>72.7</v>
      </c>
      <c r="O2517">
        <v>66.040000000000006</v>
      </c>
      <c r="P2517">
        <v>5</v>
      </c>
      <c r="Q2517" t="s">
        <v>37</v>
      </c>
      <c r="R2517">
        <v>36.14</v>
      </c>
      <c r="S2517">
        <v>1.76</v>
      </c>
      <c r="T2517" s="4">
        <v>29.103999999999999</v>
      </c>
      <c r="U2517" s="4">
        <v>45.514767999999997</v>
      </c>
      <c r="V2517" t="str">
        <f>IF(Table1[[#This Row],[ai_disruption_intensity]]&gt;70,"High",
IF(Table1[[#This Row],[ai_disruption_intensity]]&gt;40,"Medium","Low"))</f>
        <v>Medium</v>
      </c>
      <c r="W2517" t="str">
        <f>IF(Table1[[#This Row],[skill_gap_index]]&gt;70,"Large Gap",
IF(Table1[[#This Row],[skill_gap_index]]&gt;40,"Medium Gap","Small Gap"))</f>
        <v>Small Gap</v>
      </c>
      <c r="X2517" s="3" t="str">
        <f>IF(Table1[[#This Row],[automation_risk_percent]]&gt;0.7,"Highly Automatable",
IF(Table1[[#This Row],[automation_risk_percent]]&gt;0.4,"Moderate Risk","Safe Job"))</f>
        <v>Moderate Risk</v>
      </c>
    </row>
    <row r="2518" spans="1:24" x14ac:dyDescent="0.3">
      <c r="A2518">
        <v>8901</v>
      </c>
      <c r="B2518" t="s">
        <v>45</v>
      </c>
      <c r="C2518" t="s">
        <v>38</v>
      </c>
      <c r="D2518" t="s">
        <v>35</v>
      </c>
      <c r="E2518" s="1">
        <v>2025</v>
      </c>
      <c r="F2518" s="11">
        <v>0.26910000000000001</v>
      </c>
      <c r="G2518">
        <v>27.24</v>
      </c>
      <c r="H2518">
        <v>7.79</v>
      </c>
      <c r="I2518" s="2">
        <v>125997.17</v>
      </c>
      <c r="J2518" s="2">
        <v>141310.72</v>
      </c>
      <c r="K2518" s="2">
        <f>Table1[[#This Row],[Salary_after]]-Table1[[#This Row],[Salary_before]]</f>
        <v>15313.550000000003</v>
      </c>
      <c r="L2518" s="11">
        <v>0.1215</v>
      </c>
      <c r="M2518" s="11">
        <v>0.12179999999999999</v>
      </c>
      <c r="N2518">
        <v>61.23</v>
      </c>
      <c r="O2518">
        <v>57.79</v>
      </c>
      <c r="P2518">
        <v>1</v>
      </c>
      <c r="Q2518" t="s">
        <v>21</v>
      </c>
      <c r="R2518">
        <v>17.350000000000001</v>
      </c>
      <c r="S2518">
        <v>12.15</v>
      </c>
      <c r="T2518" s="4">
        <v>16.745999999999999</v>
      </c>
      <c r="U2518" s="4">
        <v>15.551288999999899</v>
      </c>
      <c r="V2518" t="str">
        <f>IF(Table1[[#This Row],[ai_disruption_intensity]]&gt;70,"High",
IF(Table1[[#This Row],[ai_disruption_intensity]]&gt;40,"Medium","Low"))</f>
        <v>Low</v>
      </c>
      <c r="W2518" t="str">
        <f>IF(Table1[[#This Row],[skill_gap_index]]&gt;70,"Large Gap",
IF(Table1[[#This Row],[skill_gap_index]]&gt;40,"Medium Gap","Small Gap"))</f>
        <v>Small Gap</v>
      </c>
      <c r="X2518" s="3" t="str">
        <f>IF(Table1[[#This Row],[automation_risk_percent]]&gt;0.7,"Highly Automatable",
IF(Table1[[#This Row],[automation_risk_percent]]&gt;0.4,"Moderate Risk","Safe Job"))</f>
        <v>Safe Job</v>
      </c>
    </row>
    <row r="2519" spans="1:24" x14ac:dyDescent="0.3">
      <c r="A2519">
        <v>8914</v>
      </c>
      <c r="B2519" t="s">
        <v>29</v>
      </c>
      <c r="C2519" t="s">
        <v>27</v>
      </c>
      <c r="D2519" t="s">
        <v>47</v>
      </c>
      <c r="E2519" s="1">
        <v>2025</v>
      </c>
      <c r="F2519" s="11">
        <v>0.62049999999999994</v>
      </c>
      <c r="G2519">
        <v>50.13</v>
      </c>
      <c r="H2519">
        <v>89.37</v>
      </c>
      <c r="I2519" s="2">
        <v>75931.83</v>
      </c>
      <c r="J2519" s="2">
        <v>66145.820000000007</v>
      </c>
      <c r="K2519" s="2">
        <f>Table1[[#This Row],[Salary_after]]-Table1[[#This Row],[Salary_before]]</f>
        <v>-9786.0099999999948</v>
      </c>
      <c r="L2519" s="11">
        <v>-0.12890000000000001</v>
      </c>
      <c r="M2519" s="11">
        <v>1.5900000000000001E-2</v>
      </c>
      <c r="N2519">
        <v>82.14</v>
      </c>
      <c r="O2519">
        <v>45.77</v>
      </c>
      <c r="P2519">
        <v>5</v>
      </c>
      <c r="Q2519" t="s">
        <v>37</v>
      </c>
      <c r="R2519">
        <v>75.709999999999994</v>
      </c>
      <c r="S2519">
        <v>12.89</v>
      </c>
      <c r="T2519" s="4">
        <v>55.497999999999998</v>
      </c>
      <c r="U2519" s="4">
        <v>28.400285</v>
      </c>
      <c r="V2519" t="str">
        <f>IF(Table1[[#This Row],[ai_disruption_intensity]]&gt;70,"High",
IF(Table1[[#This Row],[ai_disruption_intensity]]&gt;40,"Medium","Low"))</f>
        <v>Low</v>
      </c>
      <c r="W2519" t="str">
        <f>IF(Table1[[#This Row],[skill_gap_index]]&gt;70,"Large Gap",
IF(Table1[[#This Row],[skill_gap_index]]&gt;40,"Medium Gap","Small Gap"))</f>
        <v>Large Gap</v>
      </c>
      <c r="X2519" s="3" t="str">
        <f>IF(Table1[[#This Row],[automation_risk_percent]]&gt;0.7,"Highly Automatable",
IF(Table1[[#This Row],[automation_risk_percent]]&gt;0.4,"Moderate Risk","Safe Job"))</f>
        <v>Moderate Risk</v>
      </c>
    </row>
    <row r="2520" spans="1:24" x14ac:dyDescent="0.3">
      <c r="A2520">
        <v>8919</v>
      </c>
      <c r="B2520" t="s">
        <v>18</v>
      </c>
      <c r="C2520" t="s">
        <v>23</v>
      </c>
      <c r="D2520" t="s">
        <v>47</v>
      </c>
      <c r="E2520" s="1">
        <v>2025</v>
      </c>
      <c r="F2520" s="11">
        <v>0.73699999999999999</v>
      </c>
      <c r="G2520">
        <v>76.849999999999994</v>
      </c>
      <c r="H2520">
        <v>89.42</v>
      </c>
      <c r="I2520" s="2">
        <v>121754.61</v>
      </c>
      <c r="J2520" s="2">
        <v>122041.89</v>
      </c>
      <c r="K2520" s="2">
        <f>Table1[[#This Row],[Salary_after]]-Table1[[#This Row],[Salary_before]]</f>
        <v>287.27999999999884</v>
      </c>
      <c r="L2520" s="11">
        <v>2.3999999999999998E-3</v>
      </c>
      <c r="M2520" s="11">
        <v>3.6600000000000001E-2</v>
      </c>
      <c r="N2520">
        <v>56.94</v>
      </c>
      <c r="O2520">
        <v>69.64</v>
      </c>
      <c r="P2520">
        <v>4</v>
      </c>
      <c r="Q2520" t="s">
        <v>37</v>
      </c>
      <c r="R2520">
        <v>81.56</v>
      </c>
      <c r="S2520">
        <v>0.24</v>
      </c>
      <c r="T2520" s="4">
        <v>56.378</v>
      </c>
      <c r="U2520" s="4">
        <v>51.324680000000001</v>
      </c>
      <c r="V2520" t="str">
        <f>IF(Table1[[#This Row],[ai_disruption_intensity]]&gt;70,"High",
IF(Table1[[#This Row],[ai_disruption_intensity]]&gt;40,"Medium","Low"))</f>
        <v>Medium</v>
      </c>
      <c r="W2520" t="str">
        <f>IF(Table1[[#This Row],[skill_gap_index]]&gt;70,"Large Gap",
IF(Table1[[#This Row],[skill_gap_index]]&gt;40,"Medium Gap","Small Gap"))</f>
        <v>Large Gap</v>
      </c>
      <c r="X2520" s="3" t="str">
        <f>IF(Table1[[#This Row],[automation_risk_percent]]&gt;0.7,"Highly Automatable",
IF(Table1[[#This Row],[automation_risk_percent]]&gt;0.4,"Moderate Risk","Safe Job"))</f>
        <v>Highly Automatable</v>
      </c>
    </row>
    <row r="2521" spans="1:24" x14ac:dyDescent="0.3">
      <c r="A2521">
        <v>8920</v>
      </c>
      <c r="B2521" t="s">
        <v>45</v>
      </c>
      <c r="C2521" t="s">
        <v>33</v>
      </c>
      <c r="D2521" t="s">
        <v>32</v>
      </c>
      <c r="E2521" s="1">
        <v>2026</v>
      </c>
      <c r="F2521" s="11">
        <v>0.69</v>
      </c>
      <c r="G2521">
        <v>59.74</v>
      </c>
      <c r="H2521">
        <v>85.64</v>
      </c>
      <c r="I2521" s="2">
        <v>41769.85</v>
      </c>
      <c r="J2521" s="2">
        <v>37247.22</v>
      </c>
      <c r="K2521" s="2">
        <f>Table1[[#This Row],[Salary_after]]-Table1[[#This Row],[Salary_before]]</f>
        <v>-4522.6299999999974</v>
      </c>
      <c r="L2521" s="11">
        <v>-0.10830000000000001</v>
      </c>
      <c r="M2521" s="11">
        <v>0.15659999999999999</v>
      </c>
      <c r="N2521">
        <v>18.41</v>
      </c>
      <c r="O2521">
        <v>77.81</v>
      </c>
      <c r="P2521">
        <v>2</v>
      </c>
      <c r="Q2521" t="s">
        <v>37</v>
      </c>
      <c r="R2521">
        <v>77.319999999999993</v>
      </c>
      <c r="S2521">
        <v>10.83</v>
      </c>
      <c r="T2521" s="4">
        <v>56.540999999999997</v>
      </c>
      <c r="U2521" s="4">
        <v>53.688899999999997</v>
      </c>
      <c r="V2521" t="str">
        <f>IF(Table1[[#This Row],[ai_disruption_intensity]]&gt;70,"High",
IF(Table1[[#This Row],[ai_disruption_intensity]]&gt;40,"Medium","Low"))</f>
        <v>Medium</v>
      </c>
      <c r="W2521" t="str">
        <f>IF(Table1[[#This Row],[skill_gap_index]]&gt;70,"Large Gap",
IF(Table1[[#This Row],[skill_gap_index]]&gt;40,"Medium Gap","Small Gap"))</f>
        <v>Large Gap</v>
      </c>
      <c r="X2521" s="3" t="str">
        <f>IF(Table1[[#This Row],[automation_risk_percent]]&gt;0.7,"Highly Automatable",
IF(Table1[[#This Row],[automation_risk_percent]]&gt;0.4,"Moderate Risk","Safe Job"))</f>
        <v>Moderate Risk</v>
      </c>
    </row>
    <row r="2522" spans="1:24" x14ac:dyDescent="0.3">
      <c r="A2522">
        <v>8921</v>
      </c>
      <c r="B2522" t="s">
        <v>45</v>
      </c>
      <c r="C2522" t="s">
        <v>33</v>
      </c>
      <c r="D2522" t="s">
        <v>31</v>
      </c>
      <c r="E2522" s="1">
        <v>2026</v>
      </c>
      <c r="F2522" s="11">
        <v>0.2525</v>
      </c>
      <c r="G2522">
        <v>24.65</v>
      </c>
      <c r="H2522">
        <v>53.09</v>
      </c>
      <c r="I2522" s="2">
        <v>112253.08</v>
      </c>
      <c r="J2522" s="2">
        <v>133996.74</v>
      </c>
      <c r="K2522" s="2">
        <f>Table1[[#This Row],[Salary_after]]-Table1[[#This Row],[Salary_before]]</f>
        <v>21743.659999999989</v>
      </c>
      <c r="L2522" s="11">
        <v>0.19370000000000001</v>
      </c>
      <c r="M2522" s="11">
        <v>3.7499999999999999E-2</v>
      </c>
      <c r="N2522">
        <v>83.26</v>
      </c>
      <c r="O2522">
        <v>71.31</v>
      </c>
      <c r="P2522">
        <v>4</v>
      </c>
      <c r="Q2522" t="s">
        <v>21</v>
      </c>
      <c r="R2522">
        <v>39.17</v>
      </c>
      <c r="S2522">
        <v>19.37</v>
      </c>
      <c r="T2522" s="4">
        <v>31.838000000000001</v>
      </c>
      <c r="U2522" s="4">
        <v>18.005775</v>
      </c>
      <c r="V2522" t="str">
        <f>IF(Table1[[#This Row],[ai_disruption_intensity]]&gt;70,"High",
IF(Table1[[#This Row],[ai_disruption_intensity]]&gt;40,"Medium","Low"))</f>
        <v>Low</v>
      </c>
      <c r="W2522" t="str">
        <f>IF(Table1[[#This Row],[skill_gap_index]]&gt;70,"Large Gap",
IF(Table1[[#This Row],[skill_gap_index]]&gt;40,"Medium Gap","Small Gap"))</f>
        <v>Medium Gap</v>
      </c>
      <c r="X2522" s="3" t="str">
        <f>IF(Table1[[#This Row],[automation_risk_percent]]&gt;0.7,"Highly Automatable",
IF(Table1[[#This Row],[automation_risk_percent]]&gt;0.4,"Moderate Risk","Safe Job"))</f>
        <v>Safe Job</v>
      </c>
    </row>
    <row r="2523" spans="1:24" x14ac:dyDescent="0.3">
      <c r="A2523">
        <v>8923</v>
      </c>
      <c r="B2523" t="s">
        <v>18</v>
      </c>
      <c r="C2523" t="s">
        <v>19</v>
      </c>
      <c r="D2523" t="s">
        <v>47</v>
      </c>
      <c r="E2523" s="1">
        <v>2026</v>
      </c>
      <c r="F2523" s="11">
        <v>0.64370000000000005</v>
      </c>
      <c r="G2523">
        <v>71.069999999999993</v>
      </c>
      <c r="H2523">
        <v>27.69</v>
      </c>
      <c r="I2523" s="2">
        <v>41512.959999999999</v>
      </c>
      <c r="J2523" s="2">
        <v>40436.92</v>
      </c>
      <c r="K2523" s="2">
        <f>Table1[[#This Row],[Salary_after]]-Table1[[#This Row],[Salary_before]]</f>
        <v>-1076.0400000000009</v>
      </c>
      <c r="L2523" s="11">
        <v>-2.5899999999999999E-2</v>
      </c>
      <c r="M2523" s="11">
        <v>7.7499999999999999E-2</v>
      </c>
      <c r="N2523">
        <v>12.81</v>
      </c>
      <c r="O2523">
        <v>40.229999999999997</v>
      </c>
      <c r="P2523">
        <v>1</v>
      </c>
      <c r="Q2523" t="s">
        <v>37</v>
      </c>
      <c r="R2523">
        <v>46.03</v>
      </c>
      <c r="S2523">
        <v>2.59</v>
      </c>
      <c r="T2523" s="4">
        <v>34.832000000000001</v>
      </c>
      <c r="U2523" s="4">
        <v>25.8960509999999</v>
      </c>
      <c r="V2523" t="str">
        <f>IF(Table1[[#This Row],[ai_disruption_intensity]]&gt;70,"High",
IF(Table1[[#This Row],[ai_disruption_intensity]]&gt;40,"Medium","Low"))</f>
        <v>Low</v>
      </c>
      <c r="W2523" t="str">
        <f>IF(Table1[[#This Row],[skill_gap_index]]&gt;70,"Large Gap",
IF(Table1[[#This Row],[skill_gap_index]]&gt;40,"Medium Gap","Small Gap"))</f>
        <v>Small Gap</v>
      </c>
      <c r="X2523" s="3" t="str">
        <f>IF(Table1[[#This Row],[automation_risk_percent]]&gt;0.7,"Highly Automatable",
IF(Table1[[#This Row],[automation_risk_percent]]&gt;0.4,"Moderate Risk","Safe Job"))</f>
        <v>Moderate Risk</v>
      </c>
    </row>
    <row r="2524" spans="1:24" x14ac:dyDescent="0.3">
      <c r="A2524">
        <v>8927</v>
      </c>
      <c r="B2524" t="s">
        <v>44</v>
      </c>
      <c r="C2524" t="s">
        <v>34</v>
      </c>
      <c r="D2524" t="s">
        <v>31</v>
      </c>
      <c r="E2524" s="1">
        <v>2026</v>
      </c>
      <c r="F2524" s="11">
        <v>0.78060000000000007</v>
      </c>
      <c r="G2524">
        <v>86.01</v>
      </c>
      <c r="H2524">
        <v>36.51</v>
      </c>
      <c r="I2524" s="2">
        <v>81934.61</v>
      </c>
      <c r="J2524" s="2">
        <v>96470.33</v>
      </c>
      <c r="K2524" s="2">
        <f>Table1[[#This Row],[Salary_after]]-Table1[[#This Row],[Salary_before]]</f>
        <v>14535.720000000001</v>
      </c>
      <c r="L2524" s="11">
        <v>0.17739999999999997</v>
      </c>
      <c r="M2524" s="11">
        <v>8.1500000000000003E-2</v>
      </c>
      <c r="N2524">
        <v>25.56</v>
      </c>
      <c r="O2524">
        <v>19.57</v>
      </c>
      <c r="P2524">
        <v>5</v>
      </c>
      <c r="Q2524" t="s">
        <v>37</v>
      </c>
      <c r="R2524">
        <v>57.284999999999997</v>
      </c>
      <c r="S2524">
        <v>17.739999999999998</v>
      </c>
      <c r="T2524" s="4">
        <v>47.499000000000002</v>
      </c>
      <c r="U2524" s="4">
        <v>15.276342</v>
      </c>
      <c r="V2524" t="str">
        <f>IF(Table1[[#This Row],[ai_disruption_intensity]]&gt;70,"High",
IF(Table1[[#This Row],[ai_disruption_intensity]]&gt;40,"Medium","Low"))</f>
        <v>Low</v>
      </c>
      <c r="W2524" t="str">
        <f>IF(Table1[[#This Row],[skill_gap_index]]&gt;70,"Large Gap",
IF(Table1[[#This Row],[skill_gap_index]]&gt;40,"Medium Gap","Small Gap"))</f>
        <v>Small Gap</v>
      </c>
      <c r="X2524" s="3" t="str">
        <f>IF(Table1[[#This Row],[automation_risk_percent]]&gt;0.7,"Highly Automatable",
IF(Table1[[#This Row],[automation_risk_percent]]&gt;0.4,"Moderate Risk","Safe Job"))</f>
        <v>Highly Automatable</v>
      </c>
    </row>
    <row r="2525" spans="1:24" x14ac:dyDescent="0.3">
      <c r="A2525">
        <v>8928</v>
      </c>
      <c r="B2525" t="s">
        <v>43</v>
      </c>
      <c r="C2525" t="s">
        <v>38</v>
      </c>
      <c r="D2525" t="s">
        <v>42</v>
      </c>
      <c r="E2525" s="1">
        <v>2026</v>
      </c>
      <c r="F2525" s="11">
        <v>0.1338</v>
      </c>
      <c r="G2525">
        <v>15.98</v>
      </c>
      <c r="H2525">
        <v>87.56</v>
      </c>
      <c r="I2525" s="2">
        <v>96354.96</v>
      </c>
      <c r="J2525" s="2">
        <v>81807.399999999994</v>
      </c>
      <c r="K2525" s="2">
        <f>Table1[[#This Row],[Salary_after]]-Table1[[#This Row],[Salary_before]]</f>
        <v>-14547.560000000012</v>
      </c>
      <c r="L2525" s="11">
        <v>-0.151</v>
      </c>
      <c r="M2525" s="11">
        <v>9.8999999999999991E-3</v>
      </c>
      <c r="N2525">
        <v>63.55</v>
      </c>
      <c r="O2525">
        <v>69.05</v>
      </c>
      <c r="P2525">
        <v>5</v>
      </c>
      <c r="Q2525" t="s">
        <v>21</v>
      </c>
      <c r="R2525">
        <v>50.47</v>
      </c>
      <c r="S2525">
        <v>15.1</v>
      </c>
      <c r="T2525" s="4">
        <v>36.15</v>
      </c>
      <c r="U2525" s="4">
        <v>9.2388899999999996</v>
      </c>
      <c r="V2525" t="str">
        <f>IF(Table1[[#This Row],[ai_disruption_intensity]]&gt;70,"High",
IF(Table1[[#This Row],[ai_disruption_intensity]]&gt;40,"Medium","Low"))</f>
        <v>Low</v>
      </c>
      <c r="W2525" t="str">
        <f>IF(Table1[[#This Row],[skill_gap_index]]&gt;70,"Large Gap",
IF(Table1[[#This Row],[skill_gap_index]]&gt;40,"Medium Gap","Small Gap"))</f>
        <v>Large Gap</v>
      </c>
      <c r="X2525" s="3" t="str">
        <f>IF(Table1[[#This Row],[automation_risk_percent]]&gt;0.7,"Highly Automatable",
IF(Table1[[#This Row],[automation_risk_percent]]&gt;0.4,"Moderate Risk","Safe Job"))</f>
        <v>Safe Job</v>
      </c>
    </row>
    <row r="2526" spans="1:24" x14ac:dyDescent="0.3">
      <c r="A2526">
        <v>8929</v>
      </c>
      <c r="B2526" t="s">
        <v>46</v>
      </c>
      <c r="C2526" t="s">
        <v>38</v>
      </c>
      <c r="D2526" t="s">
        <v>36</v>
      </c>
      <c r="E2526" s="1">
        <v>2025</v>
      </c>
      <c r="F2526" s="11">
        <v>0.4824</v>
      </c>
      <c r="G2526">
        <v>38.72</v>
      </c>
      <c r="H2526">
        <v>70.2</v>
      </c>
      <c r="I2526" s="2">
        <v>133964.74</v>
      </c>
      <c r="J2526" s="2">
        <v>138124.1</v>
      </c>
      <c r="K2526" s="2">
        <f>Table1[[#This Row],[Salary_after]]-Table1[[#This Row],[Salary_before]]</f>
        <v>4159.3600000000151</v>
      </c>
      <c r="L2526" s="11">
        <v>3.1E-2</v>
      </c>
      <c r="M2526" s="11">
        <v>3.2000000000000002E-3</v>
      </c>
      <c r="N2526">
        <v>84.09</v>
      </c>
      <c r="O2526">
        <v>27.62</v>
      </c>
      <c r="P2526">
        <v>4</v>
      </c>
      <c r="Q2526" t="s">
        <v>25</v>
      </c>
      <c r="R2526">
        <v>59.22</v>
      </c>
      <c r="S2526">
        <v>3.1</v>
      </c>
      <c r="T2526" s="4">
        <v>41.286000000000001</v>
      </c>
      <c r="U2526" s="4">
        <v>13.323888</v>
      </c>
      <c r="V2526" t="str">
        <f>IF(Table1[[#This Row],[ai_disruption_intensity]]&gt;70,"High",
IF(Table1[[#This Row],[ai_disruption_intensity]]&gt;40,"Medium","Low"))</f>
        <v>Low</v>
      </c>
      <c r="W2526" t="str">
        <f>IF(Table1[[#This Row],[skill_gap_index]]&gt;70,"Large Gap",
IF(Table1[[#This Row],[skill_gap_index]]&gt;40,"Medium Gap","Small Gap"))</f>
        <v>Large Gap</v>
      </c>
      <c r="X2526" s="3" t="str">
        <f>IF(Table1[[#This Row],[automation_risk_percent]]&gt;0.7,"Highly Automatable",
IF(Table1[[#This Row],[automation_risk_percent]]&gt;0.4,"Moderate Risk","Safe Job"))</f>
        <v>Moderate Risk</v>
      </c>
    </row>
    <row r="2527" spans="1:24" x14ac:dyDescent="0.3">
      <c r="A2527">
        <v>8930</v>
      </c>
      <c r="B2527" t="s">
        <v>22</v>
      </c>
      <c r="C2527" t="s">
        <v>40</v>
      </c>
      <c r="D2527" t="s">
        <v>42</v>
      </c>
      <c r="E2527" s="1">
        <v>2025</v>
      </c>
      <c r="F2527" s="11">
        <v>0.59850000000000003</v>
      </c>
      <c r="G2527">
        <v>50.19</v>
      </c>
      <c r="H2527">
        <v>64.92</v>
      </c>
      <c r="I2527" s="2">
        <v>91239.52</v>
      </c>
      <c r="J2527" s="2">
        <v>89775.84</v>
      </c>
      <c r="K2527" s="2">
        <f>Table1[[#This Row],[Salary_after]]-Table1[[#This Row],[Salary_before]]</f>
        <v>-1463.6800000000076</v>
      </c>
      <c r="L2527" s="11">
        <v>-1.6E-2</v>
      </c>
      <c r="M2527" s="11">
        <v>0.1668</v>
      </c>
      <c r="N2527">
        <v>48.53</v>
      </c>
      <c r="O2527">
        <v>93.38</v>
      </c>
      <c r="P2527">
        <v>2</v>
      </c>
      <c r="Q2527" t="s">
        <v>25</v>
      </c>
      <c r="R2527">
        <v>62.384999999999998</v>
      </c>
      <c r="S2527">
        <v>1.6</v>
      </c>
      <c r="T2527" s="4">
        <v>43.895999999999901</v>
      </c>
      <c r="U2527" s="4">
        <v>55.887929999999997</v>
      </c>
      <c r="V2527" t="str">
        <f>IF(Table1[[#This Row],[ai_disruption_intensity]]&gt;70,"High",
IF(Table1[[#This Row],[ai_disruption_intensity]]&gt;40,"Medium","Low"))</f>
        <v>Medium</v>
      </c>
      <c r="W2527" t="str">
        <f>IF(Table1[[#This Row],[skill_gap_index]]&gt;70,"Large Gap",
IF(Table1[[#This Row],[skill_gap_index]]&gt;40,"Medium Gap","Small Gap"))</f>
        <v>Medium Gap</v>
      </c>
      <c r="X2527" s="3" t="str">
        <f>IF(Table1[[#This Row],[automation_risk_percent]]&gt;0.7,"Highly Automatable",
IF(Table1[[#This Row],[automation_risk_percent]]&gt;0.4,"Moderate Risk","Safe Job"))</f>
        <v>Moderate Risk</v>
      </c>
    </row>
    <row r="2528" spans="1:24" x14ac:dyDescent="0.3">
      <c r="A2528">
        <v>8931</v>
      </c>
      <c r="B2528" t="s">
        <v>46</v>
      </c>
      <c r="C2528" t="s">
        <v>30</v>
      </c>
      <c r="D2528" t="s">
        <v>31</v>
      </c>
      <c r="E2528" s="1">
        <v>2025</v>
      </c>
      <c r="F2528" s="11">
        <v>0.65400000000000003</v>
      </c>
      <c r="G2528">
        <v>53.25</v>
      </c>
      <c r="H2528">
        <v>48.56</v>
      </c>
      <c r="I2528" s="2">
        <v>49314.91</v>
      </c>
      <c r="J2528" s="2">
        <v>53749.49</v>
      </c>
      <c r="K2528" s="2">
        <f>Table1[[#This Row],[Salary_after]]-Table1[[#This Row],[Salary_before]]</f>
        <v>4434.5799999999945</v>
      </c>
      <c r="L2528" s="11">
        <v>8.9900000000000008E-2</v>
      </c>
      <c r="M2528" s="11">
        <v>-7.2499999999999995E-2</v>
      </c>
      <c r="N2528">
        <v>21.64</v>
      </c>
      <c r="O2528">
        <v>1.1299999999999999</v>
      </c>
      <c r="P2528">
        <v>1</v>
      </c>
      <c r="Q2528" t="s">
        <v>37</v>
      </c>
      <c r="R2528">
        <v>56.98</v>
      </c>
      <c r="S2528">
        <v>8.99</v>
      </c>
      <c r="T2528" s="4">
        <v>43.424999999999997</v>
      </c>
      <c r="U2528" s="4">
        <v>0.73902000000000001</v>
      </c>
      <c r="V2528" t="str">
        <f>IF(Table1[[#This Row],[ai_disruption_intensity]]&gt;70,"High",
IF(Table1[[#This Row],[ai_disruption_intensity]]&gt;40,"Medium","Low"))</f>
        <v>Low</v>
      </c>
      <c r="W2528" t="str">
        <f>IF(Table1[[#This Row],[skill_gap_index]]&gt;70,"Large Gap",
IF(Table1[[#This Row],[skill_gap_index]]&gt;40,"Medium Gap","Small Gap"))</f>
        <v>Medium Gap</v>
      </c>
      <c r="X2528" s="3" t="str">
        <f>IF(Table1[[#This Row],[automation_risk_percent]]&gt;0.7,"Highly Automatable",
IF(Table1[[#This Row],[automation_risk_percent]]&gt;0.4,"Moderate Risk","Safe Job"))</f>
        <v>Moderate Risk</v>
      </c>
    </row>
    <row r="2529" spans="1:24" x14ac:dyDescent="0.3">
      <c r="A2529">
        <v>8933</v>
      </c>
      <c r="B2529" t="s">
        <v>22</v>
      </c>
      <c r="C2529" t="s">
        <v>34</v>
      </c>
      <c r="D2529" t="s">
        <v>42</v>
      </c>
      <c r="E2529" s="1">
        <v>2026</v>
      </c>
      <c r="F2529" s="11">
        <v>0.62439999999999996</v>
      </c>
      <c r="G2529">
        <v>58.63</v>
      </c>
      <c r="H2529">
        <v>37.25</v>
      </c>
      <c r="I2529" s="2">
        <v>105592.48</v>
      </c>
      <c r="J2529" s="2">
        <v>122089.23</v>
      </c>
      <c r="K2529" s="2">
        <f>Table1[[#This Row],[Salary_after]]-Table1[[#This Row],[Salary_before]]</f>
        <v>16496.75</v>
      </c>
      <c r="L2529" s="11">
        <v>0.15620000000000001</v>
      </c>
      <c r="M2529" s="11">
        <v>-0.2072</v>
      </c>
      <c r="N2529">
        <v>98.39</v>
      </c>
      <c r="O2529">
        <v>4.38</v>
      </c>
      <c r="P2529">
        <v>5</v>
      </c>
      <c r="Q2529" t="s">
        <v>37</v>
      </c>
      <c r="R2529">
        <v>49.844999999999999</v>
      </c>
      <c r="S2529">
        <v>15.62</v>
      </c>
      <c r="T2529" s="4">
        <v>40.836999999999897</v>
      </c>
      <c r="U2529" s="4">
        <v>2.73487199999999</v>
      </c>
      <c r="V2529" t="str">
        <f>IF(Table1[[#This Row],[ai_disruption_intensity]]&gt;70,"High",
IF(Table1[[#This Row],[ai_disruption_intensity]]&gt;40,"Medium","Low"))</f>
        <v>Low</v>
      </c>
      <c r="W2529" t="str">
        <f>IF(Table1[[#This Row],[skill_gap_index]]&gt;70,"Large Gap",
IF(Table1[[#This Row],[skill_gap_index]]&gt;40,"Medium Gap","Small Gap"))</f>
        <v>Small Gap</v>
      </c>
      <c r="X2529" s="3" t="str">
        <f>IF(Table1[[#This Row],[automation_risk_percent]]&gt;0.7,"Highly Automatable",
IF(Table1[[#This Row],[automation_risk_percent]]&gt;0.4,"Moderate Risk","Safe Job"))</f>
        <v>Moderate Risk</v>
      </c>
    </row>
    <row r="2530" spans="1:24" x14ac:dyDescent="0.3">
      <c r="A2530">
        <v>8934</v>
      </c>
      <c r="B2530" t="s">
        <v>44</v>
      </c>
      <c r="C2530" t="s">
        <v>38</v>
      </c>
      <c r="D2530" t="s">
        <v>20</v>
      </c>
      <c r="E2530" s="1">
        <v>2026</v>
      </c>
      <c r="F2530" s="11">
        <v>0.55349999999999999</v>
      </c>
      <c r="G2530">
        <v>64.72</v>
      </c>
      <c r="H2530">
        <v>23.62</v>
      </c>
      <c r="I2530" s="2">
        <v>55443.31</v>
      </c>
      <c r="J2530" s="2">
        <v>51924.41</v>
      </c>
      <c r="K2530" s="2">
        <f>Table1[[#This Row],[Salary_after]]-Table1[[#This Row],[Salary_before]]</f>
        <v>-3518.8999999999942</v>
      </c>
      <c r="L2530" s="11">
        <v>-6.3500000000000001E-2</v>
      </c>
      <c r="M2530" s="11">
        <v>2.9600000000000001E-2</v>
      </c>
      <c r="N2530">
        <v>60.43</v>
      </c>
      <c r="O2530">
        <v>64.55</v>
      </c>
      <c r="P2530">
        <v>1</v>
      </c>
      <c r="Q2530" t="s">
        <v>25</v>
      </c>
      <c r="R2530">
        <v>39.484999999999999</v>
      </c>
      <c r="S2530">
        <v>6.35</v>
      </c>
      <c r="T2530" s="4">
        <v>31.131</v>
      </c>
      <c r="U2530" s="4">
        <v>35.728424999999902</v>
      </c>
      <c r="V2530" t="str">
        <f>IF(Table1[[#This Row],[ai_disruption_intensity]]&gt;70,"High",
IF(Table1[[#This Row],[ai_disruption_intensity]]&gt;40,"Medium","Low"))</f>
        <v>Low</v>
      </c>
      <c r="W2530" t="str">
        <f>IF(Table1[[#This Row],[skill_gap_index]]&gt;70,"Large Gap",
IF(Table1[[#This Row],[skill_gap_index]]&gt;40,"Medium Gap","Small Gap"))</f>
        <v>Small Gap</v>
      </c>
      <c r="X2530" s="3" t="str">
        <f>IF(Table1[[#This Row],[automation_risk_percent]]&gt;0.7,"Highly Automatable",
IF(Table1[[#This Row],[automation_risk_percent]]&gt;0.4,"Moderate Risk","Safe Job"))</f>
        <v>Moderate Risk</v>
      </c>
    </row>
    <row r="2531" spans="1:24" x14ac:dyDescent="0.3">
      <c r="A2531">
        <v>8935</v>
      </c>
      <c r="B2531" t="s">
        <v>45</v>
      </c>
      <c r="C2531" t="s">
        <v>40</v>
      </c>
      <c r="D2531" t="s">
        <v>42</v>
      </c>
      <c r="E2531" s="1">
        <v>2025</v>
      </c>
      <c r="F2531" s="11">
        <v>0.67390000000000005</v>
      </c>
      <c r="G2531">
        <v>55.7</v>
      </c>
      <c r="H2531">
        <v>43.62</v>
      </c>
      <c r="I2531" s="2">
        <v>124104.82</v>
      </c>
      <c r="J2531" s="2">
        <v>126962.44</v>
      </c>
      <c r="K2531" s="2">
        <f>Table1[[#This Row],[Salary_after]]-Table1[[#This Row],[Salary_before]]</f>
        <v>2857.6199999999953</v>
      </c>
      <c r="L2531" s="11">
        <v>2.3E-2</v>
      </c>
      <c r="M2531" s="11">
        <v>-5.7200000000000001E-2</v>
      </c>
      <c r="N2531">
        <v>18.48</v>
      </c>
      <c r="O2531">
        <v>29.55</v>
      </c>
      <c r="P2531">
        <v>4</v>
      </c>
      <c r="Q2531" t="s">
        <v>37</v>
      </c>
      <c r="R2531">
        <v>55.504999999999903</v>
      </c>
      <c r="S2531">
        <v>2.2999999999999998</v>
      </c>
      <c r="T2531" s="4">
        <v>40.731999999999999</v>
      </c>
      <c r="U2531" s="4">
        <v>19.913744999999999</v>
      </c>
      <c r="V2531" t="str">
        <f>IF(Table1[[#This Row],[ai_disruption_intensity]]&gt;70,"High",
IF(Table1[[#This Row],[ai_disruption_intensity]]&gt;40,"Medium","Low"))</f>
        <v>Low</v>
      </c>
      <c r="W2531" t="str">
        <f>IF(Table1[[#This Row],[skill_gap_index]]&gt;70,"Large Gap",
IF(Table1[[#This Row],[skill_gap_index]]&gt;40,"Medium Gap","Small Gap"))</f>
        <v>Medium Gap</v>
      </c>
      <c r="X2531" s="3" t="str">
        <f>IF(Table1[[#This Row],[automation_risk_percent]]&gt;0.7,"Highly Automatable",
IF(Table1[[#This Row],[automation_risk_percent]]&gt;0.4,"Moderate Risk","Safe Job"))</f>
        <v>Moderate Risk</v>
      </c>
    </row>
    <row r="2532" spans="1:24" x14ac:dyDescent="0.3">
      <c r="A2532">
        <v>8945</v>
      </c>
      <c r="B2532" t="s">
        <v>43</v>
      </c>
      <c r="C2532" t="s">
        <v>40</v>
      </c>
      <c r="D2532" t="s">
        <v>28</v>
      </c>
      <c r="E2532" s="1">
        <v>2026</v>
      </c>
      <c r="F2532" s="11">
        <v>0.21780000000000002</v>
      </c>
      <c r="G2532">
        <v>25.69</v>
      </c>
      <c r="H2532">
        <v>27.93</v>
      </c>
      <c r="I2532" s="2">
        <v>31468.76</v>
      </c>
      <c r="J2532" s="2">
        <v>34166.53</v>
      </c>
      <c r="K2532" s="2">
        <f>Table1[[#This Row],[Salary_after]]-Table1[[#This Row],[Salary_before]]</f>
        <v>2697.7700000000004</v>
      </c>
      <c r="L2532" s="11">
        <v>8.5699999999999998E-2</v>
      </c>
      <c r="M2532" s="11">
        <v>-3.9599999999999996E-2</v>
      </c>
      <c r="N2532">
        <v>92.48</v>
      </c>
      <c r="O2532">
        <v>15.52</v>
      </c>
      <c r="P2532">
        <v>5</v>
      </c>
      <c r="Q2532" t="s">
        <v>21</v>
      </c>
      <c r="R2532">
        <v>24.855</v>
      </c>
      <c r="S2532">
        <v>8.57</v>
      </c>
      <c r="T2532" s="4">
        <v>19.661999999999999</v>
      </c>
      <c r="U2532" s="4">
        <v>3.3802560000000001</v>
      </c>
      <c r="V2532" t="str">
        <f>IF(Table1[[#This Row],[ai_disruption_intensity]]&gt;70,"High",
IF(Table1[[#This Row],[ai_disruption_intensity]]&gt;40,"Medium","Low"))</f>
        <v>Low</v>
      </c>
      <c r="W2532" t="str">
        <f>IF(Table1[[#This Row],[skill_gap_index]]&gt;70,"Large Gap",
IF(Table1[[#This Row],[skill_gap_index]]&gt;40,"Medium Gap","Small Gap"))</f>
        <v>Small Gap</v>
      </c>
      <c r="X2532" s="3" t="str">
        <f>IF(Table1[[#This Row],[automation_risk_percent]]&gt;0.7,"Highly Automatable",
IF(Table1[[#This Row],[automation_risk_percent]]&gt;0.4,"Moderate Risk","Safe Job"))</f>
        <v>Safe Job</v>
      </c>
    </row>
    <row r="2533" spans="1:24" x14ac:dyDescent="0.3">
      <c r="A2533">
        <v>8946</v>
      </c>
      <c r="B2533" t="s">
        <v>22</v>
      </c>
      <c r="C2533" t="s">
        <v>27</v>
      </c>
      <c r="D2533" t="s">
        <v>20</v>
      </c>
      <c r="E2533" s="1">
        <v>2026</v>
      </c>
      <c r="F2533" s="11">
        <v>0.2571</v>
      </c>
      <c r="G2533">
        <v>25.11</v>
      </c>
      <c r="H2533">
        <v>74.83</v>
      </c>
      <c r="I2533" s="2">
        <v>109043.64</v>
      </c>
      <c r="J2533" s="2">
        <v>103722.34</v>
      </c>
      <c r="K2533" s="2">
        <f>Table1[[#This Row],[Salary_after]]-Table1[[#This Row],[Salary_before]]</f>
        <v>-5321.3000000000029</v>
      </c>
      <c r="L2533" s="11">
        <v>-4.8799999999999996E-2</v>
      </c>
      <c r="M2533" s="11">
        <v>3.0600000000000002E-2</v>
      </c>
      <c r="N2533">
        <v>32.770000000000003</v>
      </c>
      <c r="O2533">
        <v>21.96</v>
      </c>
      <c r="P2533">
        <v>3</v>
      </c>
      <c r="Q2533" t="s">
        <v>21</v>
      </c>
      <c r="R2533">
        <v>50.269999999999897</v>
      </c>
      <c r="S2533">
        <v>4.88</v>
      </c>
      <c r="T2533" s="4">
        <v>34.196999999999903</v>
      </c>
      <c r="U2533" s="4">
        <v>5.6459159999999997</v>
      </c>
      <c r="V2533" t="str">
        <f>IF(Table1[[#This Row],[ai_disruption_intensity]]&gt;70,"High",
IF(Table1[[#This Row],[ai_disruption_intensity]]&gt;40,"Medium","Low"))</f>
        <v>Low</v>
      </c>
      <c r="W2533" t="str">
        <f>IF(Table1[[#This Row],[skill_gap_index]]&gt;70,"Large Gap",
IF(Table1[[#This Row],[skill_gap_index]]&gt;40,"Medium Gap","Small Gap"))</f>
        <v>Large Gap</v>
      </c>
      <c r="X2533" s="3" t="str">
        <f>IF(Table1[[#This Row],[automation_risk_percent]]&gt;0.7,"Highly Automatable",
IF(Table1[[#This Row],[automation_risk_percent]]&gt;0.4,"Moderate Risk","Safe Job"))</f>
        <v>Safe Job</v>
      </c>
    </row>
    <row r="2534" spans="1:24" x14ac:dyDescent="0.3">
      <c r="A2534">
        <v>8948</v>
      </c>
      <c r="B2534" t="s">
        <v>45</v>
      </c>
      <c r="C2534" t="s">
        <v>19</v>
      </c>
      <c r="D2534" t="s">
        <v>42</v>
      </c>
      <c r="E2534" s="1">
        <v>2026</v>
      </c>
      <c r="F2534" s="11">
        <v>0.1017</v>
      </c>
      <c r="G2534">
        <v>11.06</v>
      </c>
      <c r="H2534">
        <v>30.64</v>
      </c>
      <c r="I2534" s="2">
        <v>134442.59</v>
      </c>
      <c r="J2534" s="2">
        <v>149033.78</v>
      </c>
      <c r="K2534" s="2">
        <f>Table1[[#This Row],[Salary_after]]-Table1[[#This Row],[Salary_before]]</f>
        <v>14591.190000000002</v>
      </c>
      <c r="L2534" s="11">
        <v>0.1085</v>
      </c>
      <c r="M2534" s="11">
        <v>0.23749999999999999</v>
      </c>
      <c r="N2534">
        <v>53.82</v>
      </c>
      <c r="O2534">
        <v>25.82</v>
      </c>
      <c r="P2534">
        <v>4</v>
      </c>
      <c r="Q2534" t="s">
        <v>21</v>
      </c>
      <c r="R2534">
        <v>20.405000000000001</v>
      </c>
      <c r="S2534">
        <v>10.85</v>
      </c>
      <c r="T2534" s="4">
        <v>16.515000000000001</v>
      </c>
      <c r="U2534" s="4">
        <v>2.6258940000000002</v>
      </c>
      <c r="V2534" t="str">
        <f>IF(Table1[[#This Row],[ai_disruption_intensity]]&gt;70,"High",
IF(Table1[[#This Row],[ai_disruption_intensity]]&gt;40,"Medium","Low"))</f>
        <v>Low</v>
      </c>
      <c r="W2534" t="str">
        <f>IF(Table1[[#This Row],[skill_gap_index]]&gt;70,"Large Gap",
IF(Table1[[#This Row],[skill_gap_index]]&gt;40,"Medium Gap","Small Gap"))</f>
        <v>Small Gap</v>
      </c>
      <c r="X2534" s="3" t="str">
        <f>IF(Table1[[#This Row],[automation_risk_percent]]&gt;0.7,"Highly Automatable",
IF(Table1[[#This Row],[automation_risk_percent]]&gt;0.4,"Moderate Risk","Safe Job"))</f>
        <v>Safe Job</v>
      </c>
    </row>
    <row r="2535" spans="1:24" x14ac:dyDescent="0.3">
      <c r="A2535">
        <v>8949</v>
      </c>
      <c r="B2535" t="s">
        <v>46</v>
      </c>
      <c r="C2535" t="s">
        <v>38</v>
      </c>
      <c r="D2535" t="s">
        <v>24</v>
      </c>
      <c r="E2535" s="1">
        <v>2025</v>
      </c>
      <c r="F2535" s="11">
        <v>0.05</v>
      </c>
      <c r="G2535">
        <v>4.8899999999999997</v>
      </c>
      <c r="H2535">
        <v>9.91</v>
      </c>
      <c r="I2535" s="2">
        <v>138687.74</v>
      </c>
      <c r="J2535" s="2">
        <v>144339.37</v>
      </c>
      <c r="K2535" s="2">
        <f>Table1[[#This Row],[Salary_after]]-Table1[[#This Row],[Salary_before]]</f>
        <v>5651.6300000000047</v>
      </c>
      <c r="L2535" s="11">
        <v>4.0800000000000003E-2</v>
      </c>
      <c r="M2535" s="11">
        <v>0.16210000000000002</v>
      </c>
      <c r="N2535">
        <v>50.72</v>
      </c>
      <c r="O2535">
        <v>45.42</v>
      </c>
      <c r="P2535">
        <v>5</v>
      </c>
      <c r="Q2535" t="s">
        <v>21</v>
      </c>
      <c r="R2535">
        <v>7.4550000000000001</v>
      </c>
      <c r="S2535">
        <v>4.08</v>
      </c>
      <c r="T2535" s="4">
        <v>6.1970000000000001</v>
      </c>
      <c r="U2535" s="4">
        <v>2.2709999999999999</v>
      </c>
      <c r="V2535" t="str">
        <f>IF(Table1[[#This Row],[ai_disruption_intensity]]&gt;70,"High",
IF(Table1[[#This Row],[ai_disruption_intensity]]&gt;40,"Medium","Low"))</f>
        <v>Low</v>
      </c>
      <c r="W2535" t="str">
        <f>IF(Table1[[#This Row],[skill_gap_index]]&gt;70,"Large Gap",
IF(Table1[[#This Row],[skill_gap_index]]&gt;40,"Medium Gap","Small Gap"))</f>
        <v>Small Gap</v>
      </c>
      <c r="X2535" s="3" t="str">
        <f>IF(Table1[[#This Row],[automation_risk_percent]]&gt;0.7,"Highly Automatable",
IF(Table1[[#This Row],[automation_risk_percent]]&gt;0.4,"Moderate Risk","Safe Job"))</f>
        <v>Safe Job</v>
      </c>
    </row>
    <row r="2536" spans="1:24" x14ac:dyDescent="0.3">
      <c r="A2536">
        <v>8953</v>
      </c>
      <c r="B2536" t="s">
        <v>41</v>
      </c>
      <c r="C2536" t="s">
        <v>30</v>
      </c>
      <c r="D2536" t="s">
        <v>28</v>
      </c>
      <c r="E2536" s="1">
        <v>2026</v>
      </c>
      <c r="F2536" s="11">
        <v>0.77280000000000004</v>
      </c>
      <c r="G2536">
        <v>65.87</v>
      </c>
      <c r="H2536">
        <v>61.58</v>
      </c>
      <c r="I2536" s="2">
        <v>87464.1</v>
      </c>
      <c r="J2536" s="2">
        <v>75086.91</v>
      </c>
      <c r="K2536" s="2">
        <f>Table1[[#This Row],[Salary_after]]-Table1[[#This Row],[Salary_before]]</f>
        <v>-12377.190000000002</v>
      </c>
      <c r="L2536" s="11">
        <v>-0.14150000000000001</v>
      </c>
      <c r="M2536" s="11">
        <v>3.7000000000000005E-2</v>
      </c>
      <c r="N2536">
        <v>76.55</v>
      </c>
      <c r="O2536">
        <v>92.51</v>
      </c>
      <c r="P2536">
        <v>5</v>
      </c>
      <c r="Q2536" t="s">
        <v>37</v>
      </c>
      <c r="R2536">
        <v>69.430000000000007</v>
      </c>
      <c r="S2536">
        <v>14.15</v>
      </c>
      <c r="T2536" s="4">
        <v>53.631</v>
      </c>
      <c r="U2536" s="4">
        <v>71.491727999999995</v>
      </c>
      <c r="V2536" t="str">
        <f>IF(Table1[[#This Row],[ai_disruption_intensity]]&gt;70,"High",
IF(Table1[[#This Row],[ai_disruption_intensity]]&gt;40,"Medium","Low"))</f>
        <v>High</v>
      </c>
      <c r="W2536" t="str">
        <f>IF(Table1[[#This Row],[skill_gap_index]]&gt;70,"Large Gap",
IF(Table1[[#This Row],[skill_gap_index]]&gt;40,"Medium Gap","Small Gap"))</f>
        <v>Medium Gap</v>
      </c>
      <c r="X2536" s="3" t="str">
        <f>IF(Table1[[#This Row],[automation_risk_percent]]&gt;0.7,"Highly Automatable",
IF(Table1[[#This Row],[automation_risk_percent]]&gt;0.4,"Moderate Risk","Safe Job"))</f>
        <v>Highly Automatable</v>
      </c>
    </row>
    <row r="2537" spans="1:24" x14ac:dyDescent="0.3">
      <c r="A2537">
        <v>8954</v>
      </c>
      <c r="B2537" t="s">
        <v>45</v>
      </c>
      <c r="C2537" t="s">
        <v>38</v>
      </c>
      <c r="D2537" t="s">
        <v>24</v>
      </c>
      <c r="E2537" s="1">
        <v>2025</v>
      </c>
      <c r="F2537" s="11">
        <v>0.65150000000000008</v>
      </c>
      <c r="G2537">
        <v>61.73</v>
      </c>
      <c r="H2537">
        <v>98.42</v>
      </c>
      <c r="I2537" s="2">
        <v>73700.44</v>
      </c>
      <c r="J2537" s="2">
        <v>78615.17</v>
      </c>
      <c r="K2537" s="2">
        <f>Table1[[#This Row],[Salary_after]]-Table1[[#This Row],[Salary_before]]</f>
        <v>4914.7299999999959</v>
      </c>
      <c r="L2537" s="11">
        <v>6.6699999999999995E-2</v>
      </c>
      <c r="M2537" s="11">
        <v>0.124</v>
      </c>
      <c r="N2537">
        <v>16.97</v>
      </c>
      <c r="O2537">
        <v>19.2</v>
      </c>
      <c r="P2537">
        <v>4</v>
      </c>
      <c r="Q2537" t="s">
        <v>37</v>
      </c>
      <c r="R2537">
        <v>81.784999999999997</v>
      </c>
      <c r="S2537">
        <v>6.67</v>
      </c>
      <c r="T2537" s="4">
        <v>57.586999999999897</v>
      </c>
      <c r="U2537" s="4">
        <v>12.508800000000001</v>
      </c>
      <c r="V2537" t="str">
        <f>IF(Table1[[#This Row],[ai_disruption_intensity]]&gt;70,"High",
IF(Table1[[#This Row],[ai_disruption_intensity]]&gt;40,"Medium","Low"))</f>
        <v>Low</v>
      </c>
      <c r="W2537" t="str">
        <f>IF(Table1[[#This Row],[skill_gap_index]]&gt;70,"Large Gap",
IF(Table1[[#This Row],[skill_gap_index]]&gt;40,"Medium Gap","Small Gap"))</f>
        <v>Large Gap</v>
      </c>
      <c r="X2537" s="3" t="str">
        <f>IF(Table1[[#This Row],[automation_risk_percent]]&gt;0.7,"Highly Automatable",
IF(Table1[[#This Row],[automation_risk_percent]]&gt;0.4,"Moderate Risk","Safe Job"))</f>
        <v>Moderate Risk</v>
      </c>
    </row>
    <row r="2538" spans="1:24" x14ac:dyDescent="0.3">
      <c r="A2538">
        <v>8963</v>
      </c>
      <c r="B2538" t="s">
        <v>45</v>
      </c>
      <c r="C2538" t="s">
        <v>30</v>
      </c>
      <c r="D2538" t="s">
        <v>20</v>
      </c>
      <c r="E2538" s="1">
        <v>2026</v>
      </c>
      <c r="F2538" s="11">
        <v>0.77849999999999997</v>
      </c>
      <c r="G2538">
        <v>80.180000000000007</v>
      </c>
      <c r="H2538">
        <v>28.68</v>
      </c>
      <c r="I2538" s="2">
        <v>115540.83</v>
      </c>
      <c r="J2538" s="2">
        <v>111342.82</v>
      </c>
      <c r="K2538" s="2">
        <f>Table1[[#This Row],[Salary_after]]-Table1[[#This Row],[Salary_before]]</f>
        <v>-4198.0099999999948</v>
      </c>
      <c r="L2538" s="11">
        <v>-3.6299999999999999E-2</v>
      </c>
      <c r="M2538" s="11">
        <v>0.11789999999999999</v>
      </c>
      <c r="N2538">
        <v>39.21</v>
      </c>
      <c r="O2538">
        <v>43.85</v>
      </c>
      <c r="P2538">
        <v>1</v>
      </c>
      <c r="Q2538" t="s">
        <v>37</v>
      </c>
      <c r="R2538">
        <v>53.265000000000001</v>
      </c>
      <c r="S2538">
        <v>3.63</v>
      </c>
      <c r="T2538" s="4">
        <v>40.832999999999998</v>
      </c>
      <c r="U2538" s="4">
        <v>34.137225000000001</v>
      </c>
      <c r="V2538" t="str">
        <f>IF(Table1[[#This Row],[ai_disruption_intensity]]&gt;70,"High",
IF(Table1[[#This Row],[ai_disruption_intensity]]&gt;40,"Medium","Low"))</f>
        <v>Low</v>
      </c>
      <c r="W2538" t="str">
        <f>IF(Table1[[#This Row],[skill_gap_index]]&gt;70,"Large Gap",
IF(Table1[[#This Row],[skill_gap_index]]&gt;40,"Medium Gap","Small Gap"))</f>
        <v>Small Gap</v>
      </c>
      <c r="X2538" s="3" t="str">
        <f>IF(Table1[[#This Row],[automation_risk_percent]]&gt;0.7,"Highly Automatable",
IF(Table1[[#This Row],[automation_risk_percent]]&gt;0.4,"Moderate Risk","Safe Job"))</f>
        <v>Highly Automatable</v>
      </c>
    </row>
    <row r="2539" spans="1:24" x14ac:dyDescent="0.3">
      <c r="A2539">
        <v>8967</v>
      </c>
      <c r="B2539" t="s">
        <v>39</v>
      </c>
      <c r="C2539" t="s">
        <v>30</v>
      </c>
      <c r="D2539" t="s">
        <v>35</v>
      </c>
      <c r="E2539" s="1">
        <v>2026</v>
      </c>
      <c r="F2539" s="11">
        <v>0.76639999999999997</v>
      </c>
      <c r="G2539">
        <v>82.02</v>
      </c>
      <c r="H2539">
        <v>91.93</v>
      </c>
      <c r="I2539" s="2">
        <v>54031.51</v>
      </c>
      <c r="J2539" s="2">
        <v>51146.99</v>
      </c>
      <c r="K2539" s="2">
        <f>Table1[[#This Row],[Salary_after]]-Table1[[#This Row],[Salary_before]]</f>
        <v>-2884.5200000000041</v>
      </c>
      <c r="L2539" s="11">
        <v>-5.3399999999999996E-2</v>
      </c>
      <c r="M2539" s="11">
        <v>4.9000000000000002E-2</v>
      </c>
      <c r="N2539">
        <v>70.930000000000007</v>
      </c>
      <c r="O2539">
        <v>78.400000000000006</v>
      </c>
      <c r="P2539">
        <v>5</v>
      </c>
      <c r="Q2539" t="s">
        <v>37</v>
      </c>
      <c r="R2539">
        <v>84.284999999999997</v>
      </c>
      <c r="S2539">
        <v>5.34</v>
      </c>
      <c r="T2539" s="4">
        <v>59.836999999999897</v>
      </c>
      <c r="U2539" s="4">
        <v>60.085760000000001</v>
      </c>
      <c r="V2539" t="str">
        <f>IF(Table1[[#This Row],[ai_disruption_intensity]]&gt;70,"High",
IF(Table1[[#This Row],[ai_disruption_intensity]]&gt;40,"Medium","Low"))</f>
        <v>Medium</v>
      </c>
      <c r="W2539" t="str">
        <f>IF(Table1[[#This Row],[skill_gap_index]]&gt;70,"Large Gap",
IF(Table1[[#This Row],[skill_gap_index]]&gt;40,"Medium Gap","Small Gap"))</f>
        <v>Large Gap</v>
      </c>
      <c r="X2539" s="3" t="str">
        <f>IF(Table1[[#This Row],[automation_risk_percent]]&gt;0.7,"Highly Automatable",
IF(Table1[[#This Row],[automation_risk_percent]]&gt;0.4,"Moderate Risk","Safe Job"))</f>
        <v>Highly Automatable</v>
      </c>
    </row>
    <row r="2540" spans="1:24" x14ac:dyDescent="0.3">
      <c r="A2540">
        <v>8969</v>
      </c>
      <c r="B2540" t="s">
        <v>45</v>
      </c>
      <c r="C2540" t="s">
        <v>33</v>
      </c>
      <c r="D2540" t="s">
        <v>20</v>
      </c>
      <c r="E2540" s="1">
        <v>2025</v>
      </c>
      <c r="F2540" s="11">
        <v>0.1032</v>
      </c>
      <c r="G2540">
        <v>10.64</v>
      </c>
      <c r="H2540">
        <v>66.91</v>
      </c>
      <c r="I2540" s="2">
        <v>63172.29</v>
      </c>
      <c r="J2540" s="2">
        <v>56319.13</v>
      </c>
      <c r="K2540" s="2">
        <f>Table1[[#This Row],[Salary_after]]-Table1[[#This Row],[Salary_before]]</f>
        <v>-6853.1600000000035</v>
      </c>
      <c r="L2540" s="11">
        <v>-0.1085</v>
      </c>
      <c r="M2540" s="11">
        <v>0.12920000000000001</v>
      </c>
      <c r="N2540">
        <v>74.400000000000006</v>
      </c>
      <c r="O2540">
        <v>45.72</v>
      </c>
      <c r="P2540">
        <v>3</v>
      </c>
      <c r="Q2540" t="s">
        <v>21</v>
      </c>
      <c r="R2540">
        <v>38.614999999999903</v>
      </c>
      <c r="S2540">
        <v>10.85</v>
      </c>
      <c r="T2540" s="4">
        <v>27.4559999999999</v>
      </c>
      <c r="U2540" s="4">
        <v>4.7183039999999998</v>
      </c>
      <c r="V2540" t="str">
        <f>IF(Table1[[#This Row],[ai_disruption_intensity]]&gt;70,"High",
IF(Table1[[#This Row],[ai_disruption_intensity]]&gt;40,"Medium","Low"))</f>
        <v>Low</v>
      </c>
      <c r="W2540" t="str">
        <f>IF(Table1[[#This Row],[skill_gap_index]]&gt;70,"Large Gap",
IF(Table1[[#This Row],[skill_gap_index]]&gt;40,"Medium Gap","Small Gap"))</f>
        <v>Medium Gap</v>
      </c>
      <c r="X2540" s="3" t="str">
        <f>IF(Table1[[#This Row],[automation_risk_percent]]&gt;0.7,"Highly Automatable",
IF(Table1[[#This Row],[automation_risk_percent]]&gt;0.4,"Moderate Risk","Safe Job"))</f>
        <v>Safe Job</v>
      </c>
    </row>
    <row r="2541" spans="1:24" x14ac:dyDescent="0.3">
      <c r="A2541">
        <v>8971</v>
      </c>
      <c r="B2541" t="s">
        <v>44</v>
      </c>
      <c r="C2541" t="s">
        <v>40</v>
      </c>
      <c r="D2541" t="s">
        <v>35</v>
      </c>
      <c r="E2541" s="1">
        <v>2025</v>
      </c>
      <c r="F2541" s="11">
        <v>0.69169999999999998</v>
      </c>
      <c r="G2541">
        <v>64.2</v>
      </c>
      <c r="H2541">
        <v>50.48</v>
      </c>
      <c r="I2541" s="2">
        <v>102355.97</v>
      </c>
      <c r="J2541" s="2">
        <v>109690.91</v>
      </c>
      <c r="K2541" s="2">
        <f>Table1[[#This Row],[Salary_after]]-Table1[[#This Row],[Salary_before]]</f>
        <v>7334.9400000000023</v>
      </c>
      <c r="L2541" s="11">
        <v>7.17E-2</v>
      </c>
      <c r="M2541" s="11">
        <v>0.10289999999999999</v>
      </c>
      <c r="N2541">
        <v>56.43</v>
      </c>
      <c r="O2541">
        <v>41.58</v>
      </c>
      <c r="P2541">
        <v>5</v>
      </c>
      <c r="Q2541" t="s">
        <v>37</v>
      </c>
      <c r="R2541">
        <v>59.825000000000003</v>
      </c>
      <c r="S2541">
        <v>7.17</v>
      </c>
      <c r="T2541" s="4">
        <v>44.962999999999901</v>
      </c>
      <c r="U2541" s="4">
        <v>28.760885999999999</v>
      </c>
      <c r="V2541" t="str">
        <f>IF(Table1[[#This Row],[ai_disruption_intensity]]&gt;70,"High",
IF(Table1[[#This Row],[ai_disruption_intensity]]&gt;40,"Medium","Low"))</f>
        <v>Low</v>
      </c>
      <c r="W2541" t="str">
        <f>IF(Table1[[#This Row],[skill_gap_index]]&gt;70,"Large Gap",
IF(Table1[[#This Row],[skill_gap_index]]&gt;40,"Medium Gap","Small Gap"))</f>
        <v>Medium Gap</v>
      </c>
      <c r="X2541" s="3" t="str">
        <f>IF(Table1[[#This Row],[automation_risk_percent]]&gt;0.7,"Highly Automatable",
IF(Table1[[#This Row],[automation_risk_percent]]&gt;0.4,"Moderate Risk","Safe Job"))</f>
        <v>Moderate Risk</v>
      </c>
    </row>
    <row r="2542" spans="1:24" x14ac:dyDescent="0.3">
      <c r="A2542">
        <v>8972</v>
      </c>
      <c r="B2542" t="s">
        <v>43</v>
      </c>
      <c r="C2542" t="s">
        <v>38</v>
      </c>
      <c r="D2542" t="s">
        <v>47</v>
      </c>
      <c r="E2542" s="1">
        <v>2025</v>
      </c>
      <c r="F2542" s="11">
        <v>0.23719999999999999</v>
      </c>
      <c r="G2542">
        <v>24.74</v>
      </c>
      <c r="H2542">
        <v>54.99</v>
      </c>
      <c r="I2542" s="2">
        <v>64939.24</v>
      </c>
      <c r="J2542" s="2">
        <v>75623.61</v>
      </c>
      <c r="K2542" s="2">
        <f>Table1[[#This Row],[Salary_after]]-Table1[[#This Row],[Salary_before]]</f>
        <v>10684.370000000003</v>
      </c>
      <c r="L2542" s="11">
        <v>0.16449999999999998</v>
      </c>
      <c r="M2542" s="11">
        <v>1.3100000000000001E-2</v>
      </c>
      <c r="N2542">
        <v>66.44</v>
      </c>
      <c r="O2542">
        <v>48.17</v>
      </c>
      <c r="P2542">
        <v>2</v>
      </c>
      <c r="Q2542" t="s">
        <v>21</v>
      </c>
      <c r="R2542">
        <v>39.354999999999997</v>
      </c>
      <c r="S2542">
        <v>16.45</v>
      </c>
      <c r="T2542" s="4">
        <v>30.919999999999899</v>
      </c>
      <c r="U2542" s="4">
        <v>11.425924</v>
      </c>
      <c r="V2542" t="str">
        <f>IF(Table1[[#This Row],[ai_disruption_intensity]]&gt;70,"High",
IF(Table1[[#This Row],[ai_disruption_intensity]]&gt;40,"Medium","Low"))</f>
        <v>Low</v>
      </c>
      <c r="W2542" t="str">
        <f>IF(Table1[[#This Row],[skill_gap_index]]&gt;70,"Large Gap",
IF(Table1[[#This Row],[skill_gap_index]]&gt;40,"Medium Gap","Small Gap"))</f>
        <v>Medium Gap</v>
      </c>
      <c r="X2542" s="3" t="str">
        <f>IF(Table1[[#This Row],[automation_risk_percent]]&gt;0.7,"Highly Automatable",
IF(Table1[[#This Row],[automation_risk_percent]]&gt;0.4,"Moderate Risk","Safe Job"))</f>
        <v>Safe Job</v>
      </c>
    </row>
    <row r="2543" spans="1:24" x14ac:dyDescent="0.3">
      <c r="A2543">
        <v>8976</v>
      </c>
      <c r="B2543" t="s">
        <v>29</v>
      </c>
      <c r="C2543" t="s">
        <v>19</v>
      </c>
      <c r="D2543" t="s">
        <v>24</v>
      </c>
      <c r="E2543" s="1">
        <v>2026</v>
      </c>
      <c r="F2543" s="11">
        <v>0.2913</v>
      </c>
      <c r="G2543">
        <v>31.89</v>
      </c>
      <c r="H2543">
        <v>50.49</v>
      </c>
      <c r="I2543" s="2">
        <v>123942.89</v>
      </c>
      <c r="J2543" s="2">
        <v>129043.89</v>
      </c>
      <c r="K2543" s="2">
        <f>Table1[[#This Row],[Salary_after]]-Table1[[#This Row],[Salary_before]]</f>
        <v>5101</v>
      </c>
      <c r="L2543" s="11">
        <v>4.1200000000000001E-2</v>
      </c>
      <c r="M2543" s="11">
        <v>0.10460000000000001</v>
      </c>
      <c r="N2543">
        <v>17.03</v>
      </c>
      <c r="O2543">
        <v>46.04</v>
      </c>
      <c r="P2543">
        <v>2</v>
      </c>
      <c r="Q2543" t="s">
        <v>21</v>
      </c>
      <c r="R2543">
        <v>39.81</v>
      </c>
      <c r="S2543">
        <v>4.12</v>
      </c>
      <c r="T2543" s="4">
        <v>28.035</v>
      </c>
      <c r="U2543" s="4">
        <v>13.411451999999899</v>
      </c>
      <c r="V2543" t="str">
        <f>IF(Table1[[#This Row],[ai_disruption_intensity]]&gt;70,"High",
IF(Table1[[#This Row],[ai_disruption_intensity]]&gt;40,"Medium","Low"))</f>
        <v>Low</v>
      </c>
      <c r="W2543" t="str">
        <f>IF(Table1[[#This Row],[skill_gap_index]]&gt;70,"Large Gap",
IF(Table1[[#This Row],[skill_gap_index]]&gt;40,"Medium Gap","Small Gap"))</f>
        <v>Medium Gap</v>
      </c>
      <c r="X2543" s="3" t="str">
        <f>IF(Table1[[#This Row],[automation_risk_percent]]&gt;0.7,"Highly Automatable",
IF(Table1[[#This Row],[automation_risk_percent]]&gt;0.4,"Moderate Risk","Safe Job"))</f>
        <v>Safe Job</v>
      </c>
    </row>
    <row r="2544" spans="1:24" x14ac:dyDescent="0.3">
      <c r="A2544">
        <v>8979</v>
      </c>
      <c r="B2544" t="s">
        <v>22</v>
      </c>
      <c r="C2544" t="s">
        <v>27</v>
      </c>
      <c r="D2544" t="s">
        <v>36</v>
      </c>
      <c r="E2544" s="1">
        <v>2026</v>
      </c>
      <c r="F2544" s="11">
        <v>0.10210000000000001</v>
      </c>
      <c r="G2544">
        <v>8.67</v>
      </c>
      <c r="H2544">
        <v>77.48</v>
      </c>
      <c r="I2544" s="2">
        <v>34854.35</v>
      </c>
      <c r="J2544" s="2">
        <v>29942.6</v>
      </c>
      <c r="K2544" s="2">
        <f>Table1[[#This Row],[Salary_after]]-Table1[[#This Row],[Salary_before]]</f>
        <v>-4911.75</v>
      </c>
      <c r="L2544" s="11">
        <v>-0.1409</v>
      </c>
      <c r="M2544" s="11">
        <v>-5.2300000000000006E-2</v>
      </c>
      <c r="N2544">
        <v>65.16</v>
      </c>
      <c r="O2544">
        <v>61.18</v>
      </c>
      <c r="P2544">
        <v>3</v>
      </c>
      <c r="Q2544" t="s">
        <v>21</v>
      </c>
      <c r="R2544">
        <v>43.844999999999999</v>
      </c>
      <c r="S2544">
        <v>14.09</v>
      </c>
      <c r="T2544" s="4">
        <v>31.555</v>
      </c>
      <c r="U2544" s="4">
        <v>6.2464779999999998</v>
      </c>
      <c r="V2544" t="str">
        <f>IF(Table1[[#This Row],[ai_disruption_intensity]]&gt;70,"High",
IF(Table1[[#This Row],[ai_disruption_intensity]]&gt;40,"Medium","Low"))</f>
        <v>Low</v>
      </c>
      <c r="W2544" t="str">
        <f>IF(Table1[[#This Row],[skill_gap_index]]&gt;70,"Large Gap",
IF(Table1[[#This Row],[skill_gap_index]]&gt;40,"Medium Gap","Small Gap"))</f>
        <v>Large Gap</v>
      </c>
      <c r="X2544" s="3" t="str">
        <f>IF(Table1[[#This Row],[automation_risk_percent]]&gt;0.7,"Highly Automatable",
IF(Table1[[#This Row],[automation_risk_percent]]&gt;0.4,"Moderate Risk","Safe Job"))</f>
        <v>Safe Job</v>
      </c>
    </row>
    <row r="2545" spans="1:24" x14ac:dyDescent="0.3">
      <c r="A2545">
        <v>8981</v>
      </c>
      <c r="B2545" t="s">
        <v>26</v>
      </c>
      <c r="C2545" t="s">
        <v>33</v>
      </c>
      <c r="D2545" t="s">
        <v>35</v>
      </c>
      <c r="E2545" s="1">
        <v>2025</v>
      </c>
      <c r="F2545" s="11">
        <v>0.30740000000000001</v>
      </c>
      <c r="G2545">
        <v>35.049999999999997</v>
      </c>
      <c r="H2545">
        <v>37.06</v>
      </c>
      <c r="I2545" s="2">
        <v>62334.879999999997</v>
      </c>
      <c r="J2545" s="2">
        <v>58612.99</v>
      </c>
      <c r="K2545" s="2">
        <f>Table1[[#This Row],[Salary_after]]-Table1[[#This Row],[Salary_before]]</f>
        <v>-3721.8899999999994</v>
      </c>
      <c r="L2545" s="11">
        <v>-5.9699999999999996E-2</v>
      </c>
      <c r="M2545" s="11">
        <v>0.1978</v>
      </c>
      <c r="N2545">
        <v>73.569999999999993</v>
      </c>
      <c r="O2545">
        <v>12.64</v>
      </c>
      <c r="P2545">
        <v>5</v>
      </c>
      <c r="Q2545" t="s">
        <v>25</v>
      </c>
      <c r="R2545">
        <v>33.9</v>
      </c>
      <c r="S2545">
        <v>5.97</v>
      </c>
      <c r="T2545" s="4">
        <v>25.204999999999998</v>
      </c>
      <c r="U2545" s="4">
        <v>3.8855360000000001</v>
      </c>
      <c r="V2545" t="str">
        <f>IF(Table1[[#This Row],[ai_disruption_intensity]]&gt;70,"High",
IF(Table1[[#This Row],[ai_disruption_intensity]]&gt;40,"Medium","Low"))</f>
        <v>Low</v>
      </c>
      <c r="W2545" t="str">
        <f>IF(Table1[[#This Row],[skill_gap_index]]&gt;70,"Large Gap",
IF(Table1[[#This Row],[skill_gap_index]]&gt;40,"Medium Gap","Small Gap"))</f>
        <v>Small Gap</v>
      </c>
      <c r="X2545" s="3" t="str">
        <f>IF(Table1[[#This Row],[automation_risk_percent]]&gt;0.7,"Highly Automatable",
IF(Table1[[#This Row],[automation_risk_percent]]&gt;0.4,"Moderate Risk","Safe Job"))</f>
        <v>Safe Job</v>
      </c>
    </row>
    <row r="2546" spans="1:24" x14ac:dyDescent="0.3">
      <c r="A2546">
        <v>8983</v>
      </c>
      <c r="B2546" t="s">
        <v>41</v>
      </c>
      <c r="C2546" t="s">
        <v>30</v>
      </c>
      <c r="D2546" t="s">
        <v>32</v>
      </c>
      <c r="E2546" s="1">
        <v>2026</v>
      </c>
      <c r="F2546" s="11">
        <v>0.29960000000000003</v>
      </c>
      <c r="G2546">
        <v>24.87</v>
      </c>
      <c r="H2546">
        <v>87.06</v>
      </c>
      <c r="I2546" s="2">
        <v>117430.72</v>
      </c>
      <c r="J2546" s="2">
        <v>121333.01</v>
      </c>
      <c r="K2546" s="2">
        <f>Table1[[#This Row],[Salary_after]]-Table1[[#This Row],[Salary_before]]</f>
        <v>3902.2899999999936</v>
      </c>
      <c r="L2546" s="11">
        <v>3.32E-2</v>
      </c>
      <c r="M2546" s="11">
        <v>0.24149999999999999</v>
      </c>
      <c r="N2546">
        <v>67.52</v>
      </c>
      <c r="O2546">
        <v>51.29</v>
      </c>
      <c r="P2546">
        <v>5</v>
      </c>
      <c r="Q2546" t="s">
        <v>21</v>
      </c>
      <c r="R2546">
        <v>58.51</v>
      </c>
      <c r="S2546">
        <v>3.32</v>
      </c>
      <c r="T2546" s="4">
        <v>39.097999999999999</v>
      </c>
      <c r="U2546" s="4">
        <v>15.366484</v>
      </c>
      <c r="V2546" t="str">
        <f>IF(Table1[[#This Row],[ai_disruption_intensity]]&gt;70,"High",
IF(Table1[[#This Row],[ai_disruption_intensity]]&gt;40,"Medium","Low"))</f>
        <v>Low</v>
      </c>
      <c r="W2546" t="str">
        <f>IF(Table1[[#This Row],[skill_gap_index]]&gt;70,"Large Gap",
IF(Table1[[#This Row],[skill_gap_index]]&gt;40,"Medium Gap","Small Gap"))</f>
        <v>Large Gap</v>
      </c>
      <c r="X2546" s="3" t="str">
        <f>IF(Table1[[#This Row],[automation_risk_percent]]&gt;0.7,"Highly Automatable",
IF(Table1[[#This Row],[automation_risk_percent]]&gt;0.4,"Moderate Risk","Safe Job"))</f>
        <v>Safe Job</v>
      </c>
    </row>
    <row r="2547" spans="1:24" x14ac:dyDescent="0.3">
      <c r="A2547">
        <v>8984</v>
      </c>
      <c r="B2547" t="s">
        <v>46</v>
      </c>
      <c r="C2547" t="s">
        <v>38</v>
      </c>
      <c r="D2547" t="s">
        <v>31</v>
      </c>
      <c r="E2547" s="1">
        <v>2025</v>
      </c>
      <c r="F2547" s="11">
        <v>0.47270000000000001</v>
      </c>
      <c r="G2547">
        <v>54.97</v>
      </c>
      <c r="H2547">
        <v>58.75</v>
      </c>
      <c r="I2547" s="2">
        <v>137569.91</v>
      </c>
      <c r="J2547" s="2">
        <v>143748.98000000001</v>
      </c>
      <c r="K2547" s="2">
        <f>Table1[[#This Row],[Salary_after]]-Table1[[#This Row],[Salary_before]]</f>
        <v>6179.070000000007</v>
      </c>
      <c r="L2547" s="11">
        <v>4.4900000000000002E-2</v>
      </c>
      <c r="M2547" s="11">
        <v>8.4700000000000011E-2</v>
      </c>
      <c r="N2547">
        <v>69.33</v>
      </c>
      <c r="O2547">
        <v>51.86</v>
      </c>
      <c r="P2547">
        <v>5</v>
      </c>
      <c r="Q2547" t="s">
        <v>25</v>
      </c>
      <c r="R2547">
        <v>53.01</v>
      </c>
      <c r="S2547">
        <v>4.49</v>
      </c>
      <c r="T2547" s="4">
        <v>37.880000000000003</v>
      </c>
      <c r="U2547" s="4">
        <v>24.514222</v>
      </c>
      <c r="V2547" t="str">
        <f>IF(Table1[[#This Row],[ai_disruption_intensity]]&gt;70,"High",
IF(Table1[[#This Row],[ai_disruption_intensity]]&gt;40,"Medium","Low"))</f>
        <v>Low</v>
      </c>
      <c r="W2547" t="str">
        <f>IF(Table1[[#This Row],[skill_gap_index]]&gt;70,"Large Gap",
IF(Table1[[#This Row],[skill_gap_index]]&gt;40,"Medium Gap","Small Gap"))</f>
        <v>Medium Gap</v>
      </c>
      <c r="X2547" s="3" t="str">
        <f>IF(Table1[[#This Row],[automation_risk_percent]]&gt;0.7,"Highly Automatable",
IF(Table1[[#This Row],[automation_risk_percent]]&gt;0.4,"Moderate Risk","Safe Job"))</f>
        <v>Moderate Risk</v>
      </c>
    </row>
    <row r="2548" spans="1:24" x14ac:dyDescent="0.3">
      <c r="A2548">
        <v>8985</v>
      </c>
      <c r="B2548" t="s">
        <v>18</v>
      </c>
      <c r="C2548" t="s">
        <v>33</v>
      </c>
      <c r="D2548" t="s">
        <v>42</v>
      </c>
      <c r="E2548" s="1">
        <v>2026</v>
      </c>
      <c r="F2548" s="11">
        <v>0.1487</v>
      </c>
      <c r="G2548">
        <v>16.86</v>
      </c>
      <c r="H2548">
        <v>24.2</v>
      </c>
      <c r="I2548" s="2">
        <v>34399.32</v>
      </c>
      <c r="J2548" s="2">
        <v>42216.13</v>
      </c>
      <c r="K2548" s="2">
        <f>Table1[[#This Row],[Salary_after]]-Table1[[#This Row],[Salary_before]]</f>
        <v>7816.8099999999977</v>
      </c>
      <c r="L2548" s="11">
        <v>0.22719999999999999</v>
      </c>
      <c r="M2548" s="11">
        <v>8.2699999999999996E-2</v>
      </c>
      <c r="N2548">
        <v>69.56</v>
      </c>
      <c r="O2548">
        <v>66.97</v>
      </c>
      <c r="P2548">
        <v>3</v>
      </c>
      <c r="Q2548" t="s">
        <v>21</v>
      </c>
      <c r="R2548">
        <v>19.535</v>
      </c>
      <c r="S2548">
        <v>22.72</v>
      </c>
      <c r="T2548" s="4">
        <v>20.024000000000001</v>
      </c>
      <c r="U2548" s="4">
        <v>9.9584390000000003</v>
      </c>
      <c r="V2548" t="str">
        <f>IF(Table1[[#This Row],[ai_disruption_intensity]]&gt;70,"High",
IF(Table1[[#This Row],[ai_disruption_intensity]]&gt;40,"Medium","Low"))</f>
        <v>Low</v>
      </c>
      <c r="W2548" t="str">
        <f>IF(Table1[[#This Row],[skill_gap_index]]&gt;70,"Large Gap",
IF(Table1[[#This Row],[skill_gap_index]]&gt;40,"Medium Gap","Small Gap"))</f>
        <v>Small Gap</v>
      </c>
      <c r="X2548" s="3" t="str">
        <f>IF(Table1[[#This Row],[automation_risk_percent]]&gt;0.7,"Highly Automatable",
IF(Table1[[#This Row],[automation_risk_percent]]&gt;0.4,"Moderate Risk","Safe Job"))</f>
        <v>Safe Job</v>
      </c>
    </row>
    <row r="2549" spans="1:24" x14ac:dyDescent="0.3">
      <c r="A2549">
        <v>8987</v>
      </c>
      <c r="B2549" t="s">
        <v>22</v>
      </c>
      <c r="C2549" t="s">
        <v>40</v>
      </c>
      <c r="D2549" t="s">
        <v>32</v>
      </c>
      <c r="E2549" s="1">
        <v>2026</v>
      </c>
      <c r="F2549" s="11">
        <v>0.70169999999999999</v>
      </c>
      <c r="G2549">
        <v>76.39</v>
      </c>
      <c r="H2549">
        <v>76.59</v>
      </c>
      <c r="I2549" s="2">
        <v>64370.67</v>
      </c>
      <c r="J2549" s="2">
        <v>67404.539999999994</v>
      </c>
      <c r="K2549" s="2">
        <f>Table1[[#This Row],[Salary_after]]-Table1[[#This Row],[Salary_before]]</f>
        <v>3033.8699999999953</v>
      </c>
      <c r="L2549" s="11">
        <v>4.7100000000000003E-2</v>
      </c>
      <c r="M2549" s="11">
        <v>0.27329999999999999</v>
      </c>
      <c r="N2549">
        <v>34.159999999999997</v>
      </c>
      <c r="O2549">
        <v>81.22</v>
      </c>
      <c r="P2549">
        <v>1</v>
      </c>
      <c r="Q2549" t="s">
        <v>37</v>
      </c>
      <c r="R2549">
        <v>73.38</v>
      </c>
      <c r="S2549">
        <v>4.71</v>
      </c>
      <c r="T2549" s="4">
        <v>52.457999999999998</v>
      </c>
      <c r="U2549" s="4">
        <v>56.992074000000002</v>
      </c>
      <c r="V2549" t="str">
        <f>IF(Table1[[#This Row],[ai_disruption_intensity]]&gt;70,"High",
IF(Table1[[#This Row],[ai_disruption_intensity]]&gt;40,"Medium","Low"))</f>
        <v>Medium</v>
      </c>
      <c r="W2549" t="str">
        <f>IF(Table1[[#This Row],[skill_gap_index]]&gt;70,"Large Gap",
IF(Table1[[#This Row],[skill_gap_index]]&gt;40,"Medium Gap","Small Gap"))</f>
        <v>Large Gap</v>
      </c>
      <c r="X2549" s="3" t="str">
        <f>IF(Table1[[#This Row],[automation_risk_percent]]&gt;0.7,"Highly Automatable",
IF(Table1[[#This Row],[automation_risk_percent]]&gt;0.4,"Moderate Risk","Safe Job"))</f>
        <v>Highly Automatable</v>
      </c>
    </row>
    <row r="2550" spans="1:24" x14ac:dyDescent="0.3">
      <c r="A2550">
        <v>8995</v>
      </c>
      <c r="B2550" t="s">
        <v>18</v>
      </c>
      <c r="C2550" t="s">
        <v>19</v>
      </c>
      <c r="D2550" t="s">
        <v>42</v>
      </c>
      <c r="E2550" s="1">
        <v>2026</v>
      </c>
      <c r="F2550" s="11">
        <v>0.34850000000000003</v>
      </c>
      <c r="G2550">
        <v>37.17</v>
      </c>
      <c r="H2550">
        <v>12.11</v>
      </c>
      <c r="I2550" s="2">
        <v>87083.68</v>
      </c>
      <c r="J2550" s="2">
        <v>74312.350000000006</v>
      </c>
      <c r="K2550" s="2">
        <f>Table1[[#This Row],[Salary_after]]-Table1[[#This Row],[Salary_before]]</f>
        <v>-12771.329999999987</v>
      </c>
      <c r="L2550" s="11">
        <v>-0.1467</v>
      </c>
      <c r="M2550" s="11">
        <v>-0.13980000000000001</v>
      </c>
      <c r="N2550">
        <v>94.91</v>
      </c>
      <c r="O2550">
        <v>34.9</v>
      </c>
      <c r="P2550">
        <v>4</v>
      </c>
      <c r="Q2550" t="s">
        <v>25</v>
      </c>
      <c r="R2550">
        <v>23.48</v>
      </c>
      <c r="S2550">
        <v>14.67</v>
      </c>
      <c r="T2550" s="4">
        <v>21.974</v>
      </c>
      <c r="U2550" s="4">
        <v>12.162649999999999</v>
      </c>
      <c r="V2550" t="str">
        <f>IF(Table1[[#This Row],[ai_disruption_intensity]]&gt;70,"High",
IF(Table1[[#This Row],[ai_disruption_intensity]]&gt;40,"Medium","Low"))</f>
        <v>Low</v>
      </c>
      <c r="W2550" t="str">
        <f>IF(Table1[[#This Row],[skill_gap_index]]&gt;70,"Large Gap",
IF(Table1[[#This Row],[skill_gap_index]]&gt;40,"Medium Gap","Small Gap"))</f>
        <v>Small Gap</v>
      </c>
      <c r="X2550" s="3" t="str">
        <f>IF(Table1[[#This Row],[automation_risk_percent]]&gt;0.7,"Highly Automatable",
IF(Table1[[#This Row],[automation_risk_percent]]&gt;0.4,"Moderate Risk","Safe Job"))</f>
        <v>Safe Job</v>
      </c>
    </row>
    <row r="2551" spans="1:24" x14ac:dyDescent="0.3">
      <c r="A2551">
        <v>8997</v>
      </c>
      <c r="B2551" t="s">
        <v>26</v>
      </c>
      <c r="C2551" t="s">
        <v>19</v>
      </c>
      <c r="D2551" t="s">
        <v>24</v>
      </c>
      <c r="E2551" s="1">
        <v>2025</v>
      </c>
      <c r="F2551" s="11">
        <v>0.39429999999999998</v>
      </c>
      <c r="G2551">
        <v>41.83</v>
      </c>
      <c r="H2551">
        <v>21.55</v>
      </c>
      <c r="I2551" s="2">
        <v>38461.019999999997</v>
      </c>
      <c r="J2551" s="2">
        <v>38065.61</v>
      </c>
      <c r="K2551" s="2">
        <f>Table1[[#This Row],[Salary_after]]-Table1[[#This Row],[Salary_before]]</f>
        <v>-395.40999999999622</v>
      </c>
      <c r="L2551" s="11">
        <v>-1.03E-2</v>
      </c>
      <c r="M2551" s="11">
        <v>3.27E-2</v>
      </c>
      <c r="N2551">
        <v>29.23</v>
      </c>
      <c r="O2551">
        <v>12.64</v>
      </c>
      <c r="P2551">
        <v>4</v>
      </c>
      <c r="Q2551" t="s">
        <v>25</v>
      </c>
      <c r="R2551">
        <v>30.49</v>
      </c>
      <c r="S2551">
        <v>1.03</v>
      </c>
      <c r="T2551" s="4">
        <v>22.545999999999999</v>
      </c>
      <c r="U2551" s="4">
        <v>4.9839520000000004</v>
      </c>
      <c r="V2551" t="str">
        <f>IF(Table1[[#This Row],[ai_disruption_intensity]]&gt;70,"High",
IF(Table1[[#This Row],[ai_disruption_intensity]]&gt;40,"Medium","Low"))</f>
        <v>Low</v>
      </c>
      <c r="W2551" t="str">
        <f>IF(Table1[[#This Row],[skill_gap_index]]&gt;70,"Large Gap",
IF(Table1[[#This Row],[skill_gap_index]]&gt;40,"Medium Gap","Small Gap"))</f>
        <v>Small Gap</v>
      </c>
      <c r="X2551" s="3" t="str">
        <f>IF(Table1[[#This Row],[automation_risk_percent]]&gt;0.7,"Highly Automatable",
IF(Table1[[#This Row],[automation_risk_percent]]&gt;0.4,"Moderate Risk","Safe Job"))</f>
        <v>Safe Job</v>
      </c>
    </row>
    <row r="2552" spans="1:24" x14ac:dyDescent="0.3">
      <c r="A2552">
        <v>9003</v>
      </c>
      <c r="B2552" t="s">
        <v>26</v>
      </c>
      <c r="C2552" t="s">
        <v>33</v>
      </c>
      <c r="D2552" t="s">
        <v>47</v>
      </c>
      <c r="E2552" s="1">
        <v>2025</v>
      </c>
      <c r="F2552" s="11">
        <v>0.2898</v>
      </c>
      <c r="G2552">
        <v>34.07</v>
      </c>
      <c r="H2552">
        <v>60.08</v>
      </c>
      <c r="I2552" s="2">
        <v>127953.53</v>
      </c>
      <c r="J2552" s="2">
        <v>121530.53</v>
      </c>
      <c r="K2552" s="2">
        <f>Table1[[#This Row],[Salary_after]]-Table1[[#This Row],[Salary_before]]</f>
        <v>-6423</v>
      </c>
      <c r="L2552" s="11">
        <v>-5.0199999999999995E-2</v>
      </c>
      <c r="M2552" s="11">
        <v>-1.06E-2</v>
      </c>
      <c r="N2552">
        <v>27.45</v>
      </c>
      <c r="O2552">
        <v>32.21</v>
      </c>
      <c r="P2552">
        <v>1</v>
      </c>
      <c r="Q2552" t="s">
        <v>21</v>
      </c>
      <c r="R2552">
        <v>44.53</v>
      </c>
      <c r="S2552">
        <v>5.0199999999999996</v>
      </c>
      <c r="T2552" s="4">
        <v>31.122</v>
      </c>
      <c r="U2552" s="4">
        <v>9.3344579999999997</v>
      </c>
      <c r="V2552" t="str">
        <f>IF(Table1[[#This Row],[ai_disruption_intensity]]&gt;70,"High",
IF(Table1[[#This Row],[ai_disruption_intensity]]&gt;40,"Medium","Low"))</f>
        <v>Low</v>
      </c>
      <c r="W2552" t="str">
        <f>IF(Table1[[#This Row],[skill_gap_index]]&gt;70,"Large Gap",
IF(Table1[[#This Row],[skill_gap_index]]&gt;40,"Medium Gap","Small Gap"))</f>
        <v>Medium Gap</v>
      </c>
      <c r="X2552" s="3" t="str">
        <f>IF(Table1[[#This Row],[automation_risk_percent]]&gt;0.7,"Highly Automatable",
IF(Table1[[#This Row],[automation_risk_percent]]&gt;0.4,"Moderate Risk","Safe Job"))</f>
        <v>Safe Job</v>
      </c>
    </row>
    <row r="2553" spans="1:24" x14ac:dyDescent="0.3">
      <c r="A2553">
        <v>9005</v>
      </c>
      <c r="B2553" t="s">
        <v>41</v>
      </c>
      <c r="C2553" t="s">
        <v>33</v>
      </c>
      <c r="D2553" t="s">
        <v>35</v>
      </c>
      <c r="E2553" s="1">
        <v>2026</v>
      </c>
      <c r="F2553" s="11">
        <v>0.80559999999999998</v>
      </c>
      <c r="G2553">
        <v>84.89</v>
      </c>
      <c r="H2553">
        <v>16.73</v>
      </c>
      <c r="I2553" s="2">
        <v>100027.65</v>
      </c>
      <c r="J2553" s="2">
        <v>94030.97</v>
      </c>
      <c r="K2553" s="2">
        <f>Table1[[#This Row],[Salary_after]]-Table1[[#This Row],[Salary_before]]</f>
        <v>-5996.679999999993</v>
      </c>
      <c r="L2553" s="11">
        <v>-0.06</v>
      </c>
      <c r="M2553" s="11">
        <v>-7.9000000000000008E-3</v>
      </c>
      <c r="N2553">
        <v>63.59</v>
      </c>
      <c r="O2553">
        <v>66.47</v>
      </c>
      <c r="P2553">
        <v>5</v>
      </c>
      <c r="Q2553" t="s">
        <v>37</v>
      </c>
      <c r="R2553">
        <v>48.645000000000003</v>
      </c>
      <c r="S2553">
        <v>6</v>
      </c>
      <c r="T2553" s="4">
        <v>39.042999999999999</v>
      </c>
      <c r="U2553" s="4">
        <v>53.548231999999999</v>
      </c>
      <c r="V2553" t="str">
        <f>IF(Table1[[#This Row],[ai_disruption_intensity]]&gt;70,"High",
IF(Table1[[#This Row],[ai_disruption_intensity]]&gt;40,"Medium","Low"))</f>
        <v>Medium</v>
      </c>
      <c r="W2553" t="str">
        <f>IF(Table1[[#This Row],[skill_gap_index]]&gt;70,"Large Gap",
IF(Table1[[#This Row],[skill_gap_index]]&gt;40,"Medium Gap","Small Gap"))</f>
        <v>Small Gap</v>
      </c>
      <c r="X2553" s="3" t="str">
        <f>IF(Table1[[#This Row],[automation_risk_percent]]&gt;0.7,"Highly Automatable",
IF(Table1[[#This Row],[automation_risk_percent]]&gt;0.4,"Moderate Risk","Safe Job"))</f>
        <v>Highly Automatable</v>
      </c>
    </row>
    <row r="2554" spans="1:24" x14ac:dyDescent="0.3">
      <c r="A2554">
        <v>9006</v>
      </c>
      <c r="B2554" t="s">
        <v>26</v>
      </c>
      <c r="C2554" t="s">
        <v>30</v>
      </c>
      <c r="D2554" t="s">
        <v>24</v>
      </c>
      <c r="E2554" s="1">
        <v>2025</v>
      </c>
      <c r="F2554" s="11">
        <v>0.24230000000000002</v>
      </c>
      <c r="G2554">
        <v>26.79</v>
      </c>
      <c r="H2554">
        <v>83.72</v>
      </c>
      <c r="I2554" s="2">
        <v>139961.29999999999</v>
      </c>
      <c r="J2554" s="2">
        <v>122137.89</v>
      </c>
      <c r="K2554" s="2">
        <f>Table1[[#This Row],[Salary_after]]-Table1[[#This Row],[Salary_before]]</f>
        <v>-17823.409999999989</v>
      </c>
      <c r="L2554" s="11">
        <v>-0.1273</v>
      </c>
      <c r="M2554" s="11">
        <v>0.10730000000000001</v>
      </c>
      <c r="N2554">
        <v>77.36</v>
      </c>
      <c r="O2554">
        <v>10.78</v>
      </c>
      <c r="P2554">
        <v>3</v>
      </c>
      <c r="Q2554" t="s">
        <v>21</v>
      </c>
      <c r="R2554">
        <v>53.975000000000001</v>
      </c>
      <c r="S2554">
        <v>12.73</v>
      </c>
      <c r="T2554" s="4">
        <v>38.627000000000002</v>
      </c>
      <c r="U2554" s="4">
        <v>2.6119939999999899</v>
      </c>
      <c r="V2554" t="str">
        <f>IF(Table1[[#This Row],[ai_disruption_intensity]]&gt;70,"High",
IF(Table1[[#This Row],[ai_disruption_intensity]]&gt;40,"Medium","Low"))</f>
        <v>Low</v>
      </c>
      <c r="W2554" t="str">
        <f>IF(Table1[[#This Row],[skill_gap_index]]&gt;70,"Large Gap",
IF(Table1[[#This Row],[skill_gap_index]]&gt;40,"Medium Gap","Small Gap"))</f>
        <v>Large Gap</v>
      </c>
      <c r="X2554" s="3" t="str">
        <f>IF(Table1[[#This Row],[automation_risk_percent]]&gt;0.7,"Highly Automatable",
IF(Table1[[#This Row],[automation_risk_percent]]&gt;0.4,"Moderate Risk","Safe Job"))</f>
        <v>Safe Job</v>
      </c>
    </row>
    <row r="2555" spans="1:24" x14ac:dyDescent="0.3">
      <c r="A2555">
        <v>9008</v>
      </c>
      <c r="B2555" t="s">
        <v>39</v>
      </c>
      <c r="C2555" t="s">
        <v>27</v>
      </c>
      <c r="D2555" t="s">
        <v>42</v>
      </c>
      <c r="E2555" s="1">
        <v>2025</v>
      </c>
      <c r="F2555" s="11">
        <v>0.67469999999999997</v>
      </c>
      <c r="G2555">
        <v>78.88</v>
      </c>
      <c r="H2555">
        <v>51.9</v>
      </c>
      <c r="I2555" s="2">
        <v>118853.95</v>
      </c>
      <c r="J2555" s="2">
        <v>133798.99</v>
      </c>
      <c r="K2555" s="2">
        <f>Table1[[#This Row],[Salary_after]]-Table1[[#This Row],[Salary_before]]</f>
        <v>14945.039999999994</v>
      </c>
      <c r="L2555" s="11">
        <v>0.12570000000000001</v>
      </c>
      <c r="M2555" s="11">
        <v>0.16920000000000002</v>
      </c>
      <c r="N2555">
        <v>56.54</v>
      </c>
      <c r="O2555">
        <v>62.32</v>
      </c>
      <c r="P2555">
        <v>2</v>
      </c>
      <c r="Q2555" t="s">
        <v>37</v>
      </c>
      <c r="R2555">
        <v>59.685000000000002</v>
      </c>
      <c r="S2555">
        <v>12.57</v>
      </c>
      <c r="T2555" s="4">
        <v>46.329000000000001</v>
      </c>
      <c r="U2555" s="4">
        <v>42.047303999999997</v>
      </c>
      <c r="V2555" t="str">
        <f>IF(Table1[[#This Row],[ai_disruption_intensity]]&gt;70,"High",
IF(Table1[[#This Row],[ai_disruption_intensity]]&gt;40,"Medium","Low"))</f>
        <v>Medium</v>
      </c>
      <c r="W2555" t="str">
        <f>IF(Table1[[#This Row],[skill_gap_index]]&gt;70,"Large Gap",
IF(Table1[[#This Row],[skill_gap_index]]&gt;40,"Medium Gap","Small Gap"))</f>
        <v>Medium Gap</v>
      </c>
      <c r="X2555" s="3" t="str">
        <f>IF(Table1[[#This Row],[automation_risk_percent]]&gt;0.7,"Highly Automatable",
IF(Table1[[#This Row],[automation_risk_percent]]&gt;0.4,"Moderate Risk","Safe Job"))</f>
        <v>Moderate Risk</v>
      </c>
    </row>
    <row r="2556" spans="1:24" x14ac:dyDescent="0.3">
      <c r="A2556">
        <v>9014</v>
      </c>
      <c r="B2556" t="s">
        <v>44</v>
      </c>
      <c r="C2556" t="s">
        <v>34</v>
      </c>
      <c r="D2556" t="s">
        <v>24</v>
      </c>
      <c r="E2556" s="1">
        <v>2026</v>
      </c>
      <c r="F2556" s="11">
        <v>0.49090000000000006</v>
      </c>
      <c r="G2556">
        <v>50.04</v>
      </c>
      <c r="H2556">
        <v>29.38</v>
      </c>
      <c r="I2556" s="2">
        <v>111016.16</v>
      </c>
      <c r="J2556" s="2">
        <v>115534.91</v>
      </c>
      <c r="K2556" s="2">
        <f>Table1[[#This Row],[Salary_after]]-Table1[[#This Row],[Salary_before]]</f>
        <v>4518.75</v>
      </c>
      <c r="L2556" s="11">
        <v>4.07E-2</v>
      </c>
      <c r="M2556" s="11">
        <v>0.10890000000000001</v>
      </c>
      <c r="N2556">
        <v>65.12</v>
      </c>
      <c r="O2556">
        <v>35.049999999999997</v>
      </c>
      <c r="P2556">
        <v>1</v>
      </c>
      <c r="Q2556" t="s">
        <v>25</v>
      </c>
      <c r="R2556">
        <v>39.234999999999999</v>
      </c>
      <c r="S2556">
        <v>4.07</v>
      </c>
      <c r="T2556" s="4">
        <v>29.670999999999999</v>
      </c>
      <c r="U2556" s="4">
        <v>17.206045</v>
      </c>
      <c r="V2556" t="str">
        <f>IF(Table1[[#This Row],[ai_disruption_intensity]]&gt;70,"High",
IF(Table1[[#This Row],[ai_disruption_intensity]]&gt;40,"Medium","Low"))</f>
        <v>Low</v>
      </c>
      <c r="W2556" t="str">
        <f>IF(Table1[[#This Row],[skill_gap_index]]&gt;70,"Large Gap",
IF(Table1[[#This Row],[skill_gap_index]]&gt;40,"Medium Gap","Small Gap"))</f>
        <v>Small Gap</v>
      </c>
      <c r="X2556" s="3" t="str">
        <f>IF(Table1[[#This Row],[automation_risk_percent]]&gt;0.7,"Highly Automatable",
IF(Table1[[#This Row],[automation_risk_percent]]&gt;0.4,"Moderate Risk","Safe Job"))</f>
        <v>Moderate Risk</v>
      </c>
    </row>
    <row r="2557" spans="1:24" x14ac:dyDescent="0.3">
      <c r="A2557">
        <v>9019</v>
      </c>
      <c r="B2557" t="s">
        <v>41</v>
      </c>
      <c r="C2557" t="s">
        <v>30</v>
      </c>
      <c r="D2557" t="s">
        <v>32</v>
      </c>
      <c r="E2557" s="1">
        <v>2025</v>
      </c>
      <c r="F2557" s="11">
        <v>0.30359999999999998</v>
      </c>
      <c r="G2557">
        <v>29.79</v>
      </c>
      <c r="H2557">
        <v>44.18</v>
      </c>
      <c r="I2557" s="2">
        <v>69565.22</v>
      </c>
      <c r="J2557" s="2">
        <v>66256.19</v>
      </c>
      <c r="K2557" s="2">
        <f>Table1[[#This Row],[Salary_after]]-Table1[[#This Row],[Salary_before]]</f>
        <v>-3309.0299999999988</v>
      </c>
      <c r="L2557" s="11">
        <v>-4.7599999999999996E-2</v>
      </c>
      <c r="M2557" s="11">
        <v>0.1565</v>
      </c>
      <c r="N2557">
        <v>27.94</v>
      </c>
      <c r="O2557">
        <v>27.26</v>
      </c>
      <c r="P2557">
        <v>5</v>
      </c>
      <c r="Q2557" t="s">
        <v>25</v>
      </c>
      <c r="R2557">
        <v>37.269999999999897</v>
      </c>
      <c r="S2557">
        <v>4.76</v>
      </c>
      <c r="T2557" s="4">
        <v>26.826000000000001</v>
      </c>
      <c r="U2557" s="4">
        <v>8.2761359999999993</v>
      </c>
      <c r="V2557" t="str">
        <f>IF(Table1[[#This Row],[ai_disruption_intensity]]&gt;70,"High",
IF(Table1[[#This Row],[ai_disruption_intensity]]&gt;40,"Medium","Low"))</f>
        <v>Low</v>
      </c>
      <c r="W2557" t="str">
        <f>IF(Table1[[#This Row],[skill_gap_index]]&gt;70,"Large Gap",
IF(Table1[[#This Row],[skill_gap_index]]&gt;40,"Medium Gap","Small Gap"))</f>
        <v>Medium Gap</v>
      </c>
      <c r="X2557" s="3" t="str">
        <f>IF(Table1[[#This Row],[automation_risk_percent]]&gt;0.7,"Highly Automatable",
IF(Table1[[#This Row],[automation_risk_percent]]&gt;0.4,"Moderate Risk","Safe Job"))</f>
        <v>Safe Job</v>
      </c>
    </row>
    <row r="2558" spans="1:24" x14ac:dyDescent="0.3">
      <c r="A2558">
        <v>9020</v>
      </c>
      <c r="B2558" t="s">
        <v>26</v>
      </c>
      <c r="C2558" t="s">
        <v>19</v>
      </c>
      <c r="D2558" t="s">
        <v>32</v>
      </c>
      <c r="E2558" s="1">
        <v>2025</v>
      </c>
      <c r="F2558" s="11">
        <v>0.63129999999999997</v>
      </c>
      <c r="G2558">
        <v>71.34</v>
      </c>
      <c r="H2558">
        <v>1.58</v>
      </c>
      <c r="I2558" s="2">
        <v>47679.53</v>
      </c>
      <c r="J2558" s="2">
        <v>41996.65</v>
      </c>
      <c r="K2558" s="2">
        <f>Table1[[#This Row],[Salary_after]]-Table1[[#This Row],[Salary_before]]</f>
        <v>-5682.8799999999974</v>
      </c>
      <c r="L2558" s="11">
        <v>-0.1192</v>
      </c>
      <c r="M2558" s="11">
        <v>0.1643</v>
      </c>
      <c r="N2558">
        <v>92.72</v>
      </c>
      <c r="O2558">
        <v>78.650000000000006</v>
      </c>
      <c r="P2558">
        <v>3</v>
      </c>
      <c r="Q2558" t="s">
        <v>37</v>
      </c>
      <c r="R2558">
        <v>32.354999999999997</v>
      </c>
      <c r="S2558">
        <v>11.92</v>
      </c>
      <c r="T2558" s="4">
        <v>29.302</v>
      </c>
      <c r="U2558" s="4">
        <v>49.651744999999998</v>
      </c>
      <c r="V2558" t="str">
        <f>IF(Table1[[#This Row],[ai_disruption_intensity]]&gt;70,"High",
IF(Table1[[#This Row],[ai_disruption_intensity]]&gt;40,"Medium","Low"))</f>
        <v>Medium</v>
      </c>
      <c r="W2558" t="str">
        <f>IF(Table1[[#This Row],[skill_gap_index]]&gt;70,"Large Gap",
IF(Table1[[#This Row],[skill_gap_index]]&gt;40,"Medium Gap","Small Gap"))</f>
        <v>Small Gap</v>
      </c>
      <c r="X2558" s="3" t="str">
        <f>IF(Table1[[#This Row],[automation_risk_percent]]&gt;0.7,"Highly Automatable",
IF(Table1[[#This Row],[automation_risk_percent]]&gt;0.4,"Moderate Risk","Safe Job"))</f>
        <v>Moderate Risk</v>
      </c>
    </row>
    <row r="2559" spans="1:24" x14ac:dyDescent="0.3">
      <c r="A2559">
        <v>9021</v>
      </c>
      <c r="B2559" t="s">
        <v>26</v>
      </c>
      <c r="C2559" t="s">
        <v>23</v>
      </c>
      <c r="D2559" t="s">
        <v>36</v>
      </c>
      <c r="E2559" s="1">
        <v>2026</v>
      </c>
      <c r="F2559" s="11">
        <v>0.61250000000000004</v>
      </c>
      <c r="G2559">
        <v>53.73</v>
      </c>
      <c r="H2559">
        <v>15.07</v>
      </c>
      <c r="I2559" s="2">
        <v>141831.59</v>
      </c>
      <c r="J2559" s="2">
        <v>119935.83</v>
      </c>
      <c r="K2559" s="2">
        <f>Table1[[#This Row],[Salary_after]]-Table1[[#This Row],[Salary_before]]</f>
        <v>-21895.759999999995</v>
      </c>
      <c r="L2559" s="11">
        <v>-0.15439999999999998</v>
      </c>
      <c r="M2559" s="11">
        <v>-0.1255</v>
      </c>
      <c r="N2559">
        <v>71.61</v>
      </c>
      <c r="O2559">
        <v>39.75</v>
      </c>
      <c r="P2559">
        <v>1</v>
      </c>
      <c r="Q2559" t="s">
        <v>37</v>
      </c>
      <c r="R2559">
        <v>38.159999999999997</v>
      </c>
      <c r="S2559">
        <v>15.44</v>
      </c>
      <c r="T2559" s="4">
        <v>33.652999999999999</v>
      </c>
      <c r="U2559" s="4">
        <v>24.346875000000001</v>
      </c>
      <c r="V2559" t="str">
        <f>IF(Table1[[#This Row],[ai_disruption_intensity]]&gt;70,"High",
IF(Table1[[#This Row],[ai_disruption_intensity]]&gt;40,"Medium","Low"))</f>
        <v>Low</v>
      </c>
      <c r="W2559" t="str">
        <f>IF(Table1[[#This Row],[skill_gap_index]]&gt;70,"Large Gap",
IF(Table1[[#This Row],[skill_gap_index]]&gt;40,"Medium Gap","Small Gap"))</f>
        <v>Small Gap</v>
      </c>
      <c r="X2559" s="3" t="str">
        <f>IF(Table1[[#This Row],[automation_risk_percent]]&gt;0.7,"Highly Automatable",
IF(Table1[[#This Row],[automation_risk_percent]]&gt;0.4,"Moderate Risk","Safe Job"))</f>
        <v>Moderate Risk</v>
      </c>
    </row>
    <row r="2560" spans="1:24" x14ac:dyDescent="0.3">
      <c r="A2560">
        <v>9026</v>
      </c>
      <c r="B2560" t="s">
        <v>44</v>
      </c>
      <c r="C2560" t="s">
        <v>27</v>
      </c>
      <c r="D2560" t="s">
        <v>28</v>
      </c>
      <c r="E2560" s="1">
        <v>2026</v>
      </c>
      <c r="F2560" s="11">
        <v>0.72250000000000003</v>
      </c>
      <c r="G2560">
        <v>80.849999999999994</v>
      </c>
      <c r="H2560">
        <v>23.34</v>
      </c>
      <c r="I2560" s="2">
        <v>136796.07999999999</v>
      </c>
      <c r="J2560" s="2">
        <v>121132.61</v>
      </c>
      <c r="K2560" s="2">
        <f>Table1[[#This Row],[Salary_after]]-Table1[[#This Row],[Salary_before]]</f>
        <v>-15663.469999999987</v>
      </c>
      <c r="L2560" s="11">
        <v>-0.11449999999999999</v>
      </c>
      <c r="M2560" s="11">
        <v>0.13780000000000001</v>
      </c>
      <c r="N2560">
        <v>14.03</v>
      </c>
      <c r="O2560">
        <v>49.74</v>
      </c>
      <c r="P2560">
        <v>2</v>
      </c>
      <c r="Q2560" t="s">
        <v>37</v>
      </c>
      <c r="R2560">
        <v>47.795000000000002</v>
      </c>
      <c r="S2560">
        <v>11.45</v>
      </c>
      <c r="T2560" s="4">
        <v>39.337000000000003</v>
      </c>
      <c r="U2560" s="4">
        <v>35.937150000000003</v>
      </c>
      <c r="V2560" t="str">
        <f>IF(Table1[[#This Row],[ai_disruption_intensity]]&gt;70,"High",
IF(Table1[[#This Row],[ai_disruption_intensity]]&gt;40,"Medium","Low"))</f>
        <v>Low</v>
      </c>
      <c r="W2560" t="str">
        <f>IF(Table1[[#This Row],[skill_gap_index]]&gt;70,"Large Gap",
IF(Table1[[#This Row],[skill_gap_index]]&gt;40,"Medium Gap","Small Gap"))</f>
        <v>Small Gap</v>
      </c>
      <c r="X2560" s="3" t="str">
        <f>IF(Table1[[#This Row],[automation_risk_percent]]&gt;0.7,"Highly Automatable",
IF(Table1[[#This Row],[automation_risk_percent]]&gt;0.4,"Moderate Risk","Safe Job"))</f>
        <v>Highly Automatable</v>
      </c>
    </row>
    <row r="2561" spans="1:24" x14ac:dyDescent="0.3">
      <c r="A2561">
        <v>9033</v>
      </c>
      <c r="B2561" t="s">
        <v>44</v>
      </c>
      <c r="C2561" t="s">
        <v>34</v>
      </c>
      <c r="D2561" t="s">
        <v>31</v>
      </c>
      <c r="E2561" s="1">
        <v>2026</v>
      </c>
      <c r="F2561" s="11">
        <v>0.50560000000000005</v>
      </c>
      <c r="G2561">
        <v>43.57</v>
      </c>
      <c r="H2561">
        <v>45.21</v>
      </c>
      <c r="I2561" s="2">
        <v>80796.600000000006</v>
      </c>
      <c r="J2561" s="2">
        <v>73687.67</v>
      </c>
      <c r="K2561" s="2">
        <f>Table1[[#This Row],[Salary_after]]-Table1[[#This Row],[Salary_before]]</f>
        <v>-7108.9300000000076</v>
      </c>
      <c r="L2561" s="11">
        <v>-8.8000000000000009E-2</v>
      </c>
      <c r="M2561" s="11">
        <v>-4.5999999999999999E-3</v>
      </c>
      <c r="N2561">
        <v>33.729999999999997</v>
      </c>
      <c r="O2561">
        <v>55.55</v>
      </c>
      <c r="P2561">
        <v>1</v>
      </c>
      <c r="Q2561" t="s">
        <v>25</v>
      </c>
      <c r="R2561">
        <v>47.884999999999998</v>
      </c>
      <c r="S2561">
        <v>8.8000000000000007</v>
      </c>
      <c r="T2561" s="4">
        <v>36.427</v>
      </c>
      <c r="U2561" s="4">
        <v>28.086079999999999</v>
      </c>
      <c r="V2561" t="str">
        <f>IF(Table1[[#This Row],[ai_disruption_intensity]]&gt;70,"High",
IF(Table1[[#This Row],[ai_disruption_intensity]]&gt;40,"Medium","Low"))</f>
        <v>Low</v>
      </c>
      <c r="W2561" t="str">
        <f>IF(Table1[[#This Row],[skill_gap_index]]&gt;70,"Large Gap",
IF(Table1[[#This Row],[skill_gap_index]]&gt;40,"Medium Gap","Small Gap"))</f>
        <v>Medium Gap</v>
      </c>
      <c r="X2561" s="3" t="str">
        <f>IF(Table1[[#This Row],[automation_risk_percent]]&gt;0.7,"Highly Automatable",
IF(Table1[[#This Row],[automation_risk_percent]]&gt;0.4,"Moderate Risk","Safe Job"))</f>
        <v>Moderate Risk</v>
      </c>
    </row>
    <row r="2562" spans="1:24" x14ac:dyDescent="0.3">
      <c r="A2562">
        <v>9041</v>
      </c>
      <c r="B2562" t="s">
        <v>43</v>
      </c>
      <c r="C2562" t="s">
        <v>38</v>
      </c>
      <c r="D2562" t="s">
        <v>24</v>
      </c>
      <c r="E2562" s="1">
        <v>2026</v>
      </c>
      <c r="F2562" s="11">
        <v>0.2437</v>
      </c>
      <c r="G2562">
        <v>28.07</v>
      </c>
      <c r="H2562">
        <v>7.2</v>
      </c>
      <c r="I2562" s="2">
        <v>111930.54</v>
      </c>
      <c r="J2562" s="2">
        <v>115965.58</v>
      </c>
      <c r="K2562" s="2">
        <f>Table1[[#This Row],[Salary_after]]-Table1[[#This Row],[Salary_before]]</f>
        <v>4035.0400000000081</v>
      </c>
      <c r="L2562" s="11">
        <v>3.6000000000000004E-2</v>
      </c>
      <c r="M2562" s="11">
        <v>8.5900000000000004E-2</v>
      </c>
      <c r="N2562">
        <v>68.98</v>
      </c>
      <c r="O2562">
        <v>25.1</v>
      </c>
      <c r="P2562">
        <v>4</v>
      </c>
      <c r="Q2562" t="s">
        <v>21</v>
      </c>
      <c r="R2562">
        <v>15.785</v>
      </c>
      <c r="S2562">
        <v>3.6</v>
      </c>
      <c r="T2562" s="4">
        <v>12.988</v>
      </c>
      <c r="U2562" s="4">
        <v>6.1168699999999996</v>
      </c>
      <c r="V2562" t="str">
        <f>IF(Table1[[#This Row],[ai_disruption_intensity]]&gt;70,"High",
IF(Table1[[#This Row],[ai_disruption_intensity]]&gt;40,"Medium","Low"))</f>
        <v>Low</v>
      </c>
      <c r="W2562" t="str">
        <f>IF(Table1[[#This Row],[skill_gap_index]]&gt;70,"Large Gap",
IF(Table1[[#This Row],[skill_gap_index]]&gt;40,"Medium Gap","Small Gap"))</f>
        <v>Small Gap</v>
      </c>
      <c r="X2562" s="3" t="str">
        <f>IF(Table1[[#This Row],[automation_risk_percent]]&gt;0.7,"Highly Automatable",
IF(Table1[[#This Row],[automation_risk_percent]]&gt;0.4,"Moderate Risk","Safe Job"))</f>
        <v>Safe Job</v>
      </c>
    </row>
    <row r="2563" spans="1:24" x14ac:dyDescent="0.3">
      <c r="A2563">
        <v>9045</v>
      </c>
      <c r="B2563" t="s">
        <v>18</v>
      </c>
      <c r="C2563" t="s">
        <v>27</v>
      </c>
      <c r="D2563" t="s">
        <v>32</v>
      </c>
      <c r="E2563" s="1">
        <v>2026</v>
      </c>
      <c r="F2563" s="11">
        <v>0.1837</v>
      </c>
      <c r="G2563">
        <v>15.39</v>
      </c>
      <c r="H2563">
        <v>65.569999999999993</v>
      </c>
      <c r="I2563" s="2">
        <v>76764.7</v>
      </c>
      <c r="J2563" s="2">
        <v>91062.25</v>
      </c>
      <c r="K2563" s="2">
        <f>Table1[[#This Row],[Salary_after]]-Table1[[#This Row],[Salary_before]]</f>
        <v>14297.550000000003</v>
      </c>
      <c r="L2563" s="11">
        <v>0.18629999999999999</v>
      </c>
      <c r="M2563" s="11">
        <v>7.9000000000000008E-3</v>
      </c>
      <c r="N2563">
        <v>29.31</v>
      </c>
      <c r="O2563">
        <v>4.3899999999999997</v>
      </c>
      <c r="P2563">
        <v>4</v>
      </c>
      <c r="Q2563" t="s">
        <v>21</v>
      </c>
      <c r="R2563">
        <v>41.97</v>
      </c>
      <c r="S2563">
        <v>18.63</v>
      </c>
      <c r="T2563" s="4">
        <v>32.607999999999997</v>
      </c>
      <c r="U2563" s="4">
        <v>0.80644300000000002</v>
      </c>
      <c r="V2563" t="str">
        <f>IF(Table1[[#This Row],[ai_disruption_intensity]]&gt;70,"High",
IF(Table1[[#This Row],[ai_disruption_intensity]]&gt;40,"Medium","Low"))</f>
        <v>Low</v>
      </c>
      <c r="W2563" t="str">
        <f>IF(Table1[[#This Row],[skill_gap_index]]&gt;70,"Large Gap",
IF(Table1[[#This Row],[skill_gap_index]]&gt;40,"Medium Gap","Small Gap"))</f>
        <v>Medium Gap</v>
      </c>
      <c r="X2563" s="3" t="str">
        <f>IF(Table1[[#This Row],[automation_risk_percent]]&gt;0.7,"Highly Automatable",
IF(Table1[[#This Row],[automation_risk_percent]]&gt;0.4,"Moderate Risk","Safe Job"))</f>
        <v>Safe Job</v>
      </c>
    </row>
    <row r="2564" spans="1:24" x14ac:dyDescent="0.3">
      <c r="A2564">
        <v>9050</v>
      </c>
      <c r="B2564" t="s">
        <v>22</v>
      </c>
      <c r="C2564" t="s">
        <v>33</v>
      </c>
      <c r="D2564" t="s">
        <v>47</v>
      </c>
      <c r="E2564" s="1">
        <v>2025</v>
      </c>
      <c r="F2564" s="11">
        <v>0.11220000000000001</v>
      </c>
      <c r="G2564">
        <v>9.34</v>
      </c>
      <c r="H2564">
        <v>15.37</v>
      </c>
      <c r="I2564" s="2">
        <v>113297.33</v>
      </c>
      <c r="J2564" s="2">
        <v>119493.39</v>
      </c>
      <c r="K2564" s="2">
        <f>Table1[[#This Row],[Salary_after]]-Table1[[#This Row],[Salary_before]]</f>
        <v>6196.0599999999977</v>
      </c>
      <c r="L2564" s="11">
        <v>5.4699999999999999E-2</v>
      </c>
      <c r="M2564" s="11">
        <v>6.5099999999999991E-2</v>
      </c>
      <c r="N2564">
        <v>41.41</v>
      </c>
      <c r="O2564">
        <v>34.76</v>
      </c>
      <c r="P2564">
        <v>1</v>
      </c>
      <c r="Q2564" t="s">
        <v>21</v>
      </c>
      <c r="R2564">
        <v>13.295</v>
      </c>
      <c r="S2564">
        <v>5.47</v>
      </c>
      <c r="T2564" s="4">
        <v>10.74</v>
      </c>
      <c r="U2564" s="4">
        <v>3.9000720000000002</v>
      </c>
      <c r="V2564" t="str">
        <f>IF(Table1[[#This Row],[ai_disruption_intensity]]&gt;70,"High",
IF(Table1[[#This Row],[ai_disruption_intensity]]&gt;40,"Medium","Low"))</f>
        <v>Low</v>
      </c>
      <c r="W2564" t="str">
        <f>IF(Table1[[#This Row],[skill_gap_index]]&gt;70,"Large Gap",
IF(Table1[[#This Row],[skill_gap_index]]&gt;40,"Medium Gap","Small Gap"))</f>
        <v>Small Gap</v>
      </c>
      <c r="X2564" s="3" t="str">
        <f>IF(Table1[[#This Row],[automation_risk_percent]]&gt;0.7,"Highly Automatable",
IF(Table1[[#This Row],[automation_risk_percent]]&gt;0.4,"Moderate Risk","Safe Job"))</f>
        <v>Safe Job</v>
      </c>
    </row>
    <row r="2565" spans="1:24" x14ac:dyDescent="0.3">
      <c r="A2565">
        <v>9051</v>
      </c>
      <c r="B2565" t="s">
        <v>22</v>
      </c>
      <c r="C2565" t="s">
        <v>40</v>
      </c>
      <c r="D2565" t="s">
        <v>32</v>
      </c>
      <c r="E2565" s="1">
        <v>2026</v>
      </c>
      <c r="F2565" s="11">
        <v>0.56869999999999998</v>
      </c>
      <c r="G2565">
        <v>49.46</v>
      </c>
      <c r="H2565">
        <v>46.4</v>
      </c>
      <c r="I2565" s="2">
        <v>31851.99</v>
      </c>
      <c r="J2565" s="2">
        <v>36203.99</v>
      </c>
      <c r="K2565" s="2">
        <f>Table1[[#This Row],[Salary_after]]-Table1[[#This Row],[Salary_before]]</f>
        <v>4351.9999999999964</v>
      </c>
      <c r="L2565" s="11">
        <v>0.1366</v>
      </c>
      <c r="M2565" s="11">
        <v>9.4299999999999995E-2</v>
      </c>
      <c r="N2565">
        <v>28.34</v>
      </c>
      <c r="O2565">
        <v>30.72</v>
      </c>
      <c r="P2565">
        <v>4</v>
      </c>
      <c r="Q2565" t="s">
        <v>25</v>
      </c>
      <c r="R2565">
        <v>51.634999999999998</v>
      </c>
      <c r="S2565">
        <v>13.66</v>
      </c>
      <c r="T2565" s="4">
        <v>40.765999999999998</v>
      </c>
      <c r="U2565" s="4">
        <v>17.470464</v>
      </c>
      <c r="V2565" t="str">
        <f>IF(Table1[[#This Row],[ai_disruption_intensity]]&gt;70,"High",
IF(Table1[[#This Row],[ai_disruption_intensity]]&gt;40,"Medium","Low"))</f>
        <v>Low</v>
      </c>
      <c r="W2565" t="str">
        <f>IF(Table1[[#This Row],[skill_gap_index]]&gt;70,"Large Gap",
IF(Table1[[#This Row],[skill_gap_index]]&gt;40,"Medium Gap","Small Gap"))</f>
        <v>Medium Gap</v>
      </c>
      <c r="X2565" s="3" t="str">
        <f>IF(Table1[[#This Row],[automation_risk_percent]]&gt;0.7,"Highly Automatable",
IF(Table1[[#This Row],[automation_risk_percent]]&gt;0.4,"Moderate Risk","Safe Job"))</f>
        <v>Moderate Risk</v>
      </c>
    </row>
    <row r="2566" spans="1:24" x14ac:dyDescent="0.3">
      <c r="A2566">
        <v>9066</v>
      </c>
      <c r="B2566" t="s">
        <v>39</v>
      </c>
      <c r="C2566" t="s">
        <v>38</v>
      </c>
      <c r="D2566" t="s">
        <v>31</v>
      </c>
      <c r="E2566" s="1">
        <v>2026</v>
      </c>
      <c r="F2566" s="11">
        <v>0.32240000000000002</v>
      </c>
      <c r="G2566">
        <v>28.95</v>
      </c>
      <c r="H2566">
        <v>17.170000000000002</v>
      </c>
      <c r="I2566" s="2">
        <v>105262.62</v>
      </c>
      <c r="J2566" s="2">
        <v>98391.11</v>
      </c>
      <c r="K2566" s="2">
        <f>Table1[[#This Row],[Salary_after]]-Table1[[#This Row],[Salary_before]]</f>
        <v>-6871.5099999999948</v>
      </c>
      <c r="L2566" s="11">
        <v>-6.5299999999999997E-2</v>
      </c>
      <c r="M2566" s="11">
        <v>-8.43E-2</v>
      </c>
      <c r="N2566">
        <v>73.819999999999993</v>
      </c>
      <c r="O2566">
        <v>79.38</v>
      </c>
      <c r="P2566">
        <v>5</v>
      </c>
      <c r="Q2566" t="s">
        <v>25</v>
      </c>
      <c r="R2566">
        <v>24.704999999999998</v>
      </c>
      <c r="S2566">
        <v>6.53</v>
      </c>
      <c r="T2566" s="4">
        <v>20.006</v>
      </c>
      <c r="U2566" s="4">
        <v>25.592112</v>
      </c>
      <c r="V2566" t="str">
        <f>IF(Table1[[#This Row],[ai_disruption_intensity]]&gt;70,"High",
IF(Table1[[#This Row],[ai_disruption_intensity]]&gt;40,"Medium","Low"))</f>
        <v>Low</v>
      </c>
      <c r="W2566" t="str">
        <f>IF(Table1[[#This Row],[skill_gap_index]]&gt;70,"Large Gap",
IF(Table1[[#This Row],[skill_gap_index]]&gt;40,"Medium Gap","Small Gap"))</f>
        <v>Small Gap</v>
      </c>
      <c r="X2566" s="3" t="str">
        <f>IF(Table1[[#This Row],[automation_risk_percent]]&gt;0.7,"Highly Automatable",
IF(Table1[[#This Row],[automation_risk_percent]]&gt;0.4,"Moderate Risk","Safe Job"))</f>
        <v>Safe Job</v>
      </c>
    </row>
    <row r="2567" spans="1:24" x14ac:dyDescent="0.3">
      <c r="A2567">
        <v>9068</v>
      </c>
      <c r="B2567" t="s">
        <v>18</v>
      </c>
      <c r="C2567" t="s">
        <v>34</v>
      </c>
      <c r="D2567" t="s">
        <v>32</v>
      </c>
      <c r="E2567" s="1">
        <v>2025</v>
      </c>
      <c r="F2567" s="11">
        <v>0.35049999999999998</v>
      </c>
      <c r="G2567">
        <v>33.07</v>
      </c>
      <c r="H2567">
        <v>42.44</v>
      </c>
      <c r="I2567" s="2">
        <v>131800.69</v>
      </c>
      <c r="J2567" s="2">
        <v>135614.28</v>
      </c>
      <c r="K2567" s="2">
        <f>Table1[[#This Row],[Salary_after]]-Table1[[#This Row],[Salary_before]]</f>
        <v>3813.5899999999965</v>
      </c>
      <c r="L2567" s="11">
        <v>2.8900000000000002E-2</v>
      </c>
      <c r="M2567" s="11">
        <v>0.1603</v>
      </c>
      <c r="N2567">
        <v>99.26</v>
      </c>
      <c r="O2567">
        <v>84.42</v>
      </c>
      <c r="P2567">
        <v>2</v>
      </c>
      <c r="Q2567" t="s">
        <v>25</v>
      </c>
      <c r="R2567">
        <v>38.744999999999997</v>
      </c>
      <c r="S2567">
        <v>2.89</v>
      </c>
      <c r="T2567" s="4">
        <v>27.619</v>
      </c>
      <c r="U2567" s="4">
        <v>29.589209999999898</v>
      </c>
      <c r="V2567" t="str">
        <f>IF(Table1[[#This Row],[ai_disruption_intensity]]&gt;70,"High",
IF(Table1[[#This Row],[ai_disruption_intensity]]&gt;40,"Medium","Low"))</f>
        <v>Low</v>
      </c>
      <c r="W2567" t="str">
        <f>IF(Table1[[#This Row],[skill_gap_index]]&gt;70,"Large Gap",
IF(Table1[[#This Row],[skill_gap_index]]&gt;40,"Medium Gap","Small Gap"))</f>
        <v>Medium Gap</v>
      </c>
      <c r="X2567" s="3" t="str">
        <f>IF(Table1[[#This Row],[automation_risk_percent]]&gt;0.7,"Highly Automatable",
IF(Table1[[#This Row],[automation_risk_percent]]&gt;0.4,"Moderate Risk","Safe Job"))</f>
        <v>Safe Job</v>
      </c>
    </row>
    <row r="2568" spans="1:24" x14ac:dyDescent="0.3">
      <c r="A2568">
        <v>9077</v>
      </c>
      <c r="B2568" t="s">
        <v>29</v>
      </c>
      <c r="C2568" t="s">
        <v>23</v>
      </c>
      <c r="D2568" t="s">
        <v>24</v>
      </c>
      <c r="E2568" s="1">
        <v>2025</v>
      </c>
      <c r="F2568" s="11">
        <v>0.86109999999999998</v>
      </c>
      <c r="G2568">
        <v>95.12</v>
      </c>
      <c r="H2568">
        <v>23.18</v>
      </c>
      <c r="I2568" s="2">
        <v>70136.570000000007</v>
      </c>
      <c r="J2568" s="2">
        <v>77814.63</v>
      </c>
      <c r="K2568" s="2">
        <f>Table1[[#This Row],[Salary_after]]-Table1[[#This Row],[Salary_before]]</f>
        <v>7678.0599999999977</v>
      </c>
      <c r="L2568" s="11">
        <v>0.10949999999999999</v>
      </c>
      <c r="M2568" s="11">
        <v>-4.6900000000000004E-2</v>
      </c>
      <c r="N2568">
        <v>97.14</v>
      </c>
      <c r="O2568">
        <v>28.01</v>
      </c>
      <c r="P2568">
        <v>3</v>
      </c>
      <c r="Q2568" t="s">
        <v>37</v>
      </c>
      <c r="R2568">
        <v>54.644999999999897</v>
      </c>
      <c r="S2568">
        <v>10.95</v>
      </c>
      <c r="T2568" s="4">
        <v>44.683</v>
      </c>
      <c r="U2568" s="4">
        <v>24.119410999999999</v>
      </c>
      <c r="V2568" t="str">
        <f>IF(Table1[[#This Row],[ai_disruption_intensity]]&gt;70,"High",
IF(Table1[[#This Row],[ai_disruption_intensity]]&gt;40,"Medium","Low"))</f>
        <v>Low</v>
      </c>
      <c r="W2568" t="str">
        <f>IF(Table1[[#This Row],[skill_gap_index]]&gt;70,"Large Gap",
IF(Table1[[#This Row],[skill_gap_index]]&gt;40,"Medium Gap","Small Gap"))</f>
        <v>Small Gap</v>
      </c>
      <c r="X2568" s="3" t="str">
        <f>IF(Table1[[#This Row],[automation_risk_percent]]&gt;0.7,"Highly Automatable",
IF(Table1[[#This Row],[automation_risk_percent]]&gt;0.4,"Moderate Risk","Safe Job"))</f>
        <v>Highly Automatable</v>
      </c>
    </row>
    <row r="2569" spans="1:24" x14ac:dyDescent="0.3">
      <c r="A2569">
        <v>9078</v>
      </c>
      <c r="B2569" t="s">
        <v>18</v>
      </c>
      <c r="C2569" t="s">
        <v>40</v>
      </c>
      <c r="D2569" t="s">
        <v>47</v>
      </c>
      <c r="E2569" s="1">
        <v>2026</v>
      </c>
      <c r="F2569" s="11">
        <v>0.51180000000000003</v>
      </c>
      <c r="G2569">
        <v>61.18</v>
      </c>
      <c r="H2569">
        <v>15.76</v>
      </c>
      <c r="I2569" s="2">
        <v>109089.88</v>
      </c>
      <c r="J2569" s="2">
        <v>107774.98</v>
      </c>
      <c r="K2569" s="2">
        <f>Table1[[#This Row],[Salary_after]]-Table1[[#This Row],[Salary_before]]</f>
        <v>-1314.9000000000087</v>
      </c>
      <c r="L2569" s="11">
        <v>-1.21E-2</v>
      </c>
      <c r="M2569" s="11">
        <v>-4.6699999999999998E-2</v>
      </c>
      <c r="N2569">
        <v>32.950000000000003</v>
      </c>
      <c r="O2569">
        <v>3.17</v>
      </c>
      <c r="P2569">
        <v>5</v>
      </c>
      <c r="Q2569" t="s">
        <v>25</v>
      </c>
      <c r="R2569">
        <v>33.47</v>
      </c>
      <c r="S2569">
        <v>1.21</v>
      </c>
      <c r="T2569" s="4">
        <v>25.562999999999999</v>
      </c>
      <c r="U2569" s="4">
        <v>1.622406</v>
      </c>
      <c r="V2569" t="str">
        <f>IF(Table1[[#This Row],[ai_disruption_intensity]]&gt;70,"High",
IF(Table1[[#This Row],[ai_disruption_intensity]]&gt;40,"Medium","Low"))</f>
        <v>Low</v>
      </c>
      <c r="W2569" t="str">
        <f>IF(Table1[[#This Row],[skill_gap_index]]&gt;70,"Large Gap",
IF(Table1[[#This Row],[skill_gap_index]]&gt;40,"Medium Gap","Small Gap"))</f>
        <v>Small Gap</v>
      </c>
      <c r="X2569" s="3" t="str">
        <f>IF(Table1[[#This Row],[automation_risk_percent]]&gt;0.7,"Highly Automatable",
IF(Table1[[#This Row],[automation_risk_percent]]&gt;0.4,"Moderate Risk","Safe Job"))</f>
        <v>Moderate Risk</v>
      </c>
    </row>
    <row r="2570" spans="1:24" x14ac:dyDescent="0.3">
      <c r="A2570">
        <v>9079</v>
      </c>
      <c r="B2570" t="s">
        <v>45</v>
      </c>
      <c r="C2570" t="s">
        <v>33</v>
      </c>
      <c r="D2570" t="s">
        <v>36</v>
      </c>
      <c r="E2570" s="1">
        <v>2026</v>
      </c>
      <c r="F2570" s="11">
        <v>0.77450000000000008</v>
      </c>
      <c r="G2570">
        <v>79.56</v>
      </c>
      <c r="H2570">
        <v>70.08</v>
      </c>
      <c r="I2570" s="2">
        <v>104432.99</v>
      </c>
      <c r="J2570" s="2">
        <v>101680.37</v>
      </c>
      <c r="K2570" s="2">
        <f>Table1[[#This Row],[Salary_after]]-Table1[[#This Row],[Salary_before]]</f>
        <v>-2752.6200000000099</v>
      </c>
      <c r="L2570" s="11">
        <v>-2.64E-2</v>
      </c>
      <c r="M2570" s="11">
        <v>2.1899999999999999E-2</v>
      </c>
      <c r="N2570">
        <v>66.38</v>
      </c>
      <c r="O2570">
        <v>77.98</v>
      </c>
      <c r="P2570">
        <v>2</v>
      </c>
      <c r="Q2570" t="s">
        <v>37</v>
      </c>
      <c r="R2570">
        <v>73.765000000000001</v>
      </c>
      <c r="S2570">
        <v>2.64</v>
      </c>
      <c r="T2570" s="4">
        <v>52.795999999999999</v>
      </c>
      <c r="U2570" s="4">
        <v>60.395510000000002</v>
      </c>
      <c r="V2570" t="str">
        <f>IF(Table1[[#This Row],[ai_disruption_intensity]]&gt;70,"High",
IF(Table1[[#This Row],[ai_disruption_intensity]]&gt;40,"Medium","Low"))</f>
        <v>Medium</v>
      </c>
      <c r="W2570" t="str">
        <f>IF(Table1[[#This Row],[skill_gap_index]]&gt;70,"Large Gap",
IF(Table1[[#This Row],[skill_gap_index]]&gt;40,"Medium Gap","Small Gap"))</f>
        <v>Large Gap</v>
      </c>
      <c r="X2570" s="3" t="str">
        <f>IF(Table1[[#This Row],[automation_risk_percent]]&gt;0.7,"Highly Automatable",
IF(Table1[[#This Row],[automation_risk_percent]]&gt;0.4,"Moderate Risk","Safe Job"))</f>
        <v>Highly Automatable</v>
      </c>
    </row>
    <row r="2571" spans="1:24" x14ac:dyDescent="0.3">
      <c r="A2571">
        <v>9084</v>
      </c>
      <c r="B2571" t="s">
        <v>41</v>
      </c>
      <c r="C2571" t="s">
        <v>34</v>
      </c>
      <c r="D2571" t="s">
        <v>28</v>
      </c>
      <c r="E2571" s="1">
        <v>2025</v>
      </c>
      <c r="F2571" s="11">
        <v>0.28789999999999999</v>
      </c>
      <c r="G2571">
        <v>31.52</v>
      </c>
      <c r="H2571">
        <v>46.72</v>
      </c>
      <c r="I2571" s="2">
        <v>41342.31</v>
      </c>
      <c r="J2571" s="2">
        <v>36274.67</v>
      </c>
      <c r="K2571" s="2">
        <f>Table1[[#This Row],[Salary_after]]-Table1[[#This Row],[Salary_before]]</f>
        <v>-5067.6399999999994</v>
      </c>
      <c r="L2571" s="11">
        <v>-0.1226</v>
      </c>
      <c r="M2571" s="11">
        <v>-4.8899999999999999E-2</v>
      </c>
      <c r="N2571">
        <v>75.37</v>
      </c>
      <c r="O2571">
        <v>42.41</v>
      </c>
      <c r="P2571">
        <v>2</v>
      </c>
      <c r="Q2571" t="s">
        <v>21</v>
      </c>
      <c r="R2571">
        <v>37.754999999999903</v>
      </c>
      <c r="S2571">
        <v>12.26</v>
      </c>
      <c r="T2571" s="4">
        <v>29.21</v>
      </c>
      <c r="U2571" s="4">
        <v>12.209838999999899</v>
      </c>
      <c r="V2571" t="str">
        <f>IF(Table1[[#This Row],[ai_disruption_intensity]]&gt;70,"High",
IF(Table1[[#This Row],[ai_disruption_intensity]]&gt;40,"Medium","Low"))</f>
        <v>Low</v>
      </c>
      <c r="W2571" t="str">
        <f>IF(Table1[[#This Row],[skill_gap_index]]&gt;70,"Large Gap",
IF(Table1[[#This Row],[skill_gap_index]]&gt;40,"Medium Gap","Small Gap"))</f>
        <v>Medium Gap</v>
      </c>
      <c r="X2571" s="3" t="str">
        <f>IF(Table1[[#This Row],[automation_risk_percent]]&gt;0.7,"Highly Automatable",
IF(Table1[[#This Row],[automation_risk_percent]]&gt;0.4,"Moderate Risk","Safe Job"))</f>
        <v>Safe Job</v>
      </c>
    </row>
    <row r="2572" spans="1:24" x14ac:dyDescent="0.3">
      <c r="A2572">
        <v>9086</v>
      </c>
      <c r="B2572" t="s">
        <v>41</v>
      </c>
      <c r="C2572" t="s">
        <v>40</v>
      </c>
      <c r="D2572" t="s">
        <v>28</v>
      </c>
      <c r="E2572" s="1">
        <v>2026</v>
      </c>
      <c r="F2572" s="11">
        <v>0.9214</v>
      </c>
      <c r="G2572">
        <v>108.73</v>
      </c>
      <c r="H2572">
        <v>45.67</v>
      </c>
      <c r="I2572" s="2">
        <v>33315.35</v>
      </c>
      <c r="J2572" s="2">
        <v>36065.620000000003</v>
      </c>
      <c r="K2572" s="2">
        <f>Table1[[#This Row],[Salary_after]]-Table1[[#This Row],[Salary_before]]</f>
        <v>2750.2700000000041</v>
      </c>
      <c r="L2572" s="11">
        <v>8.2599999999999993E-2</v>
      </c>
      <c r="M2572" s="11">
        <v>2.3799999999999998E-2</v>
      </c>
      <c r="N2572">
        <v>35.92</v>
      </c>
      <c r="O2572">
        <v>62.2</v>
      </c>
      <c r="P2572">
        <v>3</v>
      </c>
      <c r="Q2572" t="s">
        <v>37</v>
      </c>
      <c r="R2572">
        <v>68.905000000000001</v>
      </c>
      <c r="S2572">
        <v>8.26</v>
      </c>
      <c r="T2572" s="4">
        <v>53.034999999999997</v>
      </c>
      <c r="U2572" s="4">
        <v>57.311079999999997</v>
      </c>
      <c r="V2572" t="str">
        <f>IF(Table1[[#This Row],[ai_disruption_intensity]]&gt;70,"High",
IF(Table1[[#This Row],[ai_disruption_intensity]]&gt;40,"Medium","Low"))</f>
        <v>Medium</v>
      </c>
      <c r="W2572" t="str">
        <f>IF(Table1[[#This Row],[skill_gap_index]]&gt;70,"Large Gap",
IF(Table1[[#This Row],[skill_gap_index]]&gt;40,"Medium Gap","Small Gap"))</f>
        <v>Medium Gap</v>
      </c>
      <c r="X2572" s="3" t="str">
        <f>IF(Table1[[#This Row],[automation_risk_percent]]&gt;0.7,"Highly Automatable",
IF(Table1[[#This Row],[automation_risk_percent]]&gt;0.4,"Moderate Risk","Safe Job"))</f>
        <v>Highly Automatable</v>
      </c>
    </row>
    <row r="2573" spans="1:24" x14ac:dyDescent="0.3">
      <c r="A2573">
        <v>9087</v>
      </c>
      <c r="B2573" t="s">
        <v>39</v>
      </c>
      <c r="C2573" t="s">
        <v>33</v>
      </c>
      <c r="D2573" t="s">
        <v>20</v>
      </c>
      <c r="E2573" s="1">
        <v>2025</v>
      </c>
      <c r="F2573" s="11">
        <v>0.2288</v>
      </c>
      <c r="G2573">
        <v>25.85</v>
      </c>
      <c r="H2573">
        <v>89.19</v>
      </c>
      <c r="I2573" s="2">
        <v>103814.36</v>
      </c>
      <c r="J2573" s="2">
        <v>88849.3</v>
      </c>
      <c r="K2573" s="2">
        <f>Table1[[#This Row],[Salary_after]]-Table1[[#This Row],[Salary_before]]</f>
        <v>-14965.059999999998</v>
      </c>
      <c r="L2573" s="11">
        <v>-0.14419999999999999</v>
      </c>
      <c r="M2573" s="11">
        <v>0.19690000000000002</v>
      </c>
      <c r="N2573">
        <v>73.64</v>
      </c>
      <c r="O2573">
        <v>47.85</v>
      </c>
      <c r="P2573">
        <v>3</v>
      </c>
      <c r="Q2573" t="s">
        <v>21</v>
      </c>
      <c r="R2573">
        <v>56.034999999999997</v>
      </c>
      <c r="S2573">
        <v>14.42</v>
      </c>
      <c r="T2573" s="4">
        <v>40.234999999999999</v>
      </c>
      <c r="U2573" s="4">
        <v>10.948079999999999</v>
      </c>
      <c r="V2573" t="str">
        <f>IF(Table1[[#This Row],[ai_disruption_intensity]]&gt;70,"High",
IF(Table1[[#This Row],[ai_disruption_intensity]]&gt;40,"Medium","Low"))</f>
        <v>Low</v>
      </c>
      <c r="W2573" t="str">
        <f>IF(Table1[[#This Row],[skill_gap_index]]&gt;70,"Large Gap",
IF(Table1[[#This Row],[skill_gap_index]]&gt;40,"Medium Gap","Small Gap"))</f>
        <v>Large Gap</v>
      </c>
      <c r="X2573" s="3" t="str">
        <f>IF(Table1[[#This Row],[automation_risk_percent]]&gt;0.7,"Highly Automatable",
IF(Table1[[#This Row],[automation_risk_percent]]&gt;0.4,"Moderate Risk","Safe Job"))</f>
        <v>Safe Job</v>
      </c>
    </row>
    <row r="2574" spans="1:24" x14ac:dyDescent="0.3">
      <c r="A2574">
        <v>9099</v>
      </c>
      <c r="B2574" t="s">
        <v>39</v>
      </c>
      <c r="C2574" t="s">
        <v>34</v>
      </c>
      <c r="D2574" t="s">
        <v>28</v>
      </c>
      <c r="E2574" s="1">
        <v>2026</v>
      </c>
      <c r="F2574" s="11">
        <v>0.29609999999999997</v>
      </c>
      <c r="G2574">
        <v>25.37</v>
      </c>
      <c r="H2574">
        <v>82.28</v>
      </c>
      <c r="I2574" s="2">
        <v>53199.91</v>
      </c>
      <c r="J2574" s="2">
        <v>54227.09</v>
      </c>
      <c r="K2574" s="2">
        <f>Table1[[#This Row],[Salary_after]]-Table1[[#This Row],[Salary_before]]</f>
        <v>1027.179999999993</v>
      </c>
      <c r="L2574" s="11">
        <v>1.9299999999999998E-2</v>
      </c>
      <c r="M2574" s="11">
        <v>0.13220000000000001</v>
      </c>
      <c r="N2574">
        <v>59.98</v>
      </c>
      <c r="O2574">
        <v>77.569999999999993</v>
      </c>
      <c r="P2574">
        <v>1</v>
      </c>
      <c r="Q2574" t="s">
        <v>21</v>
      </c>
      <c r="R2574">
        <v>55.945</v>
      </c>
      <c r="S2574">
        <v>1.93</v>
      </c>
      <c r="T2574" s="4">
        <v>37.106999999999999</v>
      </c>
      <c r="U2574" s="4">
        <v>22.968476999999901</v>
      </c>
      <c r="V2574" t="str">
        <f>IF(Table1[[#This Row],[ai_disruption_intensity]]&gt;70,"High",
IF(Table1[[#This Row],[ai_disruption_intensity]]&gt;40,"Medium","Low"))</f>
        <v>Low</v>
      </c>
      <c r="W2574" t="str">
        <f>IF(Table1[[#This Row],[skill_gap_index]]&gt;70,"Large Gap",
IF(Table1[[#This Row],[skill_gap_index]]&gt;40,"Medium Gap","Small Gap"))</f>
        <v>Large Gap</v>
      </c>
      <c r="X2574" s="3" t="str">
        <f>IF(Table1[[#This Row],[automation_risk_percent]]&gt;0.7,"Highly Automatable",
IF(Table1[[#This Row],[automation_risk_percent]]&gt;0.4,"Moderate Risk","Safe Job"))</f>
        <v>Safe Job</v>
      </c>
    </row>
    <row r="2575" spans="1:24" x14ac:dyDescent="0.3">
      <c r="A2575">
        <v>9102</v>
      </c>
      <c r="B2575" t="s">
        <v>18</v>
      </c>
      <c r="C2575" t="s">
        <v>23</v>
      </c>
      <c r="D2575" t="s">
        <v>20</v>
      </c>
      <c r="E2575" s="1">
        <v>2026</v>
      </c>
      <c r="F2575" s="11">
        <v>0.58130000000000004</v>
      </c>
      <c r="G2575">
        <v>66.77</v>
      </c>
      <c r="H2575">
        <v>4.72</v>
      </c>
      <c r="I2575" s="2">
        <v>144683.13</v>
      </c>
      <c r="J2575" s="2">
        <v>147581.85999999999</v>
      </c>
      <c r="K2575" s="2">
        <f>Table1[[#This Row],[Salary_after]]-Table1[[#This Row],[Salary_before]]</f>
        <v>2898.7299999999814</v>
      </c>
      <c r="L2575" s="11">
        <v>0.02</v>
      </c>
      <c r="M2575" s="11">
        <v>1.1699999999999999E-2</v>
      </c>
      <c r="N2575">
        <v>28.65</v>
      </c>
      <c r="O2575">
        <v>84.08</v>
      </c>
      <c r="P2575">
        <v>4</v>
      </c>
      <c r="Q2575" t="s">
        <v>25</v>
      </c>
      <c r="R2575">
        <v>31.425000000000001</v>
      </c>
      <c r="S2575">
        <v>2</v>
      </c>
      <c r="T2575" s="4">
        <v>25.268000000000001</v>
      </c>
      <c r="U2575" s="4">
        <v>48.875703999999999</v>
      </c>
      <c r="V2575" t="str">
        <f>IF(Table1[[#This Row],[ai_disruption_intensity]]&gt;70,"High",
IF(Table1[[#This Row],[ai_disruption_intensity]]&gt;40,"Medium","Low"))</f>
        <v>Medium</v>
      </c>
      <c r="W2575" t="str">
        <f>IF(Table1[[#This Row],[skill_gap_index]]&gt;70,"Large Gap",
IF(Table1[[#This Row],[skill_gap_index]]&gt;40,"Medium Gap","Small Gap"))</f>
        <v>Small Gap</v>
      </c>
      <c r="X2575" s="3" t="str">
        <f>IF(Table1[[#This Row],[automation_risk_percent]]&gt;0.7,"Highly Automatable",
IF(Table1[[#This Row],[automation_risk_percent]]&gt;0.4,"Moderate Risk","Safe Job"))</f>
        <v>Moderate Risk</v>
      </c>
    </row>
    <row r="2576" spans="1:24" x14ac:dyDescent="0.3">
      <c r="A2576">
        <v>9103</v>
      </c>
      <c r="B2576" t="s">
        <v>46</v>
      </c>
      <c r="C2576" t="s">
        <v>23</v>
      </c>
      <c r="D2576" t="s">
        <v>31</v>
      </c>
      <c r="E2576" s="1">
        <v>2026</v>
      </c>
      <c r="F2576" s="11">
        <v>0.60370000000000001</v>
      </c>
      <c r="G2576">
        <v>61.6</v>
      </c>
      <c r="H2576">
        <v>40.29</v>
      </c>
      <c r="I2576" s="2">
        <v>125204.54</v>
      </c>
      <c r="J2576" s="2">
        <v>129864.47</v>
      </c>
      <c r="K2576" s="2">
        <f>Table1[[#This Row],[Salary_after]]-Table1[[#This Row],[Salary_before]]</f>
        <v>4659.9300000000076</v>
      </c>
      <c r="L2576" s="11">
        <v>3.7200000000000004E-2</v>
      </c>
      <c r="M2576" s="11">
        <v>0.1084</v>
      </c>
      <c r="N2576">
        <v>91.62</v>
      </c>
      <c r="O2576">
        <v>62.65</v>
      </c>
      <c r="P2576">
        <v>2</v>
      </c>
      <c r="Q2576" t="s">
        <v>37</v>
      </c>
      <c r="R2576">
        <v>50.33</v>
      </c>
      <c r="S2576">
        <v>3.72</v>
      </c>
      <c r="T2576" s="4">
        <v>37.350999999999999</v>
      </c>
      <c r="U2576" s="4">
        <v>37.821804999999998</v>
      </c>
      <c r="V2576" t="str">
        <f>IF(Table1[[#This Row],[ai_disruption_intensity]]&gt;70,"High",
IF(Table1[[#This Row],[ai_disruption_intensity]]&gt;40,"Medium","Low"))</f>
        <v>Low</v>
      </c>
      <c r="W2576" t="str">
        <f>IF(Table1[[#This Row],[skill_gap_index]]&gt;70,"Large Gap",
IF(Table1[[#This Row],[skill_gap_index]]&gt;40,"Medium Gap","Small Gap"))</f>
        <v>Medium Gap</v>
      </c>
      <c r="X2576" s="3" t="str">
        <f>IF(Table1[[#This Row],[automation_risk_percent]]&gt;0.7,"Highly Automatable",
IF(Table1[[#This Row],[automation_risk_percent]]&gt;0.4,"Moderate Risk","Safe Job"))</f>
        <v>Moderate Risk</v>
      </c>
    </row>
    <row r="2577" spans="1:24" x14ac:dyDescent="0.3">
      <c r="A2577">
        <v>9113</v>
      </c>
      <c r="B2577" t="s">
        <v>45</v>
      </c>
      <c r="C2577" t="s">
        <v>34</v>
      </c>
      <c r="D2577" t="s">
        <v>36</v>
      </c>
      <c r="E2577" s="1">
        <v>2026</v>
      </c>
      <c r="F2577" s="11">
        <v>0.22800000000000001</v>
      </c>
      <c r="G2577">
        <v>18.41</v>
      </c>
      <c r="H2577">
        <v>13</v>
      </c>
      <c r="I2577" s="2">
        <v>136983.88</v>
      </c>
      <c r="J2577" s="2">
        <v>150826.68</v>
      </c>
      <c r="K2577" s="2">
        <f>Table1[[#This Row],[Salary_after]]-Table1[[#This Row],[Salary_before]]</f>
        <v>13842.799999999988</v>
      </c>
      <c r="L2577" s="11">
        <v>0.1011</v>
      </c>
      <c r="M2577" s="11">
        <v>0.11900000000000001</v>
      </c>
      <c r="N2577">
        <v>38.840000000000003</v>
      </c>
      <c r="O2577">
        <v>62.27</v>
      </c>
      <c r="P2577">
        <v>5</v>
      </c>
      <c r="Q2577" t="s">
        <v>21</v>
      </c>
      <c r="R2577">
        <v>17.899999999999999</v>
      </c>
      <c r="S2577">
        <v>10.11</v>
      </c>
      <c r="T2577" s="4">
        <v>16.053000000000001</v>
      </c>
      <c r="U2577" s="4">
        <v>14.197559999999999</v>
      </c>
      <c r="V2577" t="str">
        <f>IF(Table1[[#This Row],[ai_disruption_intensity]]&gt;70,"High",
IF(Table1[[#This Row],[ai_disruption_intensity]]&gt;40,"Medium","Low"))</f>
        <v>Low</v>
      </c>
      <c r="W2577" t="str">
        <f>IF(Table1[[#This Row],[skill_gap_index]]&gt;70,"Large Gap",
IF(Table1[[#This Row],[skill_gap_index]]&gt;40,"Medium Gap","Small Gap"))</f>
        <v>Small Gap</v>
      </c>
      <c r="X2577" s="3" t="str">
        <f>IF(Table1[[#This Row],[automation_risk_percent]]&gt;0.7,"Highly Automatable",
IF(Table1[[#This Row],[automation_risk_percent]]&gt;0.4,"Moderate Risk","Safe Job"))</f>
        <v>Safe Job</v>
      </c>
    </row>
    <row r="2578" spans="1:24" x14ac:dyDescent="0.3">
      <c r="A2578">
        <v>9117</v>
      </c>
      <c r="B2578" t="s">
        <v>39</v>
      </c>
      <c r="C2578" t="s">
        <v>23</v>
      </c>
      <c r="D2578" t="s">
        <v>42</v>
      </c>
      <c r="E2578" s="1">
        <v>2026</v>
      </c>
      <c r="F2578" s="11">
        <v>0.75439999999999996</v>
      </c>
      <c r="G2578">
        <v>75.180000000000007</v>
      </c>
      <c r="H2578">
        <v>1.68</v>
      </c>
      <c r="I2578" s="2">
        <v>145178.51</v>
      </c>
      <c r="J2578" s="2">
        <v>145494.57999999999</v>
      </c>
      <c r="K2578" s="2">
        <f>Table1[[#This Row],[Salary_after]]-Table1[[#This Row],[Salary_before]]</f>
        <v>316.06999999997788</v>
      </c>
      <c r="L2578" s="11">
        <v>2.2000000000000001E-3</v>
      </c>
      <c r="M2578" s="11">
        <v>2.0400000000000001E-2</v>
      </c>
      <c r="N2578">
        <v>67.02</v>
      </c>
      <c r="O2578">
        <v>89.45</v>
      </c>
      <c r="P2578">
        <v>2</v>
      </c>
      <c r="Q2578" t="s">
        <v>37</v>
      </c>
      <c r="R2578">
        <v>38.56</v>
      </c>
      <c r="S2578">
        <v>0.22</v>
      </c>
      <c r="T2578" s="4">
        <v>30.745999999999999</v>
      </c>
      <c r="U2578" s="4">
        <v>67.481080000000006</v>
      </c>
      <c r="V2578" t="str">
        <f>IF(Table1[[#This Row],[ai_disruption_intensity]]&gt;70,"High",
IF(Table1[[#This Row],[ai_disruption_intensity]]&gt;40,"Medium","Low"))</f>
        <v>Medium</v>
      </c>
      <c r="W2578" t="str">
        <f>IF(Table1[[#This Row],[skill_gap_index]]&gt;70,"Large Gap",
IF(Table1[[#This Row],[skill_gap_index]]&gt;40,"Medium Gap","Small Gap"))</f>
        <v>Small Gap</v>
      </c>
      <c r="X2578" s="3" t="str">
        <f>IF(Table1[[#This Row],[automation_risk_percent]]&gt;0.7,"Highly Automatable",
IF(Table1[[#This Row],[automation_risk_percent]]&gt;0.4,"Moderate Risk","Safe Job"))</f>
        <v>Highly Automatable</v>
      </c>
    </row>
    <row r="2579" spans="1:24" x14ac:dyDescent="0.3">
      <c r="A2579">
        <v>9118</v>
      </c>
      <c r="B2579" t="s">
        <v>39</v>
      </c>
      <c r="C2579" t="s">
        <v>19</v>
      </c>
      <c r="D2579" t="s">
        <v>31</v>
      </c>
      <c r="E2579" s="1">
        <v>2026</v>
      </c>
      <c r="F2579" s="11">
        <v>0.57540000000000002</v>
      </c>
      <c r="G2579">
        <v>64.709999999999994</v>
      </c>
      <c r="H2579">
        <v>76.989999999999995</v>
      </c>
      <c r="I2579" s="2">
        <v>55624.18</v>
      </c>
      <c r="J2579" s="2">
        <v>60969.37</v>
      </c>
      <c r="K2579" s="2">
        <f>Table1[[#This Row],[Salary_after]]-Table1[[#This Row],[Salary_before]]</f>
        <v>5345.1900000000023</v>
      </c>
      <c r="L2579" s="11">
        <v>9.6099999999999991E-2</v>
      </c>
      <c r="M2579" s="11">
        <v>0.19</v>
      </c>
      <c r="N2579">
        <v>31.96</v>
      </c>
      <c r="O2579">
        <v>12.83</v>
      </c>
      <c r="P2579">
        <v>1</v>
      </c>
      <c r="Q2579" t="s">
        <v>25</v>
      </c>
      <c r="R2579">
        <v>67.265000000000001</v>
      </c>
      <c r="S2579">
        <v>9.61</v>
      </c>
      <c r="T2579" s="4">
        <v>48.996000000000002</v>
      </c>
      <c r="U2579" s="4">
        <v>7.3823819999999998</v>
      </c>
      <c r="V2579" t="str">
        <f>IF(Table1[[#This Row],[ai_disruption_intensity]]&gt;70,"High",
IF(Table1[[#This Row],[ai_disruption_intensity]]&gt;40,"Medium","Low"))</f>
        <v>Low</v>
      </c>
      <c r="W2579" t="str">
        <f>IF(Table1[[#This Row],[skill_gap_index]]&gt;70,"Large Gap",
IF(Table1[[#This Row],[skill_gap_index]]&gt;40,"Medium Gap","Small Gap"))</f>
        <v>Large Gap</v>
      </c>
      <c r="X2579" s="3" t="str">
        <f>IF(Table1[[#This Row],[automation_risk_percent]]&gt;0.7,"Highly Automatable",
IF(Table1[[#This Row],[automation_risk_percent]]&gt;0.4,"Moderate Risk","Safe Job"))</f>
        <v>Moderate Risk</v>
      </c>
    </row>
    <row r="2580" spans="1:24" x14ac:dyDescent="0.3">
      <c r="A2580">
        <v>9119</v>
      </c>
      <c r="B2580" t="s">
        <v>39</v>
      </c>
      <c r="C2580" t="s">
        <v>40</v>
      </c>
      <c r="D2580" t="s">
        <v>42</v>
      </c>
      <c r="E2580" s="1">
        <v>2025</v>
      </c>
      <c r="F2580" s="11">
        <v>0.62609999999999999</v>
      </c>
      <c r="G2580">
        <v>74.41</v>
      </c>
      <c r="H2580">
        <v>73.84</v>
      </c>
      <c r="I2580" s="2">
        <v>119933.99</v>
      </c>
      <c r="J2580" s="2">
        <v>113813.52</v>
      </c>
      <c r="K2580" s="2">
        <f>Table1[[#This Row],[Salary_after]]-Table1[[#This Row],[Salary_before]]</f>
        <v>-6120.4700000000012</v>
      </c>
      <c r="L2580" s="11">
        <v>-5.0999999999999997E-2</v>
      </c>
      <c r="M2580" s="11">
        <v>-1.72E-2</v>
      </c>
      <c r="N2580">
        <v>62.72</v>
      </c>
      <c r="O2580">
        <v>3.14</v>
      </c>
      <c r="P2580">
        <v>2</v>
      </c>
      <c r="Q2580" t="s">
        <v>37</v>
      </c>
      <c r="R2580">
        <v>68.224999999999994</v>
      </c>
      <c r="S2580">
        <v>5.0999999999999996</v>
      </c>
      <c r="T2580" s="4">
        <v>48.725999999999999</v>
      </c>
      <c r="U2580" s="4">
        <v>1.965954</v>
      </c>
      <c r="V2580" t="str">
        <f>IF(Table1[[#This Row],[ai_disruption_intensity]]&gt;70,"High",
IF(Table1[[#This Row],[ai_disruption_intensity]]&gt;40,"Medium","Low"))</f>
        <v>Low</v>
      </c>
      <c r="W2580" t="str">
        <f>IF(Table1[[#This Row],[skill_gap_index]]&gt;70,"Large Gap",
IF(Table1[[#This Row],[skill_gap_index]]&gt;40,"Medium Gap","Small Gap"))</f>
        <v>Large Gap</v>
      </c>
      <c r="X2580" s="3" t="str">
        <f>IF(Table1[[#This Row],[automation_risk_percent]]&gt;0.7,"Highly Automatable",
IF(Table1[[#This Row],[automation_risk_percent]]&gt;0.4,"Moderate Risk","Safe Job"))</f>
        <v>Moderate Risk</v>
      </c>
    </row>
    <row r="2581" spans="1:24" x14ac:dyDescent="0.3">
      <c r="A2581">
        <v>9121</v>
      </c>
      <c r="B2581" t="s">
        <v>39</v>
      </c>
      <c r="C2581" t="s">
        <v>30</v>
      </c>
      <c r="D2581" t="s">
        <v>20</v>
      </c>
      <c r="E2581" s="1">
        <v>2025</v>
      </c>
      <c r="F2581" s="11">
        <v>0.41110000000000002</v>
      </c>
      <c r="G2581">
        <v>42.59</v>
      </c>
      <c r="H2581">
        <v>13.04</v>
      </c>
      <c r="I2581" s="2">
        <v>100199.27</v>
      </c>
      <c r="J2581" s="2">
        <v>89554.72</v>
      </c>
      <c r="K2581" s="2">
        <f>Table1[[#This Row],[Salary_after]]-Table1[[#This Row],[Salary_before]]</f>
        <v>-10644.550000000003</v>
      </c>
      <c r="L2581" s="11">
        <v>-0.10619999999999999</v>
      </c>
      <c r="M2581" s="11">
        <v>-3.7499999999999999E-2</v>
      </c>
      <c r="N2581">
        <v>81.59</v>
      </c>
      <c r="O2581">
        <v>46.77</v>
      </c>
      <c r="P2581">
        <v>5</v>
      </c>
      <c r="Q2581" t="s">
        <v>25</v>
      </c>
      <c r="R2581">
        <v>27.074999999999999</v>
      </c>
      <c r="S2581">
        <v>10.62</v>
      </c>
      <c r="T2581" s="4">
        <v>23.541999999999899</v>
      </c>
      <c r="U2581" s="4">
        <v>19.227146999999999</v>
      </c>
      <c r="V2581" t="str">
        <f>IF(Table1[[#This Row],[ai_disruption_intensity]]&gt;70,"High",
IF(Table1[[#This Row],[ai_disruption_intensity]]&gt;40,"Medium","Low"))</f>
        <v>Low</v>
      </c>
      <c r="W2581" t="str">
        <f>IF(Table1[[#This Row],[skill_gap_index]]&gt;70,"Large Gap",
IF(Table1[[#This Row],[skill_gap_index]]&gt;40,"Medium Gap","Small Gap"))</f>
        <v>Small Gap</v>
      </c>
      <c r="X2581" s="3" t="str">
        <f>IF(Table1[[#This Row],[automation_risk_percent]]&gt;0.7,"Highly Automatable",
IF(Table1[[#This Row],[automation_risk_percent]]&gt;0.4,"Moderate Risk","Safe Job"))</f>
        <v>Moderate Risk</v>
      </c>
    </row>
    <row r="2582" spans="1:24" x14ac:dyDescent="0.3">
      <c r="A2582">
        <v>9128</v>
      </c>
      <c r="B2582" t="s">
        <v>46</v>
      </c>
      <c r="C2582" t="s">
        <v>30</v>
      </c>
      <c r="D2582" t="s">
        <v>36</v>
      </c>
      <c r="E2582" s="1">
        <v>2026</v>
      </c>
      <c r="F2582" s="11">
        <v>9.5500000000000002E-2</v>
      </c>
      <c r="G2582">
        <v>10.65</v>
      </c>
      <c r="H2582">
        <v>97.6</v>
      </c>
      <c r="I2582" s="2">
        <v>144481.56</v>
      </c>
      <c r="J2582" s="2">
        <v>143659.70000000001</v>
      </c>
      <c r="K2582" s="2">
        <f>Table1[[#This Row],[Salary_after]]-Table1[[#This Row],[Salary_before]]</f>
        <v>-821.85999999998603</v>
      </c>
      <c r="L2582" s="11">
        <v>-5.6999999999999993E-3</v>
      </c>
      <c r="M2582" s="11">
        <v>0.17120000000000002</v>
      </c>
      <c r="N2582">
        <v>51.11</v>
      </c>
      <c r="O2582">
        <v>0.25</v>
      </c>
      <c r="P2582">
        <v>1</v>
      </c>
      <c r="Q2582" t="s">
        <v>21</v>
      </c>
      <c r="R2582">
        <v>53.574999999999903</v>
      </c>
      <c r="S2582">
        <v>0.56999999999999995</v>
      </c>
      <c r="T2582" s="4">
        <v>33.270999999999901</v>
      </c>
      <c r="U2582" s="4">
        <v>2.3875E-2</v>
      </c>
      <c r="V2582" t="str">
        <f>IF(Table1[[#This Row],[ai_disruption_intensity]]&gt;70,"High",
IF(Table1[[#This Row],[ai_disruption_intensity]]&gt;40,"Medium","Low"))</f>
        <v>Low</v>
      </c>
      <c r="W2582" t="str">
        <f>IF(Table1[[#This Row],[skill_gap_index]]&gt;70,"Large Gap",
IF(Table1[[#This Row],[skill_gap_index]]&gt;40,"Medium Gap","Small Gap"))</f>
        <v>Large Gap</v>
      </c>
      <c r="X2582" s="3" t="str">
        <f>IF(Table1[[#This Row],[automation_risk_percent]]&gt;0.7,"Highly Automatable",
IF(Table1[[#This Row],[automation_risk_percent]]&gt;0.4,"Moderate Risk","Safe Job"))</f>
        <v>Safe Job</v>
      </c>
    </row>
    <row r="2583" spans="1:24" x14ac:dyDescent="0.3">
      <c r="A2583">
        <v>9129</v>
      </c>
      <c r="B2583" t="s">
        <v>26</v>
      </c>
      <c r="C2583" t="s">
        <v>23</v>
      </c>
      <c r="D2583" t="s">
        <v>47</v>
      </c>
      <c r="E2583" s="1">
        <v>2025</v>
      </c>
      <c r="F2583" s="11">
        <v>0.43420000000000003</v>
      </c>
      <c r="G2583">
        <v>46.4</v>
      </c>
      <c r="H2583">
        <v>79.069999999999993</v>
      </c>
      <c r="I2583" s="2">
        <v>69114.36</v>
      </c>
      <c r="J2583" s="2">
        <v>67939.86</v>
      </c>
      <c r="K2583" s="2">
        <f>Table1[[#This Row],[Salary_after]]-Table1[[#This Row],[Salary_before]]</f>
        <v>-1174.5</v>
      </c>
      <c r="L2583" s="11">
        <v>-1.7000000000000001E-2</v>
      </c>
      <c r="M2583" s="11">
        <v>-5.5099999999999996E-2</v>
      </c>
      <c r="N2583">
        <v>42.61</v>
      </c>
      <c r="O2583">
        <v>75.31</v>
      </c>
      <c r="P2583">
        <v>4</v>
      </c>
      <c r="Q2583" t="s">
        <v>25</v>
      </c>
      <c r="R2583">
        <v>61.244999999999997</v>
      </c>
      <c r="S2583">
        <v>1.7</v>
      </c>
      <c r="T2583" s="4">
        <v>41.598999999999997</v>
      </c>
      <c r="U2583" s="4">
        <v>32.699601999999999</v>
      </c>
      <c r="V2583" t="str">
        <f>IF(Table1[[#This Row],[ai_disruption_intensity]]&gt;70,"High",
IF(Table1[[#This Row],[ai_disruption_intensity]]&gt;40,"Medium","Low"))</f>
        <v>Low</v>
      </c>
      <c r="W2583" t="str">
        <f>IF(Table1[[#This Row],[skill_gap_index]]&gt;70,"Large Gap",
IF(Table1[[#This Row],[skill_gap_index]]&gt;40,"Medium Gap","Small Gap"))</f>
        <v>Large Gap</v>
      </c>
      <c r="X2583" s="3" t="str">
        <f>IF(Table1[[#This Row],[automation_risk_percent]]&gt;0.7,"Highly Automatable",
IF(Table1[[#This Row],[automation_risk_percent]]&gt;0.4,"Moderate Risk","Safe Job"))</f>
        <v>Moderate Risk</v>
      </c>
    </row>
    <row r="2584" spans="1:24" x14ac:dyDescent="0.3">
      <c r="A2584">
        <v>9130</v>
      </c>
      <c r="B2584" t="s">
        <v>43</v>
      </c>
      <c r="C2584" t="s">
        <v>30</v>
      </c>
      <c r="D2584" t="s">
        <v>24</v>
      </c>
      <c r="E2584" s="1">
        <v>2025</v>
      </c>
      <c r="F2584" s="11">
        <v>0.2606</v>
      </c>
      <c r="G2584">
        <v>22.29</v>
      </c>
      <c r="H2584">
        <v>44.02</v>
      </c>
      <c r="I2584" s="2">
        <v>105358.75</v>
      </c>
      <c r="J2584" s="2">
        <v>99009.46</v>
      </c>
      <c r="K2584" s="2">
        <f>Table1[[#This Row],[Salary_after]]-Table1[[#This Row],[Salary_before]]</f>
        <v>-6349.2899999999936</v>
      </c>
      <c r="L2584" s="11">
        <v>-6.0299999999999999E-2</v>
      </c>
      <c r="M2584" s="11">
        <v>1.5800000000000002E-2</v>
      </c>
      <c r="N2584">
        <v>49.52</v>
      </c>
      <c r="O2584">
        <v>96.19</v>
      </c>
      <c r="P2584">
        <v>3</v>
      </c>
      <c r="Q2584" t="s">
        <v>21</v>
      </c>
      <c r="R2584">
        <v>35.04</v>
      </c>
      <c r="S2584">
        <v>6.03</v>
      </c>
      <c r="T2584" s="4">
        <v>25.439</v>
      </c>
      <c r="U2584" s="4">
        <v>25.067113999999901</v>
      </c>
      <c r="V2584" t="str">
        <f>IF(Table1[[#This Row],[ai_disruption_intensity]]&gt;70,"High",
IF(Table1[[#This Row],[ai_disruption_intensity]]&gt;40,"Medium","Low"))</f>
        <v>Low</v>
      </c>
      <c r="W2584" t="str">
        <f>IF(Table1[[#This Row],[skill_gap_index]]&gt;70,"Large Gap",
IF(Table1[[#This Row],[skill_gap_index]]&gt;40,"Medium Gap","Small Gap"))</f>
        <v>Medium Gap</v>
      </c>
      <c r="X2584" s="3" t="str">
        <f>IF(Table1[[#This Row],[automation_risk_percent]]&gt;0.7,"Highly Automatable",
IF(Table1[[#This Row],[automation_risk_percent]]&gt;0.4,"Moderate Risk","Safe Job"))</f>
        <v>Safe Job</v>
      </c>
    </row>
    <row r="2585" spans="1:24" x14ac:dyDescent="0.3">
      <c r="A2585">
        <v>9131</v>
      </c>
      <c r="B2585" t="s">
        <v>46</v>
      </c>
      <c r="C2585" t="s">
        <v>19</v>
      </c>
      <c r="D2585" t="s">
        <v>42</v>
      </c>
      <c r="E2585" s="1">
        <v>2025</v>
      </c>
      <c r="F2585" s="11">
        <v>0.67709999999999992</v>
      </c>
      <c r="G2585">
        <v>73.36</v>
      </c>
      <c r="H2585">
        <v>77.72</v>
      </c>
      <c r="I2585" s="2">
        <v>54421.22</v>
      </c>
      <c r="J2585" s="2">
        <v>61803.45</v>
      </c>
      <c r="K2585" s="2">
        <f>Table1[[#This Row],[Salary_after]]-Table1[[#This Row],[Salary_before]]</f>
        <v>7382.2299999999959</v>
      </c>
      <c r="L2585" s="11">
        <v>0.1356</v>
      </c>
      <c r="M2585" s="11">
        <v>-0.11230000000000001</v>
      </c>
      <c r="N2585">
        <v>77.540000000000006</v>
      </c>
      <c r="O2585">
        <v>16.66</v>
      </c>
      <c r="P2585">
        <v>3</v>
      </c>
      <c r="Q2585" t="s">
        <v>37</v>
      </c>
      <c r="R2585">
        <v>72.715000000000003</v>
      </c>
      <c r="S2585">
        <v>13.56</v>
      </c>
      <c r="T2585" s="4">
        <v>54.467999999999897</v>
      </c>
      <c r="U2585" s="4">
        <v>11.2804859999999</v>
      </c>
      <c r="V2585" t="str">
        <f>IF(Table1[[#This Row],[ai_disruption_intensity]]&gt;70,"High",
IF(Table1[[#This Row],[ai_disruption_intensity]]&gt;40,"Medium","Low"))</f>
        <v>Low</v>
      </c>
      <c r="W2585" t="str">
        <f>IF(Table1[[#This Row],[skill_gap_index]]&gt;70,"Large Gap",
IF(Table1[[#This Row],[skill_gap_index]]&gt;40,"Medium Gap","Small Gap"))</f>
        <v>Large Gap</v>
      </c>
      <c r="X2585" s="3" t="str">
        <f>IF(Table1[[#This Row],[automation_risk_percent]]&gt;0.7,"Highly Automatable",
IF(Table1[[#This Row],[automation_risk_percent]]&gt;0.4,"Moderate Risk","Safe Job"))</f>
        <v>Moderate Risk</v>
      </c>
    </row>
    <row r="2586" spans="1:24" x14ac:dyDescent="0.3">
      <c r="A2586">
        <v>9132</v>
      </c>
      <c r="B2586" t="s">
        <v>46</v>
      </c>
      <c r="C2586" t="s">
        <v>33</v>
      </c>
      <c r="D2586" t="s">
        <v>20</v>
      </c>
      <c r="E2586" s="1">
        <v>2026</v>
      </c>
      <c r="F2586" s="11">
        <v>0.32030000000000003</v>
      </c>
      <c r="G2586">
        <v>27.71</v>
      </c>
      <c r="H2586">
        <v>63.34</v>
      </c>
      <c r="I2586" s="2">
        <v>122659.46</v>
      </c>
      <c r="J2586" s="2">
        <v>129050.09</v>
      </c>
      <c r="K2586" s="2">
        <f>Table1[[#This Row],[Salary_after]]-Table1[[#This Row],[Salary_before]]</f>
        <v>6390.6299999999901</v>
      </c>
      <c r="L2586" s="11">
        <v>5.21E-2</v>
      </c>
      <c r="M2586" s="11">
        <v>0.12470000000000001</v>
      </c>
      <c r="N2586">
        <v>24.32</v>
      </c>
      <c r="O2586">
        <v>82.84</v>
      </c>
      <c r="P2586">
        <v>3</v>
      </c>
      <c r="Q2586" t="s">
        <v>25</v>
      </c>
      <c r="R2586">
        <v>47.685000000000002</v>
      </c>
      <c r="S2586">
        <v>5.21</v>
      </c>
      <c r="T2586" s="4">
        <v>33.377000000000002</v>
      </c>
      <c r="U2586" s="4">
        <v>26.533652</v>
      </c>
      <c r="V2586" t="str">
        <f>IF(Table1[[#This Row],[ai_disruption_intensity]]&gt;70,"High",
IF(Table1[[#This Row],[ai_disruption_intensity]]&gt;40,"Medium","Low"))</f>
        <v>Low</v>
      </c>
      <c r="W2586" t="str">
        <f>IF(Table1[[#This Row],[skill_gap_index]]&gt;70,"Large Gap",
IF(Table1[[#This Row],[skill_gap_index]]&gt;40,"Medium Gap","Small Gap"))</f>
        <v>Medium Gap</v>
      </c>
      <c r="X2586" s="3" t="str">
        <f>IF(Table1[[#This Row],[automation_risk_percent]]&gt;0.7,"Highly Automatable",
IF(Table1[[#This Row],[automation_risk_percent]]&gt;0.4,"Moderate Risk","Safe Job"))</f>
        <v>Safe Job</v>
      </c>
    </row>
    <row r="2587" spans="1:24" x14ac:dyDescent="0.3">
      <c r="A2587">
        <v>9133</v>
      </c>
      <c r="B2587" t="s">
        <v>39</v>
      </c>
      <c r="C2587" t="s">
        <v>19</v>
      </c>
      <c r="D2587" t="s">
        <v>20</v>
      </c>
      <c r="E2587" s="1">
        <v>2025</v>
      </c>
      <c r="F2587" s="11">
        <v>0.33409999999999995</v>
      </c>
      <c r="G2587">
        <v>37.9</v>
      </c>
      <c r="H2587">
        <v>25.09</v>
      </c>
      <c r="I2587" s="2">
        <v>87084.39</v>
      </c>
      <c r="J2587" s="2">
        <v>82923.81</v>
      </c>
      <c r="K2587" s="2">
        <f>Table1[[#This Row],[Salary_after]]-Table1[[#This Row],[Salary_before]]</f>
        <v>-4160.5800000000017</v>
      </c>
      <c r="L2587" s="11">
        <v>-4.7800000000000002E-2</v>
      </c>
      <c r="M2587" s="11">
        <v>5.79E-2</v>
      </c>
      <c r="N2587">
        <v>91.33</v>
      </c>
      <c r="O2587">
        <v>51.15</v>
      </c>
      <c r="P2587">
        <v>5</v>
      </c>
      <c r="Q2587" t="s">
        <v>25</v>
      </c>
      <c r="R2587">
        <v>29.25</v>
      </c>
      <c r="S2587">
        <v>4.78</v>
      </c>
      <c r="T2587" s="4">
        <v>22.324999999999999</v>
      </c>
      <c r="U2587" s="4">
        <v>17.0892149999999</v>
      </c>
      <c r="V2587" t="str">
        <f>IF(Table1[[#This Row],[ai_disruption_intensity]]&gt;70,"High",
IF(Table1[[#This Row],[ai_disruption_intensity]]&gt;40,"Medium","Low"))</f>
        <v>Low</v>
      </c>
      <c r="W2587" t="str">
        <f>IF(Table1[[#This Row],[skill_gap_index]]&gt;70,"Large Gap",
IF(Table1[[#This Row],[skill_gap_index]]&gt;40,"Medium Gap","Small Gap"))</f>
        <v>Small Gap</v>
      </c>
      <c r="X2587" s="3" t="str">
        <f>IF(Table1[[#This Row],[automation_risk_percent]]&gt;0.7,"Highly Automatable",
IF(Table1[[#This Row],[automation_risk_percent]]&gt;0.4,"Moderate Risk","Safe Job"))</f>
        <v>Safe Job</v>
      </c>
    </row>
    <row r="2588" spans="1:24" x14ac:dyDescent="0.3">
      <c r="A2588">
        <v>9134</v>
      </c>
      <c r="B2588" t="s">
        <v>18</v>
      </c>
      <c r="C2588" t="s">
        <v>27</v>
      </c>
      <c r="D2588" t="s">
        <v>32</v>
      </c>
      <c r="E2588" s="1">
        <v>2025</v>
      </c>
      <c r="F2588" s="11">
        <v>0.23440000000000003</v>
      </c>
      <c r="G2588">
        <v>20.260000000000002</v>
      </c>
      <c r="H2588">
        <v>68.650000000000006</v>
      </c>
      <c r="I2588" s="2">
        <v>39807.97</v>
      </c>
      <c r="J2588" s="2">
        <v>45963.49</v>
      </c>
      <c r="K2588" s="2">
        <f>Table1[[#This Row],[Salary_after]]-Table1[[#This Row],[Salary_before]]</f>
        <v>6155.5199999999968</v>
      </c>
      <c r="L2588" s="11">
        <v>0.15460000000000002</v>
      </c>
      <c r="M2588" s="11">
        <v>-0.18100000000000002</v>
      </c>
      <c r="N2588">
        <v>30.98</v>
      </c>
      <c r="O2588">
        <v>12.92</v>
      </c>
      <c r="P2588">
        <v>4</v>
      </c>
      <c r="Q2588" t="s">
        <v>21</v>
      </c>
      <c r="R2588">
        <v>46.045000000000002</v>
      </c>
      <c r="S2588">
        <v>15.46</v>
      </c>
      <c r="T2588" s="4">
        <v>34.609000000000002</v>
      </c>
      <c r="U2588" s="4">
        <v>3.028448</v>
      </c>
      <c r="V2588" t="str">
        <f>IF(Table1[[#This Row],[ai_disruption_intensity]]&gt;70,"High",
IF(Table1[[#This Row],[ai_disruption_intensity]]&gt;40,"Medium","Low"))</f>
        <v>Low</v>
      </c>
      <c r="W2588" t="str">
        <f>IF(Table1[[#This Row],[skill_gap_index]]&gt;70,"Large Gap",
IF(Table1[[#This Row],[skill_gap_index]]&gt;40,"Medium Gap","Small Gap"))</f>
        <v>Medium Gap</v>
      </c>
      <c r="X2588" s="3" t="str">
        <f>IF(Table1[[#This Row],[automation_risk_percent]]&gt;0.7,"Highly Automatable",
IF(Table1[[#This Row],[automation_risk_percent]]&gt;0.4,"Moderate Risk","Safe Job"))</f>
        <v>Safe Job</v>
      </c>
    </row>
    <row r="2589" spans="1:24" x14ac:dyDescent="0.3">
      <c r="A2589">
        <v>9135</v>
      </c>
      <c r="B2589" t="s">
        <v>46</v>
      </c>
      <c r="C2589" t="s">
        <v>38</v>
      </c>
      <c r="D2589" t="s">
        <v>20</v>
      </c>
      <c r="E2589" s="1">
        <v>2025</v>
      </c>
      <c r="F2589" s="11">
        <v>0.34350000000000003</v>
      </c>
      <c r="G2589">
        <v>32.159999999999997</v>
      </c>
      <c r="H2589">
        <v>14.02</v>
      </c>
      <c r="I2589" s="2">
        <v>55244.83</v>
      </c>
      <c r="J2589" s="2">
        <v>49149.36</v>
      </c>
      <c r="K2589" s="2">
        <f>Table1[[#This Row],[Salary_after]]-Table1[[#This Row],[Salary_before]]</f>
        <v>-6095.4700000000012</v>
      </c>
      <c r="L2589" s="11">
        <v>-0.1103</v>
      </c>
      <c r="M2589" s="11">
        <v>4.1299999999999996E-2</v>
      </c>
      <c r="N2589">
        <v>94.25</v>
      </c>
      <c r="O2589">
        <v>77.55</v>
      </c>
      <c r="P2589">
        <v>4</v>
      </c>
      <c r="Q2589" t="s">
        <v>25</v>
      </c>
      <c r="R2589">
        <v>24.184999999999999</v>
      </c>
      <c r="S2589">
        <v>11.03</v>
      </c>
      <c r="T2589" s="4">
        <v>21.254999999999999</v>
      </c>
      <c r="U2589" s="4">
        <v>26.638425000000002</v>
      </c>
      <c r="V2589" t="str">
        <f>IF(Table1[[#This Row],[ai_disruption_intensity]]&gt;70,"High",
IF(Table1[[#This Row],[ai_disruption_intensity]]&gt;40,"Medium","Low"))</f>
        <v>Low</v>
      </c>
      <c r="W2589" t="str">
        <f>IF(Table1[[#This Row],[skill_gap_index]]&gt;70,"Large Gap",
IF(Table1[[#This Row],[skill_gap_index]]&gt;40,"Medium Gap","Small Gap"))</f>
        <v>Small Gap</v>
      </c>
      <c r="X2589" s="3" t="str">
        <f>IF(Table1[[#This Row],[automation_risk_percent]]&gt;0.7,"Highly Automatable",
IF(Table1[[#This Row],[automation_risk_percent]]&gt;0.4,"Moderate Risk","Safe Job"))</f>
        <v>Safe Job</v>
      </c>
    </row>
    <row r="2590" spans="1:24" x14ac:dyDescent="0.3">
      <c r="A2590">
        <v>9137</v>
      </c>
      <c r="B2590" t="s">
        <v>39</v>
      </c>
      <c r="C2590" t="s">
        <v>33</v>
      </c>
      <c r="D2590" t="s">
        <v>24</v>
      </c>
      <c r="E2590" s="1">
        <v>2026</v>
      </c>
      <c r="F2590" s="11">
        <v>0.47789999999999999</v>
      </c>
      <c r="G2590">
        <v>51.19</v>
      </c>
      <c r="H2590">
        <v>21.9</v>
      </c>
      <c r="I2590" s="2">
        <v>30032.47</v>
      </c>
      <c r="J2590" s="2">
        <v>26888.6</v>
      </c>
      <c r="K2590" s="2">
        <f>Table1[[#This Row],[Salary_after]]-Table1[[#This Row],[Salary_before]]</f>
        <v>-3143.8700000000026</v>
      </c>
      <c r="L2590" s="11">
        <v>-0.1047</v>
      </c>
      <c r="M2590" s="11">
        <v>-6.3E-3</v>
      </c>
      <c r="N2590">
        <v>49.17</v>
      </c>
      <c r="O2590">
        <v>9.09</v>
      </c>
      <c r="P2590">
        <v>4</v>
      </c>
      <c r="Q2590" t="s">
        <v>25</v>
      </c>
      <c r="R2590">
        <v>34.844999999999999</v>
      </c>
      <c r="S2590">
        <v>10.47</v>
      </c>
      <c r="T2590" s="4">
        <v>28.826999999999899</v>
      </c>
      <c r="U2590" s="4">
        <v>4.3441109999999998</v>
      </c>
      <c r="V2590" t="str">
        <f>IF(Table1[[#This Row],[ai_disruption_intensity]]&gt;70,"High",
IF(Table1[[#This Row],[ai_disruption_intensity]]&gt;40,"Medium","Low"))</f>
        <v>Low</v>
      </c>
      <c r="W2590" t="str">
        <f>IF(Table1[[#This Row],[skill_gap_index]]&gt;70,"Large Gap",
IF(Table1[[#This Row],[skill_gap_index]]&gt;40,"Medium Gap","Small Gap"))</f>
        <v>Small Gap</v>
      </c>
      <c r="X2590" s="3" t="str">
        <f>IF(Table1[[#This Row],[automation_risk_percent]]&gt;0.7,"Highly Automatable",
IF(Table1[[#This Row],[automation_risk_percent]]&gt;0.4,"Moderate Risk","Safe Job"))</f>
        <v>Moderate Risk</v>
      </c>
    </row>
    <row r="2591" spans="1:24" x14ac:dyDescent="0.3">
      <c r="A2591">
        <v>9142</v>
      </c>
      <c r="B2591" t="s">
        <v>44</v>
      </c>
      <c r="C2591" t="s">
        <v>19</v>
      </c>
      <c r="D2591" t="s">
        <v>35</v>
      </c>
      <c r="E2591" s="1">
        <v>2025</v>
      </c>
      <c r="F2591" s="11">
        <v>0.34770000000000001</v>
      </c>
      <c r="G2591">
        <v>32.64</v>
      </c>
      <c r="H2591">
        <v>72.78</v>
      </c>
      <c r="I2591" s="2">
        <v>40878.080000000002</v>
      </c>
      <c r="J2591" s="2">
        <v>38068.29</v>
      </c>
      <c r="K2591" s="2">
        <f>Table1[[#This Row],[Salary_after]]-Table1[[#This Row],[Salary_before]]</f>
        <v>-2809.7900000000009</v>
      </c>
      <c r="L2591" s="11">
        <v>-6.8699999999999997E-2</v>
      </c>
      <c r="M2591" s="11">
        <v>-9.3599999999999989E-2</v>
      </c>
      <c r="N2591">
        <v>37.69</v>
      </c>
      <c r="O2591">
        <v>61.48</v>
      </c>
      <c r="P2591">
        <v>5</v>
      </c>
      <c r="Q2591" t="s">
        <v>25</v>
      </c>
      <c r="R2591">
        <v>53.774999999999999</v>
      </c>
      <c r="S2591">
        <v>6.87</v>
      </c>
      <c r="T2591" s="4">
        <v>37.802999999999997</v>
      </c>
      <c r="U2591" s="4">
        <v>21.376595999999999</v>
      </c>
      <c r="V2591" t="str">
        <f>IF(Table1[[#This Row],[ai_disruption_intensity]]&gt;70,"High",
IF(Table1[[#This Row],[ai_disruption_intensity]]&gt;40,"Medium","Low"))</f>
        <v>Low</v>
      </c>
      <c r="W2591" t="str">
        <f>IF(Table1[[#This Row],[skill_gap_index]]&gt;70,"Large Gap",
IF(Table1[[#This Row],[skill_gap_index]]&gt;40,"Medium Gap","Small Gap"))</f>
        <v>Large Gap</v>
      </c>
      <c r="X2591" s="3" t="str">
        <f>IF(Table1[[#This Row],[automation_risk_percent]]&gt;0.7,"Highly Automatable",
IF(Table1[[#This Row],[automation_risk_percent]]&gt;0.4,"Moderate Risk","Safe Job"))</f>
        <v>Safe Job</v>
      </c>
    </row>
    <row r="2592" spans="1:24" x14ac:dyDescent="0.3">
      <c r="A2592">
        <v>9143</v>
      </c>
      <c r="B2592" t="s">
        <v>43</v>
      </c>
      <c r="C2592" t="s">
        <v>38</v>
      </c>
      <c r="D2592" t="s">
        <v>24</v>
      </c>
      <c r="E2592" s="1">
        <v>2025</v>
      </c>
      <c r="F2592" s="11">
        <v>0.2082</v>
      </c>
      <c r="G2592">
        <v>22.65</v>
      </c>
      <c r="H2592">
        <v>92.49</v>
      </c>
      <c r="I2592" s="2">
        <v>130333.04</v>
      </c>
      <c r="J2592" s="2">
        <v>146202.04</v>
      </c>
      <c r="K2592" s="2">
        <f>Table1[[#This Row],[Salary_after]]-Table1[[#This Row],[Salary_before]]</f>
        <v>15869.000000000015</v>
      </c>
      <c r="L2592" s="11">
        <v>0.12179999999999999</v>
      </c>
      <c r="M2592" s="11">
        <v>-2.5999999999999999E-3</v>
      </c>
      <c r="N2592">
        <v>54.53</v>
      </c>
      <c r="O2592">
        <v>26.98</v>
      </c>
      <c r="P2592">
        <v>5</v>
      </c>
      <c r="Q2592" t="s">
        <v>21</v>
      </c>
      <c r="R2592">
        <v>56.655000000000001</v>
      </c>
      <c r="S2592">
        <v>12.18</v>
      </c>
      <c r="T2592" s="4">
        <v>39.728999999999999</v>
      </c>
      <c r="U2592" s="4">
        <v>5.6172360000000001</v>
      </c>
      <c r="V2592" t="str">
        <f>IF(Table1[[#This Row],[ai_disruption_intensity]]&gt;70,"High",
IF(Table1[[#This Row],[ai_disruption_intensity]]&gt;40,"Medium","Low"))</f>
        <v>Low</v>
      </c>
      <c r="W2592" t="str">
        <f>IF(Table1[[#This Row],[skill_gap_index]]&gt;70,"Large Gap",
IF(Table1[[#This Row],[skill_gap_index]]&gt;40,"Medium Gap","Small Gap"))</f>
        <v>Large Gap</v>
      </c>
      <c r="X2592" s="3" t="str">
        <f>IF(Table1[[#This Row],[automation_risk_percent]]&gt;0.7,"Highly Automatable",
IF(Table1[[#This Row],[automation_risk_percent]]&gt;0.4,"Moderate Risk","Safe Job"))</f>
        <v>Safe Job</v>
      </c>
    </row>
    <row r="2593" spans="1:24" x14ac:dyDescent="0.3">
      <c r="A2593">
        <v>9145</v>
      </c>
      <c r="B2593" t="s">
        <v>29</v>
      </c>
      <c r="C2593" t="s">
        <v>33</v>
      </c>
      <c r="D2593" t="s">
        <v>35</v>
      </c>
      <c r="E2593" s="1">
        <v>2025</v>
      </c>
      <c r="F2593" s="11">
        <v>0.7854000000000001</v>
      </c>
      <c r="G2593">
        <v>74.959999999999994</v>
      </c>
      <c r="H2593">
        <v>89.3</v>
      </c>
      <c r="I2593" s="2">
        <v>82841.3</v>
      </c>
      <c r="J2593" s="2">
        <v>70573.539999999994</v>
      </c>
      <c r="K2593" s="2">
        <f>Table1[[#This Row],[Salary_after]]-Table1[[#This Row],[Salary_before]]</f>
        <v>-12267.760000000009</v>
      </c>
      <c r="L2593" s="11">
        <v>-0.14810000000000001</v>
      </c>
      <c r="M2593" s="11">
        <v>-0.1421</v>
      </c>
      <c r="N2593">
        <v>85.39</v>
      </c>
      <c r="O2593">
        <v>1.05</v>
      </c>
      <c r="P2593">
        <v>5</v>
      </c>
      <c r="Q2593" t="s">
        <v>37</v>
      </c>
      <c r="R2593">
        <v>83.92</v>
      </c>
      <c r="S2593">
        <v>14.81</v>
      </c>
      <c r="T2593" s="4">
        <v>62.649000000000001</v>
      </c>
      <c r="U2593" s="4">
        <v>0.82467000000000001</v>
      </c>
      <c r="V2593" t="str">
        <f>IF(Table1[[#This Row],[ai_disruption_intensity]]&gt;70,"High",
IF(Table1[[#This Row],[ai_disruption_intensity]]&gt;40,"Medium","Low"))</f>
        <v>Low</v>
      </c>
      <c r="W2593" t="str">
        <f>IF(Table1[[#This Row],[skill_gap_index]]&gt;70,"Large Gap",
IF(Table1[[#This Row],[skill_gap_index]]&gt;40,"Medium Gap","Small Gap"))</f>
        <v>Large Gap</v>
      </c>
      <c r="X2593" s="3" t="str">
        <f>IF(Table1[[#This Row],[automation_risk_percent]]&gt;0.7,"Highly Automatable",
IF(Table1[[#This Row],[automation_risk_percent]]&gt;0.4,"Moderate Risk","Safe Job"))</f>
        <v>Highly Automatable</v>
      </c>
    </row>
    <row r="2594" spans="1:24" x14ac:dyDescent="0.3">
      <c r="A2594">
        <v>9146</v>
      </c>
      <c r="B2594" t="s">
        <v>45</v>
      </c>
      <c r="C2594" t="s">
        <v>38</v>
      </c>
      <c r="D2594" t="s">
        <v>42</v>
      </c>
      <c r="E2594" s="1">
        <v>2025</v>
      </c>
      <c r="F2594" s="11">
        <v>0.59340000000000004</v>
      </c>
      <c r="G2594">
        <v>52.34</v>
      </c>
      <c r="H2594">
        <v>88.21</v>
      </c>
      <c r="I2594" s="2">
        <v>75111.199999999997</v>
      </c>
      <c r="J2594" s="2">
        <v>84603.83</v>
      </c>
      <c r="K2594" s="2">
        <f>Table1[[#This Row],[Salary_after]]-Table1[[#This Row],[Salary_before]]</f>
        <v>9492.6300000000047</v>
      </c>
      <c r="L2594" s="11">
        <v>0.12640000000000001</v>
      </c>
      <c r="M2594" s="11">
        <v>-4.5700000000000005E-2</v>
      </c>
      <c r="N2594">
        <v>75.02</v>
      </c>
      <c r="O2594">
        <v>63.37</v>
      </c>
      <c r="P2594">
        <v>2</v>
      </c>
      <c r="Q2594" t="s">
        <v>25</v>
      </c>
      <c r="R2594">
        <v>73.775000000000006</v>
      </c>
      <c r="S2594">
        <v>12.64</v>
      </c>
      <c r="T2594" s="4">
        <v>53.991</v>
      </c>
      <c r="U2594" s="4">
        <v>37.603757999999999</v>
      </c>
      <c r="V2594" t="str">
        <f>IF(Table1[[#This Row],[ai_disruption_intensity]]&gt;70,"High",
IF(Table1[[#This Row],[ai_disruption_intensity]]&gt;40,"Medium","Low"))</f>
        <v>Low</v>
      </c>
      <c r="W2594" t="str">
        <f>IF(Table1[[#This Row],[skill_gap_index]]&gt;70,"Large Gap",
IF(Table1[[#This Row],[skill_gap_index]]&gt;40,"Medium Gap","Small Gap"))</f>
        <v>Large Gap</v>
      </c>
      <c r="X2594" s="3" t="str">
        <f>IF(Table1[[#This Row],[automation_risk_percent]]&gt;0.7,"Highly Automatable",
IF(Table1[[#This Row],[automation_risk_percent]]&gt;0.4,"Moderate Risk","Safe Job"))</f>
        <v>Moderate Risk</v>
      </c>
    </row>
    <row r="2595" spans="1:24" x14ac:dyDescent="0.3">
      <c r="A2595">
        <v>9159</v>
      </c>
      <c r="B2595" t="s">
        <v>18</v>
      </c>
      <c r="C2595" t="s">
        <v>23</v>
      </c>
      <c r="D2595" t="s">
        <v>42</v>
      </c>
      <c r="E2595" s="1">
        <v>2026</v>
      </c>
      <c r="F2595" s="11">
        <v>0.61499999999999999</v>
      </c>
      <c r="G2595">
        <v>64.11</v>
      </c>
      <c r="H2595">
        <v>19.829999999999998</v>
      </c>
      <c r="I2595" s="2">
        <v>110412.47</v>
      </c>
      <c r="J2595" s="2">
        <v>116153.11</v>
      </c>
      <c r="K2595" s="2">
        <f>Table1[[#This Row],[Salary_after]]-Table1[[#This Row],[Salary_before]]</f>
        <v>5740.6399999999994</v>
      </c>
      <c r="L2595" s="11">
        <v>5.2000000000000005E-2</v>
      </c>
      <c r="M2595" s="11">
        <v>0.1255</v>
      </c>
      <c r="N2595">
        <v>61.74</v>
      </c>
      <c r="O2595">
        <v>71.459999999999994</v>
      </c>
      <c r="P2595">
        <v>5</v>
      </c>
      <c r="Q2595" t="s">
        <v>37</v>
      </c>
      <c r="R2595">
        <v>40.664999999999999</v>
      </c>
      <c r="S2595">
        <v>5.2</v>
      </c>
      <c r="T2595" s="4">
        <v>32.109000000000002</v>
      </c>
      <c r="U2595" s="4">
        <v>43.947899999999997</v>
      </c>
      <c r="V2595" t="str">
        <f>IF(Table1[[#This Row],[ai_disruption_intensity]]&gt;70,"High",
IF(Table1[[#This Row],[ai_disruption_intensity]]&gt;40,"Medium","Low"))</f>
        <v>Medium</v>
      </c>
      <c r="W2595" t="str">
        <f>IF(Table1[[#This Row],[skill_gap_index]]&gt;70,"Large Gap",
IF(Table1[[#This Row],[skill_gap_index]]&gt;40,"Medium Gap","Small Gap"))</f>
        <v>Small Gap</v>
      </c>
      <c r="X2595" s="3" t="str">
        <f>IF(Table1[[#This Row],[automation_risk_percent]]&gt;0.7,"Highly Automatable",
IF(Table1[[#This Row],[automation_risk_percent]]&gt;0.4,"Moderate Risk","Safe Job"))</f>
        <v>Moderate Risk</v>
      </c>
    </row>
    <row r="2596" spans="1:24" x14ac:dyDescent="0.3">
      <c r="A2596">
        <v>9162</v>
      </c>
      <c r="B2596" t="s">
        <v>26</v>
      </c>
      <c r="C2596" t="s">
        <v>40</v>
      </c>
      <c r="D2596" t="s">
        <v>24</v>
      </c>
      <c r="E2596" s="1">
        <v>2025</v>
      </c>
      <c r="F2596" s="11">
        <v>0.05</v>
      </c>
      <c r="G2596">
        <v>5.37</v>
      </c>
      <c r="H2596">
        <v>31.44</v>
      </c>
      <c r="I2596" s="2">
        <v>32429.1</v>
      </c>
      <c r="J2596" s="2">
        <v>35631.589999999997</v>
      </c>
      <c r="K2596" s="2">
        <f>Table1[[#This Row],[Salary_after]]-Table1[[#This Row],[Salary_before]]</f>
        <v>3202.489999999998</v>
      </c>
      <c r="L2596" s="11">
        <v>9.8800000000000013E-2</v>
      </c>
      <c r="M2596" s="11">
        <v>1.7000000000000001E-3</v>
      </c>
      <c r="N2596">
        <v>32.29</v>
      </c>
      <c r="O2596">
        <v>63.35</v>
      </c>
      <c r="P2596">
        <v>2</v>
      </c>
      <c r="Q2596" t="s">
        <v>21</v>
      </c>
      <c r="R2596">
        <v>18.22</v>
      </c>
      <c r="S2596">
        <v>9.8800000000000008</v>
      </c>
      <c r="T2596" s="4">
        <v>14.396000000000001</v>
      </c>
      <c r="U2596" s="4">
        <v>3.1675</v>
      </c>
      <c r="V2596" t="str">
        <f>IF(Table1[[#This Row],[ai_disruption_intensity]]&gt;70,"High",
IF(Table1[[#This Row],[ai_disruption_intensity]]&gt;40,"Medium","Low"))</f>
        <v>Low</v>
      </c>
      <c r="W2596" t="str">
        <f>IF(Table1[[#This Row],[skill_gap_index]]&gt;70,"Large Gap",
IF(Table1[[#This Row],[skill_gap_index]]&gt;40,"Medium Gap","Small Gap"))</f>
        <v>Small Gap</v>
      </c>
      <c r="X2596" s="3" t="str">
        <f>IF(Table1[[#This Row],[automation_risk_percent]]&gt;0.7,"Highly Automatable",
IF(Table1[[#This Row],[automation_risk_percent]]&gt;0.4,"Moderate Risk","Safe Job"))</f>
        <v>Safe Job</v>
      </c>
    </row>
    <row r="2597" spans="1:24" x14ac:dyDescent="0.3">
      <c r="A2597">
        <v>9168</v>
      </c>
      <c r="B2597" t="s">
        <v>39</v>
      </c>
      <c r="C2597" t="s">
        <v>27</v>
      </c>
      <c r="D2597" t="s">
        <v>36</v>
      </c>
      <c r="E2597" s="1">
        <v>2025</v>
      </c>
      <c r="F2597" s="11">
        <v>0.68420000000000003</v>
      </c>
      <c r="G2597">
        <v>56.54</v>
      </c>
      <c r="H2597">
        <v>24.05</v>
      </c>
      <c r="I2597" s="2">
        <v>32521.48</v>
      </c>
      <c r="J2597" s="2">
        <v>31966.49</v>
      </c>
      <c r="K2597" s="2">
        <f>Table1[[#This Row],[Salary_after]]-Table1[[#This Row],[Salary_before]]</f>
        <v>-554.98999999999796</v>
      </c>
      <c r="L2597" s="11">
        <v>-1.7100000000000001E-2</v>
      </c>
      <c r="M2597" s="11">
        <v>-0.13189999999999999</v>
      </c>
      <c r="N2597">
        <v>53.84</v>
      </c>
      <c r="O2597">
        <v>99.53</v>
      </c>
      <c r="P2597">
        <v>5</v>
      </c>
      <c r="Q2597" t="s">
        <v>37</v>
      </c>
      <c r="R2597">
        <v>46.234999999999999</v>
      </c>
      <c r="S2597">
        <v>1.71</v>
      </c>
      <c r="T2597" s="4">
        <v>35.095999999999997</v>
      </c>
      <c r="U2597" s="4">
        <v>68.098426000000003</v>
      </c>
      <c r="V2597" t="str">
        <f>IF(Table1[[#This Row],[ai_disruption_intensity]]&gt;70,"High",
IF(Table1[[#This Row],[ai_disruption_intensity]]&gt;40,"Medium","Low"))</f>
        <v>Medium</v>
      </c>
      <c r="W2597" t="str">
        <f>IF(Table1[[#This Row],[skill_gap_index]]&gt;70,"Large Gap",
IF(Table1[[#This Row],[skill_gap_index]]&gt;40,"Medium Gap","Small Gap"))</f>
        <v>Small Gap</v>
      </c>
      <c r="X2597" s="3" t="str">
        <f>IF(Table1[[#This Row],[automation_risk_percent]]&gt;0.7,"Highly Automatable",
IF(Table1[[#This Row],[automation_risk_percent]]&gt;0.4,"Moderate Risk","Safe Job"))</f>
        <v>Moderate Risk</v>
      </c>
    </row>
    <row r="2598" spans="1:24" x14ac:dyDescent="0.3">
      <c r="A2598">
        <v>9172</v>
      </c>
      <c r="B2598" t="s">
        <v>18</v>
      </c>
      <c r="C2598" t="s">
        <v>34</v>
      </c>
      <c r="D2598" t="s">
        <v>28</v>
      </c>
      <c r="E2598" s="1">
        <v>2026</v>
      </c>
      <c r="F2598" s="11">
        <v>0.71799999999999997</v>
      </c>
      <c r="G2598">
        <v>72.02</v>
      </c>
      <c r="H2598">
        <v>33.53</v>
      </c>
      <c r="I2598" s="2">
        <v>123523.09</v>
      </c>
      <c r="J2598" s="2">
        <v>122687.47</v>
      </c>
      <c r="K2598" s="2">
        <f>Table1[[#This Row],[Salary_after]]-Table1[[#This Row],[Salary_before]]</f>
        <v>-835.61999999999534</v>
      </c>
      <c r="L2598" s="11">
        <v>-6.8000000000000005E-3</v>
      </c>
      <c r="M2598" s="11">
        <v>-5.0099999999999999E-2</v>
      </c>
      <c r="N2598">
        <v>59.39</v>
      </c>
      <c r="O2598">
        <v>77.510000000000005</v>
      </c>
      <c r="P2598">
        <v>2</v>
      </c>
      <c r="Q2598" t="s">
        <v>37</v>
      </c>
      <c r="R2598">
        <v>52.664999999999999</v>
      </c>
      <c r="S2598">
        <v>0.68</v>
      </c>
      <c r="T2598" s="4">
        <v>38.982999999999997</v>
      </c>
      <c r="U2598" s="4">
        <v>55.652180000000001</v>
      </c>
      <c r="V2598" t="str">
        <f>IF(Table1[[#This Row],[ai_disruption_intensity]]&gt;70,"High",
IF(Table1[[#This Row],[ai_disruption_intensity]]&gt;40,"Medium","Low"))</f>
        <v>Medium</v>
      </c>
      <c r="W2598" t="str">
        <f>IF(Table1[[#This Row],[skill_gap_index]]&gt;70,"Large Gap",
IF(Table1[[#This Row],[skill_gap_index]]&gt;40,"Medium Gap","Small Gap"))</f>
        <v>Small Gap</v>
      </c>
      <c r="X2598" s="3" t="str">
        <f>IF(Table1[[#This Row],[automation_risk_percent]]&gt;0.7,"Highly Automatable",
IF(Table1[[#This Row],[automation_risk_percent]]&gt;0.4,"Moderate Risk","Safe Job"))</f>
        <v>Highly Automatable</v>
      </c>
    </row>
    <row r="2599" spans="1:24" x14ac:dyDescent="0.3">
      <c r="A2599">
        <v>9174</v>
      </c>
      <c r="B2599" t="s">
        <v>22</v>
      </c>
      <c r="C2599" t="s">
        <v>27</v>
      </c>
      <c r="D2599" t="s">
        <v>42</v>
      </c>
      <c r="E2599" s="1">
        <v>2025</v>
      </c>
      <c r="F2599" s="11">
        <v>0.57799999999999996</v>
      </c>
      <c r="G2599">
        <v>50.22</v>
      </c>
      <c r="H2599">
        <v>81.59</v>
      </c>
      <c r="I2599" s="2">
        <v>120895.28</v>
      </c>
      <c r="J2599" s="2">
        <v>124930.01</v>
      </c>
      <c r="K2599" s="2">
        <f>Table1[[#This Row],[Salary_after]]-Table1[[#This Row],[Salary_before]]</f>
        <v>4034.7299999999959</v>
      </c>
      <c r="L2599" s="11">
        <v>3.3399999999999999E-2</v>
      </c>
      <c r="M2599" s="11">
        <v>0.1118</v>
      </c>
      <c r="N2599">
        <v>88.92</v>
      </c>
      <c r="O2599">
        <v>16.22</v>
      </c>
      <c r="P2599">
        <v>4</v>
      </c>
      <c r="Q2599" t="s">
        <v>25</v>
      </c>
      <c r="R2599">
        <v>69.694999999999993</v>
      </c>
      <c r="S2599">
        <v>3.34</v>
      </c>
      <c r="T2599" s="4">
        <v>48.598999999999997</v>
      </c>
      <c r="U2599" s="4">
        <v>9.3751599999999993</v>
      </c>
      <c r="V2599" t="str">
        <f>IF(Table1[[#This Row],[ai_disruption_intensity]]&gt;70,"High",
IF(Table1[[#This Row],[ai_disruption_intensity]]&gt;40,"Medium","Low"))</f>
        <v>Low</v>
      </c>
      <c r="W2599" t="str">
        <f>IF(Table1[[#This Row],[skill_gap_index]]&gt;70,"Large Gap",
IF(Table1[[#This Row],[skill_gap_index]]&gt;40,"Medium Gap","Small Gap"))</f>
        <v>Large Gap</v>
      </c>
      <c r="X2599" s="3" t="str">
        <f>IF(Table1[[#This Row],[automation_risk_percent]]&gt;0.7,"Highly Automatable",
IF(Table1[[#This Row],[automation_risk_percent]]&gt;0.4,"Moderate Risk","Safe Job"))</f>
        <v>Moderate Risk</v>
      </c>
    </row>
    <row r="2600" spans="1:24" x14ac:dyDescent="0.3">
      <c r="A2600">
        <v>9175</v>
      </c>
      <c r="B2600" t="s">
        <v>46</v>
      </c>
      <c r="C2600" t="s">
        <v>40</v>
      </c>
      <c r="D2600" t="s">
        <v>35</v>
      </c>
      <c r="E2600" s="1">
        <v>2025</v>
      </c>
      <c r="F2600" s="11">
        <v>0.5696</v>
      </c>
      <c r="G2600">
        <v>67.27</v>
      </c>
      <c r="H2600">
        <v>81.55</v>
      </c>
      <c r="I2600" s="2">
        <v>103827.35</v>
      </c>
      <c r="J2600" s="2">
        <v>96375.67</v>
      </c>
      <c r="K2600" s="2">
        <f>Table1[[#This Row],[Salary_after]]-Table1[[#This Row],[Salary_before]]</f>
        <v>-7451.6800000000076</v>
      </c>
      <c r="L2600" s="11">
        <v>-7.1800000000000003E-2</v>
      </c>
      <c r="M2600" s="11">
        <v>8.4000000000000005E-2</v>
      </c>
      <c r="N2600">
        <v>40.6</v>
      </c>
      <c r="O2600">
        <v>74.88</v>
      </c>
      <c r="P2600">
        <v>1</v>
      </c>
      <c r="Q2600" t="s">
        <v>25</v>
      </c>
      <c r="R2600">
        <v>69.254999999999995</v>
      </c>
      <c r="S2600">
        <v>7.18</v>
      </c>
      <c r="T2600" s="4">
        <v>49.402999999999999</v>
      </c>
      <c r="U2600" s="4">
        <v>42.651647999999902</v>
      </c>
      <c r="V2600" t="str">
        <f>IF(Table1[[#This Row],[ai_disruption_intensity]]&gt;70,"High",
IF(Table1[[#This Row],[ai_disruption_intensity]]&gt;40,"Medium","Low"))</f>
        <v>Medium</v>
      </c>
      <c r="W2600" t="str">
        <f>IF(Table1[[#This Row],[skill_gap_index]]&gt;70,"Large Gap",
IF(Table1[[#This Row],[skill_gap_index]]&gt;40,"Medium Gap","Small Gap"))</f>
        <v>Large Gap</v>
      </c>
      <c r="X2600" s="3" t="str">
        <f>IF(Table1[[#This Row],[automation_risk_percent]]&gt;0.7,"Highly Automatable",
IF(Table1[[#This Row],[automation_risk_percent]]&gt;0.4,"Moderate Risk","Safe Job"))</f>
        <v>Moderate Risk</v>
      </c>
    </row>
    <row r="2601" spans="1:24" x14ac:dyDescent="0.3">
      <c r="A2601">
        <v>9176</v>
      </c>
      <c r="B2601" t="s">
        <v>22</v>
      </c>
      <c r="C2601" t="s">
        <v>38</v>
      </c>
      <c r="D2601" t="s">
        <v>35</v>
      </c>
      <c r="E2601" s="1">
        <v>2026</v>
      </c>
      <c r="F2601" s="11">
        <v>0.62529999999999997</v>
      </c>
      <c r="G2601">
        <v>54.27</v>
      </c>
      <c r="H2601">
        <v>47.01</v>
      </c>
      <c r="I2601" s="2">
        <v>126877.33</v>
      </c>
      <c r="J2601" s="2">
        <v>128089.46</v>
      </c>
      <c r="K2601" s="2">
        <f>Table1[[#This Row],[Salary_after]]-Table1[[#This Row],[Salary_before]]</f>
        <v>1212.1300000000047</v>
      </c>
      <c r="L2601" s="11">
        <v>9.5999999999999992E-3</v>
      </c>
      <c r="M2601" s="11">
        <v>8.6400000000000005E-2</v>
      </c>
      <c r="N2601">
        <v>67.430000000000007</v>
      </c>
      <c r="O2601">
        <v>46.93</v>
      </c>
      <c r="P2601">
        <v>3</v>
      </c>
      <c r="Q2601" t="s">
        <v>37</v>
      </c>
      <c r="R2601">
        <v>54.769999999999897</v>
      </c>
      <c r="S2601">
        <v>0.96</v>
      </c>
      <c r="T2601" s="4">
        <v>39.402999999999999</v>
      </c>
      <c r="U2601" s="4">
        <v>29.345329</v>
      </c>
      <c r="V2601" t="str">
        <f>IF(Table1[[#This Row],[ai_disruption_intensity]]&gt;70,"High",
IF(Table1[[#This Row],[ai_disruption_intensity]]&gt;40,"Medium","Low"))</f>
        <v>Low</v>
      </c>
      <c r="W2601" t="str">
        <f>IF(Table1[[#This Row],[skill_gap_index]]&gt;70,"Large Gap",
IF(Table1[[#This Row],[skill_gap_index]]&gt;40,"Medium Gap","Small Gap"))</f>
        <v>Medium Gap</v>
      </c>
      <c r="X2601" s="3" t="str">
        <f>IF(Table1[[#This Row],[automation_risk_percent]]&gt;0.7,"Highly Automatable",
IF(Table1[[#This Row],[automation_risk_percent]]&gt;0.4,"Moderate Risk","Safe Job"))</f>
        <v>Moderate Risk</v>
      </c>
    </row>
    <row r="2602" spans="1:24" x14ac:dyDescent="0.3">
      <c r="A2602">
        <v>9177</v>
      </c>
      <c r="B2602" t="s">
        <v>46</v>
      </c>
      <c r="C2602" t="s">
        <v>27</v>
      </c>
      <c r="D2602" t="s">
        <v>36</v>
      </c>
      <c r="E2602" s="1">
        <v>2025</v>
      </c>
      <c r="F2602" s="11">
        <v>0.37729999999999997</v>
      </c>
      <c r="G2602">
        <v>31.68</v>
      </c>
      <c r="H2602">
        <v>34.96</v>
      </c>
      <c r="I2602" s="2">
        <v>90875.24</v>
      </c>
      <c r="J2602" s="2">
        <v>83220.66</v>
      </c>
      <c r="K2602" s="2">
        <f>Table1[[#This Row],[Salary_after]]-Table1[[#This Row],[Salary_before]]</f>
        <v>-7654.5800000000017</v>
      </c>
      <c r="L2602" s="11">
        <v>-8.4199999999999997E-2</v>
      </c>
      <c r="M2602" s="11">
        <v>-8.5199999999999998E-2</v>
      </c>
      <c r="N2602">
        <v>97.41</v>
      </c>
      <c r="O2602">
        <v>0.52</v>
      </c>
      <c r="P2602">
        <v>1</v>
      </c>
      <c r="Q2602" t="s">
        <v>25</v>
      </c>
      <c r="R2602">
        <v>36.344999999999999</v>
      </c>
      <c r="S2602">
        <v>8.42</v>
      </c>
      <c r="T2602" s="4">
        <v>28.105999999999899</v>
      </c>
      <c r="U2602" s="4">
        <v>0.19619599999999901</v>
      </c>
      <c r="V2602" t="str">
        <f>IF(Table1[[#This Row],[ai_disruption_intensity]]&gt;70,"High",
IF(Table1[[#This Row],[ai_disruption_intensity]]&gt;40,"Medium","Low"))</f>
        <v>Low</v>
      </c>
      <c r="W2602" t="str">
        <f>IF(Table1[[#This Row],[skill_gap_index]]&gt;70,"Large Gap",
IF(Table1[[#This Row],[skill_gap_index]]&gt;40,"Medium Gap","Small Gap"))</f>
        <v>Small Gap</v>
      </c>
      <c r="X2602" s="3" t="str">
        <f>IF(Table1[[#This Row],[automation_risk_percent]]&gt;0.7,"Highly Automatable",
IF(Table1[[#This Row],[automation_risk_percent]]&gt;0.4,"Moderate Risk","Safe Job"))</f>
        <v>Safe Job</v>
      </c>
    </row>
    <row r="2603" spans="1:24" x14ac:dyDescent="0.3">
      <c r="A2603">
        <v>9180</v>
      </c>
      <c r="B2603" t="s">
        <v>45</v>
      </c>
      <c r="C2603" t="s">
        <v>34</v>
      </c>
      <c r="D2603" t="s">
        <v>32</v>
      </c>
      <c r="E2603" s="1">
        <v>2026</v>
      </c>
      <c r="F2603" s="11">
        <v>0.46259999999999996</v>
      </c>
      <c r="G2603">
        <v>47.11</v>
      </c>
      <c r="H2603">
        <v>82.15</v>
      </c>
      <c r="I2603" s="2">
        <v>54608.52</v>
      </c>
      <c r="J2603" s="2">
        <v>52463.28</v>
      </c>
      <c r="K2603" s="2">
        <f>Table1[[#This Row],[Salary_after]]-Table1[[#This Row],[Salary_before]]</f>
        <v>-2145.239999999998</v>
      </c>
      <c r="L2603" s="11">
        <v>-3.9300000000000002E-2</v>
      </c>
      <c r="M2603" s="11">
        <v>0.1515</v>
      </c>
      <c r="N2603">
        <v>76.95</v>
      </c>
      <c r="O2603">
        <v>33.57</v>
      </c>
      <c r="P2603">
        <v>4</v>
      </c>
      <c r="Q2603" t="s">
        <v>25</v>
      </c>
      <c r="R2603">
        <v>64.204999999999998</v>
      </c>
      <c r="S2603">
        <v>3.93</v>
      </c>
      <c r="T2603" s="4">
        <v>44.328000000000003</v>
      </c>
      <c r="U2603" s="4">
        <v>15.529482</v>
      </c>
      <c r="V2603" t="str">
        <f>IF(Table1[[#This Row],[ai_disruption_intensity]]&gt;70,"High",
IF(Table1[[#This Row],[ai_disruption_intensity]]&gt;40,"Medium","Low"))</f>
        <v>Low</v>
      </c>
      <c r="W2603" t="str">
        <f>IF(Table1[[#This Row],[skill_gap_index]]&gt;70,"Large Gap",
IF(Table1[[#This Row],[skill_gap_index]]&gt;40,"Medium Gap","Small Gap"))</f>
        <v>Large Gap</v>
      </c>
      <c r="X2603" s="3" t="str">
        <f>IF(Table1[[#This Row],[automation_risk_percent]]&gt;0.7,"Highly Automatable",
IF(Table1[[#This Row],[automation_risk_percent]]&gt;0.4,"Moderate Risk","Safe Job"))</f>
        <v>Moderate Risk</v>
      </c>
    </row>
    <row r="2604" spans="1:24" x14ac:dyDescent="0.3">
      <c r="A2604">
        <v>9188</v>
      </c>
      <c r="B2604" t="s">
        <v>22</v>
      </c>
      <c r="C2604" t="s">
        <v>33</v>
      </c>
      <c r="D2604" t="s">
        <v>32</v>
      </c>
      <c r="E2604" s="1">
        <v>2025</v>
      </c>
      <c r="F2604" s="11">
        <v>0.6028</v>
      </c>
      <c r="G2604">
        <v>48.9</v>
      </c>
      <c r="H2604">
        <v>94.42</v>
      </c>
      <c r="I2604" s="2">
        <v>62281.43</v>
      </c>
      <c r="J2604" s="2">
        <v>62445.55</v>
      </c>
      <c r="K2604" s="2">
        <f>Table1[[#This Row],[Salary_after]]-Table1[[#This Row],[Salary_before]]</f>
        <v>164.12000000000262</v>
      </c>
      <c r="L2604" s="11">
        <v>2.5999999999999999E-3</v>
      </c>
      <c r="M2604" s="11">
        <v>0.14029999999999998</v>
      </c>
      <c r="N2604">
        <v>54.93</v>
      </c>
      <c r="O2604">
        <v>45.06</v>
      </c>
      <c r="P2604">
        <v>5</v>
      </c>
      <c r="Q2604" t="s">
        <v>37</v>
      </c>
      <c r="R2604">
        <v>77.349999999999994</v>
      </c>
      <c r="S2604">
        <v>0.26</v>
      </c>
      <c r="T2604" s="4">
        <v>52.515999999999998</v>
      </c>
      <c r="U2604" s="4">
        <v>27.162168000000001</v>
      </c>
      <c r="V2604" t="str">
        <f>IF(Table1[[#This Row],[ai_disruption_intensity]]&gt;70,"High",
IF(Table1[[#This Row],[ai_disruption_intensity]]&gt;40,"Medium","Low"))</f>
        <v>Low</v>
      </c>
      <c r="W2604" t="str">
        <f>IF(Table1[[#This Row],[skill_gap_index]]&gt;70,"Large Gap",
IF(Table1[[#This Row],[skill_gap_index]]&gt;40,"Medium Gap","Small Gap"))</f>
        <v>Large Gap</v>
      </c>
      <c r="X2604" s="3" t="str">
        <f>IF(Table1[[#This Row],[automation_risk_percent]]&gt;0.7,"Highly Automatable",
IF(Table1[[#This Row],[automation_risk_percent]]&gt;0.4,"Moderate Risk","Safe Job"))</f>
        <v>Moderate Risk</v>
      </c>
    </row>
    <row r="2605" spans="1:24" x14ac:dyDescent="0.3">
      <c r="A2605">
        <v>9193</v>
      </c>
      <c r="B2605" t="s">
        <v>43</v>
      </c>
      <c r="C2605" t="s">
        <v>23</v>
      </c>
      <c r="D2605" t="s">
        <v>28</v>
      </c>
      <c r="E2605" s="1">
        <v>2026</v>
      </c>
      <c r="F2605" s="11">
        <v>0.28949999999999998</v>
      </c>
      <c r="G2605">
        <v>34.26</v>
      </c>
      <c r="H2605">
        <v>1.77</v>
      </c>
      <c r="I2605" s="2">
        <v>75580.73</v>
      </c>
      <c r="J2605" s="2">
        <v>73725.11</v>
      </c>
      <c r="K2605" s="2">
        <f>Table1[[#This Row],[Salary_after]]-Table1[[#This Row],[Salary_before]]</f>
        <v>-1855.6199999999953</v>
      </c>
      <c r="L2605" s="11">
        <v>-2.46E-2</v>
      </c>
      <c r="M2605" s="11">
        <v>-3.44E-2</v>
      </c>
      <c r="N2605">
        <v>15.15</v>
      </c>
      <c r="O2605">
        <v>64.5</v>
      </c>
      <c r="P2605">
        <v>5</v>
      </c>
      <c r="Q2605" t="s">
        <v>21</v>
      </c>
      <c r="R2605">
        <v>15.36</v>
      </c>
      <c r="S2605">
        <v>2.46</v>
      </c>
      <c r="T2605" s="4">
        <v>12.849</v>
      </c>
      <c r="U2605" s="4">
        <v>18.672749999999901</v>
      </c>
      <c r="V2605" t="str">
        <f>IF(Table1[[#This Row],[ai_disruption_intensity]]&gt;70,"High",
IF(Table1[[#This Row],[ai_disruption_intensity]]&gt;40,"Medium","Low"))</f>
        <v>Low</v>
      </c>
      <c r="W2605" t="str">
        <f>IF(Table1[[#This Row],[skill_gap_index]]&gt;70,"Large Gap",
IF(Table1[[#This Row],[skill_gap_index]]&gt;40,"Medium Gap","Small Gap"))</f>
        <v>Small Gap</v>
      </c>
      <c r="X2605" s="3" t="str">
        <f>IF(Table1[[#This Row],[automation_risk_percent]]&gt;0.7,"Highly Automatable",
IF(Table1[[#This Row],[automation_risk_percent]]&gt;0.4,"Moderate Risk","Safe Job"))</f>
        <v>Safe Job</v>
      </c>
    </row>
    <row r="2606" spans="1:24" x14ac:dyDescent="0.3">
      <c r="A2606">
        <v>9198</v>
      </c>
      <c r="B2606" t="s">
        <v>43</v>
      </c>
      <c r="C2606" t="s">
        <v>19</v>
      </c>
      <c r="D2606" t="s">
        <v>20</v>
      </c>
      <c r="E2606" s="1">
        <v>2025</v>
      </c>
      <c r="F2606" s="11">
        <v>0.71609999999999996</v>
      </c>
      <c r="G2606">
        <v>81.89</v>
      </c>
      <c r="H2606">
        <v>28.95</v>
      </c>
      <c r="I2606" s="2">
        <v>95013.14</v>
      </c>
      <c r="J2606" s="2">
        <v>115433.03</v>
      </c>
      <c r="K2606" s="2">
        <f>Table1[[#This Row],[Salary_after]]-Table1[[#This Row],[Salary_before]]</f>
        <v>20419.89</v>
      </c>
      <c r="L2606" s="11">
        <v>0.21489999999999998</v>
      </c>
      <c r="M2606" s="11">
        <v>1.46E-2</v>
      </c>
      <c r="N2606">
        <v>29.25</v>
      </c>
      <c r="O2606">
        <v>8.51</v>
      </c>
      <c r="P2606">
        <v>3</v>
      </c>
      <c r="Q2606" t="s">
        <v>37</v>
      </c>
      <c r="R2606">
        <v>50.28</v>
      </c>
      <c r="S2606">
        <v>21.49</v>
      </c>
      <c r="T2606" s="4">
        <v>43.775999999999897</v>
      </c>
      <c r="U2606" s="4">
        <v>6.0940109999999903</v>
      </c>
      <c r="V2606" t="str">
        <f>IF(Table1[[#This Row],[ai_disruption_intensity]]&gt;70,"High",
IF(Table1[[#This Row],[ai_disruption_intensity]]&gt;40,"Medium","Low"))</f>
        <v>Low</v>
      </c>
      <c r="W2606" t="str">
        <f>IF(Table1[[#This Row],[skill_gap_index]]&gt;70,"Large Gap",
IF(Table1[[#This Row],[skill_gap_index]]&gt;40,"Medium Gap","Small Gap"))</f>
        <v>Small Gap</v>
      </c>
      <c r="X2606" s="3" t="str">
        <f>IF(Table1[[#This Row],[automation_risk_percent]]&gt;0.7,"Highly Automatable",
IF(Table1[[#This Row],[automation_risk_percent]]&gt;0.4,"Moderate Risk","Safe Job"))</f>
        <v>Highly Automatable</v>
      </c>
    </row>
    <row r="2607" spans="1:24" x14ac:dyDescent="0.3">
      <c r="A2607">
        <v>9201</v>
      </c>
      <c r="B2607" t="s">
        <v>43</v>
      </c>
      <c r="C2607" t="s">
        <v>30</v>
      </c>
      <c r="D2607" t="s">
        <v>24</v>
      </c>
      <c r="E2607" s="1">
        <v>2026</v>
      </c>
      <c r="F2607" s="11">
        <v>0.47689999999999999</v>
      </c>
      <c r="G2607">
        <v>48.1</v>
      </c>
      <c r="H2607">
        <v>70.989999999999995</v>
      </c>
      <c r="I2607" s="2">
        <v>149984.06</v>
      </c>
      <c r="J2607" s="2">
        <v>129759.48</v>
      </c>
      <c r="K2607" s="2">
        <f>Table1[[#This Row],[Salary_after]]-Table1[[#This Row],[Salary_before]]</f>
        <v>-20224.580000000002</v>
      </c>
      <c r="L2607" s="11">
        <v>-0.1348</v>
      </c>
      <c r="M2607" s="11">
        <v>0.15920000000000001</v>
      </c>
      <c r="N2607">
        <v>96.07</v>
      </c>
      <c r="O2607">
        <v>57.13</v>
      </c>
      <c r="P2607">
        <v>1</v>
      </c>
      <c r="Q2607" t="s">
        <v>25</v>
      </c>
      <c r="R2607">
        <v>59.339999999999897</v>
      </c>
      <c r="S2607">
        <v>13.48</v>
      </c>
      <c r="T2607" s="4">
        <v>44.416999999999902</v>
      </c>
      <c r="U2607" s="4">
        <v>27.245297000000001</v>
      </c>
      <c r="V2607" t="str">
        <f>IF(Table1[[#This Row],[ai_disruption_intensity]]&gt;70,"High",
IF(Table1[[#This Row],[ai_disruption_intensity]]&gt;40,"Medium","Low"))</f>
        <v>Low</v>
      </c>
      <c r="W2607" t="str">
        <f>IF(Table1[[#This Row],[skill_gap_index]]&gt;70,"Large Gap",
IF(Table1[[#This Row],[skill_gap_index]]&gt;40,"Medium Gap","Small Gap"))</f>
        <v>Large Gap</v>
      </c>
      <c r="X2607" s="3" t="str">
        <f>IF(Table1[[#This Row],[automation_risk_percent]]&gt;0.7,"Highly Automatable",
IF(Table1[[#This Row],[automation_risk_percent]]&gt;0.4,"Moderate Risk","Safe Job"))</f>
        <v>Moderate Risk</v>
      </c>
    </row>
    <row r="2608" spans="1:24" x14ac:dyDescent="0.3">
      <c r="A2608">
        <v>9207</v>
      </c>
      <c r="B2608" t="s">
        <v>44</v>
      </c>
      <c r="C2608" t="s">
        <v>33</v>
      </c>
      <c r="D2608" t="s">
        <v>31</v>
      </c>
      <c r="E2608" s="1">
        <v>2026</v>
      </c>
      <c r="F2608" s="11">
        <v>0.25590000000000002</v>
      </c>
      <c r="G2608">
        <v>24.18</v>
      </c>
      <c r="H2608">
        <v>16.62</v>
      </c>
      <c r="I2608" s="2">
        <v>35967.9</v>
      </c>
      <c r="J2608" s="2">
        <v>38870.49</v>
      </c>
      <c r="K2608" s="2">
        <f>Table1[[#This Row],[Salary_after]]-Table1[[#This Row],[Salary_before]]</f>
        <v>2902.5899999999965</v>
      </c>
      <c r="L2608" s="11">
        <v>8.0700000000000008E-2</v>
      </c>
      <c r="M2608" s="11">
        <v>-6.9999999999999993E-3</v>
      </c>
      <c r="N2608">
        <v>34.049999999999997</v>
      </c>
      <c r="O2608">
        <v>69.63</v>
      </c>
      <c r="P2608">
        <v>5</v>
      </c>
      <c r="Q2608" t="s">
        <v>21</v>
      </c>
      <c r="R2608">
        <v>21.105</v>
      </c>
      <c r="S2608">
        <v>8.07</v>
      </c>
      <c r="T2608" s="4">
        <v>17.643000000000001</v>
      </c>
      <c r="U2608" s="4">
        <v>17.818317</v>
      </c>
      <c r="V2608" t="str">
        <f>IF(Table1[[#This Row],[ai_disruption_intensity]]&gt;70,"High",
IF(Table1[[#This Row],[ai_disruption_intensity]]&gt;40,"Medium","Low"))</f>
        <v>Low</v>
      </c>
      <c r="W2608" t="str">
        <f>IF(Table1[[#This Row],[skill_gap_index]]&gt;70,"Large Gap",
IF(Table1[[#This Row],[skill_gap_index]]&gt;40,"Medium Gap","Small Gap"))</f>
        <v>Small Gap</v>
      </c>
      <c r="X2608" s="3" t="str">
        <f>IF(Table1[[#This Row],[automation_risk_percent]]&gt;0.7,"Highly Automatable",
IF(Table1[[#This Row],[automation_risk_percent]]&gt;0.4,"Moderate Risk","Safe Job"))</f>
        <v>Safe Job</v>
      </c>
    </row>
    <row r="2609" spans="1:24" x14ac:dyDescent="0.3">
      <c r="A2609">
        <v>9213</v>
      </c>
      <c r="B2609" t="s">
        <v>43</v>
      </c>
      <c r="C2609" t="s">
        <v>27</v>
      </c>
      <c r="D2609" t="s">
        <v>24</v>
      </c>
      <c r="E2609" s="1">
        <v>2025</v>
      </c>
      <c r="F2609" s="11">
        <v>0.52570000000000006</v>
      </c>
      <c r="G2609">
        <v>54.73</v>
      </c>
      <c r="H2609">
        <v>67.489999999999995</v>
      </c>
      <c r="I2609" s="2">
        <v>57654.59</v>
      </c>
      <c r="J2609" s="2">
        <v>58734.39</v>
      </c>
      <c r="K2609" s="2">
        <f>Table1[[#This Row],[Salary_after]]-Table1[[#This Row],[Salary_before]]</f>
        <v>1079.8000000000029</v>
      </c>
      <c r="L2609" s="11">
        <v>1.8700000000000001E-2</v>
      </c>
      <c r="M2609" s="11">
        <v>0.22420000000000001</v>
      </c>
      <c r="N2609">
        <v>49.36</v>
      </c>
      <c r="O2609">
        <v>64.790000000000006</v>
      </c>
      <c r="P2609">
        <v>4</v>
      </c>
      <c r="Q2609" t="s">
        <v>25</v>
      </c>
      <c r="R2609">
        <v>60.03</v>
      </c>
      <c r="S2609">
        <v>1.87</v>
      </c>
      <c r="T2609" s="4">
        <v>41.835999999999999</v>
      </c>
      <c r="U2609" s="4">
        <v>34.060102999999998</v>
      </c>
      <c r="V2609" t="str">
        <f>IF(Table1[[#This Row],[ai_disruption_intensity]]&gt;70,"High",
IF(Table1[[#This Row],[ai_disruption_intensity]]&gt;40,"Medium","Low"))</f>
        <v>Low</v>
      </c>
      <c r="W2609" t="str">
        <f>IF(Table1[[#This Row],[skill_gap_index]]&gt;70,"Large Gap",
IF(Table1[[#This Row],[skill_gap_index]]&gt;40,"Medium Gap","Small Gap"))</f>
        <v>Medium Gap</v>
      </c>
      <c r="X2609" s="3" t="str">
        <f>IF(Table1[[#This Row],[automation_risk_percent]]&gt;0.7,"Highly Automatable",
IF(Table1[[#This Row],[automation_risk_percent]]&gt;0.4,"Moderate Risk","Safe Job"))</f>
        <v>Moderate Risk</v>
      </c>
    </row>
    <row r="2610" spans="1:24" x14ac:dyDescent="0.3">
      <c r="A2610">
        <v>9215</v>
      </c>
      <c r="B2610" t="s">
        <v>44</v>
      </c>
      <c r="C2610" t="s">
        <v>38</v>
      </c>
      <c r="D2610" t="s">
        <v>32</v>
      </c>
      <c r="E2610" s="1">
        <v>2026</v>
      </c>
      <c r="F2610" s="11">
        <v>0.13780000000000001</v>
      </c>
      <c r="G2610">
        <v>13.14</v>
      </c>
      <c r="H2610">
        <v>66.87</v>
      </c>
      <c r="I2610" s="2">
        <v>142613.53</v>
      </c>
      <c r="J2610" s="2">
        <v>150984.09</v>
      </c>
      <c r="K2610" s="2">
        <f>Table1[[#This Row],[Salary_after]]-Table1[[#This Row],[Salary_before]]</f>
        <v>8370.5599999999977</v>
      </c>
      <c r="L2610" s="11">
        <v>5.8700000000000002E-2</v>
      </c>
      <c r="M2610" s="11">
        <v>0.17460000000000001</v>
      </c>
      <c r="N2610">
        <v>48.09</v>
      </c>
      <c r="O2610">
        <v>12.31</v>
      </c>
      <c r="P2610">
        <v>2</v>
      </c>
      <c r="Q2610" t="s">
        <v>21</v>
      </c>
      <c r="R2610">
        <v>40.325000000000003</v>
      </c>
      <c r="S2610">
        <v>5.87</v>
      </c>
      <c r="T2610" s="4">
        <v>27.334</v>
      </c>
      <c r="U2610" s="4">
        <v>1.696318</v>
      </c>
      <c r="V2610" t="str">
        <f>IF(Table1[[#This Row],[ai_disruption_intensity]]&gt;70,"High",
IF(Table1[[#This Row],[ai_disruption_intensity]]&gt;40,"Medium","Low"))</f>
        <v>Low</v>
      </c>
      <c r="W2610" t="str">
        <f>IF(Table1[[#This Row],[skill_gap_index]]&gt;70,"Large Gap",
IF(Table1[[#This Row],[skill_gap_index]]&gt;40,"Medium Gap","Small Gap"))</f>
        <v>Medium Gap</v>
      </c>
      <c r="X2610" s="3" t="str">
        <f>IF(Table1[[#This Row],[automation_risk_percent]]&gt;0.7,"Highly Automatable",
IF(Table1[[#This Row],[automation_risk_percent]]&gt;0.4,"Moderate Risk","Safe Job"))</f>
        <v>Safe Job</v>
      </c>
    </row>
    <row r="2611" spans="1:24" x14ac:dyDescent="0.3">
      <c r="A2611">
        <v>9216</v>
      </c>
      <c r="B2611" t="s">
        <v>22</v>
      </c>
      <c r="C2611" t="s">
        <v>40</v>
      </c>
      <c r="D2611" t="s">
        <v>28</v>
      </c>
      <c r="E2611" s="1">
        <v>2025</v>
      </c>
      <c r="F2611" s="11">
        <v>0.27560000000000001</v>
      </c>
      <c r="G2611">
        <v>25.03</v>
      </c>
      <c r="H2611">
        <v>42.79</v>
      </c>
      <c r="I2611" s="2">
        <v>103180.92</v>
      </c>
      <c r="J2611" s="2">
        <v>94698.48</v>
      </c>
      <c r="K2611" s="2">
        <f>Table1[[#This Row],[Salary_after]]-Table1[[#This Row],[Salary_before]]</f>
        <v>-8482.4400000000023</v>
      </c>
      <c r="L2611" s="11">
        <v>-8.2200000000000009E-2</v>
      </c>
      <c r="M2611" s="11">
        <v>0.26940000000000003</v>
      </c>
      <c r="N2611">
        <v>34.72</v>
      </c>
      <c r="O2611">
        <v>5.65</v>
      </c>
      <c r="P2611">
        <v>5</v>
      </c>
      <c r="Q2611" t="s">
        <v>21</v>
      </c>
      <c r="R2611">
        <v>35.174999999999997</v>
      </c>
      <c r="S2611">
        <v>8.2200000000000006</v>
      </c>
      <c r="T2611" s="4">
        <v>26.327000000000002</v>
      </c>
      <c r="U2611" s="4">
        <v>1.55714</v>
      </c>
      <c r="V2611" t="str">
        <f>IF(Table1[[#This Row],[ai_disruption_intensity]]&gt;70,"High",
IF(Table1[[#This Row],[ai_disruption_intensity]]&gt;40,"Medium","Low"))</f>
        <v>Low</v>
      </c>
      <c r="W2611" t="str">
        <f>IF(Table1[[#This Row],[skill_gap_index]]&gt;70,"Large Gap",
IF(Table1[[#This Row],[skill_gap_index]]&gt;40,"Medium Gap","Small Gap"))</f>
        <v>Medium Gap</v>
      </c>
      <c r="X2611" s="3" t="str">
        <f>IF(Table1[[#This Row],[automation_risk_percent]]&gt;0.7,"Highly Automatable",
IF(Table1[[#This Row],[automation_risk_percent]]&gt;0.4,"Moderate Risk","Safe Job"))</f>
        <v>Safe Job</v>
      </c>
    </row>
    <row r="2612" spans="1:24" x14ac:dyDescent="0.3">
      <c r="A2612">
        <v>9218</v>
      </c>
      <c r="B2612" t="s">
        <v>44</v>
      </c>
      <c r="C2612" t="s">
        <v>38</v>
      </c>
      <c r="D2612" t="s">
        <v>31</v>
      </c>
      <c r="E2612" s="1">
        <v>2026</v>
      </c>
      <c r="F2612" s="11">
        <v>0.3846</v>
      </c>
      <c r="G2612">
        <v>31.68</v>
      </c>
      <c r="H2612">
        <v>40.15</v>
      </c>
      <c r="I2612" s="2">
        <v>93863.28</v>
      </c>
      <c r="J2612" s="2">
        <v>96700.28</v>
      </c>
      <c r="K2612" s="2">
        <f>Table1[[#This Row],[Salary_after]]-Table1[[#This Row],[Salary_before]]</f>
        <v>2837</v>
      </c>
      <c r="L2612" s="11">
        <v>3.0200000000000001E-2</v>
      </c>
      <c r="M2612" s="11">
        <v>0.1258</v>
      </c>
      <c r="N2612">
        <v>73.94</v>
      </c>
      <c r="O2612">
        <v>20.260000000000002</v>
      </c>
      <c r="P2612">
        <v>2</v>
      </c>
      <c r="Q2612" t="s">
        <v>25</v>
      </c>
      <c r="R2612">
        <v>39.305</v>
      </c>
      <c r="S2612">
        <v>3.02</v>
      </c>
      <c r="T2612" s="4">
        <v>28.335000000000001</v>
      </c>
      <c r="U2612" s="4">
        <v>7.7919960000000001</v>
      </c>
      <c r="V2612" t="str">
        <f>IF(Table1[[#This Row],[ai_disruption_intensity]]&gt;70,"High",
IF(Table1[[#This Row],[ai_disruption_intensity]]&gt;40,"Medium","Low"))</f>
        <v>Low</v>
      </c>
      <c r="W2612" t="str">
        <f>IF(Table1[[#This Row],[skill_gap_index]]&gt;70,"Large Gap",
IF(Table1[[#This Row],[skill_gap_index]]&gt;40,"Medium Gap","Small Gap"))</f>
        <v>Medium Gap</v>
      </c>
      <c r="X2612" s="3" t="str">
        <f>IF(Table1[[#This Row],[automation_risk_percent]]&gt;0.7,"Highly Automatable",
IF(Table1[[#This Row],[automation_risk_percent]]&gt;0.4,"Moderate Risk","Safe Job"))</f>
        <v>Safe Job</v>
      </c>
    </row>
    <row r="2613" spans="1:24" x14ac:dyDescent="0.3">
      <c r="A2613">
        <v>9223</v>
      </c>
      <c r="B2613" t="s">
        <v>41</v>
      </c>
      <c r="C2613" t="s">
        <v>23</v>
      </c>
      <c r="D2613" t="s">
        <v>32</v>
      </c>
      <c r="E2613" s="1">
        <v>2026</v>
      </c>
      <c r="F2613" s="11">
        <v>0.8236</v>
      </c>
      <c r="G2613">
        <v>78.36</v>
      </c>
      <c r="H2613">
        <v>84.37</v>
      </c>
      <c r="I2613" s="2">
        <v>116685.69</v>
      </c>
      <c r="J2613" s="2">
        <v>132033.66</v>
      </c>
      <c r="K2613" s="2">
        <f>Table1[[#This Row],[Salary_after]]-Table1[[#This Row],[Salary_before]]</f>
        <v>15347.970000000001</v>
      </c>
      <c r="L2613" s="11">
        <v>0.13150000000000001</v>
      </c>
      <c r="M2613" s="11">
        <v>-4.0599999999999997E-2</v>
      </c>
      <c r="N2613">
        <v>93.31</v>
      </c>
      <c r="O2613">
        <v>21.37</v>
      </c>
      <c r="P2613">
        <v>4</v>
      </c>
      <c r="Q2613" t="s">
        <v>37</v>
      </c>
      <c r="R2613">
        <v>83.364999999999995</v>
      </c>
      <c r="S2613">
        <v>13.15</v>
      </c>
      <c r="T2613" s="4">
        <v>62.2</v>
      </c>
      <c r="U2613" s="4">
        <v>17.600332000000002</v>
      </c>
      <c r="V2613" t="str">
        <f>IF(Table1[[#This Row],[ai_disruption_intensity]]&gt;70,"High",
IF(Table1[[#This Row],[ai_disruption_intensity]]&gt;40,"Medium","Low"))</f>
        <v>Low</v>
      </c>
      <c r="W2613" t="str">
        <f>IF(Table1[[#This Row],[skill_gap_index]]&gt;70,"Large Gap",
IF(Table1[[#This Row],[skill_gap_index]]&gt;40,"Medium Gap","Small Gap"))</f>
        <v>Large Gap</v>
      </c>
      <c r="X2613" s="3" t="str">
        <f>IF(Table1[[#This Row],[automation_risk_percent]]&gt;0.7,"Highly Automatable",
IF(Table1[[#This Row],[automation_risk_percent]]&gt;0.4,"Moderate Risk","Safe Job"))</f>
        <v>Highly Automatable</v>
      </c>
    </row>
    <row r="2614" spans="1:24" x14ac:dyDescent="0.3">
      <c r="A2614">
        <v>9231</v>
      </c>
      <c r="B2614" t="s">
        <v>43</v>
      </c>
      <c r="C2614" t="s">
        <v>27</v>
      </c>
      <c r="D2614" t="s">
        <v>36</v>
      </c>
      <c r="E2614" s="1">
        <v>2026</v>
      </c>
      <c r="F2614" s="11">
        <v>0.10099999999999999</v>
      </c>
      <c r="G2614">
        <v>9.3800000000000008</v>
      </c>
      <c r="H2614">
        <v>63.31</v>
      </c>
      <c r="I2614" s="2">
        <v>97067.7</v>
      </c>
      <c r="J2614" s="2">
        <v>112026.61</v>
      </c>
      <c r="K2614" s="2">
        <f>Table1[[#This Row],[Salary_after]]-Table1[[#This Row],[Salary_before]]</f>
        <v>14958.910000000003</v>
      </c>
      <c r="L2614" s="11">
        <v>0.15410000000000001</v>
      </c>
      <c r="M2614" s="11">
        <v>6.7299999999999999E-2</v>
      </c>
      <c r="N2614">
        <v>30.96</v>
      </c>
      <c r="O2614">
        <v>67.849999999999994</v>
      </c>
      <c r="P2614">
        <v>1</v>
      </c>
      <c r="Q2614" t="s">
        <v>21</v>
      </c>
      <c r="R2614">
        <v>36.704999999999998</v>
      </c>
      <c r="S2614">
        <v>15.41</v>
      </c>
      <c r="T2614" s="4">
        <v>27.655999999999999</v>
      </c>
      <c r="U2614" s="4">
        <v>6.8528500000000001</v>
      </c>
      <c r="V2614" t="str">
        <f>IF(Table1[[#This Row],[ai_disruption_intensity]]&gt;70,"High",
IF(Table1[[#This Row],[ai_disruption_intensity]]&gt;40,"Medium","Low"))</f>
        <v>Low</v>
      </c>
      <c r="W2614" t="str">
        <f>IF(Table1[[#This Row],[skill_gap_index]]&gt;70,"Large Gap",
IF(Table1[[#This Row],[skill_gap_index]]&gt;40,"Medium Gap","Small Gap"))</f>
        <v>Medium Gap</v>
      </c>
      <c r="X2614" s="3" t="str">
        <f>IF(Table1[[#This Row],[automation_risk_percent]]&gt;0.7,"Highly Automatable",
IF(Table1[[#This Row],[automation_risk_percent]]&gt;0.4,"Moderate Risk","Safe Job"))</f>
        <v>Safe Job</v>
      </c>
    </row>
    <row r="2615" spans="1:24" x14ac:dyDescent="0.3">
      <c r="A2615">
        <v>9232</v>
      </c>
      <c r="B2615" t="s">
        <v>41</v>
      </c>
      <c r="C2615" t="s">
        <v>33</v>
      </c>
      <c r="D2615" t="s">
        <v>32</v>
      </c>
      <c r="E2615" s="1">
        <v>2025</v>
      </c>
      <c r="F2615" s="11">
        <v>0.67500000000000004</v>
      </c>
      <c r="G2615">
        <v>63.15</v>
      </c>
      <c r="H2615">
        <v>21.85</v>
      </c>
      <c r="I2615" s="2">
        <v>97522.78</v>
      </c>
      <c r="J2615" s="2">
        <v>97054.69</v>
      </c>
      <c r="K2615" s="2">
        <f>Table1[[#This Row],[Salary_after]]-Table1[[#This Row],[Salary_before]]</f>
        <v>-468.08999999999651</v>
      </c>
      <c r="L2615" s="11">
        <v>-4.7999999999999996E-3</v>
      </c>
      <c r="M2615" s="11">
        <v>0.11169999999999999</v>
      </c>
      <c r="N2615">
        <v>73.900000000000006</v>
      </c>
      <c r="O2615">
        <v>80.319999999999993</v>
      </c>
      <c r="P2615">
        <v>3</v>
      </c>
      <c r="Q2615" t="s">
        <v>37</v>
      </c>
      <c r="R2615">
        <v>44.674999999999997</v>
      </c>
      <c r="S2615">
        <v>0.48</v>
      </c>
      <c r="T2615" s="4">
        <v>33.698999999999998</v>
      </c>
      <c r="U2615" s="4">
        <v>54.215999999999902</v>
      </c>
      <c r="V2615" t="str">
        <f>IF(Table1[[#This Row],[ai_disruption_intensity]]&gt;70,"High",
IF(Table1[[#This Row],[ai_disruption_intensity]]&gt;40,"Medium","Low"))</f>
        <v>Medium</v>
      </c>
      <c r="W2615" t="str">
        <f>IF(Table1[[#This Row],[skill_gap_index]]&gt;70,"Large Gap",
IF(Table1[[#This Row],[skill_gap_index]]&gt;40,"Medium Gap","Small Gap"))</f>
        <v>Small Gap</v>
      </c>
      <c r="X2615" s="3" t="str">
        <f>IF(Table1[[#This Row],[automation_risk_percent]]&gt;0.7,"Highly Automatable",
IF(Table1[[#This Row],[automation_risk_percent]]&gt;0.4,"Moderate Risk","Safe Job"))</f>
        <v>Moderate Risk</v>
      </c>
    </row>
    <row r="2616" spans="1:24" x14ac:dyDescent="0.3">
      <c r="A2616">
        <v>9233</v>
      </c>
      <c r="B2616" t="s">
        <v>41</v>
      </c>
      <c r="C2616" t="s">
        <v>19</v>
      </c>
      <c r="D2616" t="s">
        <v>28</v>
      </c>
      <c r="E2616" s="1">
        <v>2026</v>
      </c>
      <c r="F2616" s="11">
        <v>0.35609999999999997</v>
      </c>
      <c r="G2616">
        <v>29.13</v>
      </c>
      <c r="H2616">
        <v>12.85</v>
      </c>
      <c r="I2616" s="2">
        <v>70914.350000000006</v>
      </c>
      <c r="J2616" s="2">
        <v>71744.899999999994</v>
      </c>
      <c r="K2616" s="2">
        <f>Table1[[#This Row],[Salary_after]]-Table1[[#This Row],[Salary_before]]</f>
        <v>830.54999999998836</v>
      </c>
      <c r="L2616" s="11">
        <v>1.1699999999999999E-2</v>
      </c>
      <c r="M2616" s="11">
        <v>0.13019999999999998</v>
      </c>
      <c r="N2616">
        <v>19.21</v>
      </c>
      <c r="O2616">
        <v>15.27</v>
      </c>
      <c r="P2616">
        <v>3</v>
      </c>
      <c r="Q2616" t="s">
        <v>25</v>
      </c>
      <c r="R2616">
        <v>24.23</v>
      </c>
      <c r="S2616">
        <v>1.17</v>
      </c>
      <c r="T2616" s="4">
        <v>18.45</v>
      </c>
      <c r="U2616" s="4">
        <v>5.4376469999999903</v>
      </c>
      <c r="V2616" t="str">
        <f>IF(Table1[[#This Row],[ai_disruption_intensity]]&gt;70,"High",
IF(Table1[[#This Row],[ai_disruption_intensity]]&gt;40,"Medium","Low"))</f>
        <v>Low</v>
      </c>
      <c r="W2616" t="str">
        <f>IF(Table1[[#This Row],[skill_gap_index]]&gt;70,"Large Gap",
IF(Table1[[#This Row],[skill_gap_index]]&gt;40,"Medium Gap","Small Gap"))</f>
        <v>Small Gap</v>
      </c>
      <c r="X2616" s="3" t="str">
        <f>IF(Table1[[#This Row],[automation_risk_percent]]&gt;0.7,"Highly Automatable",
IF(Table1[[#This Row],[automation_risk_percent]]&gt;0.4,"Moderate Risk","Safe Job"))</f>
        <v>Safe Job</v>
      </c>
    </row>
    <row r="2617" spans="1:24" x14ac:dyDescent="0.3">
      <c r="A2617">
        <v>9237</v>
      </c>
      <c r="B2617" t="s">
        <v>18</v>
      </c>
      <c r="C2617" t="s">
        <v>40</v>
      </c>
      <c r="D2617" t="s">
        <v>32</v>
      </c>
      <c r="E2617" s="1">
        <v>2026</v>
      </c>
      <c r="F2617" s="11">
        <v>0.2382</v>
      </c>
      <c r="G2617">
        <v>25.84</v>
      </c>
      <c r="H2617">
        <v>55.82</v>
      </c>
      <c r="I2617" s="2">
        <v>72216.63</v>
      </c>
      <c r="J2617" s="2">
        <v>76297.95</v>
      </c>
      <c r="K2617" s="2">
        <f>Table1[[#This Row],[Salary_after]]-Table1[[#This Row],[Salary_before]]</f>
        <v>4081.3199999999924</v>
      </c>
      <c r="L2617" s="11">
        <v>5.6500000000000002E-2</v>
      </c>
      <c r="M2617" s="11">
        <v>-5.1799999999999999E-2</v>
      </c>
      <c r="N2617">
        <v>75.52</v>
      </c>
      <c r="O2617">
        <v>63.09</v>
      </c>
      <c r="P2617">
        <v>3</v>
      </c>
      <c r="Q2617" t="s">
        <v>21</v>
      </c>
      <c r="R2617">
        <v>39.82</v>
      </c>
      <c r="S2617">
        <v>5.65</v>
      </c>
      <c r="T2617" s="4">
        <v>27.969000000000001</v>
      </c>
      <c r="U2617" s="4">
        <v>15.028038</v>
      </c>
      <c r="V2617" t="str">
        <f>IF(Table1[[#This Row],[ai_disruption_intensity]]&gt;70,"High",
IF(Table1[[#This Row],[ai_disruption_intensity]]&gt;40,"Medium","Low"))</f>
        <v>Low</v>
      </c>
      <c r="W2617" t="str">
        <f>IF(Table1[[#This Row],[skill_gap_index]]&gt;70,"Large Gap",
IF(Table1[[#This Row],[skill_gap_index]]&gt;40,"Medium Gap","Small Gap"))</f>
        <v>Medium Gap</v>
      </c>
      <c r="X2617" s="3" t="str">
        <f>IF(Table1[[#This Row],[automation_risk_percent]]&gt;0.7,"Highly Automatable",
IF(Table1[[#This Row],[automation_risk_percent]]&gt;0.4,"Moderate Risk","Safe Job"))</f>
        <v>Safe Job</v>
      </c>
    </row>
    <row r="2618" spans="1:24" x14ac:dyDescent="0.3">
      <c r="A2618">
        <v>9239</v>
      </c>
      <c r="B2618" t="s">
        <v>29</v>
      </c>
      <c r="C2618" t="s">
        <v>19</v>
      </c>
      <c r="D2618" t="s">
        <v>42</v>
      </c>
      <c r="E2618" s="1">
        <v>2026</v>
      </c>
      <c r="F2618" s="11">
        <v>0.49349999999999999</v>
      </c>
      <c r="G2618">
        <v>58.44</v>
      </c>
      <c r="H2618">
        <v>21.77</v>
      </c>
      <c r="I2618" s="2">
        <v>129168.52</v>
      </c>
      <c r="J2618" s="2">
        <v>114942.67</v>
      </c>
      <c r="K2618" s="2">
        <f>Table1[[#This Row],[Salary_after]]-Table1[[#This Row],[Salary_before]]</f>
        <v>-14225.850000000006</v>
      </c>
      <c r="L2618" s="11">
        <v>-0.1101</v>
      </c>
      <c r="M2618" s="11">
        <v>9.06E-2</v>
      </c>
      <c r="N2618">
        <v>46.32</v>
      </c>
      <c r="O2618">
        <v>51.02</v>
      </c>
      <c r="P2618">
        <v>3</v>
      </c>
      <c r="Q2618" t="s">
        <v>25</v>
      </c>
      <c r="R2618">
        <v>35.56</v>
      </c>
      <c r="S2618">
        <v>11.01</v>
      </c>
      <c r="T2618" s="4">
        <v>29.574000000000002</v>
      </c>
      <c r="U2618" s="4">
        <v>25.178370000000001</v>
      </c>
      <c r="V2618" t="str">
        <f>IF(Table1[[#This Row],[ai_disruption_intensity]]&gt;70,"High",
IF(Table1[[#This Row],[ai_disruption_intensity]]&gt;40,"Medium","Low"))</f>
        <v>Low</v>
      </c>
      <c r="W2618" t="str">
        <f>IF(Table1[[#This Row],[skill_gap_index]]&gt;70,"Large Gap",
IF(Table1[[#This Row],[skill_gap_index]]&gt;40,"Medium Gap","Small Gap"))</f>
        <v>Small Gap</v>
      </c>
      <c r="X2618" s="3" t="str">
        <f>IF(Table1[[#This Row],[automation_risk_percent]]&gt;0.7,"Highly Automatable",
IF(Table1[[#This Row],[automation_risk_percent]]&gt;0.4,"Moderate Risk","Safe Job"))</f>
        <v>Moderate Risk</v>
      </c>
    </row>
    <row r="2619" spans="1:24" x14ac:dyDescent="0.3">
      <c r="A2619">
        <v>9244</v>
      </c>
      <c r="B2619" t="s">
        <v>43</v>
      </c>
      <c r="C2619" t="s">
        <v>34</v>
      </c>
      <c r="D2619" t="s">
        <v>42</v>
      </c>
      <c r="E2619" s="1">
        <v>2026</v>
      </c>
      <c r="F2619" s="11">
        <v>0.3553</v>
      </c>
      <c r="G2619">
        <v>28.56</v>
      </c>
      <c r="H2619">
        <v>7.5</v>
      </c>
      <c r="I2619" s="2">
        <v>40720.620000000003</v>
      </c>
      <c r="J2619" s="2">
        <v>38391.5</v>
      </c>
      <c r="K2619" s="2">
        <f>Table1[[#This Row],[Salary_after]]-Table1[[#This Row],[Salary_before]]</f>
        <v>-2329.1200000000026</v>
      </c>
      <c r="L2619" s="11">
        <v>-5.7200000000000001E-2</v>
      </c>
      <c r="M2619" s="11">
        <v>-3.4000000000000002E-3</v>
      </c>
      <c r="N2619">
        <v>15.21</v>
      </c>
      <c r="O2619">
        <v>89.54</v>
      </c>
      <c r="P2619">
        <v>3</v>
      </c>
      <c r="Q2619" t="s">
        <v>25</v>
      </c>
      <c r="R2619">
        <v>21.515000000000001</v>
      </c>
      <c r="S2619">
        <v>5.72</v>
      </c>
      <c r="T2619" s="4">
        <v>18.178000000000001</v>
      </c>
      <c r="U2619" s="4">
        <v>31.813562000000001</v>
      </c>
      <c r="V2619" t="str">
        <f>IF(Table1[[#This Row],[ai_disruption_intensity]]&gt;70,"High",
IF(Table1[[#This Row],[ai_disruption_intensity]]&gt;40,"Medium","Low"))</f>
        <v>Low</v>
      </c>
      <c r="W2619" t="str">
        <f>IF(Table1[[#This Row],[skill_gap_index]]&gt;70,"Large Gap",
IF(Table1[[#This Row],[skill_gap_index]]&gt;40,"Medium Gap","Small Gap"))</f>
        <v>Small Gap</v>
      </c>
      <c r="X2619" s="3" t="str">
        <f>IF(Table1[[#This Row],[automation_risk_percent]]&gt;0.7,"Highly Automatable",
IF(Table1[[#This Row],[automation_risk_percent]]&gt;0.4,"Moderate Risk","Safe Job"))</f>
        <v>Safe Job</v>
      </c>
    </row>
    <row r="2620" spans="1:24" x14ac:dyDescent="0.3">
      <c r="A2620">
        <v>9247</v>
      </c>
      <c r="B2620" t="s">
        <v>46</v>
      </c>
      <c r="C2620" t="s">
        <v>33</v>
      </c>
      <c r="D2620" t="s">
        <v>42</v>
      </c>
      <c r="E2620" s="1">
        <v>2025</v>
      </c>
      <c r="F2620" s="11">
        <v>0.46539999999999998</v>
      </c>
      <c r="G2620">
        <v>40.99</v>
      </c>
      <c r="H2620">
        <v>2.0299999999999998</v>
      </c>
      <c r="I2620" s="2">
        <v>98787.96</v>
      </c>
      <c r="J2620" s="2">
        <v>108236.47</v>
      </c>
      <c r="K2620" s="2">
        <f>Table1[[#This Row],[Salary_after]]-Table1[[#This Row],[Salary_before]]</f>
        <v>9448.5099999999948</v>
      </c>
      <c r="L2620" s="11">
        <v>9.5600000000000004E-2</v>
      </c>
      <c r="M2620" s="11">
        <v>2.3099999999999999E-2</v>
      </c>
      <c r="N2620">
        <v>68.12</v>
      </c>
      <c r="O2620">
        <v>64.73</v>
      </c>
      <c r="P2620">
        <v>4</v>
      </c>
      <c r="Q2620" t="s">
        <v>25</v>
      </c>
      <c r="R2620">
        <v>24.285</v>
      </c>
      <c r="S2620">
        <v>9.56</v>
      </c>
      <c r="T2620" s="4">
        <v>22.0929999999999</v>
      </c>
      <c r="U2620" s="4">
        <v>30.125342</v>
      </c>
      <c r="V2620" t="str">
        <f>IF(Table1[[#This Row],[ai_disruption_intensity]]&gt;70,"High",
IF(Table1[[#This Row],[ai_disruption_intensity]]&gt;40,"Medium","Low"))</f>
        <v>Low</v>
      </c>
      <c r="W2620" t="str">
        <f>IF(Table1[[#This Row],[skill_gap_index]]&gt;70,"Large Gap",
IF(Table1[[#This Row],[skill_gap_index]]&gt;40,"Medium Gap","Small Gap"))</f>
        <v>Small Gap</v>
      </c>
      <c r="X2620" s="3" t="str">
        <f>IF(Table1[[#This Row],[automation_risk_percent]]&gt;0.7,"Highly Automatable",
IF(Table1[[#This Row],[automation_risk_percent]]&gt;0.4,"Moderate Risk","Safe Job"))</f>
        <v>Moderate Risk</v>
      </c>
    </row>
    <row r="2621" spans="1:24" x14ac:dyDescent="0.3">
      <c r="A2621">
        <v>9249</v>
      </c>
      <c r="B2621" t="s">
        <v>44</v>
      </c>
      <c r="C2621" t="s">
        <v>30</v>
      </c>
      <c r="D2621" t="s">
        <v>31</v>
      </c>
      <c r="E2621" s="1">
        <v>2026</v>
      </c>
      <c r="F2621" s="11">
        <v>0.27600000000000002</v>
      </c>
      <c r="G2621">
        <v>28.28</v>
      </c>
      <c r="H2621">
        <v>77.31</v>
      </c>
      <c r="I2621" s="2">
        <v>47802.66</v>
      </c>
      <c r="J2621" s="2">
        <v>46395.71</v>
      </c>
      <c r="K2621" s="2">
        <f>Table1[[#This Row],[Salary_after]]-Table1[[#This Row],[Salary_before]]</f>
        <v>-1406.9500000000044</v>
      </c>
      <c r="L2621" s="11">
        <v>-2.9399999999999999E-2</v>
      </c>
      <c r="M2621" s="11">
        <v>0.1578</v>
      </c>
      <c r="N2621">
        <v>67.58</v>
      </c>
      <c r="O2621">
        <v>4.2</v>
      </c>
      <c r="P2621">
        <v>2</v>
      </c>
      <c r="Q2621" t="s">
        <v>21</v>
      </c>
      <c r="R2621">
        <v>52.454999999999998</v>
      </c>
      <c r="S2621">
        <v>2.94</v>
      </c>
      <c r="T2621" s="4">
        <v>35.115000000000002</v>
      </c>
      <c r="U2621" s="4">
        <v>1.1592</v>
      </c>
      <c r="V2621" t="str">
        <f>IF(Table1[[#This Row],[ai_disruption_intensity]]&gt;70,"High",
IF(Table1[[#This Row],[ai_disruption_intensity]]&gt;40,"Medium","Low"))</f>
        <v>Low</v>
      </c>
      <c r="W2621" t="str">
        <f>IF(Table1[[#This Row],[skill_gap_index]]&gt;70,"Large Gap",
IF(Table1[[#This Row],[skill_gap_index]]&gt;40,"Medium Gap","Small Gap"))</f>
        <v>Large Gap</v>
      </c>
      <c r="X2621" s="3" t="str">
        <f>IF(Table1[[#This Row],[automation_risk_percent]]&gt;0.7,"Highly Automatable",
IF(Table1[[#This Row],[automation_risk_percent]]&gt;0.4,"Moderate Risk","Safe Job"))</f>
        <v>Safe Job</v>
      </c>
    </row>
    <row r="2622" spans="1:24" x14ac:dyDescent="0.3">
      <c r="A2622">
        <v>9251</v>
      </c>
      <c r="B2622" t="s">
        <v>29</v>
      </c>
      <c r="C2622" t="s">
        <v>30</v>
      </c>
      <c r="D2622" t="s">
        <v>47</v>
      </c>
      <c r="E2622" s="1">
        <v>2025</v>
      </c>
      <c r="F2622" s="11">
        <v>0.81359999999999999</v>
      </c>
      <c r="G2622">
        <v>77.7</v>
      </c>
      <c r="H2622">
        <v>48.08</v>
      </c>
      <c r="I2622" s="2">
        <v>93430.77</v>
      </c>
      <c r="J2622" s="2">
        <v>108618.88</v>
      </c>
      <c r="K2622" s="2">
        <f>Table1[[#This Row],[Salary_after]]-Table1[[#This Row],[Salary_before]]</f>
        <v>15188.11</v>
      </c>
      <c r="L2622" s="11">
        <v>0.16260000000000002</v>
      </c>
      <c r="M2622" s="11">
        <v>0.16620000000000001</v>
      </c>
      <c r="N2622">
        <v>71.27</v>
      </c>
      <c r="O2622">
        <v>44.4</v>
      </c>
      <c r="P2622">
        <v>4</v>
      </c>
      <c r="Q2622" t="s">
        <v>37</v>
      </c>
      <c r="R2622">
        <v>64.72</v>
      </c>
      <c r="S2622">
        <v>16.260000000000002</v>
      </c>
      <c r="T2622" s="4">
        <v>51.845999999999997</v>
      </c>
      <c r="U2622" s="4">
        <v>36.123840000000001</v>
      </c>
      <c r="V2622" t="str">
        <f>IF(Table1[[#This Row],[ai_disruption_intensity]]&gt;70,"High",
IF(Table1[[#This Row],[ai_disruption_intensity]]&gt;40,"Medium","Low"))</f>
        <v>Low</v>
      </c>
      <c r="W2622" t="str">
        <f>IF(Table1[[#This Row],[skill_gap_index]]&gt;70,"Large Gap",
IF(Table1[[#This Row],[skill_gap_index]]&gt;40,"Medium Gap","Small Gap"))</f>
        <v>Medium Gap</v>
      </c>
      <c r="X2622" s="3" t="str">
        <f>IF(Table1[[#This Row],[automation_risk_percent]]&gt;0.7,"Highly Automatable",
IF(Table1[[#This Row],[automation_risk_percent]]&gt;0.4,"Moderate Risk","Safe Job"))</f>
        <v>Highly Automatable</v>
      </c>
    </row>
    <row r="2623" spans="1:24" x14ac:dyDescent="0.3">
      <c r="A2623">
        <v>9257</v>
      </c>
      <c r="B2623" t="s">
        <v>44</v>
      </c>
      <c r="C2623" t="s">
        <v>38</v>
      </c>
      <c r="D2623" t="s">
        <v>36</v>
      </c>
      <c r="E2623" s="1">
        <v>2026</v>
      </c>
      <c r="F2623" s="11">
        <v>0.17199999999999999</v>
      </c>
      <c r="G2623">
        <v>18.350000000000001</v>
      </c>
      <c r="H2623">
        <v>59.47</v>
      </c>
      <c r="I2623" s="2">
        <v>98183.21</v>
      </c>
      <c r="J2623" s="2">
        <v>89371.86</v>
      </c>
      <c r="K2623" s="2">
        <f>Table1[[#This Row],[Salary_after]]-Table1[[#This Row],[Salary_before]]</f>
        <v>-8811.3500000000058</v>
      </c>
      <c r="L2623" s="11">
        <v>-8.9700000000000002E-2</v>
      </c>
      <c r="M2623" s="11">
        <v>0.1346</v>
      </c>
      <c r="N2623">
        <v>40.82</v>
      </c>
      <c r="O2623">
        <v>12.67</v>
      </c>
      <c r="P2623">
        <v>2</v>
      </c>
      <c r="Q2623" t="s">
        <v>21</v>
      </c>
      <c r="R2623">
        <v>38.335000000000001</v>
      </c>
      <c r="S2623">
        <v>8.9700000000000006</v>
      </c>
      <c r="T2623" s="4">
        <v>27.4119999999999</v>
      </c>
      <c r="U2623" s="4">
        <v>2.1792399999999899</v>
      </c>
      <c r="V2623" t="str">
        <f>IF(Table1[[#This Row],[ai_disruption_intensity]]&gt;70,"High",
IF(Table1[[#This Row],[ai_disruption_intensity]]&gt;40,"Medium","Low"))</f>
        <v>Low</v>
      </c>
      <c r="W2623" t="str">
        <f>IF(Table1[[#This Row],[skill_gap_index]]&gt;70,"Large Gap",
IF(Table1[[#This Row],[skill_gap_index]]&gt;40,"Medium Gap","Small Gap"))</f>
        <v>Medium Gap</v>
      </c>
      <c r="X2623" s="3" t="str">
        <f>IF(Table1[[#This Row],[automation_risk_percent]]&gt;0.7,"Highly Automatable",
IF(Table1[[#This Row],[automation_risk_percent]]&gt;0.4,"Moderate Risk","Safe Job"))</f>
        <v>Safe Job</v>
      </c>
    </row>
    <row r="2624" spans="1:24" x14ac:dyDescent="0.3">
      <c r="A2624">
        <v>9260</v>
      </c>
      <c r="B2624" t="s">
        <v>26</v>
      </c>
      <c r="C2624" t="s">
        <v>40</v>
      </c>
      <c r="D2624" t="s">
        <v>31</v>
      </c>
      <c r="E2624" s="1">
        <v>2025</v>
      </c>
      <c r="F2624" s="11">
        <v>0.53369999999999995</v>
      </c>
      <c r="G2624">
        <v>49.7</v>
      </c>
      <c r="H2624">
        <v>38.49</v>
      </c>
      <c r="I2624" s="2">
        <v>99200.44</v>
      </c>
      <c r="J2624" s="2">
        <v>110185.62</v>
      </c>
      <c r="K2624" s="2">
        <f>Table1[[#This Row],[Salary_after]]-Table1[[#This Row],[Salary_before]]</f>
        <v>10985.179999999993</v>
      </c>
      <c r="L2624" s="11">
        <v>0.11070000000000001</v>
      </c>
      <c r="M2624" s="11">
        <v>6.5799999999999997E-2</v>
      </c>
      <c r="N2624">
        <v>52.52</v>
      </c>
      <c r="O2624">
        <v>89.35</v>
      </c>
      <c r="P2624">
        <v>4</v>
      </c>
      <c r="Q2624" t="s">
        <v>25</v>
      </c>
      <c r="R2624">
        <v>45.93</v>
      </c>
      <c r="S2624">
        <v>11.07</v>
      </c>
      <c r="T2624" s="4">
        <v>36.215999999999902</v>
      </c>
      <c r="U2624" s="4">
        <v>47.686094999999902</v>
      </c>
      <c r="V2624" t="str">
        <f>IF(Table1[[#This Row],[ai_disruption_intensity]]&gt;70,"High",
IF(Table1[[#This Row],[ai_disruption_intensity]]&gt;40,"Medium","Low"))</f>
        <v>Medium</v>
      </c>
      <c r="W2624" t="str">
        <f>IF(Table1[[#This Row],[skill_gap_index]]&gt;70,"Large Gap",
IF(Table1[[#This Row],[skill_gap_index]]&gt;40,"Medium Gap","Small Gap"))</f>
        <v>Small Gap</v>
      </c>
      <c r="X2624" s="3" t="str">
        <f>IF(Table1[[#This Row],[automation_risk_percent]]&gt;0.7,"Highly Automatable",
IF(Table1[[#This Row],[automation_risk_percent]]&gt;0.4,"Moderate Risk","Safe Job"))</f>
        <v>Moderate Risk</v>
      </c>
    </row>
    <row r="2625" spans="1:24" x14ac:dyDescent="0.3">
      <c r="A2625">
        <v>9265</v>
      </c>
      <c r="B2625" t="s">
        <v>29</v>
      </c>
      <c r="C2625" t="s">
        <v>23</v>
      </c>
      <c r="D2625" t="s">
        <v>32</v>
      </c>
      <c r="E2625" s="1">
        <v>2026</v>
      </c>
      <c r="F2625" s="11">
        <v>0.752</v>
      </c>
      <c r="G2625">
        <v>79.180000000000007</v>
      </c>
      <c r="H2625">
        <v>13.92</v>
      </c>
      <c r="I2625" s="2">
        <v>42865.16</v>
      </c>
      <c r="J2625" s="2">
        <v>39407.300000000003</v>
      </c>
      <c r="K2625" s="2">
        <f>Table1[[#This Row],[Salary_after]]-Table1[[#This Row],[Salary_before]]</f>
        <v>-3457.8600000000006</v>
      </c>
      <c r="L2625" s="11">
        <v>-8.0700000000000008E-2</v>
      </c>
      <c r="M2625" s="11">
        <v>-5.9900000000000002E-2</v>
      </c>
      <c r="N2625">
        <v>64.63</v>
      </c>
      <c r="O2625">
        <v>87.73</v>
      </c>
      <c r="P2625">
        <v>4</v>
      </c>
      <c r="Q2625" t="s">
        <v>37</v>
      </c>
      <c r="R2625">
        <v>44.56</v>
      </c>
      <c r="S2625">
        <v>8.07</v>
      </c>
      <c r="T2625" s="4">
        <v>36.677</v>
      </c>
      <c r="U2625" s="4">
        <v>65.97296</v>
      </c>
      <c r="V2625" t="str">
        <f>IF(Table1[[#This Row],[ai_disruption_intensity]]&gt;70,"High",
IF(Table1[[#This Row],[ai_disruption_intensity]]&gt;40,"Medium","Low"))</f>
        <v>Medium</v>
      </c>
      <c r="W2625" t="str">
        <f>IF(Table1[[#This Row],[skill_gap_index]]&gt;70,"Large Gap",
IF(Table1[[#This Row],[skill_gap_index]]&gt;40,"Medium Gap","Small Gap"))</f>
        <v>Small Gap</v>
      </c>
      <c r="X2625" s="3" t="str">
        <f>IF(Table1[[#This Row],[automation_risk_percent]]&gt;0.7,"Highly Automatable",
IF(Table1[[#This Row],[automation_risk_percent]]&gt;0.4,"Moderate Risk","Safe Job"))</f>
        <v>Highly Automatable</v>
      </c>
    </row>
    <row r="2626" spans="1:24" x14ac:dyDescent="0.3">
      <c r="A2626">
        <v>9270</v>
      </c>
      <c r="B2626" t="s">
        <v>43</v>
      </c>
      <c r="C2626" t="s">
        <v>38</v>
      </c>
      <c r="D2626" t="s">
        <v>47</v>
      </c>
      <c r="E2626" s="1">
        <v>2025</v>
      </c>
      <c r="F2626" s="11">
        <v>0.74209999999999998</v>
      </c>
      <c r="G2626">
        <v>75.92</v>
      </c>
      <c r="H2626">
        <v>78.83</v>
      </c>
      <c r="I2626" s="2">
        <v>84572.61</v>
      </c>
      <c r="J2626" s="2">
        <v>109936.77</v>
      </c>
      <c r="K2626" s="2">
        <f>Table1[[#This Row],[Salary_after]]-Table1[[#This Row],[Salary_before]]</f>
        <v>25364.160000000003</v>
      </c>
      <c r="L2626" s="11">
        <v>0.2999</v>
      </c>
      <c r="M2626" s="11">
        <v>-1.3000000000000001E-2</v>
      </c>
      <c r="N2626">
        <v>70.31</v>
      </c>
      <c r="O2626">
        <v>66.989999999999995</v>
      </c>
      <c r="P2626">
        <v>4</v>
      </c>
      <c r="Q2626" t="s">
        <v>37</v>
      </c>
      <c r="R2626">
        <v>76.52</v>
      </c>
      <c r="S2626">
        <v>29.99</v>
      </c>
      <c r="T2626" s="4">
        <v>62.33</v>
      </c>
      <c r="U2626" s="4">
        <v>49.713278999999901</v>
      </c>
      <c r="V2626" t="str">
        <f>IF(Table1[[#This Row],[ai_disruption_intensity]]&gt;70,"High",
IF(Table1[[#This Row],[ai_disruption_intensity]]&gt;40,"Medium","Low"))</f>
        <v>Medium</v>
      </c>
      <c r="W2626" t="str">
        <f>IF(Table1[[#This Row],[skill_gap_index]]&gt;70,"Large Gap",
IF(Table1[[#This Row],[skill_gap_index]]&gt;40,"Medium Gap","Small Gap"))</f>
        <v>Large Gap</v>
      </c>
      <c r="X2626" s="3" t="str">
        <f>IF(Table1[[#This Row],[automation_risk_percent]]&gt;0.7,"Highly Automatable",
IF(Table1[[#This Row],[automation_risk_percent]]&gt;0.4,"Moderate Risk","Safe Job"))</f>
        <v>Highly Automatable</v>
      </c>
    </row>
    <row r="2627" spans="1:24" x14ac:dyDescent="0.3">
      <c r="A2627">
        <v>9275</v>
      </c>
      <c r="B2627" t="s">
        <v>29</v>
      </c>
      <c r="C2627" t="s">
        <v>27</v>
      </c>
      <c r="D2627" t="s">
        <v>32</v>
      </c>
      <c r="E2627" s="1">
        <v>2025</v>
      </c>
      <c r="F2627" s="11">
        <v>0.5484</v>
      </c>
      <c r="G2627">
        <v>63.72</v>
      </c>
      <c r="H2627">
        <v>27.04</v>
      </c>
      <c r="I2627" s="2">
        <v>41292.1</v>
      </c>
      <c r="J2627" s="2">
        <v>45608.99</v>
      </c>
      <c r="K2627" s="2">
        <f>Table1[[#This Row],[Salary_after]]-Table1[[#This Row],[Salary_before]]</f>
        <v>4316.8899999999994</v>
      </c>
      <c r="L2627" s="11">
        <v>0.1045</v>
      </c>
      <c r="M2627" s="11">
        <v>0.1024</v>
      </c>
      <c r="N2627">
        <v>47.93</v>
      </c>
      <c r="O2627">
        <v>38.619999999999997</v>
      </c>
      <c r="P2627">
        <v>4</v>
      </c>
      <c r="Q2627" t="s">
        <v>25</v>
      </c>
      <c r="R2627">
        <v>40.94</v>
      </c>
      <c r="S2627">
        <v>10.45</v>
      </c>
      <c r="T2627" s="4">
        <v>33.183</v>
      </c>
      <c r="U2627" s="4">
        <v>21.179207999999999</v>
      </c>
      <c r="V2627" t="str">
        <f>IF(Table1[[#This Row],[ai_disruption_intensity]]&gt;70,"High",
IF(Table1[[#This Row],[ai_disruption_intensity]]&gt;40,"Medium","Low"))</f>
        <v>Low</v>
      </c>
      <c r="W2627" t="str">
        <f>IF(Table1[[#This Row],[skill_gap_index]]&gt;70,"Large Gap",
IF(Table1[[#This Row],[skill_gap_index]]&gt;40,"Medium Gap","Small Gap"))</f>
        <v>Small Gap</v>
      </c>
      <c r="X2627" s="3" t="str">
        <f>IF(Table1[[#This Row],[automation_risk_percent]]&gt;0.7,"Highly Automatable",
IF(Table1[[#This Row],[automation_risk_percent]]&gt;0.4,"Moderate Risk","Safe Job"))</f>
        <v>Moderate Risk</v>
      </c>
    </row>
    <row r="2628" spans="1:24" x14ac:dyDescent="0.3">
      <c r="A2628">
        <v>9278</v>
      </c>
      <c r="B2628" t="s">
        <v>18</v>
      </c>
      <c r="C2628" t="s">
        <v>30</v>
      </c>
      <c r="D2628" t="s">
        <v>36</v>
      </c>
      <c r="E2628" s="1">
        <v>2026</v>
      </c>
      <c r="F2628" s="11">
        <v>0.68359999999999999</v>
      </c>
      <c r="G2628">
        <v>58.45</v>
      </c>
      <c r="H2628">
        <v>71.37</v>
      </c>
      <c r="I2628" s="2">
        <v>65073.83</v>
      </c>
      <c r="J2628" s="2">
        <v>48971.28</v>
      </c>
      <c r="K2628" s="2">
        <f>Table1[[#This Row],[Salary_after]]-Table1[[#This Row],[Salary_before]]</f>
        <v>-16102.550000000003</v>
      </c>
      <c r="L2628" s="11">
        <v>-0.2475</v>
      </c>
      <c r="M2628" s="11">
        <v>-6.6199999999999995E-2</v>
      </c>
      <c r="N2628">
        <v>64.02</v>
      </c>
      <c r="O2628">
        <v>34.71</v>
      </c>
      <c r="P2628">
        <v>5</v>
      </c>
      <c r="Q2628" t="s">
        <v>37</v>
      </c>
      <c r="R2628">
        <v>69.864999999999995</v>
      </c>
      <c r="S2628">
        <v>24.75</v>
      </c>
      <c r="T2628" s="4">
        <v>56.18</v>
      </c>
      <c r="U2628" s="4">
        <v>23.727755999999999</v>
      </c>
      <c r="V2628" t="str">
        <f>IF(Table1[[#This Row],[ai_disruption_intensity]]&gt;70,"High",
IF(Table1[[#This Row],[ai_disruption_intensity]]&gt;40,"Medium","Low"))</f>
        <v>Low</v>
      </c>
      <c r="W2628" t="str">
        <f>IF(Table1[[#This Row],[skill_gap_index]]&gt;70,"Large Gap",
IF(Table1[[#This Row],[skill_gap_index]]&gt;40,"Medium Gap","Small Gap"))</f>
        <v>Large Gap</v>
      </c>
      <c r="X2628" s="3" t="str">
        <f>IF(Table1[[#This Row],[automation_risk_percent]]&gt;0.7,"Highly Automatable",
IF(Table1[[#This Row],[automation_risk_percent]]&gt;0.4,"Moderate Risk","Safe Job"))</f>
        <v>Moderate Risk</v>
      </c>
    </row>
    <row r="2629" spans="1:24" x14ac:dyDescent="0.3">
      <c r="A2629">
        <v>9286</v>
      </c>
      <c r="B2629" t="s">
        <v>46</v>
      </c>
      <c r="C2629" t="s">
        <v>23</v>
      </c>
      <c r="D2629" t="s">
        <v>42</v>
      </c>
      <c r="E2629" s="1">
        <v>2025</v>
      </c>
      <c r="F2629" s="11">
        <v>0.60399999999999998</v>
      </c>
      <c r="G2629">
        <v>51.86</v>
      </c>
      <c r="H2629">
        <v>24.39</v>
      </c>
      <c r="I2629" s="2">
        <v>55768.23</v>
      </c>
      <c r="J2629" s="2">
        <v>65220.58</v>
      </c>
      <c r="K2629" s="2">
        <f>Table1[[#This Row],[Salary_after]]-Table1[[#This Row],[Salary_before]]</f>
        <v>9452.3499999999985</v>
      </c>
      <c r="L2629" s="11">
        <v>0.16949999999999998</v>
      </c>
      <c r="M2629" s="11">
        <v>0.17489999999999997</v>
      </c>
      <c r="N2629">
        <v>65.7</v>
      </c>
      <c r="O2629">
        <v>69.17</v>
      </c>
      <c r="P2629">
        <v>1</v>
      </c>
      <c r="Q2629" t="s">
        <v>37</v>
      </c>
      <c r="R2629">
        <v>42.394999999999897</v>
      </c>
      <c r="S2629">
        <v>16.95</v>
      </c>
      <c r="T2629" s="4">
        <v>36.561999999999998</v>
      </c>
      <c r="U2629" s="4">
        <v>41.778680000000001</v>
      </c>
      <c r="V2629" t="str">
        <f>IF(Table1[[#This Row],[ai_disruption_intensity]]&gt;70,"High",
IF(Table1[[#This Row],[ai_disruption_intensity]]&gt;40,"Medium","Low"))</f>
        <v>Medium</v>
      </c>
      <c r="W2629" t="str">
        <f>IF(Table1[[#This Row],[skill_gap_index]]&gt;70,"Large Gap",
IF(Table1[[#This Row],[skill_gap_index]]&gt;40,"Medium Gap","Small Gap"))</f>
        <v>Small Gap</v>
      </c>
      <c r="X2629" s="3" t="str">
        <f>IF(Table1[[#This Row],[automation_risk_percent]]&gt;0.7,"Highly Automatable",
IF(Table1[[#This Row],[automation_risk_percent]]&gt;0.4,"Moderate Risk","Safe Job"))</f>
        <v>Moderate Risk</v>
      </c>
    </row>
    <row r="2630" spans="1:24" x14ac:dyDescent="0.3">
      <c r="A2630">
        <v>9289</v>
      </c>
      <c r="B2630" t="s">
        <v>43</v>
      </c>
      <c r="C2630" t="s">
        <v>30</v>
      </c>
      <c r="D2630" t="s">
        <v>24</v>
      </c>
      <c r="E2630" s="1">
        <v>2025</v>
      </c>
      <c r="F2630" s="11">
        <v>0.38200000000000001</v>
      </c>
      <c r="G2630">
        <v>31.67</v>
      </c>
      <c r="H2630">
        <v>14</v>
      </c>
      <c r="I2630" s="2">
        <v>145340.25</v>
      </c>
      <c r="J2630" s="2">
        <v>157819.22</v>
      </c>
      <c r="K2630" s="2">
        <f>Table1[[#This Row],[Salary_after]]-Table1[[#This Row],[Salary_before]]</f>
        <v>12478.970000000001</v>
      </c>
      <c r="L2630" s="11">
        <v>8.5900000000000004E-2</v>
      </c>
      <c r="M2630" s="11">
        <v>0.19789999999999999</v>
      </c>
      <c r="N2630">
        <v>15.67</v>
      </c>
      <c r="O2630">
        <v>53.09</v>
      </c>
      <c r="P2630">
        <v>1</v>
      </c>
      <c r="Q2630" t="s">
        <v>25</v>
      </c>
      <c r="R2630">
        <v>26.1</v>
      </c>
      <c r="S2630">
        <v>8.59</v>
      </c>
      <c r="T2630" s="4">
        <v>22.056999999999999</v>
      </c>
      <c r="U2630" s="4">
        <v>20.280380000000001</v>
      </c>
      <c r="V2630" t="str">
        <f>IF(Table1[[#This Row],[ai_disruption_intensity]]&gt;70,"High",
IF(Table1[[#This Row],[ai_disruption_intensity]]&gt;40,"Medium","Low"))</f>
        <v>Low</v>
      </c>
      <c r="W2630" t="str">
        <f>IF(Table1[[#This Row],[skill_gap_index]]&gt;70,"Large Gap",
IF(Table1[[#This Row],[skill_gap_index]]&gt;40,"Medium Gap","Small Gap"))</f>
        <v>Small Gap</v>
      </c>
      <c r="X2630" s="3" t="str">
        <f>IF(Table1[[#This Row],[automation_risk_percent]]&gt;0.7,"Highly Automatable",
IF(Table1[[#This Row],[automation_risk_percent]]&gt;0.4,"Moderate Risk","Safe Job"))</f>
        <v>Safe Job</v>
      </c>
    </row>
    <row r="2631" spans="1:24" x14ac:dyDescent="0.3">
      <c r="A2631">
        <v>9291</v>
      </c>
      <c r="B2631" t="s">
        <v>45</v>
      </c>
      <c r="C2631" t="s">
        <v>34</v>
      </c>
      <c r="D2631" t="s">
        <v>31</v>
      </c>
      <c r="E2631" s="1">
        <v>2025</v>
      </c>
      <c r="F2631" s="11">
        <v>0.753</v>
      </c>
      <c r="G2631">
        <v>75.430000000000007</v>
      </c>
      <c r="H2631">
        <v>2.46</v>
      </c>
      <c r="I2631" s="2">
        <v>94488.8</v>
      </c>
      <c r="J2631" s="2">
        <v>89725.7</v>
      </c>
      <c r="K2631" s="2">
        <f>Table1[[#This Row],[Salary_after]]-Table1[[#This Row],[Salary_before]]</f>
        <v>-4763.1000000000058</v>
      </c>
      <c r="L2631" s="11">
        <v>-5.04E-2</v>
      </c>
      <c r="M2631" s="11">
        <v>-2.3E-3</v>
      </c>
      <c r="N2631">
        <v>64.03</v>
      </c>
      <c r="O2631">
        <v>22.64</v>
      </c>
      <c r="P2631">
        <v>5</v>
      </c>
      <c r="Q2631" t="s">
        <v>37</v>
      </c>
      <c r="R2631">
        <v>38.879999999999903</v>
      </c>
      <c r="S2631">
        <v>5.04</v>
      </c>
      <c r="T2631" s="4">
        <v>32.369999999999997</v>
      </c>
      <c r="U2631" s="4">
        <v>17.047919999999898</v>
      </c>
      <c r="V2631" t="str">
        <f>IF(Table1[[#This Row],[ai_disruption_intensity]]&gt;70,"High",
IF(Table1[[#This Row],[ai_disruption_intensity]]&gt;40,"Medium","Low"))</f>
        <v>Low</v>
      </c>
      <c r="W2631" t="str">
        <f>IF(Table1[[#This Row],[skill_gap_index]]&gt;70,"Large Gap",
IF(Table1[[#This Row],[skill_gap_index]]&gt;40,"Medium Gap","Small Gap"))</f>
        <v>Small Gap</v>
      </c>
      <c r="X2631" s="3" t="str">
        <f>IF(Table1[[#This Row],[automation_risk_percent]]&gt;0.7,"Highly Automatable",
IF(Table1[[#This Row],[automation_risk_percent]]&gt;0.4,"Moderate Risk","Safe Job"))</f>
        <v>Highly Automatable</v>
      </c>
    </row>
    <row r="2632" spans="1:24" x14ac:dyDescent="0.3">
      <c r="A2632">
        <v>9295</v>
      </c>
      <c r="B2632" t="s">
        <v>26</v>
      </c>
      <c r="C2632" t="s">
        <v>23</v>
      </c>
      <c r="D2632" t="s">
        <v>35</v>
      </c>
      <c r="E2632" s="1">
        <v>2026</v>
      </c>
      <c r="F2632" s="11">
        <v>0.48670000000000002</v>
      </c>
      <c r="G2632">
        <v>46.66</v>
      </c>
      <c r="H2632">
        <v>82.02</v>
      </c>
      <c r="I2632" s="2">
        <v>69487.14</v>
      </c>
      <c r="J2632" s="2">
        <v>74203.06</v>
      </c>
      <c r="K2632" s="2">
        <f>Table1[[#This Row],[Salary_after]]-Table1[[#This Row],[Salary_before]]</f>
        <v>4715.9199999999983</v>
      </c>
      <c r="L2632" s="11">
        <v>6.7900000000000002E-2</v>
      </c>
      <c r="M2632" s="11">
        <v>-1.11E-2</v>
      </c>
      <c r="N2632">
        <v>99.82</v>
      </c>
      <c r="O2632">
        <v>48.6</v>
      </c>
      <c r="P2632">
        <v>2</v>
      </c>
      <c r="Q2632" t="s">
        <v>25</v>
      </c>
      <c r="R2632">
        <v>65.344999999999999</v>
      </c>
      <c r="S2632">
        <v>6.79</v>
      </c>
      <c r="T2632" s="4">
        <v>46.110999999999997</v>
      </c>
      <c r="U2632" s="4">
        <v>23.65362</v>
      </c>
      <c r="V2632" t="str">
        <f>IF(Table1[[#This Row],[ai_disruption_intensity]]&gt;70,"High",
IF(Table1[[#This Row],[ai_disruption_intensity]]&gt;40,"Medium","Low"))</f>
        <v>Low</v>
      </c>
      <c r="W2632" t="str">
        <f>IF(Table1[[#This Row],[skill_gap_index]]&gt;70,"Large Gap",
IF(Table1[[#This Row],[skill_gap_index]]&gt;40,"Medium Gap","Small Gap"))</f>
        <v>Large Gap</v>
      </c>
      <c r="X2632" s="3" t="str">
        <f>IF(Table1[[#This Row],[automation_risk_percent]]&gt;0.7,"Highly Automatable",
IF(Table1[[#This Row],[automation_risk_percent]]&gt;0.4,"Moderate Risk","Safe Job"))</f>
        <v>Moderate Risk</v>
      </c>
    </row>
    <row r="2633" spans="1:24" x14ac:dyDescent="0.3">
      <c r="A2633">
        <v>9301</v>
      </c>
      <c r="B2633" t="s">
        <v>44</v>
      </c>
      <c r="C2633" t="s">
        <v>27</v>
      </c>
      <c r="D2633" t="s">
        <v>24</v>
      </c>
      <c r="E2633" s="1">
        <v>2026</v>
      </c>
      <c r="F2633" s="11">
        <v>0.6492</v>
      </c>
      <c r="G2633">
        <v>72.650000000000006</v>
      </c>
      <c r="H2633">
        <v>47.04</v>
      </c>
      <c r="I2633" s="2">
        <v>69436.75</v>
      </c>
      <c r="J2633" s="2">
        <v>71377.13</v>
      </c>
      <c r="K2633" s="2">
        <f>Table1[[#This Row],[Salary_after]]-Table1[[#This Row],[Salary_before]]</f>
        <v>1940.3800000000047</v>
      </c>
      <c r="L2633" s="11">
        <v>2.7900000000000001E-2</v>
      </c>
      <c r="M2633" s="11">
        <v>0.16079999999999997</v>
      </c>
      <c r="N2633">
        <v>93.79</v>
      </c>
      <c r="O2633">
        <v>25.38</v>
      </c>
      <c r="P2633">
        <v>1</v>
      </c>
      <c r="Q2633" t="s">
        <v>37</v>
      </c>
      <c r="R2633">
        <v>55.98</v>
      </c>
      <c r="S2633">
        <v>2.79</v>
      </c>
      <c r="T2633" s="4">
        <v>40.917000000000002</v>
      </c>
      <c r="U2633" s="4">
        <v>16.476696</v>
      </c>
      <c r="V2633" t="str">
        <f>IF(Table1[[#This Row],[ai_disruption_intensity]]&gt;70,"High",
IF(Table1[[#This Row],[ai_disruption_intensity]]&gt;40,"Medium","Low"))</f>
        <v>Low</v>
      </c>
      <c r="W2633" t="str">
        <f>IF(Table1[[#This Row],[skill_gap_index]]&gt;70,"Large Gap",
IF(Table1[[#This Row],[skill_gap_index]]&gt;40,"Medium Gap","Small Gap"))</f>
        <v>Medium Gap</v>
      </c>
      <c r="X2633" s="3" t="str">
        <f>IF(Table1[[#This Row],[automation_risk_percent]]&gt;0.7,"Highly Automatable",
IF(Table1[[#This Row],[automation_risk_percent]]&gt;0.4,"Moderate Risk","Safe Job"))</f>
        <v>Moderate Risk</v>
      </c>
    </row>
    <row r="2634" spans="1:24" x14ac:dyDescent="0.3">
      <c r="A2634">
        <v>9302</v>
      </c>
      <c r="B2634" t="s">
        <v>43</v>
      </c>
      <c r="C2634" t="s">
        <v>19</v>
      </c>
      <c r="D2634" t="s">
        <v>32</v>
      </c>
      <c r="E2634" s="1">
        <v>2025</v>
      </c>
      <c r="F2634" s="11">
        <v>0.78290000000000004</v>
      </c>
      <c r="G2634">
        <v>74.510000000000005</v>
      </c>
      <c r="H2634">
        <v>38.450000000000003</v>
      </c>
      <c r="I2634" s="2">
        <v>58658</v>
      </c>
      <c r="J2634" s="2">
        <v>45568.78</v>
      </c>
      <c r="K2634" s="2">
        <f>Table1[[#This Row],[Salary_after]]-Table1[[#This Row],[Salary_before]]</f>
        <v>-13089.220000000001</v>
      </c>
      <c r="L2634" s="11">
        <v>-0.22309999999999999</v>
      </c>
      <c r="M2634" s="11">
        <v>5.7999999999999996E-3</v>
      </c>
      <c r="N2634">
        <v>24.33</v>
      </c>
      <c r="O2634">
        <v>71.319999999999993</v>
      </c>
      <c r="P2634">
        <v>1</v>
      </c>
      <c r="Q2634" t="s">
        <v>37</v>
      </c>
      <c r="R2634">
        <v>58.37</v>
      </c>
      <c r="S2634">
        <v>22.31</v>
      </c>
      <c r="T2634" s="4">
        <v>49.543999999999997</v>
      </c>
      <c r="U2634" s="4">
        <v>55.836427999999998</v>
      </c>
      <c r="V2634" t="str">
        <f>IF(Table1[[#This Row],[ai_disruption_intensity]]&gt;70,"High",
IF(Table1[[#This Row],[ai_disruption_intensity]]&gt;40,"Medium","Low"))</f>
        <v>Medium</v>
      </c>
      <c r="W2634" t="str">
        <f>IF(Table1[[#This Row],[skill_gap_index]]&gt;70,"Large Gap",
IF(Table1[[#This Row],[skill_gap_index]]&gt;40,"Medium Gap","Small Gap"))</f>
        <v>Small Gap</v>
      </c>
      <c r="X2634" s="3" t="str">
        <f>IF(Table1[[#This Row],[automation_risk_percent]]&gt;0.7,"Highly Automatable",
IF(Table1[[#This Row],[automation_risk_percent]]&gt;0.4,"Moderate Risk","Safe Job"))</f>
        <v>Highly Automatable</v>
      </c>
    </row>
    <row r="2635" spans="1:24" x14ac:dyDescent="0.3">
      <c r="A2635">
        <v>9304</v>
      </c>
      <c r="B2635" t="s">
        <v>46</v>
      </c>
      <c r="C2635" t="s">
        <v>34</v>
      </c>
      <c r="D2635" t="s">
        <v>28</v>
      </c>
      <c r="E2635" s="1">
        <v>2026</v>
      </c>
      <c r="F2635" s="11">
        <v>0.20660000000000001</v>
      </c>
      <c r="G2635">
        <v>17.14</v>
      </c>
      <c r="H2635">
        <v>57.5</v>
      </c>
      <c r="I2635" s="2">
        <v>128800.81</v>
      </c>
      <c r="J2635" s="2">
        <v>113383.63</v>
      </c>
      <c r="K2635" s="2">
        <f>Table1[[#This Row],[Salary_after]]-Table1[[#This Row],[Salary_before]]</f>
        <v>-15417.179999999993</v>
      </c>
      <c r="L2635" s="11">
        <v>-0.1197</v>
      </c>
      <c r="M2635" s="11">
        <v>7.6E-3</v>
      </c>
      <c r="N2635">
        <v>76.44</v>
      </c>
      <c r="O2635">
        <v>27.09</v>
      </c>
      <c r="P2635">
        <v>5</v>
      </c>
      <c r="Q2635" t="s">
        <v>21</v>
      </c>
      <c r="R2635">
        <v>39.08</v>
      </c>
      <c r="S2635">
        <v>11.97</v>
      </c>
      <c r="T2635" s="4">
        <v>29.105</v>
      </c>
      <c r="U2635" s="4">
        <v>5.596794</v>
      </c>
      <c r="V2635" t="str">
        <f>IF(Table1[[#This Row],[ai_disruption_intensity]]&gt;70,"High",
IF(Table1[[#This Row],[ai_disruption_intensity]]&gt;40,"Medium","Low"))</f>
        <v>Low</v>
      </c>
      <c r="W2635" t="str">
        <f>IF(Table1[[#This Row],[skill_gap_index]]&gt;70,"Large Gap",
IF(Table1[[#This Row],[skill_gap_index]]&gt;40,"Medium Gap","Small Gap"))</f>
        <v>Medium Gap</v>
      </c>
      <c r="X2635" s="3" t="str">
        <f>IF(Table1[[#This Row],[automation_risk_percent]]&gt;0.7,"Highly Automatable",
IF(Table1[[#This Row],[automation_risk_percent]]&gt;0.4,"Moderate Risk","Safe Job"))</f>
        <v>Safe Job</v>
      </c>
    </row>
    <row r="2636" spans="1:24" x14ac:dyDescent="0.3">
      <c r="A2636">
        <v>9308</v>
      </c>
      <c r="B2636" t="s">
        <v>22</v>
      </c>
      <c r="C2636" t="s">
        <v>23</v>
      </c>
      <c r="D2636" t="s">
        <v>24</v>
      </c>
      <c r="E2636" s="1">
        <v>2026</v>
      </c>
      <c r="F2636" s="11">
        <v>0.33189999999999997</v>
      </c>
      <c r="G2636">
        <v>32.24</v>
      </c>
      <c r="H2636">
        <v>77.040000000000006</v>
      </c>
      <c r="I2636" s="2">
        <v>137738.23000000001</v>
      </c>
      <c r="J2636" s="2">
        <v>129839.43</v>
      </c>
      <c r="K2636" s="2">
        <f>Table1[[#This Row],[Salary_after]]-Table1[[#This Row],[Salary_before]]</f>
        <v>-7898.8000000000175</v>
      </c>
      <c r="L2636" s="11">
        <v>-5.7300000000000004E-2</v>
      </c>
      <c r="M2636" s="11">
        <v>-3.9399999999999998E-2</v>
      </c>
      <c r="N2636">
        <v>10.39</v>
      </c>
      <c r="O2636">
        <v>85.66</v>
      </c>
      <c r="P2636">
        <v>2</v>
      </c>
      <c r="Q2636" t="s">
        <v>25</v>
      </c>
      <c r="R2636">
        <v>55.115000000000002</v>
      </c>
      <c r="S2636">
        <v>5.73</v>
      </c>
      <c r="T2636" s="4">
        <v>38.106999999999999</v>
      </c>
      <c r="U2636" s="4">
        <v>28.430553999999901</v>
      </c>
      <c r="V2636" t="str">
        <f>IF(Table1[[#This Row],[ai_disruption_intensity]]&gt;70,"High",
IF(Table1[[#This Row],[ai_disruption_intensity]]&gt;40,"Medium","Low"))</f>
        <v>Low</v>
      </c>
      <c r="W2636" t="str">
        <f>IF(Table1[[#This Row],[skill_gap_index]]&gt;70,"Large Gap",
IF(Table1[[#This Row],[skill_gap_index]]&gt;40,"Medium Gap","Small Gap"))</f>
        <v>Large Gap</v>
      </c>
      <c r="X2636" s="3" t="str">
        <f>IF(Table1[[#This Row],[automation_risk_percent]]&gt;0.7,"Highly Automatable",
IF(Table1[[#This Row],[automation_risk_percent]]&gt;0.4,"Moderate Risk","Safe Job"))</f>
        <v>Safe Job</v>
      </c>
    </row>
    <row r="2637" spans="1:24" x14ac:dyDescent="0.3">
      <c r="A2637">
        <v>9310</v>
      </c>
      <c r="B2637" t="s">
        <v>46</v>
      </c>
      <c r="C2637" t="s">
        <v>38</v>
      </c>
      <c r="D2637" t="s">
        <v>20</v>
      </c>
      <c r="E2637" s="1">
        <v>2026</v>
      </c>
      <c r="F2637" s="11">
        <v>0.05</v>
      </c>
      <c r="G2637">
        <v>5.45</v>
      </c>
      <c r="H2637">
        <v>84.66</v>
      </c>
      <c r="I2637" s="2">
        <v>127223.13</v>
      </c>
      <c r="J2637" s="2">
        <v>131420.68</v>
      </c>
      <c r="K2637" s="2">
        <f>Table1[[#This Row],[Salary_after]]-Table1[[#This Row],[Salary_before]]</f>
        <v>4197.5499999999884</v>
      </c>
      <c r="L2637" s="11">
        <v>3.3000000000000002E-2</v>
      </c>
      <c r="M2637" s="11">
        <v>5.8899999999999994E-2</v>
      </c>
      <c r="N2637">
        <v>10.14</v>
      </c>
      <c r="O2637">
        <v>31.95</v>
      </c>
      <c r="P2637">
        <v>3</v>
      </c>
      <c r="Q2637" t="s">
        <v>21</v>
      </c>
      <c r="R2637">
        <v>44.83</v>
      </c>
      <c r="S2637">
        <v>3.3</v>
      </c>
      <c r="T2637" s="4">
        <v>28.387999999999899</v>
      </c>
      <c r="U2637" s="4">
        <v>1.5974999999999999</v>
      </c>
      <c r="V2637" t="str">
        <f>IF(Table1[[#This Row],[ai_disruption_intensity]]&gt;70,"High",
IF(Table1[[#This Row],[ai_disruption_intensity]]&gt;40,"Medium","Low"))</f>
        <v>Low</v>
      </c>
      <c r="W2637" t="str">
        <f>IF(Table1[[#This Row],[skill_gap_index]]&gt;70,"Large Gap",
IF(Table1[[#This Row],[skill_gap_index]]&gt;40,"Medium Gap","Small Gap"))</f>
        <v>Large Gap</v>
      </c>
      <c r="X2637" s="3" t="str">
        <f>IF(Table1[[#This Row],[automation_risk_percent]]&gt;0.7,"Highly Automatable",
IF(Table1[[#This Row],[automation_risk_percent]]&gt;0.4,"Moderate Risk","Safe Job"))</f>
        <v>Safe Job</v>
      </c>
    </row>
    <row r="2638" spans="1:24" x14ac:dyDescent="0.3">
      <c r="A2638">
        <v>9311</v>
      </c>
      <c r="B2638" t="s">
        <v>22</v>
      </c>
      <c r="C2638" t="s">
        <v>30</v>
      </c>
      <c r="D2638" t="s">
        <v>31</v>
      </c>
      <c r="E2638" s="1">
        <v>2025</v>
      </c>
      <c r="F2638" s="11">
        <v>0.317</v>
      </c>
      <c r="G2638">
        <v>29.79</v>
      </c>
      <c r="H2638">
        <v>80</v>
      </c>
      <c r="I2638" s="2">
        <v>72179.59</v>
      </c>
      <c r="J2638" s="2">
        <v>89100.01</v>
      </c>
      <c r="K2638" s="2">
        <f>Table1[[#This Row],[Salary_after]]-Table1[[#This Row],[Salary_before]]</f>
        <v>16920.419999999998</v>
      </c>
      <c r="L2638" s="11">
        <v>0.23440000000000003</v>
      </c>
      <c r="M2638" s="11">
        <v>0.1057</v>
      </c>
      <c r="N2638">
        <v>86.08</v>
      </c>
      <c r="O2638">
        <v>61.59</v>
      </c>
      <c r="P2638">
        <v>2</v>
      </c>
      <c r="Q2638" t="s">
        <v>25</v>
      </c>
      <c r="R2638">
        <v>55.85</v>
      </c>
      <c r="S2638">
        <v>23.44</v>
      </c>
      <c r="T2638" s="4">
        <v>43.712000000000003</v>
      </c>
      <c r="U2638" s="4">
        <v>19.52403</v>
      </c>
      <c r="V2638" t="str">
        <f>IF(Table1[[#This Row],[ai_disruption_intensity]]&gt;70,"High",
IF(Table1[[#This Row],[ai_disruption_intensity]]&gt;40,"Medium","Low"))</f>
        <v>Low</v>
      </c>
      <c r="W2638" t="str">
        <f>IF(Table1[[#This Row],[skill_gap_index]]&gt;70,"Large Gap",
IF(Table1[[#This Row],[skill_gap_index]]&gt;40,"Medium Gap","Small Gap"))</f>
        <v>Large Gap</v>
      </c>
      <c r="X2638" s="3" t="str">
        <f>IF(Table1[[#This Row],[automation_risk_percent]]&gt;0.7,"Highly Automatable",
IF(Table1[[#This Row],[automation_risk_percent]]&gt;0.4,"Moderate Risk","Safe Job"))</f>
        <v>Safe Job</v>
      </c>
    </row>
    <row r="2639" spans="1:24" x14ac:dyDescent="0.3">
      <c r="A2639">
        <v>9312</v>
      </c>
      <c r="B2639" t="s">
        <v>41</v>
      </c>
      <c r="C2639" t="s">
        <v>30</v>
      </c>
      <c r="D2639" t="s">
        <v>24</v>
      </c>
      <c r="E2639" s="1">
        <v>2025</v>
      </c>
      <c r="F2639" s="11">
        <v>0.51690000000000003</v>
      </c>
      <c r="G2639">
        <v>55.72</v>
      </c>
      <c r="H2639">
        <v>51.55</v>
      </c>
      <c r="I2639" s="2">
        <v>93408.27</v>
      </c>
      <c r="J2639" s="2">
        <v>80644.179999999993</v>
      </c>
      <c r="K2639" s="2">
        <f>Table1[[#This Row],[Salary_after]]-Table1[[#This Row],[Salary_before]]</f>
        <v>-12764.090000000011</v>
      </c>
      <c r="L2639" s="11">
        <v>-0.1366</v>
      </c>
      <c r="M2639" s="11">
        <v>-4.9800000000000004E-2</v>
      </c>
      <c r="N2639">
        <v>19.03</v>
      </c>
      <c r="O2639">
        <v>19.86</v>
      </c>
      <c r="P2639">
        <v>3</v>
      </c>
      <c r="Q2639" t="s">
        <v>25</v>
      </c>
      <c r="R2639">
        <v>51.62</v>
      </c>
      <c r="S2639">
        <v>13.66</v>
      </c>
      <c r="T2639" s="4">
        <v>40.238999999999997</v>
      </c>
      <c r="U2639" s="4">
        <v>10.265634</v>
      </c>
      <c r="V2639" t="str">
        <f>IF(Table1[[#This Row],[ai_disruption_intensity]]&gt;70,"High",
IF(Table1[[#This Row],[ai_disruption_intensity]]&gt;40,"Medium","Low"))</f>
        <v>Low</v>
      </c>
      <c r="W2639" t="str">
        <f>IF(Table1[[#This Row],[skill_gap_index]]&gt;70,"Large Gap",
IF(Table1[[#This Row],[skill_gap_index]]&gt;40,"Medium Gap","Small Gap"))</f>
        <v>Medium Gap</v>
      </c>
      <c r="X2639" s="3" t="str">
        <f>IF(Table1[[#This Row],[automation_risk_percent]]&gt;0.7,"Highly Automatable",
IF(Table1[[#This Row],[automation_risk_percent]]&gt;0.4,"Moderate Risk","Safe Job"))</f>
        <v>Moderate Risk</v>
      </c>
    </row>
    <row r="2640" spans="1:24" x14ac:dyDescent="0.3">
      <c r="A2640">
        <v>9313</v>
      </c>
      <c r="B2640" t="s">
        <v>43</v>
      </c>
      <c r="C2640" t="s">
        <v>34</v>
      </c>
      <c r="D2640" t="s">
        <v>31</v>
      </c>
      <c r="E2640" s="1">
        <v>2026</v>
      </c>
      <c r="F2640" s="11">
        <v>0.78659999999999997</v>
      </c>
      <c r="G2640">
        <v>71.73</v>
      </c>
      <c r="H2640">
        <v>51.82</v>
      </c>
      <c r="I2640" s="2">
        <v>95919.91</v>
      </c>
      <c r="J2640" s="2">
        <v>90191.77</v>
      </c>
      <c r="K2640" s="2">
        <f>Table1[[#This Row],[Salary_after]]-Table1[[#This Row],[Salary_before]]</f>
        <v>-5728.1399999999994</v>
      </c>
      <c r="L2640" s="11">
        <v>-5.9699999999999996E-2</v>
      </c>
      <c r="M2640" s="11">
        <v>5.79E-2</v>
      </c>
      <c r="N2640">
        <v>79.430000000000007</v>
      </c>
      <c r="O2640">
        <v>73.03</v>
      </c>
      <c r="P2640">
        <v>1</v>
      </c>
      <c r="Q2640" t="s">
        <v>37</v>
      </c>
      <c r="R2640">
        <v>65.239999999999995</v>
      </c>
      <c r="S2640">
        <v>5.97</v>
      </c>
      <c r="T2640" s="4">
        <v>48.800999999999902</v>
      </c>
      <c r="U2640" s="4">
        <v>57.445397999999997</v>
      </c>
      <c r="V2640" t="str">
        <f>IF(Table1[[#This Row],[ai_disruption_intensity]]&gt;70,"High",
IF(Table1[[#This Row],[ai_disruption_intensity]]&gt;40,"Medium","Low"))</f>
        <v>Medium</v>
      </c>
      <c r="W2640" t="str">
        <f>IF(Table1[[#This Row],[skill_gap_index]]&gt;70,"Large Gap",
IF(Table1[[#This Row],[skill_gap_index]]&gt;40,"Medium Gap","Small Gap"))</f>
        <v>Medium Gap</v>
      </c>
      <c r="X2640" s="3" t="str">
        <f>IF(Table1[[#This Row],[automation_risk_percent]]&gt;0.7,"Highly Automatable",
IF(Table1[[#This Row],[automation_risk_percent]]&gt;0.4,"Moderate Risk","Safe Job"))</f>
        <v>Highly Automatable</v>
      </c>
    </row>
    <row r="2641" spans="1:24" x14ac:dyDescent="0.3">
      <c r="A2641">
        <v>9315</v>
      </c>
      <c r="B2641" t="s">
        <v>18</v>
      </c>
      <c r="C2641" t="s">
        <v>23</v>
      </c>
      <c r="D2641" t="s">
        <v>42</v>
      </c>
      <c r="E2641" s="1">
        <v>2025</v>
      </c>
      <c r="F2641" s="11">
        <v>0.76190000000000002</v>
      </c>
      <c r="G2641">
        <v>70.52</v>
      </c>
      <c r="H2641">
        <v>58.42</v>
      </c>
      <c r="I2641" s="2">
        <v>82811.149999999994</v>
      </c>
      <c r="J2641" s="2">
        <v>77050.460000000006</v>
      </c>
      <c r="K2641" s="2">
        <f>Table1[[#This Row],[Salary_after]]-Table1[[#This Row],[Salary_before]]</f>
        <v>-5760.6899999999878</v>
      </c>
      <c r="L2641" s="11">
        <v>-6.9599999999999995E-2</v>
      </c>
      <c r="M2641" s="11">
        <v>-3.5699999999999996E-2</v>
      </c>
      <c r="N2641">
        <v>43.95</v>
      </c>
      <c r="O2641">
        <v>49.85</v>
      </c>
      <c r="P2641">
        <v>4</v>
      </c>
      <c r="Q2641" t="s">
        <v>37</v>
      </c>
      <c r="R2641">
        <v>67.305000000000007</v>
      </c>
      <c r="S2641">
        <v>6.96</v>
      </c>
      <c r="T2641" s="4">
        <v>50.089999999999897</v>
      </c>
      <c r="U2641" s="4">
        <v>37.980714999999996</v>
      </c>
      <c r="V2641" t="str">
        <f>IF(Table1[[#This Row],[ai_disruption_intensity]]&gt;70,"High",
IF(Table1[[#This Row],[ai_disruption_intensity]]&gt;40,"Medium","Low"))</f>
        <v>Low</v>
      </c>
      <c r="W2641" t="str">
        <f>IF(Table1[[#This Row],[skill_gap_index]]&gt;70,"Large Gap",
IF(Table1[[#This Row],[skill_gap_index]]&gt;40,"Medium Gap","Small Gap"))</f>
        <v>Medium Gap</v>
      </c>
      <c r="X2641" s="3" t="str">
        <f>IF(Table1[[#This Row],[automation_risk_percent]]&gt;0.7,"Highly Automatable",
IF(Table1[[#This Row],[automation_risk_percent]]&gt;0.4,"Moderate Risk","Safe Job"))</f>
        <v>Highly Automatable</v>
      </c>
    </row>
    <row r="2642" spans="1:24" x14ac:dyDescent="0.3">
      <c r="A2642">
        <v>9316</v>
      </c>
      <c r="B2642" t="s">
        <v>46</v>
      </c>
      <c r="C2642" t="s">
        <v>30</v>
      </c>
      <c r="D2642" t="s">
        <v>28</v>
      </c>
      <c r="E2642" s="1">
        <v>2026</v>
      </c>
      <c r="F2642" s="11">
        <v>0.10099999999999999</v>
      </c>
      <c r="G2642">
        <v>10.62</v>
      </c>
      <c r="H2642">
        <v>51.47</v>
      </c>
      <c r="I2642" s="2">
        <v>66361.240000000005</v>
      </c>
      <c r="J2642" s="2">
        <v>67304.7</v>
      </c>
      <c r="K2642" s="2">
        <f>Table1[[#This Row],[Salary_after]]-Table1[[#This Row],[Salary_before]]</f>
        <v>943.45999999999185</v>
      </c>
      <c r="L2642" s="11">
        <v>1.4199999999999999E-2</v>
      </c>
      <c r="M2642" s="11">
        <v>0.2445</v>
      </c>
      <c r="N2642">
        <v>85.66</v>
      </c>
      <c r="O2642">
        <v>85.54</v>
      </c>
      <c r="P2642">
        <v>5</v>
      </c>
      <c r="Q2642" t="s">
        <v>21</v>
      </c>
      <c r="R2642">
        <v>30.785</v>
      </c>
      <c r="S2642">
        <v>1.42</v>
      </c>
      <c r="T2642" s="4">
        <v>19.906999999999901</v>
      </c>
      <c r="U2642" s="4">
        <v>8.6395400000000002</v>
      </c>
      <c r="V2642" t="str">
        <f>IF(Table1[[#This Row],[ai_disruption_intensity]]&gt;70,"High",
IF(Table1[[#This Row],[ai_disruption_intensity]]&gt;40,"Medium","Low"))</f>
        <v>Low</v>
      </c>
      <c r="W2642" t="str">
        <f>IF(Table1[[#This Row],[skill_gap_index]]&gt;70,"Large Gap",
IF(Table1[[#This Row],[skill_gap_index]]&gt;40,"Medium Gap","Small Gap"))</f>
        <v>Medium Gap</v>
      </c>
      <c r="X2642" s="3" t="str">
        <f>IF(Table1[[#This Row],[automation_risk_percent]]&gt;0.7,"Highly Automatable",
IF(Table1[[#This Row],[automation_risk_percent]]&gt;0.4,"Moderate Risk","Safe Job"))</f>
        <v>Safe Job</v>
      </c>
    </row>
    <row r="2643" spans="1:24" x14ac:dyDescent="0.3">
      <c r="A2643">
        <v>9319</v>
      </c>
      <c r="B2643" t="s">
        <v>29</v>
      </c>
      <c r="C2643" t="s">
        <v>34</v>
      </c>
      <c r="D2643" t="s">
        <v>35</v>
      </c>
      <c r="E2643" s="1">
        <v>2025</v>
      </c>
      <c r="F2643" s="11">
        <v>0.30980000000000002</v>
      </c>
      <c r="G2643">
        <v>30.52</v>
      </c>
      <c r="H2643">
        <v>15.06</v>
      </c>
      <c r="I2643" s="2">
        <v>124842.66</v>
      </c>
      <c r="J2643" s="2">
        <v>124494.64</v>
      </c>
      <c r="K2643" s="2">
        <f>Table1[[#This Row],[Salary_after]]-Table1[[#This Row],[Salary_before]]</f>
        <v>-348.02000000000407</v>
      </c>
      <c r="L2643" s="11">
        <v>-2.8000000000000004E-3</v>
      </c>
      <c r="M2643" s="11">
        <v>0.12770000000000001</v>
      </c>
      <c r="N2643">
        <v>98.67</v>
      </c>
      <c r="O2643">
        <v>45.3</v>
      </c>
      <c r="P2643">
        <v>2</v>
      </c>
      <c r="Q2643" t="s">
        <v>25</v>
      </c>
      <c r="R2643">
        <v>23.02</v>
      </c>
      <c r="S2643">
        <v>0.28000000000000003</v>
      </c>
      <c r="T2643" s="4">
        <v>16.994</v>
      </c>
      <c r="U2643" s="4">
        <v>14.033939999999999</v>
      </c>
      <c r="V2643" t="str">
        <f>IF(Table1[[#This Row],[ai_disruption_intensity]]&gt;70,"High",
IF(Table1[[#This Row],[ai_disruption_intensity]]&gt;40,"Medium","Low"))</f>
        <v>Low</v>
      </c>
      <c r="W2643" t="str">
        <f>IF(Table1[[#This Row],[skill_gap_index]]&gt;70,"Large Gap",
IF(Table1[[#This Row],[skill_gap_index]]&gt;40,"Medium Gap","Small Gap"))</f>
        <v>Small Gap</v>
      </c>
      <c r="X2643" s="3" t="str">
        <f>IF(Table1[[#This Row],[automation_risk_percent]]&gt;0.7,"Highly Automatable",
IF(Table1[[#This Row],[automation_risk_percent]]&gt;0.4,"Moderate Risk","Safe Job"))</f>
        <v>Safe Job</v>
      </c>
    </row>
    <row r="2644" spans="1:24" x14ac:dyDescent="0.3">
      <c r="A2644">
        <v>9321</v>
      </c>
      <c r="B2644" t="s">
        <v>41</v>
      </c>
      <c r="C2644" t="s">
        <v>33</v>
      </c>
      <c r="D2644" t="s">
        <v>31</v>
      </c>
      <c r="E2644" s="1">
        <v>2025</v>
      </c>
      <c r="F2644" s="11">
        <v>0.63129999999999997</v>
      </c>
      <c r="G2644">
        <v>55.2</v>
      </c>
      <c r="H2644">
        <v>61.73</v>
      </c>
      <c r="I2644" s="2">
        <v>121252.77</v>
      </c>
      <c r="J2644" s="2">
        <v>119650.49</v>
      </c>
      <c r="K2644" s="2">
        <f>Table1[[#This Row],[Salary_after]]-Table1[[#This Row],[Salary_before]]</f>
        <v>-1602.2799999999988</v>
      </c>
      <c r="L2644" s="11">
        <v>-1.32E-2</v>
      </c>
      <c r="M2644" s="11">
        <v>-0.122</v>
      </c>
      <c r="N2644">
        <v>47.82</v>
      </c>
      <c r="O2644">
        <v>75.489999999999995</v>
      </c>
      <c r="P2644">
        <v>4</v>
      </c>
      <c r="Q2644" t="s">
        <v>37</v>
      </c>
      <c r="R2644">
        <v>62.43</v>
      </c>
      <c r="S2644">
        <v>1.32</v>
      </c>
      <c r="T2644" s="4">
        <v>44.167000000000002</v>
      </c>
      <c r="U2644" s="4">
        <v>47.656836999999904</v>
      </c>
      <c r="V2644" t="str">
        <f>IF(Table1[[#This Row],[ai_disruption_intensity]]&gt;70,"High",
IF(Table1[[#This Row],[ai_disruption_intensity]]&gt;40,"Medium","Low"))</f>
        <v>Medium</v>
      </c>
      <c r="W2644" t="str">
        <f>IF(Table1[[#This Row],[skill_gap_index]]&gt;70,"Large Gap",
IF(Table1[[#This Row],[skill_gap_index]]&gt;40,"Medium Gap","Small Gap"))</f>
        <v>Medium Gap</v>
      </c>
      <c r="X2644" s="3" t="str">
        <f>IF(Table1[[#This Row],[automation_risk_percent]]&gt;0.7,"Highly Automatable",
IF(Table1[[#This Row],[automation_risk_percent]]&gt;0.4,"Moderate Risk","Safe Job"))</f>
        <v>Moderate Risk</v>
      </c>
    </row>
    <row r="2645" spans="1:24" x14ac:dyDescent="0.3">
      <c r="A2645">
        <v>9322</v>
      </c>
      <c r="B2645" t="s">
        <v>45</v>
      </c>
      <c r="C2645" t="s">
        <v>23</v>
      </c>
      <c r="D2645" t="s">
        <v>32</v>
      </c>
      <c r="E2645" s="1">
        <v>2026</v>
      </c>
      <c r="F2645" s="11">
        <v>0.51990000000000003</v>
      </c>
      <c r="G2645">
        <v>44.1</v>
      </c>
      <c r="H2645">
        <v>97.67</v>
      </c>
      <c r="I2645" s="2">
        <v>139480.5</v>
      </c>
      <c r="J2645" s="2">
        <v>159386.35</v>
      </c>
      <c r="K2645" s="2">
        <f>Table1[[#This Row],[Salary_after]]-Table1[[#This Row],[Salary_before]]</f>
        <v>19905.850000000006</v>
      </c>
      <c r="L2645" s="11">
        <v>0.14269999999999999</v>
      </c>
      <c r="M2645" s="11">
        <v>9.0500000000000011E-2</v>
      </c>
      <c r="N2645">
        <v>11.8</v>
      </c>
      <c r="O2645">
        <v>20.149999999999999</v>
      </c>
      <c r="P2645">
        <v>3</v>
      </c>
      <c r="Q2645" t="s">
        <v>25</v>
      </c>
      <c r="R2645">
        <v>74.83</v>
      </c>
      <c r="S2645">
        <v>14.27</v>
      </c>
      <c r="T2645" s="4">
        <v>54.378</v>
      </c>
      <c r="U2645" s="4">
        <v>10.475985</v>
      </c>
      <c r="V2645" t="str">
        <f>IF(Table1[[#This Row],[ai_disruption_intensity]]&gt;70,"High",
IF(Table1[[#This Row],[ai_disruption_intensity]]&gt;40,"Medium","Low"))</f>
        <v>Low</v>
      </c>
      <c r="W2645" t="str">
        <f>IF(Table1[[#This Row],[skill_gap_index]]&gt;70,"Large Gap",
IF(Table1[[#This Row],[skill_gap_index]]&gt;40,"Medium Gap","Small Gap"))</f>
        <v>Large Gap</v>
      </c>
      <c r="X2645" s="3" t="str">
        <f>IF(Table1[[#This Row],[automation_risk_percent]]&gt;0.7,"Highly Automatable",
IF(Table1[[#This Row],[automation_risk_percent]]&gt;0.4,"Moderate Risk","Safe Job"))</f>
        <v>Moderate Risk</v>
      </c>
    </row>
    <row r="2646" spans="1:24" x14ac:dyDescent="0.3">
      <c r="A2646">
        <v>9323</v>
      </c>
      <c r="B2646" t="s">
        <v>29</v>
      </c>
      <c r="C2646" t="s">
        <v>30</v>
      </c>
      <c r="D2646" t="s">
        <v>42</v>
      </c>
      <c r="E2646" s="1">
        <v>2026</v>
      </c>
      <c r="F2646" s="11">
        <v>0.78749999999999998</v>
      </c>
      <c r="G2646">
        <v>66.349999999999994</v>
      </c>
      <c r="H2646">
        <v>4.2699999999999996</v>
      </c>
      <c r="I2646" s="2">
        <v>103885.91</v>
      </c>
      <c r="J2646" s="2">
        <v>104584.63</v>
      </c>
      <c r="K2646" s="2">
        <f>Table1[[#This Row],[Salary_after]]-Table1[[#This Row],[Salary_before]]</f>
        <v>698.72000000000116</v>
      </c>
      <c r="L2646" s="11">
        <v>6.7000000000000002E-3</v>
      </c>
      <c r="M2646" s="11">
        <v>-3.2400000000000005E-2</v>
      </c>
      <c r="N2646">
        <v>70.92</v>
      </c>
      <c r="O2646">
        <v>18.329999999999998</v>
      </c>
      <c r="P2646">
        <v>3</v>
      </c>
      <c r="Q2646" t="s">
        <v>37</v>
      </c>
      <c r="R2646">
        <v>41.51</v>
      </c>
      <c r="S2646">
        <v>0.67</v>
      </c>
      <c r="T2646" s="4">
        <v>32.981999999999999</v>
      </c>
      <c r="U2646" s="4">
        <v>14.434875</v>
      </c>
      <c r="V2646" t="str">
        <f>IF(Table1[[#This Row],[ai_disruption_intensity]]&gt;70,"High",
IF(Table1[[#This Row],[ai_disruption_intensity]]&gt;40,"Medium","Low"))</f>
        <v>Low</v>
      </c>
      <c r="W2646" t="str">
        <f>IF(Table1[[#This Row],[skill_gap_index]]&gt;70,"Large Gap",
IF(Table1[[#This Row],[skill_gap_index]]&gt;40,"Medium Gap","Small Gap"))</f>
        <v>Small Gap</v>
      </c>
      <c r="X2646" s="3" t="str">
        <f>IF(Table1[[#This Row],[automation_risk_percent]]&gt;0.7,"Highly Automatable",
IF(Table1[[#This Row],[automation_risk_percent]]&gt;0.4,"Moderate Risk","Safe Job"))</f>
        <v>Highly Automatable</v>
      </c>
    </row>
    <row r="2647" spans="1:24" x14ac:dyDescent="0.3">
      <c r="A2647">
        <v>9324</v>
      </c>
      <c r="B2647" t="s">
        <v>46</v>
      </c>
      <c r="C2647" t="s">
        <v>19</v>
      </c>
      <c r="D2647" t="s">
        <v>20</v>
      </c>
      <c r="E2647" s="1">
        <v>2026</v>
      </c>
      <c r="F2647" s="11">
        <v>0.3281</v>
      </c>
      <c r="G2647">
        <v>26.52</v>
      </c>
      <c r="H2647">
        <v>26.47</v>
      </c>
      <c r="I2647" s="2">
        <v>51552.52</v>
      </c>
      <c r="J2647" s="2">
        <v>49060.19</v>
      </c>
      <c r="K2647" s="2">
        <f>Table1[[#This Row],[Salary_after]]-Table1[[#This Row],[Salary_before]]</f>
        <v>-2492.3299999999945</v>
      </c>
      <c r="L2647" s="11">
        <v>-4.8300000000000003E-2</v>
      </c>
      <c r="M2647" s="11">
        <v>-8.6999999999999994E-3</v>
      </c>
      <c r="N2647">
        <v>82.48</v>
      </c>
      <c r="O2647">
        <v>94.98</v>
      </c>
      <c r="P2647">
        <v>5</v>
      </c>
      <c r="Q2647" t="s">
        <v>25</v>
      </c>
      <c r="R2647">
        <v>29.64</v>
      </c>
      <c r="S2647">
        <v>4.83</v>
      </c>
      <c r="T2647" s="4">
        <v>22.513999999999999</v>
      </c>
      <c r="U2647" s="4">
        <v>31.162938</v>
      </c>
      <c r="V2647" t="str">
        <f>IF(Table1[[#This Row],[ai_disruption_intensity]]&gt;70,"High",
IF(Table1[[#This Row],[ai_disruption_intensity]]&gt;40,"Medium","Low"))</f>
        <v>Low</v>
      </c>
      <c r="W2647" t="str">
        <f>IF(Table1[[#This Row],[skill_gap_index]]&gt;70,"Large Gap",
IF(Table1[[#This Row],[skill_gap_index]]&gt;40,"Medium Gap","Small Gap"))</f>
        <v>Small Gap</v>
      </c>
      <c r="X2647" s="3" t="str">
        <f>IF(Table1[[#This Row],[automation_risk_percent]]&gt;0.7,"Highly Automatable",
IF(Table1[[#This Row],[automation_risk_percent]]&gt;0.4,"Moderate Risk","Safe Job"))</f>
        <v>Safe Job</v>
      </c>
    </row>
    <row r="2648" spans="1:24" x14ac:dyDescent="0.3">
      <c r="A2648">
        <v>9327</v>
      </c>
      <c r="B2648" t="s">
        <v>41</v>
      </c>
      <c r="C2648" t="s">
        <v>19</v>
      </c>
      <c r="D2648" t="s">
        <v>20</v>
      </c>
      <c r="E2648" s="1">
        <v>2025</v>
      </c>
      <c r="F2648" s="11">
        <v>0.54759999999999998</v>
      </c>
      <c r="G2648">
        <v>51.64</v>
      </c>
      <c r="H2648">
        <v>28.97</v>
      </c>
      <c r="I2648" s="2">
        <v>102233.75</v>
      </c>
      <c r="J2648" s="2">
        <v>108099.8</v>
      </c>
      <c r="K2648" s="2">
        <f>Table1[[#This Row],[Salary_after]]-Table1[[#This Row],[Salary_before]]</f>
        <v>5866.0500000000029</v>
      </c>
      <c r="L2648" s="11">
        <v>5.74E-2</v>
      </c>
      <c r="M2648" s="11">
        <v>-1.6500000000000001E-2</v>
      </c>
      <c r="N2648">
        <v>53.35</v>
      </c>
      <c r="O2648">
        <v>88.36</v>
      </c>
      <c r="P2648">
        <v>5</v>
      </c>
      <c r="Q2648" t="s">
        <v>25</v>
      </c>
      <c r="R2648">
        <v>41.864999999999903</v>
      </c>
      <c r="S2648">
        <v>5.74</v>
      </c>
      <c r="T2648" s="4">
        <v>32.317</v>
      </c>
      <c r="U2648" s="4">
        <v>48.385936000000001</v>
      </c>
      <c r="V2648" t="str">
        <f>IF(Table1[[#This Row],[ai_disruption_intensity]]&gt;70,"High",
IF(Table1[[#This Row],[ai_disruption_intensity]]&gt;40,"Medium","Low"))</f>
        <v>Medium</v>
      </c>
      <c r="W2648" t="str">
        <f>IF(Table1[[#This Row],[skill_gap_index]]&gt;70,"Large Gap",
IF(Table1[[#This Row],[skill_gap_index]]&gt;40,"Medium Gap","Small Gap"))</f>
        <v>Small Gap</v>
      </c>
      <c r="X2648" s="3" t="str">
        <f>IF(Table1[[#This Row],[automation_risk_percent]]&gt;0.7,"Highly Automatable",
IF(Table1[[#This Row],[automation_risk_percent]]&gt;0.4,"Moderate Risk","Safe Job"))</f>
        <v>Moderate Risk</v>
      </c>
    </row>
    <row r="2649" spans="1:24" x14ac:dyDescent="0.3">
      <c r="A2649">
        <v>9336</v>
      </c>
      <c r="B2649" t="s">
        <v>43</v>
      </c>
      <c r="C2649" t="s">
        <v>34</v>
      </c>
      <c r="D2649" t="s">
        <v>31</v>
      </c>
      <c r="E2649" s="1">
        <v>2026</v>
      </c>
      <c r="F2649" s="11">
        <v>0.79269999999999996</v>
      </c>
      <c r="G2649">
        <v>76.37</v>
      </c>
      <c r="H2649">
        <v>54.56</v>
      </c>
      <c r="I2649" s="2">
        <v>102089.68</v>
      </c>
      <c r="J2649" s="2">
        <v>93300.12</v>
      </c>
      <c r="K2649" s="2">
        <f>Table1[[#This Row],[Salary_after]]-Table1[[#This Row],[Salary_before]]</f>
        <v>-8789.5599999999977</v>
      </c>
      <c r="L2649" s="11">
        <v>-8.6099999999999996E-2</v>
      </c>
      <c r="M2649" s="11">
        <v>6.2300000000000001E-2</v>
      </c>
      <c r="N2649">
        <v>20.350000000000001</v>
      </c>
      <c r="O2649">
        <v>88.88</v>
      </c>
      <c r="P2649">
        <v>1</v>
      </c>
      <c r="Q2649" t="s">
        <v>37</v>
      </c>
      <c r="R2649">
        <v>66.914999999999907</v>
      </c>
      <c r="S2649">
        <v>8.61</v>
      </c>
      <c r="T2649" s="4">
        <v>50.658999999999899</v>
      </c>
      <c r="U2649" s="4">
        <v>70.455175999999994</v>
      </c>
      <c r="V2649" t="str">
        <f>IF(Table1[[#This Row],[ai_disruption_intensity]]&gt;70,"High",
IF(Table1[[#This Row],[ai_disruption_intensity]]&gt;40,"Medium","Low"))</f>
        <v>High</v>
      </c>
      <c r="W2649" t="str">
        <f>IF(Table1[[#This Row],[skill_gap_index]]&gt;70,"Large Gap",
IF(Table1[[#This Row],[skill_gap_index]]&gt;40,"Medium Gap","Small Gap"))</f>
        <v>Medium Gap</v>
      </c>
      <c r="X2649" s="3" t="str">
        <f>IF(Table1[[#This Row],[automation_risk_percent]]&gt;0.7,"Highly Automatable",
IF(Table1[[#This Row],[automation_risk_percent]]&gt;0.4,"Moderate Risk","Safe Job"))</f>
        <v>Highly Automatable</v>
      </c>
    </row>
    <row r="2650" spans="1:24" x14ac:dyDescent="0.3">
      <c r="A2650">
        <v>9341</v>
      </c>
      <c r="B2650" t="s">
        <v>46</v>
      </c>
      <c r="C2650" t="s">
        <v>34</v>
      </c>
      <c r="D2650" t="s">
        <v>28</v>
      </c>
      <c r="E2650" s="1">
        <v>2026</v>
      </c>
      <c r="F2650" s="11">
        <v>0.51419999999999999</v>
      </c>
      <c r="G2650">
        <v>46.33</v>
      </c>
      <c r="H2650">
        <v>17.98</v>
      </c>
      <c r="I2650" s="2">
        <v>74621.42</v>
      </c>
      <c r="J2650" s="2">
        <v>71569.56</v>
      </c>
      <c r="K2650" s="2">
        <f>Table1[[#This Row],[Salary_after]]-Table1[[#This Row],[Salary_before]]</f>
        <v>-3051.8600000000006</v>
      </c>
      <c r="L2650" s="11">
        <v>-4.0899999999999999E-2</v>
      </c>
      <c r="M2650" s="11">
        <v>-2.8000000000000004E-3</v>
      </c>
      <c r="N2650">
        <v>88.36</v>
      </c>
      <c r="O2650">
        <v>29.52</v>
      </c>
      <c r="P2650">
        <v>3</v>
      </c>
      <c r="Q2650" t="s">
        <v>25</v>
      </c>
      <c r="R2650">
        <v>34.700000000000003</v>
      </c>
      <c r="S2650">
        <v>4.09</v>
      </c>
      <c r="T2650" s="4">
        <v>27.189</v>
      </c>
      <c r="U2650" s="4">
        <v>15.179183999999999</v>
      </c>
      <c r="V2650" t="str">
        <f>IF(Table1[[#This Row],[ai_disruption_intensity]]&gt;70,"High",
IF(Table1[[#This Row],[ai_disruption_intensity]]&gt;40,"Medium","Low"))</f>
        <v>Low</v>
      </c>
      <c r="W2650" t="str">
        <f>IF(Table1[[#This Row],[skill_gap_index]]&gt;70,"Large Gap",
IF(Table1[[#This Row],[skill_gap_index]]&gt;40,"Medium Gap","Small Gap"))</f>
        <v>Small Gap</v>
      </c>
      <c r="X2650" s="3" t="str">
        <f>IF(Table1[[#This Row],[automation_risk_percent]]&gt;0.7,"Highly Automatable",
IF(Table1[[#This Row],[automation_risk_percent]]&gt;0.4,"Moderate Risk","Safe Job"))</f>
        <v>Moderate Risk</v>
      </c>
    </row>
    <row r="2651" spans="1:24" x14ac:dyDescent="0.3">
      <c r="A2651">
        <v>9346</v>
      </c>
      <c r="B2651" t="s">
        <v>22</v>
      </c>
      <c r="C2651" t="s">
        <v>27</v>
      </c>
      <c r="D2651" t="s">
        <v>31</v>
      </c>
      <c r="E2651" s="1">
        <v>2025</v>
      </c>
      <c r="F2651" s="11">
        <v>0.23440000000000003</v>
      </c>
      <c r="G2651">
        <v>22.87</v>
      </c>
      <c r="H2651">
        <v>1.57</v>
      </c>
      <c r="I2651" s="2">
        <v>65222.04</v>
      </c>
      <c r="J2651" s="2">
        <v>76410.98</v>
      </c>
      <c r="K2651" s="2">
        <f>Table1[[#This Row],[Salary_after]]-Table1[[#This Row],[Salary_before]]</f>
        <v>11188.939999999995</v>
      </c>
      <c r="L2651" s="11">
        <v>0.1716</v>
      </c>
      <c r="M2651" s="11">
        <v>-0.1242</v>
      </c>
      <c r="N2651">
        <v>58.89</v>
      </c>
      <c r="O2651">
        <v>36.74</v>
      </c>
      <c r="P2651">
        <v>3</v>
      </c>
      <c r="Q2651" t="s">
        <v>21</v>
      </c>
      <c r="R2651">
        <v>12.505000000000001</v>
      </c>
      <c r="S2651">
        <v>17.16</v>
      </c>
      <c r="T2651" s="4">
        <v>14.994999999999999</v>
      </c>
      <c r="U2651" s="4">
        <v>8.6118559999999995</v>
      </c>
      <c r="V2651" t="str">
        <f>IF(Table1[[#This Row],[ai_disruption_intensity]]&gt;70,"High",
IF(Table1[[#This Row],[ai_disruption_intensity]]&gt;40,"Medium","Low"))</f>
        <v>Low</v>
      </c>
      <c r="W2651" t="str">
        <f>IF(Table1[[#This Row],[skill_gap_index]]&gt;70,"Large Gap",
IF(Table1[[#This Row],[skill_gap_index]]&gt;40,"Medium Gap","Small Gap"))</f>
        <v>Small Gap</v>
      </c>
      <c r="X2651" s="3" t="str">
        <f>IF(Table1[[#This Row],[automation_risk_percent]]&gt;0.7,"Highly Automatable",
IF(Table1[[#This Row],[automation_risk_percent]]&gt;0.4,"Moderate Risk","Safe Job"))</f>
        <v>Safe Job</v>
      </c>
    </row>
    <row r="2652" spans="1:24" x14ac:dyDescent="0.3">
      <c r="A2652">
        <v>9352</v>
      </c>
      <c r="B2652" t="s">
        <v>18</v>
      </c>
      <c r="C2652" t="s">
        <v>23</v>
      </c>
      <c r="D2652" t="s">
        <v>47</v>
      </c>
      <c r="E2652" s="1">
        <v>2025</v>
      </c>
      <c r="F2652" s="11">
        <v>0.47740000000000005</v>
      </c>
      <c r="G2652">
        <v>55.49</v>
      </c>
      <c r="H2652">
        <v>78.08</v>
      </c>
      <c r="I2652" s="2">
        <v>137757.76000000001</v>
      </c>
      <c r="J2652" s="2">
        <v>123182.36</v>
      </c>
      <c r="K2652" s="2">
        <f>Table1[[#This Row],[Salary_after]]-Table1[[#This Row],[Salary_before]]</f>
        <v>-14575.400000000009</v>
      </c>
      <c r="L2652" s="11">
        <v>-0.10580000000000001</v>
      </c>
      <c r="M2652" s="11">
        <v>8.6899999999999991E-2</v>
      </c>
      <c r="N2652">
        <v>87.68</v>
      </c>
      <c r="O2652">
        <v>94.75</v>
      </c>
      <c r="P2652">
        <v>5</v>
      </c>
      <c r="Q2652" t="s">
        <v>25</v>
      </c>
      <c r="R2652">
        <v>62.91</v>
      </c>
      <c r="S2652">
        <v>10.58</v>
      </c>
      <c r="T2652" s="4">
        <v>45.693999999999903</v>
      </c>
      <c r="U2652" s="4">
        <v>45.233649999999997</v>
      </c>
      <c r="V2652" t="str">
        <f>IF(Table1[[#This Row],[ai_disruption_intensity]]&gt;70,"High",
IF(Table1[[#This Row],[ai_disruption_intensity]]&gt;40,"Medium","Low"))</f>
        <v>Medium</v>
      </c>
      <c r="W2652" t="str">
        <f>IF(Table1[[#This Row],[skill_gap_index]]&gt;70,"Large Gap",
IF(Table1[[#This Row],[skill_gap_index]]&gt;40,"Medium Gap","Small Gap"))</f>
        <v>Large Gap</v>
      </c>
      <c r="X2652" s="3" t="str">
        <f>IF(Table1[[#This Row],[automation_risk_percent]]&gt;0.7,"Highly Automatable",
IF(Table1[[#This Row],[automation_risk_percent]]&gt;0.4,"Moderate Risk","Safe Job"))</f>
        <v>Moderate Risk</v>
      </c>
    </row>
    <row r="2653" spans="1:24" x14ac:dyDescent="0.3">
      <c r="A2653">
        <v>9358</v>
      </c>
      <c r="B2653" t="s">
        <v>26</v>
      </c>
      <c r="C2653" t="s">
        <v>30</v>
      </c>
      <c r="D2653" t="s">
        <v>24</v>
      </c>
      <c r="E2653" s="1">
        <v>2025</v>
      </c>
      <c r="F2653" s="11">
        <v>0.38159999999999994</v>
      </c>
      <c r="G2653">
        <v>32.21</v>
      </c>
      <c r="H2653">
        <v>59.05</v>
      </c>
      <c r="I2653" s="2">
        <v>44137.31</v>
      </c>
      <c r="J2653" s="2">
        <v>47467.38</v>
      </c>
      <c r="K2653" s="2">
        <f>Table1[[#This Row],[Salary_after]]-Table1[[#This Row],[Salary_before]]</f>
        <v>3330.0699999999997</v>
      </c>
      <c r="L2653" s="11">
        <v>7.5399999999999995E-2</v>
      </c>
      <c r="M2653" s="11">
        <v>-0.1477</v>
      </c>
      <c r="N2653">
        <v>99.23</v>
      </c>
      <c r="O2653">
        <v>72.69</v>
      </c>
      <c r="P2653">
        <v>2</v>
      </c>
      <c r="Q2653" t="s">
        <v>25</v>
      </c>
      <c r="R2653">
        <v>48.604999999999997</v>
      </c>
      <c r="S2653">
        <v>7.54</v>
      </c>
      <c r="T2653" s="4">
        <v>35.241</v>
      </c>
      <c r="U2653" s="4">
        <v>27.738503999999999</v>
      </c>
      <c r="V2653" t="str">
        <f>IF(Table1[[#This Row],[ai_disruption_intensity]]&gt;70,"High",
IF(Table1[[#This Row],[ai_disruption_intensity]]&gt;40,"Medium","Low"))</f>
        <v>Low</v>
      </c>
      <c r="W2653" t="str">
        <f>IF(Table1[[#This Row],[skill_gap_index]]&gt;70,"Large Gap",
IF(Table1[[#This Row],[skill_gap_index]]&gt;40,"Medium Gap","Small Gap"))</f>
        <v>Medium Gap</v>
      </c>
      <c r="X2653" s="3" t="str">
        <f>IF(Table1[[#This Row],[automation_risk_percent]]&gt;0.7,"Highly Automatable",
IF(Table1[[#This Row],[automation_risk_percent]]&gt;0.4,"Moderate Risk","Safe Job"))</f>
        <v>Safe Job</v>
      </c>
    </row>
    <row r="2654" spans="1:24" x14ac:dyDescent="0.3">
      <c r="A2654">
        <v>9361</v>
      </c>
      <c r="B2654" t="s">
        <v>43</v>
      </c>
      <c r="C2654" t="s">
        <v>19</v>
      </c>
      <c r="D2654" t="s">
        <v>28</v>
      </c>
      <c r="E2654" s="1">
        <v>2026</v>
      </c>
      <c r="F2654" s="11">
        <v>0.2586</v>
      </c>
      <c r="G2654">
        <v>23.5</v>
      </c>
      <c r="H2654">
        <v>95.53</v>
      </c>
      <c r="I2654" s="2">
        <v>146646.34</v>
      </c>
      <c r="J2654" s="2">
        <v>159907.37</v>
      </c>
      <c r="K2654" s="2">
        <f>Table1[[#This Row],[Salary_after]]-Table1[[#This Row],[Salary_before]]</f>
        <v>13261.029999999999</v>
      </c>
      <c r="L2654" s="11">
        <v>9.0399999999999994E-2</v>
      </c>
      <c r="M2654" s="11">
        <v>0.31010000000000004</v>
      </c>
      <c r="N2654">
        <v>14.35</v>
      </c>
      <c r="O2654">
        <v>80.37</v>
      </c>
      <c r="P2654">
        <v>3</v>
      </c>
      <c r="Q2654" t="s">
        <v>21</v>
      </c>
      <c r="R2654">
        <v>60.695</v>
      </c>
      <c r="S2654">
        <v>9.0399999999999991</v>
      </c>
      <c r="T2654" s="4">
        <v>41.715000000000003</v>
      </c>
      <c r="U2654" s="4">
        <v>20.783681999999999</v>
      </c>
      <c r="V2654" t="str">
        <f>IF(Table1[[#This Row],[ai_disruption_intensity]]&gt;70,"High",
IF(Table1[[#This Row],[ai_disruption_intensity]]&gt;40,"Medium","Low"))</f>
        <v>Low</v>
      </c>
      <c r="W2654" t="str">
        <f>IF(Table1[[#This Row],[skill_gap_index]]&gt;70,"Large Gap",
IF(Table1[[#This Row],[skill_gap_index]]&gt;40,"Medium Gap","Small Gap"))</f>
        <v>Large Gap</v>
      </c>
      <c r="X2654" s="3" t="str">
        <f>IF(Table1[[#This Row],[automation_risk_percent]]&gt;0.7,"Highly Automatable",
IF(Table1[[#This Row],[automation_risk_percent]]&gt;0.4,"Moderate Risk","Safe Job"))</f>
        <v>Safe Job</v>
      </c>
    </row>
    <row r="2655" spans="1:24" x14ac:dyDescent="0.3">
      <c r="A2655">
        <v>9364</v>
      </c>
      <c r="B2655" t="s">
        <v>41</v>
      </c>
      <c r="C2655" t="s">
        <v>34</v>
      </c>
      <c r="D2655" t="s">
        <v>28</v>
      </c>
      <c r="E2655" s="1">
        <v>2026</v>
      </c>
      <c r="F2655" s="11">
        <v>0.4556</v>
      </c>
      <c r="G2655">
        <v>51.24</v>
      </c>
      <c r="H2655">
        <v>60.53</v>
      </c>
      <c r="I2655" s="2">
        <v>75817</v>
      </c>
      <c r="J2655" s="2">
        <v>90020.84</v>
      </c>
      <c r="K2655" s="2">
        <f>Table1[[#This Row],[Salary_after]]-Table1[[#This Row],[Salary_before]]</f>
        <v>14203.839999999997</v>
      </c>
      <c r="L2655" s="11">
        <v>0.18729999999999999</v>
      </c>
      <c r="M2655" s="11">
        <v>9.0999999999999998E-2</v>
      </c>
      <c r="N2655">
        <v>29.22</v>
      </c>
      <c r="O2655">
        <v>34.14</v>
      </c>
      <c r="P2655">
        <v>3</v>
      </c>
      <c r="Q2655" t="s">
        <v>25</v>
      </c>
      <c r="R2655">
        <v>53.045000000000002</v>
      </c>
      <c r="S2655">
        <v>18.73</v>
      </c>
      <c r="T2655" s="4">
        <v>42.001999999999903</v>
      </c>
      <c r="U2655" s="4">
        <v>15.554183999999999</v>
      </c>
      <c r="V2655" t="str">
        <f>IF(Table1[[#This Row],[ai_disruption_intensity]]&gt;70,"High",
IF(Table1[[#This Row],[ai_disruption_intensity]]&gt;40,"Medium","Low"))</f>
        <v>Low</v>
      </c>
      <c r="W2655" t="str">
        <f>IF(Table1[[#This Row],[skill_gap_index]]&gt;70,"Large Gap",
IF(Table1[[#This Row],[skill_gap_index]]&gt;40,"Medium Gap","Small Gap"))</f>
        <v>Medium Gap</v>
      </c>
      <c r="X2655" s="3" t="str">
        <f>IF(Table1[[#This Row],[automation_risk_percent]]&gt;0.7,"Highly Automatable",
IF(Table1[[#This Row],[automation_risk_percent]]&gt;0.4,"Moderate Risk","Safe Job"))</f>
        <v>Moderate Risk</v>
      </c>
    </row>
    <row r="2656" spans="1:24" x14ac:dyDescent="0.3">
      <c r="A2656">
        <v>9372</v>
      </c>
      <c r="B2656" t="s">
        <v>45</v>
      </c>
      <c r="C2656" t="s">
        <v>19</v>
      </c>
      <c r="D2656" t="s">
        <v>35</v>
      </c>
      <c r="E2656" s="1">
        <v>2025</v>
      </c>
      <c r="F2656" s="11">
        <v>0.25690000000000002</v>
      </c>
      <c r="G2656">
        <v>25.34</v>
      </c>
      <c r="H2656">
        <v>0.92</v>
      </c>
      <c r="I2656" s="2">
        <v>135304.39000000001</v>
      </c>
      <c r="J2656" s="2">
        <v>135346.95000000001</v>
      </c>
      <c r="K2656" s="2">
        <f>Table1[[#This Row],[Salary_after]]-Table1[[#This Row],[Salary_before]]</f>
        <v>42.559999999997672</v>
      </c>
      <c r="L2656" s="11">
        <v>2.9999999999999997E-4</v>
      </c>
      <c r="M2656" s="11">
        <v>-7.5300000000000006E-2</v>
      </c>
      <c r="N2656">
        <v>93.59</v>
      </c>
      <c r="O2656">
        <v>82.1</v>
      </c>
      <c r="P2656">
        <v>5</v>
      </c>
      <c r="Q2656" t="s">
        <v>21</v>
      </c>
      <c r="R2656">
        <v>13.305</v>
      </c>
      <c r="S2656">
        <v>0.03</v>
      </c>
      <c r="T2656" s="4">
        <v>10.561</v>
      </c>
      <c r="U2656" s="4">
        <v>21.09149</v>
      </c>
      <c r="V2656" t="str">
        <f>IF(Table1[[#This Row],[ai_disruption_intensity]]&gt;70,"High",
IF(Table1[[#This Row],[ai_disruption_intensity]]&gt;40,"Medium","Low"))</f>
        <v>Low</v>
      </c>
      <c r="W2656" t="str">
        <f>IF(Table1[[#This Row],[skill_gap_index]]&gt;70,"Large Gap",
IF(Table1[[#This Row],[skill_gap_index]]&gt;40,"Medium Gap","Small Gap"))</f>
        <v>Small Gap</v>
      </c>
      <c r="X2656" s="3" t="str">
        <f>IF(Table1[[#This Row],[automation_risk_percent]]&gt;0.7,"Highly Automatable",
IF(Table1[[#This Row],[automation_risk_percent]]&gt;0.4,"Moderate Risk","Safe Job"))</f>
        <v>Safe Job</v>
      </c>
    </row>
    <row r="2657" spans="1:24" x14ac:dyDescent="0.3">
      <c r="A2657">
        <v>9374</v>
      </c>
      <c r="B2657" t="s">
        <v>41</v>
      </c>
      <c r="C2657" t="s">
        <v>19</v>
      </c>
      <c r="D2657" t="s">
        <v>42</v>
      </c>
      <c r="E2657" s="1">
        <v>2025</v>
      </c>
      <c r="F2657" s="11">
        <v>0.72829999999999995</v>
      </c>
      <c r="G2657">
        <v>64.89</v>
      </c>
      <c r="H2657">
        <v>41.07</v>
      </c>
      <c r="I2657" s="2">
        <v>98810.89</v>
      </c>
      <c r="J2657" s="2">
        <v>101713.98</v>
      </c>
      <c r="K2657" s="2">
        <f>Table1[[#This Row],[Salary_after]]-Table1[[#This Row],[Salary_before]]</f>
        <v>2903.0899999999965</v>
      </c>
      <c r="L2657" s="11">
        <v>2.9399999999999999E-2</v>
      </c>
      <c r="M2657" s="11">
        <v>0.30449999999999999</v>
      </c>
      <c r="N2657">
        <v>42.78</v>
      </c>
      <c r="O2657">
        <v>6.88</v>
      </c>
      <c r="P2657">
        <v>2</v>
      </c>
      <c r="Q2657" t="s">
        <v>37</v>
      </c>
      <c r="R2657">
        <v>56.95</v>
      </c>
      <c r="S2657">
        <v>2.94</v>
      </c>
      <c r="T2657" s="4">
        <v>42.335000000000001</v>
      </c>
      <c r="U2657" s="4">
        <v>5.0107039999999996</v>
      </c>
      <c r="V2657" t="str">
        <f>IF(Table1[[#This Row],[ai_disruption_intensity]]&gt;70,"High",
IF(Table1[[#This Row],[ai_disruption_intensity]]&gt;40,"Medium","Low"))</f>
        <v>Low</v>
      </c>
      <c r="W2657" t="str">
        <f>IF(Table1[[#This Row],[skill_gap_index]]&gt;70,"Large Gap",
IF(Table1[[#This Row],[skill_gap_index]]&gt;40,"Medium Gap","Small Gap"))</f>
        <v>Medium Gap</v>
      </c>
      <c r="X2657" s="3" t="str">
        <f>IF(Table1[[#This Row],[automation_risk_percent]]&gt;0.7,"Highly Automatable",
IF(Table1[[#This Row],[automation_risk_percent]]&gt;0.4,"Moderate Risk","Safe Job"))</f>
        <v>Highly Automatable</v>
      </c>
    </row>
    <row r="2658" spans="1:24" x14ac:dyDescent="0.3">
      <c r="A2658">
        <v>9377</v>
      </c>
      <c r="B2658" t="s">
        <v>43</v>
      </c>
      <c r="C2658" t="s">
        <v>27</v>
      </c>
      <c r="D2658" t="s">
        <v>35</v>
      </c>
      <c r="E2658" s="1">
        <v>2026</v>
      </c>
      <c r="F2658" s="11">
        <v>0.77319999999999989</v>
      </c>
      <c r="G2658">
        <v>80.17</v>
      </c>
      <c r="H2658">
        <v>22.42</v>
      </c>
      <c r="I2658" s="2">
        <v>42762.65</v>
      </c>
      <c r="J2658" s="2">
        <v>42355.4</v>
      </c>
      <c r="K2658" s="2">
        <f>Table1[[#This Row],[Salary_after]]-Table1[[#This Row],[Salary_before]]</f>
        <v>-407.25</v>
      </c>
      <c r="L2658" s="11">
        <v>-9.4999999999999998E-3</v>
      </c>
      <c r="M2658" s="11">
        <v>9.300000000000001E-3</v>
      </c>
      <c r="N2658">
        <v>77.33</v>
      </c>
      <c r="O2658">
        <v>89.08</v>
      </c>
      <c r="P2658">
        <v>3</v>
      </c>
      <c r="Q2658" t="s">
        <v>37</v>
      </c>
      <c r="R2658">
        <v>49.87</v>
      </c>
      <c r="S2658">
        <v>0.95</v>
      </c>
      <c r="T2658" s="4">
        <v>37.938999999999901</v>
      </c>
      <c r="U2658" s="4">
        <v>68.876655999999997</v>
      </c>
      <c r="V2658" t="str">
        <f>IF(Table1[[#This Row],[ai_disruption_intensity]]&gt;70,"High",
IF(Table1[[#This Row],[ai_disruption_intensity]]&gt;40,"Medium","Low"))</f>
        <v>Medium</v>
      </c>
      <c r="W2658" t="str">
        <f>IF(Table1[[#This Row],[skill_gap_index]]&gt;70,"Large Gap",
IF(Table1[[#This Row],[skill_gap_index]]&gt;40,"Medium Gap","Small Gap"))</f>
        <v>Small Gap</v>
      </c>
      <c r="X2658" s="3" t="str">
        <f>IF(Table1[[#This Row],[automation_risk_percent]]&gt;0.7,"Highly Automatable",
IF(Table1[[#This Row],[automation_risk_percent]]&gt;0.4,"Moderate Risk","Safe Job"))</f>
        <v>Highly Automatable</v>
      </c>
    </row>
    <row r="2659" spans="1:24" x14ac:dyDescent="0.3">
      <c r="A2659">
        <v>9387</v>
      </c>
      <c r="B2659" t="s">
        <v>29</v>
      </c>
      <c r="C2659" t="s">
        <v>33</v>
      </c>
      <c r="D2659" t="s">
        <v>42</v>
      </c>
      <c r="E2659" s="1">
        <v>2026</v>
      </c>
      <c r="F2659" s="11">
        <v>0.30840000000000001</v>
      </c>
      <c r="G2659">
        <v>27.62</v>
      </c>
      <c r="H2659">
        <v>19.100000000000001</v>
      </c>
      <c r="I2659" s="2">
        <v>144407.01</v>
      </c>
      <c r="J2659" s="2">
        <v>165069.60999999999</v>
      </c>
      <c r="K2659" s="2">
        <f>Table1[[#This Row],[Salary_after]]-Table1[[#This Row],[Salary_before]]</f>
        <v>20662.599999999977</v>
      </c>
      <c r="L2659" s="11">
        <v>0.1431</v>
      </c>
      <c r="M2659" s="11">
        <v>0.1343</v>
      </c>
      <c r="N2659">
        <v>19.760000000000002</v>
      </c>
      <c r="O2659">
        <v>19.399999999999999</v>
      </c>
      <c r="P2659">
        <v>1</v>
      </c>
      <c r="Q2659" t="s">
        <v>25</v>
      </c>
      <c r="R2659">
        <v>24.97</v>
      </c>
      <c r="S2659">
        <v>14.31</v>
      </c>
      <c r="T2659" s="4">
        <v>22.359000000000002</v>
      </c>
      <c r="U2659" s="4">
        <v>5.9829599999999896</v>
      </c>
      <c r="V2659" t="str">
        <f>IF(Table1[[#This Row],[ai_disruption_intensity]]&gt;70,"High",
IF(Table1[[#This Row],[ai_disruption_intensity]]&gt;40,"Medium","Low"))</f>
        <v>Low</v>
      </c>
      <c r="W2659" t="str">
        <f>IF(Table1[[#This Row],[skill_gap_index]]&gt;70,"Large Gap",
IF(Table1[[#This Row],[skill_gap_index]]&gt;40,"Medium Gap","Small Gap"))</f>
        <v>Small Gap</v>
      </c>
      <c r="X2659" s="3" t="str">
        <f>IF(Table1[[#This Row],[automation_risk_percent]]&gt;0.7,"Highly Automatable",
IF(Table1[[#This Row],[automation_risk_percent]]&gt;0.4,"Moderate Risk","Safe Job"))</f>
        <v>Safe Job</v>
      </c>
    </row>
    <row r="2660" spans="1:24" x14ac:dyDescent="0.3">
      <c r="A2660">
        <v>9388</v>
      </c>
      <c r="B2660" t="s">
        <v>43</v>
      </c>
      <c r="C2660" t="s">
        <v>38</v>
      </c>
      <c r="D2660" t="s">
        <v>36</v>
      </c>
      <c r="E2660" s="1">
        <v>2025</v>
      </c>
      <c r="F2660" s="11">
        <v>0.66689999999999994</v>
      </c>
      <c r="G2660">
        <v>68.5</v>
      </c>
      <c r="H2660">
        <v>4.51</v>
      </c>
      <c r="I2660" s="2">
        <v>97880.37</v>
      </c>
      <c r="J2660" s="2">
        <v>86087.01</v>
      </c>
      <c r="K2660" s="2">
        <f>Table1[[#This Row],[Salary_after]]-Table1[[#This Row],[Salary_before]]</f>
        <v>-11793.36</v>
      </c>
      <c r="L2660" s="11">
        <v>-0.12050000000000001</v>
      </c>
      <c r="M2660" s="11">
        <v>4.1399999999999999E-2</v>
      </c>
      <c r="N2660">
        <v>63.36</v>
      </c>
      <c r="O2660">
        <v>17.38</v>
      </c>
      <c r="P2660">
        <v>4</v>
      </c>
      <c r="Q2660" t="s">
        <v>37</v>
      </c>
      <c r="R2660">
        <v>35.6</v>
      </c>
      <c r="S2660">
        <v>12.05</v>
      </c>
      <c r="T2660" s="4">
        <v>31.643999999999998</v>
      </c>
      <c r="U2660" s="4">
        <v>11.5907219999999</v>
      </c>
      <c r="V2660" t="str">
        <f>IF(Table1[[#This Row],[ai_disruption_intensity]]&gt;70,"High",
IF(Table1[[#This Row],[ai_disruption_intensity]]&gt;40,"Medium","Low"))</f>
        <v>Low</v>
      </c>
      <c r="W2660" t="str">
        <f>IF(Table1[[#This Row],[skill_gap_index]]&gt;70,"Large Gap",
IF(Table1[[#This Row],[skill_gap_index]]&gt;40,"Medium Gap","Small Gap"))</f>
        <v>Small Gap</v>
      </c>
      <c r="X2660" s="3" t="str">
        <f>IF(Table1[[#This Row],[automation_risk_percent]]&gt;0.7,"Highly Automatable",
IF(Table1[[#This Row],[automation_risk_percent]]&gt;0.4,"Moderate Risk","Safe Job"))</f>
        <v>Moderate Risk</v>
      </c>
    </row>
    <row r="2661" spans="1:24" x14ac:dyDescent="0.3">
      <c r="A2661">
        <v>9389</v>
      </c>
      <c r="B2661" t="s">
        <v>46</v>
      </c>
      <c r="C2661" t="s">
        <v>38</v>
      </c>
      <c r="D2661" t="s">
        <v>24</v>
      </c>
      <c r="E2661" s="1">
        <v>2026</v>
      </c>
      <c r="F2661" s="11">
        <v>0.56799999999999995</v>
      </c>
      <c r="G2661">
        <v>59.49</v>
      </c>
      <c r="H2661">
        <v>87.13</v>
      </c>
      <c r="I2661" s="2">
        <v>80959.95</v>
      </c>
      <c r="J2661" s="2">
        <v>94007.09</v>
      </c>
      <c r="K2661" s="2">
        <f>Table1[[#This Row],[Salary_after]]-Table1[[#This Row],[Salary_before]]</f>
        <v>13047.14</v>
      </c>
      <c r="L2661" s="11">
        <v>0.16120000000000001</v>
      </c>
      <c r="M2661" s="11">
        <v>5.74E-2</v>
      </c>
      <c r="N2661">
        <v>59.16</v>
      </c>
      <c r="O2661">
        <v>57.2</v>
      </c>
      <c r="P2661">
        <v>2</v>
      </c>
      <c r="Q2661" t="s">
        <v>25</v>
      </c>
      <c r="R2661">
        <v>71.965000000000003</v>
      </c>
      <c r="S2661">
        <v>16.12</v>
      </c>
      <c r="T2661" s="4">
        <v>53.694999999999901</v>
      </c>
      <c r="U2661" s="4">
        <v>32.489600000000003</v>
      </c>
      <c r="V2661" t="str">
        <f>IF(Table1[[#This Row],[ai_disruption_intensity]]&gt;70,"High",
IF(Table1[[#This Row],[ai_disruption_intensity]]&gt;40,"Medium","Low"))</f>
        <v>Low</v>
      </c>
      <c r="W2661" t="str">
        <f>IF(Table1[[#This Row],[skill_gap_index]]&gt;70,"Large Gap",
IF(Table1[[#This Row],[skill_gap_index]]&gt;40,"Medium Gap","Small Gap"))</f>
        <v>Large Gap</v>
      </c>
      <c r="X2661" s="3" t="str">
        <f>IF(Table1[[#This Row],[automation_risk_percent]]&gt;0.7,"Highly Automatable",
IF(Table1[[#This Row],[automation_risk_percent]]&gt;0.4,"Moderate Risk","Safe Job"))</f>
        <v>Moderate Risk</v>
      </c>
    </row>
    <row r="2662" spans="1:24" x14ac:dyDescent="0.3">
      <c r="A2662">
        <v>9390</v>
      </c>
      <c r="B2662" t="s">
        <v>26</v>
      </c>
      <c r="C2662" t="s">
        <v>30</v>
      </c>
      <c r="D2662" t="s">
        <v>31</v>
      </c>
      <c r="E2662" s="1">
        <v>2025</v>
      </c>
      <c r="F2662" s="11">
        <v>0.38729999999999998</v>
      </c>
      <c r="G2662">
        <v>38.6</v>
      </c>
      <c r="H2662">
        <v>80.569999999999993</v>
      </c>
      <c r="I2662" s="2">
        <v>88225.4</v>
      </c>
      <c r="J2662" s="2">
        <v>93770.51</v>
      </c>
      <c r="K2662" s="2">
        <f>Table1[[#This Row],[Salary_after]]-Table1[[#This Row],[Salary_before]]</f>
        <v>5545.1100000000006</v>
      </c>
      <c r="L2662" s="11">
        <v>6.2899999999999998E-2</v>
      </c>
      <c r="M2662" s="11">
        <v>8.0299999999999996E-2</v>
      </c>
      <c r="N2662">
        <v>58.34</v>
      </c>
      <c r="O2662">
        <v>82.18</v>
      </c>
      <c r="P2662">
        <v>4</v>
      </c>
      <c r="Q2662" t="s">
        <v>25</v>
      </c>
      <c r="R2662">
        <v>59.649999999999899</v>
      </c>
      <c r="S2662">
        <v>6.29</v>
      </c>
      <c r="T2662" s="4">
        <v>41.55</v>
      </c>
      <c r="U2662" s="4">
        <v>31.828313999999999</v>
      </c>
      <c r="V2662" t="str">
        <f>IF(Table1[[#This Row],[ai_disruption_intensity]]&gt;70,"High",
IF(Table1[[#This Row],[ai_disruption_intensity]]&gt;40,"Medium","Low"))</f>
        <v>Low</v>
      </c>
      <c r="W2662" t="str">
        <f>IF(Table1[[#This Row],[skill_gap_index]]&gt;70,"Large Gap",
IF(Table1[[#This Row],[skill_gap_index]]&gt;40,"Medium Gap","Small Gap"))</f>
        <v>Large Gap</v>
      </c>
      <c r="X2662" s="3" t="str">
        <f>IF(Table1[[#This Row],[automation_risk_percent]]&gt;0.7,"Highly Automatable",
IF(Table1[[#This Row],[automation_risk_percent]]&gt;0.4,"Moderate Risk","Safe Job"))</f>
        <v>Safe Job</v>
      </c>
    </row>
    <row r="2663" spans="1:24" x14ac:dyDescent="0.3">
      <c r="A2663">
        <v>9398</v>
      </c>
      <c r="B2663" t="s">
        <v>26</v>
      </c>
      <c r="C2663" t="s">
        <v>38</v>
      </c>
      <c r="D2663" t="s">
        <v>32</v>
      </c>
      <c r="E2663" s="1">
        <v>2026</v>
      </c>
      <c r="F2663" s="11">
        <v>0.46450000000000002</v>
      </c>
      <c r="G2663">
        <v>42.9</v>
      </c>
      <c r="H2663">
        <v>87.55</v>
      </c>
      <c r="I2663" s="2">
        <v>35838.07</v>
      </c>
      <c r="J2663" s="2">
        <v>39171.519999999997</v>
      </c>
      <c r="K2663" s="2">
        <f>Table1[[#This Row],[Salary_after]]-Table1[[#This Row],[Salary_before]]</f>
        <v>3333.4499999999971</v>
      </c>
      <c r="L2663" s="11">
        <v>9.3000000000000013E-2</v>
      </c>
      <c r="M2663" s="11">
        <v>1.2500000000000001E-2</v>
      </c>
      <c r="N2663">
        <v>65.92</v>
      </c>
      <c r="O2663">
        <v>77.099999999999994</v>
      </c>
      <c r="P2663">
        <v>3</v>
      </c>
      <c r="Q2663" t="s">
        <v>25</v>
      </c>
      <c r="R2663">
        <v>67</v>
      </c>
      <c r="S2663">
        <v>9.3000000000000007</v>
      </c>
      <c r="T2663" s="4">
        <v>47.634999999999998</v>
      </c>
      <c r="U2663" s="4">
        <v>35.812950000000001</v>
      </c>
      <c r="V2663" t="str">
        <f>IF(Table1[[#This Row],[ai_disruption_intensity]]&gt;70,"High",
IF(Table1[[#This Row],[ai_disruption_intensity]]&gt;40,"Medium","Low"))</f>
        <v>Low</v>
      </c>
      <c r="W2663" t="str">
        <f>IF(Table1[[#This Row],[skill_gap_index]]&gt;70,"Large Gap",
IF(Table1[[#This Row],[skill_gap_index]]&gt;40,"Medium Gap","Small Gap"))</f>
        <v>Large Gap</v>
      </c>
      <c r="X2663" s="3" t="str">
        <f>IF(Table1[[#This Row],[automation_risk_percent]]&gt;0.7,"Highly Automatable",
IF(Table1[[#This Row],[automation_risk_percent]]&gt;0.4,"Moderate Risk","Safe Job"))</f>
        <v>Moderate Risk</v>
      </c>
    </row>
    <row r="2664" spans="1:24" x14ac:dyDescent="0.3">
      <c r="A2664">
        <v>9401</v>
      </c>
      <c r="B2664" t="s">
        <v>39</v>
      </c>
      <c r="C2664" t="s">
        <v>23</v>
      </c>
      <c r="D2664" t="s">
        <v>20</v>
      </c>
      <c r="E2664" s="1">
        <v>2026</v>
      </c>
      <c r="F2664" s="11">
        <v>0.2727</v>
      </c>
      <c r="G2664">
        <v>30.35</v>
      </c>
      <c r="H2664">
        <v>33.869999999999997</v>
      </c>
      <c r="I2664" s="2">
        <v>48812.63</v>
      </c>
      <c r="J2664" s="2">
        <v>44612.2</v>
      </c>
      <c r="K2664" s="2">
        <f>Table1[[#This Row],[Salary_after]]-Table1[[#This Row],[Salary_before]]</f>
        <v>-4200.43</v>
      </c>
      <c r="L2664" s="11">
        <v>-8.6099999999999996E-2</v>
      </c>
      <c r="M2664" s="11">
        <v>-4.0500000000000001E-2</v>
      </c>
      <c r="N2664">
        <v>44.09</v>
      </c>
      <c r="O2664">
        <v>25.73</v>
      </c>
      <c r="P2664">
        <v>4</v>
      </c>
      <c r="Q2664" t="s">
        <v>21</v>
      </c>
      <c r="R2664">
        <v>30.57</v>
      </c>
      <c r="S2664">
        <v>8.61</v>
      </c>
      <c r="T2664" s="4">
        <v>23.652000000000001</v>
      </c>
      <c r="U2664" s="4">
        <v>7.0165709999999999</v>
      </c>
      <c r="V2664" t="str">
        <f>IF(Table1[[#This Row],[ai_disruption_intensity]]&gt;70,"High",
IF(Table1[[#This Row],[ai_disruption_intensity]]&gt;40,"Medium","Low"))</f>
        <v>Low</v>
      </c>
      <c r="W2664" t="str">
        <f>IF(Table1[[#This Row],[skill_gap_index]]&gt;70,"Large Gap",
IF(Table1[[#This Row],[skill_gap_index]]&gt;40,"Medium Gap","Small Gap"))</f>
        <v>Small Gap</v>
      </c>
      <c r="X2664" s="3" t="str">
        <f>IF(Table1[[#This Row],[automation_risk_percent]]&gt;0.7,"Highly Automatable",
IF(Table1[[#This Row],[automation_risk_percent]]&gt;0.4,"Moderate Risk","Safe Job"))</f>
        <v>Safe Job</v>
      </c>
    </row>
    <row r="2665" spans="1:24" x14ac:dyDescent="0.3">
      <c r="A2665">
        <v>9410</v>
      </c>
      <c r="B2665" t="s">
        <v>39</v>
      </c>
      <c r="C2665" t="s">
        <v>30</v>
      </c>
      <c r="D2665" t="s">
        <v>47</v>
      </c>
      <c r="E2665" s="1">
        <v>2025</v>
      </c>
      <c r="F2665" s="11">
        <v>0.1547</v>
      </c>
      <c r="G2665">
        <v>18.12</v>
      </c>
      <c r="H2665">
        <v>61.26</v>
      </c>
      <c r="I2665" s="2">
        <v>48783.87</v>
      </c>
      <c r="J2665" s="2">
        <v>43888.32</v>
      </c>
      <c r="K2665" s="2">
        <f>Table1[[#This Row],[Salary_after]]-Table1[[#This Row],[Salary_before]]</f>
        <v>-4895.5500000000029</v>
      </c>
      <c r="L2665" s="11">
        <v>-0.10039999999999999</v>
      </c>
      <c r="M2665" s="11">
        <v>6.59E-2</v>
      </c>
      <c r="N2665">
        <v>23.11</v>
      </c>
      <c r="O2665">
        <v>8.1</v>
      </c>
      <c r="P2665">
        <v>3</v>
      </c>
      <c r="Q2665" t="s">
        <v>21</v>
      </c>
      <c r="R2665">
        <v>38.365000000000002</v>
      </c>
      <c r="S2665">
        <v>10.039999999999999</v>
      </c>
      <c r="T2665" s="4">
        <v>27.577999999999999</v>
      </c>
      <c r="U2665" s="4">
        <v>1.2530699999999999</v>
      </c>
      <c r="V2665" t="str">
        <f>IF(Table1[[#This Row],[ai_disruption_intensity]]&gt;70,"High",
IF(Table1[[#This Row],[ai_disruption_intensity]]&gt;40,"Medium","Low"))</f>
        <v>Low</v>
      </c>
      <c r="W2665" t="str">
        <f>IF(Table1[[#This Row],[skill_gap_index]]&gt;70,"Large Gap",
IF(Table1[[#This Row],[skill_gap_index]]&gt;40,"Medium Gap","Small Gap"))</f>
        <v>Medium Gap</v>
      </c>
      <c r="X2665" s="3" t="str">
        <f>IF(Table1[[#This Row],[automation_risk_percent]]&gt;0.7,"Highly Automatable",
IF(Table1[[#This Row],[automation_risk_percent]]&gt;0.4,"Moderate Risk","Safe Job"))</f>
        <v>Safe Job</v>
      </c>
    </row>
    <row r="2666" spans="1:24" x14ac:dyDescent="0.3">
      <c r="A2666">
        <v>9412</v>
      </c>
      <c r="B2666" t="s">
        <v>44</v>
      </c>
      <c r="C2666" t="s">
        <v>33</v>
      </c>
      <c r="D2666" t="s">
        <v>31</v>
      </c>
      <c r="E2666" s="1">
        <v>2025</v>
      </c>
      <c r="F2666" s="11">
        <v>0.17050000000000001</v>
      </c>
      <c r="G2666">
        <v>19.93</v>
      </c>
      <c r="H2666">
        <v>25.83</v>
      </c>
      <c r="I2666" s="2">
        <v>143819.76999999999</v>
      </c>
      <c r="J2666" s="2">
        <v>160525.4</v>
      </c>
      <c r="K2666" s="2">
        <f>Table1[[#This Row],[Salary_after]]-Table1[[#This Row],[Salary_before]]</f>
        <v>16705.630000000005</v>
      </c>
      <c r="L2666" s="11">
        <v>0.1162</v>
      </c>
      <c r="M2666" s="11">
        <v>4.7699999999999992E-2</v>
      </c>
      <c r="N2666">
        <v>61.95</v>
      </c>
      <c r="O2666">
        <v>84.44</v>
      </c>
      <c r="P2666">
        <v>4</v>
      </c>
      <c r="Q2666" t="s">
        <v>21</v>
      </c>
      <c r="R2666">
        <v>21.439999999999898</v>
      </c>
      <c r="S2666">
        <v>11.62</v>
      </c>
      <c r="T2666" s="4">
        <v>18.055</v>
      </c>
      <c r="U2666" s="4">
        <v>14.397019999999999</v>
      </c>
      <c r="V2666" t="str">
        <f>IF(Table1[[#This Row],[ai_disruption_intensity]]&gt;70,"High",
IF(Table1[[#This Row],[ai_disruption_intensity]]&gt;40,"Medium","Low"))</f>
        <v>Low</v>
      </c>
      <c r="W2666" t="str">
        <f>IF(Table1[[#This Row],[skill_gap_index]]&gt;70,"Large Gap",
IF(Table1[[#This Row],[skill_gap_index]]&gt;40,"Medium Gap","Small Gap"))</f>
        <v>Small Gap</v>
      </c>
      <c r="X2666" s="3" t="str">
        <f>IF(Table1[[#This Row],[automation_risk_percent]]&gt;0.7,"Highly Automatable",
IF(Table1[[#This Row],[automation_risk_percent]]&gt;0.4,"Moderate Risk","Safe Job"))</f>
        <v>Safe Job</v>
      </c>
    </row>
    <row r="2667" spans="1:24" x14ac:dyDescent="0.3">
      <c r="A2667">
        <v>9414</v>
      </c>
      <c r="B2667" t="s">
        <v>26</v>
      </c>
      <c r="C2667" t="s">
        <v>34</v>
      </c>
      <c r="D2667" t="s">
        <v>35</v>
      </c>
      <c r="E2667" s="1">
        <v>2026</v>
      </c>
      <c r="F2667" s="11">
        <v>0.58489999999999998</v>
      </c>
      <c r="G2667">
        <v>56.01</v>
      </c>
      <c r="H2667">
        <v>19.010000000000002</v>
      </c>
      <c r="I2667" s="2">
        <v>36054.92</v>
      </c>
      <c r="J2667" s="2">
        <v>36581.57</v>
      </c>
      <c r="K2667" s="2">
        <f>Table1[[#This Row],[Salary_after]]-Table1[[#This Row],[Salary_before]]</f>
        <v>526.65000000000146</v>
      </c>
      <c r="L2667" s="11">
        <v>1.46E-2</v>
      </c>
      <c r="M2667" s="11">
        <v>5.4800000000000001E-2</v>
      </c>
      <c r="N2667">
        <v>20.64</v>
      </c>
      <c r="O2667">
        <v>77.180000000000007</v>
      </c>
      <c r="P2667">
        <v>1</v>
      </c>
      <c r="Q2667" t="s">
        <v>25</v>
      </c>
      <c r="R2667">
        <v>38.75</v>
      </c>
      <c r="S2667">
        <v>1.46</v>
      </c>
      <c r="T2667" s="4">
        <v>29.536999999999999</v>
      </c>
      <c r="U2667" s="4">
        <v>45.142581999999997</v>
      </c>
      <c r="V2667" t="str">
        <f>IF(Table1[[#This Row],[ai_disruption_intensity]]&gt;70,"High",
IF(Table1[[#This Row],[ai_disruption_intensity]]&gt;40,"Medium","Low"))</f>
        <v>Medium</v>
      </c>
      <c r="W2667" t="str">
        <f>IF(Table1[[#This Row],[skill_gap_index]]&gt;70,"Large Gap",
IF(Table1[[#This Row],[skill_gap_index]]&gt;40,"Medium Gap","Small Gap"))</f>
        <v>Small Gap</v>
      </c>
      <c r="X2667" s="3" t="str">
        <f>IF(Table1[[#This Row],[automation_risk_percent]]&gt;0.7,"Highly Automatable",
IF(Table1[[#This Row],[automation_risk_percent]]&gt;0.4,"Moderate Risk","Safe Job"))</f>
        <v>Moderate Risk</v>
      </c>
    </row>
    <row r="2668" spans="1:24" x14ac:dyDescent="0.3">
      <c r="A2668">
        <v>9415</v>
      </c>
      <c r="B2668" t="s">
        <v>22</v>
      </c>
      <c r="C2668" t="s">
        <v>33</v>
      </c>
      <c r="D2668" t="s">
        <v>47</v>
      </c>
      <c r="E2668" s="1">
        <v>2025</v>
      </c>
      <c r="F2668" s="11">
        <v>0.35520000000000002</v>
      </c>
      <c r="G2668">
        <v>42.53</v>
      </c>
      <c r="H2668">
        <v>87</v>
      </c>
      <c r="I2668" s="2">
        <v>57692.04</v>
      </c>
      <c r="J2668" s="2">
        <v>62170.74</v>
      </c>
      <c r="K2668" s="2">
        <f>Table1[[#This Row],[Salary_after]]-Table1[[#This Row],[Salary_before]]</f>
        <v>4478.6999999999971</v>
      </c>
      <c r="L2668" s="11">
        <v>7.7600000000000002E-2</v>
      </c>
      <c r="M2668" s="11">
        <v>0.1381</v>
      </c>
      <c r="N2668">
        <v>78.709999999999994</v>
      </c>
      <c r="O2668">
        <v>8.2799999999999994</v>
      </c>
      <c r="P2668">
        <v>5</v>
      </c>
      <c r="Q2668" t="s">
        <v>25</v>
      </c>
      <c r="R2668">
        <v>61.26</v>
      </c>
      <c r="S2668">
        <v>7.76</v>
      </c>
      <c r="T2668" s="4">
        <v>42.636000000000003</v>
      </c>
      <c r="U2668" s="4">
        <v>2.9410559999999899</v>
      </c>
      <c r="V2668" t="str">
        <f>IF(Table1[[#This Row],[ai_disruption_intensity]]&gt;70,"High",
IF(Table1[[#This Row],[ai_disruption_intensity]]&gt;40,"Medium","Low"))</f>
        <v>Low</v>
      </c>
      <c r="W2668" t="str">
        <f>IF(Table1[[#This Row],[skill_gap_index]]&gt;70,"Large Gap",
IF(Table1[[#This Row],[skill_gap_index]]&gt;40,"Medium Gap","Small Gap"))</f>
        <v>Large Gap</v>
      </c>
      <c r="X2668" s="3" t="str">
        <f>IF(Table1[[#This Row],[automation_risk_percent]]&gt;0.7,"Highly Automatable",
IF(Table1[[#This Row],[automation_risk_percent]]&gt;0.4,"Moderate Risk","Safe Job"))</f>
        <v>Safe Job</v>
      </c>
    </row>
    <row r="2669" spans="1:24" x14ac:dyDescent="0.3">
      <c r="A2669">
        <v>9421</v>
      </c>
      <c r="B2669" t="s">
        <v>41</v>
      </c>
      <c r="C2669" t="s">
        <v>38</v>
      </c>
      <c r="D2669" t="s">
        <v>28</v>
      </c>
      <c r="E2669" s="1">
        <v>2026</v>
      </c>
      <c r="F2669" s="11">
        <v>0.92500000000000004</v>
      </c>
      <c r="G2669">
        <v>107.01</v>
      </c>
      <c r="H2669">
        <v>82.65</v>
      </c>
      <c r="I2669" s="2">
        <v>132136.57999999999</v>
      </c>
      <c r="J2669" s="2">
        <v>101055.61</v>
      </c>
      <c r="K2669" s="2">
        <f>Table1[[#This Row],[Salary_after]]-Table1[[#This Row],[Salary_before]]</f>
        <v>-31080.969999999987</v>
      </c>
      <c r="L2669" s="11">
        <v>-0.23519999999999999</v>
      </c>
      <c r="M2669" s="11">
        <v>4.4900000000000002E-2</v>
      </c>
      <c r="N2669">
        <v>89.56</v>
      </c>
      <c r="O2669">
        <v>8.09</v>
      </c>
      <c r="P2669">
        <v>2</v>
      </c>
      <c r="Q2669" t="s">
        <v>37</v>
      </c>
      <c r="R2669">
        <v>87.575000000000003</v>
      </c>
      <c r="S2669">
        <v>23.52</v>
      </c>
      <c r="T2669" s="4">
        <v>68.850999999999999</v>
      </c>
      <c r="U2669" s="4">
        <v>7.4832499999999902</v>
      </c>
      <c r="V2669" t="str">
        <f>IF(Table1[[#This Row],[ai_disruption_intensity]]&gt;70,"High",
IF(Table1[[#This Row],[ai_disruption_intensity]]&gt;40,"Medium","Low"))</f>
        <v>Low</v>
      </c>
      <c r="W2669" t="str">
        <f>IF(Table1[[#This Row],[skill_gap_index]]&gt;70,"Large Gap",
IF(Table1[[#This Row],[skill_gap_index]]&gt;40,"Medium Gap","Small Gap"))</f>
        <v>Large Gap</v>
      </c>
      <c r="X2669" s="3" t="str">
        <f>IF(Table1[[#This Row],[automation_risk_percent]]&gt;0.7,"Highly Automatable",
IF(Table1[[#This Row],[automation_risk_percent]]&gt;0.4,"Moderate Risk","Safe Job"))</f>
        <v>Highly Automatable</v>
      </c>
    </row>
    <row r="2670" spans="1:24" x14ac:dyDescent="0.3">
      <c r="A2670">
        <v>9428</v>
      </c>
      <c r="B2670" t="s">
        <v>26</v>
      </c>
      <c r="C2670" t="s">
        <v>27</v>
      </c>
      <c r="D2670" t="s">
        <v>31</v>
      </c>
      <c r="E2670" s="1">
        <v>2026</v>
      </c>
      <c r="F2670" s="11">
        <v>0.40389999999999998</v>
      </c>
      <c r="G2670">
        <v>43.16</v>
      </c>
      <c r="H2670">
        <v>75.849999999999994</v>
      </c>
      <c r="I2670" s="2">
        <v>71676.34</v>
      </c>
      <c r="J2670" s="2">
        <v>69654.63</v>
      </c>
      <c r="K2670" s="2">
        <f>Table1[[#This Row],[Salary_after]]-Table1[[#This Row],[Salary_before]]</f>
        <v>-2021.7099999999919</v>
      </c>
      <c r="L2670" s="11">
        <v>-2.8199999999999999E-2</v>
      </c>
      <c r="M2670" s="11">
        <v>4.3299999999999998E-2</v>
      </c>
      <c r="N2670">
        <v>68.47</v>
      </c>
      <c r="O2670">
        <v>77.67</v>
      </c>
      <c r="P2670">
        <v>4</v>
      </c>
      <c r="Q2670" t="s">
        <v>25</v>
      </c>
      <c r="R2670">
        <v>58.12</v>
      </c>
      <c r="S2670">
        <v>2.82</v>
      </c>
      <c r="T2670" s="4">
        <v>39.756999999999998</v>
      </c>
      <c r="U2670" s="4">
        <v>31.370913000000002</v>
      </c>
      <c r="V2670" t="str">
        <f>IF(Table1[[#This Row],[ai_disruption_intensity]]&gt;70,"High",
IF(Table1[[#This Row],[ai_disruption_intensity]]&gt;40,"Medium","Low"))</f>
        <v>Low</v>
      </c>
      <c r="W2670" t="str">
        <f>IF(Table1[[#This Row],[skill_gap_index]]&gt;70,"Large Gap",
IF(Table1[[#This Row],[skill_gap_index]]&gt;40,"Medium Gap","Small Gap"))</f>
        <v>Large Gap</v>
      </c>
      <c r="X2670" s="3" t="str">
        <f>IF(Table1[[#This Row],[automation_risk_percent]]&gt;0.7,"Highly Automatable",
IF(Table1[[#This Row],[automation_risk_percent]]&gt;0.4,"Moderate Risk","Safe Job"))</f>
        <v>Moderate Risk</v>
      </c>
    </row>
    <row r="2671" spans="1:24" x14ac:dyDescent="0.3">
      <c r="A2671">
        <v>9433</v>
      </c>
      <c r="B2671" t="s">
        <v>43</v>
      </c>
      <c r="C2671" t="s">
        <v>19</v>
      </c>
      <c r="D2671" t="s">
        <v>42</v>
      </c>
      <c r="E2671" s="1">
        <v>2026</v>
      </c>
      <c r="F2671" s="11">
        <v>0.52380000000000004</v>
      </c>
      <c r="G2671">
        <v>56.44</v>
      </c>
      <c r="H2671">
        <v>83.42</v>
      </c>
      <c r="I2671" s="2">
        <v>48223.57</v>
      </c>
      <c r="J2671" s="2">
        <v>50100.98</v>
      </c>
      <c r="K2671" s="2">
        <f>Table1[[#This Row],[Salary_after]]-Table1[[#This Row],[Salary_before]]</f>
        <v>1877.4100000000035</v>
      </c>
      <c r="L2671" s="11">
        <v>3.8900000000000004E-2</v>
      </c>
      <c r="M2671" s="11">
        <v>9.3399999999999997E-2</v>
      </c>
      <c r="N2671">
        <v>52.97</v>
      </c>
      <c r="O2671">
        <v>40.29</v>
      </c>
      <c r="P2671">
        <v>4</v>
      </c>
      <c r="Q2671" t="s">
        <v>25</v>
      </c>
      <c r="R2671">
        <v>67.900000000000006</v>
      </c>
      <c r="S2671">
        <v>3.89</v>
      </c>
      <c r="T2671" s="4">
        <v>47.145000000000003</v>
      </c>
      <c r="U2671" s="4">
        <v>21.103902000000001</v>
      </c>
      <c r="V2671" t="str">
        <f>IF(Table1[[#This Row],[ai_disruption_intensity]]&gt;70,"High",
IF(Table1[[#This Row],[ai_disruption_intensity]]&gt;40,"Medium","Low"))</f>
        <v>Low</v>
      </c>
      <c r="W2671" t="str">
        <f>IF(Table1[[#This Row],[skill_gap_index]]&gt;70,"Large Gap",
IF(Table1[[#This Row],[skill_gap_index]]&gt;40,"Medium Gap","Small Gap"))</f>
        <v>Large Gap</v>
      </c>
      <c r="X2671" s="3" t="str">
        <f>IF(Table1[[#This Row],[automation_risk_percent]]&gt;0.7,"Highly Automatable",
IF(Table1[[#This Row],[automation_risk_percent]]&gt;0.4,"Moderate Risk","Safe Job"))</f>
        <v>Moderate Risk</v>
      </c>
    </row>
    <row r="2672" spans="1:24" x14ac:dyDescent="0.3">
      <c r="A2672">
        <v>9434</v>
      </c>
      <c r="B2672" t="s">
        <v>43</v>
      </c>
      <c r="C2672" t="s">
        <v>34</v>
      </c>
      <c r="D2672" t="s">
        <v>31</v>
      </c>
      <c r="E2672" s="1">
        <v>2025</v>
      </c>
      <c r="F2672" s="11">
        <v>0.75280000000000002</v>
      </c>
      <c r="G2672">
        <v>84.9</v>
      </c>
      <c r="H2672">
        <v>98.87</v>
      </c>
      <c r="I2672" s="2">
        <v>107010.44</v>
      </c>
      <c r="J2672" s="2">
        <v>112115.33</v>
      </c>
      <c r="K2672" s="2">
        <f>Table1[[#This Row],[Salary_after]]-Table1[[#This Row],[Salary_before]]</f>
        <v>5104.8899999999994</v>
      </c>
      <c r="L2672" s="11">
        <v>4.7699999999999992E-2</v>
      </c>
      <c r="M2672" s="11">
        <v>0.15990000000000001</v>
      </c>
      <c r="N2672">
        <v>27.82</v>
      </c>
      <c r="O2672">
        <v>1.19</v>
      </c>
      <c r="P2672">
        <v>1</v>
      </c>
      <c r="Q2672" t="s">
        <v>37</v>
      </c>
      <c r="R2672">
        <v>87.075000000000003</v>
      </c>
      <c r="S2672">
        <v>4.7699999999999996</v>
      </c>
      <c r="T2672" s="4">
        <v>61.204000000000001</v>
      </c>
      <c r="U2672" s="4">
        <v>0.89583199999999996</v>
      </c>
      <c r="V2672" t="str">
        <f>IF(Table1[[#This Row],[ai_disruption_intensity]]&gt;70,"High",
IF(Table1[[#This Row],[ai_disruption_intensity]]&gt;40,"Medium","Low"))</f>
        <v>Low</v>
      </c>
      <c r="W2672" t="str">
        <f>IF(Table1[[#This Row],[skill_gap_index]]&gt;70,"Large Gap",
IF(Table1[[#This Row],[skill_gap_index]]&gt;40,"Medium Gap","Small Gap"))</f>
        <v>Large Gap</v>
      </c>
      <c r="X2672" s="3" t="str">
        <f>IF(Table1[[#This Row],[automation_risk_percent]]&gt;0.7,"Highly Automatable",
IF(Table1[[#This Row],[automation_risk_percent]]&gt;0.4,"Moderate Risk","Safe Job"))</f>
        <v>Highly Automatable</v>
      </c>
    </row>
    <row r="2673" spans="1:24" x14ac:dyDescent="0.3">
      <c r="A2673">
        <v>9440</v>
      </c>
      <c r="B2673" t="s">
        <v>18</v>
      </c>
      <c r="C2673" t="s">
        <v>27</v>
      </c>
      <c r="D2673" t="s">
        <v>35</v>
      </c>
      <c r="E2673" s="1">
        <v>2025</v>
      </c>
      <c r="F2673" s="11">
        <v>0.34139999999999998</v>
      </c>
      <c r="G2673">
        <v>33.76</v>
      </c>
      <c r="H2673">
        <v>66.959999999999994</v>
      </c>
      <c r="I2673" s="2">
        <v>53942.67</v>
      </c>
      <c r="J2673" s="2">
        <v>61216</v>
      </c>
      <c r="K2673" s="2">
        <f>Table1[[#This Row],[Salary_after]]-Table1[[#This Row],[Salary_before]]</f>
        <v>7273.3300000000017</v>
      </c>
      <c r="L2673" s="11">
        <v>0.1348</v>
      </c>
      <c r="M2673" s="11">
        <v>6.6299999999999998E-2</v>
      </c>
      <c r="N2673">
        <v>30.02</v>
      </c>
      <c r="O2673">
        <v>51.55</v>
      </c>
      <c r="P2673">
        <v>3</v>
      </c>
      <c r="Q2673" t="s">
        <v>25</v>
      </c>
      <c r="R2673">
        <v>50.55</v>
      </c>
      <c r="S2673">
        <v>13.48</v>
      </c>
      <c r="T2673" s="4">
        <v>37.787999999999997</v>
      </c>
      <c r="U2673" s="4">
        <v>17.599170000000001</v>
      </c>
      <c r="V2673" t="str">
        <f>IF(Table1[[#This Row],[ai_disruption_intensity]]&gt;70,"High",
IF(Table1[[#This Row],[ai_disruption_intensity]]&gt;40,"Medium","Low"))</f>
        <v>Low</v>
      </c>
      <c r="W2673" t="str">
        <f>IF(Table1[[#This Row],[skill_gap_index]]&gt;70,"Large Gap",
IF(Table1[[#This Row],[skill_gap_index]]&gt;40,"Medium Gap","Small Gap"))</f>
        <v>Medium Gap</v>
      </c>
      <c r="X2673" s="3" t="str">
        <f>IF(Table1[[#This Row],[automation_risk_percent]]&gt;0.7,"Highly Automatable",
IF(Table1[[#This Row],[automation_risk_percent]]&gt;0.4,"Moderate Risk","Safe Job"))</f>
        <v>Safe Job</v>
      </c>
    </row>
    <row r="2674" spans="1:24" x14ac:dyDescent="0.3">
      <c r="A2674">
        <v>9442</v>
      </c>
      <c r="B2674" t="s">
        <v>26</v>
      </c>
      <c r="C2674" t="s">
        <v>34</v>
      </c>
      <c r="D2674" t="s">
        <v>42</v>
      </c>
      <c r="E2674" s="1">
        <v>2025</v>
      </c>
      <c r="F2674" s="11">
        <v>0.05</v>
      </c>
      <c r="G2674">
        <v>4.25</v>
      </c>
      <c r="H2674">
        <v>72.180000000000007</v>
      </c>
      <c r="I2674" s="2">
        <v>121121.7</v>
      </c>
      <c r="J2674" s="2">
        <v>119932.95</v>
      </c>
      <c r="K2674" s="2">
        <f>Table1[[#This Row],[Salary_after]]-Table1[[#This Row],[Salary_before]]</f>
        <v>-1188.75</v>
      </c>
      <c r="L2674" s="11">
        <v>-9.7999999999999997E-3</v>
      </c>
      <c r="M2674" s="11">
        <v>2.2799999999999997E-2</v>
      </c>
      <c r="N2674">
        <v>20.64</v>
      </c>
      <c r="O2674">
        <v>89.01</v>
      </c>
      <c r="P2674">
        <v>2</v>
      </c>
      <c r="Q2674" t="s">
        <v>21</v>
      </c>
      <c r="R2674">
        <v>38.590000000000003</v>
      </c>
      <c r="S2674">
        <v>0.98</v>
      </c>
      <c r="T2674" s="4">
        <v>23.948</v>
      </c>
      <c r="U2674" s="4">
        <v>4.4504999999999999</v>
      </c>
      <c r="V2674" t="str">
        <f>IF(Table1[[#This Row],[ai_disruption_intensity]]&gt;70,"High",
IF(Table1[[#This Row],[ai_disruption_intensity]]&gt;40,"Medium","Low"))</f>
        <v>Low</v>
      </c>
      <c r="W2674" t="str">
        <f>IF(Table1[[#This Row],[skill_gap_index]]&gt;70,"Large Gap",
IF(Table1[[#This Row],[skill_gap_index]]&gt;40,"Medium Gap","Small Gap"))</f>
        <v>Large Gap</v>
      </c>
      <c r="X2674" s="3" t="str">
        <f>IF(Table1[[#This Row],[automation_risk_percent]]&gt;0.7,"Highly Automatable",
IF(Table1[[#This Row],[automation_risk_percent]]&gt;0.4,"Moderate Risk","Safe Job"))</f>
        <v>Safe Job</v>
      </c>
    </row>
    <row r="2675" spans="1:24" x14ac:dyDescent="0.3">
      <c r="A2675">
        <v>9443</v>
      </c>
      <c r="B2675" t="s">
        <v>22</v>
      </c>
      <c r="C2675" t="s">
        <v>19</v>
      </c>
      <c r="D2675" t="s">
        <v>42</v>
      </c>
      <c r="E2675" s="1">
        <v>2025</v>
      </c>
      <c r="F2675" s="11">
        <v>0.41770000000000002</v>
      </c>
      <c r="G2675">
        <v>40.81</v>
      </c>
      <c r="H2675">
        <v>82.39</v>
      </c>
      <c r="I2675" s="2">
        <v>113444.27</v>
      </c>
      <c r="J2675" s="2">
        <v>125583.38</v>
      </c>
      <c r="K2675" s="2">
        <f>Table1[[#This Row],[Salary_after]]-Table1[[#This Row],[Salary_before]]</f>
        <v>12139.11</v>
      </c>
      <c r="L2675" s="11">
        <v>0.107</v>
      </c>
      <c r="M2675" s="11">
        <v>-8.4700000000000011E-2</v>
      </c>
      <c r="N2675">
        <v>58.76</v>
      </c>
      <c r="O2675">
        <v>59.58</v>
      </c>
      <c r="P2675">
        <v>5</v>
      </c>
      <c r="Q2675" t="s">
        <v>25</v>
      </c>
      <c r="R2675">
        <v>62.08</v>
      </c>
      <c r="S2675">
        <v>10.7</v>
      </c>
      <c r="T2675" s="4">
        <v>44.634999999999998</v>
      </c>
      <c r="U2675" s="4">
        <v>24.886565999999998</v>
      </c>
      <c r="V2675" t="str">
        <f>IF(Table1[[#This Row],[ai_disruption_intensity]]&gt;70,"High",
IF(Table1[[#This Row],[ai_disruption_intensity]]&gt;40,"Medium","Low"))</f>
        <v>Low</v>
      </c>
      <c r="W2675" t="str">
        <f>IF(Table1[[#This Row],[skill_gap_index]]&gt;70,"Large Gap",
IF(Table1[[#This Row],[skill_gap_index]]&gt;40,"Medium Gap","Small Gap"))</f>
        <v>Large Gap</v>
      </c>
      <c r="X2675" s="3" t="str">
        <f>IF(Table1[[#This Row],[automation_risk_percent]]&gt;0.7,"Highly Automatable",
IF(Table1[[#This Row],[automation_risk_percent]]&gt;0.4,"Moderate Risk","Safe Job"))</f>
        <v>Moderate Risk</v>
      </c>
    </row>
    <row r="2676" spans="1:24" x14ac:dyDescent="0.3">
      <c r="A2676">
        <v>9448</v>
      </c>
      <c r="B2676" t="s">
        <v>44</v>
      </c>
      <c r="C2676" t="s">
        <v>19</v>
      </c>
      <c r="D2676" t="s">
        <v>28</v>
      </c>
      <c r="E2676" s="1">
        <v>2025</v>
      </c>
      <c r="F2676" s="11">
        <v>0.41920000000000002</v>
      </c>
      <c r="G2676">
        <v>38.700000000000003</v>
      </c>
      <c r="H2676">
        <v>36.64</v>
      </c>
      <c r="I2676" s="2">
        <v>92565.43</v>
      </c>
      <c r="J2676" s="2">
        <v>94231.02</v>
      </c>
      <c r="K2676" s="2">
        <f>Table1[[#This Row],[Salary_after]]-Table1[[#This Row],[Salary_before]]</f>
        <v>1665.5900000000111</v>
      </c>
      <c r="L2676" s="11">
        <v>1.8000000000000002E-2</v>
      </c>
      <c r="M2676" s="11">
        <v>-3.1200000000000002E-2</v>
      </c>
      <c r="N2676">
        <v>50.79</v>
      </c>
      <c r="O2676">
        <v>75.89</v>
      </c>
      <c r="P2676">
        <v>5</v>
      </c>
      <c r="Q2676" t="s">
        <v>25</v>
      </c>
      <c r="R2676">
        <v>39.28</v>
      </c>
      <c r="S2676">
        <v>1.8</v>
      </c>
      <c r="T2676" s="4">
        <v>28.299999999999901</v>
      </c>
      <c r="U2676" s="4">
        <v>31.813088</v>
      </c>
      <c r="V2676" t="str">
        <f>IF(Table1[[#This Row],[ai_disruption_intensity]]&gt;70,"High",
IF(Table1[[#This Row],[ai_disruption_intensity]]&gt;40,"Medium","Low"))</f>
        <v>Low</v>
      </c>
      <c r="W2676" t="str">
        <f>IF(Table1[[#This Row],[skill_gap_index]]&gt;70,"Large Gap",
IF(Table1[[#This Row],[skill_gap_index]]&gt;40,"Medium Gap","Small Gap"))</f>
        <v>Small Gap</v>
      </c>
      <c r="X2676" s="3" t="str">
        <f>IF(Table1[[#This Row],[automation_risk_percent]]&gt;0.7,"Highly Automatable",
IF(Table1[[#This Row],[automation_risk_percent]]&gt;0.4,"Moderate Risk","Safe Job"))</f>
        <v>Moderate Risk</v>
      </c>
    </row>
    <row r="2677" spans="1:24" x14ac:dyDescent="0.3">
      <c r="A2677">
        <v>9449</v>
      </c>
      <c r="B2677" t="s">
        <v>41</v>
      </c>
      <c r="C2677" t="s">
        <v>33</v>
      </c>
      <c r="D2677" t="s">
        <v>42</v>
      </c>
      <c r="E2677" s="1">
        <v>2026</v>
      </c>
      <c r="F2677" s="11">
        <v>0.44179999999999997</v>
      </c>
      <c r="G2677">
        <v>36.51</v>
      </c>
      <c r="H2677">
        <v>89.46</v>
      </c>
      <c r="I2677" s="2">
        <v>38169.230000000003</v>
      </c>
      <c r="J2677" s="2">
        <v>38151.480000000003</v>
      </c>
      <c r="K2677" s="2">
        <f>Table1[[#This Row],[Salary_after]]-Table1[[#This Row],[Salary_before]]</f>
        <v>-17.75</v>
      </c>
      <c r="L2677" s="11">
        <v>-5.0000000000000001E-4</v>
      </c>
      <c r="M2677" s="11">
        <v>0.1293</v>
      </c>
      <c r="N2677">
        <v>15.07</v>
      </c>
      <c r="O2677">
        <v>12.58</v>
      </c>
      <c r="P2677">
        <v>2</v>
      </c>
      <c r="Q2677" t="s">
        <v>25</v>
      </c>
      <c r="R2677">
        <v>66.819999999999993</v>
      </c>
      <c r="S2677">
        <v>0.05</v>
      </c>
      <c r="T2677" s="4">
        <v>44.524999999999999</v>
      </c>
      <c r="U2677" s="4">
        <v>5.5578440000000002</v>
      </c>
      <c r="V2677" t="str">
        <f>IF(Table1[[#This Row],[ai_disruption_intensity]]&gt;70,"High",
IF(Table1[[#This Row],[ai_disruption_intensity]]&gt;40,"Medium","Low"))</f>
        <v>Low</v>
      </c>
      <c r="W2677" t="str">
        <f>IF(Table1[[#This Row],[skill_gap_index]]&gt;70,"Large Gap",
IF(Table1[[#This Row],[skill_gap_index]]&gt;40,"Medium Gap","Small Gap"))</f>
        <v>Large Gap</v>
      </c>
      <c r="X2677" s="3" t="str">
        <f>IF(Table1[[#This Row],[automation_risk_percent]]&gt;0.7,"Highly Automatable",
IF(Table1[[#This Row],[automation_risk_percent]]&gt;0.4,"Moderate Risk","Safe Job"))</f>
        <v>Moderate Risk</v>
      </c>
    </row>
    <row r="2678" spans="1:24" x14ac:dyDescent="0.3">
      <c r="A2678">
        <v>9453</v>
      </c>
      <c r="B2678" t="s">
        <v>39</v>
      </c>
      <c r="C2678" t="s">
        <v>30</v>
      </c>
      <c r="D2678" t="s">
        <v>31</v>
      </c>
      <c r="E2678" s="1">
        <v>2026</v>
      </c>
      <c r="F2678" s="11">
        <v>0.76829999999999998</v>
      </c>
      <c r="G2678">
        <v>66.41</v>
      </c>
      <c r="H2678">
        <v>57.69</v>
      </c>
      <c r="I2678" s="2">
        <v>62934.23</v>
      </c>
      <c r="J2678" s="2">
        <v>69135.899999999994</v>
      </c>
      <c r="K2678" s="2">
        <f>Table1[[#This Row],[Salary_after]]-Table1[[#This Row],[Salary_before]]</f>
        <v>6201.669999999991</v>
      </c>
      <c r="L2678" s="11">
        <v>9.849999999999999E-2</v>
      </c>
      <c r="M2678" s="11">
        <v>0.14050000000000001</v>
      </c>
      <c r="N2678">
        <v>69.67</v>
      </c>
      <c r="O2678">
        <v>14.37</v>
      </c>
      <c r="P2678">
        <v>5</v>
      </c>
      <c r="Q2678" t="s">
        <v>37</v>
      </c>
      <c r="R2678">
        <v>67.259999999999906</v>
      </c>
      <c r="S2678">
        <v>9.85</v>
      </c>
      <c r="T2678" s="4">
        <v>50.994</v>
      </c>
      <c r="U2678" s="4">
        <v>11.040471</v>
      </c>
      <c r="V2678" t="str">
        <f>IF(Table1[[#This Row],[ai_disruption_intensity]]&gt;70,"High",
IF(Table1[[#This Row],[ai_disruption_intensity]]&gt;40,"Medium","Low"))</f>
        <v>Low</v>
      </c>
      <c r="W2678" t="str">
        <f>IF(Table1[[#This Row],[skill_gap_index]]&gt;70,"Large Gap",
IF(Table1[[#This Row],[skill_gap_index]]&gt;40,"Medium Gap","Small Gap"))</f>
        <v>Medium Gap</v>
      </c>
      <c r="X2678" s="3" t="str">
        <f>IF(Table1[[#This Row],[automation_risk_percent]]&gt;0.7,"Highly Automatable",
IF(Table1[[#This Row],[automation_risk_percent]]&gt;0.4,"Moderate Risk","Safe Job"))</f>
        <v>Highly Automatable</v>
      </c>
    </row>
    <row r="2679" spans="1:24" x14ac:dyDescent="0.3">
      <c r="A2679">
        <v>9456</v>
      </c>
      <c r="B2679" t="s">
        <v>41</v>
      </c>
      <c r="C2679" t="s">
        <v>38</v>
      </c>
      <c r="D2679" t="s">
        <v>36</v>
      </c>
      <c r="E2679" s="1">
        <v>2025</v>
      </c>
      <c r="F2679" s="11">
        <v>0.90060000000000007</v>
      </c>
      <c r="G2679">
        <v>104.84</v>
      </c>
      <c r="H2679">
        <v>42.2</v>
      </c>
      <c r="I2679" s="2">
        <v>69063.83</v>
      </c>
      <c r="J2679" s="2">
        <v>68102.320000000007</v>
      </c>
      <c r="K2679" s="2">
        <f>Table1[[#This Row],[Salary_after]]-Table1[[#This Row],[Salary_before]]</f>
        <v>-961.50999999999476</v>
      </c>
      <c r="L2679" s="11">
        <v>-1.3899999999999999E-2</v>
      </c>
      <c r="M2679" s="11">
        <v>0.14960000000000001</v>
      </c>
      <c r="N2679">
        <v>13.48</v>
      </c>
      <c r="O2679">
        <v>34.57</v>
      </c>
      <c r="P2679">
        <v>4</v>
      </c>
      <c r="Q2679" t="s">
        <v>37</v>
      </c>
      <c r="R2679">
        <v>66.13</v>
      </c>
      <c r="S2679">
        <v>1.39</v>
      </c>
      <c r="T2679" s="4">
        <v>49.100999999999999</v>
      </c>
      <c r="U2679" s="4">
        <v>31.133742000000002</v>
      </c>
      <c r="V2679" t="str">
        <f>IF(Table1[[#This Row],[ai_disruption_intensity]]&gt;70,"High",
IF(Table1[[#This Row],[ai_disruption_intensity]]&gt;40,"Medium","Low"))</f>
        <v>Low</v>
      </c>
      <c r="W2679" t="str">
        <f>IF(Table1[[#This Row],[skill_gap_index]]&gt;70,"Large Gap",
IF(Table1[[#This Row],[skill_gap_index]]&gt;40,"Medium Gap","Small Gap"))</f>
        <v>Medium Gap</v>
      </c>
      <c r="X2679" s="3" t="str">
        <f>IF(Table1[[#This Row],[automation_risk_percent]]&gt;0.7,"Highly Automatable",
IF(Table1[[#This Row],[automation_risk_percent]]&gt;0.4,"Moderate Risk","Safe Job"))</f>
        <v>Highly Automatable</v>
      </c>
    </row>
    <row r="2680" spans="1:24" x14ac:dyDescent="0.3">
      <c r="A2680">
        <v>9458</v>
      </c>
      <c r="B2680" t="s">
        <v>39</v>
      </c>
      <c r="C2680" t="s">
        <v>27</v>
      </c>
      <c r="D2680" t="s">
        <v>36</v>
      </c>
      <c r="E2680" s="1">
        <v>2026</v>
      </c>
      <c r="F2680" s="11">
        <v>0.1007</v>
      </c>
      <c r="G2680">
        <v>10.53</v>
      </c>
      <c r="H2680">
        <v>15.4</v>
      </c>
      <c r="I2680" s="2">
        <v>65529.15</v>
      </c>
      <c r="J2680" s="2">
        <v>75128.37</v>
      </c>
      <c r="K2680" s="2">
        <f>Table1[[#This Row],[Salary_after]]-Table1[[#This Row],[Salary_before]]</f>
        <v>9599.2199999999939</v>
      </c>
      <c r="L2680" s="11">
        <v>0.14649999999999999</v>
      </c>
      <c r="M2680" s="11">
        <v>4.5499999999999999E-2</v>
      </c>
      <c r="N2680">
        <v>44.88</v>
      </c>
      <c r="O2680">
        <v>95.71</v>
      </c>
      <c r="P2680">
        <v>3</v>
      </c>
      <c r="Q2680" t="s">
        <v>21</v>
      </c>
      <c r="R2680">
        <v>12.734999999999999</v>
      </c>
      <c r="S2680">
        <v>14.65</v>
      </c>
      <c r="T2680" s="4">
        <v>13.042999999999999</v>
      </c>
      <c r="U2680" s="4">
        <v>9.6379969999999897</v>
      </c>
      <c r="V2680" t="str">
        <f>IF(Table1[[#This Row],[ai_disruption_intensity]]&gt;70,"High",
IF(Table1[[#This Row],[ai_disruption_intensity]]&gt;40,"Medium","Low"))</f>
        <v>Low</v>
      </c>
      <c r="W2680" t="str">
        <f>IF(Table1[[#This Row],[skill_gap_index]]&gt;70,"Large Gap",
IF(Table1[[#This Row],[skill_gap_index]]&gt;40,"Medium Gap","Small Gap"))</f>
        <v>Small Gap</v>
      </c>
      <c r="X2680" s="3" t="str">
        <f>IF(Table1[[#This Row],[automation_risk_percent]]&gt;0.7,"Highly Automatable",
IF(Table1[[#This Row],[automation_risk_percent]]&gt;0.4,"Moderate Risk","Safe Job"))</f>
        <v>Safe Job</v>
      </c>
    </row>
    <row r="2681" spans="1:24" x14ac:dyDescent="0.3">
      <c r="A2681">
        <v>9462</v>
      </c>
      <c r="B2681" t="s">
        <v>46</v>
      </c>
      <c r="C2681" t="s">
        <v>23</v>
      </c>
      <c r="D2681" t="s">
        <v>36</v>
      </c>
      <c r="E2681" s="1">
        <v>2025</v>
      </c>
      <c r="F2681" s="11">
        <v>0.52700000000000002</v>
      </c>
      <c r="G2681">
        <v>42.39</v>
      </c>
      <c r="H2681">
        <v>61.26</v>
      </c>
      <c r="I2681" s="2">
        <v>115215.3</v>
      </c>
      <c r="J2681" s="2">
        <v>109024.08</v>
      </c>
      <c r="K2681" s="2">
        <f>Table1[[#This Row],[Salary_after]]-Table1[[#This Row],[Salary_before]]</f>
        <v>-6191.2200000000012</v>
      </c>
      <c r="L2681" s="11">
        <v>-5.3699999999999998E-2</v>
      </c>
      <c r="M2681" s="11">
        <v>0.1101</v>
      </c>
      <c r="N2681">
        <v>28.31</v>
      </c>
      <c r="O2681">
        <v>21.57</v>
      </c>
      <c r="P2681">
        <v>2</v>
      </c>
      <c r="Q2681" t="s">
        <v>25</v>
      </c>
      <c r="R2681">
        <v>56.98</v>
      </c>
      <c r="S2681">
        <v>5.37</v>
      </c>
      <c r="T2681" s="4">
        <v>41.068999999999903</v>
      </c>
      <c r="U2681" s="4">
        <v>11.36739</v>
      </c>
      <c r="V2681" t="str">
        <f>IF(Table1[[#This Row],[ai_disruption_intensity]]&gt;70,"High",
IF(Table1[[#This Row],[ai_disruption_intensity]]&gt;40,"Medium","Low"))</f>
        <v>Low</v>
      </c>
      <c r="W2681" t="str">
        <f>IF(Table1[[#This Row],[skill_gap_index]]&gt;70,"Large Gap",
IF(Table1[[#This Row],[skill_gap_index]]&gt;40,"Medium Gap","Small Gap"))</f>
        <v>Medium Gap</v>
      </c>
      <c r="X2681" s="3" t="str">
        <f>IF(Table1[[#This Row],[automation_risk_percent]]&gt;0.7,"Highly Automatable",
IF(Table1[[#This Row],[automation_risk_percent]]&gt;0.4,"Moderate Risk","Safe Job"))</f>
        <v>Moderate Risk</v>
      </c>
    </row>
    <row r="2682" spans="1:24" x14ac:dyDescent="0.3">
      <c r="A2682">
        <v>9465</v>
      </c>
      <c r="B2682" t="s">
        <v>22</v>
      </c>
      <c r="C2682" t="s">
        <v>33</v>
      </c>
      <c r="D2682" t="s">
        <v>47</v>
      </c>
      <c r="E2682" s="1">
        <v>2026</v>
      </c>
      <c r="F2682" s="11">
        <v>0.45150000000000001</v>
      </c>
      <c r="G2682">
        <v>41.58</v>
      </c>
      <c r="H2682">
        <v>25.64</v>
      </c>
      <c r="I2682" s="2">
        <v>149822.68</v>
      </c>
      <c r="J2682" s="2">
        <v>140579.60999999999</v>
      </c>
      <c r="K2682" s="2">
        <f>Table1[[#This Row],[Salary_after]]-Table1[[#This Row],[Salary_before]]</f>
        <v>-9243.070000000007</v>
      </c>
      <c r="L2682" s="11">
        <v>-6.1699999999999998E-2</v>
      </c>
      <c r="M2682" s="11">
        <v>-2.0499999999999997E-2</v>
      </c>
      <c r="N2682">
        <v>40.049999999999997</v>
      </c>
      <c r="O2682">
        <v>49.7</v>
      </c>
      <c r="P2682">
        <v>4</v>
      </c>
      <c r="Q2682" t="s">
        <v>25</v>
      </c>
      <c r="R2682">
        <v>35.394999999999897</v>
      </c>
      <c r="S2682">
        <v>6.17</v>
      </c>
      <c r="T2682" s="4">
        <v>27.602999999999899</v>
      </c>
      <c r="U2682" s="4">
        <v>22.439550000000001</v>
      </c>
      <c r="V2682" t="str">
        <f>IF(Table1[[#This Row],[ai_disruption_intensity]]&gt;70,"High",
IF(Table1[[#This Row],[ai_disruption_intensity]]&gt;40,"Medium","Low"))</f>
        <v>Low</v>
      </c>
      <c r="W2682" t="str">
        <f>IF(Table1[[#This Row],[skill_gap_index]]&gt;70,"Large Gap",
IF(Table1[[#This Row],[skill_gap_index]]&gt;40,"Medium Gap","Small Gap"))</f>
        <v>Small Gap</v>
      </c>
      <c r="X2682" s="3" t="str">
        <f>IF(Table1[[#This Row],[automation_risk_percent]]&gt;0.7,"Highly Automatable",
IF(Table1[[#This Row],[automation_risk_percent]]&gt;0.4,"Moderate Risk","Safe Job"))</f>
        <v>Moderate Risk</v>
      </c>
    </row>
    <row r="2683" spans="1:24" x14ac:dyDescent="0.3">
      <c r="A2683">
        <v>9468</v>
      </c>
      <c r="B2683" t="s">
        <v>18</v>
      </c>
      <c r="C2683" t="s">
        <v>19</v>
      </c>
      <c r="D2683" t="s">
        <v>20</v>
      </c>
      <c r="E2683" s="1">
        <v>2025</v>
      </c>
      <c r="F2683" s="11">
        <v>0.59009999999999996</v>
      </c>
      <c r="G2683">
        <v>52.2</v>
      </c>
      <c r="H2683">
        <v>52.14</v>
      </c>
      <c r="I2683" s="2">
        <v>94634.67</v>
      </c>
      <c r="J2683" s="2">
        <v>92934.81</v>
      </c>
      <c r="K2683" s="2">
        <f>Table1[[#This Row],[Salary_after]]-Table1[[#This Row],[Salary_before]]</f>
        <v>-1699.8600000000006</v>
      </c>
      <c r="L2683" s="11">
        <v>-1.8000000000000002E-2</v>
      </c>
      <c r="M2683" s="11">
        <v>0.12659999999999999</v>
      </c>
      <c r="N2683">
        <v>28.95</v>
      </c>
      <c r="O2683">
        <v>17.39</v>
      </c>
      <c r="P2683">
        <v>5</v>
      </c>
      <c r="Q2683" t="s">
        <v>25</v>
      </c>
      <c r="R2683">
        <v>55.575000000000003</v>
      </c>
      <c r="S2683">
        <v>1.8</v>
      </c>
      <c r="T2683" s="4">
        <v>39.785999999999902</v>
      </c>
      <c r="U2683" s="4">
        <v>10.261839</v>
      </c>
      <c r="V2683" t="str">
        <f>IF(Table1[[#This Row],[ai_disruption_intensity]]&gt;70,"High",
IF(Table1[[#This Row],[ai_disruption_intensity]]&gt;40,"Medium","Low"))</f>
        <v>Low</v>
      </c>
      <c r="W2683" t="str">
        <f>IF(Table1[[#This Row],[skill_gap_index]]&gt;70,"Large Gap",
IF(Table1[[#This Row],[skill_gap_index]]&gt;40,"Medium Gap","Small Gap"))</f>
        <v>Medium Gap</v>
      </c>
      <c r="X2683" s="3" t="str">
        <f>IF(Table1[[#This Row],[automation_risk_percent]]&gt;0.7,"Highly Automatable",
IF(Table1[[#This Row],[automation_risk_percent]]&gt;0.4,"Moderate Risk","Safe Job"))</f>
        <v>Moderate Risk</v>
      </c>
    </row>
    <row r="2684" spans="1:24" x14ac:dyDescent="0.3">
      <c r="A2684">
        <v>9469</v>
      </c>
      <c r="B2684" t="s">
        <v>18</v>
      </c>
      <c r="C2684" t="s">
        <v>23</v>
      </c>
      <c r="D2684" t="s">
        <v>42</v>
      </c>
      <c r="E2684" s="1">
        <v>2026</v>
      </c>
      <c r="F2684" s="11">
        <v>0.30519999999999997</v>
      </c>
      <c r="G2684">
        <v>27.82</v>
      </c>
      <c r="H2684">
        <v>75.02</v>
      </c>
      <c r="I2684" s="2">
        <v>101246.67</v>
      </c>
      <c r="J2684" s="2">
        <v>111787.47</v>
      </c>
      <c r="K2684" s="2">
        <f>Table1[[#This Row],[Salary_after]]-Table1[[#This Row],[Salary_before]]</f>
        <v>10540.800000000003</v>
      </c>
      <c r="L2684" s="11">
        <v>0.1041</v>
      </c>
      <c r="M2684" s="11">
        <v>0.19579999999999997</v>
      </c>
      <c r="N2684">
        <v>53.31</v>
      </c>
      <c r="O2684">
        <v>92.83</v>
      </c>
      <c r="P2684">
        <v>3</v>
      </c>
      <c r="Q2684" t="s">
        <v>25</v>
      </c>
      <c r="R2684">
        <v>52.769999999999897</v>
      </c>
      <c r="S2684">
        <v>10.41</v>
      </c>
      <c r="T2684" s="4">
        <v>37.836999999999897</v>
      </c>
      <c r="U2684" s="4">
        <v>28.331716</v>
      </c>
      <c r="V2684" t="str">
        <f>IF(Table1[[#This Row],[ai_disruption_intensity]]&gt;70,"High",
IF(Table1[[#This Row],[ai_disruption_intensity]]&gt;40,"Medium","Low"))</f>
        <v>Low</v>
      </c>
      <c r="W2684" t="str">
        <f>IF(Table1[[#This Row],[skill_gap_index]]&gt;70,"Large Gap",
IF(Table1[[#This Row],[skill_gap_index]]&gt;40,"Medium Gap","Small Gap"))</f>
        <v>Large Gap</v>
      </c>
      <c r="X2684" s="3" t="str">
        <f>IF(Table1[[#This Row],[automation_risk_percent]]&gt;0.7,"Highly Automatable",
IF(Table1[[#This Row],[automation_risk_percent]]&gt;0.4,"Moderate Risk","Safe Job"))</f>
        <v>Safe Job</v>
      </c>
    </row>
    <row r="2685" spans="1:24" x14ac:dyDescent="0.3">
      <c r="A2685">
        <v>9470</v>
      </c>
      <c r="B2685" t="s">
        <v>44</v>
      </c>
      <c r="C2685" t="s">
        <v>23</v>
      </c>
      <c r="D2685" t="s">
        <v>36</v>
      </c>
      <c r="E2685" s="1">
        <v>2025</v>
      </c>
      <c r="F2685" s="11">
        <v>0.67220000000000002</v>
      </c>
      <c r="G2685">
        <v>59.44</v>
      </c>
      <c r="H2685">
        <v>42.37</v>
      </c>
      <c r="I2685" s="2">
        <v>64548.05</v>
      </c>
      <c r="J2685" s="2">
        <v>59464.06</v>
      </c>
      <c r="K2685" s="2">
        <f>Table1[[#This Row],[Salary_after]]-Table1[[#This Row],[Salary_before]]</f>
        <v>-5083.9900000000052</v>
      </c>
      <c r="L2685" s="11">
        <v>-7.8799999999999995E-2</v>
      </c>
      <c r="M2685" s="11">
        <v>0.1744</v>
      </c>
      <c r="N2685">
        <v>67.62</v>
      </c>
      <c r="O2685">
        <v>29.22</v>
      </c>
      <c r="P2685">
        <v>2</v>
      </c>
      <c r="Q2685" t="s">
        <v>37</v>
      </c>
      <c r="R2685">
        <v>54.795000000000002</v>
      </c>
      <c r="S2685">
        <v>7.88</v>
      </c>
      <c r="T2685" s="4">
        <v>41.963000000000001</v>
      </c>
      <c r="U2685" s="4">
        <v>19.641683999999898</v>
      </c>
      <c r="V2685" t="str">
        <f>IF(Table1[[#This Row],[ai_disruption_intensity]]&gt;70,"High",
IF(Table1[[#This Row],[ai_disruption_intensity]]&gt;40,"Medium","Low"))</f>
        <v>Low</v>
      </c>
      <c r="W2685" t="str">
        <f>IF(Table1[[#This Row],[skill_gap_index]]&gt;70,"Large Gap",
IF(Table1[[#This Row],[skill_gap_index]]&gt;40,"Medium Gap","Small Gap"))</f>
        <v>Medium Gap</v>
      </c>
      <c r="X2685" s="3" t="str">
        <f>IF(Table1[[#This Row],[automation_risk_percent]]&gt;0.7,"Highly Automatable",
IF(Table1[[#This Row],[automation_risk_percent]]&gt;0.4,"Moderate Risk","Safe Job"))</f>
        <v>Moderate Risk</v>
      </c>
    </row>
    <row r="2686" spans="1:24" x14ac:dyDescent="0.3">
      <c r="A2686">
        <v>9471</v>
      </c>
      <c r="B2686" t="s">
        <v>41</v>
      </c>
      <c r="C2686" t="s">
        <v>19</v>
      </c>
      <c r="D2686" t="s">
        <v>35</v>
      </c>
      <c r="E2686" s="1">
        <v>2025</v>
      </c>
      <c r="F2686" s="11">
        <v>0.37020000000000003</v>
      </c>
      <c r="G2686">
        <v>29.75</v>
      </c>
      <c r="H2686">
        <v>99.46</v>
      </c>
      <c r="I2686" s="2">
        <v>56341.34</v>
      </c>
      <c r="J2686" s="2">
        <v>58524.11</v>
      </c>
      <c r="K2686" s="2">
        <f>Table1[[#This Row],[Salary_after]]-Table1[[#This Row],[Salary_before]]</f>
        <v>2182.7700000000041</v>
      </c>
      <c r="L2686" s="11">
        <v>3.8699999999999998E-2</v>
      </c>
      <c r="M2686" s="11">
        <v>0.09</v>
      </c>
      <c r="N2686">
        <v>31.24</v>
      </c>
      <c r="O2686">
        <v>41.56</v>
      </c>
      <c r="P2686">
        <v>5</v>
      </c>
      <c r="Q2686" t="s">
        <v>25</v>
      </c>
      <c r="R2686">
        <v>68.239999999999995</v>
      </c>
      <c r="S2686">
        <v>3.87</v>
      </c>
      <c r="T2686" s="4">
        <v>45.807000000000002</v>
      </c>
      <c r="U2686" s="4">
        <v>15.385512</v>
      </c>
      <c r="V2686" t="str">
        <f>IF(Table1[[#This Row],[ai_disruption_intensity]]&gt;70,"High",
IF(Table1[[#This Row],[ai_disruption_intensity]]&gt;40,"Medium","Low"))</f>
        <v>Low</v>
      </c>
      <c r="W2686" t="str">
        <f>IF(Table1[[#This Row],[skill_gap_index]]&gt;70,"Large Gap",
IF(Table1[[#This Row],[skill_gap_index]]&gt;40,"Medium Gap","Small Gap"))</f>
        <v>Large Gap</v>
      </c>
      <c r="X2686" s="3" t="str">
        <f>IF(Table1[[#This Row],[automation_risk_percent]]&gt;0.7,"Highly Automatable",
IF(Table1[[#This Row],[automation_risk_percent]]&gt;0.4,"Moderate Risk","Safe Job"))</f>
        <v>Safe Job</v>
      </c>
    </row>
    <row r="2687" spans="1:24" x14ac:dyDescent="0.3">
      <c r="A2687">
        <v>9472</v>
      </c>
      <c r="B2687" t="s">
        <v>22</v>
      </c>
      <c r="C2687" t="s">
        <v>23</v>
      </c>
      <c r="D2687" t="s">
        <v>47</v>
      </c>
      <c r="E2687" s="1">
        <v>2025</v>
      </c>
      <c r="F2687" s="11">
        <v>0.68530000000000002</v>
      </c>
      <c r="G2687">
        <v>73.73</v>
      </c>
      <c r="H2687">
        <v>36.99</v>
      </c>
      <c r="I2687" s="2">
        <v>143896.74</v>
      </c>
      <c r="J2687" s="2">
        <v>127522.42</v>
      </c>
      <c r="K2687" s="2">
        <f>Table1[[#This Row],[Salary_after]]-Table1[[#This Row],[Salary_before]]</f>
        <v>-16374.319999999992</v>
      </c>
      <c r="L2687" s="11">
        <v>-0.11380000000000001</v>
      </c>
      <c r="M2687" s="11">
        <v>-1.23E-2</v>
      </c>
      <c r="N2687">
        <v>23.2</v>
      </c>
      <c r="O2687">
        <v>70.13</v>
      </c>
      <c r="P2687">
        <v>3</v>
      </c>
      <c r="Q2687" t="s">
        <v>37</v>
      </c>
      <c r="R2687">
        <v>52.76</v>
      </c>
      <c r="S2687">
        <v>11.38</v>
      </c>
      <c r="T2687" s="4">
        <v>41.923000000000002</v>
      </c>
      <c r="U2687" s="4">
        <v>48.060088999999998</v>
      </c>
      <c r="V2687" t="str">
        <f>IF(Table1[[#This Row],[ai_disruption_intensity]]&gt;70,"High",
IF(Table1[[#This Row],[ai_disruption_intensity]]&gt;40,"Medium","Low"))</f>
        <v>Medium</v>
      </c>
      <c r="W2687" t="str">
        <f>IF(Table1[[#This Row],[skill_gap_index]]&gt;70,"Large Gap",
IF(Table1[[#This Row],[skill_gap_index]]&gt;40,"Medium Gap","Small Gap"))</f>
        <v>Small Gap</v>
      </c>
      <c r="X2687" s="3" t="str">
        <f>IF(Table1[[#This Row],[automation_risk_percent]]&gt;0.7,"Highly Automatable",
IF(Table1[[#This Row],[automation_risk_percent]]&gt;0.4,"Moderate Risk","Safe Job"))</f>
        <v>Moderate Risk</v>
      </c>
    </row>
    <row r="2688" spans="1:24" x14ac:dyDescent="0.3">
      <c r="A2688">
        <v>9475</v>
      </c>
      <c r="B2688" t="s">
        <v>46</v>
      </c>
      <c r="C2688" t="s">
        <v>23</v>
      </c>
      <c r="D2688" t="s">
        <v>24</v>
      </c>
      <c r="E2688" s="1">
        <v>2026</v>
      </c>
      <c r="F2688" s="11">
        <v>9.7899999999999987E-2</v>
      </c>
      <c r="G2688">
        <v>11.07</v>
      </c>
      <c r="H2688">
        <v>6.07</v>
      </c>
      <c r="I2688" s="2">
        <v>46236.66</v>
      </c>
      <c r="J2688" s="2">
        <v>49547.7</v>
      </c>
      <c r="K2688" s="2">
        <f>Table1[[#This Row],[Salary_after]]-Table1[[#This Row],[Salary_before]]</f>
        <v>3311.0399999999936</v>
      </c>
      <c r="L2688" s="11">
        <v>7.1599999999999997E-2</v>
      </c>
      <c r="M2688" s="11">
        <v>1.43E-2</v>
      </c>
      <c r="N2688">
        <v>43.99</v>
      </c>
      <c r="O2688">
        <v>37.36</v>
      </c>
      <c r="P2688">
        <v>1</v>
      </c>
      <c r="Q2688" t="s">
        <v>21</v>
      </c>
      <c r="R2688">
        <v>7.93</v>
      </c>
      <c r="S2688">
        <v>7.16</v>
      </c>
      <c r="T2688" s="4">
        <v>7.8849999999999998</v>
      </c>
      <c r="U2688" s="4">
        <v>3.6575439999999899</v>
      </c>
      <c r="V2688" t="str">
        <f>IF(Table1[[#This Row],[ai_disruption_intensity]]&gt;70,"High",
IF(Table1[[#This Row],[ai_disruption_intensity]]&gt;40,"Medium","Low"))</f>
        <v>Low</v>
      </c>
      <c r="W2688" t="str">
        <f>IF(Table1[[#This Row],[skill_gap_index]]&gt;70,"Large Gap",
IF(Table1[[#This Row],[skill_gap_index]]&gt;40,"Medium Gap","Small Gap"))</f>
        <v>Small Gap</v>
      </c>
      <c r="X2688" s="3" t="str">
        <f>IF(Table1[[#This Row],[automation_risk_percent]]&gt;0.7,"Highly Automatable",
IF(Table1[[#This Row],[automation_risk_percent]]&gt;0.4,"Moderate Risk","Safe Job"))</f>
        <v>Safe Job</v>
      </c>
    </row>
    <row r="2689" spans="1:24" x14ac:dyDescent="0.3">
      <c r="A2689">
        <v>9476</v>
      </c>
      <c r="B2689" t="s">
        <v>41</v>
      </c>
      <c r="C2689" t="s">
        <v>27</v>
      </c>
      <c r="D2689" t="s">
        <v>42</v>
      </c>
      <c r="E2689" s="1">
        <v>2025</v>
      </c>
      <c r="F2689" s="11">
        <v>0.34460000000000002</v>
      </c>
      <c r="G2689">
        <v>40.229999999999997</v>
      </c>
      <c r="H2689">
        <v>76.17</v>
      </c>
      <c r="I2689" s="2">
        <v>57077.919999999998</v>
      </c>
      <c r="J2689" s="2">
        <v>54114.080000000002</v>
      </c>
      <c r="K2689" s="2">
        <f>Table1[[#This Row],[Salary_after]]-Table1[[#This Row],[Salary_before]]</f>
        <v>-2963.8399999999965</v>
      </c>
      <c r="L2689" s="11">
        <v>-5.1900000000000002E-2</v>
      </c>
      <c r="M2689" s="11">
        <v>7.980000000000001E-2</v>
      </c>
      <c r="N2689">
        <v>57.14</v>
      </c>
      <c r="O2689">
        <v>25.43</v>
      </c>
      <c r="P2689">
        <v>4</v>
      </c>
      <c r="Q2689" t="s">
        <v>25</v>
      </c>
      <c r="R2689">
        <v>55.314999999999998</v>
      </c>
      <c r="S2689">
        <v>5.19</v>
      </c>
      <c r="T2689" s="4">
        <v>38.192</v>
      </c>
      <c r="U2689" s="4">
        <v>8.7631779999999999</v>
      </c>
      <c r="V2689" t="str">
        <f>IF(Table1[[#This Row],[ai_disruption_intensity]]&gt;70,"High",
IF(Table1[[#This Row],[ai_disruption_intensity]]&gt;40,"Medium","Low"))</f>
        <v>Low</v>
      </c>
      <c r="W2689" t="str">
        <f>IF(Table1[[#This Row],[skill_gap_index]]&gt;70,"Large Gap",
IF(Table1[[#This Row],[skill_gap_index]]&gt;40,"Medium Gap","Small Gap"))</f>
        <v>Large Gap</v>
      </c>
      <c r="X2689" s="3" t="str">
        <f>IF(Table1[[#This Row],[automation_risk_percent]]&gt;0.7,"Highly Automatable",
IF(Table1[[#This Row],[automation_risk_percent]]&gt;0.4,"Moderate Risk","Safe Job"))</f>
        <v>Safe Job</v>
      </c>
    </row>
    <row r="2690" spans="1:24" x14ac:dyDescent="0.3">
      <c r="A2690">
        <v>9478</v>
      </c>
      <c r="B2690" t="s">
        <v>39</v>
      </c>
      <c r="C2690" t="s">
        <v>40</v>
      </c>
      <c r="D2690" t="s">
        <v>20</v>
      </c>
      <c r="E2690" s="1">
        <v>2025</v>
      </c>
      <c r="F2690" s="11">
        <v>0.46560000000000001</v>
      </c>
      <c r="G2690">
        <v>51.69</v>
      </c>
      <c r="H2690">
        <v>40.75</v>
      </c>
      <c r="I2690" s="2">
        <v>35414.36</v>
      </c>
      <c r="J2690" s="2">
        <v>33620</v>
      </c>
      <c r="K2690" s="2">
        <f>Table1[[#This Row],[Salary_after]]-Table1[[#This Row],[Salary_before]]</f>
        <v>-1794.3600000000006</v>
      </c>
      <c r="L2690" s="11">
        <v>-5.0700000000000002E-2</v>
      </c>
      <c r="M2690" s="11">
        <v>2.8999999999999998E-3</v>
      </c>
      <c r="N2690">
        <v>36.06</v>
      </c>
      <c r="O2690">
        <v>10.220000000000001</v>
      </c>
      <c r="P2690">
        <v>5</v>
      </c>
      <c r="Q2690" t="s">
        <v>25</v>
      </c>
      <c r="R2690">
        <v>43.655000000000001</v>
      </c>
      <c r="S2690">
        <v>5.07</v>
      </c>
      <c r="T2690" s="4">
        <v>32.369999999999997</v>
      </c>
      <c r="U2690" s="4">
        <v>4.758432</v>
      </c>
      <c r="V2690" t="str">
        <f>IF(Table1[[#This Row],[ai_disruption_intensity]]&gt;70,"High",
IF(Table1[[#This Row],[ai_disruption_intensity]]&gt;40,"Medium","Low"))</f>
        <v>Low</v>
      </c>
      <c r="W2690" t="str">
        <f>IF(Table1[[#This Row],[skill_gap_index]]&gt;70,"Large Gap",
IF(Table1[[#This Row],[skill_gap_index]]&gt;40,"Medium Gap","Small Gap"))</f>
        <v>Medium Gap</v>
      </c>
      <c r="X2690" s="3" t="str">
        <f>IF(Table1[[#This Row],[automation_risk_percent]]&gt;0.7,"Highly Automatable",
IF(Table1[[#This Row],[automation_risk_percent]]&gt;0.4,"Moderate Risk","Safe Job"))</f>
        <v>Moderate Risk</v>
      </c>
    </row>
    <row r="2691" spans="1:24" x14ac:dyDescent="0.3">
      <c r="A2691">
        <v>9479</v>
      </c>
      <c r="B2691" t="s">
        <v>18</v>
      </c>
      <c r="C2691" t="s">
        <v>19</v>
      </c>
      <c r="D2691" t="s">
        <v>32</v>
      </c>
      <c r="E2691" s="1">
        <v>2025</v>
      </c>
      <c r="F2691" s="11">
        <v>0.13730000000000001</v>
      </c>
      <c r="G2691">
        <v>15.77</v>
      </c>
      <c r="H2691">
        <v>30.28</v>
      </c>
      <c r="I2691" s="2">
        <v>99887.039999999994</v>
      </c>
      <c r="J2691" s="2">
        <v>102755.12</v>
      </c>
      <c r="K2691" s="2">
        <f>Table1[[#This Row],[Salary_after]]-Table1[[#This Row],[Salary_before]]</f>
        <v>2868.0800000000017</v>
      </c>
      <c r="L2691" s="11">
        <v>2.87E-2</v>
      </c>
      <c r="M2691" s="11">
        <v>6.2E-2</v>
      </c>
      <c r="N2691">
        <v>48.12</v>
      </c>
      <c r="O2691">
        <v>78.95</v>
      </c>
      <c r="P2691">
        <v>4</v>
      </c>
      <c r="Q2691" t="s">
        <v>21</v>
      </c>
      <c r="R2691">
        <v>22.004999999999999</v>
      </c>
      <c r="S2691">
        <v>2.87</v>
      </c>
      <c r="T2691" s="4">
        <v>15.436999999999999</v>
      </c>
      <c r="U2691" s="4">
        <v>10.839835000000001</v>
      </c>
      <c r="V2691" t="str">
        <f>IF(Table1[[#This Row],[ai_disruption_intensity]]&gt;70,"High",
IF(Table1[[#This Row],[ai_disruption_intensity]]&gt;40,"Medium","Low"))</f>
        <v>Low</v>
      </c>
      <c r="W2691" t="str">
        <f>IF(Table1[[#This Row],[skill_gap_index]]&gt;70,"Large Gap",
IF(Table1[[#This Row],[skill_gap_index]]&gt;40,"Medium Gap","Small Gap"))</f>
        <v>Small Gap</v>
      </c>
      <c r="X2691" s="3" t="str">
        <f>IF(Table1[[#This Row],[automation_risk_percent]]&gt;0.7,"Highly Automatable",
IF(Table1[[#This Row],[automation_risk_percent]]&gt;0.4,"Moderate Risk","Safe Job"))</f>
        <v>Safe Job</v>
      </c>
    </row>
    <row r="2692" spans="1:24" x14ac:dyDescent="0.3">
      <c r="A2692">
        <v>9481</v>
      </c>
      <c r="B2692" t="s">
        <v>18</v>
      </c>
      <c r="C2692" t="s">
        <v>33</v>
      </c>
      <c r="D2692" t="s">
        <v>32</v>
      </c>
      <c r="E2692" s="1">
        <v>2026</v>
      </c>
      <c r="F2692" s="11">
        <v>0.2462</v>
      </c>
      <c r="G2692">
        <v>28.51</v>
      </c>
      <c r="H2692">
        <v>42.25</v>
      </c>
      <c r="I2692" s="2">
        <v>140175.82999999999</v>
      </c>
      <c r="J2692" s="2">
        <v>137050.70000000001</v>
      </c>
      <c r="K2692" s="2">
        <f>Table1[[#This Row],[Salary_after]]-Table1[[#This Row],[Salary_before]]</f>
        <v>-3125.1299999999756</v>
      </c>
      <c r="L2692" s="11">
        <v>-2.23E-2</v>
      </c>
      <c r="M2692" s="11">
        <v>0.14910000000000001</v>
      </c>
      <c r="N2692">
        <v>92.97</v>
      </c>
      <c r="O2692">
        <v>63.27</v>
      </c>
      <c r="P2692">
        <v>4</v>
      </c>
      <c r="Q2692" t="s">
        <v>21</v>
      </c>
      <c r="R2692">
        <v>33.435000000000002</v>
      </c>
      <c r="S2692">
        <v>2.23</v>
      </c>
      <c r="T2692" s="4">
        <v>23.192</v>
      </c>
      <c r="U2692" s="4">
        <v>15.577074</v>
      </c>
      <c r="V2692" t="str">
        <f>IF(Table1[[#This Row],[ai_disruption_intensity]]&gt;70,"High",
IF(Table1[[#This Row],[ai_disruption_intensity]]&gt;40,"Medium","Low"))</f>
        <v>Low</v>
      </c>
      <c r="W2692" t="str">
        <f>IF(Table1[[#This Row],[skill_gap_index]]&gt;70,"Large Gap",
IF(Table1[[#This Row],[skill_gap_index]]&gt;40,"Medium Gap","Small Gap"))</f>
        <v>Medium Gap</v>
      </c>
      <c r="X2692" s="3" t="str">
        <f>IF(Table1[[#This Row],[automation_risk_percent]]&gt;0.7,"Highly Automatable",
IF(Table1[[#This Row],[automation_risk_percent]]&gt;0.4,"Moderate Risk","Safe Job"))</f>
        <v>Safe Job</v>
      </c>
    </row>
    <row r="2693" spans="1:24" x14ac:dyDescent="0.3">
      <c r="A2693">
        <v>9483</v>
      </c>
      <c r="B2693" t="s">
        <v>18</v>
      </c>
      <c r="C2693" t="s">
        <v>19</v>
      </c>
      <c r="D2693" t="s">
        <v>24</v>
      </c>
      <c r="E2693" s="1">
        <v>2025</v>
      </c>
      <c r="F2693" s="11">
        <v>0.45990000000000003</v>
      </c>
      <c r="G2693">
        <v>44.55</v>
      </c>
      <c r="H2693">
        <v>50.46</v>
      </c>
      <c r="I2693" s="2">
        <v>56660.74</v>
      </c>
      <c r="J2693" s="2">
        <v>58130.51</v>
      </c>
      <c r="K2693" s="2">
        <f>Table1[[#This Row],[Salary_after]]-Table1[[#This Row],[Salary_before]]</f>
        <v>1469.7700000000041</v>
      </c>
      <c r="L2693" s="11">
        <v>2.5899999999999999E-2</v>
      </c>
      <c r="M2693" s="11">
        <v>0.1406</v>
      </c>
      <c r="N2693">
        <v>31.03</v>
      </c>
      <c r="O2693">
        <v>9.15</v>
      </c>
      <c r="P2693">
        <v>3</v>
      </c>
      <c r="Q2693" t="s">
        <v>25</v>
      </c>
      <c r="R2693">
        <v>48.225000000000001</v>
      </c>
      <c r="S2693">
        <v>2.59</v>
      </c>
      <c r="T2693" s="4">
        <v>34.311</v>
      </c>
      <c r="U2693" s="4">
        <v>4.2080849999999996</v>
      </c>
      <c r="V2693" t="str">
        <f>IF(Table1[[#This Row],[ai_disruption_intensity]]&gt;70,"High",
IF(Table1[[#This Row],[ai_disruption_intensity]]&gt;40,"Medium","Low"))</f>
        <v>Low</v>
      </c>
      <c r="W2693" t="str">
        <f>IF(Table1[[#This Row],[skill_gap_index]]&gt;70,"Large Gap",
IF(Table1[[#This Row],[skill_gap_index]]&gt;40,"Medium Gap","Small Gap"))</f>
        <v>Medium Gap</v>
      </c>
      <c r="X2693" s="3" t="str">
        <f>IF(Table1[[#This Row],[automation_risk_percent]]&gt;0.7,"Highly Automatable",
IF(Table1[[#This Row],[automation_risk_percent]]&gt;0.4,"Moderate Risk","Safe Job"))</f>
        <v>Moderate Risk</v>
      </c>
    </row>
    <row r="2694" spans="1:24" x14ac:dyDescent="0.3">
      <c r="A2694">
        <v>9489</v>
      </c>
      <c r="B2694" t="s">
        <v>43</v>
      </c>
      <c r="C2694" t="s">
        <v>23</v>
      </c>
      <c r="D2694" t="s">
        <v>20</v>
      </c>
      <c r="E2694" s="1">
        <v>2026</v>
      </c>
      <c r="F2694" s="11">
        <v>0.42249999999999999</v>
      </c>
      <c r="G2694">
        <v>42.92</v>
      </c>
      <c r="H2694">
        <v>25.25</v>
      </c>
      <c r="I2694" s="2">
        <v>124163.21</v>
      </c>
      <c r="J2694" s="2">
        <v>129397.21</v>
      </c>
      <c r="K2694" s="2">
        <f>Table1[[#This Row],[Salary_after]]-Table1[[#This Row],[Salary_before]]</f>
        <v>5234</v>
      </c>
      <c r="L2694" s="11">
        <v>4.2199999999999994E-2</v>
      </c>
      <c r="M2694" s="11">
        <v>6.3099999999999989E-2</v>
      </c>
      <c r="N2694">
        <v>28.35</v>
      </c>
      <c r="O2694">
        <v>61.91</v>
      </c>
      <c r="P2694">
        <v>4</v>
      </c>
      <c r="Q2694" t="s">
        <v>25</v>
      </c>
      <c r="R2694">
        <v>33.75</v>
      </c>
      <c r="S2694">
        <v>4.22</v>
      </c>
      <c r="T2694" s="4">
        <v>25.741</v>
      </c>
      <c r="U2694" s="4">
        <v>26.156974999999999</v>
      </c>
      <c r="V2694" t="str">
        <f>IF(Table1[[#This Row],[ai_disruption_intensity]]&gt;70,"High",
IF(Table1[[#This Row],[ai_disruption_intensity]]&gt;40,"Medium","Low"))</f>
        <v>Low</v>
      </c>
      <c r="W2694" t="str">
        <f>IF(Table1[[#This Row],[skill_gap_index]]&gt;70,"Large Gap",
IF(Table1[[#This Row],[skill_gap_index]]&gt;40,"Medium Gap","Small Gap"))</f>
        <v>Small Gap</v>
      </c>
      <c r="X2694" s="3" t="str">
        <f>IF(Table1[[#This Row],[automation_risk_percent]]&gt;0.7,"Highly Automatable",
IF(Table1[[#This Row],[automation_risk_percent]]&gt;0.4,"Moderate Risk","Safe Job"))</f>
        <v>Moderate Risk</v>
      </c>
    </row>
    <row r="2695" spans="1:24" x14ac:dyDescent="0.3">
      <c r="A2695">
        <v>9498</v>
      </c>
      <c r="B2695" t="s">
        <v>26</v>
      </c>
      <c r="C2695" t="s">
        <v>33</v>
      </c>
      <c r="D2695" t="s">
        <v>31</v>
      </c>
      <c r="E2695" s="1">
        <v>2025</v>
      </c>
      <c r="F2695" s="11">
        <v>0.61939999999999995</v>
      </c>
      <c r="G2695">
        <v>66.67</v>
      </c>
      <c r="H2695">
        <v>6.5</v>
      </c>
      <c r="I2695" s="2">
        <v>136992.45000000001</v>
      </c>
      <c r="J2695" s="2">
        <v>119822.12</v>
      </c>
      <c r="K2695" s="2">
        <f>Table1[[#This Row],[Salary_after]]-Table1[[#This Row],[Salary_before]]</f>
        <v>-17170.330000000016</v>
      </c>
      <c r="L2695" s="11">
        <v>-0.12529999999999999</v>
      </c>
      <c r="M2695" s="11">
        <v>1.8000000000000002E-2</v>
      </c>
      <c r="N2695">
        <v>80.09</v>
      </c>
      <c r="O2695">
        <v>34.67</v>
      </c>
      <c r="P2695">
        <v>4</v>
      </c>
      <c r="Q2695" t="s">
        <v>37</v>
      </c>
      <c r="R2695">
        <v>34.22</v>
      </c>
      <c r="S2695">
        <v>12.53</v>
      </c>
      <c r="T2695" s="4">
        <v>30.484999999999999</v>
      </c>
      <c r="U2695" s="4">
        <v>21.474598</v>
      </c>
      <c r="V2695" t="str">
        <f>IF(Table1[[#This Row],[ai_disruption_intensity]]&gt;70,"High",
IF(Table1[[#This Row],[ai_disruption_intensity]]&gt;40,"Medium","Low"))</f>
        <v>Low</v>
      </c>
      <c r="W2695" t="str">
        <f>IF(Table1[[#This Row],[skill_gap_index]]&gt;70,"Large Gap",
IF(Table1[[#This Row],[skill_gap_index]]&gt;40,"Medium Gap","Small Gap"))</f>
        <v>Small Gap</v>
      </c>
      <c r="X2695" s="3" t="str">
        <f>IF(Table1[[#This Row],[automation_risk_percent]]&gt;0.7,"Highly Automatable",
IF(Table1[[#This Row],[automation_risk_percent]]&gt;0.4,"Moderate Risk","Safe Job"))</f>
        <v>Moderate Risk</v>
      </c>
    </row>
    <row r="2696" spans="1:24" x14ac:dyDescent="0.3">
      <c r="A2696">
        <v>9505</v>
      </c>
      <c r="B2696" t="s">
        <v>39</v>
      </c>
      <c r="C2696" t="s">
        <v>38</v>
      </c>
      <c r="D2696" t="s">
        <v>36</v>
      </c>
      <c r="E2696" s="1">
        <v>2025</v>
      </c>
      <c r="F2696" s="11">
        <v>0.60640000000000005</v>
      </c>
      <c r="G2696">
        <v>61.54</v>
      </c>
      <c r="H2696">
        <v>67.92</v>
      </c>
      <c r="I2696" s="2">
        <v>51921.15</v>
      </c>
      <c r="J2696" s="2">
        <v>55217.1</v>
      </c>
      <c r="K2696" s="2">
        <f>Table1[[#This Row],[Salary_after]]-Table1[[#This Row],[Salary_before]]</f>
        <v>3295.9499999999971</v>
      </c>
      <c r="L2696" s="11">
        <v>6.3500000000000001E-2</v>
      </c>
      <c r="M2696" s="11">
        <v>7.7899999999999997E-2</v>
      </c>
      <c r="N2696">
        <v>19.079999999999998</v>
      </c>
      <c r="O2696">
        <v>32.65</v>
      </c>
      <c r="P2696">
        <v>4</v>
      </c>
      <c r="Q2696" t="s">
        <v>37</v>
      </c>
      <c r="R2696">
        <v>64.28</v>
      </c>
      <c r="S2696">
        <v>6.35</v>
      </c>
      <c r="T2696" s="4">
        <v>46.536999999999999</v>
      </c>
      <c r="U2696" s="4">
        <v>19.798960000000001</v>
      </c>
      <c r="V2696" t="str">
        <f>IF(Table1[[#This Row],[ai_disruption_intensity]]&gt;70,"High",
IF(Table1[[#This Row],[ai_disruption_intensity]]&gt;40,"Medium","Low"))</f>
        <v>Low</v>
      </c>
      <c r="W2696" t="str">
        <f>IF(Table1[[#This Row],[skill_gap_index]]&gt;70,"Large Gap",
IF(Table1[[#This Row],[skill_gap_index]]&gt;40,"Medium Gap","Small Gap"))</f>
        <v>Medium Gap</v>
      </c>
      <c r="X2696" s="3" t="str">
        <f>IF(Table1[[#This Row],[automation_risk_percent]]&gt;0.7,"Highly Automatable",
IF(Table1[[#This Row],[automation_risk_percent]]&gt;0.4,"Moderate Risk","Safe Job"))</f>
        <v>Moderate Risk</v>
      </c>
    </row>
    <row r="2697" spans="1:24" x14ac:dyDescent="0.3">
      <c r="A2697">
        <v>9507</v>
      </c>
      <c r="B2697" t="s">
        <v>22</v>
      </c>
      <c r="C2697" t="s">
        <v>34</v>
      </c>
      <c r="D2697" t="s">
        <v>28</v>
      </c>
      <c r="E2697" s="1">
        <v>2025</v>
      </c>
      <c r="F2697" s="11">
        <v>0.68200000000000005</v>
      </c>
      <c r="G2697">
        <v>75.48</v>
      </c>
      <c r="H2697">
        <v>31.08</v>
      </c>
      <c r="I2697" s="2">
        <v>71386.509999999995</v>
      </c>
      <c r="J2697" s="2">
        <v>60941.51</v>
      </c>
      <c r="K2697" s="2">
        <f>Table1[[#This Row],[Salary_after]]-Table1[[#This Row],[Salary_before]]</f>
        <v>-10444.999999999993</v>
      </c>
      <c r="L2697" s="11">
        <v>-0.14630000000000001</v>
      </c>
      <c r="M2697" s="11">
        <v>0.14779999999999999</v>
      </c>
      <c r="N2697">
        <v>97.25</v>
      </c>
      <c r="O2697">
        <v>74.28</v>
      </c>
      <c r="P2697">
        <v>2</v>
      </c>
      <c r="Q2697" t="s">
        <v>37</v>
      </c>
      <c r="R2697">
        <v>49.64</v>
      </c>
      <c r="S2697">
        <v>14.63</v>
      </c>
      <c r="T2697" s="4">
        <v>40.993000000000002</v>
      </c>
      <c r="U2697" s="4">
        <v>50.65896</v>
      </c>
      <c r="V2697" t="str">
        <f>IF(Table1[[#This Row],[ai_disruption_intensity]]&gt;70,"High",
IF(Table1[[#This Row],[ai_disruption_intensity]]&gt;40,"Medium","Low"))</f>
        <v>Medium</v>
      </c>
      <c r="W2697" t="str">
        <f>IF(Table1[[#This Row],[skill_gap_index]]&gt;70,"Large Gap",
IF(Table1[[#This Row],[skill_gap_index]]&gt;40,"Medium Gap","Small Gap"))</f>
        <v>Small Gap</v>
      </c>
      <c r="X2697" s="3" t="str">
        <f>IF(Table1[[#This Row],[automation_risk_percent]]&gt;0.7,"Highly Automatable",
IF(Table1[[#This Row],[automation_risk_percent]]&gt;0.4,"Moderate Risk","Safe Job"))</f>
        <v>Moderate Risk</v>
      </c>
    </row>
    <row r="2698" spans="1:24" x14ac:dyDescent="0.3">
      <c r="A2698">
        <v>9510</v>
      </c>
      <c r="B2698" t="s">
        <v>41</v>
      </c>
      <c r="C2698" t="s">
        <v>34</v>
      </c>
      <c r="D2698" t="s">
        <v>35</v>
      </c>
      <c r="E2698" s="1">
        <v>2025</v>
      </c>
      <c r="F2698" s="11">
        <v>0.72689999999999999</v>
      </c>
      <c r="G2698">
        <v>69.569999999999993</v>
      </c>
      <c r="H2698">
        <v>94.91</v>
      </c>
      <c r="I2698" s="2">
        <v>115490.84</v>
      </c>
      <c r="J2698" s="2">
        <v>139300.32999999999</v>
      </c>
      <c r="K2698" s="2">
        <f>Table1[[#This Row],[Salary_after]]-Table1[[#This Row],[Salary_before]]</f>
        <v>23809.489999999991</v>
      </c>
      <c r="L2698" s="11">
        <v>0.20620000000000002</v>
      </c>
      <c r="M2698" s="11">
        <v>-4.2500000000000003E-2</v>
      </c>
      <c r="N2698">
        <v>15.94</v>
      </c>
      <c r="O2698">
        <v>58.91</v>
      </c>
      <c r="P2698">
        <v>5</v>
      </c>
      <c r="Q2698" t="s">
        <v>37</v>
      </c>
      <c r="R2698">
        <v>83.8</v>
      </c>
      <c r="S2698">
        <v>20.62</v>
      </c>
      <c r="T2698" s="4">
        <v>63.734999999999999</v>
      </c>
      <c r="U2698" s="4">
        <v>42.821678999999897</v>
      </c>
      <c r="V2698" t="str">
        <f>IF(Table1[[#This Row],[ai_disruption_intensity]]&gt;70,"High",
IF(Table1[[#This Row],[ai_disruption_intensity]]&gt;40,"Medium","Low"))</f>
        <v>Medium</v>
      </c>
      <c r="W2698" t="str">
        <f>IF(Table1[[#This Row],[skill_gap_index]]&gt;70,"Large Gap",
IF(Table1[[#This Row],[skill_gap_index]]&gt;40,"Medium Gap","Small Gap"))</f>
        <v>Large Gap</v>
      </c>
      <c r="X2698" s="3" t="str">
        <f>IF(Table1[[#This Row],[automation_risk_percent]]&gt;0.7,"Highly Automatable",
IF(Table1[[#This Row],[automation_risk_percent]]&gt;0.4,"Moderate Risk","Safe Job"))</f>
        <v>Highly Automatable</v>
      </c>
    </row>
    <row r="2699" spans="1:24" x14ac:dyDescent="0.3">
      <c r="A2699">
        <v>9512</v>
      </c>
      <c r="B2699" t="s">
        <v>41</v>
      </c>
      <c r="C2699" t="s">
        <v>40</v>
      </c>
      <c r="D2699" t="s">
        <v>32</v>
      </c>
      <c r="E2699" s="1">
        <v>2025</v>
      </c>
      <c r="F2699" s="11">
        <v>0.45880000000000004</v>
      </c>
      <c r="G2699">
        <v>50.25</v>
      </c>
      <c r="H2699">
        <v>7.1</v>
      </c>
      <c r="I2699" s="2">
        <v>130899.06</v>
      </c>
      <c r="J2699" s="2">
        <v>151903.71</v>
      </c>
      <c r="K2699" s="2">
        <f>Table1[[#This Row],[Salary_after]]-Table1[[#This Row],[Salary_before]]</f>
        <v>21004.649999999994</v>
      </c>
      <c r="L2699" s="11">
        <v>0.1605</v>
      </c>
      <c r="M2699" s="11">
        <v>0.1081</v>
      </c>
      <c r="N2699">
        <v>40.93</v>
      </c>
      <c r="O2699">
        <v>22.27</v>
      </c>
      <c r="P2699">
        <v>1</v>
      </c>
      <c r="Q2699" t="s">
        <v>25</v>
      </c>
      <c r="R2699">
        <v>26.49</v>
      </c>
      <c r="S2699">
        <v>16.05</v>
      </c>
      <c r="T2699" s="4">
        <v>25.297000000000001</v>
      </c>
      <c r="U2699" s="4">
        <v>10.217476</v>
      </c>
      <c r="V2699" t="str">
        <f>IF(Table1[[#This Row],[ai_disruption_intensity]]&gt;70,"High",
IF(Table1[[#This Row],[ai_disruption_intensity]]&gt;40,"Medium","Low"))</f>
        <v>Low</v>
      </c>
      <c r="W2699" t="str">
        <f>IF(Table1[[#This Row],[skill_gap_index]]&gt;70,"Large Gap",
IF(Table1[[#This Row],[skill_gap_index]]&gt;40,"Medium Gap","Small Gap"))</f>
        <v>Small Gap</v>
      </c>
      <c r="X2699" s="3" t="str">
        <f>IF(Table1[[#This Row],[automation_risk_percent]]&gt;0.7,"Highly Automatable",
IF(Table1[[#This Row],[automation_risk_percent]]&gt;0.4,"Moderate Risk","Safe Job"))</f>
        <v>Moderate Risk</v>
      </c>
    </row>
    <row r="2700" spans="1:24" x14ac:dyDescent="0.3">
      <c r="A2700">
        <v>9516</v>
      </c>
      <c r="B2700" t="s">
        <v>44</v>
      </c>
      <c r="C2700" t="s">
        <v>19</v>
      </c>
      <c r="D2700" t="s">
        <v>35</v>
      </c>
      <c r="E2700" s="1">
        <v>2025</v>
      </c>
      <c r="F2700" s="11">
        <v>0.1229</v>
      </c>
      <c r="G2700">
        <v>11.12</v>
      </c>
      <c r="H2700">
        <v>22.31</v>
      </c>
      <c r="I2700" s="2">
        <v>74480.160000000003</v>
      </c>
      <c r="J2700" s="2">
        <v>76990.490000000005</v>
      </c>
      <c r="K2700" s="2">
        <f>Table1[[#This Row],[Salary_after]]-Table1[[#This Row],[Salary_before]]</f>
        <v>2510.3300000000017</v>
      </c>
      <c r="L2700" s="11">
        <v>3.3700000000000001E-2</v>
      </c>
      <c r="M2700" s="11">
        <v>0.24440000000000001</v>
      </c>
      <c r="N2700">
        <v>58.66</v>
      </c>
      <c r="O2700">
        <v>73.13</v>
      </c>
      <c r="P2700">
        <v>5</v>
      </c>
      <c r="Q2700" t="s">
        <v>21</v>
      </c>
      <c r="R2700">
        <v>17.299999999999901</v>
      </c>
      <c r="S2700">
        <v>3.37</v>
      </c>
      <c r="T2700" s="4">
        <v>12.62</v>
      </c>
      <c r="U2700" s="4">
        <v>8.9876769999999908</v>
      </c>
      <c r="V2700" t="str">
        <f>IF(Table1[[#This Row],[ai_disruption_intensity]]&gt;70,"High",
IF(Table1[[#This Row],[ai_disruption_intensity]]&gt;40,"Medium","Low"))</f>
        <v>Low</v>
      </c>
      <c r="W2700" t="str">
        <f>IF(Table1[[#This Row],[skill_gap_index]]&gt;70,"Large Gap",
IF(Table1[[#This Row],[skill_gap_index]]&gt;40,"Medium Gap","Small Gap"))</f>
        <v>Small Gap</v>
      </c>
      <c r="X2700" s="3" t="str">
        <f>IF(Table1[[#This Row],[automation_risk_percent]]&gt;0.7,"Highly Automatable",
IF(Table1[[#This Row],[automation_risk_percent]]&gt;0.4,"Moderate Risk","Safe Job"))</f>
        <v>Safe Job</v>
      </c>
    </row>
    <row r="2701" spans="1:24" x14ac:dyDescent="0.3">
      <c r="A2701">
        <v>9518</v>
      </c>
      <c r="B2701" t="s">
        <v>41</v>
      </c>
      <c r="C2701" t="s">
        <v>40</v>
      </c>
      <c r="D2701" t="s">
        <v>24</v>
      </c>
      <c r="E2701" s="1">
        <v>2025</v>
      </c>
      <c r="F2701" s="11">
        <v>0.87879999999999991</v>
      </c>
      <c r="G2701">
        <v>83.2</v>
      </c>
      <c r="H2701">
        <v>25.53</v>
      </c>
      <c r="I2701" s="2">
        <v>113248.83</v>
      </c>
      <c r="J2701" s="2">
        <v>111249.02</v>
      </c>
      <c r="K2701" s="2">
        <f>Table1[[#This Row],[Salary_after]]-Table1[[#This Row],[Salary_before]]</f>
        <v>-1999.8099999999977</v>
      </c>
      <c r="L2701" s="11">
        <v>-1.77E-2</v>
      </c>
      <c r="M2701" s="11">
        <v>0.16059999999999999</v>
      </c>
      <c r="N2701">
        <v>81.2</v>
      </c>
      <c r="O2701">
        <v>43</v>
      </c>
      <c r="P2701">
        <v>5</v>
      </c>
      <c r="Q2701" t="s">
        <v>37</v>
      </c>
      <c r="R2701">
        <v>56.704999999999998</v>
      </c>
      <c r="S2701">
        <v>1.77</v>
      </c>
      <c r="T2701" s="4">
        <v>43.341999999999999</v>
      </c>
      <c r="U2701" s="4">
        <v>37.788399999999903</v>
      </c>
      <c r="V2701" t="str">
        <f>IF(Table1[[#This Row],[ai_disruption_intensity]]&gt;70,"High",
IF(Table1[[#This Row],[ai_disruption_intensity]]&gt;40,"Medium","Low"))</f>
        <v>Low</v>
      </c>
      <c r="W2701" t="str">
        <f>IF(Table1[[#This Row],[skill_gap_index]]&gt;70,"Large Gap",
IF(Table1[[#This Row],[skill_gap_index]]&gt;40,"Medium Gap","Small Gap"))</f>
        <v>Small Gap</v>
      </c>
      <c r="X2701" s="3" t="str">
        <f>IF(Table1[[#This Row],[automation_risk_percent]]&gt;0.7,"Highly Automatable",
IF(Table1[[#This Row],[automation_risk_percent]]&gt;0.4,"Moderate Risk","Safe Job"))</f>
        <v>Highly Automatable</v>
      </c>
    </row>
    <row r="2702" spans="1:24" x14ac:dyDescent="0.3">
      <c r="A2702">
        <v>9519</v>
      </c>
      <c r="B2702" t="s">
        <v>45</v>
      </c>
      <c r="C2702" t="s">
        <v>19</v>
      </c>
      <c r="D2702" t="s">
        <v>31</v>
      </c>
      <c r="E2702" s="1">
        <v>2026</v>
      </c>
      <c r="F2702" s="11">
        <v>0.58399999999999996</v>
      </c>
      <c r="G2702">
        <v>60.15</v>
      </c>
      <c r="H2702">
        <v>89.44</v>
      </c>
      <c r="I2702" s="2">
        <v>69006.17</v>
      </c>
      <c r="J2702" s="2">
        <v>74063.48</v>
      </c>
      <c r="K2702" s="2">
        <f>Table1[[#This Row],[Salary_after]]-Table1[[#This Row],[Salary_before]]</f>
        <v>5057.3099999999977</v>
      </c>
      <c r="L2702" s="11">
        <v>7.3300000000000004E-2</v>
      </c>
      <c r="M2702" s="11">
        <v>0.15770000000000001</v>
      </c>
      <c r="N2702">
        <v>85.49</v>
      </c>
      <c r="O2702">
        <v>60.75</v>
      </c>
      <c r="P2702">
        <v>2</v>
      </c>
      <c r="Q2702" t="s">
        <v>25</v>
      </c>
      <c r="R2702">
        <v>73.92</v>
      </c>
      <c r="S2702">
        <v>7.33</v>
      </c>
      <c r="T2702" s="4">
        <v>52.390999999999899</v>
      </c>
      <c r="U2702" s="4">
        <v>35.477999999999902</v>
      </c>
      <c r="V2702" t="str">
        <f>IF(Table1[[#This Row],[ai_disruption_intensity]]&gt;70,"High",
IF(Table1[[#This Row],[ai_disruption_intensity]]&gt;40,"Medium","Low"))</f>
        <v>Low</v>
      </c>
      <c r="W2702" t="str">
        <f>IF(Table1[[#This Row],[skill_gap_index]]&gt;70,"Large Gap",
IF(Table1[[#This Row],[skill_gap_index]]&gt;40,"Medium Gap","Small Gap"))</f>
        <v>Large Gap</v>
      </c>
      <c r="X2702" s="3" t="str">
        <f>IF(Table1[[#This Row],[automation_risk_percent]]&gt;0.7,"Highly Automatable",
IF(Table1[[#This Row],[automation_risk_percent]]&gt;0.4,"Moderate Risk","Safe Job"))</f>
        <v>Moderate Risk</v>
      </c>
    </row>
    <row r="2703" spans="1:24" x14ac:dyDescent="0.3">
      <c r="A2703">
        <v>9527</v>
      </c>
      <c r="B2703" t="s">
        <v>46</v>
      </c>
      <c r="C2703" t="s">
        <v>19</v>
      </c>
      <c r="D2703" t="s">
        <v>31</v>
      </c>
      <c r="E2703" s="1">
        <v>2025</v>
      </c>
      <c r="F2703" s="11">
        <v>0.66900000000000004</v>
      </c>
      <c r="G2703">
        <v>55.8</v>
      </c>
      <c r="H2703">
        <v>30.75</v>
      </c>
      <c r="I2703" s="2">
        <v>65795.73</v>
      </c>
      <c r="J2703" s="2">
        <v>71555.789999999994</v>
      </c>
      <c r="K2703" s="2">
        <f>Table1[[#This Row],[Salary_after]]-Table1[[#This Row],[Salary_before]]</f>
        <v>5760.0599999999977</v>
      </c>
      <c r="L2703" s="11">
        <v>8.7499999999999994E-2</v>
      </c>
      <c r="M2703" s="11">
        <v>0.16940000000000002</v>
      </c>
      <c r="N2703">
        <v>15.56</v>
      </c>
      <c r="O2703">
        <v>14.97</v>
      </c>
      <c r="P2703">
        <v>1</v>
      </c>
      <c r="Q2703" t="s">
        <v>37</v>
      </c>
      <c r="R2703">
        <v>48.825000000000003</v>
      </c>
      <c r="S2703">
        <v>8.75</v>
      </c>
      <c r="T2703" s="4">
        <v>38.61</v>
      </c>
      <c r="U2703" s="4">
        <v>10.01493</v>
      </c>
      <c r="V2703" t="str">
        <f>IF(Table1[[#This Row],[ai_disruption_intensity]]&gt;70,"High",
IF(Table1[[#This Row],[ai_disruption_intensity]]&gt;40,"Medium","Low"))</f>
        <v>Low</v>
      </c>
      <c r="W2703" t="str">
        <f>IF(Table1[[#This Row],[skill_gap_index]]&gt;70,"Large Gap",
IF(Table1[[#This Row],[skill_gap_index]]&gt;40,"Medium Gap","Small Gap"))</f>
        <v>Small Gap</v>
      </c>
      <c r="X2703" s="3" t="str">
        <f>IF(Table1[[#This Row],[automation_risk_percent]]&gt;0.7,"Highly Automatable",
IF(Table1[[#This Row],[automation_risk_percent]]&gt;0.4,"Moderate Risk","Safe Job"))</f>
        <v>Moderate Risk</v>
      </c>
    </row>
    <row r="2704" spans="1:24" x14ac:dyDescent="0.3">
      <c r="A2704">
        <v>9533</v>
      </c>
      <c r="B2704" t="s">
        <v>39</v>
      </c>
      <c r="C2704" t="s">
        <v>34</v>
      </c>
      <c r="D2704" t="s">
        <v>31</v>
      </c>
      <c r="E2704" s="1">
        <v>2025</v>
      </c>
      <c r="F2704" s="11">
        <v>0.4143</v>
      </c>
      <c r="G2704">
        <v>36.92</v>
      </c>
      <c r="H2704">
        <v>61.6</v>
      </c>
      <c r="I2704" s="2">
        <v>102758.11</v>
      </c>
      <c r="J2704" s="2">
        <v>94184.31</v>
      </c>
      <c r="K2704" s="2">
        <f>Table1[[#This Row],[Salary_after]]-Table1[[#This Row],[Salary_before]]</f>
        <v>-8573.8000000000029</v>
      </c>
      <c r="L2704" s="11">
        <v>-8.3400000000000002E-2</v>
      </c>
      <c r="M2704" s="11">
        <v>-1.8600000000000002E-2</v>
      </c>
      <c r="N2704">
        <v>49.47</v>
      </c>
      <c r="O2704">
        <v>45.08</v>
      </c>
      <c r="P2704">
        <v>1</v>
      </c>
      <c r="Q2704" t="s">
        <v>25</v>
      </c>
      <c r="R2704">
        <v>51.515000000000001</v>
      </c>
      <c r="S2704">
        <v>8.34</v>
      </c>
      <c r="T2704" s="4">
        <v>37.554000000000002</v>
      </c>
      <c r="U2704" s="4">
        <v>18.676644</v>
      </c>
      <c r="V2704" t="str">
        <f>IF(Table1[[#This Row],[ai_disruption_intensity]]&gt;70,"High",
IF(Table1[[#This Row],[ai_disruption_intensity]]&gt;40,"Medium","Low"))</f>
        <v>Low</v>
      </c>
      <c r="W2704" t="str">
        <f>IF(Table1[[#This Row],[skill_gap_index]]&gt;70,"Large Gap",
IF(Table1[[#This Row],[skill_gap_index]]&gt;40,"Medium Gap","Small Gap"))</f>
        <v>Medium Gap</v>
      </c>
      <c r="X2704" s="3" t="str">
        <f>IF(Table1[[#This Row],[automation_risk_percent]]&gt;0.7,"Highly Automatable",
IF(Table1[[#This Row],[automation_risk_percent]]&gt;0.4,"Moderate Risk","Safe Job"))</f>
        <v>Moderate Risk</v>
      </c>
    </row>
    <row r="2705" spans="1:24" x14ac:dyDescent="0.3">
      <c r="A2705">
        <v>9535</v>
      </c>
      <c r="B2705" t="s">
        <v>39</v>
      </c>
      <c r="C2705" t="s">
        <v>38</v>
      </c>
      <c r="D2705" t="s">
        <v>42</v>
      </c>
      <c r="E2705" s="1">
        <v>2026</v>
      </c>
      <c r="F2705" s="11">
        <v>0.59179999999999999</v>
      </c>
      <c r="G2705">
        <v>63.25</v>
      </c>
      <c r="H2705">
        <v>98.83</v>
      </c>
      <c r="I2705" s="2">
        <v>35525.800000000003</v>
      </c>
      <c r="J2705" s="2">
        <v>36447.980000000003</v>
      </c>
      <c r="K2705" s="2">
        <f>Table1[[#This Row],[Salary_after]]-Table1[[#This Row],[Salary_before]]</f>
        <v>922.18000000000029</v>
      </c>
      <c r="L2705" s="11">
        <v>2.6000000000000002E-2</v>
      </c>
      <c r="M2705" s="11">
        <v>4.7599999999999996E-2</v>
      </c>
      <c r="N2705">
        <v>39.51</v>
      </c>
      <c r="O2705">
        <v>96.57</v>
      </c>
      <c r="P2705">
        <v>2</v>
      </c>
      <c r="Q2705" t="s">
        <v>25</v>
      </c>
      <c r="R2705">
        <v>79.004999999999995</v>
      </c>
      <c r="S2705">
        <v>2.6</v>
      </c>
      <c r="T2705" s="4">
        <v>54.100999999999999</v>
      </c>
      <c r="U2705" s="4">
        <v>57.150126</v>
      </c>
      <c r="V2705" t="str">
        <f>IF(Table1[[#This Row],[ai_disruption_intensity]]&gt;70,"High",
IF(Table1[[#This Row],[ai_disruption_intensity]]&gt;40,"Medium","Low"))</f>
        <v>Medium</v>
      </c>
      <c r="W2705" t="str">
        <f>IF(Table1[[#This Row],[skill_gap_index]]&gt;70,"Large Gap",
IF(Table1[[#This Row],[skill_gap_index]]&gt;40,"Medium Gap","Small Gap"))</f>
        <v>Large Gap</v>
      </c>
      <c r="X2705" s="3" t="str">
        <f>IF(Table1[[#This Row],[automation_risk_percent]]&gt;0.7,"Highly Automatable",
IF(Table1[[#This Row],[automation_risk_percent]]&gt;0.4,"Moderate Risk","Safe Job"))</f>
        <v>Moderate Risk</v>
      </c>
    </row>
    <row r="2706" spans="1:24" x14ac:dyDescent="0.3">
      <c r="A2706">
        <v>9543</v>
      </c>
      <c r="B2706" t="s">
        <v>26</v>
      </c>
      <c r="C2706" t="s">
        <v>27</v>
      </c>
      <c r="D2706" t="s">
        <v>32</v>
      </c>
      <c r="E2706" s="1">
        <v>2025</v>
      </c>
      <c r="F2706" s="11">
        <v>0.64359999999999995</v>
      </c>
      <c r="G2706">
        <v>52.27</v>
      </c>
      <c r="H2706">
        <v>20.77</v>
      </c>
      <c r="I2706" s="2">
        <v>128907.24</v>
      </c>
      <c r="J2706" s="2">
        <v>124230.99</v>
      </c>
      <c r="K2706" s="2">
        <f>Table1[[#This Row],[Salary_after]]-Table1[[#This Row],[Salary_before]]</f>
        <v>-4676.25</v>
      </c>
      <c r="L2706" s="11">
        <v>-3.6299999999999999E-2</v>
      </c>
      <c r="M2706" s="11">
        <v>-0.1069</v>
      </c>
      <c r="N2706">
        <v>18.87</v>
      </c>
      <c r="O2706">
        <v>79.52</v>
      </c>
      <c r="P2706">
        <v>3</v>
      </c>
      <c r="Q2706" t="s">
        <v>37</v>
      </c>
      <c r="R2706">
        <v>42.564999999999998</v>
      </c>
      <c r="S2706">
        <v>3.63</v>
      </c>
      <c r="T2706" s="4">
        <v>33.064</v>
      </c>
      <c r="U2706" s="4">
        <v>51.179071999999998</v>
      </c>
      <c r="V2706" t="str">
        <f>IF(Table1[[#This Row],[ai_disruption_intensity]]&gt;70,"High",
IF(Table1[[#This Row],[ai_disruption_intensity]]&gt;40,"Medium","Low"))</f>
        <v>Medium</v>
      </c>
      <c r="W2706" t="str">
        <f>IF(Table1[[#This Row],[skill_gap_index]]&gt;70,"Large Gap",
IF(Table1[[#This Row],[skill_gap_index]]&gt;40,"Medium Gap","Small Gap"))</f>
        <v>Small Gap</v>
      </c>
      <c r="X2706" s="3" t="str">
        <f>IF(Table1[[#This Row],[automation_risk_percent]]&gt;0.7,"Highly Automatable",
IF(Table1[[#This Row],[automation_risk_percent]]&gt;0.4,"Moderate Risk","Safe Job"))</f>
        <v>Moderate Risk</v>
      </c>
    </row>
    <row r="2707" spans="1:24" x14ac:dyDescent="0.3">
      <c r="A2707">
        <v>9550</v>
      </c>
      <c r="B2707" t="s">
        <v>46</v>
      </c>
      <c r="C2707" t="s">
        <v>30</v>
      </c>
      <c r="D2707" t="s">
        <v>47</v>
      </c>
      <c r="E2707" s="1">
        <v>2025</v>
      </c>
      <c r="F2707" s="11">
        <v>0.1273</v>
      </c>
      <c r="G2707">
        <v>13.73</v>
      </c>
      <c r="H2707">
        <v>92.62</v>
      </c>
      <c r="I2707" s="2">
        <v>35099.620000000003</v>
      </c>
      <c r="J2707" s="2">
        <v>41972.31</v>
      </c>
      <c r="K2707" s="2">
        <f>Table1[[#This Row],[Salary_after]]-Table1[[#This Row],[Salary_before]]</f>
        <v>6872.6899999999951</v>
      </c>
      <c r="L2707" s="11">
        <v>0.19579999999999997</v>
      </c>
      <c r="M2707" s="11">
        <v>4.3E-3</v>
      </c>
      <c r="N2707">
        <v>46.48</v>
      </c>
      <c r="O2707">
        <v>30.1</v>
      </c>
      <c r="P2707">
        <v>2</v>
      </c>
      <c r="Q2707" t="s">
        <v>21</v>
      </c>
      <c r="R2707">
        <v>52.674999999999997</v>
      </c>
      <c r="S2707">
        <v>19.579999999999998</v>
      </c>
      <c r="T2707" s="4">
        <v>38.752000000000002</v>
      </c>
      <c r="U2707" s="4">
        <v>3.8317299999999999</v>
      </c>
      <c r="V2707" t="str">
        <f>IF(Table1[[#This Row],[ai_disruption_intensity]]&gt;70,"High",
IF(Table1[[#This Row],[ai_disruption_intensity]]&gt;40,"Medium","Low"))</f>
        <v>Low</v>
      </c>
      <c r="W2707" t="str">
        <f>IF(Table1[[#This Row],[skill_gap_index]]&gt;70,"Large Gap",
IF(Table1[[#This Row],[skill_gap_index]]&gt;40,"Medium Gap","Small Gap"))</f>
        <v>Large Gap</v>
      </c>
      <c r="X2707" s="3" t="str">
        <f>IF(Table1[[#This Row],[automation_risk_percent]]&gt;0.7,"Highly Automatable",
IF(Table1[[#This Row],[automation_risk_percent]]&gt;0.4,"Moderate Risk","Safe Job"))</f>
        <v>Safe Job</v>
      </c>
    </row>
    <row r="2708" spans="1:24" x14ac:dyDescent="0.3">
      <c r="A2708">
        <v>9554</v>
      </c>
      <c r="B2708" t="s">
        <v>43</v>
      </c>
      <c r="C2708" t="s">
        <v>38</v>
      </c>
      <c r="D2708" t="s">
        <v>20</v>
      </c>
      <c r="E2708" s="1">
        <v>2026</v>
      </c>
      <c r="F2708" s="11">
        <v>0.79290000000000005</v>
      </c>
      <c r="G2708">
        <v>86.81</v>
      </c>
      <c r="H2708">
        <v>93.08</v>
      </c>
      <c r="I2708" s="2">
        <v>129826.45</v>
      </c>
      <c r="J2708" s="2">
        <v>143892.59</v>
      </c>
      <c r="K2708" s="2">
        <f>Table1[[#This Row],[Salary_after]]-Table1[[#This Row],[Salary_before]]</f>
        <v>14066.14</v>
      </c>
      <c r="L2708" s="11">
        <v>0.10830000000000001</v>
      </c>
      <c r="M2708" s="11">
        <v>2.8399999999999998E-2</v>
      </c>
      <c r="N2708">
        <v>80.8</v>
      </c>
      <c r="O2708">
        <v>25.83</v>
      </c>
      <c r="P2708">
        <v>3</v>
      </c>
      <c r="Q2708" t="s">
        <v>37</v>
      </c>
      <c r="R2708">
        <v>86.185000000000002</v>
      </c>
      <c r="S2708">
        <v>10.83</v>
      </c>
      <c r="T2708" s="4">
        <v>62.889000000000003</v>
      </c>
      <c r="U2708" s="4">
        <v>20.480606999999999</v>
      </c>
      <c r="V2708" t="str">
        <f>IF(Table1[[#This Row],[ai_disruption_intensity]]&gt;70,"High",
IF(Table1[[#This Row],[ai_disruption_intensity]]&gt;40,"Medium","Low"))</f>
        <v>Low</v>
      </c>
      <c r="W2708" t="str">
        <f>IF(Table1[[#This Row],[skill_gap_index]]&gt;70,"Large Gap",
IF(Table1[[#This Row],[skill_gap_index]]&gt;40,"Medium Gap","Small Gap"))</f>
        <v>Large Gap</v>
      </c>
      <c r="X2708" s="3" t="str">
        <f>IF(Table1[[#This Row],[automation_risk_percent]]&gt;0.7,"Highly Automatable",
IF(Table1[[#This Row],[automation_risk_percent]]&gt;0.4,"Moderate Risk","Safe Job"))</f>
        <v>Highly Automatable</v>
      </c>
    </row>
    <row r="2709" spans="1:24" x14ac:dyDescent="0.3">
      <c r="A2709">
        <v>9556</v>
      </c>
      <c r="B2709" t="s">
        <v>41</v>
      </c>
      <c r="C2709" t="s">
        <v>23</v>
      </c>
      <c r="D2709" t="s">
        <v>20</v>
      </c>
      <c r="E2709" s="1">
        <v>2026</v>
      </c>
      <c r="F2709" s="11">
        <v>0.75609999999999999</v>
      </c>
      <c r="G2709">
        <v>67.61</v>
      </c>
      <c r="H2709">
        <v>95.59</v>
      </c>
      <c r="I2709" s="2">
        <v>123343.61</v>
      </c>
      <c r="J2709" s="2">
        <v>127638.22</v>
      </c>
      <c r="K2709" s="2">
        <f>Table1[[#This Row],[Salary_after]]-Table1[[#This Row],[Salary_before]]</f>
        <v>4294.6100000000006</v>
      </c>
      <c r="L2709" s="11">
        <v>3.4799999999999998E-2</v>
      </c>
      <c r="M2709" s="11">
        <v>5.0499999999999996E-2</v>
      </c>
      <c r="N2709">
        <v>65.09</v>
      </c>
      <c r="O2709">
        <v>13.4</v>
      </c>
      <c r="P2709">
        <v>3</v>
      </c>
      <c r="Q2709" t="s">
        <v>37</v>
      </c>
      <c r="R2709">
        <v>85.6</v>
      </c>
      <c r="S2709">
        <v>3.48</v>
      </c>
      <c r="T2709" s="4">
        <v>59.964999999999897</v>
      </c>
      <c r="U2709" s="4">
        <v>10.131740000000001</v>
      </c>
      <c r="V2709" t="str">
        <f>IF(Table1[[#This Row],[ai_disruption_intensity]]&gt;70,"High",
IF(Table1[[#This Row],[ai_disruption_intensity]]&gt;40,"Medium","Low"))</f>
        <v>Low</v>
      </c>
      <c r="W2709" t="str">
        <f>IF(Table1[[#This Row],[skill_gap_index]]&gt;70,"Large Gap",
IF(Table1[[#This Row],[skill_gap_index]]&gt;40,"Medium Gap","Small Gap"))</f>
        <v>Large Gap</v>
      </c>
      <c r="X2709" s="3" t="str">
        <f>IF(Table1[[#This Row],[automation_risk_percent]]&gt;0.7,"Highly Automatable",
IF(Table1[[#This Row],[automation_risk_percent]]&gt;0.4,"Moderate Risk","Safe Job"))</f>
        <v>Highly Automatable</v>
      </c>
    </row>
    <row r="2710" spans="1:24" x14ac:dyDescent="0.3">
      <c r="A2710">
        <v>9558</v>
      </c>
      <c r="B2710" t="s">
        <v>46</v>
      </c>
      <c r="C2710" t="s">
        <v>38</v>
      </c>
      <c r="D2710" t="s">
        <v>35</v>
      </c>
      <c r="E2710" s="1">
        <v>2025</v>
      </c>
      <c r="F2710" s="11">
        <v>0.29070000000000001</v>
      </c>
      <c r="G2710">
        <v>30.61</v>
      </c>
      <c r="H2710">
        <v>49.7</v>
      </c>
      <c r="I2710" s="2">
        <v>108239.11</v>
      </c>
      <c r="J2710" s="2">
        <v>111094.99</v>
      </c>
      <c r="K2710" s="2">
        <f>Table1[[#This Row],[Salary_after]]-Table1[[#This Row],[Salary_before]]</f>
        <v>2855.8800000000047</v>
      </c>
      <c r="L2710" s="11">
        <v>2.64E-2</v>
      </c>
      <c r="M2710" s="11">
        <v>5.5999999999999994E-2</v>
      </c>
      <c r="N2710">
        <v>66</v>
      </c>
      <c r="O2710">
        <v>69.099999999999994</v>
      </c>
      <c r="P2710">
        <v>5</v>
      </c>
      <c r="Q2710" t="s">
        <v>21</v>
      </c>
      <c r="R2710">
        <v>39.384999999999998</v>
      </c>
      <c r="S2710">
        <v>2.64</v>
      </c>
      <c r="T2710" s="4">
        <v>27.33</v>
      </c>
      <c r="U2710" s="4">
        <v>20.08737</v>
      </c>
      <c r="V2710" t="str">
        <f>IF(Table1[[#This Row],[ai_disruption_intensity]]&gt;70,"High",
IF(Table1[[#This Row],[ai_disruption_intensity]]&gt;40,"Medium","Low"))</f>
        <v>Low</v>
      </c>
      <c r="W2710" t="str">
        <f>IF(Table1[[#This Row],[skill_gap_index]]&gt;70,"Large Gap",
IF(Table1[[#This Row],[skill_gap_index]]&gt;40,"Medium Gap","Small Gap"))</f>
        <v>Medium Gap</v>
      </c>
      <c r="X2710" s="3" t="str">
        <f>IF(Table1[[#This Row],[automation_risk_percent]]&gt;0.7,"Highly Automatable",
IF(Table1[[#This Row],[automation_risk_percent]]&gt;0.4,"Moderate Risk","Safe Job"))</f>
        <v>Safe Job</v>
      </c>
    </row>
    <row r="2711" spans="1:24" x14ac:dyDescent="0.3">
      <c r="A2711">
        <v>9560</v>
      </c>
      <c r="B2711" t="s">
        <v>26</v>
      </c>
      <c r="C2711" t="s">
        <v>27</v>
      </c>
      <c r="D2711" t="s">
        <v>42</v>
      </c>
      <c r="E2711" s="1">
        <v>2026</v>
      </c>
      <c r="F2711" s="11">
        <v>0.59650000000000003</v>
      </c>
      <c r="G2711">
        <v>58.92</v>
      </c>
      <c r="H2711">
        <v>67.569999999999993</v>
      </c>
      <c r="I2711" s="2">
        <v>134395.95000000001</v>
      </c>
      <c r="J2711" s="2">
        <v>123702.9</v>
      </c>
      <c r="K2711" s="2">
        <f>Table1[[#This Row],[Salary_after]]-Table1[[#This Row],[Salary_before]]</f>
        <v>-10693.050000000017</v>
      </c>
      <c r="L2711" s="11">
        <v>-7.9600000000000004E-2</v>
      </c>
      <c r="M2711" s="11">
        <v>9.849999999999999E-2</v>
      </c>
      <c r="N2711">
        <v>74.08</v>
      </c>
      <c r="O2711">
        <v>15.89</v>
      </c>
      <c r="P2711">
        <v>4</v>
      </c>
      <c r="Q2711" t="s">
        <v>25</v>
      </c>
      <c r="R2711">
        <v>63.61</v>
      </c>
      <c r="S2711">
        <v>7.96</v>
      </c>
      <c r="T2711" s="4">
        <v>46.518999999999998</v>
      </c>
      <c r="U2711" s="4">
        <v>9.4783849999999994</v>
      </c>
      <c r="V2711" t="str">
        <f>IF(Table1[[#This Row],[ai_disruption_intensity]]&gt;70,"High",
IF(Table1[[#This Row],[ai_disruption_intensity]]&gt;40,"Medium","Low"))</f>
        <v>Low</v>
      </c>
      <c r="W2711" t="str">
        <f>IF(Table1[[#This Row],[skill_gap_index]]&gt;70,"Large Gap",
IF(Table1[[#This Row],[skill_gap_index]]&gt;40,"Medium Gap","Small Gap"))</f>
        <v>Medium Gap</v>
      </c>
      <c r="X2711" s="3" t="str">
        <f>IF(Table1[[#This Row],[automation_risk_percent]]&gt;0.7,"Highly Automatable",
IF(Table1[[#This Row],[automation_risk_percent]]&gt;0.4,"Moderate Risk","Safe Job"))</f>
        <v>Moderate Risk</v>
      </c>
    </row>
    <row r="2712" spans="1:24" x14ac:dyDescent="0.3">
      <c r="A2712">
        <v>9563</v>
      </c>
      <c r="B2712" t="s">
        <v>46</v>
      </c>
      <c r="C2712" t="s">
        <v>30</v>
      </c>
      <c r="D2712" t="s">
        <v>42</v>
      </c>
      <c r="E2712" s="1">
        <v>2025</v>
      </c>
      <c r="F2712" s="11">
        <v>8.72E-2</v>
      </c>
      <c r="G2712">
        <v>9.76</v>
      </c>
      <c r="H2712">
        <v>30.28</v>
      </c>
      <c r="I2712" s="2">
        <v>117884.37</v>
      </c>
      <c r="J2712" s="2">
        <v>138914.76</v>
      </c>
      <c r="K2712" s="2">
        <f>Table1[[#This Row],[Salary_after]]-Table1[[#This Row],[Salary_before]]</f>
        <v>21030.390000000014</v>
      </c>
      <c r="L2712" s="11">
        <v>0.1784</v>
      </c>
      <c r="M2712" s="11">
        <v>0.12119999999999999</v>
      </c>
      <c r="N2712">
        <v>66.06</v>
      </c>
      <c r="O2712">
        <v>81.040000000000006</v>
      </c>
      <c r="P2712">
        <v>3</v>
      </c>
      <c r="Q2712" t="s">
        <v>21</v>
      </c>
      <c r="R2712">
        <v>19.5</v>
      </c>
      <c r="S2712">
        <v>17.84</v>
      </c>
      <c r="T2712" s="4">
        <v>17.923999999999999</v>
      </c>
      <c r="U2712" s="4">
        <v>7.0666880000000001</v>
      </c>
      <c r="V2712" t="str">
        <f>IF(Table1[[#This Row],[ai_disruption_intensity]]&gt;70,"High",
IF(Table1[[#This Row],[ai_disruption_intensity]]&gt;40,"Medium","Low"))</f>
        <v>Low</v>
      </c>
      <c r="W2712" t="str">
        <f>IF(Table1[[#This Row],[skill_gap_index]]&gt;70,"Large Gap",
IF(Table1[[#This Row],[skill_gap_index]]&gt;40,"Medium Gap","Small Gap"))</f>
        <v>Small Gap</v>
      </c>
      <c r="X2712" s="3" t="str">
        <f>IF(Table1[[#This Row],[automation_risk_percent]]&gt;0.7,"Highly Automatable",
IF(Table1[[#This Row],[automation_risk_percent]]&gt;0.4,"Moderate Risk","Safe Job"))</f>
        <v>Safe Job</v>
      </c>
    </row>
    <row r="2713" spans="1:24" x14ac:dyDescent="0.3">
      <c r="A2713">
        <v>9566</v>
      </c>
      <c r="B2713" t="s">
        <v>46</v>
      </c>
      <c r="C2713" t="s">
        <v>19</v>
      </c>
      <c r="D2713" t="s">
        <v>35</v>
      </c>
      <c r="E2713" s="1">
        <v>2025</v>
      </c>
      <c r="F2713" s="11">
        <v>0.26129999999999998</v>
      </c>
      <c r="G2713">
        <v>30.19</v>
      </c>
      <c r="H2713">
        <v>53.74</v>
      </c>
      <c r="I2713" s="2">
        <v>137784.20000000001</v>
      </c>
      <c r="J2713" s="2">
        <v>129477.94</v>
      </c>
      <c r="K2713" s="2">
        <f>Table1[[#This Row],[Salary_after]]-Table1[[#This Row],[Salary_before]]</f>
        <v>-8306.2600000000093</v>
      </c>
      <c r="L2713" s="11">
        <v>-6.0299999999999999E-2</v>
      </c>
      <c r="M2713" s="11">
        <v>7.3099999999999998E-2</v>
      </c>
      <c r="N2713">
        <v>49.13</v>
      </c>
      <c r="O2713">
        <v>17.64</v>
      </c>
      <c r="P2713">
        <v>3</v>
      </c>
      <c r="Q2713" t="s">
        <v>21</v>
      </c>
      <c r="R2713">
        <v>39.935000000000002</v>
      </c>
      <c r="S2713">
        <v>6.03</v>
      </c>
      <c r="T2713" s="4">
        <v>28.382999999999999</v>
      </c>
      <c r="U2713" s="4">
        <v>4.6093320000000002</v>
      </c>
      <c r="V2713" t="str">
        <f>IF(Table1[[#This Row],[ai_disruption_intensity]]&gt;70,"High",
IF(Table1[[#This Row],[ai_disruption_intensity]]&gt;40,"Medium","Low"))</f>
        <v>Low</v>
      </c>
      <c r="W2713" t="str">
        <f>IF(Table1[[#This Row],[skill_gap_index]]&gt;70,"Large Gap",
IF(Table1[[#This Row],[skill_gap_index]]&gt;40,"Medium Gap","Small Gap"))</f>
        <v>Medium Gap</v>
      </c>
      <c r="X2713" s="3" t="str">
        <f>IF(Table1[[#This Row],[automation_risk_percent]]&gt;0.7,"Highly Automatable",
IF(Table1[[#This Row],[automation_risk_percent]]&gt;0.4,"Moderate Risk","Safe Job"))</f>
        <v>Safe Job</v>
      </c>
    </row>
    <row r="2714" spans="1:24" x14ac:dyDescent="0.3">
      <c r="A2714">
        <v>9567</v>
      </c>
      <c r="B2714" t="s">
        <v>26</v>
      </c>
      <c r="C2714" t="s">
        <v>19</v>
      </c>
      <c r="D2714" t="s">
        <v>35</v>
      </c>
      <c r="E2714" s="1">
        <v>2025</v>
      </c>
      <c r="F2714" s="11">
        <v>0.05</v>
      </c>
      <c r="G2714">
        <v>4.75</v>
      </c>
      <c r="H2714">
        <v>90.84</v>
      </c>
      <c r="I2714" s="2">
        <v>44120.39</v>
      </c>
      <c r="J2714" s="2">
        <v>55294.33</v>
      </c>
      <c r="K2714" s="2">
        <f>Table1[[#This Row],[Salary_after]]-Table1[[#This Row],[Salary_before]]</f>
        <v>11173.940000000002</v>
      </c>
      <c r="L2714" s="11">
        <v>0.25329999999999997</v>
      </c>
      <c r="M2714" s="11">
        <v>0.1802</v>
      </c>
      <c r="N2714">
        <v>93.56</v>
      </c>
      <c r="O2714">
        <v>70.02</v>
      </c>
      <c r="P2714">
        <v>2</v>
      </c>
      <c r="Q2714" t="s">
        <v>21</v>
      </c>
      <c r="R2714">
        <v>47.92</v>
      </c>
      <c r="S2714">
        <v>25.33</v>
      </c>
      <c r="T2714" s="4">
        <v>36.850999999999999</v>
      </c>
      <c r="U2714" s="4">
        <v>3.5009999999999901</v>
      </c>
      <c r="V2714" t="str">
        <f>IF(Table1[[#This Row],[ai_disruption_intensity]]&gt;70,"High",
IF(Table1[[#This Row],[ai_disruption_intensity]]&gt;40,"Medium","Low"))</f>
        <v>Low</v>
      </c>
      <c r="W2714" t="str">
        <f>IF(Table1[[#This Row],[skill_gap_index]]&gt;70,"Large Gap",
IF(Table1[[#This Row],[skill_gap_index]]&gt;40,"Medium Gap","Small Gap"))</f>
        <v>Large Gap</v>
      </c>
      <c r="X2714" s="3" t="str">
        <f>IF(Table1[[#This Row],[automation_risk_percent]]&gt;0.7,"Highly Automatable",
IF(Table1[[#This Row],[automation_risk_percent]]&gt;0.4,"Moderate Risk","Safe Job"))</f>
        <v>Safe Job</v>
      </c>
    </row>
    <row r="2715" spans="1:24" x14ac:dyDescent="0.3">
      <c r="A2715">
        <v>9568</v>
      </c>
      <c r="B2715" t="s">
        <v>18</v>
      </c>
      <c r="C2715" t="s">
        <v>19</v>
      </c>
      <c r="D2715" t="s">
        <v>32</v>
      </c>
      <c r="E2715" s="1">
        <v>2025</v>
      </c>
      <c r="F2715" s="11">
        <v>0.67879999999999996</v>
      </c>
      <c r="G2715">
        <v>75.22</v>
      </c>
      <c r="H2715">
        <v>61.19</v>
      </c>
      <c r="I2715" s="2">
        <v>112607.84</v>
      </c>
      <c r="J2715" s="2">
        <v>90247.32</v>
      </c>
      <c r="K2715" s="2">
        <f>Table1[[#This Row],[Salary_after]]-Table1[[#This Row],[Salary_before]]</f>
        <v>-22360.51999999999</v>
      </c>
      <c r="L2715" s="11">
        <v>-0.1986</v>
      </c>
      <c r="M2715" s="11">
        <v>0.13339999999999999</v>
      </c>
      <c r="N2715">
        <v>35.68</v>
      </c>
      <c r="O2715">
        <v>17.59</v>
      </c>
      <c r="P2715">
        <v>4</v>
      </c>
      <c r="Q2715" t="s">
        <v>37</v>
      </c>
      <c r="R2715">
        <v>64.534999999999997</v>
      </c>
      <c r="S2715">
        <v>19.86</v>
      </c>
      <c r="T2715" s="4">
        <v>51.466999999999999</v>
      </c>
      <c r="U2715" s="4">
        <v>11.940092</v>
      </c>
      <c r="V2715" t="str">
        <f>IF(Table1[[#This Row],[ai_disruption_intensity]]&gt;70,"High",
IF(Table1[[#This Row],[ai_disruption_intensity]]&gt;40,"Medium","Low"))</f>
        <v>Low</v>
      </c>
      <c r="W2715" t="str">
        <f>IF(Table1[[#This Row],[skill_gap_index]]&gt;70,"Large Gap",
IF(Table1[[#This Row],[skill_gap_index]]&gt;40,"Medium Gap","Small Gap"))</f>
        <v>Medium Gap</v>
      </c>
      <c r="X2715" s="3" t="str">
        <f>IF(Table1[[#This Row],[automation_risk_percent]]&gt;0.7,"Highly Automatable",
IF(Table1[[#This Row],[automation_risk_percent]]&gt;0.4,"Moderate Risk","Safe Job"))</f>
        <v>Moderate Risk</v>
      </c>
    </row>
    <row r="2716" spans="1:24" x14ac:dyDescent="0.3">
      <c r="A2716">
        <v>9571</v>
      </c>
      <c r="B2716" t="s">
        <v>29</v>
      </c>
      <c r="C2716" t="s">
        <v>40</v>
      </c>
      <c r="D2716" t="s">
        <v>28</v>
      </c>
      <c r="E2716" s="1">
        <v>2025</v>
      </c>
      <c r="F2716" s="11">
        <v>0.62490000000000001</v>
      </c>
      <c r="G2716">
        <v>69.819999999999993</v>
      </c>
      <c r="H2716">
        <v>93.54</v>
      </c>
      <c r="I2716" s="2">
        <v>144887.21</v>
      </c>
      <c r="J2716" s="2">
        <v>149326.93</v>
      </c>
      <c r="K2716" s="2">
        <f>Table1[[#This Row],[Salary_after]]-Table1[[#This Row],[Salary_before]]</f>
        <v>4439.7200000000012</v>
      </c>
      <c r="L2716" s="11">
        <v>3.0600000000000002E-2</v>
      </c>
      <c r="M2716" s="11">
        <v>-4.2300000000000004E-2</v>
      </c>
      <c r="N2716">
        <v>20.21</v>
      </c>
      <c r="O2716">
        <v>92.26</v>
      </c>
      <c r="P2716">
        <v>4</v>
      </c>
      <c r="Q2716" t="s">
        <v>37</v>
      </c>
      <c r="R2716">
        <v>78.015000000000001</v>
      </c>
      <c r="S2716">
        <v>3.06</v>
      </c>
      <c r="T2716" s="4">
        <v>53.975999999999999</v>
      </c>
      <c r="U2716" s="4">
        <v>57.653274000000003</v>
      </c>
      <c r="V2716" t="str">
        <f>IF(Table1[[#This Row],[ai_disruption_intensity]]&gt;70,"High",
IF(Table1[[#This Row],[ai_disruption_intensity]]&gt;40,"Medium","Low"))</f>
        <v>Medium</v>
      </c>
      <c r="W2716" t="str">
        <f>IF(Table1[[#This Row],[skill_gap_index]]&gt;70,"Large Gap",
IF(Table1[[#This Row],[skill_gap_index]]&gt;40,"Medium Gap","Small Gap"))</f>
        <v>Large Gap</v>
      </c>
      <c r="X2716" s="3" t="str">
        <f>IF(Table1[[#This Row],[automation_risk_percent]]&gt;0.7,"Highly Automatable",
IF(Table1[[#This Row],[automation_risk_percent]]&gt;0.4,"Moderate Risk","Safe Job"))</f>
        <v>Moderate Risk</v>
      </c>
    </row>
    <row r="2717" spans="1:24" x14ac:dyDescent="0.3">
      <c r="A2717">
        <v>9578</v>
      </c>
      <c r="B2717" t="s">
        <v>39</v>
      </c>
      <c r="C2717" t="s">
        <v>40</v>
      </c>
      <c r="D2717" t="s">
        <v>32</v>
      </c>
      <c r="E2717" s="1">
        <v>2025</v>
      </c>
      <c r="F2717" s="11">
        <v>0.54890000000000005</v>
      </c>
      <c r="G2717">
        <v>60.42</v>
      </c>
      <c r="H2717">
        <v>24.69</v>
      </c>
      <c r="I2717" s="2">
        <v>31959.09</v>
      </c>
      <c r="J2717" s="2">
        <v>31139.52</v>
      </c>
      <c r="K2717" s="2">
        <f>Table1[[#This Row],[Salary_after]]-Table1[[#This Row],[Salary_before]]</f>
        <v>-819.56999999999971</v>
      </c>
      <c r="L2717" s="11">
        <v>-2.5600000000000001E-2</v>
      </c>
      <c r="M2717" s="11">
        <v>8.3000000000000004E-2</v>
      </c>
      <c r="N2717">
        <v>47.62</v>
      </c>
      <c r="O2717">
        <v>46.85</v>
      </c>
      <c r="P2717">
        <v>2</v>
      </c>
      <c r="Q2717" t="s">
        <v>25</v>
      </c>
      <c r="R2717">
        <v>39.79</v>
      </c>
      <c r="S2717">
        <v>2.56</v>
      </c>
      <c r="T2717" s="4">
        <v>30.131</v>
      </c>
      <c r="U2717" s="4">
        <v>25.715965000000001</v>
      </c>
      <c r="V2717" t="str">
        <f>IF(Table1[[#This Row],[ai_disruption_intensity]]&gt;70,"High",
IF(Table1[[#This Row],[ai_disruption_intensity]]&gt;40,"Medium","Low"))</f>
        <v>Low</v>
      </c>
      <c r="W2717" t="str">
        <f>IF(Table1[[#This Row],[skill_gap_index]]&gt;70,"Large Gap",
IF(Table1[[#This Row],[skill_gap_index]]&gt;40,"Medium Gap","Small Gap"))</f>
        <v>Small Gap</v>
      </c>
      <c r="X2717" s="3" t="str">
        <f>IF(Table1[[#This Row],[automation_risk_percent]]&gt;0.7,"Highly Automatable",
IF(Table1[[#This Row],[automation_risk_percent]]&gt;0.4,"Moderate Risk","Safe Job"))</f>
        <v>Moderate Risk</v>
      </c>
    </row>
    <row r="2718" spans="1:24" x14ac:dyDescent="0.3">
      <c r="A2718">
        <v>9582</v>
      </c>
      <c r="B2718" t="s">
        <v>43</v>
      </c>
      <c r="C2718" t="s">
        <v>33</v>
      </c>
      <c r="D2718" t="s">
        <v>31</v>
      </c>
      <c r="E2718" s="1">
        <v>2025</v>
      </c>
      <c r="F2718" s="11">
        <v>0.17460000000000001</v>
      </c>
      <c r="G2718">
        <v>17.28</v>
      </c>
      <c r="H2718">
        <v>34.74</v>
      </c>
      <c r="I2718" s="2">
        <v>33239.89</v>
      </c>
      <c r="J2718" s="2">
        <v>29337.84</v>
      </c>
      <c r="K2718" s="2">
        <f>Table1[[#This Row],[Salary_after]]-Table1[[#This Row],[Salary_before]]</f>
        <v>-3902.0499999999993</v>
      </c>
      <c r="L2718" s="11">
        <v>-0.1174</v>
      </c>
      <c r="M2718" s="11">
        <v>3.9E-2</v>
      </c>
      <c r="N2718">
        <v>13.28</v>
      </c>
      <c r="O2718">
        <v>44.5</v>
      </c>
      <c r="P2718">
        <v>4</v>
      </c>
      <c r="Q2718" t="s">
        <v>21</v>
      </c>
      <c r="R2718">
        <v>26.1</v>
      </c>
      <c r="S2718">
        <v>11.74</v>
      </c>
      <c r="T2718" s="4">
        <v>20.928000000000001</v>
      </c>
      <c r="U2718" s="4">
        <v>7.7697000000000003</v>
      </c>
      <c r="V2718" t="str">
        <f>IF(Table1[[#This Row],[ai_disruption_intensity]]&gt;70,"High",
IF(Table1[[#This Row],[ai_disruption_intensity]]&gt;40,"Medium","Low"))</f>
        <v>Low</v>
      </c>
      <c r="W2718" t="str">
        <f>IF(Table1[[#This Row],[skill_gap_index]]&gt;70,"Large Gap",
IF(Table1[[#This Row],[skill_gap_index]]&gt;40,"Medium Gap","Small Gap"))</f>
        <v>Small Gap</v>
      </c>
      <c r="X2718" s="3" t="str">
        <f>IF(Table1[[#This Row],[automation_risk_percent]]&gt;0.7,"Highly Automatable",
IF(Table1[[#This Row],[automation_risk_percent]]&gt;0.4,"Moderate Risk","Safe Job"))</f>
        <v>Safe Job</v>
      </c>
    </row>
    <row r="2719" spans="1:24" x14ac:dyDescent="0.3">
      <c r="A2719">
        <v>9586</v>
      </c>
      <c r="B2719" t="s">
        <v>43</v>
      </c>
      <c r="C2719" t="s">
        <v>30</v>
      </c>
      <c r="D2719" t="s">
        <v>28</v>
      </c>
      <c r="E2719" s="1">
        <v>2025</v>
      </c>
      <c r="F2719" s="11">
        <v>0.45860000000000001</v>
      </c>
      <c r="G2719">
        <v>54.34</v>
      </c>
      <c r="H2719">
        <v>78.760000000000005</v>
      </c>
      <c r="I2719" s="2">
        <v>100235.79</v>
      </c>
      <c r="J2719" s="2">
        <v>88270.17</v>
      </c>
      <c r="K2719" s="2">
        <f>Table1[[#This Row],[Salary_after]]-Table1[[#This Row],[Salary_before]]</f>
        <v>-11965.619999999995</v>
      </c>
      <c r="L2719" s="11">
        <v>-0.11939999999999999</v>
      </c>
      <c r="M2719" s="11">
        <v>8.8499999999999995E-2</v>
      </c>
      <c r="N2719">
        <v>90.43</v>
      </c>
      <c r="O2719">
        <v>55.92</v>
      </c>
      <c r="P2719">
        <v>4</v>
      </c>
      <c r="Q2719" t="s">
        <v>25</v>
      </c>
      <c r="R2719">
        <v>62.31</v>
      </c>
      <c r="S2719">
        <v>11.94</v>
      </c>
      <c r="T2719" s="4">
        <v>45.554000000000002</v>
      </c>
      <c r="U2719" s="4">
        <v>25.644911999999898</v>
      </c>
      <c r="V2719" t="str">
        <f>IF(Table1[[#This Row],[ai_disruption_intensity]]&gt;70,"High",
IF(Table1[[#This Row],[ai_disruption_intensity]]&gt;40,"Medium","Low"))</f>
        <v>Low</v>
      </c>
      <c r="W2719" t="str">
        <f>IF(Table1[[#This Row],[skill_gap_index]]&gt;70,"Large Gap",
IF(Table1[[#This Row],[skill_gap_index]]&gt;40,"Medium Gap","Small Gap"))</f>
        <v>Large Gap</v>
      </c>
      <c r="X2719" s="3" t="str">
        <f>IF(Table1[[#This Row],[automation_risk_percent]]&gt;0.7,"Highly Automatable",
IF(Table1[[#This Row],[automation_risk_percent]]&gt;0.4,"Moderate Risk","Safe Job"))</f>
        <v>Moderate Risk</v>
      </c>
    </row>
    <row r="2720" spans="1:24" x14ac:dyDescent="0.3">
      <c r="A2720">
        <v>9590</v>
      </c>
      <c r="B2720" t="s">
        <v>22</v>
      </c>
      <c r="C2720" t="s">
        <v>34</v>
      </c>
      <c r="D2720" t="s">
        <v>20</v>
      </c>
      <c r="E2720" s="1">
        <v>2025</v>
      </c>
      <c r="F2720" s="11">
        <v>0.221</v>
      </c>
      <c r="G2720">
        <v>19.82</v>
      </c>
      <c r="H2720">
        <v>90.53</v>
      </c>
      <c r="I2720" s="2">
        <v>73886.62</v>
      </c>
      <c r="J2720" s="2">
        <v>75192.62</v>
      </c>
      <c r="K2720" s="2">
        <f>Table1[[#This Row],[Salary_after]]-Table1[[#This Row],[Salary_before]]</f>
        <v>1306</v>
      </c>
      <c r="L2720" s="11">
        <v>1.77E-2</v>
      </c>
      <c r="M2720" s="11">
        <v>7.9299999999999995E-2</v>
      </c>
      <c r="N2720">
        <v>77.45</v>
      </c>
      <c r="O2720">
        <v>80.349999999999994</v>
      </c>
      <c r="P2720">
        <v>5</v>
      </c>
      <c r="Q2720" t="s">
        <v>21</v>
      </c>
      <c r="R2720">
        <v>56.314999999999998</v>
      </c>
      <c r="S2720">
        <v>1.77</v>
      </c>
      <c r="T2720" s="4">
        <v>36.53</v>
      </c>
      <c r="U2720" s="4">
        <v>17.757349999999999</v>
      </c>
      <c r="V2720" t="str">
        <f>IF(Table1[[#This Row],[ai_disruption_intensity]]&gt;70,"High",
IF(Table1[[#This Row],[ai_disruption_intensity]]&gt;40,"Medium","Low"))</f>
        <v>Low</v>
      </c>
      <c r="W2720" t="str">
        <f>IF(Table1[[#This Row],[skill_gap_index]]&gt;70,"Large Gap",
IF(Table1[[#This Row],[skill_gap_index]]&gt;40,"Medium Gap","Small Gap"))</f>
        <v>Large Gap</v>
      </c>
      <c r="X2720" s="3" t="str">
        <f>IF(Table1[[#This Row],[automation_risk_percent]]&gt;0.7,"Highly Automatable",
IF(Table1[[#This Row],[automation_risk_percent]]&gt;0.4,"Moderate Risk","Safe Job"))</f>
        <v>Safe Job</v>
      </c>
    </row>
    <row r="2721" spans="1:24" x14ac:dyDescent="0.3">
      <c r="A2721">
        <v>9594</v>
      </c>
      <c r="B2721" t="s">
        <v>45</v>
      </c>
      <c r="C2721" t="s">
        <v>30</v>
      </c>
      <c r="D2721" t="s">
        <v>32</v>
      </c>
      <c r="E2721" s="1">
        <v>2025</v>
      </c>
      <c r="F2721" s="11">
        <v>0.60929999999999995</v>
      </c>
      <c r="G2721">
        <v>54.79</v>
      </c>
      <c r="H2721">
        <v>65.66</v>
      </c>
      <c r="I2721" s="2">
        <v>85203.08</v>
      </c>
      <c r="J2721" s="2">
        <v>72310.899999999994</v>
      </c>
      <c r="K2721" s="2">
        <f>Table1[[#This Row],[Salary_after]]-Table1[[#This Row],[Salary_before]]</f>
        <v>-12892.180000000008</v>
      </c>
      <c r="L2721" s="11">
        <v>-0.15130000000000002</v>
      </c>
      <c r="M2721" s="11">
        <v>-2.5699999999999997E-2</v>
      </c>
      <c r="N2721">
        <v>56.47</v>
      </c>
      <c r="O2721">
        <v>48.88</v>
      </c>
      <c r="P2721">
        <v>1</v>
      </c>
      <c r="Q2721" t="s">
        <v>37</v>
      </c>
      <c r="R2721">
        <v>63.295000000000002</v>
      </c>
      <c r="S2721">
        <v>15.13</v>
      </c>
      <c r="T2721" s="4">
        <v>48.608999999999902</v>
      </c>
      <c r="U2721" s="4">
        <v>29.782584</v>
      </c>
      <c r="V2721" t="str">
        <f>IF(Table1[[#This Row],[ai_disruption_intensity]]&gt;70,"High",
IF(Table1[[#This Row],[ai_disruption_intensity]]&gt;40,"Medium","Low"))</f>
        <v>Low</v>
      </c>
      <c r="W2721" t="str">
        <f>IF(Table1[[#This Row],[skill_gap_index]]&gt;70,"Large Gap",
IF(Table1[[#This Row],[skill_gap_index]]&gt;40,"Medium Gap","Small Gap"))</f>
        <v>Medium Gap</v>
      </c>
      <c r="X2721" s="3" t="str">
        <f>IF(Table1[[#This Row],[automation_risk_percent]]&gt;0.7,"Highly Automatable",
IF(Table1[[#This Row],[automation_risk_percent]]&gt;0.4,"Moderate Risk","Safe Job"))</f>
        <v>Moderate Risk</v>
      </c>
    </row>
    <row r="2722" spans="1:24" x14ac:dyDescent="0.3">
      <c r="A2722">
        <v>9595</v>
      </c>
      <c r="B2722" t="s">
        <v>39</v>
      </c>
      <c r="C2722" t="s">
        <v>19</v>
      </c>
      <c r="D2722" t="s">
        <v>35</v>
      </c>
      <c r="E2722" s="1">
        <v>2025</v>
      </c>
      <c r="F2722" s="11">
        <v>0.5595</v>
      </c>
      <c r="G2722">
        <v>50.3</v>
      </c>
      <c r="H2722">
        <v>22.17</v>
      </c>
      <c r="I2722" s="2">
        <v>116799.2</v>
      </c>
      <c r="J2722" s="2">
        <v>125828.18</v>
      </c>
      <c r="K2722" s="2">
        <f>Table1[[#This Row],[Salary_after]]-Table1[[#This Row],[Salary_before]]</f>
        <v>9028.9799999999959</v>
      </c>
      <c r="L2722" s="11">
        <v>7.7300000000000008E-2</v>
      </c>
      <c r="M2722" s="11">
        <v>-5.6900000000000006E-2</v>
      </c>
      <c r="N2722">
        <v>36.619999999999997</v>
      </c>
      <c r="O2722">
        <v>39.36</v>
      </c>
      <c r="P2722">
        <v>4</v>
      </c>
      <c r="Q2722" t="s">
        <v>25</v>
      </c>
      <c r="R2722">
        <v>39.06</v>
      </c>
      <c r="S2722">
        <v>7.73</v>
      </c>
      <c r="T2722" s="4">
        <v>31.35</v>
      </c>
      <c r="U2722" s="4">
        <v>22.021920000000001</v>
      </c>
      <c r="V2722" t="str">
        <f>IF(Table1[[#This Row],[ai_disruption_intensity]]&gt;70,"High",
IF(Table1[[#This Row],[ai_disruption_intensity]]&gt;40,"Medium","Low"))</f>
        <v>Low</v>
      </c>
      <c r="W2722" t="str">
        <f>IF(Table1[[#This Row],[skill_gap_index]]&gt;70,"Large Gap",
IF(Table1[[#This Row],[skill_gap_index]]&gt;40,"Medium Gap","Small Gap"))</f>
        <v>Small Gap</v>
      </c>
      <c r="X2722" s="3" t="str">
        <f>IF(Table1[[#This Row],[automation_risk_percent]]&gt;0.7,"Highly Automatable",
IF(Table1[[#This Row],[automation_risk_percent]]&gt;0.4,"Moderate Risk","Safe Job"))</f>
        <v>Moderate Risk</v>
      </c>
    </row>
    <row r="2723" spans="1:24" x14ac:dyDescent="0.3">
      <c r="A2723">
        <v>9598</v>
      </c>
      <c r="B2723" t="s">
        <v>29</v>
      </c>
      <c r="C2723" t="s">
        <v>38</v>
      </c>
      <c r="D2723" t="s">
        <v>31</v>
      </c>
      <c r="E2723" s="1">
        <v>2025</v>
      </c>
      <c r="F2723" s="11">
        <v>0.73019999999999996</v>
      </c>
      <c r="G2723">
        <v>63.48</v>
      </c>
      <c r="H2723">
        <v>24.51</v>
      </c>
      <c r="I2723" s="2">
        <v>112519.76</v>
      </c>
      <c r="J2723" s="2">
        <v>111688.52</v>
      </c>
      <c r="K2723" s="2">
        <f>Table1[[#This Row],[Salary_after]]-Table1[[#This Row],[Salary_before]]</f>
        <v>-831.23999999999069</v>
      </c>
      <c r="L2723" s="11">
        <v>-7.4000000000000003E-3</v>
      </c>
      <c r="M2723" s="11">
        <v>-0.12380000000000001</v>
      </c>
      <c r="N2723">
        <v>54.1</v>
      </c>
      <c r="O2723">
        <v>23.4</v>
      </c>
      <c r="P2723">
        <v>1</v>
      </c>
      <c r="Q2723" t="s">
        <v>37</v>
      </c>
      <c r="R2723">
        <v>48.765000000000001</v>
      </c>
      <c r="S2723">
        <v>0.74</v>
      </c>
      <c r="T2723" s="4">
        <v>36.783000000000001</v>
      </c>
      <c r="U2723" s="4">
        <v>17.086679999999902</v>
      </c>
      <c r="V2723" t="str">
        <f>IF(Table1[[#This Row],[ai_disruption_intensity]]&gt;70,"High",
IF(Table1[[#This Row],[ai_disruption_intensity]]&gt;40,"Medium","Low"))</f>
        <v>Low</v>
      </c>
      <c r="W2723" t="str">
        <f>IF(Table1[[#This Row],[skill_gap_index]]&gt;70,"Large Gap",
IF(Table1[[#This Row],[skill_gap_index]]&gt;40,"Medium Gap","Small Gap"))</f>
        <v>Small Gap</v>
      </c>
      <c r="X2723" s="3" t="str">
        <f>IF(Table1[[#This Row],[automation_risk_percent]]&gt;0.7,"Highly Automatable",
IF(Table1[[#This Row],[automation_risk_percent]]&gt;0.4,"Moderate Risk","Safe Job"))</f>
        <v>Highly Automatable</v>
      </c>
    </row>
    <row r="2724" spans="1:24" x14ac:dyDescent="0.3">
      <c r="A2724">
        <v>9600</v>
      </c>
      <c r="B2724" t="s">
        <v>46</v>
      </c>
      <c r="C2724" t="s">
        <v>30</v>
      </c>
      <c r="D2724" t="s">
        <v>36</v>
      </c>
      <c r="E2724" s="1">
        <v>2026</v>
      </c>
      <c r="F2724" s="11">
        <v>9.2799999999999994E-2</v>
      </c>
      <c r="G2724">
        <v>8.5399999999999991</v>
      </c>
      <c r="H2724">
        <v>81.040000000000006</v>
      </c>
      <c r="I2724" s="2">
        <v>87662.13</v>
      </c>
      <c r="J2724" s="2">
        <v>64972.55</v>
      </c>
      <c r="K2724" s="2">
        <f>Table1[[#This Row],[Salary_after]]-Table1[[#This Row],[Salary_before]]</f>
        <v>-22689.58</v>
      </c>
      <c r="L2724" s="11">
        <v>-0.25879999999999997</v>
      </c>
      <c r="M2724" s="11">
        <v>8.1000000000000003E-2</v>
      </c>
      <c r="N2724">
        <v>47.36</v>
      </c>
      <c r="O2724">
        <v>97.76</v>
      </c>
      <c r="P2724">
        <v>2</v>
      </c>
      <c r="Q2724" t="s">
        <v>21</v>
      </c>
      <c r="R2724">
        <v>45.16</v>
      </c>
      <c r="S2724">
        <v>25.88</v>
      </c>
      <c r="T2724" s="4">
        <v>35.787999999999997</v>
      </c>
      <c r="U2724" s="4">
        <v>9.0721279999999993</v>
      </c>
      <c r="V2724" t="str">
        <f>IF(Table1[[#This Row],[ai_disruption_intensity]]&gt;70,"High",
IF(Table1[[#This Row],[ai_disruption_intensity]]&gt;40,"Medium","Low"))</f>
        <v>Low</v>
      </c>
      <c r="W2724" t="str">
        <f>IF(Table1[[#This Row],[skill_gap_index]]&gt;70,"Large Gap",
IF(Table1[[#This Row],[skill_gap_index]]&gt;40,"Medium Gap","Small Gap"))</f>
        <v>Large Gap</v>
      </c>
      <c r="X2724" s="3" t="str">
        <f>IF(Table1[[#This Row],[automation_risk_percent]]&gt;0.7,"Highly Automatable",
IF(Table1[[#This Row],[automation_risk_percent]]&gt;0.4,"Moderate Risk","Safe Job"))</f>
        <v>Safe Job</v>
      </c>
    </row>
    <row r="2725" spans="1:24" x14ac:dyDescent="0.3">
      <c r="A2725">
        <v>9609</v>
      </c>
      <c r="B2725" t="s">
        <v>22</v>
      </c>
      <c r="C2725" t="s">
        <v>23</v>
      </c>
      <c r="D2725" t="s">
        <v>20</v>
      </c>
      <c r="E2725" s="1">
        <v>2026</v>
      </c>
      <c r="F2725" s="11">
        <v>0.38439999999999996</v>
      </c>
      <c r="G2725">
        <v>41.5</v>
      </c>
      <c r="H2725">
        <v>95</v>
      </c>
      <c r="I2725" s="2">
        <v>33357.46</v>
      </c>
      <c r="J2725" s="2">
        <v>34257.06</v>
      </c>
      <c r="K2725" s="2">
        <f>Table1[[#This Row],[Salary_after]]-Table1[[#This Row],[Salary_before]]</f>
        <v>899.59999999999854</v>
      </c>
      <c r="L2725" s="11">
        <v>2.7000000000000003E-2</v>
      </c>
      <c r="M2725" s="11">
        <v>0.25429999999999997</v>
      </c>
      <c r="N2725">
        <v>29.13</v>
      </c>
      <c r="O2725">
        <v>30.77</v>
      </c>
      <c r="P2725">
        <v>5</v>
      </c>
      <c r="Q2725" t="s">
        <v>25</v>
      </c>
      <c r="R2725">
        <v>66.72</v>
      </c>
      <c r="S2725">
        <v>2.7</v>
      </c>
      <c r="T2725" s="4">
        <v>44.686</v>
      </c>
      <c r="U2725" s="4">
        <v>11.8279879999999</v>
      </c>
      <c r="V2725" t="str">
        <f>IF(Table1[[#This Row],[ai_disruption_intensity]]&gt;70,"High",
IF(Table1[[#This Row],[ai_disruption_intensity]]&gt;40,"Medium","Low"))</f>
        <v>Low</v>
      </c>
      <c r="W2725" t="str">
        <f>IF(Table1[[#This Row],[skill_gap_index]]&gt;70,"Large Gap",
IF(Table1[[#This Row],[skill_gap_index]]&gt;40,"Medium Gap","Small Gap"))</f>
        <v>Large Gap</v>
      </c>
      <c r="X2725" s="3" t="str">
        <f>IF(Table1[[#This Row],[automation_risk_percent]]&gt;0.7,"Highly Automatable",
IF(Table1[[#This Row],[automation_risk_percent]]&gt;0.4,"Moderate Risk","Safe Job"))</f>
        <v>Safe Job</v>
      </c>
    </row>
    <row r="2726" spans="1:24" x14ac:dyDescent="0.3">
      <c r="A2726">
        <v>9611</v>
      </c>
      <c r="B2726" t="s">
        <v>41</v>
      </c>
      <c r="C2726" t="s">
        <v>40</v>
      </c>
      <c r="D2726" t="s">
        <v>24</v>
      </c>
      <c r="E2726" s="1">
        <v>2026</v>
      </c>
      <c r="F2726" s="11">
        <v>0.43229999999999996</v>
      </c>
      <c r="G2726">
        <v>37.22</v>
      </c>
      <c r="H2726">
        <v>39.71</v>
      </c>
      <c r="I2726" s="2">
        <v>138564.03</v>
      </c>
      <c r="J2726" s="2">
        <v>117514.25</v>
      </c>
      <c r="K2726" s="2">
        <f>Table1[[#This Row],[Salary_after]]-Table1[[#This Row],[Salary_before]]</f>
        <v>-21049.78</v>
      </c>
      <c r="L2726" s="11">
        <v>-0.15190000000000001</v>
      </c>
      <c r="M2726" s="11">
        <v>-2.9900000000000003E-2</v>
      </c>
      <c r="N2726">
        <v>73.319999999999993</v>
      </c>
      <c r="O2726">
        <v>86.96</v>
      </c>
      <c r="P2726">
        <v>5</v>
      </c>
      <c r="Q2726" t="s">
        <v>25</v>
      </c>
      <c r="R2726">
        <v>41.47</v>
      </c>
      <c r="S2726">
        <v>15.19</v>
      </c>
      <c r="T2726" s="4">
        <v>33.762</v>
      </c>
      <c r="U2726" s="4">
        <v>37.592807999999998</v>
      </c>
      <c r="V2726" t="str">
        <f>IF(Table1[[#This Row],[ai_disruption_intensity]]&gt;70,"High",
IF(Table1[[#This Row],[ai_disruption_intensity]]&gt;40,"Medium","Low"))</f>
        <v>Low</v>
      </c>
      <c r="W2726" t="str">
        <f>IF(Table1[[#This Row],[skill_gap_index]]&gt;70,"Large Gap",
IF(Table1[[#This Row],[skill_gap_index]]&gt;40,"Medium Gap","Small Gap"))</f>
        <v>Small Gap</v>
      </c>
      <c r="X2726" s="3" t="str">
        <f>IF(Table1[[#This Row],[automation_risk_percent]]&gt;0.7,"Highly Automatable",
IF(Table1[[#This Row],[automation_risk_percent]]&gt;0.4,"Moderate Risk","Safe Job"))</f>
        <v>Moderate Risk</v>
      </c>
    </row>
    <row r="2727" spans="1:24" x14ac:dyDescent="0.3">
      <c r="A2727">
        <v>9613</v>
      </c>
      <c r="B2727" t="s">
        <v>26</v>
      </c>
      <c r="C2727" t="s">
        <v>33</v>
      </c>
      <c r="D2727" t="s">
        <v>20</v>
      </c>
      <c r="E2727" s="1">
        <v>2025</v>
      </c>
      <c r="F2727" s="11">
        <v>0.47420000000000001</v>
      </c>
      <c r="G2727">
        <v>43.68</v>
      </c>
      <c r="H2727">
        <v>16.670000000000002</v>
      </c>
      <c r="I2727" s="2">
        <v>113856.58</v>
      </c>
      <c r="J2727" s="2">
        <v>111595.53</v>
      </c>
      <c r="K2727" s="2">
        <f>Table1[[#This Row],[Salary_after]]-Table1[[#This Row],[Salary_before]]</f>
        <v>-2261.0500000000029</v>
      </c>
      <c r="L2727" s="11">
        <v>-1.9900000000000001E-2</v>
      </c>
      <c r="M2727" s="11">
        <v>-3.8699999999999998E-2</v>
      </c>
      <c r="N2727">
        <v>17.989999999999998</v>
      </c>
      <c r="O2727">
        <v>42.65</v>
      </c>
      <c r="P2727">
        <v>1</v>
      </c>
      <c r="Q2727" t="s">
        <v>25</v>
      </c>
      <c r="R2727">
        <v>32.045000000000002</v>
      </c>
      <c r="S2727">
        <v>1.99</v>
      </c>
      <c r="T2727" s="4">
        <v>24.565999999999999</v>
      </c>
      <c r="U2727" s="4">
        <v>20.224630000000001</v>
      </c>
      <c r="V2727" t="str">
        <f>IF(Table1[[#This Row],[ai_disruption_intensity]]&gt;70,"High",
IF(Table1[[#This Row],[ai_disruption_intensity]]&gt;40,"Medium","Low"))</f>
        <v>Low</v>
      </c>
      <c r="W2727" t="str">
        <f>IF(Table1[[#This Row],[skill_gap_index]]&gt;70,"Large Gap",
IF(Table1[[#This Row],[skill_gap_index]]&gt;40,"Medium Gap","Small Gap"))</f>
        <v>Small Gap</v>
      </c>
      <c r="X2727" s="3" t="str">
        <f>IF(Table1[[#This Row],[automation_risk_percent]]&gt;0.7,"Highly Automatable",
IF(Table1[[#This Row],[automation_risk_percent]]&gt;0.4,"Moderate Risk","Safe Job"))</f>
        <v>Moderate Risk</v>
      </c>
    </row>
    <row r="2728" spans="1:24" x14ac:dyDescent="0.3">
      <c r="A2728">
        <v>9615</v>
      </c>
      <c r="B2728" t="s">
        <v>45</v>
      </c>
      <c r="C2728" t="s">
        <v>19</v>
      </c>
      <c r="D2728" t="s">
        <v>24</v>
      </c>
      <c r="E2728" s="1">
        <v>2026</v>
      </c>
      <c r="F2728" s="11">
        <v>0.60899999999999999</v>
      </c>
      <c r="G2728">
        <v>49.11</v>
      </c>
      <c r="H2728">
        <v>86.33</v>
      </c>
      <c r="I2728" s="2">
        <v>130810.7</v>
      </c>
      <c r="J2728" s="2">
        <v>142816.16</v>
      </c>
      <c r="K2728" s="2">
        <f>Table1[[#This Row],[Salary_after]]-Table1[[#This Row],[Salary_before]]</f>
        <v>12005.460000000006</v>
      </c>
      <c r="L2728" s="11">
        <v>9.1799999999999993E-2</v>
      </c>
      <c r="M2728" s="11">
        <v>9.4299999999999995E-2</v>
      </c>
      <c r="N2728">
        <v>75.73</v>
      </c>
      <c r="O2728">
        <v>30.01</v>
      </c>
      <c r="P2728">
        <v>5</v>
      </c>
      <c r="Q2728" t="s">
        <v>37</v>
      </c>
      <c r="R2728">
        <v>73.614999999999995</v>
      </c>
      <c r="S2728">
        <v>9.18</v>
      </c>
      <c r="T2728" s="4">
        <v>53.012999999999998</v>
      </c>
      <c r="U2728" s="4">
        <v>18.27609</v>
      </c>
      <c r="V2728" t="str">
        <f>IF(Table1[[#This Row],[ai_disruption_intensity]]&gt;70,"High",
IF(Table1[[#This Row],[ai_disruption_intensity]]&gt;40,"Medium","Low"))</f>
        <v>Low</v>
      </c>
      <c r="W2728" t="str">
        <f>IF(Table1[[#This Row],[skill_gap_index]]&gt;70,"Large Gap",
IF(Table1[[#This Row],[skill_gap_index]]&gt;40,"Medium Gap","Small Gap"))</f>
        <v>Large Gap</v>
      </c>
      <c r="X2728" s="3" t="str">
        <f>IF(Table1[[#This Row],[automation_risk_percent]]&gt;0.7,"Highly Automatable",
IF(Table1[[#This Row],[automation_risk_percent]]&gt;0.4,"Moderate Risk","Safe Job"))</f>
        <v>Moderate Risk</v>
      </c>
    </row>
    <row r="2729" spans="1:24" x14ac:dyDescent="0.3">
      <c r="A2729">
        <v>9617</v>
      </c>
      <c r="B2729" t="s">
        <v>46</v>
      </c>
      <c r="C2729" t="s">
        <v>34</v>
      </c>
      <c r="D2729" t="s">
        <v>47</v>
      </c>
      <c r="E2729" s="1">
        <v>2026</v>
      </c>
      <c r="F2729" s="11">
        <v>0.50319999999999998</v>
      </c>
      <c r="G2729">
        <v>44.59</v>
      </c>
      <c r="H2729">
        <v>77.39</v>
      </c>
      <c r="I2729" s="2">
        <v>65081.19</v>
      </c>
      <c r="J2729" s="2">
        <v>70205.62</v>
      </c>
      <c r="K2729" s="2">
        <f>Table1[[#This Row],[Salary_after]]-Table1[[#This Row],[Salary_before]]</f>
        <v>5124.429999999993</v>
      </c>
      <c r="L2729" s="11">
        <v>7.8700000000000006E-2</v>
      </c>
      <c r="M2729" s="11">
        <v>-1.0700000000000001E-2</v>
      </c>
      <c r="N2729">
        <v>25.69</v>
      </c>
      <c r="O2729">
        <v>86.25</v>
      </c>
      <c r="P2729">
        <v>4</v>
      </c>
      <c r="Q2729" t="s">
        <v>25</v>
      </c>
      <c r="R2729">
        <v>63.854999999999997</v>
      </c>
      <c r="S2729">
        <v>7.87</v>
      </c>
      <c r="T2729" s="4">
        <v>45.705999999999896</v>
      </c>
      <c r="U2729" s="4">
        <v>43.401000000000003</v>
      </c>
      <c r="V2729" t="str">
        <f>IF(Table1[[#This Row],[ai_disruption_intensity]]&gt;70,"High",
IF(Table1[[#This Row],[ai_disruption_intensity]]&gt;40,"Medium","Low"))</f>
        <v>Medium</v>
      </c>
      <c r="W2729" t="str">
        <f>IF(Table1[[#This Row],[skill_gap_index]]&gt;70,"Large Gap",
IF(Table1[[#This Row],[skill_gap_index]]&gt;40,"Medium Gap","Small Gap"))</f>
        <v>Large Gap</v>
      </c>
      <c r="X2729" s="3" t="str">
        <f>IF(Table1[[#This Row],[automation_risk_percent]]&gt;0.7,"Highly Automatable",
IF(Table1[[#This Row],[automation_risk_percent]]&gt;0.4,"Moderate Risk","Safe Job"))</f>
        <v>Moderate Risk</v>
      </c>
    </row>
    <row r="2730" spans="1:24" x14ac:dyDescent="0.3">
      <c r="A2730">
        <v>9621</v>
      </c>
      <c r="B2730" t="s">
        <v>46</v>
      </c>
      <c r="C2730" t="s">
        <v>23</v>
      </c>
      <c r="D2730" t="s">
        <v>28</v>
      </c>
      <c r="E2730" s="1">
        <v>2026</v>
      </c>
      <c r="F2730" s="11">
        <v>0.60699999999999998</v>
      </c>
      <c r="G2730">
        <v>70.2</v>
      </c>
      <c r="H2730">
        <v>68.86</v>
      </c>
      <c r="I2730" s="2">
        <v>146277.13</v>
      </c>
      <c r="J2730" s="2">
        <v>124582.43</v>
      </c>
      <c r="K2730" s="2">
        <f>Table1[[#This Row],[Salary_after]]-Table1[[#This Row],[Salary_before]]</f>
        <v>-21694.700000000012</v>
      </c>
      <c r="L2730" s="11">
        <v>-0.14829999999999999</v>
      </c>
      <c r="M2730" s="11">
        <v>0.10949999999999999</v>
      </c>
      <c r="N2730">
        <v>69.42</v>
      </c>
      <c r="O2730">
        <v>90.92</v>
      </c>
      <c r="P2730">
        <v>2</v>
      </c>
      <c r="Q2730" t="s">
        <v>37</v>
      </c>
      <c r="R2730">
        <v>64.78</v>
      </c>
      <c r="S2730">
        <v>14.83</v>
      </c>
      <c r="T2730" s="4">
        <v>49.387</v>
      </c>
      <c r="U2730" s="4">
        <v>55.18844</v>
      </c>
      <c r="V2730" t="str">
        <f>IF(Table1[[#This Row],[ai_disruption_intensity]]&gt;70,"High",
IF(Table1[[#This Row],[ai_disruption_intensity]]&gt;40,"Medium","Low"))</f>
        <v>Medium</v>
      </c>
      <c r="W2730" t="str">
        <f>IF(Table1[[#This Row],[skill_gap_index]]&gt;70,"Large Gap",
IF(Table1[[#This Row],[skill_gap_index]]&gt;40,"Medium Gap","Small Gap"))</f>
        <v>Medium Gap</v>
      </c>
      <c r="X2730" s="3" t="str">
        <f>IF(Table1[[#This Row],[automation_risk_percent]]&gt;0.7,"Highly Automatable",
IF(Table1[[#This Row],[automation_risk_percent]]&gt;0.4,"Moderate Risk","Safe Job"))</f>
        <v>Moderate Risk</v>
      </c>
    </row>
    <row r="2731" spans="1:24" x14ac:dyDescent="0.3">
      <c r="A2731">
        <v>9623</v>
      </c>
      <c r="B2731" t="s">
        <v>41</v>
      </c>
      <c r="C2731" t="s">
        <v>33</v>
      </c>
      <c r="D2731" t="s">
        <v>32</v>
      </c>
      <c r="E2731" s="1">
        <v>2026</v>
      </c>
      <c r="F2731" s="11">
        <v>0.31129999999999997</v>
      </c>
      <c r="G2731">
        <v>27.78</v>
      </c>
      <c r="H2731">
        <v>50.52</v>
      </c>
      <c r="I2731" s="2">
        <v>39427.61</v>
      </c>
      <c r="J2731" s="2">
        <v>40411.08</v>
      </c>
      <c r="K2731" s="2">
        <f>Table1[[#This Row],[Salary_after]]-Table1[[#This Row],[Salary_before]]</f>
        <v>983.47000000000116</v>
      </c>
      <c r="L2731" s="11">
        <v>2.4900000000000002E-2</v>
      </c>
      <c r="M2731" s="11">
        <v>8.5299999999999987E-2</v>
      </c>
      <c r="N2731">
        <v>44.32</v>
      </c>
      <c r="O2731">
        <v>13.02</v>
      </c>
      <c r="P2731">
        <v>4</v>
      </c>
      <c r="Q2731" t="s">
        <v>25</v>
      </c>
      <c r="R2731">
        <v>40.825000000000003</v>
      </c>
      <c r="S2731">
        <v>2.4900000000000002</v>
      </c>
      <c r="T2731" s="4">
        <v>28.355</v>
      </c>
      <c r="U2731" s="4">
        <v>4.0531259999999998</v>
      </c>
      <c r="V2731" t="str">
        <f>IF(Table1[[#This Row],[ai_disruption_intensity]]&gt;70,"High",
IF(Table1[[#This Row],[ai_disruption_intensity]]&gt;40,"Medium","Low"))</f>
        <v>Low</v>
      </c>
      <c r="W2731" t="str">
        <f>IF(Table1[[#This Row],[skill_gap_index]]&gt;70,"Large Gap",
IF(Table1[[#This Row],[skill_gap_index]]&gt;40,"Medium Gap","Small Gap"))</f>
        <v>Medium Gap</v>
      </c>
      <c r="X2731" s="3" t="str">
        <f>IF(Table1[[#This Row],[automation_risk_percent]]&gt;0.7,"Highly Automatable",
IF(Table1[[#This Row],[automation_risk_percent]]&gt;0.4,"Moderate Risk","Safe Job"))</f>
        <v>Safe Job</v>
      </c>
    </row>
    <row r="2732" spans="1:24" x14ac:dyDescent="0.3">
      <c r="A2732">
        <v>9625</v>
      </c>
      <c r="B2732" t="s">
        <v>46</v>
      </c>
      <c r="C2732" t="s">
        <v>33</v>
      </c>
      <c r="D2732" t="s">
        <v>47</v>
      </c>
      <c r="E2732" s="1">
        <v>2025</v>
      </c>
      <c r="F2732" s="11">
        <v>0.66720000000000002</v>
      </c>
      <c r="G2732">
        <v>58.89</v>
      </c>
      <c r="H2732">
        <v>99.94</v>
      </c>
      <c r="I2732" s="2">
        <v>148391.38</v>
      </c>
      <c r="J2732" s="2">
        <v>141566.79999999999</v>
      </c>
      <c r="K2732" s="2">
        <f>Table1[[#This Row],[Salary_after]]-Table1[[#This Row],[Salary_before]]</f>
        <v>-6824.5800000000163</v>
      </c>
      <c r="L2732" s="11">
        <v>-4.5999999999999999E-2</v>
      </c>
      <c r="M2732" s="11">
        <v>0.17620000000000002</v>
      </c>
      <c r="N2732">
        <v>30.17</v>
      </c>
      <c r="O2732">
        <v>10.32</v>
      </c>
      <c r="P2732">
        <v>1</v>
      </c>
      <c r="Q2732" t="s">
        <v>37</v>
      </c>
      <c r="R2732">
        <v>83.33</v>
      </c>
      <c r="S2732">
        <v>4.5999999999999996</v>
      </c>
      <c r="T2732" s="4">
        <v>58.05</v>
      </c>
      <c r="U2732" s="4">
        <v>6.8855040000000001</v>
      </c>
      <c r="V2732" t="str">
        <f>IF(Table1[[#This Row],[ai_disruption_intensity]]&gt;70,"High",
IF(Table1[[#This Row],[ai_disruption_intensity]]&gt;40,"Medium","Low"))</f>
        <v>Low</v>
      </c>
      <c r="W2732" t="str">
        <f>IF(Table1[[#This Row],[skill_gap_index]]&gt;70,"Large Gap",
IF(Table1[[#This Row],[skill_gap_index]]&gt;40,"Medium Gap","Small Gap"))</f>
        <v>Large Gap</v>
      </c>
      <c r="X2732" s="3" t="str">
        <f>IF(Table1[[#This Row],[automation_risk_percent]]&gt;0.7,"Highly Automatable",
IF(Table1[[#This Row],[automation_risk_percent]]&gt;0.4,"Moderate Risk","Safe Job"))</f>
        <v>Moderate Risk</v>
      </c>
    </row>
    <row r="2733" spans="1:24" x14ac:dyDescent="0.3">
      <c r="A2733">
        <v>9637</v>
      </c>
      <c r="B2733" t="s">
        <v>18</v>
      </c>
      <c r="C2733" t="s">
        <v>30</v>
      </c>
      <c r="D2733" t="s">
        <v>28</v>
      </c>
      <c r="E2733" s="1">
        <v>2025</v>
      </c>
      <c r="F2733" s="11">
        <v>0.23670000000000002</v>
      </c>
      <c r="G2733">
        <v>24.98</v>
      </c>
      <c r="H2733">
        <v>66.3</v>
      </c>
      <c r="I2733" s="2">
        <v>111229.72</v>
      </c>
      <c r="J2733" s="2">
        <v>96861.5</v>
      </c>
      <c r="K2733" s="2">
        <f>Table1[[#This Row],[Salary_after]]-Table1[[#This Row],[Salary_before]]</f>
        <v>-14368.220000000001</v>
      </c>
      <c r="L2733" s="11">
        <v>-0.12920000000000001</v>
      </c>
      <c r="M2733" s="11">
        <v>0.1245</v>
      </c>
      <c r="N2733">
        <v>61.39</v>
      </c>
      <c r="O2733">
        <v>73.790000000000006</v>
      </c>
      <c r="P2733">
        <v>3</v>
      </c>
      <c r="Q2733" t="s">
        <v>21</v>
      </c>
      <c r="R2733">
        <v>44.984999999999999</v>
      </c>
      <c r="S2733">
        <v>12.92</v>
      </c>
      <c r="T2733" s="4">
        <v>33.233999999999902</v>
      </c>
      <c r="U2733" s="4">
        <v>17.466093000000001</v>
      </c>
      <c r="V2733" t="str">
        <f>IF(Table1[[#This Row],[ai_disruption_intensity]]&gt;70,"High",
IF(Table1[[#This Row],[ai_disruption_intensity]]&gt;40,"Medium","Low"))</f>
        <v>Low</v>
      </c>
      <c r="W2733" t="str">
        <f>IF(Table1[[#This Row],[skill_gap_index]]&gt;70,"Large Gap",
IF(Table1[[#This Row],[skill_gap_index]]&gt;40,"Medium Gap","Small Gap"))</f>
        <v>Medium Gap</v>
      </c>
      <c r="X2733" s="3" t="str">
        <f>IF(Table1[[#This Row],[automation_risk_percent]]&gt;0.7,"Highly Automatable",
IF(Table1[[#This Row],[automation_risk_percent]]&gt;0.4,"Moderate Risk","Safe Job"))</f>
        <v>Safe Job</v>
      </c>
    </row>
    <row r="2734" spans="1:24" x14ac:dyDescent="0.3">
      <c r="A2734">
        <v>9638</v>
      </c>
      <c r="B2734" t="s">
        <v>26</v>
      </c>
      <c r="C2734" t="s">
        <v>33</v>
      </c>
      <c r="D2734" t="s">
        <v>47</v>
      </c>
      <c r="E2734" s="1">
        <v>2025</v>
      </c>
      <c r="F2734" s="11">
        <v>0.504</v>
      </c>
      <c r="G2734">
        <v>46.13</v>
      </c>
      <c r="H2734">
        <v>35.53</v>
      </c>
      <c r="I2734" s="2">
        <v>140076.4</v>
      </c>
      <c r="J2734" s="2">
        <v>133629.49</v>
      </c>
      <c r="K2734" s="2">
        <f>Table1[[#This Row],[Salary_after]]-Table1[[#This Row],[Salary_before]]</f>
        <v>-6446.9100000000035</v>
      </c>
      <c r="L2734" s="11">
        <v>-4.5999999999999999E-2</v>
      </c>
      <c r="M2734" s="11">
        <v>0.11609999999999999</v>
      </c>
      <c r="N2734">
        <v>62.83</v>
      </c>
      <c r="O2734">
        <v>10.73</v>
      </c>
      <c r="P2734">
        <v>1</v>
      </c>
      <c r="Q2734" t="s">
        <v>25</v>
      </c>
      <c r="R2734">
        <v>42.965000000000003</v>
      </c>
      <c r="S2734">
        <v>4.5999999999999996</v>
      </c>
      <c r="T2734" s="4">
        <v>32.198999999999998</v>
      </c>
      <c r="U2734" s="4">
        <v>5.4079199999999998</v>
      </c>
      <c r="V2734" t="str">
        <f>IF(Table1[[#This Row],[ai_disruption_intensity]]&gt;70,"High",
IF(Table1[[#This Row],[ai_disruption_intensity]]&gt;40,"Medium","Low"))</f>
        <v>Low</v>
      </c>
      <c r="W2734" t="str">
        <f>IF(Table1[[#This Row],[skill_gap_index]]&gt;70,"Large Gap",
IF(Table1[[#This Row],[skill_gap_index]]&gt;40,"Medium Gap","Small Gap"))</f>
        <v>Small Gap</v>
      </c>
      <c r="X2734" s="3" t="str">
        <f>IF(Table1[[#This Row],[automation_risk_percent]]&gt;0.7,"Highly Automatable",
IF(Table1[[#This Row],[automation_risk_percent]]&gt;0.4,"Moderate Risk","Safe Job"))</f>
        <v>Moderate Risk</v>
      </c>
    </row>
    <row r="2735" spans="1:24" x14ac:dyDescent="0.3">
      <c r="A2735">
        <v>9653</v>
      </c>
      <c r="B2735" t="s">
        <v>29</v>
      </c>
      <c r="C2735" t="s">
        <v>38</v>
      </c>
      <c r="D2735" t="s">
        <v>47</v>
      </c>
      <c r="E2735" s="1">
        <v>2025</v>
      </c>
      <c r="F2735" s="11">
        <v>0.60170000000000001</v>
      </c>
      <c r="G2735">
        <v>56.31</v>
      </c>
      <c r="H2735">
        <v>89.66</v>
      </c>
      <c r="I2735" s="2">
        <v>114570.08</v>
      </c>
      <c r="J2735" s="2">
        <v>127268.29</v>
      </c>
      <c r="K2735" s="2">
        <f>Table1[[#This Row],[Salary_after]]-Table1[[#This Row],[Salary_before]]</f>
        <v>12698.209999999992</v>
      </c>
      <c r="L2735" s="11">
        <v>0.1108</v>
      </c>
      <c r="M2735" s="11">
        <v>3.5900000000000001E-2</v>
      </c>
      <c r="N2735">
        <v>75.41</v>
      </c>
      <c r="O2735">
        <v>80.89</v>
      </c>
      <c r="P2735">
        <v>2</v>
      </c>
      <c r="Q2735" t="s">
        <v>37</v>
      </c>
      <c r="R2735">
        <v>74.914999999999907</v>
      </c>
      <c r="S2735">
        <v>11.08</v>
      </c>
      <c r="T2735" s="4">
        <v>54.29</v>
      </c>
      <c r="U2735" s="4">
        <v>48.671512999999997</v>
      </c>
      <c r="V2735" t="str">
        <f>IF(Table1[[#This Row],[ai_disruption_intensity]]&gt;70,"High",
IF(Table1[[#This Row],[ai_disruption_intensity]]&gt;40,"Medium","Low"))</f>
        <v>Medium</v>
      </c>
      <c r="W2735" t="str">
        <f>IF(Table1[[#This Row],[skill_gap_index]]&gt;70,"Large Gap",
IF(Table1[[#This Row],[skill_gap_index]]&gt;40,"Medium Gap","Small Gap"))</f>
        <v>Large Gap</v>
      </c>
      <c r="X2735" s="3" t="str">
        <f>IF(Table1[[#This Row],[automation_risk_percent]]&gt;0.7,"Highly Automatable",
IF(Table1[[#This Row],[automation_risk_percent]]&gt;0.4,"Moderate Risk","Safe Job"))</f>
        <v>Moderate Risk</v>
      </c>
    </row>
    <row r="2736" spans="1:24" x14ac:dyDescent="0.3">
      <c r="A2736">
        <v>9654</v>
      </c>
      <c r="B2736" t="s">
        <v>26</v>
      </c>
      <c r="C2736" t="s">
        <v>19</v>
      </c>
      <c r="D2736" t="s">
        <v>47</v>
      </c>
      <c r="E2736" s="1">
        <v>2025</v>
      </c>
      <c r="F2736" s="11">
        <v>0.68430000000000002</v>
      </c>
      <c r="G2736">
        <v>60.3</v>
      </c>
      <c r="H2736">
        <v>20.25</v>
      </c>
      <c r="I2736" s="2">
        <v>96780.160000000003</v>
      </c>
      <c r="J2736" s="2">
        <v>107333.78</v>
      </c>
      <c r="K2736" s="2">
        <f>Table1[[#This Row],[Salary_after]]-Table1[[#This Row],[Salary_before]]</f>
        <v>10553.619999999995</v>
      </c>
      <c r="L2736" s="11">
        <v>0.109</v>
      </c>
      <c r="M2736" s="11">
        <v>5.96E-2</v>
      </c>
      <c r="N2736">
        <v>24.03</v>
      </c>
      <c r="O2736">
        <v>42.5</v>
      </c>
      <c r="P2736">
        <v>5</v>
      </c>
      <c r="Q2736" t="s">
        <v>37</v>
      </c>
      <c r="R2736">
        <v>44.34</v>
      </c>
      <c r="S2736">
        <v>10.9</v>
      </c>
      <c r="T2736" s="4">
        <v>36.716999999999999</v>
      </c>
      <c r="U2736" s="4">
        <v>29.082750000000001</v>
      </c>
      <c r="V2736" t="str">
        <f>IF(Table1[[#This Row],[ai_disruption_intensity]]&gt;70,"High",
IF(Table1[[#This Row],[ai_disruption_intensity]]&gt;40,"Medium","Low"))</f>
        <v>Low</v>
      </c>
      <c r="W2736" t="str">
        <f>IF(Table1[[#This Row],[skill_gap_index]]&gt;70,"Large Gap",
IF(Table1[[#This Row],[skill_gap_index]]&gt;40,"Medium Gap","Small Gap"))</f>
        <v>Small Gap</v>
      </c>
      <c r="X2736" s="3" t="str">
        <f>IF(Table1[[#This Row],[automation_risk_percent]]&gt;0.7,"Highly Automatable",
IF(Table1[[#This Row],[automation_risk_percent]]&gt;0.4,"Moderate Risk","Safe Job"))</f>
        <v>Moderate Risk</v>
      </c>
    </row>
    <row r="2737" spans="1:24" x14ac:dyDescent="0.3">
      <c r="A2737">
        <v>9657</v>
      </c>
      <c r="B2737" t="s">
        <v>26</v>
      </c>
      <c r="C2737" t="s">
        <v>19</v>
      </c>
      <c r="D2737" t="s">
        <v>36</v>
      </c>
      <c r="E2737" s="1">
        <v>2025</v>
      </c>
      <c r="F2737" s="11">
        <v>0.37469999999999998</v>
      </c>
      <c r="G2737">
        <v>41.42</v>
      </c>
      <c r="H2737">
        <v>24.88</v>
      </c>
      <c r="I2737" s="2">
        <v>77863.33</v>
      </c>
      <c r="J2737" s="2">
        <v>79232.55</v>
      </c>
      <c r="K2737" s="2">
        <f>Table1[[#This Row],[Salary_after]]-Table1[[#This Row],[Salary_before]]</f>
        <v>1369.2200000000012</v>
      </c>
      <c r="L2737" s="11">
        <v>1.7600000000000001E-2</v>
      </c>
      <c r="M2737" s="11">
        <v>-1.6E-2</v>
      </c>
      <c r="N2737">
        <v>81.94</v>
      </c>
      <c r="O2737">
        <v>85.18</v>
      </c>
      <c r="P2737">
        <v>2</v>
      </c>
      <c r="Q2737" t="s">
        <v>25</v>
      </c>
      <c r="R2737">
        <v>31.174999999999901</v>
      </c>
      <c r="S2737">
        <v>1.76</v>
      </c>
      <c r="T2737" s="4">
        <v>22.979999999999901</v>
      </c>
      <c r="U2737" s="4">
        <v>31.916945999999999</v>
      </c>
      <c r="V2737" t="str">
        <f>IF(Table1[[#This Row],[ai_disruption_intensity]]&gt;70,"High",
IF(Table1[[#This Row],[ai_disruption_intensity]]&gt;40,"Medium","Low"))</f>
        <v>Low</v>
      </c>
      <c r="W2737" t="str">
        <f>IF(Table1[[#This Row],[skill_gap_index]]&gt;70,"Large Gap",
IF(Table1[[#This Row],[skill_gap_index]]&gt;40,"Medium Gap","Small Gap"))</f>
        <v>Small Gap</v>
      </c>
      <c r="X2737" s="3" t="str">
        <f>IF(Table1[[#This Row],[automation_risk_percent]]&gt;0.7,"Highly Automatable",
IF(Table1[[#This Row],[automation_risk_percent]]&gt;0.4,"Moderate Risk","Safe Job"))</f>
        <v>Safe Job</v>
      </c>
    </row>
    <row r="2738" spans="1:24" x14ac:dyDescent="0.3">
      <c r="A2738">
        <v>9659</v>
      </c>
      <c r="B2738" t="s">
        <v>43</v>
      </c>
      <c r="C2738" t="s">
        <v>34</v>
      </c>
      <c r="D2738" t="s">
        <v>24</v>
      </c>
      <c r="E2738" s="1">
        <v>2025</v>
      </c>
      <c r="F2738" s="11">
        <v>0.49979999999999997</v>
      </c>
      <c r="G2738">
        <v>47.96</v>
      </c>
      <c r="H2738">
        <v>46.58</v>
      </c>
      <c r="I2738" s="2">
        <v>131811.72</v>
      </c>
      <c r="J2738" s="2">
        <v>145900.01</v>
      </c>
      <c r="K2738" s="2">
        <f>Table1[[#This Row],[Salary_after]]-Table1[[#This Row],[Salary_before]]</f>
        <v>14088.290000000008</v>
      </c>
      <c r="L2738" s="11">
        <v>0.1069</v>
      </c>
      <c r="M2738" s="11">
        <v>4.5899999999999996E-2</v>
      </c>
      <c r="N2738">
        <v>32.24</v>
      </c>
      <c r="O2738">
        <v>53.38</v>
      </c>
      <c r="P2738">
        <v>1</v>
      </c>
      <c r="Q2738" t="s">
        <v>25</v>
      </c>
      <c r="R2738">
        <v>48.28</v>
      </c>
      <c r="S2738">
        <v>10.69</v>
      </c>
      <c r="T2738" s="4">
        <v>37.173000000000002</v>
      </c>
      <c r="U2738" s="4">
        <v>26.679324000000001</v>
      </c>
      <c r="V2738" t="str">
        <f>IF(Table1[[#This Row],[ai_disruption_intensity]]&gt;70,"High",
IF(Table1[[#This Row],[ai_disruption_intensity]]&gt;40,"Medium","Low"))</f>
        <v>Low</v>
      </c>
      <c r="W2738" t="str">
        <f>IF(Table1[[#This Row],[skill_gap_index]]&gt;70,"Large Gap",
IF(Table1[[#This Row],[skill_gap_index]]&gt;40,"Medium Gap","Small Gap"))</f>
        <v>Medium Gap</v>
      </c>
      <c r="X2738" s="3" t="str">
        <f>IF(Table1[[#This Row],[automation_risk_percent]]&gt;0.7,"Highly Automatable",
IF(Table1[[#This Row],[automation_risk_percent]]&gt;0.4,"Moderate Risk","Safe Job"))</f>
        <v>Moderate Risk</v>
      </c>
    </row>
    <row r="2739" spans="1:24" x14ac:dyDescent="0.3">
      <c r="A2739">
        <v>9661</v>
      </c>
      <c r="B2739" t="s">
        <v>29</v>
      </c>
      <c r="C2739" t="s">
        <v>34</v>
      </c>
      <c r="D2739" t="s">
        <v>24</v>
      </c>
      <c r="E2739" s="1">
        <v>2025</v>
      </c>
      <c r="F2739" s="11">
        <v>0.55380000000000007</v>
      </c>
      <c r="G2739">
        <v>48.98</v>
      </c>
      <c r="H2739">
        <v>33.229999999999997</v>
      </c>
      <c r="I2739" s="2">
        <v>59877.91</v>
      </c>
      <c r="J2739" s="2">
        <v>67196.39</v>
      </c>
      <c r="K2739" s="2">
        <f>Table1[[#This Row],[Salary_after]]-Table1[[#This Row],[Salary_before]]</f>
        <v>7318.4799999999959</v>
      </c>
      <c r="L2739" s="11">
        <v>0.1222</v>
      </c>
      <c r="M2739" s="11">
        <v>0.14990000000000001</v>
      </c>
      <c r="N2739">
        <v>34.909999999999997</v>
      </c>
      <c r="O2739">
        <v>98.36</v>
      </c>
      <c r="P2739">
        <v>5</v>
      </c>
      <c r="Q2739" t="s">
        <v>25</v>
      </c>
      <c r="R2739">
        <v>44.305</v>
      </c>
      <c r="S2739">
        <v>12.22</v>
      </c>
      <c r="T2739" s="4">
        <v>35.786999999999999</v>
      </c>
      <c r="U2739" s="4">
        <v>54.471767999999997</v>
      </c>
      <c r="V2739" t="str">
        <f>IF(Table1[[#This Row],[ai_disruption_intensity]]&gt;70,"High",
IF(Table1[[#This Row],[ai_disruption_intensity]]&gt;40,"Medium","Low"))</f>
        <v>Medium</v>
      </c>
      <c r="W2739" t="str">
        <f>IF(Table1[[#This Row],[skill_gap_index]]&gt;70,"Large Gap",
IF(Table1[[#This Row],[skill_gap_index]]&gt;40,"Medium Gap","Small Gap"))</f>
        <v>Small Gap</v>
      </c>
      <c r="X2739" s="3" t="str">
        <f>IF(Table1[[#This Row],[automation_risk_percent]]&gt;0.7,"Highly Automatable",
IF(Table1[[#This Row],[automation_risk_percent]]&gt;0.4,"Moderate Risk","Safe Job"))</f>
        <v>Moderate Risk</v>
      </c>
    </row>
    <row r="2740" spans="1:24" x14ac:dyDescent="0.3">
      <c r="A2740">
        <v>9662</v>
      </c>
      <c r="B2740" t="s">
        <v>45</v>
      </c>
      <c r="C2740" t="s">
        <v>34</v>
      </c>
      <c r="D2740" t="s">
        <v>31</v>
      </c>
      <c r="E2740" s="1">
        <v>2025</v>
      </c>
      <c r="F2740" s="11">
        <v>0.29899999999999999</v>
      </c>
      <c r="G2740">
        <v>33.82</v>
      </c>
      <c r="H2740">
        <v>29.26</v>
      </c>
      <c r="I2740" s="2">
        <v>79583.149999999994</v>
      </c>
      <c r="J2740" s="2">
        <v>84978.9</v>
      </c>
      <c r="K2740" s="2">
        <f>Table1[[#This Row],[Salary_after]]-Table1[[#This Row],[Salary_before]]</f>
        <v>5395.75</v>
      </c>
      <c r="L2740" s="11">
        <v>6.7799999999999999E-2</v>
      </c>
      <c r="M2740" s="11">
        <v>0.2437</v>
      </c>
      <c r="N2740">
        <v>55.56</v>
      </c>
      <c r="O2740">
        <v>79.42</v>
      </c>
      <c r="P2740">
        <v>5</v>
      </c>
      <c r="Q2740" t="s">
        <v>21</v>
      </c>
      <c r="R2740">
        <v>29.58</v>
      </c>
      <c r="S2740">
        <v>6.78</v>
      </c>
      <c r="T2740" s="4">
        <v>22.771999999999998</v>
      </c>
      <c r="U2740" s="4">
        <v>23.746579999999899</v>
      </c>
      <c r="V2740" t="str">
        <f>IF(Table1[[#This Row],[ai_disruption_intensity]]&gt;70,"High",
IF(Table1[[#This Row],[ai_disruption_intensity]]&gt;40,"Medium","Low"))</f>
        <v>Low</v>
      </c>
      <c r="W2740" t="str">
        <f>IF(Table1[[#This Row],[skill_gap_index]]&gt;70,"Large Gap",
IF(Table1[[#This Row],[skill_gap_index]]&gt;40,"Medium Gap","Small Gap"))</f>
        <v>Small Gap</v>
      </c>
      <c r="X2740" s="3" t="str">
        <f>IF(Table1[[#This Row],[automation_risk_percent]]&gt;0.7,"Highly Automatable",
IF(Table1[[#This Row],[automation_risk_percent]]&gt;0.4,"Moderate Risk","Safe Job"))</f>
        <v>Safe Job</v>
      </c>
    </row>
    <row r="2741" spans="1:24" x14ac:dyDescent="0.3">
      <c r="A2741">
        <v>9667</v>
      </c>
      <c r="B2741" t="s">
        <v>41</v>
      </c>
      <c r="C2741" t="s">
        <v>33</v>
      </c>
      <c r="D2741" t="s">
        <v>42</v>
      </c>
      <c r="E2741" s="1">
        <v>2025</v>
      </c>
      <c r="F2741" s="11">
        <v>0.29010000000000002</v>
      </c>
      <c r="G2741">
        <v>31.53</v>
      </c>
      <c r="H2741">
        <v>1.98</v>
      </c>
      <c r="I2741" s="2">
        <v>37693.589999999997</v>
      </c>
      <c r="J2741" s="2">
        <v>39675</v>
      </c>
      <c r="K2741" s="2">
        <f>Table1[[#This Row],[Salary_after]]-Table1[[#This Row],[Salary_before]]</f>
        <v>1981.4100000000035</v>
      </c>
      <c r="L2741" s="11">
        <v>5.2600000000000001E-2</v>
      </c>
      <c r="M2741" s="11">
        <v>2.98E-2</v>
      </c>
      <c r="N2741">
        <v>53.48</v>
      </c>
      <c r="O2741">
        <v>21.52</v>
      </c>
      <c r="P2741">
        <v>2</v>
      </c>
      <c r="Q2741" t="s">
        <v>21</v>
      </c>
      <c r="R2741">
        <v>15.494999999999999</v>
      </c>
      <c r="S2741">
        <v>5.26</v>
      </c>
      <c r="T2741" s="4">
        <v>13.776</v>
      </c>
      <c r="U2741" s="4">
        <v>6.2429519999999998</v>
      </c>
      <c r="V2741" t="str">
        <f>IF(Table1[[#This Row],[ai_disruption_intensity]]&gt;70,"High",
IF(Table1[[#This Row],[ai_disruption_intensity]]&gt;40,"Medium","Low"))</f>
        <v>Low</v>
      </c>
      <c r="W2741" t="str">
        <f>IF(Table1[[#This Row],[skill_gap_index]]&gt;70,"Large Gap",
IF(Table1[[#This Row],[skill_gap_index]]&gt;40,"Medium Gap","Small Gap"))</f>
        <v>Small Gap</v>
      </c>
      <c r="X2741" s="3" t="str">
        <f>IF(Table1[[#This Row],[automation_risk_percent]]&gt;0.7,"Highly Automatable",
IF(Table1[[#This Row],[automation_risk_percent]]&gt;0.4,"Moderate Risk","Safe Job"))</f>
        <v>Safe Job</v>
      </c>
    </row>
    <row r="2742" spans="1:24" x14ac:dyDescent="0.3">
      <c r="A2742">
        <v>9671</v>
      </c>
      <c r="B2742" t="s">
        <v>29</v>
      </c>
      <c r="C2742" t="s">
        <v>33</v>
      </c>
      <c r="D2742" t="s">
        <v>28</v>
      </c>
      <c r="E2742" s="1">
        <v>2026</v>
      </c>
      <c r="F2742" s="11">
        <v>0.80840000000000001</v>
      </c>
      <c r="G2742">
        <v>76.81</v>
      </c>
      <c r="H2742">
        <v>8.6</v>
      </c>
      <c r="I2742" s="2">
        <v>61471.97</v>
      </c>
      <c r="J2742" s="2">
        <v>68410.960000000006</v>
      </c>
      <c r="K2742" s="2">
        <f>Table1[[#This Row],[Salary_after]]-Table1[[#This Row],[Salary_before]]</f>
        <v>6938.9900000000052</v>
      </c>
      <c r="L2742" s="11">
        <v>0.11289999999999999</v>
      </c>
      <c r="M2742" s="11">
        <v>0.185</v>
      </c>
      <c r="N2742">
        <v>33.619999999999997</v>
      </c>
      <c r="O2742">
        <v>34.119999999999997</v>
      </c>
      <c r="P2742">
        <v>5</v>
      </c>
      <c r="Q2742" t="s">
        <v>37</v>
      </c>
      <c r="R2742">
        <v>44.72</v>
      </c>
      <c r="S2742">
        <v>11.29</v>
      </c>
      <c r="T2742" s="4">
        <v>38.302999999999997</v>
      </c>
      <c r="U2742" s="4">
        <v>27.582608</v>
      </c>
      <c r="V2742" t="str">
        <f>IF(Table1[[#This Row],[ai_disruption_intensity]]&gt;70,"High",
IF(Table1[[#This Row],[ai_disruption_intensity]]&gt;40,"Medium","Low"))</f>
        <v>Low</v>
      </c>
      <c r="W2742" t="str">
        <f>IF(Table1[[#This Row],[skill_gap_index]]&gt;70,"Large Gap",
IF(Table1[[#This Row],[skill_gap_index]]&gt;40,"Medium Gap","Small Gap"))</f>
        <v>Small Gap</v>
      </c>
      <c r="X2742" s="3" t="str">
        <f>IF(Table1[[#This Row],[automation_risk_percent]]&gt;0.7,"Highly Automatable",
IF(Table1[[#This Row],[automation_risk_percent]]&gt;0.4,"Moderate Risk","Safe Job"))</f>
        <v>Highly Automatable</v>
      </c>
    </row>
    <row r="2743" spans="1:24" x14ac:dyDescent="0.3">
      <c r="A2743">
        <v>9672</v>
      </c>
      <c r="B2743" t="s">
        <v>44</v>
      </c>
      <c r="C2743" t="s">
        <v>34</v>
      </c>
      <c r="D2743" t="s">
        <v>24</v>
      </c>
      <c r="E2743" s="1">
        <v>2026</v>
      </c>
      <c r="F2743" s="11">
        <v>0.13489999999999999</v>
      </c>
      <c r="G2743">
        <v>15.93</v>
      </c>
      <c r="H2743">
        <v>32.72</v>
      </c>
      <c r="I2743" s="2">
        <v>141529.25</v>
      </c>
      <c r="J2743" s="2">
        <v>133812.82</v>
      </c>
      <c r="K2743" s="2">
        <f>Table1[[#This Row],[Salary_after]]-Table1[[#This Row],[Salary_before]]</f>
        <v>-7716.429999999993</v>
      </c>
      <c r="L2743" s="11">
        <v>-5.45E-2</v>
      </c>
      <c r="M2743" s="11">
        <v>0.15380000000000002</v>
      </c>
      <c r="N2743">
        <v>72.47</v>
      </c>
      <c r="O2743">
        <v>47.36</v>
      </c>
      <c r="P2743">
        <v>1</v>
      </c>
      <c r="Q2743" t="s">
        <v>21</v>
      </c>
      <c r="R2743">
        <v>23.105</v>
      </c>
      <c r="S2743">
        <v>5.45</v>
      </c>
      <c r="T2743" s="4">
        <v>16.847000000000001</v>
      </c>
      <c r="U2743" s="4">
        <v>6.3888639999999999</v>
      </c>
      <c r="V2743" t="str">
        <f>IF(Table1[[#This Row],[ai_disruption_intensity]]&gt;70,"High",
IF(Table1[[#This Row],[ai_disruption_intensity]]&gt;40,"Medium","Low"))</f>
        <v>Low</v>
      </c>
      <c r="W2743" t="str">
        <f>IF(Table1[[#This Row],[skill_gap_index]]&gt;70,"Large Gap",
IF(Table1[[#This Row],[skill_gap_index]]&gt;40,"Medium Gap","Small Gap"))</f>
        <v>Small Gap</v>
      </c>
      <c r="X2743" s="3" t="str">
        <f>IF(Table1[[#This Row],[automation_risk_percent]]&gt;0.7,"Highly Automatable",
IF(Table1[[#This Row],[automation_risk_percent]]&gt;0.4,"Moderate Risk","Safe Job"))</f>
        <v>Safe Job</v>
      </c>
    </row>
    <row r="2744" spans="1:24" x14ac:dyDescent="0.3">
      <c r="A2744">
        <v>9678</v>
      </c>
      <c r="B2744" t="s">
        <v>45</v>
      </c>
      <c r="C2744" t="s">
        <v>27</v>
      </c>
      <c r="D2744" t="s">
        <v>28</v>
      </c>
      <c r="E2744" s="1">
        <v>2025</v>
      </c>
      <c r="F2744" s="11">
        <v>0.26170000000000004</v>
      </c>
      <c r="G2744">
        <v>27.48</v>
      </c>
      <c r="H2744">
        <v>33.54</v>
      </c>
      <c r="I2744" s="2">
        <v>129132.94</v>
      </c>
      <c r="J2744" s="2">
        <v>143422.15</v>
      </c>
      <c r="K2744" s="2">
        <f>Table1[[#This Row],[Salary_after]]-Table1[[#This Row],[Salary_before]]</f>
        <v>14289.209999999992</v>
      </c>
      <c r="L2744" s="11">
        <v>0.11070000000000001</v>
      </c>
      <c r="M2744" s="11">
        <v>0.09</v>
      </c>
      <c r="N2744">
        <v>41.29</v>
      </c>
      <c r="O2744">
        <v>1.1200000000000001</v>
      </c>
      <c r="P2744">
        <v>1</v>
      </c>
      <c r="Q2744" t="s">
        <v>21</v>
      </c>
      <c r="R2744">
        <v>29.855</v>
      </c>
      <c r="S2744">
        <v>11.07</v>
      </c>
      <c r="T2744" s="4">
        <v>23.850999999999999</v>
      </c>
      <c r="U2744" s="4">
        <v>0.29310399999999998</v>
      </c>
      <c r="V2744" t="str">
        <f>IF(Table1[[#This Row],[ai_disruption_intensity]]&gt;70,"High",
IF(Table1[[#This Row],[ai_disruption_intensity]]&gt;40,"Medium","Low"))</f>
        <v>Low</v>
      </c>
      <c r="W2744" t="str">
        <f>IF(Table1[[#This Row],[skill_gap_index]]&gt;70,"Large Gap",
IF(Table1[[#This Row],[skill_gap_index]]&gt;40,"Medium Gap","Small Gap"))</f>
        <v>Small Gap</v>
      </c>
      <c r="X2744" s="3" t="str">
        <f>IF(Table1[[#This Row],[automation_risk_percent]]&gt;0.7,"Highly Automatable",
IF(Table1[[#This Row],[automation_risk_percent]]&gt;0.4,"Moderate Risk","Safe Job"))</f>
        <v>Safe Job</v>
      </c>
    </row>
    <row r="2745" spans="1:24" x14ac:dyDescent="0.3">
      <c r="A2745">
        <v>9683</v>
      </c>
      <c r="B2745" t="s">
        <v>46</v>
      </c>
      <c r="C2745" t="s">
        <v>38</v>
      </c>
      <c r="D2745" t="s">
        <v>28</v>
      </c>
      <c r="E2745" s="1">
        <v>2026</v>
      </c>
      <c r="F2745" s="11">
        <v>0.68200000000000005</v>
      </c>
      <c r="G2745">
        <v>77.209999999999994</v>
      </c>
      <c r="H2745">
        <v>31.75</v>
      </c>
      <c r="I2745" s="2">
        <v>97606.43</v>
      </c>
      <c r="J2745" s="2">
        <v>88372.94</v>
      </c>
      <c r="K2745" s="2">
        <f>Table1[[#This Row],[Salary_after]]-Table1[[#This Row],[Salary_before]]</f>
        <v>-9233.4899999999907</v>
      </c>
      <c r="L2745" s="11">
        <v>-9.4600000000000004E-2</v>
      </c>
      <c r="M2745" s="11">
        <v>6.4199999999999993E-2</v>
      </c>
      <c r="N2745">
        <v>49.44</v>
      </c>
      <c r="O2745">
        <v>20.78</v>
      </c>
      <c r="P2745">
        <v>1</v>
      </c>
      <c r="Q2745" t="s">
        <v>37</v>
      </c>
      <c r="R2745">
        <v>49.975000000000001</v>
      </c>
      <c r="S2745">
        <v>9.4600000000000009</v>
      </c>
      <c r="T2745" s="4">
        <v>39.643000000000001</v>
      </c>
      <c r="U2745" s="4">
        <v>14.17196</v>
      </c>
      <c r="V2745" t="str">
        <f>IF(Table1[[#This Row],[ai_disruption_intensity]]&gt;70,"High",
IF(Table1[[#This Row],[ai_disruption_intensity]]&gt;40,"Medium","Low"))</f>
        <v>Low</v>
      </c>
      <c r="W2745" t="str">
        <f>IF(Table1[[#This Row],[skill_gap_index]]&gt;70,"Large Gap",
IF(Table1[[#This Row],[skill_gap_index]]&gt;40,"Medium Gap","Small Gap"))</f>
        <v>Small Gap</v>
      </c>
      <c r="X2745" s="3" t="str">
        <f>IF(Table1[[#This Row],[automation_risk_percent]]&gt;0.7,"Highly Automatable",
IF(Table1[[#This Row],[automation_risk_percent]]&gt;0.4,"Moderate Risk","Safe Job"))</f>
        <v>Moderate Risk</v>
      </c>
    </row>
    <row r="2746" spans="1:24" x14ac:dyDescent="0.3">
      <c r="A2746">
        <v>9684</v>
      </c>
      <c r="B2746" t="s">
        <v>41</v>
      </c>
      <c r="C2746" t="s">
        <v>27</v>
      </c>
      <c r="D2746" t="s">
        <v>32</v>
      </c>
      <c r="E2746" s="1">
        <v>2025</v>
      </c>
      <c r="F2746" s="11">
        <v>0.48330000000000001</v>
      </c>
      <c r="G2746">
        <v>56.91</v>
      </c>
      <c r="H2746">
        <v>55.13</v>
      </c>
      <c r="I2746" s="2">
        <v>38028.480000000003</v>
      </c>
      <c r="J2746" s="2">
        <v>39956.1</v>
      </c>
      <c r="K2746" s="2">
        <f>Table1[[#This Row],[Salary_after]]-Table1[[#This Row],[Salary_before]]</f>
        <v>1927.6199999999953</v>
      </c>
      <c r="L2746" s="11">
        <v>5.0700000000000002E-2</v>
      </c>
      <c r="M2746" s="11">
        <v>-4.2099999999999999E-2</v>
      </c>
      <c r="N2746">
        <v>84.18</v>
      </c>
      <c r="O2746">
        <v>84.41</v>
      </c>
      <c r="P2746">
        <v>3</v>
      </c>
      <c r="Q2746" t="s">
        <v>25</v>
      </c>
      <c r="R2746">
        <v>51.73</v>
      </c>
      <c r="S2746">
        <v>5.07</v>
      </c>
      <c r="T2746" s="4">
        <v>37.392000000000003</v>
      </c>
      <c r="U2746" s="4">
        <v>40.795352999999999</v>
      </c>
      <c r="V2746" t="str">
        <f>IF(Table1[[#This Row],[ai_disruption_intensity]]&gt;70,"High",
IF(Table1[[#This Row],[ai_disruption_intensity]]&gt;40,"Medium","Low"))</f>
        <v>Medium</v>
      </c>
      <c r="W2746" t="str">
        <f>IF(Table1[[#This Row],[skill_gap_index]]&gt;70,"Large Gap",
IF(Table1[[#This Row],[skill_gap_index]]&gt;40,"Medium Gap","Small Gap"))</f>
        <v>Medium Gap</v>
      </c>
      <c r="X2746" s="3" t="str">
        <f>IF(Table1[[#This Row],[automation_risk_percent]]&gt;0.7,"Highly Automatable",
IF(Table1[[#This Row],[automation_risk_percent]]&gt;0.4,"Moderate Risk","Safe Job"))</f>
        <v>Moderate Risk</v>
      </c>
    </row>
    <row r="2747" spans="1:24" x14ac:dyDescent="0.3">
      <c r="A2747">
        <v>9687</v>
      </c>
      <c r="B2747" t="s">
        <v>29</v>
      </c>
      <c r="C2747" t="s">
        <v>19</v>
      </c>
      <c r="D2747" t="s">
        <v>28</v>
      </c>
      <c r="E2747" s="1">
        <v>2025</v>
      </c>
      <c r="F2747" s="11">
        <v>0.67930000000000001</v>
      </c>
      <c r="G2747">
        <v>81.05</v>
      </c>
      <c r="H2747">
        <v>83.35</v>
      </c>
      <c r="I2747" s="2">
        <v>73519.839999999997</v>
      </c>
      <c r="J2747" s="2">
        <v>76074.710000000006</v>
      </c>
      <c r="K2747" s="2">
        <f>Table1[[#This Row],[Salary_after]]-Table1[[#This Row],[Salary_before]]</f>
        <v>2554.8700000000099</v>
      </c>
      <c r="L2747" s="11">
        <v>3.4799999999999998E-2</v>
      </c>
      <c r="M2747" s="11">
        <v>3.8800000000000001E-2</v>
      </c>
      <c r="N2747">
        <v>89.98</v>
      </c>
      <c r="O2747">
        <v>2.15</v>
      </c>
      <c r="P2747">
        <v>1</v>
      </c>
      <c r="Q2747" t="s">
        <v>37</v>
      </c>
      <c r="R2747">
        <v>75.64</v>
      </c>
      <c r="S2747">
        <v>3.48</v>
      </c>
      <c r="T2747" s="4">
        <v>53.220999999999997</v>
      </c>
      <c r="U2747" s="4">
        <v>1.4604949999999901</v>
      </c>
      <c r="V2747" t="str">
        <f>IF(Table1[[#This Row],[ai_disruption_intensity]]&gt;70,"High",
IF(Table1[[#This Row],[ai_disruption_intensity]]&gt;40,"Medium","Low"))</f>
        <v>Low</v>
      </c>
      <c r="W2747" t="str">
        <f>IF(Table1[[#This Row],[skill_gap_index]]&gt;70,"Large Gap",
IF(Table1[[#This Row],[skill_gap_index]]&gt;40,"Medium Gap","Small Gap"))</f>
        <v>Large Gap</v>
      </c>
      <c r="X2747" s="3" t="str">
        <f>IF(Table1[[#This Row],[automation_risk_percent]]&gt;0.7,"Highly Automatable",
IF(Table1[[#This Row],[automation_risk_percent]]&gt;0.4,"Moderate Risk","Safe Job"))</f>
        <v>Moderate Risk</v>
      </c>
    </row>
    <row r="2748" spans="1:24" x14ac:dyDescent="0.3">
      <c r="A2748">
        <v>9690</v>
      </c>
      <c r="B2748" t="s">
        <v>29</v>
      </c>
      <c r="C2748" t="s">
        <v>19</v>
      </c>
      <c r="D2748" t="s">
        <v>36</v>
      </c>
      <c r="E2748" s="1">
        <v>2026</v>
      </c>
      <c r="F2748" s="11">
        <v>0.88519999999999999</v>
      </c>
      <c r="G2748">
        <v>85.38</v>
      </c>
      <c r="H2748">
        <v>30.98</v>
      </c>
      <c r="I2748" s="2">
        <v>148694.82</v>
      </c>
      <c r="J2748" s="2">
        <v>172897.4</v>
      </c>
      <c r="K2748" s="2">
        <f>Table1[[#This Row],[Salary_after]]-Table1[[#This Row],[Salary_before]]</f>
        <v>24202.579999999987</v>
      </c>
      <c r="L2748" s="11">
        <v>0.1628</v>
      </c>
      <c r="M2748" s="11">
        <v>1.0500000000000001E-2</v>
      </c>
      <c r="N2748">
        <v>63.95</v>
      </c>
      <c r="O2748">
        <v>20.25</v>
      </c>
      <c r="P2748">
        <v>3</v>
      </c>
      <c r="Q2748" t="s">
        <v>37</v>
      </c>
      <c r="R2748">
        <v>59.75</v>
      </c>
      <c r="S2748">
        <v>16.28</v>
      </c>
      <c r="T2748" s="4">
        <v>49.585999999999999</v>
      </c>
      <c r="U2748" s="4">
        <v>17.9253</v>
      </c>
      <c r="V2748" t="str">
        <f>IF(Table1[[#This Row],[ai_disruption_intensity]]&gt;70,"High",
IF(Table1[[#This Row],[ai_disruption_intensity]]&gt;40,"Medium","Low"))</f>
        <v>Low</v>
      </c>
      <c r="W2748" t="str">
        <f>IF(Table1[[#This Row],[skill_gap_index]]&gt;70,"Large Gap",
IF(Table1[[#This Row],[skill_gap_index]]&gt;40,"Medium Gap","Small Gap"))</f>
        <v>Small Gap</v>
      </c>
      <c r="X2748" s="3" t="str">
        <f>IF(Table1[[#This Row],[automation_risk_percent]]&gt;0.7,"Highly Automatable",
IF(Table1[[#This Row],[automation_risk_percent]]&gt;0.4,"Moderate Risk","Safe Job"))</f>
        <v>Highly Automatable</v>
      </c>
    </row>
    <row r="2749" spans="1:24" x14ac:dyDescent="0.3">
      <c r="A2749">
        <v>9691</v>
      </c>
      <c r="B2749" t="s">
        <v>45</v>
      </c>
      <c r="C2749" t="s">
        <v>38</v>
      </c>
      <c r="D2749" t="s">
        <v>42</v>
      </c>
      <c r="E2749" s="1">
        <v>2025</v>
      </c>
      <c r="F2749" s="11">
        <v>0.45020000000000004</v>
      </c>
      <c r="G2749">
        <v>37.409999999999997</v>
      </c>
      <c r="H2749">
        <v>70.87</v>
      </c>
      <c r="I2749" s="2">
        <v>92272.98</v>
      </c>
      <c r="J2749" s="2">
        <v>95252.51</v>
      </c>
      <c r="K2749" s="2">
        <f>Table1[[#This Row],[Salary_after]]-Table1[[#This Row],[Salary_before]]</f>
        <v>2979.5299999999988</v>
      </c>
      <c r="L2749" s="11">
        <v>3.2300000000000002E-2</v>
      </c>
      <c r="M2749" s="11">
        <v>4.3E-3</v>
      </c>
      <c r="N2749">
        <v>82.41</v>
      </c>
      <c r="O2749">
        <v>73.38</v>
      </c>
      <c r="P2749">
        <v>2</v>
      </c>
      <c r="Q2749" t="s">
        <v>25</v>
      </c>
      <c r="R2749">
        <v>57.945</v>
      </c>
      <c r="S2749">
        <v>3.23</v>
      </c>
      <c r="T2749" s="4">
        <v>40.238</v>
      </c>
      <c r="U2749" s="4">
        <v>33.035675999999903</v>
      </c>
      <c r="V2749" t="str">
        <f>IF(Table1[[#This Row],[ai_disruption_intensity]]&gt;70,"High",
IF(Table1[[#This Row],[ai_disruption_intensity]]&gt;40,"Medium","Low"))</f>
        <v>Low</v>
      </c>
      <c r="W2749" t="str">
        <f>IF(Table1[[#This Row],[skill_gap_index]]&gt;70,"Large Gap",
IF(Table1[[#This Row],[skill_gap_index]]&gt;40,"Medium Gap","Small Gap"))</f>
        <v>Large Gap</v>
      </c>
      <c r="X2749" s="3" t="str">
        <f>IF(Table1[[#This Row],[automation_risk_percent]]&gt;0.7,"Highly Automatable",
IF(Table1[[#This Row],[automation_risk_percent]]&gt;0.4,"Moderate Risk","Safe Job"))</f>
        <v>Moderate Risk</v>
      </c>
    </row>
    <row r="2750" spans="1:24" x14ac:dyDescent="0.3">
      <c r="A2750">
        <v>9693</v>
      </c>
      <c r="B2750" t="s">
        <v>26</v>
      </c>
      <c r="C2750" t="s">
        <v>33</v>
      </c>
      <c r="D2750" t="s">
        <v>36</v>
      </c>
      <c r="E2750" s="1">
        <v>2025</v>
      </c>
      <c r="F2750" s="11">
        <v>0.50840000000000007</v>
      </c>
      <c r="G2750">
        <v>49.66</v>
      </c>
      <c r="H2750">
        <v>46.17</v>
      </c>
      <c r="I2750" s="2">
        <v>33513.550000000003</v>
      </c>
      <c r="J2750" s="2">
        <v>31956.75</v>
      </c>
      <c r="K2750" s="2">
        <f>Table1[[#This Row],[Salary_after]]-Table1[[#This Row],[Salary_before]]</f>
        <v>-1556.8000000000029</v>
      </c>
      <c r="L2750" s="11">
        <v>-4.6500000000000007E-2</v>
      </c>
      <c r="M2750" s="11">
        <v>-8.1000000000000013E-3</v>
      </c>
      <c r="N2750">
        <v>99.13</v>
      </c>
      <c r="O2750">
        <v>76.31</v>
      </c>
      <c r="P2750">
        <v>4</v>
      </c>
      <c r="Q2750" t="s">
        <v>25</v>
      </c>
      <c r="R2750">
        <v>48.505000000000003</v>
      </c>
      <c r="S2750">
        <v>4.6500000000000004</v>
      </c>
      <c r="T2750" s="4">
        <v>35.582000000000001</v>
      </c>
      <c r="U2750" s="4">
        <v>38.796004000000003</v>
      </c>
      <c r="V2750" t="str">
        <f>IF(Table1[[#This Row],[ai_disruption_intensity]]&gt;70,"High",
IF(Table1[[#This Row],[ai_disruption_intensity]]&gt;40,"Medium","Low"))</f>
        <v>Low</v>
      </c>
      <c r="W2750" t="str">
        <f>IF(Table1[[#This Row],[skill_gap_index]]&gt;70,"Large Gap",
IF(Table1[[#This Row],[skill_gap_index]]&gt;40,"Medium Gap","Small Gap"))</f>
        <v>Medium Gap</v>
      </c>
      <c r="X2750" s="3" t="str">
        <f>IF(Table1[[#This Row],[automation_risk_percent]]&gt;0.7,"Highly Automatable",
IF(Table1[[#This Row],[automation_risk_percent]]&gt;0.4,"Moderate Risk","Safe Job"))</f>
        <v>Moderate Risk</v>
      </c>
    </row>
    <row r="2751" spans="1:24" x14ac:dyDescent="0.3">
      <c r="A2751">
        <v>9697</v>
      </c>
      <c r="B2751" t="s">
        <v>41</v>
      </c>
      <c r="C2751" t="s">
        <v>27</v>
      </c>
      <c r="D2751" t="s">
        <v>47</v>
      </c>
      <c r="E2751" s="1">
        <v>2025</v>
      </c>
      <c r="F2751" s="11">
        <v>0.85599999999999998</v>
      </c>
      <c r="G2751">
        <v>74.34</v>
      </c>
      <c r="H2751">
        <v>82.53</v>
      </c>
      <c r="I2751" s="2">
        <v>71640.850000000006</v>
      </c>
      <c r="J2751" s="2">
        <v>70439.94</v>
      </c>
      <c r="K2751" s="2">
        <f>Table1[[#This Row],[Salary_after]]-Table1[[#This Row],[Salary_before]]</f>
        <v>-1200.9100000000035</v>
      </c>
      <c r="L2751" s="11">
        <v>-1.6799999999999999E-2</v>
      </c>
      <c r="M2751" s="11">
        <v>8.6400000000000005E-2</v>
      </c>
      <c r="N2751">
        <v>18.05</v>
      </c>
      <c r="O2751">
        <v>85.29</v>
      </c>
      <c r="P2751">
        <v>2</v>
      </c>
      <c r="Q2751" t="s">
        <v>37</v>
      </c>
      <c r="R2751">
        <v>84.064999999999998</v>
      </c>
      <c r="S2751">
        <v>1.68</v>
      </c>
      <c r="T2751" s="4">
        <v>59.503</v>
      </c>
      <c r="U2751" s="4">
        <v>73.008240000000001</v>
      </c>
      <c r="V2751" t="str">
        <f>IF(Table1[[#This Row],[ai_disruption_intensity]]&gt;70,"High",
IF(Table1[[#This Row],[ai_disruption_intensity]]&gt;40,"Medium","Low"))</f>
        <v>High</v>
      </c>
      <c r="W2751" t="str">
        <f>IF(Table1[[#This Row],[skill_gap_index]]&gt;70,"Large Gap",
IF(Table1[[#This Row],[skill_gap_index]]&gt;40,"Medium Gap","Small Gap"))</f>
        <v>Large Gap</v>
      </c>
      <c r="X2751" s="3" t="str">
        <f>IF(Table1[[#This Row],[automation_risk_percent]]&gt;0.7,"Highly Automatable",
IF(Table1[[#This Row],[automation_risk_percent]]&gt;0.4,"Moderate Risk","Safe Job"))</f>
        <v>Highly Automatable</v>
      </c>
    </row>
    <row r="2752" spans="1:24" x14ac:dyDescent="0.3">
      <c r="A2752">
        <v>9701</v>
      </c>
      <c r="B2752" t="s">
        <v>29</v>
      </c>
      <c r="C2752" t="s">
        <v>40</v>
      </c>
      <c r="D2752" t="s">
        <v>24</v>
      </c>
      <c r="E2752" s="1">
        <v>2025</v>
      </c>
      <c r="F2752" s="11">
        <v>0.65959999999999996</v>
      </c>
      <c r="G2752">
        <v>58.5</v>
      </c>
      <c r="H2752">
        <v>73.98</v>
      </c>
      <c r="I2752" s="2">
        <v>38712.17</v>
      </c>
      <c r="J2752" s="2">
        <v>31599.03</v>
      </c>
      <c r="K2752" s="2">
        <f>Table1[[#This Row],[Salary_after]]-Table1[[#This Row],[Salary_before]]</f>
        <v>-7113.1399999999994</v>
      </c>
      <c r="L2752" s="11">
        <v>-0.1837</v>
      </c>
      <c r="M2752" s="11">
        <v>9.7699999999999995E-2</v>
      </c>
      <c r="N2752">
        <v>49.25</v>
      </c>
      <c r="O2752">
        <v>89.35</v>
      </c>
      <c r="P2752">
        <v>1</v>
      </c>
      <c r="Q2752" t="s">
        <v>37</v>
      </c>
      <c r="R2752">
        <v>69.97</v>
      </c>
      <c r="S2752">
        <v>18.37</v>
      </c>
      <c r="T2752" s="4">
        <v>54.088999999999999</v>
      </c>
      <c r="U2752" s="4">
        <v>58.9352599999999</v>
      </c>
      <c r="V2752" t="str">
        <f>IF(Table1[[#This Row],[ai_disruption_intensity]]&gt;70,"High",
IF(Table1[[#This Row],[ai_disruption_intensity]]&gt;40,"Medium","Low"))</f>
        <v>Medium</v>
      </c>
      <c r="W2752" t="str">
        <f>IF(Table1[[#This Row],[skill_gap_index]]&gt;70,"Large Gap",
IF(Table1[[#This Row],[skill_gap_index]]&gt;40,"Medium Gap","Small Gap"))</f>
        <v>Large Gap</v>
      </c>
      <c r="X2752" s="3" t="str">
        <f>IF(Table1[[#This Row],[automation_risk_percent]]&gt;0.7,"Highly Automatable",
IF(Table1[[#This Row],[automation_risk_percent]]&gt;0.4,"Moderate Risk","Safe Job"))</f>
        <v>Moderate Risk</v>
      </c>
    </row>
    <row r="2753" spans="1:24" x14ac:dyDescent="0.3">
      <c r="A2753">
        <v>9702</v>
      </c>
      <c r="B2753" t="s">
        <v>22</v>
      </c>
      <c r="C2753" t="s">
        <v>27</v>
      </c>
      <c r="D2753" t="s">
        <v>31</v>
      </c>
      <c r="E2753" s="1">
        <v>2026</v>
      </c>
      <c r="F2753" s="11">
        <v>0.56899999999999995</v>
      </c>
      <c r="G2753">
        <v>48.91</v>
      </c>
      <c r="H2753">
        <v>88.63</v>
      </c>
      <c r="I2753" s="2">
        <v>74740.02</v>
      </c>
      <c r="J2753" s="2">
        <v>74895.009999999995</v>
      </c>
      <c r="K2753" s="2">
        <f>Table1[[#This Row],[Salary_after]]-Table1[[#This Row],[Salary_before]]</f>
        <v>154.98999999999069</v>
      </c>
      <c r="L2753" s="11">
        <v>2.0999999999999999E-3</v>
      </c>
      <c r="M2753" s="11">
        <v>-0.16420000000000001</v>
      </c>
      <c r="N2753">
        <v>28.48</v>
      </c>
      <c r="O2753">
        <v>91.42</v>
      </c>
      <c r="P2753">
        <v>4</v>
      </c>
      <c r="Q2753" t="s">
        <v>25</v>
      </c>
      <c r="R2753">
        <v>72.765000000000001</v>
      </c>
      <c r="S2753">
        <v>0.21</v>
      </c>
      <c r="T2753" s="4">
        <v>49.411999999999999</v>
      </c>
      <c r="U2753" s="4">
        <v>52.017979999999902</v>
      </c>
      <c r="V2753" t="str">
        <f>IF(Table1[[#This Row],[ai_disruption_intensity]]&gt;70,"High",
IF(Table1[[#This Row],[ai_disruption_intensity]]&gt;40,"Medium","Low"))</f>
        <v>Medium</v>
      </c>
      <c r="W2753" t="str">
        <f>IF(Table1[[#This Row],[skill_gap_index]]&gt;70,"Large Gap",
IF(Table1[[#This Row],[skill_gap_index]]&gt;40,"Medium Gap","Small Gap"))</f>
        <v>Large Gap</v>
      </c>
      <c r="X2753" s="3" t="str">
        <f>IF(Table1[[#This Row],[automation_risk_percent]]&gt;0.7,"Highly Automatable",
IF(Table1[[#This Row],[automation_risk_percent]]&gt;0.4,"Moderate Risk","Safe Job"))</f>
        <v>Moderate Risk</v>
      </c>
    </row>
    <row r="2754" spans="1:24" x14ac:dyDescent="0.3">
      <c r="A2754">
        <v>9706</v>
      </c>
      <c r="B2754" t="s">
        <v>29</v>
      </c>
      <c r="C2754" t="s">
        <v>33</v>
      </c>
      <c r="D2754" t="s">
        <v>47</v>
      </c>
      <c r="E2754" s="1">
        <v>2025</v>
      </c>
      <c r="F2754" s="11">
        <v>0.84760000000000002</v>
      </c>
      <c r="G2754">
        <v>87.15</v>
      </c>
      <c r="H2754">
        <v>98.56</v>
      </c>
      <c r="I2754" s="2">
        <v>47103.98</v>
      </c>
      <c r="J2754" s="2">
        <v>40614.18</v>
      </c>
      <c r="K2754" s="2">
        <f>Table1[[#This Row],[Salary_after]]-Table1[[#This Row],[Salary_before]]</f>
        <v>-6489.8000000000029</v>
      </c>
      <c r="L2754" s="11">
        <v>-0.13780000000000001</v>
      </c>
      <c r="M2754" s="11">
        <v>2.29E-2</v>
      </c>
      <c r="N2754">
        <v>42.86</v>
      </c>
      <c r="O2754">
        <v>78.98</v>
      </c>
      <c r="P2754">
        <v>5</v>
      </c>
      <c r="Q2754" t="s">
        <v>37</v>
      </c>
      <c r="R2754">
        <v>91.66</v>
      </c>
      <c r="S2754">
        <v>13.78</v>
      </c>
      <c r="T2754" s="4">
        <v>67.605999999999995</v>
      </c>
      <c r="U2754" s="4">
        <v>66.943448000000004</v>
      </c>
      <c r="V2754" t="str">
        <f>IF(Table1[[#This Row],[ai_disruption_intensity]]&gt;70,"High",
IF(Table1[[#This Row],[ai_disruption_intensity]]&gt;40,"Medium","Low"))</f>
        <v>Medium</v>
      </c>
      <c r="W2754" t="str">
        <f>IF(Table1[[#This Row],[skill_gap_index]]&gt;70,"Large Gap",
IF(Table1[[#This Row],[skill_gap_index]]&gt;40,"Medium Gap","Small Gap"))</f>
        <v>Large Gap</v>
      </c>
      <c r="X2754" s="3" t="str">
        <f>IF(Table1[[#This Row],[automation_risk_percent]]&gt;0.7,"Highly Automatable",
IF(Table1[[#This Row],[automation_risk_percent]]&gt;0.4,"Moderate Risk","Safe Job"))</f>
        <v>Highly Automatable</v>
      </c>
    </row>
    <row r="2755" spans="1:24" x14ac:dyDescent="0.3">
      <c r="A2755">
        <v>9722</v>
      </c>
      <c r="B2755" t="s">
        <v>22</v>
      </c>
      <c r="C2755" t="s">
        <v>38</v>
      </c>
      <c r="D2755" t="s">
        <v>28</v>
      </c>
      <c r="E2755" s="1">
        <v>2025</v>
      </c>
      <c r="F2755" s="11">
        <v>0.14480000000000001</v>
      </c>
      <c r="G2755">
        <v>12.1</v>
      </c>
      <c r="H2755">
        <v>97.63</v>
      </c>
      <c r="I2755" s="2">
        <v>30722.17</v>
      </c>
      <c r="J2755" s="2">
        <v>32839.72</v>
      </c>
      <c r="K2755" s="2">
        <f>Table1[[#This Row],[Salary_after]]-Table1[[#This Row],[Salary_before]]</f>
        <v>2117.5500000000029</v>
      </c>
      <c r="L2755" s="11">
        <v>6.8900000000000003E-2</v>
      </c>
      <c r="M2755" s="11">
        <v>8.3800000000000013E-2</v>
      </c>
      <c r="N2755">
        <v>45.43</v>
      </c>
      <c r="O2755">
        <v>70.81</v>
      </c>
      <c r="P2755">
        <v>4</v>
      </c>
      <c r="Q2755" t="s">
        <v>21</v>
      </c>
      <c r="R2755">
        <v>56.055</v>
      </c>
      <c r="S2755">
        <v>6.89</v>
      </c>
      <c r="T2755" s="4">
        <v>37.147999999999897</v>
      </c>
      <c r="U2755" s="4">
        <v>10.253288</v>
      </c>
      <c r="V2755" t="str">
        <f>IF(Table1[[#This Row],[ai_disruption_intensity]]&gt;70,"High",
IF(Table1[[#This Row],[ai_disruption_intensity]]&gt;40,"Medium","Low"))</f>
        <v>Low</v>
      </c>
      <c r="W2755" t="str">
        <f>IF(Table1[[#This Row],[skill_gap_index]]&gt;70,"Large Gap",
IF(Table1[[#This Row],[skill_gap_index]]&gt;40,"Medium Gap","Small Gap"))</f>
        <v>Large Gap</v>
      </c>
      <c r="X2755" s="3" t="str">
        <f>IF(Table1[[#This Row],[automation_risk_percent]]&gt;0.7,"Highly Automatable",
IF(Table1[[#This Row],[automation_risk_percent]]&gt;0.4,"Moderate Risk","Safe Job"))</f>
        <v>Safe Job</v>
      </c>
    </row>
    <row r="2756" spans="1:24" x14ac:dyDescent="0.3">
      <c r="A2756">
        <v>9726</v>
      </c>
      <c r="B2756" t="s">
        <v>41</v>
      </c>
      <c r="C2756" t="s">
        <v>30</v>
      </c>
      <c r="D2756" t="s">
        <v>35</v>
      </c>
      <c r="E2756" s="1">
        <v>2026</v>
      </c>
      <c r="F2756" s="11">
        <v>0.94930000000000003</v>
      </c>
      <c r="G2756">
        <v>107.79</v>
      </c>
      <c r="H2756">
        <v>97.42</v>
      </c>
      <c r="I2756" s="2">
        <v>141127.35999999999</v>
      </c>
      <c r="J2756" s="2">
        <v>133728.25</v>
      </c>
      <c r="K2756" s="2">
        <f>Table1[[#This Row],[Salary_after]]-Table1[[#This Row],[Salary_before]]</f>
        <v>-7399.109999999986</v>
      </c>
      <c r="L2756" s="11">
        <v>-5.2400000000000002E-2</v>
      </c>
      <c r="M2756" s="11">
        <v>0.1517</v>
      </c>
      <c r="N2756">
        <v>75.69</v>
      </c>
      <c r="O2756">
        <v>39.15</v>
      </c>
      <c r="P2756">
        <v>5</v>
      </c>
      <c r="Q2756" t="s">
        <v>37</v>
      </c>
      <c r="R2756">
        <v>96.174999999999997</v>
      </c>
      <c r="S2756">
        <v>5.24</v>
      </c>
      <c r="T2756" s="4">
        <v>68.77</v>
      </c>
      <c r="U2756" s="4">
        <v>37.165095000000001</v>
      </c>
      <c r="V2756" t="str">
        <f>IF(Table1[[#This Row],[ai_disruption_intensity]]&gt;70,"High",
IF(Table1[[#This Row],[ai_disruption_intensity]]&gt;40,"Medium","Low"))</f>
        <v>Low</v>
      </c>
      <c r="W2756" t="str">
        <f>IF(Table1[[#This Row],[skill_gap_index]]&gt;70,"Large Gap",
IF(Table1[[#This Row],[skill_gap_index]]&gt;40,"Medium Gap","Small Gap"))</f>
        <v>Large Gap</v>
      </c>
      <c r="X2756" s="3" t="str">
        <f>IF(Table1[[#This Row],[automation_risk_percent]]&gt;0.7,"Highly Automatable",
IF(Table1[[#This Row],[automation_risk_percent]]&gt;0.4,"Moderate Risk","Safe Job"))</f>
        <v>Highly Automatable</v>
      </c>
    </row>
    <row r="2757" spans="1:24" x14ac:dyDescent="0.3">
      <c r="A2757">
        <v>9736</v>
      </c>
      <c r="B2757" t="s">
        <v>22</v>
      </c>
      <c r="C2757" t="s">
        <v>27</v>
      </c>
      <c r="D2757" t="s">
        <v>20</v>
      </c>
      <c r="E2757" s="1">
        <v>2025</v>
      </c>
      <c r="F2757" s="11">
        <v>0.46399999999999997</v>
      </c>
      <c r="G2757">
        <v>37.799999999999997</v>
      </c>
      <c r="H2757">
        <v>29.79</v>
      </c>
      <c r="I2757" s="2">
        <v>113072.5</v>
      </c>
      <c r="J2757" s="2">
        <v>120270.05</v>
      </c>
      <c r="K2757" s="2">
        <f>Table1[[#This Row],[Salary_after]]-Table1[[#This Row],[Salary_before]]</f>
        <v>7197.5500000000029</v>
      </c>
      <c r="L2757" s="11">
        <v>6.3700000000000007E-2</v>
      </c>
      <c r="M2757" s="11">
        <v>-0.1048</v>
      </c>
      <c r="N2757">
        <v>64.349999999999994</v>
      </c>
      <c r="O2757">
        <v>30.51</v>
      </c>
      <c r="P2757">
        <v>3</v>
      </c>
      <c r="Q2757" t="s">
        <v>25</v>
      </c>
      <c r="R2757">
        <v>38.094999999999999</v>
      </c>
      <c r="S2757">
        <v>6.37</v>
      </c>
      <c r="T2757" s="4">
        <v>29.408000000000001</v>
      </c>
      <c r="U2757" s="4">
        <v>14.156639999999999</v>
      </c>
      <c r="V2757" t="str">
        <f>IF(Table1[[#This Row],[ai_disruption_intensity]]&gt;70,"High",
IF(Table1[[#This Row],[ai_disruption_intensity]]&gt;40,"Medium","Low"))</f>
        <v>Low</v>
      </c>
      <c r="W2757" t="str">
        <f>IF(Table1[[#This Row],[skill_gap_index]]&gt;70,"Large Gap",
IF(Table1[[#This Row],[skill_gap_index]]&gt;40,"Medium Gap","Small Gap"))</f>
        <v>Small Gap</v>
      </c>
      <c r="X2757" s="3" t="str">
        <f>IF(Table1[[#This Row],[automation_risk_percent]]&gt;0.7,"Highly Automatable",
IF(Table1[[#This Row],[automation_risk_percent]]&gt;0.4,"Moderate Risk","Safe Job"))</f>
        <v>Moderate Risk</v>
      </c>
    </row>
    <row r="2758" spans="1:24" x14ac:dyDescent="0.3">
      <c r="A2758">
        <v>9737</v>
      </c>
      <c r="B2758" t="s">
        <v>44</v>
      </c>
      <c r="C2758" t="s">
        <v>27</v>
      </c>
      <c r="D2758" t="s">
        <v>47</v>
      </c>
      <c r="E2758" s="1">
        <v>2025</v>
      </c>
      <c r="F2758" s="11">
        <v>0.50009999999999999</v>
      </c>
      <c r="G2758">
        <v>42.29</v>
      </c>
      <c r="H2758">
        <v>72.7</v>
      </c>
      <c r="I2758" s="2">
        <v>32703.32</v>
      </c>
      <c r="J2758" s="2">
        <v>28850.46</v>
      </c>
      <c r="K2758" s="2">
        <f>Table1[[#This Row],[Salary_after]]-Table1[[#This Row],[Salary_before]]</f>
        <v>-3852.8600000000006</v>
      </c>
      <c r="L2758" s="11">
        <v>-0.11779999999999999</v>
      </c>
      <c r="M2758" s="11">
        <v>7.8100000000000003E-2</v>
      </c>
      <c r="N2758">
        <v>64.150000000000006</v>
      </c>
      <c r="O2758">
        <v>36.979999999999997</v>
      </c>
      <c r="P2758">
        <v>5</v>
      </c>
      <c r="Q2758" t="s">
        <v>25</v>
      </c>
      <c r="R2758">
        <v>61.354999999999997</v>
      </c>
      <c r="S2758">
        <v>11.78</v>
      </c>
      <c r="T2758" s="4">
        <v>45.347999999999999</v>
      </c>
      <c r="U2758" s="4">
        <v>18.493697999999998</v>
      </c>
      <c r="V2758" t="str">
        <f>IF(Table1[[#This Row],[ai_disruption_intensity]]&gt;70,"High",
IF(Table1[[#This Row],[ai_disruption_intensity]]&gt;40,"Medium","Low"))</f>
        <v>Low</v>
      </c>
      <c r="W2758" t="str">
        <f>IF(Table1[[#This Row],[skill_gap_index]]&gt;70,"Large Gap",
IF(Table1[[#This Row],[skill_gap_index]]&gt;40,"Medium Gap","Small Gap"))</f>
        <v>Large Gap</v>
      </c>
      <c r="X2758" s="3" t="str">
        <f>IF(Table1[[#This Row],[automation_risk_percent]]&gt;0.7,"Highly Automatable",
IF(Table1[[#This Row],[automation_risk_percent]]&gt;0.4,"Moderate Risk","Safe Job"))</f>
        <v>Moderate Risk</v>
      </c>
    </row>
    <row r="2759" spans="1:24" x14ac:dyDescent="0.3">
      <c r="A2759">
        <v>9741</v>
      </c>
      <c r="B2759" t="s">
        <v>46</v>
      </c>
      <c r="C2759" t="s">
        <v>38</v>
      </c>
      <c r="D2759" t="s">
        <v>31</v>
      </c>
      <c r="E2759" s="1">
        <v>2026</v>
      </c>
      <c r="F2759" s="11">
        <v>0.32549999999999996</v>
      </c>
      <c r="G2759">
        <v>35.590000000000003</v>
      </c>
      <c r="H2759">
        <v>85.61</v>
      </c>
      <c r="I2759" s="2">
        <v>70169.259999999995</v>
      </c>
      <c r="J2759" s="2">
        <v>69806.44</v>
      </c>
      <c r="K2759" s="2">
        <f>Table1[[#This Row],[Salary_after]]-Table1[[#This Row],[Salary_before]]</f>
        <v>-362.81999999999243</v>
      </c>
      <c r="L2759" s="11">
        <v>-5.1999999999999998E-3</v>
      </c>
      <c r="M2759" s="11">
        <v>0.1217</v>
      </c>
      <c r="N2759">
        <v>94.3</v>
      </c>
      <c r="O2759">
        <v>23.06</v>
      </c>
      <c r="P2759">
        <v>1</v>
      </c>
      <c r="Q2759" t="s">
        <v>25</v>
      </c>
      <c r="R2759">
        <v>59.08</v>
      </c>
      <c r="S2759">
        <v>0.52</v>
      </c>
      <c r="T2759" s="4">
        <v>38.859000000000002</v>
      </c>
      <c r="U2759" s="4">
        <v>7.5060299999999902</v>
      </c>
      <c r="V2759" t="str">
        <f>IF(Table1[[#This Row],[ai_disruption_intensity]]&gt;70,"High",
IF(Table1[[#This Row],[ai_disruption_intensity]]&gt;40,"Medium","Low"))</f>
        <v>Low</v>
      </c>
      <c r="W2759" t="str">
        <f>IF(Table1[[#This Row],[skill_gap_index]]&gt;70,"Large Gap",
IF(Table1[[#This Row],[skill_gap_index]]&gt;40,"Medium Gap","Small Gap"))</f>
        <v>Large Gap</v>
      </c>
      <c r="X2759" s="3" t="str">
        <f>IF(Table1[[#This Row],[automation_risk_percent]]&gt;0.7,"Highly Automatable",
IF(Table1[[#This Row],[automation_risk_percent]]&gt;0.4,"Moderate Risk","Safe Job"))</f>
        <v>Safe Job</v>
      </c>
    </row>
    <row r="2760" spans="1:24" x14ac:dyDescent="0.3">
      <c r="A2760">
        <v>9742</v>
      </c>
      <c r="B2760" t="s">
        <v>41</v>
      </c>
      <c r="C2760" t="s">
        <v>30</v>
      </c>
      <c r="D2760" t="s">
        <v>24</v>
      </c>
      <c r="E2760" s="1">
        <v>2025</v>
      </c>
      <c r="F2760" s="11">
        <v>0.878</v>
      </c>
      <c r="G2760">
        <v>81.95</v>
      </c>
      <c r="H2760">
        <v>75.08</v>
      </c>
      <c r="I2760" s="2">
        <v>146181.92000000001</v>
      </c>
      <c r="J2760" s="2">
        <v>145064.5</v>
      </c>
      <c r="K2760" s="2">
        <f>Table1[[#This Row],[Salary_after]]-Table1[[#This Row],[Salary_before]]</f>
        <v>-1117.4200000000128</v>
      </c>
      <c r="L2760" s="11">
        <v>-7.6E-3</v>
      </c>
      <c r="M2760" s="11">
        <v>0.13669999999999999</v>
      </c>
      <c r="N2760">
        <v>41.04</v>
      </c>
      <c r="O2760">
        <v>61.26</v>
      </c>
      <c r="P2760">
        <v>3</v>
      </c>
      <c r="Q2760" t="s">
        <v>37</v>
      </c>
      <c r="R2760">
        <v>81.44</v>
      </c>
      <c r="S2760">
        <v>0.76</v>
      </c>
      <c r="T2760" s="4">
        <v>57.8719999999999</v>
      </c>
      <c r="U2760" s="4">
        <v>53.786279999999998</v>
      </c>
      <c r="V2760" t="str">
        <f>IF(Table1[[#This Row],[ai_disruption_intensity]]&gt;70,"High",
IF(Table1[[#This Row],[ai_disruption_intensity]]&gt;40,"Medium","Low"))</f>
        <v>Medium</v>
      </c>
      <c r="W2760" t="str">
        <f>IF(Table1[[#This Row],[skill_gap_index]]&gt;70,"Large Gap",
IF(Table1[[#This Row],[skill_gap_index]]&gt;40,"Medium Gap","Small Gap"))</f>
        <v>Large Gap</v>
      </c>
      <c r="X2760" s="3" t="str">
        <f>IF(Table1[[#This Row],[automation_risk_percent]]&gt;0.7,"Highly Automatable",
IF(Table1[[#This Row],[automation_risk_percent]]&gt;0.4,"Moderate Risk","Safe Job"))</f>
        <v>Highly Automatable</v>
      </c>
    </row>
    <row r="2761" spans="1:24" x14ac:dyDescent="0.3">
      <c r="A2761">
        <v>9750</v>
      </c>
      <c r="B2761" t="s">
        <v>18</v>
      </c>
      <c r="C2761" t="s">
        <v>23</v>
      </c>
      <c r="D2761" t="s">
        <v>24</v>
      </c>
      <c r="E2761" s="1">
        <v>2025</v>
      </c>
      <c r="F2761" s="11">
        <v>0.27379999999999999</v>
      </c>
      <c r="G2761">
        <v>22.63</v>
      </c>
      <c r="H2761">
        <v>57.33</v>
      </c>
      <c r="I2761" s="2">
        <v>78750.039999999994</v>
      </c>
      <c r="J2761" s="2">
        <v>82796.17</v>
      </c>
      <c r="K2761" s="2">
        <f>Table1[[#This Row],[Salary_after]]-Table1[[#This Row],[Salary_before]]</f>
        <v>4046.1300000000047</v>
      </c>
      <c r="L2761" s="11">
        <v>5.1399999999999994E-2</v>
      </c>
      <c r="M2761" s="11">
        <v>-5.7300000000000004E-2</v>
      </c>
      <c r="N2761">
        <v>24.43</v>
      </c>
      <c r="O2761">
        <v>35.15</v>
      </c>
      <c r="P2761">
        <v>5</v>
      </c>
      <c r="Q2761" t="s">
        <v>21</v>
      </c>
      <c r="R2761">
        <v>42.354999999999997</v>
      </c>
      <c r="S2761">
        <v>5.14</v>
      </c>
      <c r="T2761" s="4">
        <v>29.692999999999898</v>
      </c>
      <c r="U2761" s="4">
        <v>9.6240699999999997</v>
      </c>
      <c r="V2761" t="str">
        <f>IF(Table1[[#This Row],[ai_disruption_intensity]]&gt;70,"High",
IF(Table1[[#This Row],[ai_disruption_intensity]]&gt;40,"Medium","Low"))</f>
        <v>Low</v>
      </c>
      <c r="W2761" t="str">
        <f>IF(Table1[[#This Row],[skill_gap_index]]&gt;70,"Large Gap",
IF(Table1[[#This Row],[skill_gap_index]]&gt;40,"Medium Gap","Small Gap"))</f>
        <v>Medium Gap</v>
      </c>
      <c r="X2761" s="3" t="str">
        <f>IF(Table1[[#This Row],[automation_risk_percent]]&gt;0.7,"Highly Automatable",
IF(Table1[[#This Row],[automation_risk_percent]]&gt;0.4,"Moderate Risk","Safe Job"))</f>
        <v>Safe Job</v>
      </c>
    </row>
    <row r="2762" spans="1:24" x14ac:dyDescent="0.3">
      <c r="A2762">
        <v>9753</v>
      </c>
      <c r="B2762" t="s">
        <v>46</v>
      </c>
      <c r="C2762" t="s">
        <v>19</v>
      </c>
      <c r="D2762" t="s">
        <v>31</v>
      </c>
      <c r="E2762" s="1">
        <v>2025</v>
      </c>
      <c r="F2762" s="11">
        <v>0.27289999999999998</v>
      </c>
      <c r="G2762">
        <v>26.68</v>
      </c>
      <c r="H2762">
        <v>37.450000000000003</v>
      </c>
      <c r="I2762" s="2">
        <v>40035.64</v>
      </c>
      <c r="J2762" s="2">
        <v>48113.51</v>
      </c>
      <c r="K2762" s="2">
        <f>Table1[[#This Row],[Salary_after]]-Table1[[#This Row],[Salary_before]]</f>
        <v>8077.8700000000026</v>
      </c>
      <c r="L2762" s="11">
        <v>0.20180000000000001</v>
      </c>
      <c r="M2762" s="11">
        <v>1.1000000000000001E-3</v>
      </c>
      <c r="N2762">
        <v>91.3</v>
      </c>
      <c r="O2762">
        <v>76.38</v>
      </c>
      <c r="P2762">
        <v>3</v>
      </c>
      <c r="Q2762" t="s">
        <v>21</v>
      </c>
      <c r="R2762">
        <v>32.369999999999997</v>
      </c>
      <c r="S2762">
        <v>20.18</v>
      </c>
      <c r="T2762" s="4">
        <v>28.204999999999998</v>
      </c>
      <c r="U2762" s="4">
        <v>20.844101999999999</v>
      </c>
      <c r="V2762" t="str">
        <f>IF(Table1[[#This Row],[ai_disruption_intensity]]&gt;70,"High",
IF(Table1[[#This Row],[ai_disruption_intensity]]&gt;40,"Medium","Low"))</f>
        <v>Low</v>
      </c>
      <c r="W2762" t="str">
        <f>IF(Table1[[#This Row],[skill_gap_index]]&gt;70,"Large Gap",
IF(Table1[[#This Row],[skill_gap_index]]&gt;40,"Medium Gap","Small Gap"))</f>
        <v>Small Gap</v>
      </c>
      <c r="X2762" s="3" t="str">
        <f>IF(Table1[[#This Row],[automation_risk_percent]]&gt;0.7,"Highly Automatable",
IF(Table1[[#This Row],[automation_risk_percent]]&gt;0.4,"Moderate Risk","Safe Job"))</f>
        <v>Safe Job</v>
      </c>
    </row>
    <row r="2763" spans="1:24" x14ac:dyDescent="0.3">
      <c r="A2763">
        <v>9754</v>
      </c>
      <c r="B2763" t="s">
        <v>39</v>
      </c>
      <c r="C2763" t="s">
        <v>27</v>
      </c>
      <c r="D2763" t="s">
        <v>28</v>
      </c>
      <c r="E2763" s="1">
        <v>2025</v>
      </c>
      <c r="F2763" s="11">
        <v>0.1555</v>
      </c>
      <c r="G2763">
        <v>13.47</v>
      </c>
      <c r="H2763">
        <v>4.4800000000000004</v>
      </c>
      <c r="I2763" s="2">
        <v>44326.75</v>
      </c>
      <c r="J2763" s="2">
        <v>37611.79</v>
      </c>
      <c r="K2763" s="2">
        <f>Table1[[#This Row],[Salary_after]]-Table1[[#This Row],[Salary_before]]</f>
        <v>-6714.9599999999991</v>
      </c>
      <c r="L2763" s="11">
        <v>-0.1515</v>
      </c>
      <c r="M2763" s="11">
        <v>3.95E-2</v>
      </c>
      <c r="N2763">
        <v>68.31</v>
      </c>
      <c r="O2763">
        <v>3.24</v>
      </c>
      <c r="P2763">
        <v>2</v>
      </c>
      <c r="Q2763" t="s">
        <v>21</v>
      </c>
      <c r="R2763">
        <v>10.015000000000001</v>
      </c>
      <c r="S2763">
        <v>15.15</v>
      </c>
      <c r="T2763" s="4">
        <v>12.109</v>
      </c>
      <c r="U2763" s="4">
        <v>0.50382000000000005</v>
      </c>
      <c r="V2763" t="str">
        <f>IF(Table1[[#This Row],[ai_disruption_intensity]]&gt;70,"High",
IF(Table1[[#This Row],[ai_disruption_intensity]]&gt;40,"Medium","Low"))</f>
        <v>Low</v>
      </c>
      <c r="W2763" t="str">
        <f>IF(Table1[[#This Row],[skill_gap_index]]&gt;70,"Large Gap",
IF(Table1[[#This Row],[skill_gap_index]]&gt;40,"Medium Gap","Small Gap"))</f>
        <v>Small Gap</v>
      </c>
      <c r="X2763" s="3" t="str">
        <f>IF(Table1[[#This Row],[automation_risk_percent]]&gt;0.7,"Highly Automatable",
IF(Table1[[#This Row],[automation_risk_percent]]&gt;0.4,"Moderate Risk","Safe Job"))</f>
        <v>Safe Job</v>
      </c>
    </row>
    <row r="2764" spans="1:24" x14ac:dyDescent="0.3">
      <c r="A2764">
        <v>9756</v>
      </c>
      <c r="B2764" t="s">
        <v>29</v>
      </c>
      <c r="C2764" t="s">
        <v>33</v>
      </c>
      <c r="D2764" t="s">
        <v>24</v>
      </c>
      <c r="E2764" s="1">
        <v>2025</v>
      </c>
      <c r="F2764" s="11">
        <v>0.54869999999999997</v>
      </c>
      <c r="G2764">
        <v>56.42</v>
      </c>
      <c r="H2764">
        <v>68.260000000000005</v>
      </c>
      <c r="I2764" s="2">
        <v>39076.47</v>
      </c>
      <c r="J2764" s="2">
        <v>36733.97</v>
      </c>
      <c r="K2764" s="2">
        <f>Table1[[#This Row],[Salary_after]]-Table1[[#This Row],[Salary_before]]</f>
        <v>-2342.5</v>
      </c>
      <c r="L2764" s="11">
        <v>-5.9900000000000002E-2</v>
      </c>
      <c r="M2764" s="11">
        <v>6.5000000000000002E-2</v>
      </c>
      <c r="N2764">
        <v>84.43</v>
      </c>
      <c r="O2764">
        <v>4.04</v>
      </c>
      <c r="P2764">
        <v>2</v>
      </c>
      <c r="Q2764" t="s">
        <v>25</v>
      </c>
      <c r="R2764">
        <v>61.564999999999998</v>
      </c>
      <c r="S2764">
        <v>5.99</v>
      </c>
      <c r="T2764" s="4">
        <v>44.222999999999999</v>
      </c>
      <c r="U2764" s="4">
        <v>2.2167479999999999</v>
      </c>
      <c r="V2764" t="str">
        <f>IF(Table1[[#This Row],[ai_disruption_intensity]]&gt;70,"High",
IF(Table1[[#This Row],[ai_disruption_intensity]]&gt;40,"Medium","Low"))</f>
        <v>Low</v>
      </c>
      <c r="W2764" t="str">
        <f>IF(Table1[[#This Row],[skill_gap_index]]&gt;70,"Large Gap",
IF(Table1[[#This Row],[skill_gap_index]]&gt;40,"Medium Gap","Small Gap"))</f>
        <v>Medium Gap</v>
      </c>
      <c r="X2764" s="3" t="str">
        <f>IF(Table1[[#This Row],[automation_risk_percent]]&gt;0.7,"Highly Automatable",
IF(Table1[[#This Row],[automation_risk_percent]]&gt;0.4,"Moderate Risk","Safe Job"))</f>
        <v>Moderate Risk</v>
      </c>
    </row>
    <row r="2765" spans="1:24" x14ac:dyDescent="0.3">
      <c r="A2765">
        <v>9757</v>
      </c>
      <c r="B2765" t="s">
        <v>18</v>
      </c>
      <c r="C2765" t="s">
        <v>40</v>
      </c>
      <c r="D2765" t="s">
        <v>42</v>
      </c>
      <c r="E2765" s="1">
        <v>2025</v>
      </c>
      <c r="F2765" s="11">
        <v>0.373</v>
      </c>
      <c r="G2765">
        <v>36.11</v>
      </c>
      <c r="H2765">
        <v>57.04</v>
      </c>
      <c r="I2765" s="2">
        <v>41453.699999999997</v>
      </c>
      <c r="J2765" s="2">
        <v>40742.559999999998</v>
      </c>
      <c r="K2765" s="2">
        <f>Table1[[#This Row],[Salary_after]]-Table1[[#This Row],[Salary_before]]</f>
        <v>-711.13999999999942</v>
      </c>
      <c r="L2765" s="11">
        <v>-1.72E-2</v>
      </c>
      <c r="M2765" s="11">
        <v>0.11359999999999999</v>
      </c>
      <c r="N2765">
        <v>45.66</v>
      </c>
      <c r="O2765">
        <v>24.31</v>
      </c>
      <c r="P2765">
        <v>3</v>
      </c>
      <c r="Q2765" t="s">
        <v>25</v>
      </c>
      <c r="R2765">
        <v>47.17</v>
      </c>
      <c r="S2765">
        <v>1.72</v>
      </c>
      <c r="T2765" s="4">
        <v>32.547999999999902</v>
      </c>
      <c r="U2765" s="4">
        <v>9.0676299999999994</v>
      </c>
      <c r="V2765" t="str">
        <f>IF(Table1[[#This Row],[ai_disruption_intensity]]&gt;70,"High",
IF(Table1[[#This Row],[ai_disruption_intensity]]&gt;40,"Medium","Low"))</f>
        <v>Low</v>
      </c>
      <c r="W2765" t="str">
        <f>IF(Table1[[#This Row],[skill_gap_index]]&gt;70,"Large Gap",
IF(Table1[[#This Row],[skill_gap_index]]&gt;40,"Medium Gap","Small Gap"))</f>
        <v>Medium Gap</v>
      </c>
      <c r="X2765" s="3" t="str">
        <f>IF(Table1[[#This Row],[automation_risk_percent]]&gt;0.7,"Highly Automatable",
IF(Table1[[#This Row],[automation_risk_percent]]&gt;0.4,"Moderate Risk","Safe Job"))</f>
        <v>Safe Job</v>
      </c>
    </row>
    <row r="2766" spans="1:24" x14ac:dyDescent="0.3">
      <c r="A2766">
        <v>9759</v>
      </c>
      <c r="B2766" t="s">
        <v>18</v>
      </c>
      <c r="C2766" t="s">
        <v>19</v>
      </c>
      <c r="D2766" t="s">
        <v>47</v>
      </c>
      <c r="E2766" s="1">
        <v>2025</v>
      </c>
      <c r="F2766" s="11">
        <v>0.50360000000000005</v>
      </c>
      <c r="G2766">
        <v>48.42</v>
      </c>
      <c r="H2766">
        <v>45.11</v>
      </c>
      <c r="I2766" s="2">
        <v>81781.820000000007</v>
      </c>
      <c r="J2766" s="2">
        <v>81168.899999999994</v>
      </c>
      <c r="K2766" s="2">
        <f>Table1[[#This Row],[Salary_after]]-Table1[[#This Row],[Salary_before]]</f>
        <v>-612.92000000001281</v>
      </c>
      <c r="L2766" s="11">
        <v>-7.4999999999999997E-3</v>
      </c>
      <c r="M2766" s="11">
        <v>7.9600000000000004E-2</v>
      </c>
      <c r="N2766">
        <v>18.649999999999999</v>
      </c>
      <c r="O2766">
        <v>28.96</v>
      </c>
      <c r="P2766">
        <v>4</v>
      </c>
      <c r="Q2766" t="s">
        <v>25</v>
      </c>
      <c r="R2766">
        <v>47.734999999999999</v>
      </c>
      <c r="S2766">
        <v>0.75</v>
      </c>
      <c r="T2766" s="4">
        <v>33.902000000000001</v>
      </c>
      <c r="U2766" s="4">
        <v>14.584256</v>
      </c>
      <c r="V2766" t="str">
        <f>IF(Table1[[#This Row],[ai_disruption_intensity]]&gt;70,"High",
IF(Table1[[#This Row],[ai_disruption_intensity]]&gt;40,"Medium","Low"))</f>
        <v>Low</v>
      </c>
      <c r="W2766" t="str">
        <f>IF(Table1[[#This Row],[skill_gap_index]]&gt;70,"Large Gap",
IF(Table1[[#This Row],[skill_gap_index]]&gt;40,"Medium Gap","Small Gap"))</f>
        <v>Medium Gap</v>
      </c>
      <c r="X2766" s="3" t="str">
        <f>IF(Table1[[#This Row],[automation_risk_percent]]&gt;0.7,"Highly Automatable",
IF(Table1[[#This Row],[automation_risk_percent]]&gt;0.4,"Moderate Risk","Safe Job"))</f>
        <v>Moderate Risk</v>
      </c>
    </row>
    <row r="2767" spans="1:24" x14ac:dyDescent="0.3">
      <c r="A2767">
        <v>9760</v>
      </c>
      <c r="B2767" t="s">
        <v>45</v>
      </c>
      <c r="C2767" t="s">
        <v>38</v>
      </c>
      <c r="D2767" t="s">
        <v>42</v>
      </c>
      <c r="E2767" s="1">
        <v>2025</v>
      </c>
      <c r="F2767" s="11">
        <v>0.7720999999999999</v>
      </c>
      <c r="G2767">
        <v>74.989999999999995</v>
      </c>
      <c r="H2767">
        <v>31.61</v>
      </c>
      <c r="I2767" s="2">
        <v>67290.490000000005</v>
      </c>
      <c r="J2767" s="2">
        <v>61466.16</v>
      </c>
      <c r="K2767" s="2">
        <f>Table1[[#This Row],[Salary_after]]-Table1[[#This Row],[Salary_before]]</f>
        <v>-5824.3300000000017</v>
      </c>
      <c r="L2767" s="11">
        <v>-8.6599999999999996E-2</v>
      </c>
      <c r="M2767" s="11">
        <v>0.182</v>
      </c>
      <c r="N2767">
        <v>88.55</v>
      </c>
      <c r="O2767">
        <v>74.290000000000006</v>
      </c>
      <c r="P2767">
        <v>3</v>
      </c>
      <c r="Q2767" t="s">
        <v>37</v>
      </c>
      <c r="R2767">
        <v>54.41</v>
      </c>
      <c r="S2767">
        <v>8.66</v>
      </c>
      <c r="T2767" s="4">
        <v>42.964999999999897</v>
      </c>
      <c r="U2767" s="4">
        <v>57.359309000000003</v>
      </c>
      <c r="V2767" t="str">
        <f>IF(Table1[[#This Row],[ai_disruption_intensity]]&gt;70,"High",
IF(Table1[[#This Row],[ai_disruption_intensity]]&gt;40,"Medium","Low"))</f>
        <v>Medium</v>
      </c>
      <c r="W2767" t="str">
        <f>IF(Table1[[#This Row],[skill_gap_index]]&gt;70,"Large Gap",
IF(Table1[[#This Row],[skill_gap_index]]&gt;40,"Medium Gap","Small Gap"))</f>
        <v>Small Gap</v>
      </c>
      <c r="X2767" s="3" t="str">
        <f>IF(Table1[[#This Row],[automation_risk_percent]]&gt;0.7,"Highly Automatable",
IF(Table1[[#This Row],[automation_risk_percent]]&gt;0.4,"Moderate Risk","Safe Job"))</f>
        <v>Highly Automatable</v>
      </c>
    </row>
    <row r="2768" spans="1:24" x14ac:dyDescent="0.3">
      <c r="A2768">
        <v>9764</v>
      </c>
      <c r="B2768" t="s">
        <v>46</v>
      </c>
      <c r="C2768" t="s">
        <v>38</v>
      </c>
      <c r="D2768" t="s">
        <v>42</v>
      </c>
      <c r="E2768" s="1">
        <v>2025</v>
      </c>
      <c r="F2768" s="11">
        <v>0.69330000000000003</v>
      </c>
      <c r="G2768">
        <v>74.459999999999994</v>
      </c>
      <c r="H2768">
        <v>28.95</v>
      </c>
      <c r="I2768" s="2">
        <v>97845.82</v>
      </c>
      <c r="J2768" s="2">
        <v>119910.5</v>
      </c>
      <c r="K2768" s="2">
        <f>Table1[[#This Row],[Salary_after]]-Table1[[#This Row],[Salary_before]]</f>
        <v>22064.679999999993</v>
      </c>
      <c r="L2768" s="11">
        <v>0.22550000000000001</v>
      </c>
      <c r="M2768" s="11">
        <v>0.33210000000000001</v>
      </c>
      <c r="N2768">
        <v>17.079999999999998</v>
      </c>
      <c r="O2768">
        <v>19.45</v>
      </c>
      <c r="P2768">
        <v>1</v>
      </c>
      <c r="Q2768" t="s">
        <v>37</v>
      </c>
      <c r="R2768">
        <v>49.14</v>
      </c>
      <c r="S2768">
        <v>22.55</v>
      </c>
      <c r="T2768" s="4">
        <v>43.182000000000002</v>
      </c>
      <c r="U2768" s="4">
        <v>13.484684999999899</v>
      </c>
      <c r="V2768" t="str">
        <f>IF(Table1[[#This Row],[ai_disruption_intensity]]&gt;70,"High",
IF(Table1[[#This Row],[ai_disruption_intensity]]&gt;40,"Medium","Low"))</f>
        <v>Low</v>
      </c>
      <c r="W2768" t="str">
        <f>IF(Table1[[#This Row],[skill_gap_index]]&gt;70,"Large Gap",
IF(Table1[[#This Row],[skill_gap_index]]&gt;40,"Medium Gap","Small Gap"))</f>
        <v>Small Gap</v>
      </c>
      <c r="X2768" s="3" t="str">
        <f>IF(Table1[[#This Row],[automation_risk_percent]]&gt;0.7,"Highly Automatable",
IF(Table1[[#This Row],[automation_risk_percent]]&gt;0.4,"Moderate Risk","Safe Job"))</f>
        <v>Moderate Risk</v>
      </c>
    </row>
    <row r="2769" spans="1:24" x14ac:dyDescent="0.3">
      <c r="A2769">
        <v>9772</v>
      </c>
      <c r="B2769" t="s">
        <v>41</v>
      </c>
      <c r="C2769" t="s">
        <v>30</v>
      </c>
      <c r="D2769" t="s">
        <v>47</v>
      </c>
      <c r="E2769" s="1">
        <v>2026</v>
      </c>
      <c r="F2769" s="11">
        <v>0.45840000000000003</v>
      </c>
      <c r="G2769">
        <v>49.72</v>
      </c>
      <c r="H2769">
        <v>54.27</v>
      </c>
      <c r="I2769" s="2">
        <v>78807.78</v>
      </c>
      <c r="J2769" s="2">
        <v>82628.479999999996</v>
      </c>
      <c r="K2769" s="2">
        <f>Table1[[#This Row],[Salary_after]]-Table1[[#This Row],[Salary_before]]</f>
        <v>3820.6999999999971</v>
      </c>
      <c r="L2769" s="11">
        <v>4.8499999999999995E-2</v>
      </c>
      <c r="M2769" s="11">
        <v>-8.1799999999999998E-2</v>
      </c>
      <c r="N2769">
        <v>70.67</v>
      </c>
      <c r="O2769">
        <v>78.42</v>
      </c>
      <c r="P2769">
        <v>5</v>
      </c>
      <c r="Q2769" t="s">
        <v>25</v>
      </c>
      <c r="R2769">
        <v>50.055</v>
      </c>
      <c r="S2769">
        <v>4.8499999999999996</v>
      </c>
      <c r="T2769" s="4">
        <v>36.072000000000003</v>
      </c>
      <c r="U2769" s="4">
        <v>35.947727999999998</v>
      </c>
      <c r="V2769" t="str">
        <f>IF(Table1[[#This Row],[ai_disruption_intensity]]&gt;70,"High",
IF(Table1[[#This Row],[ai_disruption_intensity]]&gt;40,"Medium","Low"))</f>
        <v>Low</v>
      </c>
      <c r="W2769" t="str">
        <f>IF(Table1[[#This Row],[skill_gap_index]]&gt;70,"Large Gap",
IF(Table1[[#This Row],[skill_gap_index]]&gt;40,"Medium Gap","Small Gap"))</f>
        <v>Medium Gap</v>
      </c>
      <c r="X2769" s="3" t="str">
        <f>IF(Table1[[#This Row],[automation_risk_percent]]&gt;0.7,"Highly Automatable",
IF(Table1[[#This Row],[automation_risk_percent]]&gt;0.4,"Moderate Risk","Safe Job"))</f>
        <v>Moderate Risk</v>
      </c>
    </row>
    <row r="2770" spans="1:24" x14ac:dyDescent="0.3">
      <c r="A2770">
        <v>9773</v>
      </c>
      <c r="B2770" t="s">
        <v>22</v>
      </c>
      <c r="C2770" t="s">
        <v>34</v>
      </c>
      <c r="D2770" t="s">
        <v>35</v>
      </c>
      <c r="E2770" s="1">
        <v>2025</v>
      </c>
      <c r="F2770" s="11">
        <v>0.79359999999999997</v>
      </c>
      <c r="G2770">
        <v>70.83</v>
      </c>
      <c r="H2770">
        <v>1.51</v>
      </c>
      <c r="I2770" s="2">
        <v>90053.33</v>
      </c>
      <c r="J2770" s="2">
        <v>88951.45</v>
      </c>
      <c r="K2770" s="2">
        <f>Table1[[#This Row],[Salary_after]]-Table1[[#This Row],[Salary_before]]</f>
        <v>-1101.8800000000047</v>
      </c>
      <c r="L2770" s="11">
        <v>-1.2199999999999999E-2</v>
      </c>
      <c r="M2770" s="11">
        <v>7.0599999999999996E-2</v>
      </c>
      <c r="N2770">
        <v>78.03</v>
      </c>
      <c r="O2770">
        <v>31.95</v>
      </c>
      <c r="P2770">
        <v>3</v>
      </c>
      <c r="Q2770" t="s">
        <v>37</v>
      </c>
      <c r="R2770">
        <v>40.435000000000002</v>
      </c>
      <c r="S2770">
        <v>1.22</v>
      </c>
      <c r="T2770" s="4">
        <v>32.563000000000002</v>
      </c>
      <c r="U2770" s="4">
        <v>25.355519999999999</v>
      </c>
      <c r="V2770" t="str">
        <f>IF(Table1[[#This Row],[ai_disruption_intensity]]&gt;70,"High",
IF(Table1[[#This Row],[ai_disruption_intensity]]&gt;40,"Medium","Low"))</f>
        <v>Low</v>
      </c>
      <c r="W2770" t="str">
        <f>IF(Table1[[#This Row],[skill_gap_index]]&gt;70,"Large Gap",
IF(Table1[[#This Row],[skill_gap_index]]&gt;40,"Medium Gap","Small Gap"))</f>
        <v>Small Gap</v>
      </c>
      <c r="X2770" s="3" t="str">
        <f>IF(Table1[[#This Row],[automation_risk_percent]]&gt;0.7,"Highly Automatable",
IF(Table1[[#This Row],[automation_risk_percent]]&gt;0.4,"Moderate Risk","Safe Job"))</f>
        <v>Highly Automatable</v>
      </c>
    </row>
    <row r="2771" spans="1:24" x14ac:dyDescent="0.3">
      <c r="A2771">
        <v>9774</v>
      </c>
      <c r="B2771" t="s">
        <v>43</v>
      </c>
      <c r="C2771" t="s">
        <v>23</v>
      </c>
      <c r="D2771" t="s">
        <v>31</v>
      </c>
      <c r="E2771" s="1">
        <v>2025</v>
      </c>
      <c r="F2771" s="11">
        <v>0.37380000000000002</v>
      </c>
      <c r="G2771">
        <v>44.08</v>
      </c>
      <c r="H2771">
        <v>46.1</v>
      </c>
      <c r="I2771" s="2">
        <v>117038.66</v>
      </c>
      <c r="J2771" s="2">
        <v>135171.26999999999</v>
      </c>
      <c r="K2771" s="2">
        <f>Table1[[#This Row],[Salary_after]]-Table1[[#This Row],[Salary_before]]</f>
        <v>18132.609999999986</v>
      </c>
      <c r="L2771" s="11">
        <v>0.15490000000000001</v>
      </c>
      <c r="M2771" s="11">
        <v>7.9299999999999995E-2</v>
      </c>
      <c r="N2771">
        <v>38.56</v>
      </c>
      <c r="O2771">
        <v>87.69</v>
      </c>
      <c r="P2771">
        <v>2</v>
      </c>
      <c r="Q2771" t="s">
        <v>25</v>
      </c>
      <c r="R2771">
        <v>41.74</v>
      </c>
      <c r="S2771">
        <v>15.49</v>
      </c>
      <c r="T2771" s="4">
        <v>33.429000000000002</v>
      </c>
      <c r="U2771" s="4">
        <v>32.778522000000002</v>
      </c>
      <c r="V2771" t="str">
        <f>IF(Table1[[#This Row],[ai_disruption_intensity]]&gt;70,"High",
IF(Table1[[#This Row],[ai_disruption_intensity]]&gt;40,"Medium","Low"))</f>
        <v>Low</v>
      </c>
      <c r="W2771" t="str">
        <f>IF(Table1[[#This Row],[skill_gap_index]]&gt;70,"Large Gap",
IF(Table1[[#This Row],[skill_gap_index]]&gt;40,"Medium Gap","Small Gap"))</f>
        <v>Medium Gap</v>
      </c>
      <c r="X2771" s="3" t="str">
        <f>IF(Table1[[#This Row],[automation_risk_percent]]&gt;0.7,"Highly Automatable",
IF(Table1[[#This Row],[automation_risk_percent]]&gt;0.4,"Moderate Risk","Safe Job"))</f>
        <v>Safe Job</v>
      </c>
    </row>
    <row r="2772" spans="1:24" x14ac:dyDescent="0.3">
      <c r="A2772">
        <v>9777</v>
      </c>
      <c r="B2772" t="s">
        <v>43</v>
      </c>
      <c r="C2772" t="s">
        <v>34</v>
      </c>
      <c r="D2772" t="s">
        <v>31</v>
      </c>
      <c r="E2772" s="1">
        <v>2025</v>
      </c>
      <c r="F2772" s="11">
        <v>0.61780000000000002</v>
      </c>
      <c r="G2772">
        <v>49.93</v>
      </c>
      <c r="H2772">
        <v>43.84</v>
      </c>
      <c r="I2772" s="2">
        <v>80484.28</v>
      </c>
      <c r="J2772" s="2">
        <v>80677.11</v>
      </c>
      <c r="K2772" s="2">
        <f>Table1[[#This Row],[Salary_after]]-Table1[[#This Row],[Salary_before]]</f>
        <v>192.83000000000175</v>
      </c>
      <c r="L2772" s="11">
        <v>2.3999999999999998E-3</v>
      </c>
      <c r="M2772" s="11">
        <v>5.4199999999999998E-2</v>
      </c>
      <c r="N2772">
        <v>74.3</v>
      </c>
      <c r="O2772">
        <v>56.48</v>
      </c>
      <c r="P2772">
        <v>2</v>
      </c>
      <c r="Q2772" t="s">
        <v>37</v>
      </c>
      <c r="R2772">
        <v>52.81</v>
      </c>
      <c r="S2772">
        <v>0.24</v>
      </c>
      <c r="T2772" s="4">
        <v>37.936</v>
      </c>
      <c r="U2772" s="4">
        <v>34.893343999999999</v>
      </c>
      <c r="V2772" t="str">
        <f>IF(Table1[[#This Row],[ai_disruption_intensity]]&gt;70,"High",
IF(Table1[[#This Row],[ai_disruption_intensity]]&gt;40,"Medium","Low"))</f>
        <v>Low</v>
      </c>
      <c r="W2772" t="str">
        <f>IF(Table1[[#This Row],[skill_gap_index]]&gt;70,"Large Gap",
IF(Table1[[#This Row],[skill_gap_index]]&gt;40,"Medium Gap","Small Gap"))</f>
        <v>Medium Gap</v>
      </c>
      <c r="X2772" s="3" t="str">
        <f>IF(Table1[[#This Row],[automation_risk_percent]]&gt;0.7,"Highly Automatable",
IF(Table1[[#This Row],[automation_risk_percent]]&gt;0.4,"Moderate Risk","Safe Job"))</f>
        <v>Moderate Risk</v>
      </c>
    </row>
    <row r="2773" spans="1:24" x14ac:dyDescent="0.3">
      <c r="A2773">
        <v>9781</v>
      </c>
      <c r="B2773" t="s">
        <v>44</v>
      </c>
      <c r="C2773" t="s">
        <v>30</v>
      </c>
      <c r="D2773" t="s">
        <v>31</v>
      </c>
      <c r="E2773" s="1">
        <v>2026</v>
      </c>
      <c r="F2773" s="11">
        <v>0.34869999999999995</v>
      </c>
      <c r="G2773">
        <v>38.53</v>
      </c>
      <c r="H2773">
        <v>65.010000000000005</v>
      </c>
      <c r="I2773" s="2">
        <v>84717.72</v>
      </c>
      <c r="J2773" s="2">
        <v>86215.679999999993</v>
      </c>
      <c r="K2773" s="2">
        <f>Table1[[#This Row],[Salary_after]]-Table1[[#This Row],[Salary_before]]</f>
        <v>1497.9599999999919</v>
      </c>
      <c r="L2773" s="11">
        <v>1.77E-2</v>
      </c>
      <c r="M2773" s="11">
        <v>0.1452</v>
      </c>
      <c r="N2773">
        <v>85.62</v>
      </c>
      <c r="O2773">
        <v>73.33</v>
      </c>
      <c r="P2773">
        <v>1</v>
      </c>
      <c r="Q2773" t="s">
        <v>25</v>
      </c>
      <c r="R2773">
        <v>49.94</v>
      </c>
      <c r="S2773">
        <v>1.77</v>
      </c>
      <c r="T2773" s="4">
        <v>33.981999999999999</v>
      </c>
      <c r="U2773" s="4">
        <v>25.570170999999899</v>
      </c>
      <c r="V2773" t="str">
        <f>IF(Table1[[#This Row],[ai_disruption_intensity]]&gt;70,"High",
IF(Table1[[#This Row],[ai_disruption_intensity]]&gt;40,"Medium","Low"))</f>
        <v>Low</v>
      </c>
      <c r="W2773" t="str">
        <f>IF(Table1[[#This Row],[skill_gap_index]]&gt;70,"Large Gap",
IF(Table1[[#This Row],[skill_gap_index]]&gt;40,"Medium Gap","Small Gap"))</f>
        <v>Medium Gap</v>
      </c>
      <c r="X2773" s="3" t="str">
        <f>IF(Table1[[#This Row],[automation_risk_percent]]&gt;0.7,"Highly Automatable",
IF(Table1[[#This Row],[automation_risk_percent]]&gt;0.4,"Moderate Risk","Safe Job"))</f>
        <v>Safe Job</v>
      </c>
    </row>
    <row r="2774" spans="1:24" x14ac:dyDescent="0.3">
      <c r="A2774">
        <v>9782</v>
      </c>
      <c r="B2774" t="s">
        <v>44</v>
      </c>
      <c r="C2774" t="s">
        <v>38</v>
      </c>
      <c r="D2774" t="s">
        <v>35</v>
      </c>
      <c r="E2774" s="1">
        <v>2025</v>
      </c>
      <c r="F2774" s="11">
        <v>0.4728</v>
      </c>
      <c r="G2774">
        <v>44</v>
      </c>
      <c r="H2774">
        <v>95.11</v>
      </c>
      <c r="I2774" s="2">
        <v>36809.51</v>
      </c>
      <c r="J2774" s="2">
        <v>36867.57</v>
      </c>
      <c r="K2774" s="2">
        <f>Table1[[#This Row],[Salary_after]]-Table1[[#This Row],[Salary_before]]</f>
        <v>58.059999999997672</v>
      </c>
      <c r="L2774" s="11">
        <v>1.6000000000000001E-3</v>
      </c>
      <c r="M2774" s="11">
        <v>0.14730000000000001</v>
      </c>
      <c r="N2774">
        <v>77.39</v>
      </c>
      <c r="O2774">
        <v>33.409999999999997</v>
      </c>
      <c r="P2774">
        <v>2</v>
      </c>
      <c r="Q2774" t="s">
        <v>25</v>
      </c>
      <c r="R2774">
        <v>71.194999999999993</v>
      </c>
      <c r="S2774">
        <v>0.16</v>
      </c>
      <c r="T2774" s="4">
        <v>47.493000000000002</v>
      </c>
      <c r="U2774" s="4">
        <v>15.796247999999901</v>
      </c>
      <c r="V2774" t="str">
        <f>IF(Table1[[#This Row],[ai_disruption_intensity]]&gt;70,"High",
IF(Table1[[#This Row],[ai_disruption_intensity]]&gt;40,"Medium","Low"))</f>
        <v>Low</v>
      </c>
      <c r="W2774" t="str">
        <f>IF(Table1[[#This Row],[skill_gap_index]]&gt;70,"Large Gap",
IF(Table1[[#This Row],[skill_gap_index]]&gt;40,"Medium Gap","Small Gap"))</f>
        <v>Large Gap</v>
      </c>
      <c r="X2774" s="3" t="str">
        <f>IF(Table1[[#This Row],[automation_risk_percent]]&gt;0.7,"Highly Automatable",
IF(Table1[[#This Row],[automation_risk_percent]]&gt;0.4,"Moderate Risk","Safe Job"))</f>
        <v>Moderate Risk</v>
      </c>
    </row>
    <row r="2775" spans="1:24" x14ac:dyDescent="0.3">
      <c r="A2775">
        <v>9784</v>
      </c>
      <c r="B2775" t="s">
        <v>41</v>
      </c>
      <c r="C2775" t="s">
        <v>34</v>
      </c>
      <c r="D2775" t="s">
        <v>42</v>
      </c>
      <c r="E2775" s="1">
        <v>2025</v>
      </c>
      <c r="F2775" s="11">
        <v>0.36840000000000006</v>
      </c>
      <c r="G2775">
        <v>36.97</v>
      </c>
      <c r="H2775">
        <v>23.6</v>
      </c>
      <c r="I2775" s="2">
        <v>32053.57</v>
      </c>
      <c r="J2775" s="2">
        <v>25287.43</v>
      </c>
      <c r="K2775" s="2">
        <f>Table1[[#This Row],[Salary_after]]-Table1[[#This Row],[Salary_before]]</f>
        <v>-6766.1399999999994</v>
      </c>
      <c r="L2775" s="11">
        <v>-0.21109999999999998</v>
      </c>
      <c r="M2775" s="11">
        <v>0.1174</v>
      </c>
      <c r="N2775">
        <v>31.5</v>
      </c>
      <c r="O2775">
        <v>17.22</v>
      </c>
      <c r="P2775">
        <v>4</v>
      </c>
      <c r="Q2775" t="s">
        <v>25</v>
      </c>
      <c r="R2775">
        <v>30.22</v>
      </c>
      <c r="S2775">
        <v>21.11</v>
      </c>
      <c r="T2775" s="4">
        <v>28.149000000000001</v>
      </c>
      <c r="U2775" s="4">
        <v>6.3438480000000004</v>
      </c>
      <c r="V2775" t="str">
        <f>IF(Table1[[#This Row],[ai_disruption_intensity]]&gt;70,"High",
IF(Table1[[#This Row],[ai_disruption_intensity]]&gt;40,"Medium","Low"))</f>
        <v>Low</v>
      </c>
      <c r="W2775" t="str">
        <f>IF(Table1[[#This Row],[skill_gap_index]]&gt;70,"Large Gap",
IF(Table1[[#This Row],[skill_gap_index]]&gt;40,"Medium Gap","Small Gap"))</f>
        <v>Small Gap</v>
      </c>
      <c r="X2775" s="3" t="str">
        <f>IF(Table1[[#This Row],[automation_risk_percent]]&gt;0.7,"Highly Automatable",
IF(Table1[[#This Row],[automation_risk_percent]]&gt;0.4,"Moderate Risk","Safe Job"))</f>
        <v>Safe Job</v>
      </c>
    </row>
    <row r="2776" spans="1:24" x14ac:dyDescent="0.3">
      <c r="A2776">
        <v>9786</v>
      </c>
      <c r="B2776" t="s">
        <v>41</v>
      </c>
      <c r="C2776" t="s">
        <v>33</v>
      </c>
      <c r="D2776" t="s">
        <v>47</v>
      </c>
      <c r="E2776" s="1">
        <v>2025</v>
      </c>
      <c r="F2776" s="11">
        <v>0.56729999999999992</v>
      </c>
      <c r="G2776">
        <v>53.93</v>
      </c>
      <c r="H2776">
        <v>93.95</v>
      </c>
      <c r="I2776" s="2">
        <v>33511.94</v>
      </c>
      <c r="J2776" s="2">
        <v>32558.49</v>
      </c>
      <c r="K2776" s="2">
        <f>Table1[[#This Row],[Salary_after]]-Table1[[#This Row],[Salary_before]]</f>
        <v>-953.45000000000073</v>
      </c>
      <c r="L2776" s="11">
        <v>-2.8500000000000001E-2</v>
      </c>
      <c r="M2776" s="11">
        <v>0.1363</v>
      </c>
      <c r="N2776">
        <v>58.62</v>
      </c>
      <c r="O2776">
        <v>16.440000000000001</v>
      </c>
      <c r="P2776">
        <v>1</v>
      </c>
      <c r="Q2776" t="s">
        <v>25</v>
      </c>
      <c r="R2776">
        <v>75.34</v>
      </c>
      <c r="S2776">
        <v>2.85</v>
      </c>
      <c r="T2776" s="4">
        <v>51.7319999999999</v>
      </c>
      <c r="U2776" s="4">
        <v>9.3264119999999995</v>
      </c>
      <c r="V2776" t="str">
        <f>IF(Table1[[#This Row],[ai_disruption_intensity]]&gt;70,"High",
IF(Table1[[#This Row],[ai_disruption_intensity]]&gt;40,"Medium","Low"))</f>
        <v>Low</v>
      </c>
      <c r="W2776" t="str">
        <f>IF(Table1[[#This Row],[skill_gap_index]]&gt;70,"Large Gap",
IF(Table1[[#This Row],[skill_gap_index]]&gt;40,"Medium Gap","Small Gap"))</f>
        <v>Large Gap</v>
      </c>
      <c r="X2776" s="3" t="str">
        <f>IF(Table1[[#This Row],[automation_risk_percent]]&gt;0.7,"Highly Automatable",
IF(Table1[[#This Row],[automation_risk_percent]]&gt;0.4,"Moderate Risk","Safe Job"))</f>
        <v>Moderate Risk</v>
      </c>
    </row>
    <row r="2777" spans="1:24" x14ac:dyDescent="0.3">
      <c r="A2777">
        <v>9787</v>
      </c>
      <c r="B2777" t="s">
        <v>43</v>
      </c>
      <c r="C2777" t="s">
        <v>27</v>
      </c>
      <c r="D2777" t="s">
        <v>36</v>
      </c>
      <c r="E2777" s="1">
        <v>2025</v>
      </c>
      <c r="F2777" s="11">
        <v>0.71900000000000008</v>
      </c>
      <c r="G2777">
        <v>71.010000000000005</v>
      </c>
      <c r="H2777">
        <v>56.41</v>
      </c>
      <c r="I2777" s="2">
        <v>44167.199999999997</v>
      </c>
      <c r="J2777" s="2">
        <v>50938.53</v>
      </c>
      <c r="K2777" s="2">
        <f>Table1[[#This Row],[Salary_after]]-Table1[[#This Row],[Salary_before]]</f>
        <v>6771.3300000000017</v>
      </c>
      <c r="L2777" s="11">
        <v>0.15329999999999999</v>
      </c>
      <c r="M2777" s="11">
        <v>0.1399</v>
      </c>
      <c r="N2777">
        <v>36.520000000000003</v>
      </c>
      <c r="O2777">
        <v>89.61</v>
      </c>
      <c r="P2777">
        <v>2</v>
      </c>
      <c r="Q2777" t="s">
        <v>37</v>
      </c>
      <c r="R2777">
        <v>64.155000000000001</v>
      </c>
      <c r="S2777">
        <v>15.33</v>
      </c>
      <c r="T2777" s="4">
        <v>50.281999999999996</v>
      </c>
      <c r="U2777" s="4">
        <v>64.429590000000005</v>
      </c>
      <c r="V2777" t="str">
        <f>IF(Table1[[#This Row],[ai_disruption_intensity]]&gt;70,"High",
IF(Table1[[#This Row],[ai_disruption_intensity]]&gt;40,"Medium","Low"))</f>
        <v>Medium</v>
      </c>
      <c r="W2777" t="str">
        <f>IF(Table1[[#This Row],[skill_gap_index]]&gt;70,"Large Gap",
IF(Table1[[#This Row],[skill_gap_index]]&gt;40,"Medium Gap","Small Gap"))</f>
        <v>Medium Gap</v>
      </c>
      <c r="X2777" s="3" t="str">
        <f>IF(Table1[[#This Row],[automation_risk_percent]]&gt;0.7,"Highly Automatable",
IF(Table1[[#This Row],[automation_risk_percent]]&gt;0.4,"Moderate Risk","Safe Job"))</f>
        <v>Highly Automatable</v>
      </c>
    </row>
    <row r="2778" spans="1:24" x14ac:dyDescent="0.3">
      <c r="A2778">
        <v>9800</v>
      </c>
      <c r="B2778" t="s">
        <v>22</v>
      </c>
      <c r="C2778" t="s">
        <v>40</v>
      </c>
      <c r="D2778" t="s">
        <v>28</v>
      </c>
      <c r="E2778" s="1">
        <v>2026</v>
      </c>
      <c r="F2778" s="11">
        <v>0.45939999999999998</v>
      </c>
      <c r="G2778">
        <v>41.4</v>
      </c>
      <c r="H2778">
        <v>5.03</v>
      </c>
      <c r="I2778" s="2">
        <v>31260.57</v>
      </c>
      <c r="J2778" s="2">
        <v>35805.129999999997</v>
      </c>
      <c r="K2778" s="2">
        <f>Table1[[#This Row],[Salary_after]]-Table1[[#This Row],[Salary_before]]</f>
        <v>4544.5599999999977</v>
      </c>
      <c r="L2778" s="11">
        <v>0.1454</v>
      </c>
      <c r="M2778" s="11">
        <v>4.9599999999999998E-2</v>
      </c>
      <c r="N2778">
        <v>93.58</v>
      </c>
      <c r="O2778">
        <v>20.170000000000002</v>
      </c>
      <c r="P2778">
        <v>4</v>
      </c>
      <c r="Q2778" t="s">
        <v>25</v>
      </c>
      <c r="R2778">
        <v>25.484999999999999</v>
      </c>
      <c r="S2778">
        <v>14.54</v>
      </c>
      <c r="T2778" s="4">
        <v>24.247</v>
      </c>
      <c r="U2778" s="4">
        <v>9.2660979999999995</v>
      </c>
      <c r="V2778" t="str">
        <f>IF(Table1[[#This Row],[ai_disruption_intensity]]&gt;70,"High",
IF(Table1[[#This Row],[ai_disruption_intensity]]&gt;40,"Medium","Low"))</f>
        <v>Low</v>
      </c>
      <c r="W2778" t="str">
        <f>IF(Table1[[#This Row],[skill_gap_index]]&gt;70,"Large Gap",
IF(Table1[[#This Row],[skill_gap_index]]&gt;40,"Medium Gap","Small Gap"))</f>
        <v>Small Gap</v>
      </c>
      <c r="X2778" s="3" t="str">
        <f>IF(Table1[[#This Row],[automation_risk_percent]]&gt;0.7,"Highly Automatable",
IF(Table1[[#This Row],[automation_risk_percent]]&gt;0.4,"Moderate Risk","Safe Job"))</f>
        <v>Moderate Risk</v>
      </c>
    </row>
    <row r="2779" spans="1:24" x14ac:dyDescent="0.3">
      <c r="A2779">
        <v>9801</v>
      </c>
      <c r="B2779" t="s">
        <v>26</v>
      </c>
      <c r="C2779" t="s">
        <v>23</v>
      </c>
      <c r="D2779" t="s">
        <v>47</v>
      </c>
      <c r="E2779" s="1">
        <v>2025</v>
      </c>
      <c r="F2779" s="11">
        <v>0.16239999999999999</v>
      </c>
      <c r="G2779">
        <v>14.16</v>
      </c>
      <c r="H2779">
        <v>15.89</v>
      </c>
      <c r="I2779" s="2">
        <v>84594.62</v>
      </c>
      <c r="J2779" s="2">
        <v>96458.48</v>
      </c>
      <c r="K2779" s="2">
        <f>Table1[[#This Row],[Salary_after]]-Table1[[#This Row],[Salary_before]]</f>
        <v>11863.86</v>
      </c>
      <c r="L2779" s="11">
        <v>0.14019999999999999</v>
      </c>
      <c r="M2779" s="11">
        <v>0.1424</v>
      </c>
      <c r="N2779">
        <v>39.450000000000003</v>
      </c>
      <c r="O2779">
        <v>62.38</v>
      </c>
      <c r="P2779">
        <v>2</v>
      </c>
      <c r="Q2779" t="s">
        <v>21</v>
      </c>
      <c r="R2779">
        <v>16.064999999999898</v>
      </c>
      <c r="S2779">
        <v>14.02</v>
      </c>
      <c r="T2779" s="4">
        <v>15.468999999999999</v>
      </c>
      <c r="U2779" s="4">
        <v>10.130512</v>
      </c>
      <c r="V2779" t="str">
        <f>IF(Table1[[#This Row],[ai_disruption_intensity]]&gt;70,"High",
IF(Table1[[#This Row],[ai_disruption_intensity]]&gt;40,"Medium","Low"))</f>
        <v>Low</v>
      </c>
      <c r="W2779" t="str">
        <f>IF(Table1[[#This Row],[skill_gap_index]]&gt;70,"Large Gap",
IF(Table1[[#This Row],[skill_gap_index]]&gt;40,"Medium Gap","Small Gap"))</f>
        <v>Small Gap</v>
      </c>
      <c r="X2779" s="3" t="str">
        <f>IF(Table1[[#This Row],[automation_risk_percent]]&gt;0.7,"Highly Automatable",
IF(Table1[[#This Row],[automation_risk_percent]]&gt;0.4,"Moderate Risk","Safe Job"))</f>
        <v>Safe Job</v>
      </c>
    </row>
    <row r="2780" spans="1:24" x14ac:dyDescent="0.3">
      <c r="A2780">
        <v>9802</v>
      </c>
      <c r="B2780" t="s">
        <v>29</v>
      </c>
      <c r="C2780" t="s">
        <v>34</v>
      </c>
      <c r="D2780" t="s">
        <v>31</v>
      </c>
      <c r="E2780" s="1">
        <v>2025</v>
      </c>
      <c r="F2780" s="11">
        <v>0.25170000000000003</v>
      </c>
      <c r="G2780">
        <v>29.07</v>
      </c>
      <c r="H2780">
        <v>86.98</v>
      </c>
      <c r="I2780" s="2">
        <v>95290.27</v>
      </c>
      <c r="J2780" s="2">
        <v>86267.41</v>
      </c>
      <c r="K2780" s="2">
        <f>Table1[[#This Row],[Salary_after]]-Table1[[#This Row],[Salary_before]]</f>
        <v>-9022.86</v>
      </c>
      <c r="L2780" s="11">
        <v>-9.4700000000000006E-2</v>
      </c>
      <c r="M2780" s="11">
        <v>4.2800000000000005E-2</v>
      </c>
      <c r="N2780">
        <v>21.9</v>
      </c>
      <c r="O2780">
        <v>0.13</v>
      </c>
      <c r="P2780">
        <v>4</v>
      </c>
      <c r="Q2780" t="s">
        <v>21</v>
      </c>
      <c r="R2780">
        <v>56.075000000000003</v>
      </c>
      <c r="S2780">
        <v>9.4700000000000006</v>
      </c>
      <c r="T2780" s="4">
        <v>39.003</v>
      </c>
      <c r="U2780" s="4">
        <v>3.2721E-2</v>
      </c>
      <c r="V2780" t="str">
        <f>IF(Table1[[#This Row],[ai_disruption_intensity]]&gt;70,"High",
IF(Table1[[#This Row],[ai_disruption_intensity]]&gt;40,"Medium","Low"))</f>
        <v>Low</v>
      </c>
      <c r="W2780" t="str">
        <f>IF(Table1[[#This Row],[skill_gap_index]]&gt;70,"Large Gap",
IF(Table1[[#This Row],[skill_gap_index]]&gt;40,"Medium Gap","Small Gap"))</f>
        <v>Large Gap</v>
      </c>
      <c r="X2780" s="3" t="str">
        <f>IF(Table1[[#This Row],[automation_risk_percent]]&gt;0.7,"Highly Automatable",
IF(Table1[[#This Row],[automation_risk_percent]]&gt;0.4,"Moderate Risk","Safe Job"))</f>
        <v>Safe Job</v>
      </c>
    </row>
    <row r="2781" spans="1:24" x14ac:dyDescent="0.3">
      <c r="A2781">
        <v>9803</v>
      </c>
      <c r="B2781" t="s">
        <v>18</v>
      </c>
      <c r="C2781" t="s">
        <v>34</v>
      </c>
      <c r="D2781" t="s">
        <v>31</v>
      </c>
      <c r="E2781" s="1">
        <v>2026</v>
      </c>
      <c r="F2781" s="11">
        <v>0.58140000000000003</v>
      </c>
      <c r="G2781">
        <v>52.38</v>
      </c>
      <c r="H2781">
        <v>30.48</v>
      </c>
      <c r="I2781" s="2">
        <v>35644.050000000003</v>
      </c>
      <c r="J2781" s="2">
        <v>31621.19</v>
      </c>
      <c r="K2781" s="2">
        <f>Table1[[#This Row],[Salary_after]]-Table1[[#This Row],[Salary_before]]</f>
        <v>-4022.8600000000042</v>
      </c>
      <c r="L2781" s="11">
        <v>-0.11289999999999999</v>
      </c>
      <c r="M2781" s="11">
        <v>0.20480000000000001</v>
      </c>
      <c r="N2781">
        <v>16.29</v>
      </c>
      <c r="O2781">
        <v>77.58</v>
      </c>
      <c r="P2781">
        <v>2</v>
      </c>
      <c r="Q2781" t="s">
        <v>25</v>
      </c>
      <c r="R2781">
        <v>44.31</v>
      </c>
      <c r="S2781">
        <v>11.29</v>
      </c>
      <c r="T2781" s="4">
        <v>35.786999999999999</v>
      </c>
      <c r="U2781" s="4">
        <v>45.105011999999903</v>
      </c>
      <c r="V2781" t="str">
        <f>IF(Table1[[#This Row],[ai_disruption_intensity]]&gt;70,"High",
IF(Table1[[#This Row],[ai_disruption_intensity]]&gt;40,"Medium","Low"))</f>
        <v>Medium</v>
      </c>
      <c r="W2781" t="str">
        <f>IF(Table1[[#This Row],[skill_gap_index]]&gt;70,"Large Gap",
IF(Table1[[#This Row],[skill_gap_index]]&gt;40,"Medium Gap","Small Gap"))</f>
        <v>Small Gap</v>
      </c>
      <c r="X2781" s="3" t="str">
        <f>IF(Table1[[#This Row],[automation_risk_percent]]&gt;0.7,"Highly Automatable",
IF(Table1[[#This Row],[automation_risk_percent]]&gt;0.4,"Moderate Risk","Safe Job"))</f>
        <v>Moderate Risk</v>
      </c>
    </row>
    <row r="2782" spans="1:24" x14ac:dyDescent="0.3">
      <c r="A2782">
        <v>9805</v>
      </c>
      <c r="B2782" t="s">
        <v>18</v>
      </c>
      <c r="C2782" t="s">
        <v>38</v>
      </c>
      <c r="D2782" t="s">
        <v>31</v>
      </c>
      <c r="E2782" s="1">
        <v>2026</v>
      </c>
      <c r="F2782" s="11">
        <v>0.29370000000000002</v>
      </c>
      <c r="G2782">
        <v>34.82</v>
      </c>
      <c r="H2782">
        <v>37.83</v>
      </c>
      <c r="I2782" s="2">
        <v>98204.78</v>
      </c>
      <c r="J2782" s="2">
        <v>117337.22</v>
      </c>
      <c r="K2782" s="2">
        <f>Table1[[#This Row],[Salary_after]]-Table1[[#This Row],[Salary_before]]</f>
        <v>19132.440000000002</v>
      </c>
      <c r="L2782" s="11">
        <v>0.1948</v>
      </c>
      <c r="M2782" s="11">
        <v>0.13339999999999999</v>
      </c>
      <c r="N2782">
        <v>31.93</v>
      </c>
      <c r="O2782">
        <v>92.21</v>
      </c>
      <c r="P2782">
        <v>4</v>
      </c>
      <c r="Q2782" t="s">
        <v>21</v>
      </c>
      <c r="R2782">
        <v>33.6</v>
      </c>
      <c r="S2782">
        <v>19.48</v>
      </c>
      <c r="T2782" s="4">
        <v>28.940999999999999</v>
      </c>
      <c r="U2782" s="4">
        <v>27.082076999999899</v>
      </c>
      <c r="V2782" t="str">
        <f>IF(Table1[[#This Row],[ai_disruption_intensity]]&gt;70,"High",
IF(Table1[[#This Row],[ai_disruption_intensity]]&gt;40,"Medium","Low"))</f>
        <v>Low</v>
      </c>
      <c r="W2782" t="str">
        <f>IF(Table1[[#This Row],[skill_gap_index]]&gt;70,"Large Gap",
IF(Table1[[#This Row],[skill_gap_index]]&gt;40,"Medium Gap","Small Gap"))</f>
        <v>Small Gap</v>
      </c>
      <c r="X2782" s="3" t="str">
        <f>IF(Table1[[#This Row],[automation_risk_percent]]&gt;0.7,"Highly Automatable",
IF(Table1[[#This Row],[automation_risk_percent]]&gt;0.4,"Moderate Risk","Safe Job"))</f>
        <v>Safe Job</v>
      </c>
    </row>
    <row r="2783" spans="1:24" x14ac:dyDescent="0.3">
      <c r="A2783">
        <v>9808</v>
      </c>
      <c r="B2783" t="s">
        <v>45</v>
      </c>
      <c r="C2783" t="s">
        <v>38</v>
      </c>
      <c r="D2783" t="s">
        <v>35</v>
      </c>
      <c r="E2783" s="1">
        <v>2025</v>
      </c>
      <c r="F2783" s="11">
        <v>0.50639999999999996</v>
      </c>
      <c r="G2783">
        <v>60.58</v>
      </c>
      <c r="H2783">
        <v>54.18</v>
      </c>
      <c r="I2783" s="2">
        <v>71499.73</v>
      </c>
      <c r="J2783" s="2">
        <v>72902.75</v>
      </c>
      <c r="K2783" s="2">
        <f>Table1[[#This Row],[Salary_after]]-Table1[[#This Row],[Salary_before]]</f>
        <v>1403.0200000000041</v>
      </c>
      <c r="L2783" s="11">
        <v>1.9599999999999999E-2</v>
      </c>
      <c r="M2783" s="11">
        <v>0.23739999999999997</v>
      </c>
      <c r="N2783">
        <v>97.49</v>
      </c>
      <c r="O2783">
        <v>89.8</v>
      </c>
      <c r="P2783">
        <v>5</v>
      </c>
      <c r="Q2783" t="s">
        <v>25</v>
      </c>
      <c r="R2783">
        <v>52.41</v>
      </c>
      <c r="S2783">
        <v>1.96</v>
      </c>
      <c r="T2783" s="4">
        <v>37.097999999999999</v>
      </c>
      <c r="U2783" s="4">
        <v>45.474719999999998</v>
      </c>
      <c r="V2783" t="str">
        <f>IF(Table1[[#This Row],[ai_disruption_intensity]]&gt;70,"High",
IF(Table1[[#This Row],[ai_disruption_intensity]]&gt;40,"Medium","Low"))</f>
        <v>Medium</v>
      </c>
      <c r="W2783" t="str">
        <f>IF(Table1[[#This Row],[skill_gap_index]]&gt;70,"Large Gap",
IF(Table1[[#This Row],[skill_gap_index]]&gt;40,"Medium Gap","Small Gap"))</f>
        <v>Medium Gap</v>
      </c>
      <c r="X2783" s="3" t="str">
        <f>IF(Table1[[#This Row],[automation_risk_percent]]&gt;0.7,"Highly Automatable",
IF(Table1[[#This Row],[automation_risk_percent]]&gt;0.4,"Moderate Risk","Safe Job"))</f>
        <v>Moderate Risk</v>
      </c>
    </row>
    <row r="2784" spans="1:24" x14ac:dyDescent="0.3">
      <c r="A2784">
        <v>9809</v>
      </c>
      <c r="B2784" t="s">
        <v>18</v>
      </c>
      <c r="C2784" t="s">
        <v>23</v>
      </c>
      <c r="D2784" t="s">
        <v>28</v>
      </c>
      <c r="E2784" s="1">
        <v>2025</v>
      </c>
      <c r="F2784" s="11">
        <v>0.76280000000000003</v>
      </c>
      <c r="G2784">
        <v>61.05</v>
      </c>
      <c r="H2784">
        <v>33.42</v>
      </c>
      <c r="I2784" s="2">
        <v>105266.46</v>
      </c>
      <c r="J2784" s="2">
        <v>116432.1</v>
      </c>
      <c r="K2784" s="2">
        <f>Table1[[#This Row],[Salary_after]]-Table1[[#This Row],[Salary_before]]</f>
        <v>11165.64</v>
      </c>
      <c r="L2784" s="11">
        <v>0.1061</v>
      </c>
      <c r="M2784" s="11">
        <v>-0.08</v>
      </c>
      <c r="N2784">
        <v>74.349999999999994</v>
      </c>
      <c r="O2784">
        <v>62.33</v>
      </c>
      <c r="P2784">
        <v>4</v>
      </c>
      <c r="Q2784" t="s">
        <v>37</v>
      </c>
      <c r="R2784">
        <v>54.85</v>
      </c>
      <c r="S2784">
        <v>10.61</v>
      </c>
      <c r="T2784" s="4">
        <v>43.720999999999997</v>
      </c>
      <c r="U2784" s="4">
        <v>47.545324000000001</v>
      </c>
      <c r="V2784" t="str">
        <f>IF(Table1[[#This Row],[ai_disruption_intensity]]&gt;70,"High",
IF(Table1[[#This Row],[ai_disruption_intensity]]&gt;40,"Medium","Low"))</f>
        <v>Medium</v>
      </c>
      <c r="W2784" t="str">
        <f>IF(Table1[[#This Row],[skill_gap_index]]&gt;70,"Large Gap",
IF(Table1[[#This Row],[skill_gap_index]]&gt;40,"Medium Gap","Small Gap"))</f>
        <v>Small Gap</v>
      </c>
      <c r="X2784" s="3" t="str">
        <f>IF(Table1[[#This Row],[automation_risk_percent]]&gt;0.7,"Highly Automatable",
IF(Table1[[#This Row],[automation_risk_percent]]&gt;0.4,"Moderate Risk","Safe Job"))</f>
        <v>Highly Automatable</v>
      </c>
    </row>
    <row r="2785" spans="1:24" x14ac:dyDescent="0.3">
      <c r="A2785">
        <v>9811</v>
      </c>
      <c r="B2785" t="s">
        <v>39</v>
      </c>
      <c r="C2785" t="s">
        <v>34</v>
      </c>
      <c r="D2785" t="s">
        <v>28</v>
      </c>
      <c r="E2785" s="1">
        <v>2025</v>
      </c>
      <c r="F2785" s="11">
        <v>0.15890000000000001</v>
      </c>
      <c r="G2785">
        <v>15.89</v>
      </c>
      <c r="H2785">
        <v>89.43</v>
      </c>
      <c r="I2785" s="2">
        <v>79451.34</v>
      </c>
      <c r="J2785" s="2">
        <v>82577.97</v>
      </c>
      <c r="K2785" s="2">
        <f>Table1[[#This Row],[Salary_after]]-Table1[[#This Row],[Salary_before]]</f>
        <v>3126.6300000000047</v>
      </c>
      <c r="L2785" s="11">
        <v>3.9399999999999998E-2</v>
      </c>
      <c r="M2785" s="11">
        <v>9.6500000000000002E-2</v>
      </c>
      <c r="N2785">
        <v>91.58</v>
      </c>
      <c r="O2785">
        <v>26.31</v>
      </c>
      <c r="P2785">
        <v>1</v>
      </c>
      <c r="Q2785" t="s">
        <v>21</v>
      </c>
      <c r="R2785">
        <v>52.66</v>
      </c>
      <c r="S2785">
        <v>3.94</v>
      </c>
      <c r="T2785" s="4">
        <v>34.366999999999997</v>
      </c>
      <c r="U2785" s="4">
        <v>4.1806590000000003</v>
      </c>
      <c r="V2785" t="str">
        <f>IF(Table1[[#This Row],[ai_disruption_intensity]]&gt;70,"High",
IF(Table1[[#This Row],[ai_disruption_intensity]]&gt;40,"Medium","Low"))</f>
        <v>Low</v>
      </c>
      <c r="W2785" t="str">
        <f>IF(Table1[[#This Row],[skill_gap_index]]&gt;70,"Large Gap",
IF(Table1[[#This Row],[skill_gap_index]]&gt;40,"Medium Gap","Small Gap"))</f>
        <v>Large Gap</v>
      </c>
      <c r="X2785" s="3" t="str">
        <f>IF(Table1[[#This Row],[automation_risk_percent]]&gt;0.7,"Highly Automatable",
IF(Table1[[#This Row],[automation_risk_percent]]&gt;0.4,"Moderate Risk","Safe Job"))</f>
        <v>Safe Job</v>
      </c>
    </row>
    <row r="2786" spans="1:24" x14ac:dyDescent="0.3">
      <c r="A2786">
        <v>9813</v>
      </c>
      <c r="B2786" t="s">
        <v>39</v>
      </c>
      <c r="C2786" t="s">
        <v>34</v>
      </c>
      <c r="D2786" t="s">
        <v>42</v>
      </c>
      <c r="E2786" s="1">
        <v>2026</v>
      </c>
      <c r="F2786" s="11">
        <v>0.52259999999999995</v>
      </c>
      <c r="G2786">
        <v>52.3</v>
      </c>
      <c r="H2786">
        <v>67.400000000000006</v>
      </c>
      <c r="I2786" s="2">
        <v>50033.21</v>
      </c>
      <c r="J2786" s="2">
        <v>57940.37</v>
      </c>
      <c r="K2786" s="2">
        <f>Table1[[#This Row],[Salary_after]]-Table1[[#This Row],[Salary_before]]</f>
        <v>7907.1600000000035</v>
      </c>
      <c r="L2786" s="11">
        <v>0.158</v>
      </c>
      <c r="M2786" s="11">
        <v>1.1000000000000001E-2</v>
      </c>
      <c r="N2786">
        <v>62.15</v>
      </c>
      <c r="O2786">
        <v>90.63</v>
      </c>
      <c r="P2786">
        <v>4</v>
      </c>
      <c r="Q2786" t="s">
        <v>25</v>
      </c>
      <c r="R2786">
        <v>59.83</v>
      </c>
      <c r="S2786">
        <v>15.8</v>
      </c>
      <c r="T2786" s="4">
        <v>45.863999999999997</v>
      </c>
      <c r="U2786" s="4">
        <v>47.363237999999903</v>
      </c>
      <c r="V2786" t="str">
        <f>IF(Table1[[#This Row],[ai_disruption_intensity]]&gt;70,"High",
IF(Table1[[#This Row],[ai_disruption_intensity]]&gt;40,"Medium","Low"))</f>
        <v>Medium</v>
      </c>
      <c r="W2786" t="str">
        <f>IF(Table1[[#This Row],[skill_gap_index]]&gt;70,"Large Gap",
IF(Table1[[#This Row],[skill_gap_index]]&gt;40,"Medium Gap","Small Gap"))</f>
        <v>Medium Gap</v>
      </c>
      <c r="X2786" s="3" t="str">
        <f>IF(Table1[[#This Row],[automation_risk_percent]]&gt;0.7,"Highly Automatable",
IF(Table1[[#This Row],[automation_risk_percent]]&gt;0.4,"Moderate Risk","Safe Job"))</f>
        <v>Moderate Risk</v>
      </c>
    </row>
    <row r="2787" spans="1:24" x14ac:dyDescent="0.3">
      <c r="A2787">
        <v>9814</v>
      </c>
      <c r="B2787" t="s">
        <v>18</v>
      </c>
      <c r="C2787" t="s">
        <v>34</v>
      </c>
      <c r="D2787" t="s">
        <v>32</v>
      </c>
      <c r="E2787" s="1">
        <v>2025</v>
      </c>
      <c r="F2787" s="11">
        <v>0.41060000000000002</v>
      </c>
      <c r="G2787">
        <v>35.020000000000003</v>
      </c>
      <c r="H2787">
        <v>4.88</v>
      </c>
      <c r="I2787" s="2">
        <v>87293.34</v>
      </c>
      <c r="J2787" s="2">
        <v>73268.759999999995</v>
      </c>
      <c r="K2787" s="2">
        <f>Table1[[#This Row],[Salary_after]]-Table1[[#This Row],[Salary_before]]</f>
        <v>-14024.580000000002</v>
      </c>
      <c r="L2787" s="11">
        <v>-0.16070000000000001</v>
      </c>
      <c r="M2787" s="11">
        <v>8.8000000000000005E-3</v>
      </c>
      <c r="N2787">
        <v>63.15</v>
      </c>
      <c r="O2787">
        <v>25.02</v>
      </c>
      <c r="P2787">
        <v>5</v>
      </c>
      <c r="Q2787" t="s">
        <v>25</v>
      </c>
      <c r="R2787">
        <v>22.97</v>
      </c>
      <c r="S2787">
        <v>16.07</v>
      </c>
      <c r="T2787" s="4">
        <v>22.709</v>
      </c>
      <c r="U2787" s="4">
        <v>10.273211999999999</v>
      </c>
      <c r="V2787" t="str">
        <f>IF(Table1[[#This Row],[ai_disruption_intensity]]&gt;70,"High",
IF(Table1[[#This Row],[ai_disruption_intensity]]&gt;40,"Medium","Low"))</f>
        <v>Low</v>
      </c>
      <c r="W2787" t="str">
        <f>IF(Table1[[#This Row],[skill_gap_index]]&gt;70,"Large Gap",
IF(Table1[[#This Row],[skill_gap_index]]&gt;40,"Medium Gap","Small Gap"))</f>
        <v>Small Gap</v>
      </c>
      <c r="X2787" s="3" t="str">
        <f>IF(Table1[[#This Row],[automation_risk_percent]]&gt;0.7,"Highly Automatable",
IF(Table1[[#This Row],[automation_risk_percent]]&gt;0.4,"Moderate Risk","Safe Job"))</f>
        <v>Moderate Risk</v>
      </c>
    </row>
    <row r="2788" spans="1:24" x14ac:dyDescent="0.3">
      <c r="A2788">
        <v>9818</v>
      </c>
      <c r="B2788" t="s">
        <v>39</v>
      </c>
      <c r="C2788" t="s">
        <v>27</v>
      </c>
      <c r="D2788" t="s">
        <v>35</v>
      </c>
      <c r="E2788" s="1">
        <v>2026</v>
      </c>
      <c r="F2788" s="11">
        <v>0.45289999999999997</v>
      </c>
      <c r="G2788">
        <v>48.67</v>
      </c>
      <c r="H2788">
        <v>31.88</v>
      </c>
      <c r="I2788" s="2">
        <v>66919.600000000006</v>
      </c>
      <c r="J2788" s="2">
        <v>74826.929999999993</v>
      </c>
      <c r="K2788" s="2">
        <f>Table1[[#This Row],[Salary_after]]-Table1[[#This Row],[Salary_before]]</f>
        <v>7907.3299999999872</v>
      </c>
      <c r="L2788" s="11">
        <v>0.1182</v>
      </c>
      <c r="M2788" s="11">
        <v>6.6900000000000001E-2</v>
      </c>
      <c r="N2788">
        <v>63.74</v>
      </c>
      <c r="O2788">
        <v>45.9</v>
      </c>
      <c r="P2788">
        <v>2</v>
      </c>
      <c r="Q2788" t="s">
        <v>25</v>
      </c>
      <c r="R2788">
        <v>38.585000000000001</v>
      </c>
      <c r="S2788">
        <v>11.82</v>
      </c>
      <c r="T2788" s="4">
        <v>31.225999999999999</v>
      </c>
      <c r="U2788" s="4">
        <v>20.7881099999999</v>
      </c>
      <c r="V2788" t="str">
        <f>IF(Table1[[#This Row],[ai_disruption_intensity]]&gt;70,"High",
IF(Table1[[#This Row],[ai_disruption_intensity]]&gt;40,"Medium","Low"))</f>
        <v>Low</v>
      </c>
      <c r="W2788" t="str">
        <f>IF(Table1[[#This Row],[skill_gap_index]]&gt;70,"Large Gap",
IF(Table1[[#This Row],[skill_gap_index]]&gt;40,"Medium Gap","Small Gap"))</f>
        <v>Small Gap</v>
      </c>
      <c r="X2788" s="3" t="str">
        <f>IF(Table1[[#This Row],[automation_risk_percent]]&gt;0.7,"Highly Automatable",
IF(Table1[[#This Row],[automation_risk_percent]]&gt;0.4,"Moderate Risk","Safe Job"))</f>
        <v>Moderate Risk</v>
      </c>
    </row>
    <row r="2789" spans="1:24" x14ac:dyDescent="0.3">
      <c r="A2789">
        <v>9819</v>
      </c>
      <c r="B2789" t="s">
        <v>45</v>
      </c>
      <c r="C2789" t="s">
        <v>40</v>
      </c>
      <c r="D2789" t="s">
        <v>32</v>
      </c>
      <c r="E2789" s="1">
        <v>2026</v>
      </c>
      <c r="F2789" s="11">
        <v>0.56490000000000007</v>
      </c>
      <c r="G2789">
        <v>63.55</v>
      </c>
      <c r="H2789">
        <v>78.73</v>
      </c>
      <c r="I2789" s="2">
        <v>74471.55</v>
      </c>
      <c r="J2789" s="2">
        <v>81039.11</v>
      </c>
      <c r="K2789" s="2">
        <f>Table1[[#This Row],[Salary_after]]-Table1[[#This Row],[Salary_before]]</f>
        <v>6567.5599999999977</v>
      </c>
      <c r="L2789" s="11">
        <v>8.8200000000000001E-2</v>
      </c>
      <c r="M2789" s="11">
        <v>3.9399999999999998E-2</v>
      </c>
      <c r="N2789">
        <v>72.64</v>
      </c>
      <c r="O2789">
        <v>70.400000000000006</v>
      </c>
      <c r="P2789">
        <v>1</v>
      </c>
      <c r="Q2789" t="s">
        <v>25</v>
      </c>
      <c r="R2789">
        <v>67.61</v>
      </c>
      <c r="S2789">
        <v>8.82</v>
      </c>
      <c r="T2789" s="4">
        <v>48.860999999999997</v>
      </c>
      <c r="U2789" s="4">
        <v>39.76896</v>
      </c>
      <c r="V2789" t="str">
        <f>IF(Table1[[#This Row],[ai_disruption_intensity]]&gt;70,"High",
IF(Table1[[#This Row],[ai_disruption_intensity]]&gt;40,"Medium","Low"))</f>
        <v>Low</v>
      </c>
      <c r="W2789" t="str">
        <f>IF(Table1[[#This Row],[skill_gap_index]]&gt;70,"Large Gap",
IF(Table1[[#This Row],[skill_gap_index]]&gt;40,"Medium Gap","Small Gap"))</f>
        <v>Large Gap</v>
      </c>
      <c r="X2789" s="3" t="str">
        <f>IF(Table1[[#This Row],[automation_risk_percent]]&gt;0.7,"Highly Automatable",
IF(Table1[[#This Row],[automation_risk_percent]]&gt;0.4,"Moderate Risk","Safe Job"))</f>
        <v>Moderate Risk</v>
      </c>
    </row>
    <row r="2790" spans="1:24" x14ac:dyDescent="0.3">
      <c r="A2790">
        <v>9822</v>
      </c>
      <c r="B2790" t="s">
        <v>22</v>
      </c>
      <c r="C2790" t="s">
        <v>30</v>
      </c>
      <c r="D2790" t="s">
        <v>36</v>
      </c>
      <c r="E2790" s="1">
        <v>2025</v>
      </c>
      <c r="F2790" s="11">
        <v>0.68400000000000005</v>
      </c>
      <c r="G2790">
        <v>80.88</v>
      </c>
      <c r="H2790">
        <v>85.4</v>
      </c>
      <c r="I2790" s="2">
        <v>142584.63</v>
      </c>
      <c r="J2790" s="2">
        <v>142835.35</v>
      </c>
      <c r="K2790" s="2">
        <f>Table1[[#This Row],[Salary_after]]-Table1[[#This Row],[Salary_before]]</f>
        <v>250.72000000000116</v>
      </c>
      <c r="L2790" s="11">
        <v>1.8E-3</v>
      </c>
      <c r="M2790" s="11">
        <v>4.3400000000000001E-2</v>
      </c>
      <c r="N2790">
        <v>34.1</v>
      </c>
      <c r="O2790">
        <v>80.900000000000006</v>
      </c>
      <c r="P2790">
        <v>3</v>
      </c>
      <c r="Q2790" t="s">
        <v>37</v>
      </c>
      <c r="R2790">
        <v>76.900000000000006</v>
      </c>
      <c r="S2790">
        <v>0.18</v>
      </c>
      <c r="T2790" s="4">
        <v>53.033999999999999</v>
      </c>
      <c r="U2790" s="4">
        <v>55.335599999999999</v>
      </c>
      <c r="V2790" t="str">
        <f>IF(Table1[[#This Row],[ai_disruption_intensity]]&gt;70,"High",
IF(Table1[[#This Row],[ai_disruption_intensity]]&gt;40,"Medium","Low"))</f>
        <v>Medium</v>
      </c>
      <c r="W2790" t="str">
        <f>IF(Table1[[#This Row],[skill_gap_index]]&gt;70,"Large Gap",
IF(Table1[[#This Row],[skill_gap_index]]&gt;40,"Medium Gap","Small Gap"))</f>
        <v>Large Gap</v>
      </c>
      <c r="X2790" s="3" t="str">
        <f>IF(Table1[[#This Row],[automation_risk_percent]]&gt;0.7,"Highly Automatable",
IF(Table1[[#This Row],[automation_risk_percent]]&gt;0.4,"Moderate Risk","Safe Job"))</f>
        <v>Moderate Risk</v>
      </c>
    </row>
    <row r="2791" spans="1:24" x14ac:dyDescent="0.3">
      <c r="A2791">
        <v>9823</v>
      </c>
      <c r="B2791" t="s">
        <v>39</v>
      </c>
      <c r="C2791" t="s">
        <v>38</v>
      </c>
      <c r="D2791" t="s">
        <v>32</v>
      </c>
      <c r="E2791" s="1">
        <v>2025</v>
      </c>
      <c r="F2791" s="11">
        <v>0.67330000000000001</v>
      </c>
      <c r="G2791">
        <v>55.15</v>
      </c>
      <c r="H2791">
        <v>59.56</v>
      </c>
      <c r="I2791" s="2">
        <v>132105.85</v>
      </c>
      <c r="J2791" s="2">
        <v>111325.13</v>
      </c>
      <c r="K2791" s="2">
        <f>Table1[[#This Row],[Salary_after]]-Table1[[#This Row],[Salary_before]]</f>
        <v>-20780.72</v>
      </c>
      <c r="L2791" s="11">
        <v>-0.1573</v>
      </c>
      <c r="M2791" s="11">
        <v>0.23469999999999999</v>
      </c>
      <c r="N2791">
        <v>16.91</v>
      </c>
      <c r="O2791">
        <v>73.03</v>
      </c>
      <c r="P2791">
        <v>3</v>
      </c>
      <c r="Q2791" t="s">
        <v>37</v>
      </c>
      <c r="R2791">
        <v>63.445</v>
      </c>
      <c r="S2791">
        <v>15.73</v>
      </c>
      <c r="T2791" s="4">
        <v>49.518999999999998</v>
      </c>
      <c r="U2791" s="4">
        <v>49.171098999999998</v>
      </c>
      <c r="V2791" t="str">
        <f>IF(Table1[[#This Row],[ai_disruption_intensity]]&gt;70,"High",
IF(Table1[[#This Row],[ai_disruption_intensity]]&gt;40,"Medium","Low"))</f>
        <v>Medium</v>
      </c>
      <c r="W2791" t="str">
        <f>IF(Table1[[#This Row],[skill_gap_index]]&gt;70,"Large Gap",
IF(Table1[[#This Row],[skill_gap_index]]&gt;40,"Medium Gap","Small Gap"))</f>
        <v>Medium Gap</v>
      </c>
      <c r="X2791" s="3" t="str">
        <f>IF(Table1[[#This Row],[automation_risk_percent]]&gt;0.7,"Highly Automatable",
IF(Table1[[#This Row],[automation_risk_percent]]&gt;0.4,"Moderate Risk","Safe Job"))</f>
        <v>Moderate Risk</v>
      </c>
    </row>
    <row r="2792" spans="1:24" x14ac:dyDescent="0.3">
      <c r="A2792">
        <v>9825</v>
      </c>
      <c r="B2792" t="s">
        <v>41</v>
      </c>
      <c r="C2792" t="s">
        <v>40</v>
      </c>
      <c r="D2792" t="s">
        <v>31</v>
      </c>
      <c r="E2792" s="1">
        <v>2026</v>
      </c>
      <c r="F2792" s="11">
        <v>0.3821</v>
      </c>
      <c r="G2792">
        <v>34.89</v>
      </c>
      <c r="H2792">
        <v>87.08</v>
      </c>
      <c r="I2792" s="2">
        <v>112390.95</v>
      </c>
      <c r="J2792" s="2">
        <v>104157.15</v>
      </c>
      <c r="K2792" s="2">
        <f>Table1[[#This Row],[Salary_after]]-Table1[[#This Row],[Salary_before]]</f>
        <v>-8233.8000000000029</v>
      </c>
      <c r="L2792" s="11">
        <v>-7.3300000000000004E-2</v>
      </c>
      <c r="M2792" s="11">
        <v>2.7200000000000002E-2</v>
      </c>
      <c r="N2792">
        <v>44.76</v>
      </c>
      <c r="O2792">
        <v>96.63</v>
      </c>
      <c r="P2792">
        <v>3</v>
      </c>
      <c r="Q2792" t="s">
        <v>25</v>
      </c>
      <c r="R2792">
        <v>62.644999999999897</v>
      </c>
      <c r="S2792">
        <v>7.33</v>
      </c>
      <c r="T2792" s="4">
        <v>43.606999999999999</v>
      </c>
      <c r="U2792" s="4">
        <v>36.922322999999999</v>
      </c>
      <c r="V2792" t="str">
        <f>IF(Table1[[#This Row],[ai_disruption_intensity]]&gt;70,"High",
IF(Table1[[#This Row],[ai_disruption_intensity]]&gt;40,"Medium","Low"))</f>
        <v>Low</v>
      </c>
      <c r="W2792" t="str">
        <f>IF(Table1[[#This Row],[skill_gap_index]]&gt;70,"Large Gap",
IF(Table1[[#This Row],[skill_gap_index]]&gt;40,"Medium Gap","Small Gap"))</f>
        <v>Large Gap</v>
      </c>
      <c r="X2792" s="3" t="str">
        <f>IF(Table1[[#This Row],[automation_risk_percent]]&gt;0.7,"Highly Automatable",
IF(Table1[[#This Row],[automation_risk_percent]]&gt;0.4,"Moderate Risk","Safe Job"))</f>
        <v>Safe Job</v>
      </c>
    </row>
    <row r="2793" spans="1:24" x14ac:dyDescent="0.3">
      <c r="A2793">
        <v>9829</v>
      </c>
      <c r="B2793" t="s">
        <v>46</v>
      </c>
      <c r="C2793" t="s">
        <v>34</v>
      </c>
      <c r="D2793" t="s">
        <v>31</v>
      </c>
      <c r="E2793" s="1">
        <v>2025</v>
      </c>
      <c r="F2793" s="11">
        <v>0.56850000000000001</v>
      </c>
      <c r="G2793">
        <v>59.49</v>
      </c>
      <c r="H2793">
        <v>7.56</v>
      </c>
      <c r="I2793" s="2">
        <v>61123.54</v>
      </c>
      <c r="J2793" s="2">
        <v>64140.45</v>
      </c>
      <c r="K2793" s="2">
        <f>Table1[[#This Row],[Salary_after]]-Table1[[#This Row],[Salary_before]]</f>
        <v>3016.9099999999962</v>
      </c>
      <c r="L2793" s="11">
        <v>4.9400000000000006E-2</v>
      </c>
      <c r="M2793" s="11">
        <v>0.12380000000000001</v>
      </c>
      <c r="N2793">
        <v>96.64</v>
      </c>
      <c r="O2793">
        <v>39.68</v>
      </c>
      <c r="P2793">
        <v>5</v>
      </c>
      <c r="Q2793" t="s">
        <v>25</v>
      </c>
      <c r="R2793">
        <v>32.204999999999998</v>
      </c>
      <c r="S2793">
        <v>4.9400000000000004</v>
      </c>
      <c r="T2793" s="4">
        <v>26.49</v>
      </c>
      <c r="U2793" s="4">
        <v>22.55808</v>
      </c>
      <c r="V2793" t="str">
        <f>IF(Table1[[#This Row],[ai_disruption_intensity]]&gt;70,"High",
IF(Table1[[#This Row],[ai_disruption_intensity]]&gt;40,"Medium","Low"))</f>
        <v>Low</v>
      </c>
      <c r="W2793" t="str">
        <f>IF(Table1[[#This Row],[skill_gap_index]]&gt;70,"Large Gap",
IF(Table1[[#This Row],[skill_gap_index]]&gt;40,"Medium Gap","Small Gap"))</f>
        <v>Small Gap</v>
      </c>
      <c r="X2793" s="3" t="str">
        <f>IF(Table1[[#This Row],[automation_risk_percent]]&gt;0.7,"Highly Automatable",
IF(Table1[[#This Row],[automation_risk_percent]]&gt;0.4,"Moderate Risk","Safe Job"))</f>
        <v>Moderate Risk</v>
      </c>
    </row>
    <row r="2794" spans="1:24" x14ac:dyDescent="0.3">
      <c r="A2794">
        <v>9833</v>
      </c>
      <c r="B2794" t="s">
        <v>43</v>
      </c>
      <c r="C2794" t="s">
        <v>40</v>
      </c>
      <c r="D2794" t="s">
        <v>36</v>
      </c>
      <c r="E2794" s="1">
        <v>2026</v>
      </c>
      <c r="F2794" s="11">
        <v>0.39319999999999999</v>
      </c>
      <c r="G2794">
        <v>39.46</v>
      </c>
      <c r="H2794">
        <v>89.95</v>
      </c>
      <c r="I2794" s="2">
        <v>30295.19</v>
      </c>
      <c r="J2794" s="2">
        <v>25638.19</v>
      </c>
      <c r="K2794" s="2">
        <f>Table1[[#This Row],[Salary_after]]-Table1[[#This Row],[Salary_before]]</f>
        <v>-4657</v>
      </c>
      <c r="L2794" s="11">
        <v>-0.1537</v>
      </c>
      <c r="M2794" s="11">
        <v>-0.1293</v>
      </c>
      <c r="N2794">
        <v>89.79</v>
      </c>
      <c r="O2794">
        <v>19.600000000000001</v>
      </c>
      <c r="P2794">
        <v>1</v>
      </c>
      <c r="Q2794" t="s">
        <v>25</v>
      </c>
      <c r="R2794">
        <v>64.635000000000005</v>
      </c>
      <c r="S2794">
        <v>15.37</v>
      </c>
      <c r="T2794" s="4">
        <v>47.323999999999998</v>
      </c>
      <c r="U2794" s="4">
        <v>7.7067199999999998</v>
      </c>
      <c r="V2794" t="str">
        <f>IF(Table1[[#This Row],[ai_disruption_intensity]]&gt;70,"High",
IF(Table1[[#This Row],[ai_disruption_intensity]]&gt;40,"Medium","Low"))</f>
        <v>Low</v>
      </c>
      <c r="W2794" t="str">
        <f>IF(Table1[[#This Row],[skill_gap_index]]&gt;70,"Large Gap",
IF(Table1[[#This Row],[skill_gap_index]]&gt;40,"Medium Gap","Small Gap"))</f>
        <v>Large Gap</v>
      </c>
      <c r="X2794" s="3" t="str">
        <f>IF(Table1[[#This Row],[automation_risk_percent]]&gt;0.7,"Highly Automatable",
IF(Table1[[#This Row],[automation_risk_percent]]&gt;0.4,"Moderate Risk","Safe Job"))</f>
        <v>Safe Job</v>
      </c>
    </row>
    <row r="2795" spans="1:24" x14ac:dyDescent="0.3">
      <c r="A2795">
        <v>9834</v>
      </c>
      <c r="B2795" t="s">
        <v>26</v>
      </c>
      <c r="C2795" t="s">
        <v>23</v>
      </c>
      <c r="D2795" t="s">
        <v>20</v>
      </c>
      <c r="E2795" s="1">
        <v>2025</v>
      </c>
      <c r="F2795" s="11">
        <v>0.05</v>
      </c>
      <c r="G2795">
        <v>4.76</v>
      </c>
      <c r="H2795">
        <v>61.23</v>
      </c>
      <c r="I2795" s="2">
        <v>132977.32999999999</v>
      </c>
      <c r="J2795" s="2">
        <v>120848.21</v>
      </c>
      <c r="K2795" s="2">
        <f>Table1[[#This Row],[Salary_after]]-Table1[[#This Row],[Salary_before]]</f>
        <v>-12129.119999999981</v>
      </c>
      <c r="L2795" s="11">
        <v>-9.1199999999999989E-2</v>
      </c>
      <c r="M2795" s="11">
        <v>-3.4700000000000002E-2</v>
      </c>
      <c r="N2795">
        <v>39.340000000000003</v>
      </c>
      <c r="O2795">
        <v>11.82</v>
      </c>
      <c r="P2795">
        <v>3</v>
      </c>
      <c r="Q2795" t="s">
        <v>21</v>
      </c>
      <c r="R2795">
        <v>33.114999999999903</v>
      </c>
      <c r="S2795">
        <v>9.1199999999999992</v>
      </c>
      <c r="T2795" s="4">
        <v>23.105</v>
      </c>
      <c r="U2795" s="4">
        <v>0.59099999999999997</v>
      </c>
      <c r="V2795" t="str">
        <f>IF(Table1[[#This Row],[ai_disruption_intensity]]&gt;70,"High",
IF(Table1[[#This Row],[ai_disruption_intensity]]&gt;40,"Medium","Low"))</f>
        <v>Low</v>
      </c>
      <c r="W2795" t="str">
        <f>IF(Table1[[#This Row],[skill_gap_index]]&gt;70,"Large Gap",
IF(Table1[[#This Row],[skill_gap_index]]&gt;40,"Medium Gap","Small Gap"))</f>
        <v>Medium Gap</v>
      </c>
      <c r="X2795" s="3" t="str">
        <f>IF(Table1[[#This Row],[automation_risk_percent]]&gt;0.7,"Highly Automatable",
IF(Table1[[#This Row],[automation_risk_percent]]&gt;0.4,"Moderate Risk","Safe Job"))</f>
        <v>Safe Job</v>
      </c>
    </row>
    <row r="2796" spans="1:24" x14ac:dyDescent="0.3">
      <c r="A2796">
        <v>9835</v>
      </c>
      <c r="B2796" t="s">
        <v>29</v>
      </c>
      <c r="C2796" t="s">
        <v>19</v>
      </c>
      <c r="D2796" t="s">
        <v>20</v>
      </c>
      <c r="E2796" s="1">
        <v>2026</v>
      </c>
      <c r="F2796" s="11">
        <v>0.93409999999999993</v>
      </c>
      <c r="G2796">
        <v>94.92</v>
      </c>
      <c r="H2796">
        <v>27.22</v>
      </c>
      <c r="I2796" s="2">
        <v>73408.460000000006</v>
      </c>
      <c r="J2796" s="2">
        <v>76297.03</v>
      </c>
      <c r="K2796" s="2">
        <f>Table1[[#This Row],[Salary_after]]-Table1[[#This Row],[Salary_before]]</f>
        <v>2888.5699999999924</v>
      </c>
      <c r="L2796" s="11">
        <v>3.9300000000000002E-2</v>
      </c>
      <c r="M2796" s="11">
        <v>0.13289999999999999</v>
      </c>
      <c r="N2796">
        <v>59.79</v>
      </c>
      <c r="O2796">
        <v>72.48</v>
      </c>
      <c r="P2796">
        <v>1</v>
      </c>
      <c r="Q2796" t="s">
        <v>37</v>
      </c>
      <c r="R2796">
        <v>60.314999999999998</v>
      </c>
      <c r="S2796">
        <v>3.93</v>
      </c>
      <c r="T2796" s="4">
        <v>46.708999999999897</v>
      </c>
      <c r="U2796" s="4">
        <v>67.703568000000004</v>
      </c>
      <c r="V2796" t="str">
        <f>IF(Table1[[#This Row],[ai_disruption_intensity]]&gt;70,"High",
IF(Table1[[#This Row],[ai_disruption_intensity]]&gt;40,"Medium","Low"))</f>
        <v>Medium</v>
      </c>
      <c r="W2796" t="str">
        <f>IF(Table1[[#This Row],[skill_gap_index]]&gt;70,"Large Gap",
IF(Table1[[#This Row],[skill_gap_index]]&gt;40,"Medium Gap","Small Gap"))</f>
        <v>Small Gap</v>
      </c>
      <c r="X2796" s="3" t="str">
        <f>IF(Table1[[#This Row],[automation_risk_percent]]&gt;0.7,"Highly Automatable",
IF(Table1[[#This Row],[automation_risk_percent]]&gt;0.4,"Moderate Risk","Safe Job"))</f>
        <v>Highly Automatable</v>
      </c>
    </row>
    <row r="2797" spans="1:24" x14ac:dyDescent="0.3">
      <c r="A2797">
        <v>9836</v>
      </c>
      <c r="B2797" t="s">
        <v>46</v>
      </c>
      <c r="C2797" t="s">
        <v>27</v>
      </c>
      <c r="D2797" t="s">
        <v>36</v>
      </c>
      <c r="E2797" s="1">
        <v>2025</v>
      </c>
      <c r="F2797" s="11">
        <v>0.52910000000000001</v>
      </c>
      <c r="G2797">
        <v>46.44</v>
      </c>
      <c r="H2797">
        <v>15.87</v>
      </c>
      <c r="I2797" s="2">
        <v>146003.57</v>
      </c>
      <c r="J2797" s="2">
        <v>143801.34</v>
      </c>
      <c r="K2797" s="2">
        <f>Table1[[#This Row],[Salary_after]]-Table1[[#This Row],[Salary_before]]</f>
        <v>-2202.2300000000105</v>
      </c>
      <c r="L2797" s="11">
        <v>-1.5100000000000001E-2</v>
      </c>
      <c r="M2797" s="11">
        <v>-8.4499999999999992E-2</v>
      </c>
      <c r="N2797">
        <v>98.45</v>
      </c>
      <c r="O2797">
        <v>41.72</v>
      </c>
      <c r="P2797">
        <v>3</v>
      </c>
      <c r="Q2797" t="s">
        <v>25</v>
      </c>
      <c r="R2797">
        <v>34.39</v>
      </c>
      <c r="S2797">
        <v>1.51</v>
      </c>
      <c r="T2797" s="4">
        <v>26.378</v>
      </c>
      <c r="U2797" s="4">
        <v>22.074051999999998</v>
      </c>
      <c r="V2797" t="str">
        <f>IF(Table1[[#This Row],[ai_disruption_intensity]]&gt;70,"High",
IF(Table1[[#This Row],[ai_disruption_intensity]]&gt;40,"Medium","Low"))</f>
        <v>Low</v>
      </c>
      <c r="W2797" t="str">
        <f>IF(Table1[[#This Row],[skill_gap_index]]&gt;70,"Large Gap",
IF(Table1[[#This Row],[skill_gap_index]]&gt;40,"Medium Gap","Small Gap"))</f>
        <v>Small Gap</v>
      </c>
      <c r="X2797" s="3" t="str">
        <f>IF(Table1[[#This Row],[automation_risk_percent]]&gt;0.7,"Highly Automatable",
IF(Table1[[#This Row],[automation_risk_percent]]&gt;0.4,"Moderate Risk","Safe Job"))</f>
        <v>Moderate Risk</v>
      </c>
    </row>
    <row r="2798" spans="1:24" x14ac:dyDescent="0.3">
      <c r="A2798">
        <v>9837</v>
      </c>
      <c r="B2798" t="s">
        <v>39</v>
      </c>
      <c r="C2798" t="s">
        <v>40</v>
      </c>
      <c r="D2798" t="s">
        <v>36</v>
      </c>
      <c r="E2798" s="1">
        <v>2025</v>
      </c>
      <c r="F2798" s="11">
        <v>0.46039999999999998</v>
      </c>
      <c r="G2798">
        <v>51.53</v>
      </c>
      <c r="H2798">
        <v>34.04</v>
      </c>
      <c r="I2798" s="2">
        <v>81724.06</v>
      </c>
      <c r="J2798" s="2">
        <v>71679.45</v>
      </c>
      <c r="K2798" s="2">
        <f>Table1[[#This Row],[Salary_after]]-Table1[[#This Row],[Salary_before]]</f>
        <v>-10044.61</v>
      </c>
      <c r="L2798" s="11">
        <v>-0.1229</v>
      </c>
      <c r="M2798" s="11">
        <v>-4.7E-2</v>
      </c>
      <c r="N2798">
        <v>52.46</v>
      </c>
      <c r="O2798">
        <v>74.59</v>
      </c>
      <c r="P2798">
        <v>3</v>
      </c>
      <c r="Q2798" t="s">
        <v>25</v>
      </c>
      <c r="R2798">
        <v>40.04</v>
      </c>
      <c r="S2798">
        <v>12.29</v>
      </c>
      <c r="T2798" s="4">
        <v>32.314999999999998</v>
      </c>
      <c r="U2798" s="4">
        <v>34.341236000000002</v>
      </c>
      <c r="V2798" t="str">
        <f>IF(Table1[[#This Row],[ai_disruption_intensity]]&gt;70,"High",
IF(Table1[[#This Row],[ai_disruption_intensity]]&gt;40,"Medium","Low"))</f>
        <v>Low</v>
      </c>
      <c r="W2798" t="str">
        <f>IF(Table1[[#This Row],[skill_gap_index]]&gt;70,"Large Gap",
IF(Table1[[#This Row],[skill_gap_index]]&gt;40,"Medium Gap","Small Gap"))</f>
        <v>Small Gap</v>
      </c>
      <c r="X2798" s="3" t="str">
        <f>IF(Table1[[#This Row],[automation_risk_percent]]&gt;0.7,"Highly Automatable",
IF(Table1[[#This Row],[automation_risk_percent]]&gt;0.4,"Moderate Risk","Safe Job"))</f>
        <v>Moderate Risk</v>
      </c>
    </row>
    <row r="2799" spans="1:24" x14ac:dyDescent="0.3">
      <c r="A2799">
        <v>9838</v>
      </c>
      <c r="B2799" t="s">
        <v>41</v>
      </c>
      <c r="C2799" t="s">
        <v>23</v>
      </c>
      <c r="D2799" t="s">
        <v>36</v>
      </c>
      <c r="E2799" s="1">
        <v>2026</v>
      </c>
      <c r="F2799" s="11">
        <v>0.85709999999999997</v>
      </c>
      <c r="G2799">
        <v>84.69</v>
      </c>
      <c r="H2799">
        <v>32.1</v>
      </c>
      <c r="I2799" s="2">
        <v>139391.12</v>
      </c>
      <c r="J2799" s="2">
        <v>155371.88</v>
      </c>
      <c r="K2799" s="2">
        <f>Table1[[#This Row],[Salary_after]]-Table1[[#This Row],[Salary_before]]</f>
        <v>15980.760000000009</v>
      </c>
      <c r="L2799" s="11">
        <v>0.11460000000000001</v>
      </c>
      <c r="M2799" s="11">
        <v>-1.84E-2</v>
      </c>
      <c r="N2799">
        <v>77.38</v>
      </c>
      <c r="O2799">
        <v>4.9800000000000004</v>
      </c>
      <c r="P2799">
        <v>4</v>
      </c>
      <c r="Q2799" t="s">
        <v>37</v>
      </c>
      <c r="R2799">
        <v>58.905000000000001</v>
      </c>
      <c r="S2799">
        <v>11.46</v>
      </c>
      <c r="T2799" s="4">
        <v>47.351999999999997</v>
      </c>
      <c r="U2799" s="4">
        <v>4.2683580000000001</v>
      </c>
      <c r="V2799" t="str">
        <f>IF(Table1[[#This Row],[ai_disruption_intensity]]&gt;70,"High",
IF(Table1[[#This Row],[ai_disruption_intensity]]&gt;40,"Medium","Low"))</f>
        <v>Low</v>
      </c>
      <c r="W2799" t="str">
        <f>IF(Table1[[#This Row],[skill_gap_index]]&gt;70,"Large Gap",
IF(Table1[[#This Row],[skill_gap_index]]&gt;40,"Medium Gap","Small Gap"))</f>
        <v>Small Gap</v>
      </c>
      <c r="X2799" s="3" t="str">
        <f>IF(Table1[[#This Row],[automation_risk_percent]]&gt;0.7,"Highly Automatable",
IF(Table1[[#This Row],[automation_risk_percent]]&gt;0.4,"Moderate Risk","Safe Job"))</f>
        <v>Highly Automatable</v>
      </c>
    </row>
    <row r="2800" spans="1:24" x14ac:dyDescent="0.3">
      <c r="A2800">
        <v>9839</v>
      </c>
      <c r="B2800" t="s">
        <v>39</v>
      </c>
      <c r="C2800" t="s">
        <v>40</v>
      </c>
      <c r="D2800" t="s">
        <v>24</v>
      </c>
      <c r="E2800" s="1">
        <v>2025</v>
      </c>
      <c r="F2800" s="11">
        <v>0.2243</v>
      </c>
      <c r="G2800">
        <v>23.09</v>
      </c>
      <c r="H2800">
        <v>86.76</v>
      </c>
      <c r="I2800" s="2">
        <v>101279.17</v>
      </c>
      <c r="J2800" s="2">
        <v>110103.64</v>
      </c>
      <c r="K2800" s="2">
        <f>Table1[[#This Row],[Salary_after]]-Table1[[#This Row],[Salary_before]]</f>
        <v>8824.4700000000012</v>
      </c>
      <c r="L2800" s="11">
        <v>8.7100000000000011E-2</v>
      </c>
      <c r="M2800" s="11">
        <v>0.14019999999999999</v>
      </c>
      <c r="N2800">
        <v>54.49</v>
      </c>
      <c r="O2800">
        <v>56.08</v>
      </c>
      <c r="P2800">
        <v>2</v>
      </c>
      <c r="Q2800" t="s">
        <v>21</v>
      </c>
      <c r="R2800">
        <v>54.594999999999999</v>
      </c>
      <c r="S2800">
        <v>8.7100000000000009</v>
      </c>
      <c r="T2800" s="4">
        <v>37.613</v>
      </c>
      <c r="U2800" s="4">
        <v>12.578743999999899</v>
      </c>
      <c r="V2800" t="str">
        <f>IF(Table1[[#This Row],[ai_disruption_intensity]]&gt;70,"High",
IF(Table1[[#This Row],[ai_disruption_intensity]]&gt;40,"Medium","Low"))</f>
        <v>Low</v>
      </c>
      <c r="W2800" t="str">
        <f>IF(Table1[[#This Row],[skill_gap_index]]&gt;70,"Large Gap",
IF(Table1[[#This Row],[skill_gap_index]]&gt;40,"Medium Gap","Small Gap"))</f>
        <v>Large Gap</v>
      </c>
      <c r="X2800" s="3" t="str">
        <f>IF(Table1[[#This Row],[automation_risk_percent]]&gt;0.7,"Highly Automatable",
IF(Table1[[#This Row],[automation_risk_percent]]&gt;0.4,"Moderate Risk","Safe Job"))</f>
        <v>Safe Job</v>
      </c>
    </row>
    <row r="2801" spans="1:24" x14ac:dyDescent="0.3">
      <c r="A2801">
        <v>9843</v>
      </c>
      <c r="B2801" t="s">
        <v>46</v>
      </c>
      <c r="C2801" t="s">
        <v>19</v>
      </c>
      <c r="D2801" t="s">
        <v>36</v>
      </c>
      <c r="E2801" s="1">
        <v>2026</v>
      </c>
      <c r="F2801" s="11">
        <v>0.4587</v>
      </c>
      <c r="G2801">
        <v>52.15</v>
      </c>
      <c r="H2801">
        <v>30.43</v>
      </c>
      <c r="I2801" s="2">
        <v>36048.769999999997</v>
      </c>
      <c r="J2801" s="2">
        <v>38967.97</v>
      </c>
      <c r="K2801" s="2">
        <f>Table1[[#This Row],[Salary_after]]-Table1[[#This Row],[Salary_before]]</f>
        <v>2919.2000000000044</v>
      </c>
      <c r="L2801" s="11">
        <v>8.1000000000000003E-2</v>
      </c>
      <c r="M2801" s="11">
        <v>0.253</v>
      </c>
      <c r="N2801">
        <v>57.99</v>
      </c>
      <c r="O2801">
        <v>77.38</v>
      </c>
      <c r="P2801">
        <v>2</v>
      </c>
      <c r="Q2801" t="s">
        <v>25</v>
      </c>
      <c r="R2801">
        <v>38.15</v>
      </c>
      <c r="S2801">
        <v>8.1</v>
      </c>
      <c r="T2801" s="4">
        <v>29.906999999999901</v>
      </c>
      <c r="U2801" s="4">
        <v>35.494205999999899</v>
      </c>
      <c r="V2801" t="str">
        <f>IF(Table1[[#This Row],[ai_disruption_intensity]]&gt;70,"High",
IF(Table1[[#This Row],[ai_disruption_intensity]]&gt;40,"Medium","Low"))</f>
        <v>Low</v>
      </c>
      <c r="W2801" t="str">
        <f>IF(Table1[[#This Row],[skill_gap_index]]&gt;70,"Large Gap",
IF(Table1[[#This Row],[skill_gap_index]]&gt;40,"Medium Gap","Small Gap"))</f>
        <v>Small Gap</v>
      </c>
      <c r="X2801" s="3" t="str">
        <f>IF(Table1[[#This Row],[automation_risk_percent]]&gt;0.7,"Highly Automatable",
IF(Table1[[#This Row],[automation_risk_percent]]&gt;0.4,"Moderate Risk","Safe Job"))</f>
        <v>Moderate Risk</v>
      </c>
    </row>
    <row r="2802" spans="1:24" x14ac:dyDescent="0.3">
      <c r="A2802">
        <v>9844</v>
      </c>
      <c r="B2802" t="s">
        <v>26</v>
      </c>
      <c r="C2802" t="s">
        <v>19</v>
      </c>
      <c r="D2802" t="s">
        <v>42</v>
      </c>
      <c r="E2802" s="1">
        <v>2025</v>
      </c>
      <c r="F2802" s="11">
        <v>0.20530000000000001</v>
      </c>
      <c r="G2802">
        <v>19.62</v>
      </c>
      <c r="H2802">
        <v>7.79</v>
      </c>
      <c r="I2802" s="2">
        <v>97935.56</v>
      </c>
      <c r="J2802" s="2">
        <v>99455.5</v>
      </c>
      <c r="K2802" s="2">
        <f>Table1[[#This Row],[Salary_after]]-Table1[[#This Row],[Salary_before]]</f>
        <v>1519.9400000000023</v>
      </c>
      <c r="L2802" s="11">
        <v>1.55E-2</v>
      </c>
      <c r="M2802" s="11">
        <v>7.9100000000000004E-2</v>
      </c>
      <c r="N2802">
        <v>31.05</v>
      </c>
      <c r="O2802">
        <v>66.290000000000006</v>
      </c>
      <c r="P2802">
        <v>1</v>
      </c>
      <c r="Q2802" t="s">
        <v>21</v>
      </c>
      <c r="R2802">
        <v>14.16</v>
      </c>
      <c r="S2802">
        <v>1.55</v>
      </c>
      <c r="T2802" s="4">
        <v>11.013999999999999</v>
      </c>
      <c r="U2802" s="4">
        <v>13.609337</v>
      </c>
      <c r="V2802" t="str">
        <f>IF(Table1[[#This Row],[ai_disruption_intensity]]&gt;70,"High",
IF(Table1[[#This Row],[ai_disruption_intensity]]&gt;40,"Medium","Low"))</f>
        <v>Low</v>
      </c>
      <c r="W2802" t="str">
        <f>IF(Table1[[#This Row],[skill_gap_index]]&gt;70,"Large Gap",
IF(Table1[[#This Row],[skill_gap_index]]&gt;40,"Medium Gap","Small Gap"))</f>
        <v>Small Gap</v>
      </c>
      <c r="X2802" s="3" t="str">
        <f>IF(Table1[[#This Row],[automation_risk_percent]]&gt;0.7,"Highly Automatable",
IF(Table1[[#This Row],[automation_risk_percent]]&gt;0.4,"Moderate Risk","Safe Job"))</f>
        <v>Safe Job</v>
      </c>
    </row>
    <row r="2803" spans="1:24" x14ac:dyDescent="0.3">
      <c r="A2803">
        <v>9845</v>
      </c>
      <c r="B2803" t="s">
        <v>43</v>
      </c>
      <c r="C2803" t="s">
        <v>30</v>
      </c>
      <c r="D2803" t="s">
        <v>36</v>
      </c>
      <c r="E2803" s="1">
        <v>2026</v>
      </c>
      <c r="F2803" s="11">
        <v>0.35639999999999999</v>
      </c>
      <c r="G2803">
        <v>30.25</v>
      </c>
      <c r="H2803">
        <v>9.27</v>
      </c>
      <c r="I2803" s="2">
        <v>32067.3</v>
      </c>
      <c r="J2803" s="2">
        <v>32902.660000000003</v>
      </c>
      <c r="K2803" s="2">
        <f>Table1[[#This Row],[Salary_after]]-Table1[[#This Row],[Salary_before]]</f>
        <v>835.36000000000422</v>
      </c>
      <c r="L2803" s="11">
        <v>2.6099999999999998E-2</v>
      </c>
      <c r="M2803" s="11">
        <v>7.0199999999999999E-2</v>
      </c>
      <c r="N2803">
        <v>53.43</v>
      </c>
      <c r="O2803">
        <v>51.99</v>
      </c>
      <c r="P2803">
        <v>3</v>
      </c>
      <c r="Q2803" t="s">
        <v>25</v>
      </c>
      <c r="R2803">
        <v>22.454999999999998</v>
      </c>
      <c r="S2803">
        <v>2.61</v>
      </c>
      <c r="T2803" s="4">
        <v>17.82</v>
      </c>
      <c r="U2803" s="4">
        <v>18.529236000000001</v>
      </c>
      <c r="V2803" t="str">
        <f>IF(Table1[[#This Row],[ai_disruption_intensity]]&gt;70,"High",
IF(Table1[[#This Row],[ai_disruption_intensity]]&gt;40,"Medium","Low"))</f>
        <v>Low</v>
      </c>
      <c r="W2803" t="str">
        <f>IF(Table1[[#This Row],[skill_gap_index]]&gt;70,"Large Gap",
IF(Table1[[#This Row],[skill_gap_index]]&gt;40,"Medium Gap","Small Gap"))</f>
        <v>Small Gap</v>
      </c>
      <c r="X2803" s="3" t="str">
        <f>IF(Table1[[#This Row],[automation_risk_percent]]&gt;0.7,"Highly Automatable",
IF(Table1[[#This Row],[automation_risk_percent]]&gt;0.4,"Moderate Risk","Safe Job"))</f>
        <v>Safe Job</v>
      </c>
    </row>
    <row r="2804" spans="1:24" x14ac:dyDescent="0.3">
      <c r="A2804">
        <v>9846</v>
      </c>
      <c r="B2804" t="s">
        <v>29</v>
      </c>
      <c r="C2804" t="s">
        <v>40</v>
      </c>
      <c r="D2804" t="s">
        <v>24</v>
      </c>
      <c r="E2804" s="1">
        <v>2026</v>
      </c>
      <c r="F2804" s="11">
        <v>0.73409999999999997</v>
      </c>
      <c r="G2804">
        <v>79.31</v>
      </c>
      <c r="H2804">
        <v>32.409999999999997</v>
      </c>
      <c r="I2804" s="2">
        <v>49101.82</v>
      </c>
      <c r="J2804" s="2">
        <v>57751.47</v>
      </c>
      <c r="K2804" s="2">
        <f>Table1[[#This Row],[Salary_after]]-Table1[[#This Row],[Salary_before]]</f>
        <v>8649.6500000000015</v>
      </c>
      <c r="L2804" s="11">
        <v>0.17620000000000002</v>
      </c>
      <c r="M2804" s="11">
        <v>-1.2199999999999999E-2</v>
      </c>
      <c r="N2804">
        <v>82.38</v>
      </c>
      <c r="O2804">
        <v>8.92</v>
      </c>
      <c r="P2804">
        <v>1</v>
      </c>
      <c r="Q2804" t="s">
        <v>37</v>
      </c>
      <c r="R2804">
        <v>52.91</v>
      </c>
      <c r="S2804">
        <v>17.62</v>
      </c>
      <c r="T2804" s="4">
        <v>44.372999999999998</v>
      </c>
      <c r="U2804" s="4">
        <v>6.5481719999999903</v>
      </c>
      <c r="V2804" t="str">
        <f>IF(Table1[[#This Row],[ai_disruption_intensity]]&gt;70,"High",
IF(Table1[[#This Row],[ai_disruption_intensity]]&gt;40,"Medium","Low"))</f>
        <v>Low</v>
      </c>
      <c r="W2804" t="str">
        <f>IF(Table1[[#This Row],[skill_gap_index]]&gt;70,"Large Gap",
IF(Table1[[#This Row],[skill_gap_index]]&gt;40,"Medium Gap","Small Gap"))</f>
        <v>Small Gap</v>
      </c>
      <c r="X2804" s="3" t="str">
        <f>IF(Table1[[#This Row],[automation_risk_percent]]&gt;0.7,"Highly Automatable",
IF(Table1[[#This Row],[automation_risk_percent]]&gt;0.4,"Moderate Risk","Safe Job"))</f>
        <v>Highly Automatable</v>
      </c>
    </row>
    <row r="2805" spans="1:24" x14ac:dyDescent="0.3">
      <c r="A2805">
        <v>9848</v>
      </c>
      <c r="B2805" t="s">
        <v>18</v>
      </c>
      <c r="C2805" t="s">
        <v>33</v>
      </c>
      <c r="D2805" t="s">
        <v>42</v>
      </c>
      <c r="E2805" s="1">
        <v>2025</v>
      </c>
      <c r="F2805" s="11">
        <v>0.65</v>
      </c>
      <c r="G2805">
        <v>72.209999999999994</v>
      </c>
      <c r="H2805">
        <v>13.49</v>
      </c>
      <c r="I2805" s="2">
        <v>138331.48000000001</v>
      </c>
      <c r="J2805" s="2">
        <v>128510.39</v>
      </c>
      <c r="K2805" s="2">
        <f>Table1[[#This Row],[Salary_after]]-Table1[[#This Row],[Salary_before]]</f>
        <v>-9821.0900000000111</v>
      </c>
      <c r="L2805" s="11">
        <v>-7.0999999999999994E-2</v>
      </c>
      <c r="M2805" s="11">
        <v>-5.2300000000000006E-2</v>
      </c>
      <c r="N2805">
        <v>29.43</v>
      </c>
      <c r="O2805">
        <v>96.56</v>
      </c>
      <c r="P2805">
        <v>5</v>
      </c>
      <c r="Q2805" t="s">
        <v>37</v>
      </c>
      <c r="R2805">
        <v>39.244999999999997</v>
      </c>
      <c r="S2805">
        <v>7.1</v>
      </c>
      <c r="T2805" s="4">
        <v>32.177</v>
      </c>
      <c r="U2805" s="4">
        <v>62.764000000000003</v>
      </c>
      <c r="V2805" t="str">
        <f>IF(Table1[[#This Row],[ai_disruption_intensity]]&gt;70,"High",
IF(Table1[[#This Row],[ai_disruption_intensity]]&gt;40,"Medium","Low"))</f>
        <v>Medium</v>
      </c>
      <c r="W2805" t="str">
        <f>IF(Table1[[#This Row],[skill_gap_index]]&gt;70,"Large Gap",
IF(Table1[[#This Row],[skill_gap_index]]&gt;40,"Medium Gap","Small Gap"))</f>
        <v>Small Gap</v>
      </c>
      <c r="X2805" s="3" t="str">
        <f>IF(Table1[[#This Row],[automation_risk_percent]]&gt;0.7,"Highly Automatable",
IF(Table1[[#This Row],[automation_risk_percent]]&gt;0.4,"Moderate Risk","Safe Job"))</f>
        <v>Moderate Risk</v>
      </c>
    </row>
    <row r="2806" spans="1:24" x14ac:dyDescent="0.3">
      <c r="A2806">
        <v>9855</v>
      </c>
      <c r="B2806" t="s">
        <v>41</v>
      </c>
      <c r="C2806" t="s">
        <v>40</v>
      </c>
      <c r="D2806" t="s">
        <v>36</v>
      </c>
      <c r="E2806" s="1">
        <v>2025</v>
      </c>
      <c r="F2806" s="11">
        <v>0.57430000000000003</v>
      </c>
      <c r="G2806">
        <v>47.41</v>
      </c>
      <c r="H2806">
        <v>67.77</v>
      </c>
      <c r="I2806" s="2">
        <v>63914.7</v>
      </c>
      <c r="J2806" s="2">
        <v>64044.07</v>
      </c>
      <c r="K2806" s="2">
        <f>Table1[[#This Row],[Salary_after]]-Table1[[#This Row],[Salary_before]]</f>
        <v>129.37000000000262</v>
      </c>
      <c r="L2806" s="11">
        <v>2E-3</v>
      </c>
      <c r="M2806" s="11">
        <v>-6.4500000000000002E-2</v>
      </c>
      <c r="N2806">
        <v>80.97</v>
      </c>
      <c r="O2806">
        <v>19.91</v>
      </c>
      <c r="P2806">
        <v>2</v>
      </c>
      <c r="Q2806" t="s">
        <v>25</v>
      </c>
      <c r="R2806">
        <v>62.599999999999902</v>
      </c>
      <c r="S2806">
        <v>0.2</v>
      </c>
      <c r="T2806" s="4">
        <v>43.363</v>
      </c>
      <c r="U2806" s="4">
        <v>11.434313</v>
      </c>
      <c r="V2806" t="str">
        <f>IF(Table1[[#This Row],[ai_disruption_intensity]]&gt;70,"High",
IF(Table1[[#This Row],[ai_disruption_intensity]]&gt;40,"Medium","Low"))</f>
        <v>Low</v>
      </c>
      <c r="W2806" t="str">
        <f>IF(Table1[[#This Row],[skill_gap_index]]&gt;70,"Large Gap",
IF(Table1[[#This Row],[skill_gap_index]]&gt;40,"Medium Gap","Small Gap"))</f>
        <v>Medium Gap</v>
      </c>
      <c r="X2806" s="3" t="str">
        <f>IF(Table1[[#This Row],[automation_risk_percent]]&gt;0.7,"Highly Automatable",
IF(Table1[[#This Row],[automation_risk_percent]]&gt;0.4,"Moderate Risk","Safe Job"))</f>
        <v>Moderate Risk</v>
      </c>
    </row>
    <row r="2807" spans="1:24" x14ac:dyDescent="0.3">
      <c r="A2807">
        <v>9858</v>
      </c>
      <c r="B2807" t="s">
        <v>22</v>
      </c>
      <c r="C2807" t="s">
        <v>38</v>
      </c>
      <c r="D2807" t="s">
        <v>31</v>
      </c>
      <c r="E2807" s="1">
        <v>2026</v>
      </c>
      <c r="F2807" s="11">
        <v>0.6522</v>
      </c>
      <c r="G2807">
        <v>76.17</v>
      </c>
      <c r="H2807">
        <v>31.52</v>
      </c>
      <c r="I2807" s="2">
        <v>73562.66</v>
      </c>
      <c r="J2807" s="2">
        <v>75298.539999999994</v>
      </c>
      <c r="K2807" s="2">
        <f>Table1[[#This Row],[Salary_after]]-Table1[[#This Row],[Salary_before]]</f>
        <v>1735.8799999999901</v>
      </c>
      <c r="L2807" s="11">
        <v>2.3599999999999999E-2</v>
      </c>
      <c r="M2807" s="11">
        <v>0.15140000000000001</v>
      </c>
      <c r="N2807">
        <v>47.9</v>
      </c>
      <c r="O2807">
        <v>84.55</v>
      </c>
      <c r="P2807">
        <v>2</v>
      </c>
      <c r="Q2807" t="s">
        <v>37</v>
      </c>
      <c r="R2807">
        <v>48.37</v>
      </c>
      <c r="S2807">
        <v>2.36</v>
      </c>
      <c r="T2807" s="4">
        <v>36.251999999999903</v>
      </c>
      <c r="U2807" s="4">
        <v>55.143509999999999</v>
      </c>
      <c r="V2807" t="str">
        <f>IF(Table1[[#This Row],[ai_disruption_intensity]]&gt;70,"High",
IF(Table1[[#This Row],[ai_disruption_intensity]]&gt;40,"Medium","Low"))</f>
        <v>Medium</v>
      </c>
      <c r="W2807" t="str">
        <f>IF(Table1[[#This Row],[skill_gap_index]]&gt;70,"Large Gap",
IF(Table1[[#This Row],[skill_gap_index]]&gt;40,"Medium Gap","Small Gap"))</f>
        <v>Small Gap</v>
      </c>
      <c r="X2807" s="3" t="str">
        <f>IF(Table1[[#This Row],[automation_risk_percent]]&gt;0.7,"Highly Automatable",
IF(Table1[[#This Row],[automation_risk_percent]]&gt;0.4,"Moderate Risk","Safe Job"))</f>
        <v>Moderate Risk</v>
      </c>
    </row>
    <row r="2808" spans="1:24" x14ac:dyDescent="0.3">
      <c r="A2808">
        <v>9861</v>
      </c>
      <c r="B2808" t="s">
        <v>45</v>
      </c>
      <c r="C2808" t="s">
        <v>27</v>
      </c>
      <c r="D2808" t="s">
        <v>35</v>
      </c>
      <c r="E2808" s="1">
        <v>2026</v>
      </c>
      <c r="F2808" s="11">
        <v>0.46299999999999997</v>
      </c>
      <c r="G2808">
        <v>55.51</v>
      </c>
      <c r="H2808">
        <v>10.45</v>
      </c>
      <c r="I2808" s="2">
        <v>114602.29</v>
      </c>
      <c r="J2808" s="2">
        <v>107151.01</v>
      </c>
      <c r="K2808" s="2">
        <f>Table1[[#This Row],[Salary_after]]-Table1[[#This Row],[Salary_before]]</f>
        <v>-7451.2799999999988</v>
      </c>
      <c r="L2808" s="11">
        <v>-6.5000000000000002E-2</v>
      </c>
      <c r="M2808" s="11">
        <v>-1.2699999999999999E-2</v>
      </c>
      <c r="N2808">
        <v>11.68</v>
      </c>
      <c r="O2808">
        <v>0.65</v>
      </c>
      <c r="P2808">
        <v>2</v>
      </c>
      <c r="Q2808" t="s">
        <v>25</v>
      </c>
      <c r="R2808">
        <v>28.375</v>
      </c>
      <c r="S2808">
        <v>6.5</v>
      </c>
      <c r="T2808" s="4">
        <v>23.605</v>
      </c>
      <c r="U2808" s="4">
        <v>0.30095</v>
      </c>
      <c r="V2808" t="str">
        <f>IF(Table1[[#This Row],[ai_disruption_intensity]]&gt;70,"High",
IF(Table1[[#This Row],[ai_disruption_intensity]]&gt;40,"Medium","Low"))</f>
        <v>Low</v>
      </c>
      <c r="W2808" t="str">
        <f>IF(Table1[[#This Row],[skill_gap_index]]&gt;70,"Large Gap",
IF(Table1[[#This Row],[skill_gap_index]]&gt;40,"Medium Gap","Small Gap"))</f>
        <v>Small Gap</v>
      </c>
      <c r="X2808" s="3" t="str">
        <f>IF(Table1[[#This Row],[automation_risk_percent]]&gt;0.7,"Highly Automatable",
IF(Table1[[#This Row],[automation_risk_percent]]&gt;0.4,"Moderate Risk","Safe Job"))</f>
        <v>Moderate Risk</v>
      </c>
    </row>
    <row r="2809" spans="1:24" x14ac:dyDescent="0.3">
      <c r="A2809">
        <v>9870</v>
      </c>
      <c r="B2809" t="s">
        <v>44</v>
      </c>
      <c r="C2809" t="s">
        <v>27</v>
      </c>
      <c r="D2809" t="s">
        <v>35</v>
      </c>
      <c r="E2809" s="1">
        <v>2026</v>
      </c>
      <c r="F2809" s="11">
        <v>0.68459999999999999</v>
      </c>
      <c r="G2809">
        <v>61.26</v>
      </c>
      <c r="H2809">
        <v>69.349999999999994</v>
      </c>
      <c r="I2809" s="2">
        <v>83075.360000000001</v>
      </c>
      <c r="J2809" s="2">
        <v>86666.97</v>
      </c>
      <c r="K2809" s="2">
        <f>Table1[[#This Row],[Salary_after]]-Table1[[#This Row],[Salary_before]]</f>
        <v>3591.6100000000006</v>
      </c>
      <c r="L2809" s="11">
        <v>4.3200000000000002E-2</v>
      </c>
      <c r="M2809" s="11">
        <v>-8.6800000000000002E-2</v>
      </c>
      <c r="N2809">
        <v>85.36</v>
      </c>
      <c r="O2809">
        <v>92.68</v>
      </c>
      <c r="P2809">
        <v>4</v>
      </c>
      <c r="Q2809" t="s">
        <v>37</v>
      </c>
      <c r="R2809">
        <v>68.905000000000001</v>
      </c>
      <c r="S2809">
        <v>4.32</v>
      </c>
      <c r="T2809" s="4">
        <v>49.4849999999999</v>
      </c>
      <c r="U2809" s="4">
        <v>63.448728000000003</v>
      </c>
      <c r="V2809" t="str">
        <f>IF(Table1[[#This Row],[ai_disruption_intensity]]&gt;70,"High",
IF(Table1[[#This Row],[ai_disruption_intensity]]&gt;40,"Medium","Low"))</f>
        <v>Medium</v>
      </c>
      <c r="W2809" t="str">
        <f>IF(Table1[[#This Row],[skill_gap_index]]&gt;70,"Large Gap",
IF(Table1[[#This Row],[skill_gap_index]]&gt;40,"Medium Gap","Small Gap"))</f>
        <v>Medium Gap</v>
      </c>
      <c r="X2809" s="3" t="str">
        <f>IF(Table1[[#This Row],[automation_risk_percent]]&gt;0.7,"Highly Automatable",
IF(Table1[[#This Row],[automation_risk_percent]]&gt;0.4,"Moderate Risk","Safe Job"))</f>
        <v>Moderate Risk</v>
      </c>
    </row>
    <row r="2810" spans="1:24" x14ac:dyDescent="0.3">
      <c r="A2810">
        <v>9878</v>
      </c>
      <c r="B2810" t="s">
        <v>46</v>
      </c>
      <c r="C2810" t="s">
        <v>19</v>
      </c>
      <c r="D2810" t="s">
        <v>36</v>
      </c>
      <c r="E2810" s="1">
        <v>2025</v>
      </c>
      <c r="F2810" s="11">
        <v>0.3024</v>
      </c>
      <c r="G2810">
        <v>34.520000000000003</v>
      </c>
      <c r="H2810">
        <v>11.26</v>
      </c>
      <c r="I2810" s="2">
        <v>96485.63</v>
      </c>
      <c r="J2810" s="2">
        <v>102723.4</v>
      </c>
      <c r="K2810" s="2">
        <f>Table1[[#This Row],[Salary_after]]-Table1[[#This Row],[Salary_before]]</f>
        <v>6237.7699999999895</v>
      </c>
      <c r="L2810" s="11">
        <v>6.4600000000000005E-2</v>
      </c>
      <c r="M2810" s="11">
        <v>3.5699999999999996E-2</v>
      </c>
      <c r="N2810">
        <v>80.959999999999994</v>
      </c>
      <c r="O2810">
        <v>43.34</v>
      </c>
      <c r="P2810">
        <v>3</v>
      </c>
      <c r="Q2810" t="s">
        <v>25</v>
      </c>
      <c r="R2810">
        <v>20.75</v>
      </c>
      <c r="S2810">
        <v>6.46</v>
      </c>
      <c r="T2810" s="4">
        <v>17.411999999999999</v>
      </c>
      <c r="U2810" s="4">
        <v>13.106016</v>
      </c>
      <c r="V2810" t="str">
        <f>IF(Table1[[#This Row],[ai_disruption_intensity]]&gt;70,"High",
IF(Table1[[#This Row],[ai_disruption_intensity]]&gt;40,"Medium","Low"))</f>
        <v>Low</v>
      </c>
      <c r="W2810" t="str">
        <f>IF(Table1[[#This Row],[skill_gap_index]]&gt;70,"Large Gap",
IF(Table1[[#This Row],[skill_gap_index]]&gt;40,"Medium Gap","Small Gap"))</f>
        <v>Small Gap</v>
      </c>
      <c r="X2810" s="3" t="str">
        <f>IF(Table1[[#This Row],[automation_risk_percent]]&gt;0.7,"Highly Automatable",
IF(Table1[[#This Row],[automation_risk_percent]]&gt;0.4,"Moderate Risk","Safe Job"))</f>
        <v>Safe Job</v>
      </c>
    </row>
    <row r="2811" spans="1:24" x14ac:dyDescent="0.3">
      <c r="A2811">
        <v>9879</v>
      </c>
      <c r="B2811" t="s">
        <v>22</v>
      </c>
      <c r="C2811" t="s">
        <v>19</v>
      </c>
      <c r="D2811" t="s">
        <v>20</v>
      </c>
      <c r="E2811" s="1">
        <v>2026</v>
      </c>
      <c r="F2811" s="11">
        <v>0.5484</v>
      </c>
      <c r="G2811">
        <v>60.23</v>
      </c>
      <c r="H2811">
        <v>7.11</v>
      </c>
      <c r="I2811" s="2">
        <v>110846.37</v>
      </c>
      <c r="J2811" s="2">
        <v>107644.81</v>
      </c>
      <c r="K2811" s="2">
        <f>Table1[[#This Row],[Salary_after]]-Table1[[#This Row],[Salary_before]]</f>
        <v>-3201.5599999999977</v>
      </c>
      <c r="L2811" s="11">
        <v>-2.8900000000000002E-2</v>
      </c>
      <c r="M2811" s="11">
        <v>1.6500000000000001E-2</v>
      </c>
      <c r="N2811">
        <v>51.51</v>
      </c>
      <c r="O2811">
        <v>97.95</v>
      </c>
      <c r="P2811">
        <v>3</v>
      </c>
      <c r="Q2811" t="s">
        <v>25</v>
      </c>
      <c r="R2811">
        <v>30.975000000000001</v>
      </c>
      <c r="S2811">
        <v>2.89</v>
      </c>
      <c r="T2811" s="4">
        <v>24.936</v>
      </c>
      <c r="U2811" s="4">
        <v>53.715780000000002</v>
      </c>
      <c r="V2811" t="str">
        <f>IF(Table1[[#This Row],[ai_disruption_intensity]]&gt;70,"High",
IF(Table1[[#This Row],[ai_disruption_intensity]]&gt;40,"Medium","Low"))</f>
        <v>Medium</v>
      </c>
      <c r="W2811" t="str">
        <f>IF(Table1[[#This Row],[skill_gap_index]]&gt;70,"Large Gap",
IF(Table1[[#This Row],[skill_gap_index]]&gt;40,"Medium Gap","Small Gap"))</f>
        <v>Small Gap</v>
      </c>
      <c r="X2811" s="3" t="str">
        <f>IF(Table1[[#This Row],[automation_risk_percent]]&gt;0.7,"Highly Automatable",
IF(Table1[[#This Row],[automation_risk_percent]]&gt;0.4,"Moderate Risk","Safe Job"))</f>
        <v>Moderate Risk</v>
      </c>
    </row>
    <row r="2812" spans="1:24" x14ac:dyDescent="0.3">
      <c r="A2812">
        <v>9884</v>
      </c>
      <c r="B2812" t="s">
        <v>43</v>
      </c>
      <c r="C2812" t="s">
        <v>33</v>
      </c>
      <c r="D2812" t="s">
        <v>36</v>
      </c>
      <c r="E2812" s="1">
        <v>2026</v>
      </c>
      <c r="F2812" s="11">
        <v>0.11650000000000001</v>
      </c>
      <c r="G2812">
        <v>9.86</v>
      </c>
      <c r="H2812">
        <v>15.77</v>
      </c>
      <c r="I2812" s="2">
        <v>52879.53</v>
      </c>
      <c r="J2812" s="2">
        <v>56582.53</v>
      </c>
      <c r="K2812" s="2">
        <f>Table1[[#This Row],[Salary_after]]-Table1[[#This Row],[Salary_before]]</f>
        <v>3703</v>
      </c>
      <c r="L2812" s="11">
        <v>7.0000000000000007E-2</v>
      </c>
      <c r="M2812" s="11">
        <v>4.5499999999999999E-2</v>
      </c>
      <c r="N2812">
        <v>96.79</v>
      </c>
      <c r="O2812">
        <v>67.64</v>
      </c>
      <c r="P2812">
        <v>5</v>
      </c>
      <c r="Q2812" t="s">
        <v>21</v>
      </c>
      <c r="R2812">
        <v>13.71</v>
      </c>
      <c r="S2812">
        <v>7</v>
      </c>
      <c r="T2812" s="4">
        <v>11.491</v>
      </c>
      <c r="U2812" s="4">
        <v>7.8800600000000003</v>
      </c>
      <c r="V2812" t="str">
        <f>IF(Table1[[#This Row],[ai_disruption_intensity]]&gt;70,"High",
IF(Table1[[#This Row],[ai_disruption_intensity]]&gt;40,"Medium","Low"))</f>
        <v>Low</v>
      </c>
      <c r="W2812" t="str">
        <f>IF(Table1[[#This Row],[skill_gap_index]]&gt;70,"Large Gap",
IF(Table1[[#This Row],[skill_gap_index]]&gt;40,"Medium Gap","Small Gap"))</f>
        <v>Small Gap</v>
      </c>
      <c r="X2812" s="3" t="str">
        <f>IF(Table1[[#This Row],[automation_risk_percent]]&gt;0.7,"Highly Automatable",
IF(Table1[[#This Row],[automation_risk_percent]]&gt;0.4,"Moderate Risk","Safe Job"))</f>
        <v>Safe Job</v>
      </c>
    </row>
    <row r="2813" spans="1:24" x14ac:dyDescent="0.3">
      <c r="A2813">
        <v>9885</v>
      </c>
      <c r="B2813" t="s">
        <v>26</v>
      </c>
      <c r="C2813" t="s">
        <v>19</v>
      </c>
      <c r="D2813" t="s">
        <v>35</v>
      </c>
      <c r="E2813" s="1">
        <v>2026</v>
      </c>
      <c r="F2813" s="11">
        <v>0.12480000000000001</v>
      </c>
      <c r="G2813">
        <v>10.01</v>
      </c>
      <c r="H2813">
        <v>33.5</v>
      </c>
      <c r="I2813" s="2">
        <v>45054.73</v>
      </c>
      <c r="J2813" s="2">
        <v>44206.239999999998</v>
      </c>
      <c r="K2813" s="2">
        <f>Table1[[#This Row],[Salary_after]]-Table1[[#This Row],[Salary_before]]</f>
        <v>-848.49000000000524</v>
      </c>
      <c r="L2813" s="11">
        <v>-1.8799999999999997E-2</v>
      </c>
      <c r="M2813" s="11">
        <v>-2.6099999999999998E-2</v>
      </c>
      <c r="N2813">
        <v>91.22</v>
      </c>
      <c r="O2813">
        <v>72.83</v>
      </c>
      <c r="P2813">
        <v>1</v>
      </c>
      <c r="Q2813" t="s">
        <v>21</v>
      </c>
      <c r="R2813">
        <v>22.99</v>
      </c>
      <c r="S2813">
        <v>1.88</v>
      </c>
      <c r="T2813" s="4">
        <v>15.606</v>
      </c>
      <c r="U2813" s="4">
        <v>9.0891839999999995</v>
      </c>
      <c r="V2813" t="str">
        <f>IF(Table1[[#This Row],[ai_disruption_intensity]]&gt;70,"High",
IF(Table1[[#This Row],[ai_disruption_intensity]]&gt;40,"Medium","Low"))</f>
        <v>Low</v>
      </c>
      <c r="W2813" t="str">
        <f>IF(Table1[[#This Row],[skill_gap_index]]&gt;70,"Large Gap",
IF(Table1[[#This Row],[skill_gap_index]]&gt;40,"Medium Gap","Small Gap"))</f>
        <v>Small Gap</v>
      </c>
      <c r="X2813" s="3" t="str">
        <f>IF(Table1[[#This Row],[automation_risk_percent]]&gt;0.7,"Highly Automatable",
IF(Table1[[#This Row],[automation_risk_percent]]&gt;0.4,"Moderate Risk","Safe Job"))</f>
        <v>Safe Job</v>
      </c>
    </row>
    <row r="2814" spans="1:24" x14ac:dyDescent="0.3">
      <c r="A2814">
        <v>9887</v>
      </c>
      <c r="B2814" t="s">
        <v>41</v>
      </c>
      <c r="C2814" t="s">
        <v>40</v>
      </c>
      <c r="D2814" t="s">
        <v>32</v>
      </c>
      <c r="E2814" s="1">
        <v>2026</v>
      </c>
      <c r="F2814" s="11">
        <v>0.7881999999999999</v>
      </c>
      <c r="G2814">
        <v>77.099999999999994</v>
      </c>
      <c r="H2814">
        <v>42.1</v>
      </c>
      <c r="I2814" s="2">
        <v>31294.03</v>
      </c>
      <c r="J2814" s="2">
        <v>29770.92</v>
      </c>
      <c r="K2814" s="2">
        <f>Table1[[#This Row],[Salary_after]]-Table1[[#This Row],[Salary_before]]</f>
        <v>-1523.1100000000006</v>
      </c>
      <c r="L2814" s="11">
        <v>-4.87E-2</v>
      </c>
      <c r="M2814" s="11">
        <v>0.12740000000000001</v>
      </c>
      <c r="N2814">
        <v>52.37</v>
      </c>
      <c r="O2814">
        <v>41.13</v>
      </c>
      <c r="P2814">
        <v>5</v>
      </c>
      <c r="Q2814" t="s">
        <v>37</v>
      </c>
      <c r="R2814">
        <v>60.459999999999901</v>
      </c>
      <c r="S2814">
        <v>4.87</v>
      </c>
      <c r="T2814" s="4">
        <v>45.619</v>
      </c>
      <c r="U2814" s="4">
        <v>32.418666000000002</v>
      </c>
      <c r="V2814" t="str">
        <f>IF(Table1[[#This Row],[ai_disruption_intensity]]&gt;70,"High",
IF(Table1[[#This Row],[ai_disruption_intensity]]&gt;40,"Medium","Low"))</f>
        <v>Low</v>
      </c>
      <c r="W2814" t="str">
        <f>IF(Table1[[#This Row],[skill_gap_index]]&gt;70,"Large Gap",
IF(Table1[[#This Row],[skill_gap_index]]&gt;40,"Medium Gap","Small Gap"))</f>
        <v>Medium Gap</v>
      </c>
      <c r="X2814" s="3" t="str">
        <f>IF(Table1[[#This Row],[automation_risk_percent]]&gt;0.7,"Highly Automatable",
IF(Table1[[#This Row],[automation_risk_percent]]&gt;0.4,"Moderate Risk","Safe Job"))</f>
        <v>Highly Automatable</v>
      </c>
    </row>
    <row r="2815" spans="1:24" x14ac:dyDescent="0.3">
      <c r="A2815">
        <v>9889</v>
      </c>
      <c r="B2815" t="s">
        <v>46</v>
      </c>
      <c r="C2815" t="s">
        <v>33</v>
      </c>
      <c r="D2815" t="s">
        <v>47</v>
      </c>
      <c r="E2815" s="1">
        <v>2025</v>
      </c>
      <c r="F2815" s="11">
        <v>0.13650000000000001</v>
      </c>
      <c r="G2815">
        <v>15.15</v>
      </c>
      <c r="H2815">
        <v>9.64</v>
      </c>
      <c r="I2815" s="2">
        <v>86839.28</v>
      </c>
      <c r="J2815" s="2">
        <v>84685.3</v>
      </c>
      <c r="K2815" s="2">
        <f>Table1[[#This Row],[Salary_after]]-Table1[[#This Row],[Salary_before]]</f>
        <v>-2153.9799999999959</v>
      </c>
      <c r="L2815" s="11">
        <v>-2.4799999999999999E-2</v>
      </c>
      <c r="M2815" s="11">
        <v>0.15410000000000001</v>
      </c>
      <c r="N2815">
        <v>96.7</v>
      </c>
      <c r="O2815">
        <v>63.1</v>
      </c>
      <c r="P2815">
        <v>5</v>
      </c>
      <c r="Q2815" t="s">
        <v>21</v>
      </c>
      <c r="R2815">
        <v>11.645</v>
      </c>
      <c r="S2815">
        <v>2.48</v>
      </c>
      <c r="T2815" s="4">
        <v>9.0960000000000001</v>
      </c>
      <c r="U2815" s="4">
        <v>8.6131499999999992</v>
      </c>
      <c r="V2815" t="str">
        <f>IF(Table1[[#This Row],[ai_disruption_intensity]]&gt;70,"High",
IF(Table1[[#This Row],[ai_disruption_intensity]]&gt;40,"Medium","Low"))</f>
        <v>Low</v>
      </c>
      <c r="W2815" t="str">
        <f>IF(Table1[[#This Row],[skill_gap_index]]&gt;70,"Large Gap",
IF(Table1[[#This Row],[skill_gap_index]]&gt;40,"Medium Gap","Small Gap"))</f>
        <v>Small Gap</v>
      </c>
      <c r="X2815" s="3" t="str">
        <f>IF(Table1[[#This Row],[automation_risk_percent]]&gt;0.7,"Highly Automatable",
IF(Table1[[#This Row],[automation_risk_percent]]&gt;0.4,"Moderate Risk","Safe Job"))</f>
        <v>Safe Job</v>
      </c>
    </row>
    <row r="2816" spans="1:24" x14ac:dyDescent="0.3">
      <c r="A2816">
        <v>9890</v>
      </c>
      <c r="B2816" t="s">
        <v>39</v>
      </c>
      <c r="C2816" t="s">
        <v>27</v>
      </c>
      <c r="D2816" t="s">
        <v>35</v>
      </c>
      <c r="E2816" s="1">
        <v>2025</v>
      </c>
      <c r="F2816" s="11">
        <v>0.62970000000000004</v>
      </c>
      <c r="G2816">
        <v>63.21</v>
      </c>
      <c r="H2816">
        <v>42.98</v>
      </c>
      <c r="I2816" s="2">
        <v>40161.32</v>
      </c>
      <c r="J2816" s="2">
        <v>40915.980000000003</v>
      </c>
      <c r="K2816" s="2">
        <f>Table1[[#This Row],[Salary_after]]-Table1[[#This Row],[Salary_before]]</f>
        <v>754.66000000000349</v>
      </c>
      <c r="L2816" s="11">
        <v>1.8799999999999997E-2</v>
      </c>
      <c r="M2816" s="11">
        <v>-4.9599999999999998E-2</v>
      </c>
      <c r="N2816">
        <v>65.23</v>
      </c>
      <c r="O2816">
        <v>98.48</v>
      </c>
      <c r="P2816">
        <v>1</v>
      </c>
      <c r="Q2816" t="s">
        <v>37</v>
      </c>
      <c r="R2816">
        <v>52.974999999999902</v>
      </c>
      <c r="S2816">
        <v>1.88</v>
      </c>
      <c r="T2816" s="4">
        <v>38.646000000000001</v>
      </c>
      <c r="U2816" s="4">
        <v>62.012855999999999</v>
      </c>
      <c r="V2816" t="str">
        <f>IF(Table1[[#This Row],[ai_disruption_intensity]]&gt;70,"High",
IF(Table1[[#This Row],[ai_disruption_intensity]]&gt;40,"Medium","Low"))</f>
        <v>Medium</v>
      </c>
      <c r="W2816" t="str">
        <f>IF(Table1[[#This Row],[skill_gap_index]]&gt;70,"Large Gap",
IF(Table1[[#This Row],[skill_gap_index]]&gt;40,"Medium Gap","Small Gap"))</f>
        <v>Medium Gap</v>
      </c>
      <c r="X2816" s="3" t="str">
        <f>IF(Table1[[#This Row],[automation_risk_percent]]&gt;0.7,"Highly Automatable",
IF(Table1[[#This Row],[automation_risk_percent]]&gt;0.4,"Moderate Risk","Safe Job"))</f>
        <v>Moderate Risk</v>
      </c>
    </row>
    <row r="2817" spans="1:24" x14ac:dyDescent="0.3">
      <c r="A2817">
        <v>9891</v>
      </c>
      <c r="B2817" t="s">
        <v>22</v>
      </c>
      <c r="C2817" t="s">
        <v>40</v>
      </c>
      <c r="D2817" t="s">
        <v>42</v>
      </c>
      <c r="E2817" s="1">
        <v>2025</v>
      </c>
      <c r="F2817" s="11">
        <v>0.70040000000000002</v>
      </c>
      <c r="G2817">
        <v>79.69</v>
      </c>
      <c r="H2817">
        <v>28.66</v>
      </c>
      <c r="I2817" s="2">
        <v>79413.84</v>
      </c>
      <c r="J2817" s="2">
        <v>80867.759999999995</v>
      </c>
      <c r="K2817" s="2">
        <f>Table1[[#This Row],[Salary_after]]-Table1[[#This Row],[Salary_before]]</f>
        <v>1453.9199999999983</v>
      </c>
      <c r="L2817" s="11">
        <v>1.83E-2</v>
      </c>
      <c r="M2817" s="11">
        <v>-3.9300000000000002E-2</v>
      </c>
      <c r="N2817">
        <v>16.260000000000002</v>
      </c>
      <c r="O2817">
        <v>44.68</v>
      </c>
      <c r="P2817">
        <v>5</v>
      </c>
      <c r="Q2817" t="s">
        <v>37</v>
      </c>
      <c r="R2817">
        <v>49.35</v>
      </c>
      <c r="S2817">
        <v>1.83</v>
      </c>
      <c r="T2817" s="4">
        <v>37.162999999999997</v>
      </c>
      <c r="U2817" s="4">
        <v>31.293872</v>
      </c>
      <c r="V2817" t="str">
        <f>IF(Table1[[#This Row],[ai_disruption_intensity]]&gt;70,"High",
IF(Table1[[#This Row],[ai_disruption_intensity]]&gt;40,"Medium","Low"))</f>
        <v>Low</v>
      </c>
      <c r="W2817" t="str">
        <f>IF(Table1[[#This Row],[skill_gap_index]]&gt;70,"Large Gap",
IF(Table1[[#This Row],[skill_gap_index]]&gt;40,"Medium Gap","Small Gap"))</f>
        <v>Small Gap</v>
      </c>
      <c r="X2817" s="3" t="str">
        <f>IF(Table1[[#This Row],[automation_risk_percent]]&gt;0.7,"Highly Automatable",
IF(Table1[[#This Row],[automation_risk_percent]]&gt;0.4,"Moderate Risk","Safe Job"))</f>
        <v>Highly Automatable</v>
      </c>
    </row>
    <row r="2818" spans="1:24" x14ac:dyDescent="0.3">
      <c r="A2818">
        <v>9894</v>
      </c>
      <c r="B2818" t="s">
        <v>39</v>
      </c>
      <c r="C2818" t="s">
        <v>30</v>
      </c>
      <c r="D2818" t="s">
        <v>28</v>
      </c>
      <c r="E2818" s="1">
        <v>2026</v>
      </c>
      <c r="F2818" s="11">
        <v>0.6</v>
      </c>
      <c r="G2818">
        <v>63.54</v>
      </c>
      <c r="H2818">
        <v>24.18</v>
      </c>
      <c r="I2818" s="2">
        <v>114816.27</v>
      </c>
      <c r="J2818" s="2">
        <v>104576.85</v>
      </c>
      <c r="K2818" s="2">
        <f>Table1[[#This Row],[Salary_after]]-Table1[[#This Row],[Salary_before]]</f>
        <v>-10239.419999999998</v>
      </c>
      <c r="L2818" s="11">
        <v>-8.9200000000000002E-2</v>
      </c>
      <c r="M2818" s="11">
        <v>4.4199999999999996E-2</v>
      </c>
      <c r="N2818">
        <v>61.9</v>
      </c>
      <c r="O2818">
        <v>57.7</v>
      </c>
      <c r="P2818">
        <v>4</v>
      </c>
      <c r="Q2818" t="s">
        <v>37</v>
      </c>
      <c r="R2818">
        <v>42.09</v>
      </c>
      <c r="S2818">
        <v>8.92</v>
      </c>
      <c r="T2818" s="4">
        <v>33.93</v>
      </c>
      <c r="U2818" s="4">
        <v>34.619999999999997</v>
      </c>
      <c r="V2818" t="str">
        <f>IF(Table1[[#This Row],[ai_disruption_intensity]]&gt;70,"High",
IF(Table1[[#This Row],[ai_disruption_intensity]]&gt;40,"Medium","Low"))</f>
        <v>Low</v>
      </c>
      <c r="W2818" t="str">
        <f>IF(Table1[[#This Row],[skill_gap_index]]&gt;70,"Large Gap",
IF(Table1[[#This Row],[skill_gap_index]]&gt;40,"Medium Gap","Small Gap"))</f>
        <v>Small Gap</v>
      </c>
      <c r="X2818" s="3" t="str">
        <f>IF(Table1[[#This Row],[automation_risk_percent]]&gt;0.7,"Highly Automatable",
IF(Table1[[#This Row],[automation_risk_percent]]&gt;0.4,"Moderate Risk","Safe Job"))</f>
        <v>Moderate Risk</v>
      </c>
    </row>
    <row r="2819" spans="1:24" x14ac:dyDescent="0.3">
      <c r="A2819">
        <v>9896</v>
      </c>
      <c r="B2819" t="s">
        <v>18</v>
      </c>
      <c r="C2819" t="s">
        <v>38</v>
      </c>
      <c r="D2819" t="s">
        <v>32</v>
      </c>
      <c r="E2819" s="1">
        <v>2026</v>
      </c>
      <c r="F2819" s="11">
        <v>0.1789</v>
      </c>
      <c r="G2819">
        <v>20.059999999999999</v>
      </c>
      <c r="H2819">
        <v>24.82</v>
      </c>
      <c r="I2819" s="2">
        <v>90414.84</v>
      </c>
      <c r="J2819" s="2">
        <v>92619.48</v>
      </c>
      <c r="K2819" s="2">
        <f>Table1[[#This Row],[Salary_after]]-Table1[[#This Row],[Salary_before]]</f>
        <v>2204.6399999999994</v>
      </c>
      <c r="L2819" s="11">
        <v>2.4399999999999998E-2</v>
      </c>
      <c r="M2819" s="11">
        <v>-0.1003</v>
      </c>
      <c r="N2819">
        <v>55.79</v>
      </c>
      <c r="O2819">
        <v>40.07</v>
      </c>
      <c r="P2819">
        <v>2</v>
      </c>
      <c r="Q2819" t="s">
        <v>21</v>
      </c>
      <c r="R2819">
        <v>21.355</v>
      </c>
      <c r="S2819">
        <v>2.44</v>
      </c>
      <c r="T2819" s="4">
        <v>15.334</v>
      </c>
      <c r="U2819" s="4">
        <v>7.1685230000000004</v>
      </c>
      <c r="V2819" t="str">
        <f>IF(Table1[[#This Row],[ai_disruption_intensity]]&gt;70,"High",
IF(Table1[[#This Row],[ai_disruption_intensity]]&gt;40,"Medium","Low"))</f>
        <v>Low</v>
      </c>
      <c r="W2819" t="str">
        <f>IF(Table1[[#This Row],[skill_gap_index]]&gt;70,"Large Gap",
IF(Table1[[#This Row],[skill_gap_index]]&gt;40,"Medium Gap","Small Gap"))</f>
        <v>Small Gap</v>
      </c>
      <c r="X2819" s="3" t="str">
        <f>IF(Table1[[#This Row],[automation_risk_percent]]&gt;0.7,"Highly Automatable",
IF(Table1[[#This Row],[automation_risk_percent]]&gt;0.4,"Moderate Risk","Safe Job"))</f>
        <v>Safe Job</v>
      </c>
    </row>
    <row r="2820" spans="1:24" x14ac:dyDescent="0.3">
      <c r="A2820">
        <v>9898</v>
      </c>
      <c r="B2820" t="s">
        <v>26</v>
      </c>
      <c r="C2820" t="s">
        <v>19</v>
      </c>
      <c r="D2820" t="s">
        <v>47</v>
      </c>
      <c r="E2820" s="1">
        <v>2026</v>
      </c>
      <c r="F2820" s="11">
        <v>0.52539999999999998</v>
      </c>
      <c r="G2820">
        <v>49.73</v>
      </c>
      <c r="H2820">
        <v>37.520000000000003</v>
      </c>
      <c r="I2820" s="2">
        <v>54641.760000000002</v>
      </c>
      <c r="J2820" s="2">
        <v>57856.23</v>
      </c>
      <c r="K2820" s="2">
        <f>Table1[[#This Row],[Salary_after]]-Table1[[#This Row],[Salary_before]]</f>
        <v>3214.4700000000012</v>
      </c>
      <c r="L2820" s="11">
        <v>5.8799999999999998E-2</v>
      </c>
      <c r="M2820" s="11">
        <v>-0.1069</v>
      </c>
      <c r="N2820">
        <v>10.34</v>
      </c>
      <c r="O2820">
        <v>2.3199999999999998</v>
      </c>
      <c r="P2820">
        <v>5</v>
      </c>
      <c r="Q2820" t="s">
        <v>25</v>
      </c>
      <c r="R2820">
        <v>45.03</v>
      </c>
      <c r="S2820">
        <v>5.88</v>
      </c>
      <c r="T2820" s="4">
        <v>34.036000000000001</v>
      </c>
      <c r="U2820" s="4">
        <v>1.218928</v>
      </c>
      <c r="V2820" t="str">
        <f>IF(Table1[[#This Row],[ai_disruption_intensity]]&gt;70,"High",
IF(Table1[[#This Row],[ai_disruption_intensity]]&gt;40,"Medium","Low"))</f>
        <v>Low</v>
      </c>
      <c r="W2820" t="str">
        <f>IF(Table1[[#This Row],[skill_gap_index]]&gt;70,"Large Gap",
IF(Table1[[#This Row],[skill_gap_index]]&gt;40,"Medium Gap","Small Gap"))</f>
        <v>Small Gap</v>
      </c>
      <c r="X2820" s="3" t="str">
        <f>IF(Table1[[#This Row],[automation_risk_percent]]&gt;0.7,"Highly Automatable",
IF(Table1[[#This Row],[automation_risk_percent]]&gt;0.4,"Moderate Risk","Safe Job"))</f>
        <v>Moderate Risk</v>
      </c>
    </row>
    <row r="2821" spans="1:24" x14ac:dyDescent="0.3">
      <c r="A2821">
        <v>9902</v>
      </c>
      <c r="B2821" t="s">
        <v>44</v>
      </c>
      <c r="C2821" t="s">
        <v>27</v>
      </c>
      <c r="D2821" t="s">
        <v>42</v>
      </c>
      <c r="E2821" s="1">
        <v>2026</v>
      </c>
      <c r="F2821" s="11">
        <v>0.15240000000000001</v>
      </c>
      <c r="G2821">
        <v>14.45</v>
      </c>
      <c r="H2821">
        <v>46.31</v>
      </c>
      <c r="I2821" s="2">
        <v>129940.93</v>
      </c>
      <c r="J2821" s="2">
        <v>122053.57</v>
      </c>
      <c r="K2821" s="2">
        <f>Table1[[#This Row],[Salary_after]]-Table1[[#This Row],[Salary_before]]</f>
        <v>-7887.359999999986</v>
      </c>
      <c r="L2821" s="11">
        <v>-6.0700000000000004E-2</v>
      </c>
      <c r="M2821" s="11">
        <v>2.3799999999999998E-2</v>
      </c>
      <c r="N2821">
        <v>78.33</v>
      </c>
      <c r="O2821">
        <v>37.56</v>
      </c>
      <c r="P2821">
        <v>4</v>
      </c>
      <c r="Q2821" t="s">
        <v>21</v>
      </c>
      <c r="R2821">
        <v>30.774999999999999</v>
      </c>
      <c r="S2821">
        <v>6.07</v>
      </c>
      <c r="T2821" s="4">
        <v>21.81</v>
      </c>
      <c r="U2821" s="4">
        <v>5.7241439999999999</v>
      </c>
      <c r="V2821" t="str">
        <f>IF(Table1[[#This Row],[ai_disruption_intensity]]&gt;70,"High",
IF(Table1[[#This Row],[ai_disruption_intensity]]&gt;40,"Medium","Low"))</f>
        <v>Low</v>
      </c>
      <c r="W2821" t="str">
        <f>IF(Table1[[#This Row],[skill_gap_index]]&gt;70,"Large Gap",
IF(Table1[[#This Row],[skill_gap_index]]&gt;40,"Medium Gap","Small Gap"))</f>
        <v>Medium Gap</v>
      </c>
      <c r="X2821" s="3" t="str">
        <f>IF(Table1[[#This Row],[automation_risk_percent]]&gt;0.7,"Highly Automatable",
IF(Table1[[#This Row],[automation_risk_percent]]&gt;0.4,"Moderate Risk","Safe Job"))</f>
        <v>Safe Job</v>
      </c>
    </row>
    <row r="2822" spans="1:24" x14ac:dyDescent="0.3">
      <c r="A2822">
        <v>9906</v>
      </c>
      <c r="B2822" t="s">
        <v>22</v>
      </c>
      <c r="C2822" t="s">
        <v>19</v>
      </c>
      <c r="D2822" t="s">
        <v>28</v>
      </c>
      <c r="E2822" s="1">
        <v>2026</v>
      </c>
      <c r="F2822" s="11">
        <v>0.17280000000000001</v>
      </c>
      <c r="G2822">
        <v>20.67</v>
      </c>
      <c r="H2822">
        <v>62.25</v>
      </c>
      <c r="I2822" s="2">
        <v>145029.56</v>
      </c>
      <c r="J2822" s="2">
        <v>149143.73000000001</v>
      </c>
      <c r="K2822" s="2">
        <f>Table1[[#This Row],[Salary_after]]-Table1[[#This Row],[Salary_before]]</f>
        <v>4114.1700000000128</v>
      </c>
      <c r="L2822" s="11">
        <v>2.8399999999999998E-2</v>
      </c>
      <c r="M2822" s="11">
        <v>0.126</v>
      </c>
      <c r="N2822">
        <v>63.09</v>
      </c>
      <c r="O2822">
        <v>99.26</v>
      </c>
      <c r="P2822">
        <v>2</v>
      </c>
      <c r="Q2822" t="s">
        <v>21</v>
      </c>
      <c r="R2822">
        <v>39.765000000000001</v>
      </c>
      <c r="S2822">
        <v>2.84</v>
      </c>
      <c r="T2822" s="4">
        <v>26.439</v>
      </c>
      <c r="U2822" s="4">
        <v>17.152128000000001</v>
      </c>
      <c r="V2822" t="str">
        <f>IF(Table1[[#This Row],[ai_disruption_intensity]]&gt;70,"High",
IF(Table1[[#This Row],[ai_disruption_intensity]]&gt;40,"Medium","Low"))</f>
        <v>Low</v>
      </c>
      <c r="W2822" t="str">
        <f>IF(Table1[[#This Row],[skill_gap_index]]&gt;70,"Large Gap",
IF(Table1[[#This Row],[skill_gap_index]]&gt;40,"Medium Gap","Small Gap"))</f>
        <v>Medium Gap</v>
      </c>
      <c r="X2822" s="3" t="str">
        <f>IF(Table1[[#This Row],[automation_risk_percent]]&gt;0.7,"Highly Automatable",
IF(Table1[[#This Row],[automation_risk_percent]]&gt;0.4,"Moderate Risk","Safe Job"))</f>
        <v>Safe Job</v>
      </c>
    </row>
    <row r="2823" spans="1:24" x14ac:dyDescent="0.3">
      <c r="A2823">
        <v>9907</v>
      </c>
      <c r="B2823" t="s">
        <v>26</v>
      </c>
      <c r="C2823" t="s">
        <v>34</v>
      </c>
      <c r="D2823" t="s">
        <v>28</v>
      </c>
      <c r="E2823" s="1">
        <v>2025</v>
      </c>
      <c r="F2823" s="11">
        <v>0.36060000000000003</v>
      </c>
      <c r="G2823">
        <v>31.43</v>
      </c>
      <c r="H2823">
        <v>99.29</v>
      </c>
      <c r="I2823" s="2">
        <v>68822.759999999995</v>
      </c>
      <c r="J2823" s="2">
        <v>70519.27</v>
      </c>
      <c r="K2823" s="2">
        <f>Table1[[#This Row],[Salary_after]]-Table1[[#This Row],[Salary_before]]</f>
        <v>1696.5100000000093</v>
      </c>
      <c r="L2823" s="11">
        <v>2.4700000000000003E-2</v>
      </c>
      <c r="M2823" s="11">
        <v>3.0999999999999999E-3</v>
      </c>
      <c r="N2823">
        <v>50.14</v>
      </c>
      <c r="O2823">
        <v>38.799999999999997</v>
      </c>
      <c r="P2823">
        <v>1</v>
      </c>
      <c r="Q2823" t="s">
        <v>25</v>
      </c>
      <c r="R2823">
        <v>67.674999999999997</v>
      </c>
      <c r="S2823">
        <v>2.4700000000000002</v>
      </c>
      <c r="T2823" s="4">
        <v>44.951999999999998</v>
      </c>
      <c r="U2823" s="4">
        <v>13.99128</v>
      </c>
      <c r="V2823" t="str">
        <f>IF(Table1[[#This Row],[ai_disruption_intensity]]&gt;70,"High",
IF(Table1[[#This Row],[ai_disruption_intensity]]&gt;40,"Medium","Low"))</f>
        <v>Low</v>
      </c>
      <c r="W2823" t="str">
        <f>IF(Table1[[#This Row],[skill_gap_index]]&gt;70,"Large Gap",
IF(Table1[[#This Row],[skill_gap_index]]&gt;40,"Medium Gap","Small Gap"))</f>
        <v>Large Gap</v>
      </c>
      <c r="X2823" s="3" t="str">
        <f>IF(Table1[[#This Row],[automation_risk_percent]]&gt;0.7,"Highly Automatable",
IF(Table1[[#This Row],[automation_risk_percent]]&gt;0.4,"Moderate Risk","Safe Job"))</f>
        <v>Safe Job</v>
      </c>
    </row>
    <row r="2824" spans="1:24" x14ac:dyDescent="0.3">
      <c r="A2824">
        <v>9908</v>
      </c>
      <c r="B2824" t="s">
        <v>26</v>
      </c>
      <c r="C2824" t="s">
        <v>30</v>
      </c>
      <c r="D2824" t="s">
        <v>47</v>
      </c>
      <c r="E2824" s="1">
        <v>2025</v>
      </c>
      <c r="F2824" s="11">
        <v>0.44209999999999999</v>
      </c>
      <c r="G2824">
        <v>36.299999999999997</v>
      </c>
      <c r="H2824">
        <v>69.819999999999993</v>
      </c>
      <c r="I2824" s="2">
        <v>90413.78</v>
      </c>
      <c r="J2824" s="2">
        <v>98945.87</v>
      </c>
      <c r="K2824" s="2">
        <f>Table1[[#This Row],[Salary_after]]-Table1[[#This Row],[Salary_before]]</f>
        <v>8532.0899999999965</v>
      </c>
      <c r="L2824" s="11">
        <v>9.4399999999999998E-2</v>
      </c>
      <c r="M2824" s="11">
        <v>4.7699999999999992E-2</v>
      </c>
      <c r="N2824">
        <v>84.81</v>
      </c>
      <c r="O2824">
        <v>53.16</v>
      </c>
      <c r="P2824">
        <v>3</v>
      </c>
      <c r="Q2824" t="s">
        <v>25</v>
      </c>
      <c r="R2824">
        <v>57.015000000000001</v>
      </c>
      <c r="S2824">
        <v>9.44</v>
      </c>
      <c r="T2824" s="4">
        <v>41.461999999999897</v>
      </c>
      <c r="U2824" s="4">
        <v>23.502035999999901</v>
      </c>
      <c r="V2824" t="str">
        <f>IF(Table1[[#This Row],[ai_disruption_intensity]]&gt;70,"High",
IF(Table1[[#This Row],[ai_disruption_intensity]]&gt;40,"Medium","Low"))</f>
        <v>Low</v>
      </c>
      <c r="W2824" t="str">
        <f>IF(Table1[[#This Row],[skill_gap_index]]&gt;70,"Large Gap",
IF(Table1[[#This Row],[skill_gap_index]]&gt;40,"Medium Gap","Small Gap"))</f>
        <v>Medium Gap</v>
      </c>
      <c r="X2824" s="3" t="str">
        <f>IF(Table1[[#This Row],[automation_risk_percent]]&gt;0.7,"Highly Automatable",
IF(Table1[[#This Row],[automation_risk_percent]]&gt;0.4,"Moderate Risk","Safe Job"))</f>
        <v>Moderate Risk</v>
      </c>
    </row>
    <row r="2825" spans="1:24" x14ac:dyDescent="0.3">
      <c r="A2825">
        <v>9909</v>
      </c>
      <c r="B2825" t="s">
        <v>41</v>
      </c>
      <c r="C2825" t="s">
        <v>38</v>
      </c>
      <c r="D2825" t="s">
        <v>35</v>
      </c>
      <c r="E2825" s="1">
        <v>2026</v>
      </c>
      <c r="F2825" s="11">
        <v>0.65480000000000005</v>
      </c>
      <c r="G2825">
        <v>73.52</v>
      </c>
      <c r="H2825">
        <v>41.13</v>
      </c>
      <c r="I2825" s="2">
        <v>110548.15</v>
      </c>
      <c r="J2825" s="2">
        <v>110229.2</v>
      </c>
      <c r="K2825" s="2">
        <f>Table1[[#This Row],[Salary_after]]-Table1[[#This Row],[Salary_before]]</f>
        <v>-318.94999999999709</v>
      </c>
      <c r="L2825" s="11">
        <v>-2.8999999999999998E-3</v>
      </c>
      <c r="M2825" s="11">
        <v>0.36659999999999998</v>
      </c>
      <c r="N2825">
        <v>98.62</v>
      </c>
      <c r="O2825">
        <v>1.75</v>
      </c>
      <c r="P2825">
        <v>1</v>
      </c>
      <c r="Q2825" t="s">
        <v>37</v>
      </c>
      <c r="R2825">
        <v>53.305</v>
      </c>
      <c r="S2825">
        <v>0.28999999999999998</v>
      </c>
      <c r="T2825" s="4">
        <v>38.618000000000002</v>
      </c>
      <c r="U2825" s="4">
        <v>1.1458999999999999</v>
      </c>
      <c r="V2825" t="str">
        <f>IF(Table1[[#This Row],[ai_disruption_intensity]]&gt;70,"High",
IF(Table1[[#This Row],[ai_disruption_intensity]]&gt;40,"Medium","Low"))</f>
        <v>Low</v>
      </c>
      <c r="W2825" t="str">
        <f>IF(Table1[[#This Row],[skill_gap_index]]&gt;70,"Large Gap",
IF(Table1[[#This Row],[skill_gap_index]]&gt;40,"Medium Gap","Small Gap"))</f>
        <v>Medium Gap</v>
      </c>
      <c r="X2825" s="3" t="str">
        <f>IF(Table1[[#This Row],[automation_risk_percent]]&gt;0.7,"Highly Automatable",
IF(Table1[[#This Row],[automation_risk_percent]]&gt;0.4,"Moderate Risk","Safe Job"))</f>
        <v>Moderate Risk</v>
      </c>
    </row>
    <row r="2826" spans="1:24" x14ac:dyDescent="0.3">
      <c r="A2826">
        <v>9916</v>
      </c>
      <c r="B2826" t="s">
        <v>26</v>
      </c>
      <c r="C2826" t="s">
        <v>34</v>
      </c>
      <c r="D2826" t="s">
        <v>47</v>
      </c>
      <c r="E2826" s="1">
        <v>2026</v>
      </c>
      <c r="F2826" s="11">
        <v>0.05</v>
      </c>
      <c r="G2826">
        <v>4.4800000000000004</v>
      </c>
      <c r="H2826">
        <v>34.61</v>
      </c>
      <c r="I2826" s="2">
        <v>107832.91</v>
      </c>
      <c r="J2826" s="2">
        <v>112340.85</v>
      </c>
      <c r="K2826" s="2">
        <f>Table1[[#This Row],[Salary_after]]-Table1[[#This Row],[Salary_before]]</f>
        <v>4507.9400000000023</v>
      </c>
      <c r="L2826" s="11">
        <v>4.1799999999999997E-2</v>
      </c>
      <c r="M2826" s="11">
        <v>-4.0899999999999999E-2</v>
      </c>
      <c r="N2826">
        <v>20.32</v>
      </c>
      <c r="O2826">
        <v>39.82</v>
      </c>
      <c r="P2826">
        <v>4</v>
      </c>
      <c r="Q2826" t="s">
        <v>21</v>
      </c>
      <c r="R2826">
        <v>19.805</v>
      </c>
      <c r="S2826">
        <v>4.18</v>
      </c>
      <c r="T2826" s="4">
        <v>13.636999999999899</v>
      </c>
      <c r="U2826" s="4">
        <v>1.9909999999999899</v>
      </c>
      <c r="V2826" t="str">
        <f>IF(Table1[[#This Row],[ai_disruption_intensity]]&gt;70,"High",
IF(Table1[[#This Row],[ai_disruption_intensity]]&gt;40,"Medium","Low"))</f>
        <v>Low</v>
      </c>
      <c r="W2826" t="str">
        <f>IF(Table1[[#This Row],[skill_gap_index]]&gt;70,"Large Gap",
IF(Table1[[#This Row],[skill_gap_index]]&gt;40,"Medium Gap","Small Gap"))</f>
        <v>Small Gap</v>
      </c>
      <c r="X2826" s="3" t="str">
        <f>IF(Table1[[#This Row],[automation_risk_percent]]&gt;0.7,"Highly Automatable",
IF(Table1[[#This Row],[automation_risk_percent]]&gt;0.4,"Moderate Risk","Safe Job"))</f>
        <v>Safe Job</v>
      </c>
    </row>
    <row r="2827" spans="1:24" x14ac:dyDescent="0.3">
      <c r="A2827">
        <v>9930</v>
      </c>
      <c r="B2827" t="s">
        <v>44</v>
      </c>
      <c r="C2827" t="s">
        <v>40</v>
      </c>
      <c r="D2827" t="s">
        <v>20</v>
      </c>
      <c r="E2827" s="1">
        <v>2026</v>
      </c>
      <c r="F2827" s="11">
        <v>0.44909999999999994</v>
      </c>
      <c r="G2827">
        <v>39.92</v>
      </c>
      <c r="H2827">
        <v>42.41</v>
      </c>
      <c r="I2827" s="2">
        <v>55841.05</v>
      </c>
      <c r="J2827" s="2">
        <v>58418.87</v>
      </c>
      <c r="K2827" s="2">
        <f>Table1[[#This Row],[Salary_after]]-Table1[[#This Row],[Salary_before]]</f>
        <v>2577.8199999999997</v>
      </c>
      <c r="L2827" s="11">
        <v>4.6199999999999998E-2</v>
      </c>
      <c r="M2827" s="11">
        <v>-0.16289999999999999</v>
      </c>
      <c r="N2827">
        <v>72.44</v>
      </c>
      <c r="O2827">
        <v>63.39</v>
      </c>
      <c r="P2827">
        <v>2</v>
      </c>
      <c r="Q2827" t="s">
        <v>25</v>
      </c>
      <c r="R2827">
        <v>43.66</v>
      </c>
      <c r="S2827">
        <v>4.62</v>
      </c>
      <c r="T2827" s="4">
        <v>32.073</v>
      </c>
      <c r="U2827" s="4">
        <v>28.4684489999999</v>
      </c>
      <c r="V2827" t="str">
        <f>IF(Table1[[#This Row],[ai_disruption_intensity]]&gt;70,"High",
IF(Table1[[#This Row],[ai_disruption_intensity]]&gt;40,"Medium","Low"))</f>
        <v>Low</v>
      </c>
      <c r="W2827" t="str">
        <f>IF(Table1[[#This Row],[skill_gap_index]]&gt;70,"Large Gap",
IF(Table1[[#This Row],[skill_gap_index]]&gt;40,"Medium Gap","Small Gap"))</f>
        <v>Medium Gap</v>
      </c>
      <c r="X2827" s="3" t="str">
        <f>IF(Table1[[#This Row],[automation_risk_percent]]&gt;0.7,"Highly Automatable",
IF(Table1[[#This Row],[automation_risk_percent]]&gt;0.4,"Moderate Risk","Safe Job"))</f>
        <v>Moderate Risk</v>
      </c>
    </row>
    <row r="2828" spans="1:24" x14ac:dyDescent="0.3">
      <c r="A2828">
        <v>9936</v>
      </c>
      <c r="B2828" t="s">
        <v>18</v>
      </c>
      <c r="C2828" t="s">
        <v>30</v>
      </c>
      <c r="D2828" t="s">
        <v>32</v>
      </c>
      <c r="E2828" s="1">
        <v>2025</v>
      </c>
      <c r="F2828" s="11">
        <v>0.72739999999999994</v>
      </c>
      <c r="G2828">
        <v>76.22</v>
      </c>
      <c r="H2828">
        <v>23.04</v>
      </c>
      <c r="I2828" s="2">
        <v>63160.160000000003</v>
      </c>
      <c r="J2828" s="2">
        <v>66629.600000000006</v>
      </c>
      <c r="K2828" s="2">
        <f>Table1[[#This Row],[Salary_after]]-Table1[[#This Row],[Salary_before]]</f>
        <v>3469.4400000000023</v>
      </c>
      <c r="L2828" s="11">
        <v>5.4900000000000004E-2</v>
      </c>
      <c r="M2828" s="11">
        <v>0.16579999999999998</v>
      </c>
      <c r="N2828">
        <v>75.930000000000007</v>
      </c>
      <c r="O2828">
        <v>57.72</v>
      </c>
      <c r="P2828">
        <v>2</v>
      </c>
      <c r="Q2828" t="s">
        <v>37</v>
      </c>
      <c r="R2828">
        <v>47.89</v>
      </c>
      <c r="S2828">
        <v>5.49</v>
      </c>
      <c r="T2828" s="4">
        <v>37.655000000000001</v>
      </c>
      <c r="U2828" s="4">
        <v>41.985527999999903</v>
      </c>
      <c r="V2828" t="str">
        <f>IF(Table1[[#This Row],[ai_disruption_intensity]]&gt;70,"High",
IF(Table1[[#This Row],[ai_disruption_intensity]]&gt;40,"Medium","Low"))</f>
        <v>Medium</v>
      </c>
      <c r="W2828" t="str">
        <f>IF(Table1[[#This Row],[skill_gap_index]]&gt;70,"Large Gap",
IF(Table1[[#This Row],[skill_gap_index]]&gt;40,"Medium Gap","Small Gap"))</f>
        <v>Small Gap</v>
      </c>
      <c r="X2828" s="3" t="str">
        <f>IF(Table1[[#This Row],[automation_risk_percent]]&gt;0.7,"Highly Automatable",
IF(Table1[[#This Row],[automation_risk_percent]]&gt;0.4,"Moderate Risk","Safe Job"))</f>
        <v>Highly Automatable</v>
      </c>
    </row>
    <row r="2829" spans="1:24" x14ac:dyDescent="0.3">
      <c r="A2829">
        <v>9939</v>
      </c>
      <c r="B2829" t="s">
        <v>39</v>
      </c>
      <c r="C2829" t="s">
        <v>30</v>
      </c>
      <c r="D2829" t="s">
        <v>32</v>
      </c>
      <c r="E2829" s="1">
        <v>2025</v>
      </c>
      <c r="F2829" s="11">
        <v>0.10949999999999999</v>
      </c>
      <c r="G2829">
        <v>11.63</v>
      </c>
      <c r="H2829">
        <v>59.74</v>
      </c>
      <c r="I2829" s="2">
        <v>92128.92</v>
      </c>
      <c r="J2829" s="2">
        <v>96678.89</v>
      </c>
      <c r="K2829" s="2">
        <f>Table1[[#This Row],[Salary_after]]-Table1[[#This Row],[Salary_before]]</f>
        <v>4549.9700000000012</v>
      </c>
      <c r="L2829" s="11">
        <v>4.9400000000000006E-2</v>
      </c>
      <c r="M2829" s="11">
        <v>-1.9400000000000001E-2</v>
      </c>
      <c r="N2829">
        <v>45.35</v>
      </c>
      <c r="O2829">
        <v>23.46</v>
      </c>
      <c r="P2829">
        <v>3</v>
      </c>
      <c r="Q2829" t="s">
        <v>21</v>
      </c>
      <c r="R2829">
        <v>35.344999999999999</v>
      </c>
      <c r="S2829">
        <v>4.9400000000000004</v>
      </c>
      <c r="T2829" s="4">
        <v>23.783999999999999</v>
      </c>
      <c r="U2829" s="4">
        <v>2.56887</v>
      </c>
      <c r="V2829" t="str">
        <f>IF(Table1[[#This Row],[ai_disruption_intensity]]&gt;70,"High",
IF(Table1[[#This Row],[ai_disruption_intensity]]&gt;40,"Medium","Low"))</f>
        <v>Low</v>
      </c>
      <c r="W2829" t="str">
        <f>IF(Table1[[#This Row],[skill_gap_index]]&gt;70,"Large Gap",
IF(Table1[[#This Row],[skill_gap_index]]&gt;40,"Medium Gap","Small Gap"))</f>
        <v>Medium Gap</v>
      </c>
      <c r="X2829" s="3" t="str">
        <f>IF(Table1[[#This Row],[automation_risk_percent]]&gt;0.7,"Highly Automatable",
IF(Table1[[#This Row],[automation_risk_percent]]&gt;0.4,"Moderate Risk","Safe Job"))</f>
        <v>Safe Job</v>
      </c>
    </row>
    <row r="2830" spans="1:24" x14ac:dyDescent="0.3">
      <c r="A2830">
        <v>9941</v>
      </c>
      <c r="B2830" t="s">
        <v>45</v>
      </c>
      <c r="C2830" t="s">
        <v>34</v>
      </c>
      <c r="D2830" t="s">
        <v>35</v>
      </c>
      <c r="E2830" s="1">
        <v>2026</v>
      </c>
      <c r="F2830" s="11">
        <v>0.21379999999999999</v>
      </c>
      <c r="G2830">
        <v>19.03</v>
      </c>
      <c r="H2830">
        <v>34.25</v>
      </c>
      <c r="I2830" s="2">
        <v>144007.28</v>
      </c>
      <c r="J2830" s="2">
        <v>126414.09</v>
      </c>
      <c r="K2830" s="2">
        <f>Table1[[#This Row],[Salary_after]]-Table1[[#This Row],[Salary_before]]</f>
        <v>-17593.190000000002</v>
      </c>
      <c r="L2830" s="11">
        <v>-0.1222</v>
      </c>
      <c r="M2830" s="11">
        <v>-8.0500000000000002E-2</v>
      </c>
      <c r="N2830">
        <v>29.04</v>
      </c>
      <c r="O2830">
        <v>43.56</v>
      </c>
      <c r="P2830">
        <v>4</v>
      </c>
      <c r="Q2830" t="s">
        <v>21</v>
      </c>
      <c r="R2830">
        <v>27.814999999999898</v>
      </c>
      <c r="S2830">
        <v>12.22</v>
      </c>
      <c r="T2830" s="4">
        <v>22.492999999999999</v>
      </c>
      <c r="U2830" s="4">
        <v>9.3131280000000007</v>
      </c>
      <c r="V2830" t="str">
        <f>IF(Table1[[#This Row],[ai_disruption_intensity]]&gt;70,"High",
IF(Table1[[#This Row],[ai_disruption_intensity]]&gt;40,"Medium","Low"))</f>
        <v>Low</v>
      </c>
      <c r="W2830" t="str">
        <f>IF(Table1[[#This Row],[skill_gap_index]]&gt;70,"Large Gap",
IF(Table1[[#This Row],[skill_gap_index]]&gt;40,"Medium Gap","Small Gap"))</f>
        <v>Small Gap</v>
      </c>
      <c r="X2830" s="3" t="str">
        <f>IF(Table1[[#This Row],[automation_risk_percent]]&gt;0.7,"Highly Automatable",
IF(Table1[[#This Row],[automation_risk_percent]]&gt;0.4,"Moderate Risk","Safe Job"))</f>
        <v>Safe Job</v>
      </c>
    </row>
    <row r="2831" spans="1:24" x14ac:dyDescent="0.3">
      <c r="A2831">
        <v>9944</v>
      </c>
      <c r="B2831" t="s">
        <v>41</v>
      </c>
      <c r="C2831" t="s">
        <v>30</v>
      </c>
      <c r="D2831" t="s">
        <v>28</v>
      </c>
      <c r="E2831" s="1">
        <v>2025</v>
      </c>
      <c r="F2831" s="11">
        <v>0.72900000000000009</v>
      </c>
      <c r="G2831">
        <v>87.32</v>
      </c>
      <c r="H2831">
        <v>33</v>
      </c>
      <c r="I2831" s="2">
        <v>125949.6</v>
      </c>
      <c r="J2831" s="2">
        <v>124571</v>
      </c>
      <c r="K2831" s="2">
        <f>Table1[[#This Row],[Salary_after]]-Table1[[#This Row],[Salary_before]]</f>
        <v>-1378.6000000000058</v>
      </c>
      <c r="L2831" s="11">
        <v>-1.09E-2</v>
      </c>
      <c r="M2831" s="11">
        <v>-0.1363</v>
      </c>
      <c r="N2831">
        <v>29.2</v>
      </c>
      <c r="O2831">
        <v>51.28</v>
      </c>
      <c r="P2831">
        <v>4</v>
      </c>
      <c r="Q2831" t="s">
        <v>37</v>
      </c>
      <c r="R2831">
        <v>52.95</v>
      </c>
      <c r="S2831">
        <v>1.0900000000000001</v>
      </c>
      <c r="T2831" s="4">
        <v>39.387</v>
      </c>
      <c r="U2831" s="4">
        <v>37.383119999999998</v>
      </c>
      <c r="V2831" t="str">
        <f>IF(Table1[[#This Row],[ai_disruption_intensity]]&gt;70,"High",
IF(Table1[[#This Row],[ai_disruption_intensity]]&gt;40,"Medium","Low"))</f>
        <v>Low</v>
      </c>
      <c r="W2831" t="str">
        <f>IF(Table1[[#This Row],[skill_gap_index]]&gt;70,"Large Gap",
IF(Table1[[#This Row],[skill_gap_index]]&gt;40,"Medium Gap","Small Gap"))</f>
        <v>Small Gap</v>
      </c>
      <c r="X2831" s="3" t="str">
        <f>IF(Table1[[#This Row],[automation_risk_percent]]&gt;0.7,"Highly Automatable",
IF(Table1[[#This Row],[automation_risk_percent]]&gt;0.4,"Moderate Risk","Safe Job"))</f>
        <v>Highly Automatable</v>
      </c>
    </row>
    <row r="2832" spans="1:24" x14ac:dyDescent="0.3">
      <c r="A2832">
        <v>9947</v>
      </c>
      <c r="B2832" t="s">
        <v>45</v>
      </c>
      <c r="C2832" t="s">
        <v>34</v>
      </c>
      <c r="D2832" t="s">
        <v>28</v>
      </c>
      <c r="E2832" s="1">
        <v>2025</v>
      </c>
      <c r="F2832" s="11">
        <v>0.1173</v>
      </c>
      <c r="G2832">
        <v>13.7</v>
      </c>
      <c r="H2832">
        <v>2.9</v>
      </c>
      <c r="I2832" s="2">
        <v>35950.85</v>
      </c>
      <c r="J2832" s="2">
        <v>39317.589999999997</v>
      </c>
      <c r="K2832" s="2">
        <f>Table1[[#This Row],[Salary_after]]-Table1[[#This Row],[Salary_before]]</f>
        <v>3366.739999999998</v>
      </c>
      <c r="L2832" s="11">
        <v>9.3599999999999989E-2</v>
      </c>
      <c r="M2832" s="11">
        <v>-9.2799999999999994E-2</v>
      </c>
      <c r="N2832">
        <v>42.22</v>
      </c>
      <c r="O2832">
        <v>6.16</v>
      </c>
      <c r="P2832">
        <v>2</v>
      </c>
      <c r="Q2832" t="s">
        <v>21</v>
      </c>
      <c r="R2832">
        <v>7.3150000000000004</v>
      </c>
      <c r="S2832">
        <v>9.36</v>
      </c>
      <c r="T2832" s="4">
        <v>8.3699999999999992</v>
      </c>
      <c r="U2832" s="4">
        <v>0.72256799999999999</v>
      </c>
      <c r="V2832" t="str">
        <f>IF(Table1[[#This Row],[ai_disruption_intensity]]&gt;70,"High",
IF(Table1[[#This Row],[ai_disruption_intensity]]&gt;40,"Medium","Low"))</f>
        <v>Low</v>
      </c>
      <c r="W2832" t="str">
        <f>IF(Table1[[#This Row],[skill_gap_index]]&gt;70,"Large Gap",
IF(Table1[[#This Row],[skill_gap_index]]&gt;40,"Medium Gap","Small Gap"))</f>
        <v>Small Gap</v>
      </c>
      <c r="X2832" s="3" t="str">
        <f>IF(Table1[[#This Row],[automation_risk_percent]]&gt;0.7,"Highly Automatable",
IF(Table1[[#This Row],[automation_risk_percent]]&gt;0.4,"Moderate Risk","Safe Job"))</f>
        <v>Safe Job</v>
      </c>
    </row>
    <row r="2833" spans="1:24" x14ac:dyDescent="0.3">
      <c r="A2833">
        <v>9950</v>
      </c>
      <c r="B2833" t="s">
        <v>41</v>
      </c>
      <c r="C2833" t="s">
        <v>23</v>
      </c>
      <c r="D2833" t="s">
        <v>42</v>
      </c>
      <c r="E2833" s="1">
        <v>2026</v>
      </c>
      <c r="F2833" s="11">
        <v>0.49619999999999997</v>
      </c>
      <c r="G2833">
        <v>54.11</v>
      </c>
      <c r="H2833">
        <v>57.37</v>
      </c>
      <c r="I2833" s="2">
        <v>37530.269999999997</v>
      </c>
      <c r="J2833" s="2">
        <v>50464</v>
      </c>
      <c r="K2833" s="2">
        <f>Table1[[#This Row],[Salary_after]]-Table1[[#This Row],[Salary_before]]</f>
        <v>12933.730000000003</v>
      </c>
      <c r="L2833" s="11">
        <v>0.34460000000000002</v>
      </c>
      <c r="M2833" s="11">
        <v>5.1999999999999998E-3</v>
      </c>
      <c r="N2833">
        <v>73.069999999999993</v>
      </c>
      <c r="O2833">
        <v>1.07</v>
      </c>
      <c r="P2833">
        <v>1</v>
      </c>
      <c r="Q2833" t="s">
        <v>25</v>
      </c>
      <c r="R2833">
        <v>53.494999999999997</v>
      </c>
      <c r="S2833">
        <v>34.46</v>
      </c>
      <c r="T2833" s="4">
        <v>47.396999999999998</v>
      </c>
      <c r="U2833" s="4">
        <v>0.53093400000000002</v>
      </c>
      <c r="V2833" t="str">
        <f>IF(Table1[[#This Row],[ai_disruption_intensity]]&gt;70,"High",
IF(Table1[[#This Row],[ai_disruption_intensity]]&gt;40,"Medium","Low"))</f>
        <v>Low</v>
      </c>
      <c r="W2833" t="str">
        <f>IF(Table1[[#This Row],[skill_gap_index]]&gt;70,"Large Gap",
IF(Table1[[#This Row],[skill_gap_index]]&gt;40,"Medium Gap","Small Gap"))</f>
        <v>Medium Gap</v>
      </c>
      <c r="X2833" s="3" t="str">
        <f>IF(Table1[[#This Row],[automation_risk_percent]]&gt;0.7,"Highly Automatable",
IF(Table1[[#This Row],[automation_risk_percent]]&gt;0.4,"Moderate Risk","Safe Job"))</f>
        <v>Moderate Risk</v>
      </c>
    </row>
    <row r="2834" spans="1:24" x14ac:dyDescent="0.3">
      <c r="A2834">
        <v>9951</v>
      </c>
      <c r="B2834" t="s">
        <v>46</v>
      </c>
      <c r="C2834" t="s">
        <v>34</v>
      </c>
      <c r="D2834" t="s">
        <v>36</v>
      </c>
      <c r="E2834" s="1">
        <v>2025</v>
      </c>
      <c r="F2834" s="11">
        <v>0.2999</v>
      </c>
      <c r="G2834">
        <v>34.630000000000003</v>
      </c>
      <c r="H2834">
        <v>2.5099999999999998</v>
      </c>
      <c r="I2834" s="2">
        <v>110689.23</v>
      </c>
      <c r="J2834" s="2">
        <v>104708.32</v>
      </c>
      <c r="K2834" s="2">
        <f>Table1[[#This Row],[Salary_after]]-Table1[[#This Row],[Salary_before]]</f>
        <v>-5980.9099999999889</v>
      </c>
      <c r="L2834" s="11">
        <v>-5.4000000000000006E-2</v>
      </c>
      <c r="M2834" s="11">
        <v>-8.2899999999999988E-2</v>
      </c>
      <c r="N2834">
        <v>89.57</v>
      </c>
      <c r="O2834">
        <v>36.25</v>
      </c>
      <c r="P2834">
        <v>2</v>
      </c>
      <c r="Q2834" t="s">
        <v>21</v>
      </c>
      <c r="R2834">
        <v>16.25</v>
      </c>
      <c r="S2834">
        <v>5.4</v>
      </c>
      <c r="T2834" s="4">
        <v>14.369</v>
      </c>
      <c r="U2834" s="4">
        <v>10.871375</v>
      </c>
      <c r="V2834" t="str">
        <f>IF(Table1[[#This Row],[ai_disruption_intensity]]&gt;70,"High",
IF(Table1[[#This Row],[ai_disruption_intensity]]&gt;40,"Medium","Low"))</f>
        <v>Low</v>
      </c>
      <c r="W2834" t="str">
        <f>IF(Table1[[#This Row],[skill_gap_index]]&gt;70,"Large Gap",
IF(Table1[[#This Row],[skill_gap_index]]&gt;40,"Medium Gap","Small Gap"))</f>
        <v>Small Gap</v>
      </c>
      <c r="X2834" s="3" t="str">
        <f>IF(Table1[[#This Row],[automation_risk_percent]]&gt;0.7,"Highly Automatable",
IF(Table1[[#This Row],[automation_risk_percent]]&gt;0.4,"Moderate Risk","Safe Job"))</f>
        <v>Safe Job</v>
      </c>
    </row>
    <row r="2835" spans="1:24" x14ac:dyDescent="0.3">
      <c r="A2835">
        <v>9953</v>
      </c>
      <c r="B2835" t="s">
        <v>43</v>
      </c>
      <c r="C2835" t="s">
        <v>27</v>
      </c>
      <c r="D2835" t="s">
        <v>47</v>
      </c>
      <c r="E2835" s="1">
        <v>2025</v>
      </c>
      <c r="F2835" s="11">
        <v>0.20730000000000001</v>
      </c>
      <c r="G2835">
        <v>23.43</v>
      </c>
      <c r="H2835">
        <v>3.58</v>
      </c>
      <c r="I2835" s="2">
        <v>131620.5</v>
      </c>
      <c r="J2835" s="2">
        <v>148609.57</v>
      </c>
      <c r="K2835" s="2">
        <f>Table1[[#This Row],[Salary_after]]-Table1[[#This Row],[Salary_before]]</f>
        <v>16989.070000000007</v>
      </c>
      <c r="L2835" s="11">
        <v>0.12909999999999999</v>
      </c>
      <c r="M2835" s="11">
        <v>4.0999999999999995E-2</v>
      </c>
      <c r="N2835">
        <v>77.25</v>
      </c>
      <c r="O2835">
        <v>57.26</v>
      </c>
      <c r="P2835">
        <v>1</v>
      </c>
      <c r="Q2835" t="s">
        <v>21</v>
      </c>
      <c r="R2835">
        <v>12.154999999999999</v>
      </c>
      <c r="S2835">
        <v>12.91</v>
      </c>
      <c r="T2835" s="4">
        <v>13.2389999999999</v>
      </c>
      <c r="U2835" s="4">
        <v>11.869998000000001</v>
      </c>
      <c r="V2835" t="str">
        <f>IF(Table1[[#This Row],[ai_disruption_intensity]]&gt;70,"High",
IF(Table1[[#This Row],[ai_disruption_intensity]]&gt;40,"Medium","Low"))</f>
        <v>Low</v>
      </c>
      <c r="W2835" t="str">
        <f>IF(Table1[[#This Row],[skill_gap_index]]&gt;70,"Large Gap",
IF(Table1[[#This Row],[skill_gap_index]]&gt;40,"Medium Gap","Small Gap"))</f>
        <v>Small Gap</v>
      </c>
      <c r="X2835" s="3" t="str">
        <f>IF(Table1[[#This Row],[automation_risk_percent]]&gt;0.7,"Highly Automatable",
IF(Table1[[#This Row],[automation_risk_percent]]&gt;0.4,"Moderate Risk","Safe Job"))</f>
        <v>Safe Job</v>
      </c>
    </row>
    <row r="2836" spans="1:24" x14ac:dyDescent="0.3">
      <c r="A2836">
        <v>9960</v>
      </c>
      <c r="B2836" t="s">
        <v>43</v>
      </c>
      <c r="C2836" t="s">
        <v>33</v>
      </c>
      <c r="D2836" t="s">
        <v>28</v>
      </c>
      <c r="E2836" s="1">
        <v>2025</v>
      </c>
      <c r="F2836" s="11">
        <v>0.10310000000000001</v>
      </c>
      <c r="G2836">
        <v>12.33</v>
      </c>
      <c r="H2836">
        <v>7.55</v>
      </c>
      <c r="I2836" s="2">
        <v>130420.2</v>
      </c>
      <c r="J2836" s="2">
        <v>131504.35999999999</v>
      </c>
      <c r="K2836" s="2">
        <f>Table1[[#This Row],[Salary_after]]-Table1[[#This Row],[Salary_before]]</f>
        <v>1084.1599999999889</v>
      </c>
      <c r="L2836" s="11">
        <v>8.3000000000000001E-3</v>
      </c>
      <c r="M2836" s="11">
        <v>0.11130000000000001</v>
      </c>
      <c r="N2836">
        <v>59.65</v>
      </c>
      <c r="O2836">
        <v>66.900000000000006</v>
      </c>
      <c r="P2836">
        <v>3</v>
      </c>
      <c r="Q2836" t="s">
        <v>21</v>
      </c>
      <c r="R2836">
        <v>8.93</v>
      </c>
      <c r="S2836">
        <v>0.83</v>
      </c>
      <c r="T2836" s="4">
        <v>6.6379999999999999</v>
      </c>
      <c r="U2836" s="4">
        <v>6.8973899999999997</v>
      </c>
      <c r="V2836" t="str">
        <f>IF(Table1[[#This Row],[ai_disruption_intensity]]&gt;70,"High",
IF(Table1[[#This Row],[ai_disruption_intensity]]&gt;40,"Medium","Low"))</f>
        <v>Low</v>
      </c>
      <c r="W2836" t="str">
        <f>IF(Table1[[#This Row],[skill_gap_index]]&gt;70,"Large Gap",
IF(Table1[[#This Row],[skill_gap_index]]&gt;40,"Medium Gap","Small Gap"))</f>
        <v>Small Gap</v>
      </c>
      <c r="X2836" s="3" t="str">
        <f>IF(Table1[[#This Row],[automation_risk_percent]]&gt;0.7,"Highly Automatable",
IF(Table1[[#This Row],[automation_risk_percent]]&gt;0.4,"Moderate Risk","Safe Job"))</f>
        <v>Safe Job</v>
      </c>
    </row>
    <row r="2837" spans="1:24" x14ac:dyDescent="0.3">
      <c r="A2837">
        <v>9961</v>
      </c>
      <c r="B2837" t="s">
        <v>45</v>
      </c>
      <c r="C2837" t="s">
        <v>19</v>
      </c>
      <c r="D2837" t="s">
        <v>35</v>
      </c>
      <c r="E2837" s="1">
        <v>2026</v>
      </c>
      <c r="F2837" s="11">
        <v>0.34700000000000003</v>
      </c>
      <c r="G2837">
        <v>30.06</v>
      </c>
      <c r="H2837">
        <v>6.64</v>
      </c>
      <c r="I2837" s="2">
        <v>135732.14000000001</v>
      </c>
      <c r="J2837" s="2">
        <v>160994.35</v>
      </c>
      <c r="K2837" s="2">
        <f>Table1[[#This Row],[Salary_after]]-Table1[[#This Row],[Salary_before]]</f>
        <v>25262.209999999992</v>
      </c>
      <c r="L2837" s="11">
        <v>0.18609999999999999</v>
      </c>
      <c r="M2837" s="11">
        <v>9.5399999999999985E-2</v>
      </c>
      <c r="N2837">
        <v>39.880000000000003</v>
      </c>
      <c r="O2837">
        <v>80.7</v>
      </c>
      <c r="P2837">
        <v>3</v>
      </c>
      <c r="Q2837" t="s">
        <v>25</v>
      </c>
      <c r="R2837">
        <v>20.67</v>
      </c>
      <c r="S2837">
        <v>18.61</v>
      </c>
      <c r="T2837" s="4">
        <v>21.454999999999998</v>
      </c>
      <c r="U2837" s="4">
        <v>28.0029</v>
      </c>
      <c r="V2837" t="str">
        <f>IF(Table1[[#This Row],[ai_disruption_intensity]]&gt;70,"High",
IF(Table1[[#This Row],[ai_disruption_intensity]]&gt;40,"Medium","Low"))</f>
        <v>Low</v>
      </c>
      <c r="W2837" t="str">
        <f>IF(Table1[[#This Row],[skill_gap_index]]&gt;70,"Large Gap",
IF(Table1[[#This Row],[skill_gap_index]]&gt;40,"Medium Gap","Small Gap"))</f>
        <v>Small Gap</v>
      </c>
      <c r="X2837" s="3" t="str">
        <f>IF(Table1[[#This Row],[automation_risk_percent]]&gt;0.7,"Highly Automatable",
IF(Table1[[#This Row],[automation_risk_percent]]&gt;0.4,"Moderate Risk","Safe Job"))</f>
        <v>Safe Job</v>
      </c>
    </row>
    <row r="2838" spans="1:24" x14ac:dyDescent="0.3">
      <c r="A2838">
        <v>9962</v>
      </c>
      <c r="B2838" t="s">
        <v>29</v>
      </c>
      <c r="C2838" t="s">
        <v>40</v>
      </c>
      <c r="D2838" t="s">
        <v>32</v>
      </c>
      <c r="E2838" s="1">
        <v>2026</v>
      </c>
      <c r="F2838" s="11">
        <v>0.49490000000000001</v>
      </c>
      <c r="G2838">
        <v>40.18</v>
      </c>
      <c r="H2838">
        <v>33.69</v>
      </c>
      <c r="I2838" s="2">
        <v>132039.10999999999</v>
      </c>
      <c r="J2838" s="2">
        <v>139997.22</v>
      </c>
      <c r="K2838" s="2">
        <f>Table1[[#This Row],[Salary_after]]-Table1[[#This Row],[Salary_before]]</f>
        <v>7958.1100000000151</v>
      </c>
      <c r="L2838" s="11">
        <v>6.0299999999999999E-2</v>
      </c>
      <c r="M2838" s="11">
        <v>4.99E-2</v>
      </c>
      <c r="N2838">
        <v>54.93</v>
      </c>
      <c r="O2838">
        <v>15.39</v>
      </c>
      <c r="P2838">
        <v>1</v>
      </c>
      <c r="Q2838" t="s">
        <v>25</v>
      </c>
      <c r="R2838">
        <v>41.59</v>
      </c>
      <c r="S2838">
        <v>6.03</v>
      </c>
      <c r="T2838" s="4">
        <v>31.712</v>
      </c>
      <c r="U2838" s="4">
        <v>7.616511</v>
      </c>
      <c r="V2838" t="str">
        <f>IF(Table1[[#This Row],[ai_disruption_intensity]]&gt;70,"High",
IF(Table1[[#This Row],[ai_disruption_intensity]]&gt;40,"Medium","Low"))</f>
        <v>Low</v>
      </c>
      <c r="W2838" t="str">
        <f>IF(Table1[[#This Row],[skill_gap_index]]&gt;70,"Large Gap",
IF(Table1[[#This Row],[skill_gap_index]]&gt;40,"Medium Gap","Small Gap"))</f>
        <v>Small Gap</v>
      </c>
      <c r="X2838" s="3" t="str">
        <f>IF(Table1[[#This Row],[automation_risk_percent]]&gt;0.7,"Highly Automatable",
IF(Table1[[#This Row],[automation_risk_percent]]&gt;0.4,"Moderate Risk","Safe Job"))</f>
        <v>Moderate Risk</v>
      </c>
    </row>
    <row r="2839" spans="1:24" x14ac:dyDescent="0.3">
      <c r="A2839">
        <v>9963</v>
      </c>
      <c r="B2839" t="s">
        <v>29</v>
      </c>
      <c r="C2839" t="s">
        <v>27</v>
      </c>
      <c r="D2839" t="s">
        <v>36</v>
      </c>
      <c r="E2839" s="1">
        <v>2026</v>
      </c>
      <c r="F2839" s="11">
        <v>0.60140000000000005</v>
      </c>
      <c r="G2839">
        <v>69.010000000000005</v>
      </c>
      <c r="H2839">
        <v>78.569999999999993</v>
      </c>
      <c r="I2839" s="2">
        <v>82086.38</v>
      </c>
      <c r="J2839" s="2">
        <v>85286.85</v>
      </c>
      <c r="K2839" s="2">
        <f>Table1[[#This Row],[Salary_after]]-Table1[[#This Row],[Salary_before]]</f>
        <v>3200.4700000000012</v>
      </c>
      <c r="L2839" s="11">
        <v>3.9E-2</v>
      </c>
      <c r="M2839" s="11">
        <v>-8.8200000000000001E-2</v>
      </c>
      <c r="N2839">
        <v>93.81</v>
      </c>
      <c r="O2839">
        <v>17.75</v>
      </c>
      <c r="P2839">
        <v>4</v>
      </c>
      <c r="Q2839" t="s">
        <v>37</v>
      </c>
      <c r="R2839">
        <v>69.354999999999905</v>
      </c>
      <c r="S2839">
        <v>3.9</v>
      </c>
      <c r="T2839" s="4">
        <v>48.796999999999997</v>
      </c>
      <c r="U2839" s="4">
        <v>10.674849999999999</v>
      </c>
      <c r="V2839" t="str">
        <f>IF(Table1[[#This Row],[ai_disruption_intensity]]&gt;70,"High",
IF(Table1[[#This Row],[ai_disruption_intensity]]&gt;40,"Medium","Low"))</f>
        <v>Low</v>
      </c>
      <c r="W2839" t="str">
        <f>IF(Table1[[#This Row],[skill_gap_index]]&gt;70,"Large Gap",
IF(Table1[[#This Row],[skill_gap_index]]&gt;40,"Medium Gap","Small Gap"))</f>
        <v>Large Gap</v>
      </c>
      <c r="X2839" s="3" t="str">
        <f>IF(Table1[[#This Row],[automation_risk_percent]]&gt;0.7,"Highly Automatable",
IF(Table1[[#This Row],[automation_risk_percent]]&gt;0.4,"Moderate Risk","Safe Job"))</f>
        <v>Moderate Risk</v>
      </c>
    </row>
    <row r="2840" spans="1:24" x14ac:dyDescent="0.3">
      <c r="A2840">
        <v>9964</v>
      </c>
      <c r="B2840" t="s">
        <v>41</v>
      </c>
      <c r="C2840" t="s">
        <v>38</v>
      </c>
      <c r="D2840" t="s">
        <v>24</v>
      </c>
      <c r="E2840" s="1">
        <v>2026</v>
      </c>
      <c r="F2840" s="11">
        <v>0.82889999999999997</v>
      </c>
      <c r="G2840">
        <v>71.2</v>
      </c>
      <c r="H2840">
        <v>91.96</v>
      </c>
      <c r="I2840" s="2">
        <v>113190.74</v>
      </c>
      <c r="J2840" s="2">
        <v>111364.64</v>
      </c>
      <c r="K2840" s="2">
        <f>Table1[[#This Row],[Salary_after]]-Table1[[#This Row],[Salary_before]]</f>
        <v>-1826.1000000000058</v>
      </c>
      <c r="L2840" s="11">
        <v>-1.61E-2</v>
      </c>
      <c r="M2840" s="11">
        <v>2.8799999999999999E-2</v>
      </c>
      <c r="N2840">
        <v>93.42</v>
      </c>
      <c r="O2840">
        <v>50.76</v>
      </c>
      <c r="P2840">
        <v>5</v>
      </c>
      <c r="Q2840" t="s">
        <v>37</v>
      </c>
      <c r="R2840">
        <v>87.424999999999997</v>
      </c>
      <c r="S2840">
        <v>1.61</v>
      </c>
      <c r="T2840" s="4">
        <v>61.226999999999997</v>
      </c>
      <c r="U2840" s="4">
        <v>42.074964000000001</v>
      </c>
      <c r="V2840" t="str">
        <f>IF(Table1[[#This Row],[ai_disruption_intensity]]&gt;70,"High",
IF(Table1[[#This Row],[ai_disruption_intensity]]&gt;40,"Medium","Low"))</f>
        <v>Medium</v>
      </c>
      <c r="W2840" t="str">
        <f>IF(Table1[[#This Row],[skill_gap_index]]&gt;70,"Large Gap",
IF(Table1[[#This Row],[skill_gap_index]]&gt;40,"Medium Gap","Small Gap"))</f>
        <v>Large Gap</v>
      </c>
      <c r="X2840" s="3" t="str">
        <f>IF(Table1[[#This Row],[automation_risk_percent]]&gt;0.7,"Highly Automatable",
IF(Table1[[#This Row],[automation_risk_percent]]&gt;0.4,"Moderate Risk","Safe Job"))</f>
        <v>Highly Automatable</v>
      </c>
    </row>
    <row r="2841" spans="1:24" x14ac:dyDescent="0.3">
      <c r="A2841">
        <v>9965</v>
      </c>
      <c r="B2841" t="s">
        <v>29</v>
      </c>
      <c r="C2841" t="s">
        <v>30</v>
      </c>
      <c r="D2841" t="s">
        <v>31</v>
      </c>
      <c r="E2841" s="1">
        <v>2025</v>
      </c>
      <c r="F2841" s="11">
        <v>0.56740000000000002</v>
      </c>
      <c r="G2841">
        <v>46.72</v>
      </c>
      <c r="H2841">
        <v>8.4</v>
      </c>
      <c r="I2841" s="2">
        <v>112997.83</v>
      </c>
      <c r="J2841" s="2">
        <v>118222.8</v>
      </c>
      <c r="K2841" s="2">
        <f>Table1[[#This Row],[Salary_after]]-Table1[[#This Row],[Salary_before]]</f>
        <v>5224.9700000000012</v>
      </c>
      <c r="L2841" s="11">
        <v>4.6199999999999998E-2</v>
      </c>
      <c r="M2841" s="11">
        <v>8.4900000000000003E-2</v>
      </c>
      <c r="N2841">
        <v>55.25</v>
      </c>
      <c r="O2841">
        <v>32.86</v>
      </c>
      <c r="P2841">
        <v>5</v>
      </c>
      <c r="Q2841" t="s">
        <v>25</v>
      </c>
      <c r="R2841">
        <v>32.57</v>
      </c>
      <c r="S2841">
        <v>4.62</v>
      </c>
      <c r="T2841" s="4">
        <v>26.602</v>
      </c>
      <c r="U2841" s="4">
        <v>18.644763999999999</v>
      </c>
      <c r="V2841" t="str">
        <f>IF(Table1[[#This Row],[ai_disruption_intensity]]&gt;70,"High",
IF(Table1[[#This Row],[ai_disruption_intensity]]&gt;40,"Medium","Low"))</f>
        <v>Low</v>
      </c>
      <c r="W2841" t="str">
        <f>IF(Table1[[#This Row],[skill_gap_index]]&gt;70,"Large Gap",
IF(Table1[[#This Row],[skill_gap_index]]&gt;40,"Medium Gap","Small Gap"))</f>
        <v>Small Gap</v>
      </c>
      <c r="X2841" s="3" t="str">
        <f>IF(Table1[[#This Row],[automation_risk_percent]]&gt;0.7,"Highly Automatable",
IF(Table1[[#This Row],[automation_risk_percent]]&gt;0.4,"Moderate Risk","Safe Job"))</f>
        <v>Moderate Risk</v>
      </c>
    </row>
    <row r="2842" spans="1:24" x14ac:dyDescent="0.3">
      <c r="A2842">
        <v>9968</v>
      </c>
      <c r="B2842" t="s">
        <v>39</v>
      </c>
      <c r="C2842" t="s">
        <v>38</v>
      </c>
      <c r="D2842" t="s">
        <v>28</v>
      </c>
      <c r="E2842" s="1">
        <v>2025</v>
      </c>
      <c r="F2842" s="11">
        <v>0.73970000000000002</v>
      </c>
      <c r="G2842">
        <v>78.63</v>
      </c>
      <c r="H2842">
        <v>90.99</v>
      </c>
      <c r="I2842" s="2">
        <v>74251.199999999997</v>
      </c>
      <c r="J2842" s="2">
        <v>77213.66</v>
      </c>
      <c r="K2842" s="2">
        <f>Table1[[#This Row],[Salary_after]]-Table1[[#This Row],[Salary_before]]</f>
        <v>2962.4600000000064</v>
      </c>
      <c r="L2842" s="11">
        <v>3.9900000000000005E-2</v>
      </c>
      <c r="M2842" s="11">
        <v>0.16320000000000001</v>
      </c>
      <c r="N2842">
        <v>84.8</v>
      </c>
      <c r="O2842">
        <v>32.5</v>
      </c>
      <c r="P2842">
        <v>3</v>
      </c>
      <c r="Q2842" t="s">
        <v>37</v>
      </c>
      <c r="R2842">
        <v>82.479999999999905</v>
      </c>
      <c r="S2842">
        <v>3.99</v>
      </c>
      <c r="T2842" s="4">
        <v>58.082000000000001</v>
      </c>
      <c r="U2842" s="4">
        <v>24.04025</v>
      </c>
      <c r="V2842" t="str">
        <f>IF(Table1[[#This Row],[ai_disruption_intensity]]&gt;70,"High",
IF(Table1[[#This Row],[ai_disruption_intensity]]&gt;40,"Medium","Low"))</f>
        <v>Low</v>
      </c>
      <c r="W2842" t="str">
        <f>IF(Table1[[#This Row],[skill_gap_index]]&gt;70,"Large Gap",
IF(Table1[[#This Row],[skill_gap_index]]&gt;40,"Medium Gap","Small Gap"))</f>
        <v>Large Gap</v>
      </c>
      <c r="X2842" s="3" t="str">
        <f>IF(Table1[[#This Row],[automation_risk_percent]]&gt;0.7,"Highly Automatable",
IF(Table1[[#This Row],[automation_risk_percent]]&gt;0.4,"Moderate Risk","Safe Job"))</f>
        <v>Highly Automatable</v>
      </c>
    </row>
    <row r="2843" spans="1:24" x14ac:dyDescent="0.3">
      <c r="A2843">
        <v>9970</v>
      </c>
      <c r="B2843" t="s">
        <v>46</v>
      </c>
      <c r="C2843" t="s">
        <v>30</v>
      </c>
      <c r="D2843" t="s">
        <v>28</v>
      </c>
      <c r="E2843" s="1">
        <v>2026</v>
      </c>
      <c r="F2843" s="11">
        <v>0.25559999999999999</v>
      </c>
      <c r="G2843">
        <v>27.98</v>
      </c>
      <c r="H2843">
        <v>62.31</v>
      </c>
      <c r="I2843" s="2">
        <v>61366.82</v>
      </c>
      <c r="J2843" s="2">
        <v>68549.38</v>
      </c>
      <c r="K2843" s="2">
        <f>Table1[[#This Row],[Salary_after]]-Table1[[#This Row],[Salary_before]]</f>
        <v>7182.5600000000049</v>
      </c>
      <c r="L2843" s="11">
        <v>0.11699999999999999</v>
      </c>
      <c r="M2843" s="11">
        <v>6.0499999999999998E-2</v>
      </c>
      <c r="N2843">
        <v>59.94</v>
      </c>
      <c r="O2843">
        <v>69.680000000000007</v>
      </c>
      <c r="P2843">
        <v>4</v>
      </c>
      <c r="Q2843" t="s">
        <v>21</v>
      </c>
      <c r="R2843">
        <v>43.935000000000002</v>
      </c>
      <c r="S2843">
        <v>11.7</v>
      </c>
      <c r="T2843" s="4">
        <v>32.427</v>
      </c>
      <c r="U2843" s="4">
        <v>17.810207999999999</v>
      </c>
      <c r="V2843" t="str">
        <f>IF(Table1[[#This Row],[ai_disruption_intensity]]&gt;70,"High",
IF(Table1[[#This Row],[ai_disruption_intensity]]&gt;40,"Medium","Low"))</f>
        <v>Low</v>
      </c>
      <c r="W2843" t="str">
        <f>IF(Table1[[#This Row],[skill_gap_index]]&gt;70,"Large Gap",
IF(Table1[[#This Row],[skill_gap_index]]&gt;40,"Medium Gap","Small Gap"))</f>
        <v>Medium Gap</v>
      </c>
      <c r="X2843" s="3" t="str">
        <f>IF(Table1[[#This Row],[automation_risk_percent]]&gt;0.7,"Highly Automatable",
IF(Table1[[#This Row],[automation_risk_percent]]&gt;0.4,"Moderate Risk","Safe Job"))</f>
        <v>Safe Job</v>
      </c>
    </row>
    <row r="2844" spans="1:24" x14ac:dyDescent="0.3">
      <c r="A2844">
        <v>9974</v>
      </c>
      <c r="B2844" t="s">
        <v>29</v>
      </c>
      <c r="C2844" t="s">
        <v>33</v>
      </c>
      <c r="D2844" t="s">
        <v>32</v>
      </c>
      <c r="E2844" s="1">
        <v>2025</v>
      </c>
      <c r="F2844" s="11">
        <v>0.83829999999999993</v>
      </c>
      <c r="G2844">
        <v>90.99</v>
      </c>
      <c r="H2844">
        <v>66.33</v>
      </c>
      <c r="I2844" s="2">
        <v>123751.36</v>
      </c>
      <c r="J2844" s="2">
        <v>118717.29</v>
      </c>
      <c r="K2844" s="2">
        <f>Table1[[#This Row],[Salary_after]]-Table1[[#This Row],[Salary_before]]</f>
        <v>-5034.070000000007</v>
      </c>
      <c r="L2844" s="11">
        <v>-4.07E-2</v>
      </c>
      <c r="M2844" s="11">
        <v>-0.13100000000000001</v>
      </c>
      <c r="N2844">
        <v>17.79</v>
      </c>
      <c r="O2844">
        <v>6.78</v>
      </c>
      <c r="P2844">
        <v>2</v>
      </c>
      <c r="Q2844" t="s">
        <v>37</v>
      </c>
      <c r="R2844">
        <v>75.08</v>
      </c>
      <c r="S2844">
        <v>4.07</v>
      </c>
      <c r="T2844" s="4">
        <v>54.652000000000001</v>
      </c>
      <c r="U2844" s="4">
        <v>5.6836739999999999</v>
      </c>
      <c r="V2844" t="str">
        <f>IF(Table1[[#This Row],[ai_disruption_intensity]]&gt;70,"High",
IF(Table1[[#This Row],[ai_disruption_intensity]]&gt;40,"Medium","Low"))</f>
        <v>Low</v>
      </c>
      <c r="W2844" t="str">
        <f>IF(Table1[[#This Row],[skill_gap_index]]&gt;70,"Large Gap",
IF(Table1[[#This Row],[skill_gap_index]]&gt;40,"Medium Gap","Small Gap"))</f>
        <v>Medium Gap</v>
      </c>
      <c r="X2844" s="3" t="str">
        <f>IF(Table1[[#This Row],[automation_risk_percent]]&gt;0.7,"Highly Automatable",
IF(Table1[[#This Row],[automation_risk_percent]]&gt;0.4,"Moderate Risk","Safe Job"))</f>
        <v>Highly Automatable</v>
      </c>
    </row>
    <row r="2845" spans="1:24" x14ac:dyDescent="0.3">
      <c r="A2845">
        <v>9977</v>
      </c>
      <c r="B2845" t="s">
        <v>29</v>
      </c>
      <c r="C2845" t="s">
        <v>27</v>
      </c>
      <c r="D2845" t="s">
        <v>42</v>
      </c>
      <c r="E2845" s="1">
        <v>2026</v>
      </c>
      <c r="F2845" s="11">
        <v>0.83420000000000005</v>
      </c>
      <c r="G2845">
        <v>74.739999999999995</v>
      </c>
      <c r="H2845">
        <v>43.49</v>
      </c>
      <c r="I2845" s="2">
        <v>108197.09</v>
      </c>
      <c r="J2845" s="2">
        <v>91412.11</v>
      </c>
      <c r="K2845" s="2">
        <f>Table1[[#This Row],[Salary_after]]-Table1[[#This Row],[Salary_before]]</f>
        <v>-16784.979999999996</v>
      </c>
      <c r="L2845" s="11">
        <v>-0.15509999999999999</v>
      </c>
      <c r="M2845" s="11">
        <v>5.6299999999999996E-2</v>
      </c>
      <c r="N2845">
        <v>45.71</v>
      </c>
      <c r="O2845">
        <v>90.17</v>
      </c>
      <c r="P2845">
        <v>3</v>
      </c>
      <c r="Q2845" t="s">
        <v>37</v>
      </c>
      <c r="R2845">
        <v>63.454999999999998</v>
      </c>
      <c r="S2845">
        <v>15.51</v>
      </c>
      <c r="T2845" s="4">
        <v>51.067999999999998</v>
      </c>
      <c r="U2845" s="4">
        <v>75.219814</v>
      </c>
      <c r="V2845" t="str">
        <f>IF(Table1[[#This Row],[ai_disruption_intensity]]&gt;70,"High",
IF(Table1[[#This Row],[ai_disruption_intensity]]&gt;40,"Medium","Low"))</f>
        <v>High</v>
      </c>
      <c r="W2845" t="str">
        <f>IF(Table1[[#This Row],[skill_gap_index]]&gt;70,"Large Gap",
IF(Table1[[#This Row],[skill_gap_index]]&gt;40,"Medium Gap","Small Gap"))</f>
        <v>Medium Gap</v>
      </c>
      <c r="X2845" s="3" t="str">
        <f>IF(Table1[[#This Row],[automation_risk_percent]]&gt;0.7,"Highly Automatable",
IF(Table1[[#This Row],[automation_risk_percent]]&gt;0.4,"Moderate Risk","Safe Job"))</f>
        <v>Highly Automatable</v>
      </c>
    </row>
    <row r="2846" spans="1:24" x14ac:dyDescent="0.3">
      <c r="A2846">
        <v>9986</v>
      </c>
      <c r="B2846" t="s">
        <v>46</v>
      </c>
      <c r="C2846" t="s">
        <v>30</v>
      </c>
      <c r="D2846" t="s">
        <v>24</v>
      </c>
      <c r="E2846" s="1">
        <v>2025</v>
      </c>
      <c r="F2846" s="11">
        <v>0.53720000000000001</v>
      </c>
      <c r="G2846">
        <v>47.33</v>
      </c>
      <c r="H2846">
        <v>94.23</v>
      </c>
      <c r="I2846" s="2">
        <v>51048.6</v>
      </c>
      <c r="J2846" s="2">
        <v>50792.45</v>
      </c>
      <c r="K2846" s="2">
        <f>Table1[[#This Row],[Salary_after]]-Table1[[#This Row],[Salary_before]]</f>
        <v>-256.15000000000146</v>
      </c>
      <c r="L2846" s="11">
        <v>-5.0000000000000001E-3</v>
      </c>
      <c r="M2846" s="11">
        <v>1.61E-2</v>
      </c>
      <c r="N2846">
        <v>26.47</v>
      </c>
      <c r="O2846">
        <v>21.19</v>
      </c>
      <c r="P2846">
        <v>4</v>
      </c>
      <c r="Q2846" t="s">
        <v>25</v>
      </c>
      <c r="R2846">
        <v>73.974999999999994</v>
      </c>
      <c r="S2846">
        <v>0.5</v>
      </c>
      <c r="T2846" s="4">
        <v>49.906999999999996</v>
      </c>
      <c r="U2846" s="4">
        <v>11.383267999999999</v>
      </c>
      <c r="V2846" t="str">
        <f>IF(Table1[[#This Row],[ai_disruption_intensity]]&gt;70,"High",
IF(Table1[[#This Row],[ai_disruption_intensity]]&gt;40,"Medium","Low"))</f>
        <v>Low</v>
      </c>
      <c r="W2846" t="str">
        <f>IF(Table1[[#This Row],[skill_gap_index]]&gt;70,"Large Gap",
IF(Table1[[#This Row],[skill_gap_index]]&gt;40,"Medium Gap","Small Gap"))</f>
        <v>Large Gap</v>
      </c>
      <c r="X2846" s="3" t="str">
        <f>IF(Table1[[#This Row],[automation_risk_percent]]&gt;0.7,"Highly Automatable",
IF(Table1[[#This Row],[automation_risk_percent]]&gt;0.4,"Moderate Risk","Safe Job"))</f>
        <v>Moderate Risk</v>
      </c>
    </row>
    <row r="2847" spans="1:24" x14ac:dyDescent="0.3">
      <c r="A2847">
        <v>9987</v>
      </c>
      <c r="B2847" t="s">
        <v>46</v>
      </c>
      <c r="C2847" t="s">
        <v>27</v>
      </c>
      <c r="D2847" t="s">
        <v>20</v>
      </c>
      <c r="E2847" s="1">
        <v>2026</v>
      </c>
      <c r="F2847" s="11">
        <v>0.6915</v>
      </c>
      <c r="G2847">
        <v>81.03</v>
      </c>
      <c r="H2847">
        <v>32.25</v>
      </c>
      <c r="I2847" s="2">
        <v>71178.94</v>
      </c>
      <c r="J2847" s="2">
        <v>75841.39</v>
      </c>
      <c r="K2847" s="2">
        <f>Table1[[#This Row],[Salary_after]]-Table1[[#This Row],[Salary_before]]</f>
        <v>4662.4499999999971</v>
      </c>
      <c r="L2847" s="11">
        <v>6.5500000000000003E-2</v>
      </c>
      <c r="M2847" s="11">
        <v>1.44E-2</v>
      </c>
      <c r="N2847">
        <v>18.850000000000001</v>
      </c>
      <c r="O2847">
        <v>58.41</v>
      </c>
      <c r="P2847">
        <v>5</v>
      </c>
      <c r="Q2847" t="s">
        <v>37</v>
      </c>
      <c r="R2847">
        <v>50.7</v>
      </c>
      <c r="S2847">
        <v>6.55</v>
      </c>
      <c r="T2847" s="4">
        <v>39.299999999999997</v>
      </c>
      <c r="U2847" s="4">
        <v>40.390515000000001</v>
      </c>
      <c r="V2847" t="str">
        <f>IF(Table1[[#This Row],[ai_disruption_intensity]]&gt;70,"High",
IF(Table1[[#This Row],[ai_disruption_intensity]]&gt;40,"Medium","Low"))</f>
        <v>Medium</v>
      </c>
      <c r="W2847" t="str">
        <f>IF(Table1[[#This Row],[skill_gap_index]]&gt;70,"Large Gap",
IF(Table1[[#This Row],[skill_gap_index]]&gt;40,"Medium Gap","Small Gap"))</f>
        <v>Small Gap</v>
      </c>
      <c r="X2847" s="3" t="str">
        <f>IF(Table1[[#This Row],[automation_risk_percent]]&gt;0.7,"Highly Automatable",
IF(Table1[[#This Row],[automation_risk_percent]]&gt;0.4,"Moderate Risk","Safe Job"))</f>
        <v>Moderate Risk</v>
      </c>
    </row>
    <row r="2848" spans="1:24" x14ac:dyDescent="0.3">
      <c r="A2848">
        <v>9991</v>
      </c>
      <c r="B2848" t="s">
        <v>41</v>
      </c>
      <c r="C2848" t="s">
        <v>27</v>
      </c>
      <c r="D2848" t="s">
        <v>20</v>
      </c>
      <c r="E2848" s="1">
        <v>2025</v>
      </c>
      <c r="F2848" s="11">
        <v>0.56369999999999998</v>
      </c>
      <c r="G2848">
        <v>45.62</v>
      </c>
      <c r="H2848">
        <v>38.14</v>
      </c>
      <c r="I2848" s="2">
        <v>130629.02</v>
      </c>
      <c r="J2848" s="2">
        <v>143479.31</v>
      </c>
      <c r="K2848" s="2">
        <f>Table1[[#This Row],[Salary_after]]-Table1[[#This Row],[Salary_before]]</f>
        <v>12850.289999999994</v>
      </c>
      <c r="L2848" s="11">
        <v>9.8400000000000001E-2</v>
      </c>
      <c r="M2848" s="11">
        <v>-0.1231</v>
      </c>
      <c r="N2848">
        <v>33.5</v>
      </c>
      <c r="O2848">
        <v>13.42</v>
      </c>
      <c r="P2848">
        <v>3</v>
      </c>
      <c r="Q2848" t="s">
        <v>25</v>
      </c>
      <c r="R2848">
        <v>47.254999999999903</v>
      </c>
      <c r="S2848">
        <v>9.84</v>
      </c>
      <c r="T2848" s="4">
        <v>36.942</v>
      </c>
      <c r="U2848" s="4">
        <v>7.5648539999999898</v>
      </c>
      <c r="V2848" t="str">
        <f>IF(Table1[[#This Row],[ai_disruption_intensity]]&gt;70,"High",
IF(Table1[[#This Row],[ai_disruption_intensity]]&gt;40,"Medium","Low"))</f>
        <v>Low</v>
      </c>
      <c r="W2848" t="str">
        <f>IF(Table1[[#This Row],[skill_gap_index]]&gt;70,"Large Gap",
IF(Table1[[#This Row],[skill_gap_index]]&gt;40,"Medium Gap","Small Gap"))</f>
        <v>Small Gap</v>
      </c>
      <c r="X2848" s="3" t="str">
        <f>IF(Table1[[#This Row],[automation_risk_percent]]&gt;0.7,"Highly Automatable",
IF(Table1[[#This Row],[automation_risk_percent]]&gt;0.4,"Moderate Risk","Safe Job"))</f>
        <v>Moderate Risk</v>
      </c>
    </row>
    <row r="2849" spans="1:24" x14ac:dyDescent="0.3">
      <c r="A2849">
        <v>9997</v>
      </c>
      <c r="B2849" t="s">
        <v>29</v>
      </c>
      <c r="C2849" t="s">
        <v>33</v>
      </c>
      <c r="D2849" t="s">
        <v>47</v>
      </c>
      <c r="E2849" s="1">
        <v>2025</v>
      </c>
      <c r="F2849" s="11">
        <v>0.42090000000000005</v>
      </c>
      <c r="G2849">
        <v>48.55</v>
      </c>
      <c r="H2849">
        <v>1.62</v>
      </c>
      <c r="I2849" s="2">
        <v>42138.79</v>
      </c>
      <c r="J2849" s="2">
        <v>32037.15</v>
      </c>
      <c r="K2849" s="2">
        <f>Table1[[#This Row],[Salary_after]]-Table1[[#This Row],[Salary_before]]</f>
        <v>-10101.64</v>
      </c>
      <c r="L2849" s="11">
        <v>-0.2397</v>
      </c>
      <c r="M2849" s="11">
        <v>-1.06E-2</v>
      </c>
      <c r="N2849">
        <v>48.39</v>
      </c>
      <c r="O2849">
        <v>41.87</v>
      </c>
      <c r="P2849">
        <v>1</v>
      </c>
      <c r="Q2849" t="s">
        <v>25</v>
      </c>
      <c r="R2849">
        <v>21.855</v>
      </c>
      <c r="S2849">
        <v>23.97</v>
      </c>
      <c r="T2849" s="4">
        <v>24.513000000000002</v>
      </c>
      <c r="U2849" s="4">
        <v>17.623083000000001</v>
      </c>
      <c r="V2849" t="str">
        <f>IF(Table1[[#This Row],[ai_disruption_intensity]]&gt;70,"High",
IF(Table1[[#This Row],[ai_disruption_intensity]]&gt;40,"Medium","Low"))</f>
        <v>Low</v>
      </c>
      <c r="W2849" t="str">
        <f>IF(Table1[[#This Row],[skill_gap_index]]&gt;70,"Large Gap",
IF(Table1[[#This Row],[skill_gap_index]]&gt;40,"Medium Gap","Small Gap"))</f>
        <v>Small Gap</v>
      </c>
      <c r="X2849" s="3" t="str">
        <f>IF(Table1[[#This Row],[automation_risk_percent]]&gt;0.7,"Highly Automatable",
IF(Table1[[#This Row],[automation_risk_percent]]&gt;0.4,"Moderate Risk","Safe Job"))</f>
        <v>Moderate Risk</v>
      </c>
    </row>
    <row r="2850" spans="1:24" x14ac:dyDescent="0.3">
      <c r="A2850">
        <v>10003</v>
      </c>
      <c r="B2850" t="s">
        <v>18</v>
      </c>
      <c r="C2850" t="s">
        <v>33</v>
      </c>
      <c r="D2850" t="s">
        <v>24</v>
      </c>
      <c r="E2850" s="1">
        <v>2026</v>
      </c>
      <c r="F2850" s="11">
        <v>0.76170000000000004</v>
      </c>
      <c r="G2850">
        <v>77.16</v>
      </c>
      <c r="H2850">
        <v>48.36</v>
      </c>
      <c r="I2850" s="2">
        <v>73565.34</v>
      </c>
      <c r="J2850" s="2">
        <v>72778.77</v>
      </c>
      <c r="K2850" s="2">
        <f>Table1[[#This Row],[Salary_after]]-Table1[[#This Row],[Salary_before]]</f>
        <v>-786.56999999999243</v>
      </c>
      <c r="L2850" s="11">
        <v>-1.0700000000000001E-2</v>
      </c>
      <c r="M2850" s="11">
        <v>-0.11380000000000001</v>
      </c>
      <c r="N2850">
        <v>53.76</v>
      </c>
      <c r="O2850">
        <v>5.61</v>
      </c>
      <c r="P2850">
        <v>4</v>
      </c>
      <c r="Q2850" t="s">
        <v>37</v>
      </c>
      <c r="R2850">
        <v>62.265000000000001</v>
      </c>
      <c r="S2850">
        <v>1.07</v>
      </c>
      <c r="T2850" s="4">
        <v>45.296999999999997</v>
      </c>
      <c r="U2850" s="4">
        <v>4.2731370000000002</v>
      </c>
      <c r="V2850" t="str">
        <f>IF(Table1[[#This Row],[ai_disruption_intensity]]&gt;70,"High",
IF(Table1[[#This Row],[ai_disruption_intensity]]&gt;40,"Medium","Low"))</f>
        <v>Low</v>
      </c>
      <c r="W2850" t="str">
        <f>IF(Table1[[#This Row],[skill_gap_index]]&gt;70,"Large Gap",
IF(Table1[[#This Row],[skill_gap_index]]&gt;40,"Medium Gap","Small Gap"))</f>
        <v>Medium Gap</v>
      </c>
      <c r="X2850" s="3" t="str">
        <f>IF(Table1[[#This Row],[automation_risk_percent]]&gt;0.7,"Highly Automatable",
IF(Table1[[#This Row],[automation_risk_percent]]&gt;0.4,"Moderate Risk","Safe Job"))</f>
        <v>Highly Automatable</v>
      </c>
    </row>
    <row r="2851" spans="1:24" x14ac:dyDescent="0.3">
      <c r="A2851">
        <v>10005</v>
      </c>
      <c r="B2851" t="s">
        <v>29</v>
      </c>
      <c r="C2851" t="s">
        <v>30</v>
      </c>
      <c r="D2851" t="s">
        <v>47</v>
      </c>
      <c r="E2851" s="1">
        <v>2026</v>
      </c>
      <c r="F2851" s="11">
        <v>0.2626</v>
      </c>
      <c r="G2851">
        <v>21.44</v>
      </c>
      <c r="H2851">
        <v>2.95</v>
      </c>
      <c r="I2851" s="2">
        <v>135607.1</v>
      </c>
      <c r="J2851" s="2">
        <v>129762.07</v>
      </c>
      <c r="K2851" s="2">
        <f>Table1[[#This Row],[Salary_after]]-Table1[[#This Row],[Salary_before]]</f>
        <v>-5845.0299999999988</v>
      </c>
      <c r="L2851" s="11">
        <v>-4.3099999999999999E-2</v>
      </c>
      <c r="M2851" s="11">
        <v>-1.2500000000000001E-2</v>
      </c>
      <c r="N2851">
        <v>54.12</v>
      </c>
      <c r="O2851">
        <v>52.93</v>
      </c>
      <c r="P2851">
        <v>5</v>
      </c>
      <c r="Q2851" t="s">
        <v>21</v>
      </c>
      <c r="R2851">
        <v>14.605</v>
      </c>
      <c r="S2851">
        <v>4.3099999999999996</v>
      </c>
      <c r="T2851" s="4">
        <v>12.682</v>
      </c>
      <c r="U2851" s="4">
        <v>13.899418000000001</v>
      </c>
      <c r="V2851" t="str">
        <f>IF(Table1[[#This Row],[ai_disruption_intensity]]&gt;70,"High",
IF(Table1[[#This Row],[ai_disruption_intensity]]&gt;40,"Medium","Low"))</f>
        <v>Low</v>
      </c>
      <c r="W2851" t="str">
        <f>IF(Table1[[#This Row],[skill_gap_index]]&gt;70,"Large Gap",
IF(Table1[[#This Row],[skill_gap_index]]&gt;40,"Medium Gap","Small Gap"))</f>
        <v>Small Gap</v>
      </c>
      <c r="X2851" s="3" t="str">
        <f>IF(Table1[[#This Row],[automation_risk_percent]]&gt;0.7,"Highly Automatable",
IF(Table1[[#This Row],[automation_risk_percent]]&gt;0.4,"Moderate Risk","Safe Job"))</f>
        <v>Safe Job</v>
      </c>
    </row>
    <row r="2852" spans="1:24" x14ac:dyDescent="0.3">
      <c r="A2852">
        <v>10006</v>
      </c>
      <c r="B2852" t="s">
        <v>46</v>
      </c>
      <c r="C2852" t="s">
        <v>33</v>
      </c>
      <c r="D2852" t="s">
        <v>20</v>
      </c>
      <c r="E2852" s="1">
        <v>2026</v>
      </c>
      <c r="F2852" s="11">
        <v>8.539999999999999E-2</v>
      </c>
      <c r="G2852">
        <v>9.94</v>
      </c>
      <c r="H2852">
        <v>23.11</v>
      </c>
      <c r="I2852" s="2">
        <v>143110.65</v>
      </c>
      <c r="J2852" s="2">
        <v>142874.29999999999</v>
      </c>
      <c r="K2852" s="2">
        <f>Table1[[#This Row],[Salary_after]]-Table1[[#This Row],[Salary_before]]</f>
        <v>-236.35000000000582</v>
      </c>
      <c r="L2852" s="11">
        <v>-1.7000000000000001E-3</v>
      </c>
      <c r="M2852" s="11">
        <v>9.7899999999999987E-2</v>
      </c>
      <c r="N2852">
        <v>89.09</v>
      </c>
      <c r="O2852">
        <v>73.430000000000007</v>
      </c>
      <c r="P2852">
        <v>5</v>
      </c>
      <c r="Q2852" t="s">
        <v>21</v>
      </c>
      <c r="R2852">
        <v>15.824999999999999</v>
      </c>
      <c r="S2852">
        <v>0.17</v>
      </c>
      <c r="T2852" s="4">
        <v>10.4</v>
      </c>
      <c r="U2852" s="4">
        <v>6.2709219999999997</v>
      </c>
      <c r="V2852" t="str">
        <f>IF(Table1[[#This Row],[ai_disruption_intensity]]&gt;70,"High",
IF(Table1[[#This Row],[ai_disruption_intensity]]&gt;40,"Medium","Low"))</f>
        <v>Low</v>
      </c>
      <c r="W2852" t="str">
        <f>IF(Table1[[#This Row],[skill_gap_index]]&gt;70,"Large Gap",
IF(Table1[[#This Row],[skill_gap_index]]&gt;40,"Medium Gap","Small Gap"))</f>
        <v>Small Gap</v>
      </c>
      <c r="X2852" s="3" t="str">
        <f>IF(Table1[[#This Row],[automation_risk_percent]]&gt;0.7,"Highly Automatable",
IF(Table1[[#This Row],[automation_risk_percent]]&gt;0.4,"Moderate Risk","Safe Job"))</f>
        <v>Safe Job</v>
      </c>
    </row>
    <row r="2853" spans="1:24" x14ac:dyDescent="0.3">
      <c r="A2853">
        <v>10015</v>
      </c>
      <c r="B2853" t="s">
        <v>26</v>
      </c>
      <c r="C2853" t="s">
        <v>33</v>
      </c>
      <c r="D2853" t="s">
        <v>36</v>
      </c>
      <c r="E2853" s="1">
        <v>2025</v>
      </c>
      <c r="F2853" s="11">
        <v>0.64359999999999995</v>
      </c>
      <c r="G2853">
        <v>60.78</v>
      </c>
      <c r="H2853">
        <v>80.239999999999995</v>
      </c>
      <c r="I2853" s="2">
        <v>137616.24</v>
      </c>
      <c r="J2853" s="2">
        <v>136483.47</v>
      </c>
      <c r="K2853" s="2">
        <f>Table1[[#This Row],[Salary_after]]-Table1[[#This Row],[Salary_before]]</f>
        <v>-1132.7699999999895</v>
      </c>
      <c r="L2853" s="11">
        <v>-8.199999999999999E-3</v>
      </c>
      <c r="M2853" s="11">
        <v>7.1800000000000003E-2</v>
      </c>
      <c r="N2853">
        <v>33.44</v>
      </c>
      <c r="O2853">
        <v>43.96</v>
      </c>
      <c r="P2853">
        <v>1</v>
      </c>
      <c r="Q2853" t="s">
        <v>37</v>
      </c>
      <c r="R2853">
        <v>72.3</v>
      </c>
      <c r="S2853">
        <v>0.82</v>
      </c>
      <c r="T2853" s="4">
        <v>50.061999999999998</v>
      </c>
      <c r="U2853" s="4">
        <v>28.292656000000001</v>
      </c>
      <c r="V2853" t="str">
        <f>IF(Table1[[#This Row],[ai_disruption_intensity]]&gt;70,"High",
IF(Table1[[#This Row],[ai_disruption_intensity]]&gt;40,"Medium","Low"))</f>
        <v>Low</v>
      </c>
      <c r="W2853" t="str">
        <f>IF(Table1[[#This Row],[skill_gap_index]]&gt;70,"Large Gap",
IF(Table1[[#This Row],[skill_gap_index]]&gt;40,"Medium Gap","Small Gap"))</f>
        <v>Large Gap</v>
      </c>
      <c r="X2853" s="3" t="str">
        <f>IF(Table1[[#This Row],[automation_risk_percent]]&gt;0.7,"Highly Automatable",
IF(Table1[[#This Row],[automation_risk_percent]]&gt;0.4,"Moderate Risk","Safe Job"))</f>
        <v>Moderate Risk</v>
      </c>
    </row>
    <row r="2854" spans="1:24" x14ac:dyDescent="0.3">
      <c r="A2854">
        <v>10016</v>
      </c>
      <c r="B2854" t="s">
        <v>18</v>
      </c>
      <c r="C2854" t="s">
        <v>30</v>
      </c>
      <c r="D2854" t="s">
        <v>42</v>
      </c>
      <c r="E2854" s="1">
        <v>2026</v>
      </c>
      <c r="F2854" s="11">
        <v>0.48829999999999996</v>
      </c>
      <c r="G2854">
        <v>52.55</v>
      </c>
      <c r="H2854">
        <v>69.19</v>
      </c>
      <c r="I2854" s="2">
        <v>43997.95</v>
      </c>
      <c r="J2854" s="2">
        <v>39026.28</v>
      </c>
      <c r="K2854" s="2">
        <f>Table1[[#This Row],[Salary_after]]-Table1[[#This Row],[Salary_before]]</f>
        <v>-4971.6699999999983</v>
      </c>
      <c r="L2854" s="11">
        <v>-0.113</v>
      </c>
      <c r="M2854" s="11">
        <v>8.8000000000000009E-2</v>
      </c>
      <c r="N2854">
        <v>74.02</v>
      </c>
      <c r="O2854">
        <v>97.66</v>
      </c>
      <c r="P2854">
        <v>3</v>
      </c>
      <c r="Q2854" t="s">
        <v>25</v>
      </c>
      <c r="R2854">
        <v>59.01</v>
      </c>
      <c r="S2854">
        <v>11.3</v>
      </c>
      <c r="T2854" s="4">
        <v>43.679000000000002</v>
      </c>
      <c r="U2854" s="4">
        <v>47.687377999999903</v>
      </c>
      <c r="V2854" t="str">
        <f>IF(Table1[[#This Row],[ai_disruption_intensity]]&gt;70,"High",
IF(Table1[[#This Row],[ai_disruption_intensity]]&gt;40,"Medium","Low"))</f>
        <v>Medium</v>
      </c>
      <c r="W2854" t="str">
        <f>IF(Table1[[#This Row],[skill_gap_index]]&gt;70,"Large Gap",
IF(Table1[[#This Row],[skill_gap_index]]&gt;40,"Medium Gap","Small Gap"))</f>
        <v>Medium Gap</v>
      </c>
      <c r="X2854" s="3" t="str">
        <f>IF(Table1[[#This Row],[automation_risk_percent]]&gt;0.7,"Highly Automatable",
IF(Table1[[#This Row],[automation_risk_percent]]&gt;0.4,"Moderate Risk","Safe Job"))</f>
        <v>Moderate Risk</v>
      </c>
    </row>
    <row r="2855" spans="1:24" x14ac:dyDescent="0.3">
      <c r="A2855">
        <v>10020</v>
      </c>
      <c r="B2855" t="s">
        <v>44</v>
      </c>
      <c r="C2855" t="s">
        <v>27</v>
      </c>
      <c r="D2855" t="s">
        <v>28</v>
      </c>
      <c r="E2855" s="1">
        <v>2025</v>
      </c>
      <c r="F2855" s="11">
        <v>0.33069999999999999</v>
      </c>
      <c r="G2855">
        <v>37.78</v>
      </c>
      <c r="H2855">
        <v>41</v>
      </c>
      <c r="I2855" s="2">
        <v>79564.509999999995</v>
      </c>
      <c r="J2855" s="2">
        <v>79121.84</v>
      </c>
      <c r="K2855" s="2">
        <f>Table1[[#This Row],[Salary_after]]-Table1[[#This Row],[Salary_before]]</f>
        <v>-442.66999999999825</v>
      </c>
      <c r="L2855" s="11">
        <v>-5.6000000000000008E-3</v>
      </c>
      <c r="M2855" s="11">
        <v>5.8499999999999996E-2</v>
      </c>
      <c r="N2855">
        <v>89.39</v>
      </c>
      <c r="O2855">
        <v>49.46</v>
      </c>
      <c r="P2855">
        <v>3</v>
      </c>
      <c r="Q2855" t="s">
        <v>25</v>
      </c>
      <c r="R2855">
        <v>37.034999999999997</v>
      </c>
      <c r="S2855">
        <v>0.56000000000000005</v>
      </c>
      <c r="T2855" s="4">
        <v>25.695999999999898</v>
      </c>
      <c r="U2855" s="4">
        <v>16.356421999999998</v>
      </c>
      <c r="V2855" t="str">
        <f>IF(Table1[[#This Row],[ai_disruption_intensity]]&gt;70,"High",
IF(Table1[[#This Row],[ai_disruption_intensity]]&gt;40,"Medium","Low"))</f>
        <v>Low</v>
      </c>
      <c r="W2855" t="str">
        <f>IF(Table1[[#This Row],[skill_gap_index]]&gt;70,"Large Gap",
IF(Table1[[#This Row],[skill_gap_index]]&gt;40,"Medium Gap","Small Gap"))</f>
        <v>Medium Gap</v>
      </c>
      <c r="X2855" s="3" t="str">
        <f>IF(Table1[[#This Row],[automation_risk_percent]]&gt;0.7,"Highly Automatable",
IF(Table1[[#This Row],[automation_risk_percent]]&gt;0.4,"Moderate Risk","Safe Job"))</f>
        <v>Safe Job</v>
      </c>
    </row>
    <row r="2856" spans="1:24" x14ac:dyDescent="0.3">
      <c r="A2856">
        <v>10024</v>
      </c>
      <c r="B2856" t="s">
        <v>46</v>
      </c>
      <c r="C2856" t="s">
        <v>34</v>
      </c>
      <c r="D2856" t="s">
        <v>36</v>
      </c>
      <c r="E2856" s="1">
        <v>2026</v>
      </c>
      <c r="F2856" s="11">
        <v>0.65150000000000008</v>
      </c>
      <c r="G2856">
        <v>65.239999999999995</v>
      </c>
      <c r="H2856">
        <v>51.1</v>
      </c>
      <c r="I2856" s="2">
        <v>138987.44</v>
      </c>
      <c r="J2856" s="2">
        <v>133971.81</v>
      </c>
      <c r="K2856" s="2">
        <f>Table1[[#This Row],[Salary_after]]-Table1[[#This Row],[Salary_before]]</f>
        <v>-5015.6300000000047</v>
      </c>
      <c r="L2856" s="11">
        <v>-3.61E-2</v>
      </c>
      <c r="M2856" s="11">
        <v>6.88E-2</v>
      </c>
      <c r="N2856">
        <v>21.55</v>
      </c>
      <c r="O2856">
        <v>95.17</v>
      </c>
      <c r="P2856">
        <v>3</v>
      </c>
      <c r="Q2856" t="s">
        <v>37</v>
      </c>
      <c r="R2856">
        <v>58.125</v>
      </c>
      <c r="S2856">
        <v>3.61</v>
      </c>
      <c r="T2856" s="4">
        <v>42.472999999999999</v>
      </c>
      <c r="U2856" s="4">
        <v>62.003255000000003</v>
      </c>
      <c r="V2856" t="str">
        <f>IF(Table1[[#This Row],[ai_disruption_intensity]]&gt;70,"High",
IF(Table1[[#This Row],[ai_disruption_intensity]]&gt;40,"Medium","Low"))</f>
        <v>Medium</v>
      </c>
      <c r="W2856" t="str">
        <f>IF(Table1[[#This Row],[skill_gap_index]]&gt;70,"Large Gap",
IF(Table1[[#This Row],[skill_gap_index]]&gt;40,"Medium Gap","Small Gap"))</f>
        <v>Medium Gap</v>
      </c>
      <c r="X2856" s="3" t="str">
        <f>IF(Table1[[#This Row],[automation_risk_percent]]&gt;0.7,"Highly Automatable",
IF(Table1[[#This Row],[automation_risk_percent]]&gt;0.4,"Moderate Risk","Safe Job"))</f>
        <v>Moderate Risk</v>
      </c>
    </row>
    <row r="2857" spans="1:24" x14ac:dyDescent="0.3">
      <c r="A2857">
        <v>10026</v>
      </c>
      <c r="B2857" t="s">
        <v>26</v>
      </c>
      <c r="C2857" t="s">
        <v>19</v>
      </c>
      <c r="D2857" t="s">
        <v>35</v>
      </c>
      <c r="E2857" s="1">
        <v>2026</v>
      </c>
      <c r="F2857" s="11">
        <v>0.63560000000000005</v>
      </c>
      <c r="G2857">
        <v>51.84</v>
      </c>
      <c r="H2857">
        <v>9.5399999999999991</v>
      </c>
      <c r="I2857" s="2">
        <v>133473.04</v>
      </c>
      <c r="J2857" s="2">
        <v>122802.94</v>
      </c>
      <c r="K2857" s="2">
        <f>Table1[[#This Row],[Salary_after]]-Table1[[#This Row],[Salary_before]]</f>
        <v>-10670.100000000006</v>
      </c>
      <c r="L2857" s="11">
        <v>-7.9899999999999999E-2</v>
      </c>
      <c r="M2857" s="11">
        <v>-2.3099999999999999E-2</v>
      </c>
      <c r="N2857">
        <v>85.97</v>
      </c>
      <c r="O2857">
        <v>54.22</v>
      </c>
      <c r="P2857">
        <v>2</v>
      </c>
      <c r="Q2857" t="s">
        <v>37</v>
      </c>
      <c r="R2857">
        <v>36.549999999999997</v>
      </c>
      <c r="S2857">
        <v>7.99</v>
      </c>
      <c r="T2857" s="4">
        <v>30.683</v>
      </c>
      <c r="U2857" s="4">
        <v>34.462232</v>
      </c>
      <c r="V2857" t="str">
        <f>IF(Table1[[#This Row],[ai_disruption_intensity]]&gt;70,"High",
IF(Table1[[#This Row],[ai_disruption_intensity]]&gt;40,"Medium","Low"))</f>
        <v>Low</v>
      </c>
      <c r="W2857" t="str">
        <f>IF(Table1[[#This Row],[skill_gap_index]]&gt;70,"Large Gap",
IF(Table1[[#This Row],[skill_gap_index]]&gt;40,"Medium Gap","Small Gap"))</f>
        <v>Small Gap</v>
      </c>
      <c r="X2857" s="3" t="str">
        <f>IF(Table1[[#This Row],[automation_risk_percent]]&gt;0.7,"Highly Automatable",
IF(Table1[[#This Row],[automation_risk_percent]]&gt;0.4,"Moderate Risk","Safe Job"))</f>
        <v>Moderate Risk</v>
      </c>
    </row>
    <row r="2858" spans="1:24" x14ac:dyDescent="0.3">
      <c r="A2858">
        <v>10032</v>
      </c>
      <c r="B2858" t="s">
        <v>43</v>
      </c>
      <c r="C2858" t="s">
        <v>19</v>
      </c>
      <c r="D2858" t="s">
        <v>32</v>
      </c>
      <c r="E2858" s="1">
        <v>2026</v>
      </c>
      <c r="F2858" s="11">
        <v>0.71970000000000001</v>
      </c>
      <c r="G2858">
        <v>60.25</v>
      </c>
      <c r="H2858">
        <v>99.41</v>
      </c>
      <c r="I2858" s="2">
        <v>69441.66</v>
      </c>
      <c r="J2858" s="2">
        <v>64641.85</v>
      </c>
      <c r="K2858" s="2">
        <f>Table1[[#This Row],[Salary_after]]-Table1[[#This Row],[Salary_before]]</f>
        <v>-4799.8100000000049</v>
      </c>
      <c r="L2858" s="11">
        <v>-6.9099999999999995E-2</v>
      </c>
      <c r="M2858" s="11">
        <v>8.9200000000000002E-2</v>
      </c>
      <c r="N2858">
        <v>53.91</v>
      </c>
      <c r="O2858">
        <v>4.01</v>
      </c>
      <c r="P2858">
        <v>4</v>
      </c>
      <c r="Q2858" t="s">
        <v>37</v>
      </c>
      <c r="R2858">
        <v>85.69</v>
      </c>
      <c r="S2858">
        <v>6.91</v>
      </c>
      <c r="T2858" s="4">
        <v>60.683999999999997</v>
      </c>
      <c r="U2858" s="4">
        <v>2.8859969999999899</v>
      </c>
      <c r="V2858" t="str">
        <f>IF(Table1[[#This Row],[ai_disruption_intensity]]&gt;70,"High",
IF(Table1[[#This Row],[ai_disruption_intensity]]&gt;40,"Medium","Low"))</f>
        <v>Low</v>
      </c>
      <c r="W2858" t="str">
        <f>IF(Table1[[#This Row],[skill_gap_index]]&gt;70,"Large Gap",
IF(Table1[[#This Row],[skill_gap_index]]&gt;40,"Medium Gap","Small Gap"))</f>
        <v>Large Gap</v>
      </c>
      <c r="X2858" s="3" t="str">
        <f>IF(Table1[[#This Row],[automation_risk_percent]]&gt;0.7,"Highly Automatable",
IF(Table1[[#This Row],[automation_risk_percent]]&gt;0.4,"Moderate Risk","Safe Job"))</f>
        <v>Highly Automatable</v>
      </c>
    </row>
    <row r="2859" spans="1:24" x14ac:dyDescent="0.3">
      <c r="A2859">
        <v>10038</v>
      </c>
      <c r="B2859" t="s">
        <v>26</v>
      </c>
      <c r="C2859" t="s">
        <v>40</v>
      </c>
      <c r="D2859" t="s">
        <v>20</v>
      </c>
      <c r="E2859" s="1">
        <v>2026</v>
      </c>
      <c r="F2859" s="11">
        <v>9.0999999999999998E-2</v>
      </c>
      <c r="G2859">
        <v>10.26</v>
      </c>
      <c r="H2859">
        <v>35.96</v>
      </c>
      <c r="I2859" s="2">
        <v>43861</v>
      </c>
      <c r="J2859" s="2">
        <v>40208.18</v>
      </c>
      <c r="K2859" s="2">
        <f>Table1[[#This Row],[Salary_after]]-Table1[[#This Row],[Salary_before]]</f>
        <v>-3652.8199999999997</v>
      </c>
      <c r="L2859" s="11">
        <v>-8.3299999999999999E-2</v>
      </c>
      <c r="M2859" s="11">
        <v>-0.25280000000000002</v>
      </c>
      <c r="N2859">
        <v>10.82</v>
      </c>
      <c r="O2859">
        <v>47.45</v>
      </c>
      <c r="P2859">
        <v>4</v>
      </c>
      <c r="Q2859" t="s">
        <v>21</v>
      </c>
      <c r="R2859">
        <v>22.53</v>
      </c>
      <c r="S2859">
        <v>8.33</v>
      </c>
      <c r="T2859" s="4">
        <v>16.927</v>
      </c>
      <c r="U2859" s="4">
        <v>4.3179499999999997</v>
      </c>
      <c r="V2859" t="str">
        <f>IF(Table1[[#This Row],[ai_disruption_intensity]]&gt;70,"High",
IF(Table1[[#This Row],[ai_disruption_intensity]]&gt;40,"Medium","Low"))</f>
        <v>Low</v>
      </c>
      <c r="W2859" t="str">
        <f>IF(Table1[[#This Row],[skill_gap_index]]&gt;70,"Large Gap",
IF(Table1[[#This Row],[skill_gap_index]]&gt;40,"Medium Gap","Small Gap"))</f>
        <v>Small Gap</v>
      </c>
      <c r="X2859" s="3" t="str">
        <f>IF(Table1[[#This Row],[automation_risk_percent]]&gt;0.7,"Highly Automatable",
IF(Table1[[#This Row],[automation_risk_percent]]&gt;0.4,"Moderate Risk","Safe Job"))</f>
        <v>Safe Job</v>
      </c>
    </row>
    <row r="2860" spans="1:24" x14ac:dyDescent="0.3">
      <c r="A2860">
        <v>10040</v>
      </c>
      <c r="B2860" t="s">
        <v>39</v>
      </c>
      <c r="C2860" t="s">
        <v>23</v>
      </c>
      <c r="D2860" t="s">
        <v>24</v>
      </c>
      <c r="E2860" s="1">
        <v>2025</v>
      </c>
      <c r="F2860" s="11">
        <v>0.12710000000000002</v>
      </c>
      <c r="G2860">
        <v>11.14</v>
      </c>
      <c r="H2860">
        <v>12.2</v>
      </c>
      <c r="I2860" s="2">
        <v>69306.14</v>
      </c>
      <c r="J2860" s="2">
        <v>64766.97</v>
      </c>
      <c r="K2860" s="2">
        <f>Table1[[#This Row],[Salary_after]]-Table1[[#This Row],[Salary_before]]</f>
        <v>-4539.1699999999983</v>
      </c>
      <c r="L2860" s="11">
        <v>-6.5500000000000003E-2</v>
      </c>
      <c r="M2860" s="11">
        <v>2.4300000000000002E-2</v>
      </c>
      <c r="N2860">
        <v>56.29</v>
      </c>
      <c r="O2860">
        <v>11.62</v>
      </c>
      <c r="P2860">
        <v>1</v>
      </c>
      <c r="Q2860" t="s">
        <v>21</v>
      </c>
      <c r="R2860">
        <v>12.455</v>
      </c>
      <c r="S2860">
        <v>6.55</v>
      </c>
      <c r="T2860" s="4">
        <v>10.709</v>
      </c>
      <c r="U2860" s="4">
        <v>1.4769019999999999</v>
      </c>
      <c r="V2860" t="str">
        <f>IF(Table1[[#This Row],[ai_disruption_intensity]]&gt;70,"High",
IF(Table1[[#This Row],[ai_disruption_intensity]]&gt;40,"Medium","Low"))</f>
        <v>Low</v>
      </c>
      <c r="W2860" t="str">
        <f>IF(Table1[[#This Row],[skill_gap_index]]&gt;70,"Large Gap",
IF(Table1[[#This Row],[skill_gap_index]]&gt;40,"Medium Gap","Small Gap"))</f>
        <v>Small Gap</v>
      </c>
      <c r="X2860" s="3" t="str">
        <f>IF(Table1[[#This Row],[automation_risk_percent]]&gt;0.7,"Highly Automatable",
IF(Table1[[#This Row],[automation_risk_percent]]&gt;0.4,"Moderate Risk","Safe Job"))</f>
        <v>Safe Job</v>
      </c>
    </row>
    <row r="2861" spans="1:24" x14ac:dyDescent="0.3">
      <c r="A2861">
        <v>10045</v>
      </c>
      <c r="B2861" t="s">
        <v>41</v>
      </c>
      <c r="C2861" t="s">
        <v>33</v>
      </c>
      <c r="D2861" t="s">
        <v>47</v>
      </c>
      <c r="E2861" s="1">
        <v>2026</v>
      </c>
      <c r="F2861" s="11">
        <v>0.65</v>
      </c>
      <c r="G2861">
        <v>52.39</v>
      </c>
      <c r="H2861">
        <v>58.55</v>
      </c>
      <c r="I2861" s="2">
        <v>143581.63</v>
      </c>
      <c r="J2861" s="2">
        <v>162903.76999999999</v>
      </c>
      <c r="K2861" s="2">
        <f>Table1[[#This Row],[Salary_after]]-Table1[[#This Row],[Salary_before]]</f>
        <v>19322.139999999985</v>
      </c>
      <c r="L2861" s="11">
        <v>0.1346</v>
      </c>
      <c r="M2861" s="11">
        <v>0.30780000000000002</v>
      </c>
      <c r="N2861">
        <v>70.319999999999993</v>
      </c>
      <c r="O2861">
        <v>87.09</v>
      </c>
      <c r="P2861">
        <v>5</v>
      </c>
      <c r="Q2861" t="s">
        <v>37</v>
      </c>
      <c r="R2861">
        <v>61.774999999999999</v>
      </c>
      <c r="S2861">
        <v>13.46</v>
      </c>
      <c r="T2861" s="4">
        <v>47.602999999999902</v>
      </c>
      <c r="U2861" s="4">
        <v>56.608499999999999</v>
      </c>
      <c r="V2861" t="str">
        <f>IF(Table1[[#This Row],[ai_disruption_intensity]]&gt;70,"High",
IF(Table1[[#This Row],[ai_disruption_intensity]]&gt;40,"Medium","Low"))</f>
        <v>Medium</v>
      </c>
      <c r="W2861" t="str">
        <f>IF(Table1[[#This Row],[skill_gap_index]]&gt;70,"Large Gap",
IF(Table1[[#This Row],[skill_gap_index]]&gt;40,"Medium Gap","Small Gap"))</f>
        <v>Medium Gap</v>
      </c>
      <c r="X2861" s="3" t="str">
        <f>IF(Table1[[#This Row],[automation_risk_percent]]&gt;0.7,"Highly Automatable",
IF(Table1[[#This Row],[automation_risk_percent]]&gt;0.4,"Moderate Risk","Safe Job"))</f>
        <v>Moderate Risk</v>
      </c>
    </row>
    <row r="2862" spans="1:24" x14ac:dyDescent="0.3">
      <c r="A2862">
        <v>10047</v>
      </c>
      <c r="B2862" t="s">
        <v>29</v>
      </c>
      <c r="C2862" t="s">
        <v>34</v>
      </c>
      <c r="D2862" t="s">
        <v>24</v>
      </c>
      <c r="E2862" s="1">
        <v>2026</v>
      </c>
      <c r="F2862" s="11">
        <v>0.44579999999999997</v>
      </c>
      <c r="G2862">
        <v>41.1</v>
      </c>
      <c r="H2862">
        <v>6.14</v>
      </c>
      <c r="I2862" s="2">
        <v>96033.76</v>
      </c>
      <c r="J2862" s="2">
        <v>104283.09</v>
      </c>
      <c r="K2862" s="2">
        <f>Table1[[#This Row],[Salary_after]]-Table1[[#This Row],[Salary_before]]</f>
        <v>8249.3300000000017</v>
      </c>
      <c r="L2862" s="11">
        <v>8.5900000000000004E-2</v>
      </c>
      <c r="M2862" s="11">
        <v>-7.1999999999999998E-3</v>
      </c>
      <c r="N2862">
        <v>82.13</v>
      </c>
      <c r="O2862">
        <v>12.84</v>
      </c>
      <c r="P2862">
        <v>5</v>
      </c>
      <c r="Q2862" t="s">
        <v>25</v>
      </c>
      <c r="R2862">
        <v>25.36</v>
      </c>
      <c r="S2862">
        <v>8.59</v>
      </c>
      <c r="T2862" s="4">
        <v>22.250999999999902</v>
      </c>
      <c r="U2862" s="4">
        <v>5.7240719999999996</v>
      </c>
      <c r="V2862" t="str">
        <f>IF(Table1[[#This Row],[ai_disruption_intensity]]&gt;70,"High",
IF(Table1[[#This Row],[ai_disruption_intensity]]&gt;40,"Medium","Low"))</f>
        <v>Low</v>
      </c>
      <c r="W2862" t="str">
        <f>IF(Table1[[#This Row],[skill_gap_index]]&gt;70,"Large Gap",
IF(Table1[[#This Row],[skill_gap_index]]&gt;40,"Medium Gap","Small Gap"))</f>
        <v>Small Gap</v>
      </c>
      <c r="X2862" s="3" t="str">
        <f>IF(Table1[[#This Row],[automation_risk_percent]]&gt;0.7,"Highly Automatable",
IF(Table1[[#This Row],[automation_risk_percent]]&gt;0.4,"Moderate Risk","Safe Job"))</f>
        <v>Moderate Risk</v>
      </c>
    </row>
    <row r="2863" spans="1:24" x14ac:dyDescent="0.3">
      <c r="A2863">
        <v>10048</v>
      </c>
      <c r="B2863" t="s">
        <v>43</v>
      </c>
      <c r="C2863" t="s">
        <v>30</v>
      </c>
      <c r="D2863" t="s">
        <v>20</v>
      </c>
      <c r="E2863" s="1">
        <v>2026</v>
      </c>
      <c r="F2863" s="11">
        <v>0.21199999999999999</v>
      </c>
      <c r="G2863">
        <v>19.68</v>
      </c>
      <c r="H2863">
        <v>58.09</v>
      </c>
      <c r="I2863" s="2">
        <v>71101.710000000006</v>
      </c>
      <c r="J2863" s="2">
        <v>64552.01</v>
      </c>
      <c r="K2863" s="2">
        <f>Table1[[#This Row],[Salary_after]]-Table1[[#This Row],[Salary_before]]</f>
        <v>-6549.7000000000044</v>
      </c>
      <c r="L2863" s="11">
        <v>-9.2100000000000015E-2</v>
      </c>
      <c r="M2863" s="11">
        <v>1.1699999999999999E-2</v>
      </c>
      <c r="N2863">
        <v>40.200000000000003</v>
      </c>
      <c r="O2863">
        <v>47.04</v>
      </c>
      <c r="P2863">
        <v>5</v>
      </c>
      <c r="Q2863" t="s">
        <v>21</v>
      </c>
      <c r="R2863">
        <v>39.645000000000003</v>
      </c>
      <c r="S2863">
        <v>9.2100000000000009</v>
      </c>
      <c r="T2863" s="4">
        <v>28.67</v>
      </c>
      <c r="U2863" s="4">
        <v>9.9724799999999991</v>
      </c>
      <c r="V2863" t="str">
        <f>IF(Table1[[#This Row],[ai_disruption_intensity]]&gt;70,"High",
IF(Table1[[#This Row],[ai_disruption_intensity]]&gt;40,"Medium","Low"))</f>
        <v>Low</v>
      </c>
      <c r="W2863" t="str">
        <f>IF(Table1[[#This Row],[skill_gap_index]]&gt;70,"Large Gap",
IF(Table1[[#This Row],[skill_gap_index]]&gt;40,"Medium Gap","Small Gap"))</f>
        <v>Medium Gap</v>
      </c>
      <c r="X2863" s="3" t="str">
        <f>IF(Table1[[#This Row],[automation_risk_percent]]&gt;0.7,"Highly Automatable",
IF(Table1[[#This Row],[automation_risk_percent]]&gt;0.4,"Moderate Risk","Safe Job"))</f>
        <v>Safe Job</v>
      </c>
    </row>
    <row r="2864" spans="1:24" x14ac:dyDescent="0.3">
      <c r="A2864">
        <v>10059</v>
      </c>
      <c r="B2864" t="s">
        <v>44</v>
      </c>
      <c r="C2864" t="s">
        <v>38</v>
      </c>
      <c r="D2864" t="s">
        <v>47</v>
      </c>
      <c r="E2864" s="1">
        <v>2026</v>
      </c>
      <c r="F2864" s="11">
        <v>0.34320000000000001</v>
      </c>
      <c r="G2864">
        <v>35.81</v>
      </c>
      <c r="H2864">
        <v>46.85</v>
      </c>
      <c r="I2864" s="2">
        <v>137152.70000000001</v>
      </c>
      <c r="J2864" s="2">
        <v>118149.98</v>
      </c>
      <c r="K2864" s="2">
        <f>Table1[[#This Row],[Salary_after]]-Table1[[#This Row],[Salary_before]]</f>
        <v>-19002.720000000016</v>
      </c>
      <c r="L2864" s="11">
        <v>-0.1386</v>
      </c>
      <c r="M2864" s="11">
        <v>-0.23230000000000001</v>
      </c>
      <c r="N2864">
        <v>84.5</v>
      </c>
      <c r="O2864">
        <v>66.62</v>
      </c>
      <c r="P2864">
        <v>5</v>
      </c>
      <c r="Q2864" t="s">
        <v>25</v>
      </c>
      <c r="R2864">
        <v>40.585000000000001</v>
      </c>
      <c r="S2864">
        <v>13.86</v>
      </c>
      <c r="T2864" s="4">
        <v>31.940999999999999</v>
      </c>
      <c r="U2864" s="4">
        <v>22.863983999999999</v>
      </c>
      <c r="V2864" t="str">
        <f>IF(Table1[[#This Row],[ai_disruption_intensity]]&gt;70,"High",
IF(Table1[[#This Row],[ai_disruption_intensity]]&gt;40,"Medium","Low"))</f>
        <v>Low</v>
      </c>
      <c r="W2864" t="str">
        <f>IF(Table1[[#This Row],[skill_gap_index]]&gt;70,"Large Gap",
IF(Table1[[#This Row],[skill_gap_index]]&gt;40,"Medium Gap","Small Gap"))</f>
        <v>Medium Gap</v>
      </c>
      <c r="X2864" s="3" t="str">
        <f>IF(Table1[[#This Row],[automation_risk_percent]]&gt;0.7,"Highly Automatable",
IF(Table1[[#This Row],[automation_risk_percent]]&gt;0.4,"Moderate Risk","Safe Job"))</f>
        <v>Safe Job</v>
      </c>
    </row>
    <row r="2865" spans="1:24" x14ac:dyDescent="0.3">
      <c r="A2865">
        <v>10061</v>
      </c>
      <c r="B2865" t="s">
        <v>44</v>
      </c>
      <c r="C2865" t="s">
        <v>34</v>
      </c>
      <c r="D2865" t="s">
        <v>20</v>
      </c>
      <c r="E2865" s="1">
        <v>2026</v>
      </c>
      <c r="F2865" s="11">
        <v>0.61299999999999999</v>
      </c>
      <c r="G2865">
        <v>51.34</v>
      </c>
      <c r="H2865">
        <v>52.26</v>
      </c>
      <c r="I2865" s="2">
        <v>47712.2</v>
      </c>
      <c r="J2865" s="2">
        <v>44272.26</v>
      </c>
      <c r="K2865" s="2">
        <f>Table1[[#This Row],[Salary_after]]-Table1[[#This Row],[Salary_before]]</f>
        <v>-3439.9399999999951</v>
      </c>
      <c r="L2865" s="11">
        <v>-7.2099999999999997E-2</v>
      </c>
      <c r="M2865" s="11">
        <v>-1.7000000000000001E-3</v>
      </c>
      <c r="N2865">
        <v>24.93</v>
      </c>
      <c r="O2865">
        <v>99.17</v>
      </c>
      <c r="P2865">
        <v>3</v>
      </c>
      <c r="Q2865" t="s">
        <v>37</v>
      </c>
      <c r="R2865">
        <v>56.78</v>
      </c>
      <c r="S2865">
        <v>7.21</v>
      </c>
      <c r="T2865" s="4">
        <v>42.360999999999997</v>
      </c>
      <c r="U2865" s="4">
        <v>60.79121</v>
      </c>
      <c r="V2865" t="str">
        <f>IF(Table1[[#This Row],[ai_disruption_intensity]]&gt;70,"High",
IF(Table1[[#This Row],[ai_disruption_intensity]]&gt;40,"Medium","Low"))</f>
        <v>Medium</v>
      </c>
      <c r="W2865" t="str">
        <f>IF(Table1[[#This Row],[skill_gap_index]]&gt;70,"Large Gap",
IF(Table1[[#This Row],[skill_gap_index]]&gt;40,"Medium Gap","Small Gap"))</f>
        <v>Medium Gap</v>
      </c>
      <c r="X2865" s="3" t="str">
        <f>IF(Table1[[#This Row],[automation_risk_percent]]&gt;0.7,"Highly Automatable",
IF(Table1[[#This Row],[automation_risk_percent]]&gt;0.4,"Moderate Risk","Safe Job"))</f>
        <v>Moderate Risk</v>
      </c>
    </row>
    <row r="2866" spans="1:24" x14ac:dyDescent="0.3">
      <c r="A2866">
        <v>10068</v>
      </c>
      <c r="B2866" t="s">
        <v>39</v>
      </c>
      <c r="C2866" t="s">
        <v>40</v>
      </c>
      <c r="D2866" t="s">
        <v>35</v>
      </c>
      <c r="E2866" s="1">
        <v>2026</v>
      </c>
      <c r="F2866" s="11">
        <v>0.65590000000000004</v>
      </c>
      <c r="G2866">
        <v>74.42</v>
      </c>
      <c r="H2866">
        <v>85.44</v>
      </c>
      <c r="I2866" s="2">
        <v>79365.56</v>
      </c>
      <c r="J2866" s="2">
        <v>75054.97</v>
      </c>
      <c r="K2866" s="2">
        <f>Table1[[#This Row],[Salary_after]]-Table1[[#This Row],[Salary_before]]</f>
        <v>-4310.5899999999965</v>
      </c>
      <c r="L2866" s="11">
        <v>-5.4299999999999994E-2</v>
      </c>
      <c r="M2866" s="11">
        <v>0.15890000000000001</v>
      </c>
      <c r="N2866">
        <v>14.73</v>
      </c>
      <c r="O2866">
        <v>68.930000000000007</v>
      </c>
      <c r="P2866">
        <v>3</v>
      </c>
      <c r="Q2866" t="s">
        <v>37</v>
      </c>
      <c r="R2866">
        <v>75.515000000000001</v>
      </c>
      <c r="S2866">
        <v>5.43</v>
      </c>
      <c r="T2866" s="4">
        <v>53.497</v>
      </c>
      <c r="U2866" s="4">
        <v>45.211187000000002</v>
      </c>
      <c r="V2866" t="str">
        <f>IF(Table1[[#This Row],[ai_disruption_intensity]]&gt;70,"High",
IF(Table1[[#This Row],[ai_disruption_intensity]]&gt;40,"Medium","Low"))</f>
        <v>Medium</v>
      </c>
      <c r="W2866" t="str">
        <f>IF(Table1[[#This Row],[skill_gap_index]]&gt;70,"Large Gap",
IF(Table1[[#This Row],[skill_gap_index]]&gt;40,"Medium Gap","Small Gap"))</f>
        <v>Large Gap</v>
      </c>
      <c r="X2866" s="3" t="str">
        <f>IF(Table1[[#This Row],[automation_risk_percent]]&gt;0.7,"Highly Automatable",
IF(Table1[[#This Row],[automation_risk_percent]]&gt;0.4,"Moderate Risk","Safe Job"))</f>
        <v>Moderate Risk</v>
      </c>
    </row>
    <row r="2867" spans="1:24" x14ac:dyDescent="0.3">
      <c r="A2867">
        <v>10069</v>
      </c>
      <c r="B2867" t="s">
        <v>39</v>
      </c>
      <c r="C2867" t="s">
        <v>19</v>
      </c>
      <c r="D2867" t="s">
        <v>20</v>
      </c>
      <c r="E2867" s="1">
        <v>2026</v>
      </c>
      <c r="F2867" s="11">
        <v>0.23929999999999998</v>
      </c>
      <c r="G2867">
        <v>23.46</v>
      </c>
      <c r="H2867">
        <v>16.39</v>
      </c>
      <c r="I2867" s="2">
        <v>76984.350000000006</v>
      </c>
      <c r="J2867" s="2">
        <v>79022.570000000007</v>
      </c>
      <c r="K2867" s="2">
        <f>Table1[[#This Row],[Salary_after]]-Table1[[#This Row],[Salary_before]]</f>
        <v>2038.2200000000012</v>
      </c>
      <c r="L2867" s="11">
        <v>2.6499999999999999E-2</v>
      </c>
      <c r="M2867" s="11">
        <v>0.1401</v>
      </c>
      <c r="N2867">
        <v>23.33</v>
      </c>
      <c r="O2867">
        <v>72.55</v>
      </c>
      <c r="P2867">
        <v>4</v>
      </c>
      <c r="Q2867" t="s">
        <v>21</v>
      </c>
      <c r="R2867">
        <v>20.16</v>
      </c>
      <c r="S2867">
        <v>2.65</v>
      </c>
      <c r="T2867" s="4">
        <v>15.284000000000001</v>
      </c>
      <c r="U2867" s="4">
        <v>17.361215000000001</v>
      </c>
      <c r="V2867" t="str">
        <f>IF(Table1[[#This Row],[ai_disruption_intensity]]&gt;70,"High",
IF(Table1[[#This Row],[ai_disruption_intensity]]&gt;40,"Medium","Low"))</f>
        <v>Low</v>
      </c>
      <c r="W2867" t="str">
        <f>IF(Table1[[#This Row],[skill_gap_index]]&gt;70,"Large Gap",
IF(Table1[[#This Row],[skill_gap_index]]&gt;40,"Medium Gap","Small Gap"))</f>
        <v>Small Gap</v>
      </c>
      <c r="X2867" s="3" t="str">
        <f>IF(Table1[[#This Row],[automation_risk_percent]]&gt;0.7,"Highly Automatable",
IF(Table1[[#This Row],[automation_risk_percent]]&gt;0.4,"Moderate Risk","Safe Job"))</f>
        <v>Safe Job</v>
      </c>
    </row>
    <row r="2868" spans="1:24" x14ac:dyDescent="0.3">
      <c r="A2868">
        <v>10072</v>
      </c>
      <c r="B2868" t="s">
        <v>22</v>
      </c>
      <c r="C2868" t="s">
        <v>34</v>
      </c>
      <c r="D2868" t="s">
        <v>31</v>
      </c>
      <c r="E2868" s="1">
        <v>2026</v>
      </c>
      <c r="F2868" s="11">
        <v>0.16839999999999999</v>
      </c>
      <c r="G2868">
        <v>18.940000000000001</v>
      </c>
      <c r="H2868">
        <v>71.239999999999995</v>
      </c>
      <c r="I2868" s="2">
        <v>46091.76</v>
      </c>
      <c r="J2868" s="2">
        <v>45590.02</v>
      </c>
      <c r="K2868" s="2">
        <f>Table1[[#This Row],[Salary_after]]-Table1[[#This Row],[Salary_before]]</f>
        <v>-501.74000000000524</v>
      </c>
      <c r="L2868" s="11">
        <v>-1.09E-2</v>
      </c>
      <c r="M2868" s="11">
        <v>0.2218</v>
      </c>
      <c r="N2868">
        <v>86.84</v>
      </c>
      <c r="O2868">
        <v>81.88</v>
      </c>
      <c r="P2868">
        <v>3</v>
      </c>
      <c r="Q2868" t="s">
        <v>21</v>
      </c>
      <c r="R2868">
        <v>44.04</v>
      </c>
      <c r="S2868">
        <v>1.0900000000000001</v>
      </c>
      <c r="T2868" s="4">
        <v>28.434999999999999</v>
      </c>
      <c r="U2868" s="4">
        <v>13.788592</v>
      </c>
      <c r="V2868" t="str">
        <f>IF(Table1[[#This Row],[ai_disruption_intensity]]&gt;70,"High",
IF(Table1[[#This Row],[ai_disruption_intensity]]&gt;40,"Medium","Low"))</f>
        <v>Low</v>
      </c>
      <c r="W2868" t="str">
        <f>IF(Table1[[#This Row],[skill_gap_index]]&gt;70,"Large Gap",
IF(Table1[[#This Row],[skill_gap_index]]&gt;40,"Medium Gap","Small Gap"))</f>
        <v>Large Gap</v>
      </c>
      <c r="X2868" s="3" t="str">
        <f>IF(Table1[[#This Row],[automation_risk_percent]]&gt;0.7,"Highly Automatable",
IF(Table1[[#This Row],[automation_risk_percent]]&gt;0.4,"Moderate Risk","Safe Job"))</f>
        <v>Safe Job</v>
      </c>
    </row>
    <row r="2869" spans="1:24" x14ac:dyDescent="0.3">
      <c r="A2869">
        <v>10078</v>
      </c>
      <c r="B2869" t="s">
        <v>39</v>
      </c>
      <c r="C2869" t="s">
        <v>38</v>
      </c>
      <c r="D2869" t="s">
        <v>36</v>
      </c>
      <c r="E2869" s="1">
        <v>2026</v>
      </c>
      <c r="F2869" s="11">
        <v>0.74650000000000005</v>
      </c>
      <c r="G2869">
        <v>84.11</v>
      </c>
      <c r="H2869">
        <v>34.119999999999997</v>
      </c>
      <c r="I2869" s="2">
        <v>132524.23000000001</v>
      </c>
      <c r="J2869" s="2">
        <v>148363.54999999999</v>
      </c>
      <c r="K2869" s="2">
        <f>Table1[[#This Row],[Salary_after]]-Table1[[#This Row],[Salary_before]]</f>
        <v>15839.319999999978</v>
      </c>
      <c r="L2869" s="11">
        <v>0.1195</v>
      </c>
      <c r="M2869" s="11">
        <v>3.8800000000000001E-2</v>
      </c>
      <c r="N2869">
        <v>91.52</v>
      </c>
      <c r="O2869">
        <v>68.53</v>
      </c>
      <c r="P2869">
        <v>3</v>
      </c>
      <c r="Q2869" t="s">
        <v>37</v>
      </c>
      <c r="R2869">
        <v>54.384999999999998</v>
      </c>
      <c r="S2869">
        <v>11.95</v>
      </c>
      <c r="T2869" s="4">
        <v>43.680999999999997</v>
      </c>
      <c r="U2869" s="4">
        <v>51.157645000000002</v>
      </c>
      <c r="V2869" t="str">
        <f>IF(Table1[[#This Row],[ai_disruption_intensity]]&gt;70,"High",
IF(Table1[[#This Row],[ai_disruption_intensity]]&gt;40,"Medium","Low"))</f>
        <v>Medium</v>
      </c>
      <c r="W2869" t="str">
        <f>IF(Table1[[#This Row],[skill_gap_index]]&gt;70,"Large Gap",
IF(Table1[[#This Row],[skill_gap_index]]&gt;40,"Medium Gap","Small Gap"))</f>
        <v>Small Gap</v>
      </c>
      <c r="X2869" s="3" t="str">
        <f>IF(Table1[[#This Row],[automation_risk_percent]]&gt;0.7,"Highly Automatable",
IF(Table1[[#This Row],[automation_risk_percent]]&gt;0.4,"Moderate Risk","Safe Job"))</f>
        <v>Highly Automatable</v>
      </c>
    </row>
    <row r="2870" spans="1:24" x14ac:dyDescent="0.3">
      <c r="A2870">
        <v>10079</v>
      </c>
      <c r="B2870" t="s">
        <v>26</v>
      </c>
      <c r="C2870" t="s">
        <v>19</v>
      </c>
      <c r="D2870" t="s">
        <v>31</v>
      </c>
      <c r="E2870" s="1">
        <v>2025</v>
      </c>
      <c r="F2870" s="11">
        <v>0.50319999999999998</v>
      </c>
      <c r="G2870">
        <v>43.1</v>
      </c>
      <c r="H2870">
        <v>32.380000000000003</v>
      </c>
      <c r="I2870" s="2">
        <v>96927.9</v>
      </c>
      <c r="J2870" s="2">
        <v>110513.83</v>
      </c>
      <c r="K2870" s="2">
        <f>Table1[[#This Row],[Salary_after]]-Table1[[#This Row],[Salary_before]]</f>
        <v>13585.930000000008</v>
      </c>
      <c r="L2870" s="11">
        <v>0.14019999999999999</v>
      </c>
      <c r="M2870" s="11">
        <v>-3.1899999999999998E-2</v>
      </c>
      <c r="N2870">
        <v>79.239999999999995</v>
      </c>
      <c r="O2870">
        <v>54.81</v>
      </c>
      <c r="P2870">
        <v>2</v>
      </c>
      <c r="Q2870" t="s">
        <v>25</v>
      </c>
      <c r="R2870">
        <v>41.35</v>
      </c>
      <c r="S2870">
        <v>14.02</v>
      </c>
      <c r="T2870" s="4">
        <v>34.048000000000002</v>
      </c>
      <c r="U2870" s="4">
        <v>27.580392</v>
      </c>
      <c r="V2870" t="str">
        <f>IF(Table1[[#This Row],[ai_disruption_intensity]]&gt;70,"High",
IF(Table1[[#This Row],[ai_disruption_intensity]]&gt;40,"Medium","Low"))</f>
        <v>Low</v>
      </c>
      <c r="W2870" t="str">
        <f>IF(Table1[[#This Row],[skill_gap_index]]&gt;70,"Large Gap",
IF(Table1[[#This Row],[skill_gap_index]]&gt;40,"Medium Gap","Small Gap"))</f>
        <v>Small Gap</v>
      </c>
      <c r="X2870" s="3" t="str">
        <f>IF(Table1[[#This Row],[automation_risk_percent]]&gt;0.7,"Highly Automatable",
IF(Table1[[#This Row],[automation_risk_percent]]&gt;0.4,"Moderate Risk","Safe Job"))</f>
        <v>Moderate Risk</v>
      </c>
    </row>
    <row r="2871" spans="1:24" x14ac:dyDescent="0.3">
      <c r="A2871">
        <v>10084</v>
      </c>
      <c r="B2871" t="s">
        <v>41</v>
      </c>
      <c r="C2871" t="s">
        <v>33</v>
      </c>
      <c r="D2871" t="s">
        <v>32</v>
      </c>
      <c r="E2871" s="1">
        <v>2025</v>
      </c>
      <c r="F2871" s="11">
        <v>0.70129999999999992</v>
      </c>
      <c r="G2871">
        <v>77.25</v>
      </c>
      <c r="H2871">
        <v>2.67</v>
      </c>
      <c r="I2871" s="2">
        <v>51343.360000000001</v>
      </c>
      <c r="J2871" s="2">
        <v>53848</v>
      </c>
      <c r="K2871" s="2">
        <f>Table1[[#This Row],[Salary_after]]-Table1[[#This Row],[Salary_before]]</f>
        <v>2504.6399999999994</v>
      </c>
      <c r="L2871" s="11">
        <v>4.8799999999999996E-2</v>
      </c>
      <c r="M2871" s="11">
        <v>0.28110000000000002</v>
      </c>
      <c r="N2871">
        <v>14.62</v>
      </c>
      <c r="O2871">
        <v>93.54</v>
      </c>
      <c r="P2871">
        <v>3</v>
      </c>
      <c r="Q2871" t="s">
        <v>37</v>
      </c>
      <c r="R2871">
        <v>36.4</v>
      </c>
      <c r="S2871">
        <v>4.88</v>
      </c>
      <c r="T2871" s="4">
        <v>30.316999999999901</v>
      </c>
      <c r="U2871" s="4">
        <v>65.599602000000004</v>
      </c>
      <c r="V2871" t="str">
        <f>IF(Table1[[#This Row],[ai_disruption_intensity]]&gt;70,"High",
IF(Table1[[#This Row],[ai_disruption_intensity]]&gt;40,"Medium","Low"))</f>
        <v>Medium</v>
      </c>
      <c r="W2871" t="str">
        <f>IF(Table1[[#This Row],[skill_gap_index]]&gt;70,"Large Gap",
IF(Table1[[#This Row],[skill_gap_index]]&gt;40,"Medium Gap","Small Gap"))</f>
        <v>Small Gap</v>
      </c>
      <c r="X2871" s="3" t="str">
        <f>IF(Table1[[#This Row],[automation_risk_percent]]&gt;0.7,"Highly Automatable",
IF(Table1[[#This Row],[automation_risk_percent]]&gt;0.4,"Moderate Risk","Safe Job"))</f>
        <v>Highly Automatable</v>
      </c>
    </row>
    <row r="2872" spans="1:24" x14ac:dyDescent="0.3">
      <c r="A2872">
        <v>10085</v>
      </c>
      <c r="B2872" t="s">
        <v>44</v>
      </c>
      <c r="C2872" t="s">
        <v>34</v>
      </c>
      <c r="D2872" t="s">
        <v>36</v>
      </c>
      <c r="E2872" s="1">
        <v>2025</v>
      </c>
      <c r="F2872" s="11">
        <v>0.63100000000000001</v>
      </c>
      <c r="G2872">
        <v>59.53</v>
      </c>
      <c r="H2872">
        <v>53.64</v>
      </c>
      <c r="I2872" s="2">
        <v>74910.720000000001</v>
      </c>
      <c r="J2872" s="2">
        <v>91828.07</v>
      </c>
      <c r="K2872" s="2">
        <f>Table1[[#This Row],[Salary_after]]-Table1[[#This Row],[Salary_before]]</f>
        <v>16917.350000000006</v>
      </c>
      <c r="L2872" s="11">
        <v>0.22579999999999997</v>
      </c>
      <c r="M2872" s="11">
        <v>-5.5E-2</v>
      </c>
      <c r="N2872">
        <v>45.86</v>
      </c>
      <c r="O2872">
        <v>62.07</v>
      </c>
      <c r="P2872">
        <v>2</v>
      </c>
      <c r="Q2872" t="s">
        <v>37</v>
      </c>
      <c r="R2872">
        <v>58.37</v>
      </c>
      <c r="S2872">
        <v>22.58</v>
      </c>
      <c r="T2872" s="4">
        <v>48.106000000000002</v>
      </c>
      <c r="U2872" s="4">
        <v>39.166170000000001</v>
      </c>
      <c r="V2872" t="str">
        <f>IF(Table1[[#This Row],[ai_disruption_intensity]]&gt;70,"High",
IF(Table1[[#This Row],[ai_disruption_intensity]]&gt;40,"Medium","Low"))</f>
        <v>Low</v>
      </c>
      <c r="W2872" t="str">
        <f>IF(Table1[[#This Row],[skill_gap_index]]&gt;70,"Large Gap",
IF(Table1[[#This Row],[skill_gap_index]]&gt;40,"Medium Gap","Small Gap"))</f>
        <v>Medium Gap</v>
      </c>
      <c r="X2872" s="3" t="str">
        <f>IF(Table1[[#This Row],[automation_risk_percent]]&gt;0.7,"Highly Automatable",
IF(Table1[[#This Row],[automation_risk_percent]]&gt;0.4,"Moderate Risk","Safe Job"))</f>
        <v>Moderate Risk</v>
      </c>
    </row>
    <row r="2873" spans="1:24" x14ac:dyDescent="0.3">
      <c r="A2873">
        <v>10089</v>
      </c>
      <c r="B2873" t="s">
        <v>29</v>
      </c>
      <c r="C2873" t="s">
        <v>23</v>
      </c>
      <c r="D2873" t="s">
        <v>42</v>
      </c>
      <c r="E2873" s="1">
        <v>2025</v>
      </c>
      <c r="F2873" s="11">
        <v>0.57330000000000003</v>
      </c>
      <c r="G2873">
        <v>68.56</v>
      </c>
      <c r="H2873">
        <v>16.77</v>
      </c>
      <c r="I2873" s="2">
        <v>117724.55</v>
      </c>
      <c r="J2873" s="2">
        <v>133728.29</v>
      </c>
      <c r="K2873" s="2">
        <f>Table1[[#This Row],[Salary_after]]-Table1[[#This Row],[Salary_before]]</f>
        <v>16003.740000000005</v>
      </c>
      <c r="L2873" s="11">
        <v>0.13589999999999999</v>
      </c>
      <c r="M2873" s="11">
        <v>0.17069999999999999</v>
      </c>
      <c r="N2873">
        <v>41.11</v>
      </c>
      <c r="O2873">
        <v>21.65</v>
      </c>
      <c r="P2873">
        <v>1</v>
      </c>
      <c r="Q2873" t="s">
        <v>25</v>
      </c>
      <c r="R2873">
        <v>37.049999999999997</v>
      </c>
      <c r="S2873">
        <v>13.59</v>
      </c>
      <c r="T2873" s="4">
        <v>32.04</v>
      </c>
      <c r="U2873" s="4">
        <v>12.4119449999999</v>
      </c>
      <c r="V2873" t="str">
        <f>IF(Table1[[#This Row],[ai_disruption_intensity]]&gt;70,"High",
IF(Table1[[#This Row],[ai_disruption_intensity]]&gt;40,"Medium","Low"))</f>
        <v>Low</v>
      </c>
      <c r="W2873" t="str">
        <f>IF(Table1[[#This Row],[skill_gap_index]]&gt;70,"Large Gap",
IF(Table1[[#This Row],[skill_gap_index]]&gt;40,"Medium Gap","Small Gap"))</f>
        <v>Small Gap</v>
      </c>
      <c r="X2873" s="3" t="str">
        <f>IF(Table1[[#This Row],[automation_risk_percent]]&gt;0.7,"Highly Automatable",
IF(Table1[[#This Row],[automation_risk_percent]]&gt;0.4,"Moderate Risk","Safe Job"))</f>
        <v>Moderate Risk</v>
      </c>
    </row>
    <row r="2874" spans="1:24" x14ac:dyDescent="0.3">
      <c r="A2874">
        <v>10093</v>
      </c>
      <c r="B2874" t="s">
        <v>45</v>
      </c>
      <c r="C2874" t="s">
        <v>40</v>
      </c>
      <c r="D2874" t="s">
        <v>24</v>
      </c>
      <c r="E2874" s="1">
        <v>2025</v>
      </c>
      <c r="F2874" s="11">
        <v>0.13819999999999999</v>
      </c>
      <c r="G2874">
        <v>16.100000000000001</v>
      </c>
      <c r="H2874">
        <v>22.86</v>
      </c>
      <c r="I2874" s="2">
        <v>86782.58</v>
      </c>
      <c r="J2874" s="2">
        <v>88046.57</v>
      </c>
      <c r="K2874" s="2">
        <f>Table1[[#This Row],[Salary_after]]-Table1[[#This Row],[Salary_before]]</f>
        <v>1263.9900000000052</v>
      </c>
      <c r="L2874" s="11">
        <v>1.46E-2</v>
      </c>
      <c r="M2874" s="11">
        <v>0.21440000000000001</v>
      </c>
      <c r="N2874">
        <v>10.39</v>
      </c>
      <c r="O2874">
        <v>94.9</v>
      </c>
      <c r="P2874">
        <v>3</v>
      </c>
      <c r="Q2874" t="s">
        <v>21</v>
      </c>
      <c r="R2874">
        <v>18.34</v>
      </c>
      <c r="S2874">
        <v>1.46</v>
      </c>
      <c r="T2874" s="4">
        <v>12.824</v>
      </c>
      <c r="U2874" s="4">
        <v>13.115180000000001</v>
      </c>
      <c r="V2874" t="str">
        <f>IF(Table1[[#This Row],[ai_disruption_intensity]]&gt;70,"High",
IF(Table1[[#This Row],[ai_disruption_intensity]]&gt;40,"Medium","Low"))</f>
        <v>Low</v>
      </c>
      <c r="W2874" t="str">
        <f>IF(Table1[[#This Row],[skill_gap_index]]&gt;70,"Large Gap",
IF(Table1[[#This Row],[skill_gap_index]]&gt;40,"Medium Gap","Small Gap"))</f>
        <v>Small Gap</v>
      </c>
      <c r="X2874" s="3" t="str">
        <f>IF(Table1[[#This Row],[automation_risk_percent]]&gt;0.7,"Highly Automatable",
IF(Table1[[#This Row],[automation_risk_percent]]&gt;0.4,"Moderate Risk","Safe Job"))</f>
        <v>Safe Job</v>
      </c>
    </row>
    <row r="2875" spans="1:24" x14ac:dyDescent="0.3">
      <c r="A2875">
        <v>10094</v>
      </c>
      <c r="B2875" t="s">
        <v>22</v>
      </c>
      <c r="C2875" t="s">
        <v>30</v>
      </c>
      <c r="D2875" t="s">
        <v>35</v>
      </c>
      <c r="E2875" s="1">
        <v>2026</v>
      </c>
      <c r="F2875" s="11">
        <v>0.1143</v>
      </c>
      <c r="G2875">
        <v>9.56</v>
      </c>
      <c r="H2875">
        <v>22.41</v>
      </c>
      <c r="I2875" s="2">
        <v>101875.22</v>
      </c>
      <c r="J2875" s="2">
        <v>114816.11</v>
      </c>
      <c r="K2875" s="2">
        <f>Table1[[#This Row],[Salary_after]]-Table1[[#This Row],[Salary_before]]</f>
        <v>12940.89</v>
      </c>
      <c r="L2875" s="11">
        <v>0.127</v>
      </c>
      <c r="M2875" s="11">
        <v>0.1295</v>
      </c>
      <c r="N2875">
        <v>74.069999999999993</v>
      </c>
      <c r="O2875">
        <v>68.69</v>
      </c>
      <c r="P2875">
        <v>3</v>
      </c>
      <c r="Q2875" t="s">
        <v>21</v>
      </c>
      <c r="R2875">
        <v>16.920000000000002</v>
      </c>
      <c r="S2875">
        <v>12.7</v>
      </c>
      <c r="T2875" s="4">
        <v>15.105</v>
      </c>
      <c r="U2875" s="4">
        <v>7.8512669999999902</v>
      </c>
      <c r="V2875" t="str">
        <f>IF(Table1[[#This Row],[ai_disruption_intensity]]&gt;70,"High",
IF(Table1[[#This Row],[ai_disruption_intensity]]&gt;40,"Medium","Low"))</f>
        <v>Low</v>
      </c>
      <c r="W2875" t="str">
        <f>IF(Table1[[#This Row],[skill_gap_index]]&gt;70,"Large Gap",
IF(Table1[[#This Row],[skill_gap_index]]&gt;40,"Medium Gap","Small Gap"))</f>
        <v>Small Gap</v>
      </c>
      <c r="X2875" s="3" t="str">
        <f>IF(Table1[[#This Row],[automation_risk_percent]]&gt;0.7,"Highly Automatable",
IF(Table1[[#This Row],[automation_risk_percent]]&gt;0.4,"Moderate Risk","Safe Job"))</f>
        <v>Safe Job</v>
      </c>
    </row>
    <row r="2876" spans="1:24" x14ac:dyDescent="0.3">
      <c r="A2876">
        <v>10111</v>
      </c>
      <c r="B2876" t="s">
        <v>29</v>
      </c>
      <c r="C2876" t="s">
        <v>33</v>
      </c>
      <c r="D2876" t="s">
        <v>28</v>
      </c>
      <c r="E2876" s="1">
        <v>2026</v>
      </c>
      <c r="F2876" s="11">
        <v>0.94069999999999998</v>
      </c>
      <c r="G2876">
        <v>107.6</v>
      </c>
      <c r="H2876">
        <v>44.19</v>
      </c>
      <c r="I2876" s="2">
        <v>75342.92</v>
      </c>
      <c r="J2876" s="2">
        <v>69062.64</v>
      </c>
      <c r="K2876" s="2">
        <f>Table1[[#This Row],[Salary_after]]-Table1[[#This Row],[Salary_before]]</f>
        <v>-6280.2799999999988</v>
      </c>
      <c r="L2876" s="11">
        <v>-8.3400000000000002E-2</v>
      </c>
      <c r="M2876" s="11">
        <v>6.7400000000000002E-2</v>
      </c>
      <c r="N2876">
        <v>98.89</v>
      </c>
      <c r="O2876">
        <v>98.1</v>
      </c>
      <c r="P2876">
        <v>2</v>
      </c>
      <c r="Q2876" t="s">
        <v>37</v>
      </c>
      <c r="R2876">
        <v>69.13</v>
      </c>
      <c r="S2876">
        <v>8.34</v>
      </c>
      <c r="T2876" s="4">
        <v>53.387</v>
      </c>
      <c r="U2876" s="4">
        <v>92.282669999999897</v>
      </c>
      <c r="V2876" t="str">
        <f>IF(Table1[[#This Row],[ai_disruption_intensity]]&gt;70,"High",
IF(Table1[[#This Row],[ai_disruption_intensity]]&gt;40,"Medium","Low"))</f>
        <v>High</v>
      </c>
      <c r="W2876" t="str">
        <f>IF(Table1[[#This Row],[skill_gap_index]]&gt;70,"Large Gap",
IF(Table1[[#This Row],[skill_gap_index]]&gt;40,"Medium Gap","Small Gap"))</f>
        <v>Medium Gap</v>
      </c>
      <c r="X2876" s="3" t="str">
        <f>IF(Table1[[#This Row],[automation_risk_percent]]&gt;0.7,"Highly Automatable",
IF(Table1[[#This Row],[automation_risk_percent]]&gt;0.4,"Moderate Risk","Safe Job"))</f>
        <v>Highly Automatable</v>
      </c>
    </row>
    <row r="2877" spans="1:24" x14ac:dyDescent="0.3">
      <c r="A2877">
        <v>10114</v>
      </c>
      <c r="B2877" t="s">
        <v>41</v>
      </c>
      <c r="C2877" t="s">
        <v>34</v>
      </c>
      <c r="D2877" t="s">
        <v>28</v>
      </c>
      <c r="E2877" s="1">
        <v>2025</v>
      </c>
      <c r="F2877" s="11">
        <v>0.38219999999999998</v>
      </c>
      <c r="G2877">
        <v>39.090000000000003</v>
      </c>
      <c r="H2877">
        <v>57.93</v>
      </c>
      <c r="I2877" s="2">
        <v>126772.44</v>
      </c>
      <c r="J2877" s="2">
        <v>142322.17000000001</v>
      </c>
      <c r="K2877" s="2">
        <f>Table1[[#This Row],[Salary_after]]-Table1[[#This Row],[Salary_before]]</f>
        <v>15549.73000000001</v>
      </c>
      <c r="L2877" s="11">
        <v>0.12269999999999999</v>
      </c>
      <c r="M2877" s="11">
        <v>-0.11650000000000001</v>
      </c>
      <c r="N2877">
        <v>91.29</v>
      </c>
      <c r="O2877">
        <v>42.18</v>
      </c>
      <c r="P2877">
        <v>4</v>
      </c>
      <c r="Q2877" t="s">
        <v>25</v>
      </c>
      <c r="R2877">
        <v>48.075000000000003</v>
      </c>
      <c r="S2877">
        <v>12.27</v>
      </c>
      <c r="T2877" s="4">
        <v>36.347999999999999</v>
      </c>
      <c r="U2877" s="4">
        <v>16.121196000000001</v>
      </c>
      <c r="V2877" t="str">
        <f>IF(Table1[[#This Row],[ai_disruption_intensity]]&gt;70,"High",
IF(Table1[[#This Row],[ai_disruption_intensity]]&gt;40,"Medium","Low"))</f>
        <v>Low</v>
      </c>
      <c r="W2877" t="str">
        <f>IF(Table1[[#This Row],[skill_gap_index]]&gt;70,"Large Gap",
IF(Table1[[#This Row],[skill_gap_index]]&gt;40,"Medium Gap","Small Gap"))</f>
        <v>Medium Gap</v>
      </c>
      <c r="X2877" s="3" t="str">
        <f>IF(Table1[[#This Row],[automation_risk_percent]]&gt;0.7,"Highly Automatable",
IF(Table1[[#This Row],[automation_risk_percent]]&gt;0.4,"Moderate Risk","Safe Job"))</f>
        <v>Safe Job</v>
      </c>
    </row>
    <row r="2878" spans="1:24" x14ac:dyDescent="0.3">
      <c r="A2878">
        <v>10116</v>
      </c>
      <c r="B2878" t="s">
        <v>44</v>
      </c>
      <c r="C2878" t="s">
        <v>27</v>
      </c>
      <c r="D2878" t="s">
        <v>42</v>
      </c>
      <c r="E2878" s="1">
        <v>2026</v>
      </c>
      <c r="F2878" s="11">
        <v>0.38549999999999995</v>
      </c>
      <c r="G2878">
        <v>45.55</v>
      </c>
      <c r="H2878">
        <v>10.64</v>
      </c>
      <c r="I2878" s="2">
        <v>71157.25</v>
      </c>
      <c r="J2878" s="2">
        <v>65906.429999999993</v>
      </c>
      <c r="K2878" s="2">
        <f>Table1[[#This Row],[Salary_after]]-Table1[[#This Row],[Salary_before]]</f>
        <v>-5250.820000000007</v>
      </c>
      <c r="L2878" s="11">
        <v>-7.3800000000000004E-2</v>
      </c>
      <c r="M2878" s="11">
        <v>8.8100000000000012E-2</v>
      </c>
      <c r="N2878">
        <v>44.83</v>
      </c>
      <c r="O2878">
        <v>85.17</v>
      </c>
      <c r="P2878">
        <v>5</v>
      </c>
      <c r="Q2878" t="s">
        <v>25</v>
      </c>
      <c r="R2878">
        <v>24.594999999999999</v>
      </c>
      <c r="S2878">
        <v>7.38</v>
      </c>
      <c r="T2878" s="4">
        <v>20.826000000000001</v>
      </c>
      <c r="U2878" s="4">
        <v>32.833035000000002</v>
      </c>
      <c r="V2878" t="str">
        <f>IF(Table1[[#This Row],[ai_disruption_intensity]]&gt;70,"High",
IF(Table1[[#This Row],[ai_disruption_intensity]]&gt;40,"Medium","Low"))</f>
        <v>Low</v>
      </c>
      <c r="W2878" t="str">
        <f>IF(Table1[[#This Row],[skill_gap_index]]&gt;70,"Large Gap",
IF(Table1[[#This Row],[skill_gap_index]]&gt;40,"Medium Gap","Small Gap"))</f>
        <v>Small Gap</v>
      </c>
      <c r="X2878" s="3" t="str">
        <f>IF(Table1[[#This Row],[automation_risk_percent]]&gt;0.7,"Highly Automatable",
IF(Table1[[#This Row],[automation_risk_percent]]&gt;0.4,"Moderate Risk","Safe Job"))</f>
        <v>Safe Job</v>
      </c>
    </row>
    <row r="2879" spans="1:24" x14ac:dyDescent="0.3">
      <c r="A2879">
        <v>10118</v>
      </c>
      <c r="B2879" t="s">
        <v>18</v>
      </c>
      <c r="C2879" t="s">
        <v>27</v>
      </c>
      <c r="D2879" t="s">
        <v>47</v>
      </c>
      <c r="E2879" s="1">
        <v>2025</v>
      </c>
      <c r="F2879" s="11">
        <v>0.3785</v>
      </c>
      <c r="G2879">
        <v>33.17</v>
      </c>
      <c r="H2879">
        <v>30.9</v>
      </c>
      <c r="I2879" s="2">
        <v>69778.31</v>
      </c>
      <c r="J2879" s="2">
        <v>64484.639999999999</v>
      </c>
      <c r="K2879" s="2">
        <f>Table1[[#This Row],[Salary_after]]-Table1[[#This Row],[Salary_before]]</f>
        <v>-5293.6699999999983</v>
      </c>
      <c r="L2879" s="11">
        <v>-7.5899999999999995E-2</v>
      </c>
      <c r="M2879" s="11">
        <v>0.13730000000000001</v>
      </c>
      <c r="N2879">
        <v>69.739999999999995</v>
      </c>
      <c r="O2879">
        <v>53.33</v>
      </c>
      <c r="P2879">
        <v>5</v>
      </c>
      <c r="Q2879" t="s">
        <v>25</v>
      </c>
      <c r="R2879">
        <v>34.375</v>
      </c>
      <c r="S2879">
        <v>7.59</v>
      </c>
      <c r="T2879" s="4">
        <v>26.687000000000001</v>
      </c>
      <c r="U2879" s="4">
        <v>20.185404999999999</v>
      </c>
      <c r="V2879" t="str">
        <f>IF(Table1[[#This Row],[ai_disruption_intensity]]&gt;70,"High",
IF(Table1[[#This Row],[ai_disruption_intensity]]&gt;40,"Medium","Low"))</f>
        <v>Low</v>
      </c>
      <c r="W2879" t="str">
        <f>IF(Table1[[#This Row],[skill_gap_index]]&gt;70,"Large Gap",
IF(Table1[[#This Row],[skill_gap_index]]&gt;40,"Medium Gap","Small Gap"))</f>
        <v>Small Gap</v>
      </c>
      <c r="X2879" s="3" t="str">
        <f>IF(Table1[[#This Row],[automation_risk_percent]]&gt;0.7,"Highly Automatable",
IF(Table1[[#This Row],[automation_risk_percent]]&gt;0.4,"Moderate Risk","Safe Job"))</f>
        <v>Safe Job</v>
      </c>
    </row>
    <row r="2880" spans="1:24" x14ac:dyDescent="0.3">
      <c r="A2880">
        <v>10132</v>
      </c>
      <c r="B2880" t="s">
        <v>18</v>
      </c>
      <c r="C2880" t="s">
        <v>27</v>
      </c>
      <c r="D2880" t="s">
        <v>24</v>
      </c>
      <c r="E2880" s="1">
        <v>2026</v>
      </c>
      <c r="F2880" s="11">
        <v>0.54100000000000004</v>
      </c>
      <c r="G2880">
        <v>44.67</v>
      </c>
      <c r="H2880">
        <v>66</v>
      </c>
      <c r="I2880" s="2">
        <v>125497.11</v>
      </c>
      <c r="J2880" s="2">
        <v>124212.75</v>
      </c>
      <c r="K2880" s="2">
        <f>Table1[[#This Row],[Salary_after]]-Table1[[#This Row],[Salary_before]]</f>
        <v>-1284.3600000000006</v>
      </c>
      <c r="L2880" s="11">
        <v>-1.0200000000000001E-2</v>
      </c>
      <c r="M2880" s="11">
        <v>3.8100000000000002E-2</v>
      </c>
      <c r="N2880">
        <v>85.28</v>
      </c>
      <c r="O2880">
        <v>12.47</v>
      </c>
      <c r="P2880">
        <v>2</v>
      </c>
      <c r="Q2880" t="s">
        <v>25</v>
      </c>
      <c r="R2880">
        <v>60.05</v>
      </c>
      <c r="S2880">
        <v>1.02</v>
      </c>
      <c r="T2880" s="4">
        <v>41.745999999999903</v>
      </c>
      <c r="U2880" s="4">
        <v>6.74627</v>
      </c>
      <c r="V2880" t="str">
        <f>IF(Table1[[#This Row],[ai_disruption_intensity]]&gt;70,"High",
IF(Table1[[#This Row],[ai_disruption_intensity]]&gt;40,"Medium","Low"))</f>
        <v>Low</v>
      </c>
      <c r="W2880" t="str">
        <f>IF(Table1[[#This Row],[skill_gap_index]]&gt;70,"Large Gap",
IF(Table1[[#This Row],[skill_gap_index]]&gt;40,"Medium Gap","Small Gap"))</f>
        <v>Medium Gap</v>
      </c>
      <c r="X2880" s="3" t="str">
        <f>IF(Table1[[#This Row],[automation_risk_percent]]&gt;0.7,"Highly Automatable",
IF(Table1[[#This Row],[automation_risk_percent]]&gt;0.4,"Moderate Risk","Safe Job"))</f>
        <v>Moderate Risk</v>
      </c>
    </row>
    <row r="2881" spans="1:24" x14ac:dyDescent="0.3">
      <c r="A2881">
        <v>10133</v>
      </c>
      <c r="B2881" t="s">
        <v>46</v>
      </c>
      <c r="C2881" t="s">
        <v>40</v>
      </c>
      <c r="D2881" t="s">
        <v>32</v>
      </c>
      <c r="E2881" s="1">
        <v>2025</v>
      </c>
      <c r="F2881" s="11">
        <v>0.47170000000000001</v>
      </c>
      <c r="G2881">
        <v>43.3</v>
      </c>
      <c r="H2881">
        <v>24.84</v>
      </c>
      <c r="I2881" s="2">
        <v>108018.54</v>
      </c>
      <c r="J2881" s="2">
        <v>109918.43</v>
      </c>
      <c r="K2881" s="2">
        <f>Table1[[#This Row],[Salary_after]]-Table1[[#This Row],[Salary_before]]</f>
        <v>1899.8899999999994</v>
      </c>
      <c r="L2881" s="11">
        <v>1.7600000000000001E-2</v>
      </c>
      <c r="M2881" s="11">
        <v>-4.2699999999999995E-2</v>
      </c>
      <c r="N2881">
        <v>93.21</v>
      </c>
      <c r="O2881">
        <v>85.14</v>
      </c>
      <c r="P2881">
        <v>3</v>
      </c>
      <c r="Q2881" t="s">
        <v>25</v>
      </c>
      <c r="R2881">
        <v>36.005000000000003</v>
      </c>
      <c r="S2881">
        <v>1.76</v>
      </c>
      <c r="T2881" s="4">
        <v>26.847999999999999</v>
      </c>
      <c r="U2881" s="4">
        <v>40.160538000000003</v>
      </c>
      <c r="V2881" t="str">
        <f>IF(Table1[[#This Row],[ai_disruption_intensity]]&gt;70,"High",
IF(Table1[[#This Row],[ai_disruption_intensity]]&gt;40,"Medium","Low"))</f>
        <v>Medium</v>
      </c>
      <c r="W2881" t="str">
        <f>IF(Table1[[#This Row],[skill_gap_index]]&gt;70,"Large Gap",
IF(Table1[[#This Row],[skill_gap_index]]&gt;40,"Medium Gap","Small Gap"))</f>
        <v>Small Gap</v>
      </c>
      <c r="X2881" s="3" t="str">
        <f>IF(Table1[[#This Row],[automation_risk_percent]]&gt;0.7,"Highly Automatable",
IF(Table1[[#This Row],[automation_risk_percent]]&gt;0.4,"Moderate Risk","Safe Job"))</f>
        <v>Moderate Risk</v>
      </c>
    </row>
    <row r="2882" spans="1:24" x14ac:dyDescent="0.3">
      <c r="A2882">
        <v>10134</v>
      </c>
      <c r="B2882" t="s">
        <v>45</v>
      </c>
      <c r="C2882" t="s">
        <v>38</v>
      </c>
      <c r="D2882" t="s">
        <v>31</v>
      </c>
      <c r="E2882" s="1">
        <v>2026</v>
      </c>
      <c r="F2882" s="11">
        <v>0.69579999999999997</v>
      </c>
      <c r="G2882">
        <v>64.09</v>
      </c>
      <c r="H2882">
        <v>70.13</v>
      </c>
      <c r="I2882" s="2">
        <v>123612.98</v>
      </c>
      <c r="J2882" s="2">
        <v>120267.7</v>
      </c>
      <c r="K2882" s="2">
        <f>Table1[[#This Row],[Salary_after]]-Table1[[#This Row],[Salary_before]]</f>
        <v>-3345.2799999999988</v>
      </c>
      <c r="L2882" s="11">
        <v>-2.7099999999999999E-2</v>
      </c>
      <c r="M2882" s="11">
        <v>9.6099999999999991E-2</v>
      </c>
      <c r="N2882">
        <v>78.48</v>
      </c>
      <c r="O2882">
        <v>23.23</v>
      </c>
      <c r="P2882">
        <v>1</v>
      </c>
      <c r="Q2882" t="s">
        <v>37</v>
      </c>
      <c r="R2882">
        <v>69.854999999999905</v>
      </c>
      <c r="S2882">
        <v>2.71</v>
      </c>
      <c r="T2882" s="4">
        <v>49.683999999999997</v>
      </c>
      <c r="U2882" s="4">
        <v>16.163433999999999</v>
      </c>
      <c r="V2882" t="str">
        <f>IF(Table1[[#This Row],[ai_disruption_intensity]]&gt;70,"High",
IF(Table1[[#This Row],[ai_disruption_intensity]]&gt;40,"Medium","Low"))</f>
        <v>Low</v>
      </c>
      <c r="W2882" t="str">
        <f>IF(Table1[[#This Row],[skill_gap_index]]&gt;70,"Large Gap",
IF(Table1[[#This Row],[skill_gap_index]]&gt;40,"Medium Gap","Small Gap"))</f>
        <v>Large Gap</v>
      </c>
      <c r="X2882" s="3" t="str">
        <f>IF(Table1[[#This Row],[automation_risk_percent]]&gt;0.7,"Highly Automatable",
IF(Table1[[#This Row],[automation_risk_percent]]&gt;0.4,"Moderate Risk","Safe Job"))</f>
        <v>Moderate Risk</v>
      </c>
    </row>
    <row r="2883" spans="1:24" x14ac:dyDescent="0.3">
      <c r="A2883">
        <v>10138</v>
      </c>
      <c r="B2883" t="s">
        <v>26</v>
      </c>
      <c r="C2883" t="s">
        <v>19</v>
      </c>
      <c r="D2883" t="s">
        <v>31</v>
      </c>
      <c r="E2883" s="1">
        <v>2026</v>
      </c>
      <c r="F2883" s="11">
        <v>0.65870000000000006</v>
      </c>
      <c r="G2883">
        <v>76.87</v>
      </c>
      <c r="H2883">
        <v>20.09</v>
      </c>
      <c r="I2883" s="2">
        <v>61203.13</v>
      </c>
      <c r="J2883" s="2">
        <v>58629.62</v>
      </c>
      <c r="K2883" s="2">
        <f>Table1[[#This Row],[Salary_after]]-Table1[[#This Row],[Salary_before]]</f>
        <v>-2573.5099999999948</v>
      </c>
      <c r="L2883" s="11">
        <v>-4.2000000000000003E-2</v>
      </c>
      <c r="M2883" s="11">
        <v>2.52E-2</v>
      </c>
      <c r="N2883">
        <v>45.79</v>
      </c>
      <c r="O2883">
        <v>36.26</v>
      </c>
      <c r="P2883">
        <v>2</v>
      </c>
      <c r="Q2883" t="s">
        <v>37</v>
      </c>
      <c r="R2883">
        <v>42.98</v>
      </c>
      <c r="S2883">
        <v>4.2</v>
      </c>
      <c r="T2883" s="4">
        <v>33.634999999999998</v>
      </c>
      <c r="U2883" s="4">
        <v>23.884461999999999</v>
      </c>
      <c r="V2883" t="str">
        <f>IF(Table1[[#This Row],[ai_disruption_intensity]]&gt;70,"High",
IF(Table1[[#This Row],[ai_disruption_intensity]]&gt;40,"Medium","Low"))</f>
        <v>Low</v>
      </c>
      <c r="W2883" t="str">
        <f>IF(Table1[[#This Row],[skill_gap_index]]&gt;70,"Large Gap",
IF(Table1[[#This Row],[skill_gap_index]]&gt;40,"Medium Gap","Small Gap"))</f>
        <v>Small Gap</v>
      </c>
      <c r="X2883" s="3" t="str">
        <f>IF(Table1[[#This Row],[automation_risk_percent]]&gt;0.7,"Highly Automatable",
IF(Table1[[#This Row],[automation_risk_percent]]&gt;0.4,"Moderate Risk","Safe Job"))</f>
        <v>Moderate Risk</v>
      </c>
    </row>
    <row r="2884" spans="1:24" x14ac:dyDescent="0.3">
      <c r="A2884">
        <v>10145</v>
      </c>
      <c r="B2884" t="s">
        <v>43</v>
      </c>
      <c r="C2884" t="s">
        <v>34</v>
      </c>
      <c r="D2884" t="s">
        <v>47</v>
      </c>
      <c r="E2884" s="1">
        <v>2025</v>
      </c>
      <c r="F2884" s="11">
        <v>0.54479999999999995</v>
      </c>
      <c r="G2884">
        <v>57.13</v>
      </c>
      <c r="H2884">
        <v>22.69</v>
      </c>
      <c r="I2884" s="2">
        <v>110145.3</v>
      </c>
      <c r="J2884" s="2">
        <v>117980.59</v>
      </c>
      <c r="K2884" s="2">
        <f>Table1[[#This Row],[Salary_after]]-Table1[[#This Row],[Salary_before]]</f>
        <v>7835.2899999999936</v>
      </c>
      <c r="L2884" s="11">
        <v>7.1099999999999997E-2</v>
      </c>
      <c r="M2884" s="11">
        <v>-3.8E-3</v>
      </c>
      <c r="N2884">
        <v>92.81</v>
      </c>
      <c r="O2884">
        <v>17.18</v>
      </c>
      <c r="P2884">
        <v>1</v>
      </c>
      <c r="Q2884" t="s">
        <v>25</v>
      </c>
      <c r="R2884">
        <v>38.585000000000001</v>
      </c>
      <c r="S2884">
        <v>7.11</v>
      </c>
      <c r="T2884" s="4">
        <v>30.731999999999999</v>
      </c>
      <c r="U2884" s="4">
        <v>9.3596639999999898</v>
      </c>
      <c r="V2884" t="str">
        <f>IF(Table1[[#This Row],[ai_disruption_intensity]]&gt;70,"High",
IF(Table1[[#This Row],[ai_disruption_intensity]]&gt;40,"Medium","Low"))</f>
        <v>Low</v>
      </c>
      <c r="W2884" t="str">
        <f>IF(Table1[[#This Row],[skill_gap_index]]&gt;70,"Large Gap",
IF(Table1[[#This Row],[skill_gap_index]]&gt;40,"Medium Gap","Small Gap"))</f>
        <v>Small Gap</v>
      </c>
      <c r="X2884" s="3" t="str">
        <f>IF(Table1[[#This Row],[automation_risk_percent]]&gt;0.7,"Highly Automatable",
IF(Table1[[#This Row],[automation_risk_percent]]&gt;0.4,"Moderate Risk","Safe Job"))</f>
        <v>Moderate Risk</v>
      </c>
    </row>
    <row r="2885" spans="1:24" x14ac:dyDescent="0.3">
      <c r="A2885">
        <v>10147</v>
      </c>
      <c r="B2885" t="s">
        <v>46</v>
      </c>
      <c r="C2885" t="s">
        <v>38</v>
      </c>
      <c r="D2885" t="s">
        <v>47</v>
      </c>
      <c r="E2885" s="1">
        <v>2026</v>
      </c>
      <c r="F2885" s="11">
        <v>0.40749999999999997</v>
      </c>
      <c r="G2885">
        <v>39.82</v>
      </c>
      <c r="H2885">
        <v>1.32</v>
      </c>
      <c r="I2885" s="2">
        <v>144333.32</v>
      </c>
      <c r="J2885" s="2">
        <v>138691.04</v>
      </c>
      <c r="K2885" s="2">
        <f>Table1[[#This Row],[Salary_after]]-Table1[[#This Row],[Salary_before]]</f>
        <v>-5642.2799999999988</v>
      </c>
      <c r="L2885" s="11">
        <v>-3.9100000000000003E-2</v>
      </c>
      <c r="M2885" s="11">
        <v>-2.1299999999999999E-2</v>
      </c>
      <c r="N2885">
        <v>75.650000000000006</v>
      </c>
      <c r="O2885">
        <v>0.53</v>
      </c>
      <c r="P2885">
        <v>4</v>
      </c>
      <c r="Q2885" t="s">
        <v>25</v>
      </c>
      <c r="R2885">
        <v>21.035</v>
      </c>
      <c r="S2885">
        <v>3.91</v>
      </c>
      <c r="T2885" s="4">
        <v>17.869</v>
      </c>
      <c r="U2885" s="4">
        <v>0.215975</v>
      </c>
      <c r="V2885" t="str">
        <f>IF(Table1[[#This Row],[ai_disruption_intensity]]&gt;70,"High",
IF(Table1[[#This Row],[ai_disruption_intensity]]&gt;40,"Medium","Low"))</f>
        <v>Low</v>
      </c>
      <c r="W2885" t="str">
        <f>IF(Table1[[#This Row],[skill_gap_index]]&gt;70,"Large Gap",
IF(Table1[[#This Row],[skill_gap_index]]&gt;40,"Medium Gap","Small Gap"))</f>
        <v>Small Gap</v>
      </c>
      <c r="X2885" s="3" t="str">
        <f>IF(Table1[[#This Row],[automation_risk_percent]]&gt;0.7,"Highly Automatable",
IF(Table1[[#This Row],[automation_risk_percent]]&gt;0.4,"Moderate Risk","Safe Job"))</f>
        <v>Moderate Risk</v>
      </c>
    </row>
    <row r="2886" spans="1:24" x14ac:dyDescent="0.3">
      <c r="A2886">
        <v>10152</v>
      </c>
      <c r="B2886" t="s">
        <v>41</v>
      </c>
      <c r="C2886" t="s">
        <v>40</v>
      </c>
      <c r="D2886" t="s">
        <v>42</v>
      </c>
      <c r="E2886" s="1">
        <v>2025</v>
      </c>
      <c r="F2886" s="11">
        <v>0.87590000000000001</v>
      </c>
      <c r="G2886">
        <v>87.86</v>
      </c>
      <c r="H2886">
        <v>54.72</v>
      </c>
      <c r="I2886" s="2">
        <v>103707.8</v>
      </c>
      <c r="J2886" s="2">
        <v>107519.66</v>
      </c>
      <c r="K2886" s="2">
        <f>Table1[[#This Row],[Salary_after]]-Table1[[#This Row],[Salary_before]]</f>
        <v>3811.8600000000006</v>
      </c>
      <c r="L2886" s="11">
        <v>3.6799999999999999E-2</v>
      </c>
      <c r="M2886" s="11">
        <v>7.8600000000000003E-2</v>
      </c>
      <c r="N2886">
        <v>23.19</v>
      </c>
      <c r="O2886">
        <v>62.82</v>
      </c>
      <c r="P2886">
        <v>4</v>
      </c>
      <c r="Q2886" t="s">
        <v>37</v>
      </c>
      <c r="R2886">
        <v>71.155000000000001</v>
      </c>
      <c r="S2886">
        <v>3.68</v>
      </c>
      <c r="T2886" s="4">
        <v>52.555999999999997</v>
      </c>
      <c r="U2886" s="4">
        <v>55.024037999999997</v>
      </c>
      <c r="V2886" t="str">
        <f>IF(Table1[[#This Row],[ai_disruption_intensity]]&gt;70,"High",
IF(Table1[[#This Row],[ai_disruption_intensity]]&gt;40,"Medium","Low"))</f>
        <v>Medium</v>
      </c>
      <c r="W2886" t="str">
        <f>IF(Table1[[#This Row],[skill_gap_index]]&gt;70,"Large Gap",
IF(Table1[[#This Row],[skill_gap_index]]&gt;40,"Medium Gap","Small Gap"))</f>
        <v>Medium Gap</v>
      </c>
      <c r="X2886" s="3" t="str">
        <f>IF(Table1[[#This Row],[automation_risk_percent]]&gt;0.7,"Highly Automatable",
IF(Table1[[#This Row],[automation_risk_percent]]&gt;0.4,"Moderate Risk","Safe Job"))</f>
        <v>Highly Automatable</v>
      </c>
    </row>
    <row r="2887" spans="1:24" x14ac:dyDescent="0.3">
      <c r="A2887">
        <v>10153</v>
      </c>
      <c r="B2887" t="s">
        <v>45</v>
      </c>
      <c r="C2887" t="s">
        <v>23</v>
      </c>
      <c r="D2887" t="s">
        <v>32</v>
      </c>
      <c r="E2887" s="1">
        <v>2025</v>
      </c>
      <c r="F2887" s="11">
        <v>0.25900000000000001</v>
      </c>
      <c r="G2887">
        <v>27.17</v>
      </c>
      <c r="H2887">
        <v>17.13</v>
      </c>
      <c r="I2887" s="2">
        <v>126955.86</v>
      </c>
      <c r="J2887" s="2">
        <v>137946.92000000001</v>
      </c>
      <c r="K2887" s="2">
        <f>Table1[[#This Row],[Salary_after]]-Table1[[#This Row],[Salary_before]]</f>
        <v>10991.060000000012</v>
      </c>
      <c r="L2887" s="11">
        <v>8.6599999999999996E-2</v>
      </c>
      <c r="M2887" s="11">
        <v>8.8100000000000012E-2</v>
      </c>
      <c r="N2887">
        <v>95</v>
      </c>
      <c r="O2887">
        <v>93.39</v>
      </c>
      <c r="P2887">
        <v>5</v>
      </c>
      <c r="Q2887" t="s">
        <v>21</v>
      </c>
      <c r="R2887">
        <v>21.515000000000001</v>
      </c>
      <c r="S2887">
        <v>8.66</v>
      </c>
      <c r="T2887" s="4">
        <v>18.096999999999898</v>
      </c>
      <c r="U2887" s="4">
        <v>24.188009999999998</v>
      </c>
      <c r="V2887" t="str">
        <f>IF(Table1[[#This Row],[ai_disruption_intensity]]&gt;70,"High",
IF(Table1[[#This Row],[ai_disruption_intensity]]&gt;40,"Medium","Low"))</f>
        <v>Low</v>
      </c>
      <c r="W2887" t="str">
        <f>IF(Table1[[#This Row],[skill_gap_index]]&gt;70,"Large Gap",
IF(Table1[[#This Row],[skill_gap_index]]&gt;40,"Medium Gap","Small Gap"))</f>
        <v>Small Gap</v>
      </c>
      <c r="X2887" s="3" t="str">
        <f>IF(Table1[[#This Row],[automation_risk_percent]]&gt;0.7,"Highly Automatable",
IF(Table1[[#This Row],[automation_risk_percent]]&gt;0.4,"Moderate Risk","Safe Job"))</f>
        <v>Safe Job</v>
      </c>
    </row>
    <row r="2888" spans="1:24" x14ac:dyDescent="0.3">
      <c r="A2888">
        <v>10156</v>
      </c>
      <c r="B2888" t="s">
        <v>45</v>
      </c>
      <c r="C2888" t="s">
        <v>27</v>
      </c>
      <c r="D2888" t="s">
        <v>24</v>
      </c>
      <c r="E2888" s="1">
        <v>2026</v>
      </c>
      <c r="F2888" s="11">
        <v>0.66459999999999997</v>
      </c>
      <c r="G2888">
        <v>62.24</v>
      </c>
      <c r="H2888">
        <v>77.56</v>
      </c>
      <c r="I2888" s="2">
        <v>141782.95000000001</v>
      </c>
      <c r="J2888" s="2">
        <v>135135.46</v>
      </c>
      <c r="K2888" s="2">
        <f>Table1[[#This Row],[Salary_after]]-Table1[[#This Row],[Salary_before]]</f>
        <v>-6647.4900000000198</v>
      </c>
      <c r="L2888" s="11">
        <v>-4.6900000000000004E-2</v>
      </c>
      <c r="M2888" s="11">
        <v>-0.1396</v>
      </c>
      <c r="N2888">
        <v>17.88</v>
      </c>
      <c r="O2888">
        <v>29.48</v>
      </c>
      <c r="P2888">
        <v>5</v>
      </c>
      <c r="Q2888" t="s">
        <v>37</v>
      </c>
      <c r="R2888">
        <v>72.009999999999906</v>
      </c>
      <c r="S2888">
        <v>4.6900000000000004</v>
      </c>
      <c r="T2888" s="4">
        <v>51.259</v>
      </c>
      <c r="U2888" s="4">
        <v>19.592407999999999</v>
      </c>
      <c r="V2888" t="str">
        <f>IF(Table1[[#This Row],[ai_disruption_intensity]]&gt;70,"High",
IF(Table1[[#This Row],[ai_disruption_intensity]]&gt;40,"Medium","Low"))</f>
        <v>Low</v>
      </c>
      <c r="W2888" t="str">
        <f>IF(Table1[[#This Row],[skill_gap_index]]&gt;70,"Large Gap",
IF(Table1[[#This Row],[skill_gap_index]]&gt;40,"Medium Gap","Small Gap"))</f>
        <v>Large Gap</v>
      </c>
      <c r="X2888" s="3" t="str">
        <f>IF(Table1[[#This Row],[automation_risk_percent]]&gt;0.7,"Highly Automatable",
IF(Table1[[#This Row],[automation_risk_percent]]&gt;0.4,"Moderate Risk","Safe Job"))</f>
        <v>Moderate Risk</v>
      </c>
    </row>
    <row r="2889" spans="1:24" x14ac:dyDescent="0.3">
      <c r="A2889">
        <v>10160</v>
      </c>
      <c r="B2889" t="s">
        <v>41</v>
      </c>
      <c r="C2889" t="s">
        <v>27</v>
      </c>
      <c r="D2889" t="s">
        <v>47</v>
      </c>
      <c r="E2889" s="1">
        <v>2026</v>
      </c>
      <c r="F2889" s="11">
        <v>0.2636</v>
      </c>
      <c r="G2889">
        <v>28.01</v>
      </c>
      <c r="H2889">
        <v>80.44</v>
      </c>
      <c r="I2889" s="2">
        <v>104148.49</v>
      </c>
      <c r="J2889" s="2">
        <v>113593.61</v>
      </c>
      <c r="K2889" s="2">
        <f>Table1[[#This Row],[Salary_after]]-Table1[[#This Row],[Salary_before]]</f>
        <v>9445.1199999999953</v>
      </c>
      <c r="L2889" s="11">
        <v>9.0700000000000003E-2</v>
      </c>
      <c r="M2889" s="11">
        <v>8.14E-2</v>
      </c>
      <c r="N2889">
        <v>60.87</v>
      </c>
      <c r="O2889">
        <v>88.16</v>
      </c>
      <c r="P2889">
        <v>5</v>
      </c>
      <c r="Q2889" t="s">
        <v>21</v>
      </c>
      <c r="R2889">
        <v>53.4</v>
      </c>
      <c r="S2889">
        <v>9.07</v>
      </c>
      <c r="T2889" s="4">
        <v>37.396999999999998</v>
      </c>
      <c r="U2889" s="4">
        <v>23.238975999999901</v>
      </c>
      <c r="V2889" t="str">
        <f>IF(Table1[[#This Row],[ai_disruption_intensity]]&gt;70,"High",
IF(Table1[[#This Row],[ai_disruption_intensity]]&gt;40,"Medium","Low"))</f>
        <v>Low</v>
      </c>
      <c r="W2889" t="str">
        <f>IF(Table1[[#This Row],[skill_gap_index]]&gt;70,"Large Gap",
IF(Table1[[#This Row],[skill_gap_index]]&gt;40,"Medium Gap","Small Gap"))</f>
        <v>Large Gap</v>
      </c>
      <c r="X2889" s="3" t="str">
        <f>IF(Table1[[#This Row],[automation_risk_percent]]&gt;0.7,"Highly Automatable",
IF(Table1[[#This Row],[automation_risk_percent]]&gt;0.4,"Moderate Risk","Safe Job"))</f>
        <v>Safe Job</v>
      </c>
    </row>
    <row r="2890" spans="1:24" x14ac:dyDescent="0.3">
      <c r="A2890">
        <v>10161</v>
      </c>
      <c r="B2890" t="s">
        <v>45</v>
      </c>
      <c r="C2890" t="s">
        <v>30</v>
      </c>
      <c r="D2890" t="s">
        <v>36</v>
      </c>
      <c r="E2890" s="1">
        <v>2026</v>
      </c>
      <c r="F2890" s="11">
        <v>0.24710000000000001</v>
      </c>
      <c r="G2890">
        <v>24.87</v>
      </c>
      <c r="H2890">
        <v>3.36</v>
      </c>
      <c r="I2890" s="2">
        <v>126418.02</v>
      </c>
      <c r="J2890" s="2">
        <v>129102</v>
      </c>
      <c r="K2890" s="2">
        <f>Table1[[#This Row],[Salary_after]]-Table1[[#This Row],[Salary_before]]</f>
        <v>2683.9799999999959</v>
      </c>
      <c r="L2890" s="11">
        <v>2.12E-2</v>
      </c>
      <c r="M2890" s="11">
        <v>0.20079999999999998</v>
      </c>
      <c r="N2890">
        <v>45.62</v>
      </c>
      <c r="O2890">
        <v>37.01</v>
      </c>
      <c r="P2890">
        <v>1</v>
      </c>
      <c r="Q2890" t="s">
        <v>21</v>
      </c>
      <c r="R2890">
        <v>14.035</v>
      </c>
      <c r="S2890">
        <v>2.12</v>
      </c>
      <c r="T2890" s="4">
        <v>11.527999999999899</v>
      </c>
      <c r="U2890" s="4">
        <v>9.1451709999999995</v>
      </c>
      <c r="V2890" t="str">
        <f>IF(Table1[[#This Row],[ai_disruption_intensity]]&gt;70,"High",
IF(Table1[[#This Row],[ai_disruption_intensity]]&gt;40,"Medium","Low"))</f>
        <v>Low</v>
      </c>
      <c r="W2890" t="str">
        <f>IF(Table1[[#This Row],[skill_gap_index]]&gt;70,"Large Gap",
IF(Table1[[#This Row],[skill_gap_index]]&gt;40,"Medium Gap","Small Gap"))</f>
        <v>Small Gap</v>
      </c>
      <c r="X2890" s="3" t="str">
        <f>IF(Table1[[#This Row],[automation_risk_percent]]&gt;0.7,"Highly Automatable",
IF(Table1[[#This Row],[automation_risk_percent]]&gt;0.4,"Moderate Risk","Safe Job"))</f>
        <v>Safe Job</v>
      </c>
    </row>
    <row r="2891" spans="1:24" x14ac:dyDescent="0.3">
      <c r="A2891">
        <v>10162</v>
      </c>
      <c r="B2891" t="s">
        <v>46</v>
      </c>
      <c r="C2891" t="s">
        <v>34</v>
      </c>
      <c r="D2891" t="s">
        <v>42</v>
      </c>
      <c r="E2891" s="1">
        <v>2025</v>
      </c>
      <c r="F2891" s="11">
        <v>0.14080000000000001</v>
      </c>
      <c r="G2891">
        <v>13.67</v>
      </c>
      <c r="H2891">
        <v>30.39</v>
      </c>
      <c r="I2891" s="2">
        <v>99320.59</v>
      </c>
      <c r="J2891" s="2">
        <v>106080.32000000001</v>
      </c>
      <c r="K2891" s="2">
        <f>Table1[[#This Row],[Salary_after]]-Table1[[#This Row],[Salary_before]]</f>
        <v>6759.7300000000105</v>
      </c>
      <c r="L2891" s="11">
        <v>6.8099999999999994E-2</v>
      </c>
      <c r="M2891" s="11">
        <v>0.15039999999999998</v>
      </c>
      <c r="N2891">
        <v>56.26</v>
      </c>
      <c r="O2891">
        <v>94.86</v>
      </c>
      <c r="P2891">
        <v>4</v>
      </c>
      <c r="Q2891" t="s">
        <v>21</v>
      </c>
      <c r="R2891">
        <v>22.234999999999999</v>
      </c>
      <c r="S2891">
        <v>6.81</v>
      </c>
      <c r="T2891" s="4">
        <v>16.791999999999899</v>
      </c>
      <c r="U2891" s="4">
        <v>13.356287999999999</v>
      </c>
      <c r="V2891" t="str">
        <f>IF(Table1[[#This Row],[ai_disruption_intensity]]&gt;70,"High",
IF(Table1[[#This Row],[ai_disruption_intensity]]&gt;40,"Medium","Low"))</f>
        <v>Low</v>
      </c>
      <c r="W2891" t="str">
        <f>IF(Table1[[#This Row],[skill_gap_index]]&gt;70,"Large Gap",
IF(Table1[[#This Row],[skill_gap_index]]&gt;40,"Medium Gap","Small Gap"))</f>
        <v>Small Gap</v>
      </c>
      <c r="X2891" s="3" t="str">
        <f>IF(Table1[[#This Row],[automation_risk_percent]]&gt;0.7,"Highly Automatable",
IF(Table1[[#This Row],[automation_risk_percent]]&gt;0.4,"Moderate Risk","Safe Job"))</f>
        <v>Safe Job</v>
      </c>
    </row>
    <row r="2892" spans="1:24" x14ac:dyDescent="0.3">
      <c r="A2892">
        <v>10166</v>
      </c>
      <c r="B2892" t="s">
        <v>45</v>
      </c>
      <c r="C2892" t="s">
        <v>33</v>
      </c>
      <c r="D2892" t="s">
        <v>28</v>
      </c>
      <c r="E2892" s="1">
        <v>2025</v>
      </c>
      <c r="F2892" s="11">
        <v>0.40259999999999996</v>
      </c>
      <c r="G2892">
        <v>46.79</v>
      </c>
      <c r="H2892">
        <v>98.46</v>
      </c>
      <c r="I2892" s="2">
        <v>120864.3</v>
      </c>
      <c r="J2892" s="2">
        <v>111347.72</v>
      </c>
      <c r="K2892" s="2">
        <f>Table1[[#This Row],[Salary_after]]-Table1[[#This Row],[Salary_before]]</f>
        <v>-9516.5800000000017</v>
      </c>
      <c r="L2892" s="11">
        <v>-7.8700000000000006E-2</v>
      </c>
      <c r="M2892" s="11">
        <v>-2.9700000000000001E-2</v>
      </c>
      <c r="N2892">
        <v>37.380000000000003</v>
      </c>
      <c r="O2892">
        <v>16.059999999999999</v>
      </c>
      <c r="P2892">
        <v>4</v>
      </c>
      <c r="Q2892" t="s">
        <v>25</v>
      </c>
      <c r="R2892">
        <v>69.36</v>
      </c>
      <c r="S2892">
        <v>7.87</v>
      </c>
      <c r="T2892" s="4">
        <v>48.002999999999901</v>
      </c>
      <c r="U2892" s="4">
        <v>6.4657559999999901</v>
      </c>
      <c r="V2892" t="str">
        <f>IF(Table1[[#This Row],[ai_disruption_intensity]]&gt;70,"High",
IF(Table1[[#This Row],[ai_disruption_intensity]]&gt;40,"Medium","Low"))</f>
        <v>Low</v>
      </c>
      <c r="W2892" t="str">
        <f>IF(Table1[[#This Row],[skill_gap_index]]&gt;70,"Large Gap",
IF(Table1[[#This Row],[skill_gap_index]]&gt;40,"Medium Gap","Small Gap"))</f>
        <v>Large Gap</v>
      </c>
      <c r="X2892" s="3" t="str">
        <f>IF(Table1[[#This Row],[automation_risk_percent]]&gt;0.7,"Highly Automatable",
IF(Table1[[#This Row],[automation_risk_percent]]&gt;0.4,"Moderate Risk","Safe Job"))</f>
        <v>Moderate Risk</v>
      </c>
    </row>
    <row r="2893" spans="1:24" x14ac:dyDescent="0.3">
      <c r="A2893">
        <v>10169</v>
      </c>
      <c r="B2893" t="s">
        <v>45</v>
      </c>
      <c r="C2893" t="s">
        <v>34</v>
      </c>
      <c r="D2893" t="s">
        <v>24</v>
      </c>
      <c r="E2893" s="1">
        <v>2025</v>
      </c>
      <c r="F2893" s="11">
        <v>0.4456</v>
      </c>
      <c r="G2893">
        <v>46.62</v>
      </c>
      <c r="H2893">
        <v>74.44</v>
      </c>
      <c r="I2893" s="2">
        <v>39550.699999999997</v>
      </c>
      <c r="J2893" s="2">
        <v>48352.67</v>
      </c>
      <c r="K2893" s="2">
        <f>Table1[[#This Row],[Salary_after]]-Table1[[#This Row],[Salary_before]]</f>
        <v>8801.9700000000012</v>
      </c>
      <c r="L2893" s="11">
        <v>0.2225</v>
      </c>
      <c r="M2893" s="11">
        <v>0.19760000000000003</v>
      </c>
      <c r="N2893">
        <v>10.99</v>
      </c>
      <c r="O2893">
        <v>65.67</v>
      </c>
      <c r="P2893">
        <v>1</v>
      </c>
      <c r="Q2893" t="s">
        <v>25</v>
      </c>
      <c r="R2893">
        <v>59.5</v>
      </c>
      <c r="S2893">
        <v>22.25</v>
      </c>
      <c r="T2893" s="4">
        <v>46.830999999999896</v>
      </c>
      <c r="U2893" s="4">
        <v>29.262551999999999</v>
      </c>
      <c r="V2893" t="str">
        <f>IF(Table1[[#This Row],[ai_disruption_intensity]]&gt;70,"High",
IF(Table1[[#This Row],[ai_disruption_intensity]]&gt;40,"Medium","Low"))</f>
        <v>Low</v>
      </c>
      <c r="W2893" t="str">
        <f>IF(Table1[[#This Row],[skill_gap_index]]&gt;70,"Large Gap",
IF(Table1[[#This Row],[skill_gap_index]]&gt;40,"Medium Gap","Small Gap"))</f>
        <v>Large Gap</v>
      </c>
      <c r="X2893" s="3" t="str">
        <f>IF(Table1[[#This Row],[automation_risk_percent]]&gt;0.7,"Highly Automatable",
IF(Table1[[#This Row],[automation_risk_percent]]&gt;0.4,"Moderate Risk","Safe Job"))</f>
        <v>Moderate Risk</v>
      </c>
    </row>
    <row r="2894" spans="1:24" x14ac:dyDescent="0.3">
      <c r="A2894">
        <v>10174</v>
      </c>
      <c r="B2894" t="s">
        <v>45</v>
      </c>
      <c r="C2894" t="s">
        <v>38</v>
      </c>
      <c r="D2894" t="s">
        <v>24</v>
      </c>
      <c r="E2894" s="1">
        <v>2025</v>
      </c>
      <c r="F2894" s="11">
        <v>0.48460000000000003</v>
      </c>
      <c r="G2894">
        <v>48.68</v>
      </c>
      <c r="H2894">
        <v>98.3</v>
      </c>
      <c r="I2894" s="2">
        <v>122745.61</v>
      </c>
      <c r="J2894" s="2">
        <v>124210.1</v>
      </c>
      <c r="K2894" s="2">
        <f>Table1[[#This Row],[Salary_after]]-Table1[[#This Row],[Salary_before]]</f>
        <v>1464.4900000000052</v>
      </c>
      <c r="L2894" s="11">
        <v>1.1899999999999999E-2</v>
      </c>
      <c r="M2894" s="11">
        <v>0.11710000000000001</v>
      </c>
      <c r="N2894">
        <v>76.400000000000006</v>
      </c>
      <c r="O2894">
        <v>89.51</v>
      </c>
      <c r="P2894">
        <v>2</v>
      </c>
      <c r="Q2894" t="s">
        <v>25</v>
      </c>
      <c r="R2894">
        <v>73.38</v>
      </c>
      <c r="S2894">
        <v>1.19</v>
      </c>
      <c r="T2894" s="4">
        <v>49.230999999999902</v>
      </c>
      <c r="U2894" s="4">
        <v>43.376545999999998</v>
      </c>
      <c r="V2894" t="str">
        <f>IF(Table1[[#This Row],[ai_disruption_intensity]]&gt;70,"High",
IF(Table1[[#This Row],[ai_disruption_intensity]]&gt;40,"Medium","Low"))</f>
        <v>Medium</v>
      </c>
      <c r="W2894" t="str">
        <f>IF(Table1[[#This Row],[skill_gap_index]]&gt;70,"Large Gap",
IF(Table1[[#This Row],[skill_gap_index]]&gt;40,"Medium Gap","Small Gap"))</f>
        <v>Large Gap</v>
      </c>
      <c r="X2894" s="3" t="str">
        <f>IF(Table1[[#This Row],[automation_risk_percent]]&gt;0.7,"Highly Automatable",
IF(Table1[[#This Row],[automation_risk_percent]]&gt;0.4,"Moderate Risk","Safe Job"))</f>
        <v>Moderate Risk</v>
      </c>
    </row>
    <row r="2895" spans="1:24" x14ac:dyDescent="0.3">
      <c r="A2895">
        <v>10175</v>
      </c>
      <c r="B2895" t="s">
        <v>45</v>
      </c>
      <c r="C2895" t="s">
        <v>30</v>
      </c>
      <c r="D2895" t="s">
        <v>20</v>
      </c>
      <c r="E2895" s="1">
        <v>2025</v>
      </c>
      <c r="F2895" s="11">
        <v>0.12869999999999998</v>
      </c>
      <c r="G2895">
        <v>15.01</v>
      </c>
      <c r="H2895">
        <v>21.18</v>
      </c>
      <c r="I2895" s="2">
        <v>114601.93</v>
      </c>
      <c r="J2895" s="2">
        <v>110508.74</v>
      </c>
      <c r="K2895" s="2">
        <f>Table1[[#This Row],[Salary_after]]-Table1[[#This Row],[Salary_before]]</f>
        <v>-4093.1899999999878</v>
      </c>
      <c r="L2895" s="11">
        <v>-3.5699999999999996E-2</v>
      </c>
      <c r="M2895" s="11">
        <v>7.4999999999999997E-2</v>
      </c>
      <c r="N2895">
        <v>95.78</v>
      </c>
      <c r="O2895">
        <v>92.66</v>
      </c>
      <c r="P2895">
        <v>4</v>
      </c>
      <c r="Q2895" t="s">
        <v>21</v>
      </c>
      <c r="R2895">
        <v>17.024999999999999</v>
      </c>
      <c r="S2895">
        <v>3.57</v>
      </c>
      <c r="T2895" s="4">
        <v>12.572999999999899</v>
      </c>
      <c r="U2895" s="4">
        <v>11.925341999999899</v>
      </c>
      <c r="V2895" t="str">
        <f>IF(Table1[[#This Row],[ai_disruption_intensity]]&gt;70,"High",
IF(Table1[[#This Row],[ai_disruption_intensity]]&gt;40,"Medium","Low"))</f>
        <v>Low</v>
      </c>
      <c r="W2895" t="str">
        <f>IF(Table1[[#This Row],[skill_gap_index]]&gt;70,"Large Gap",
IF(Table1[[#This Row],[skill_gap_index]]&gt;40,"Medium Gap","Small Gap"))</f>
        <v>Small Gap</v>
      </c>
      <c r="X2895" s="3" t="str">
        <f>IF(Table1[[#This Row],[automation_risk_percent]]&gt;0.7,"Highly Automatable",
IF(Table1[[#This Row],[automation_risk_percent]]&gt;0.4,"Moderate Risk","Safe Job"))</f>
        <v>Safe Job</v>
      </c>
    </row>
    <row r="2896" spans="1:24" x14ac:dyDescent="0.3">
      <c r="A2896">
        <v>10182</v>
      </c>
      <c r="B2896" t="s">
        <v>39</v>
      </c>
      <c r="C2896" t="s">
        <v>38</v>
      </c>
      <c r="D2896" t="s">
        <v>42</v>
      </c>
      <c r="E2896" s="1">
        <v>2025</v>
      </c>
      <c r="F2896" s="11">
        <v>0.65739999999999998</v>
      </c>
      <c r="G2896">
        <v>67.540000000000006</v>
      </c>
      <c r="H2896">
        <v>81.3</v>
      </c>
      <c r="I2896" s="2">
        <v>146896.51999999999</v>
      </c>
      <c r="J2896" s="2">
        <v>134104.76999999999</v>
      </c>
      <c r="K2896" s="2">
        <f>Table1[[#This Row],[Salary_after]]-Table1[[#This Row],[Salary_before]]</f>
        <v>-12791.75</v>
      </c>
      <c r="L2896" s="11">
        <v>-8.7100000000000011E-2</v>
      </c>
      <c r="M2896" s="11">
        <v>-8.8900000000000007E-2</v>
      </c>
      <c r="N2896">
        <v>75.61</v>
      </c>
      <c r="O2896">
        <v>64.290000000000006</v>
      </c>
      <c r="P2896">
        <v>5</v>
      </c>
      <c r="Q2896" t="s">
        <v>37</v>
      </c>
      <c r="R2896">
        <v>73.52</v>
      </c>
      <c r="S2896">
        <v>8.7100000000000009</v>
      </c>
      <c r="T2896" s="4">
        <v>53.2989999999999</v>
      </c>
      <c r="U2896" s="4">
        <v>42.264246</v>
      </c>
      <c r="V2896" t="str">
        <f>IF(Table1[[#This Row],[ai_disruption_intensity]]&gt;70,"High",
IF(Table1[[#This Row],[ai_disruption_intensity]]&gt;40,"Medium","Low"))</f>
        <v>Medium</v>
      </c>
      <c r="W2896" t="str">
        <f>IF(Table1[[#This Row],[skill_gap_index]]&gt;70,"Large Gap",
IF(Table1[[#This Row],[skill_gap_index]]&gt;40,"Medium Gap","Small Gap"))</f>
        <v>Large Gap</v>
      </c>
      <c r="X2896" s="3" t="str">
        <f>IF(Table1[[#This Row],[automation_risk_percent]]&gt;0.7,"Highly Automatable",
IF(Table1[[#This Row],[automation_risk_percent]]&gt;0.4,"Moderate Risk","Safe Job"))</f>
        <v>Moderate Risk</v>
      </c>
    </row>
    <row r="2897" spans="1:24" x14ac:dyDescent="0.3">
      <c r="A2897">
        <v>10185</v>
      </c>
      <c r="B2897" t="s">
        <v>39</v>
      </c>
      <c r="C2897" t="s">
        <v>19</v>
      </c>
      <c r="D2897" t="s">
        <v>36</v>
      </c>
      <c r="E2897" s="1">
        <v>2026</v>
      </c>
      <c r="F2897" s="11">
        <v>0.7077</v>
      </c>
      <c r="G2897">
        <v>77.430000000000007</v>
      </c>
      <c r="H2897">
        <v>13.18</v>
      </c>
      <c r="I2897" s="2">
        <v>37633.410000000003</v>
      </c>
      <c r="J2897" s="2">
        <v>32795.339999999997</v>
      </c>
      <c r="K2897" s="2">
        <f>Table1[[#This Row],[Salary_after]]-Table1[[#This Row],[Salary_before]]</f>
        <v>-4838.070000000007</v>
      </c>
      <c r="L2897" s="11">
        <v>-0.12859999999999999</v>
      </c>
      <c r="M2897" s="11">
        <v>0.12359999999999999</v>
      </c>
      <c r="N2897">
        <v>18.059999999999999</v>
      </c>
      <c r="O2897">
        <v>36.56</v>
      </c>
      <c r="P2897">
        <v>1</v>
      </c>
      <c r="Q2897" t="s">
        <v>37</v>
      </c>
      <c r="R2897">
        <v>41.974999999999902</v>
      </c>
      <c r="S2897">
        <v>12.86</v>
      </c>
      <c r="T2897" s="4">
        <v>36.119999999999997</v>
      </c>
      <c r="U2897" s="4">
        <v>25.873512000000002</v>
      </c>
      <c r="V2897" t="str">
        <f>IF(Table1[[#This Row],[ai_disruption_intensity]]&gt;70,"High",
IF(Table1[[#This Row],[ai_disruption_intensity]]&gt;40,"Medium","Low"))</f>
        <v>Low</v>
      </c>
      <c r="W2897" t="str">
        <f>IF(Table1[[#This Row],[skill_gap_index]]&gt;70,"Large Gap",
IF(Table1[[#This Row],[skill_gap_index]]&gt;40,"Medium Gap","Small Gap"))</f>
        <v>Small Gap</v>
      </c>
      <c r="X2897" s="3" t="str">
        <f>IF(Table1[[#This Row],[automation_risk_percent]]&gt;0.7,"Highly Automatable",
IF(Table1[[#This Row],[automation_risk_percent]]&gt;0.4,"Moderate Risk","Safe Job"))</f>
        <v>Highly Automatable</v>
      </c>
    </row>
    <row r="2898" spans="1:24" x14ac:dyDescent="0.3">
      <c r="A2898">
        <v>10186</v>
      </c>
      <c r="B2898" t="s">
        <v>43</v>
      </c>
      <c r="C2898" t="s">
        <v>34</v>
      </c>
      <c r="D2898" t="s">
        <v>35</v>
      </c>
      <c r="E2898" s="1">
        <v>2026</v>
      </c>
      <c r="F2898" s="11">
        <v>0.23980000000000001</v>
      </c>
      <c r="G2898">
        <v>25.21</v>
      </c>
      <c r="H2898">
        <v>9.6</v>
      </c>
      <c r="I2898" s="2">
        <v>122701.27</v>
      </c>
      <c r="J2898" s="2">
        <v>135861.29</v>
      </c>
      <c r="K2898" s="2">
        <f>Table1[[#This Row],[Salary_after]]-Table1[[#This Row],[Salary_before]]</f>
        <v>13160.020000000004</v>
      </c>
      <c r="L2898" s="11">
        <v>0.10730000000000001</v>
      </c>
      <c r="M2898" s="11">
        <v>0.13919999999999999</v>
      </c>
      <c r="N2898">
        <v>96.89</v>
      </c>
      <c r="O2898">
        <v>65.06</v>
      </c>
      <c r="P2898">
        <v>2</v>
      </c>
      <c r="Q2898" t="s">
        <v>21</v>
      </c>
      <c r="R2898">
        <v>16.79</v>
      </c>
      <c r="S2898">
        <v>10.73</v>
      </c>
      <c r="T2898" s="4">
        <v>15.691000000000001</v>
      </c>
      <c r="U2898" s="4">
        <v>15.601388</v>
      </c>
      <c r="V2898" t="str">
        <f>IF(Table1[[#This Row],[ai_disruption_intensity]]&gt;70,"High",
IF(Table1[[#This Row],[ai_disruption_intensity]]&gt;40,"Medium","Low"))</f>
        <v>Low</v>
      </c>
      <c r="W2898" t="str">
        <f>IF(Table1[[#This Row],[skill_gap_index]]&gt;70,"Large Gap",
IF(Table1[[#This Row],[skill_gap_index]]&gt;40,"Medium Gap","Small Gap"))</f>
        <v>Small Gap</v>
      </c>
      <c r="X2898" s="3" t="str">
        <f>IF(Table1[[#This Row],[automation_risk_percent]]&gt;0.7,"Highly Automatable",
IF(Table1[[#This Row],[automation_risk_percent]]&gt;0.4,"Moderate Risk","Safe Job"))</f>
        <v>Safe Job</v>
      </c>
    </row>
    <row r="2899" spans="1:24" x14ac:dyDescent="0.3">
      <c r="A2899">
        <v>10189</v>
      </c>
      <c r="B2899" t="s">
        <v>43</v>
      </c>
      <c r="C2899" t="s">
        <v>38</v>
      </c>
      <c r="D2899" t="s">
        <v>36</v>
      </c>
      <c r="E2899" s="1">
        <v>2025</v>
      </c>
      <c r="F2899" s="11">
        <v>0.54380000000000006</v>
      </c>
      <c r="G2899">
        <v>45.44</v>
      </c>
      <c r="H2899">
        <v>37.159999999999997</v>
      </c>
      <c r="I2899" s="2">
        <v>30256.99</v>
      </c>
      <c r="J2899" s="2">
        <v>25981.73</v>
      </c>
      <c r="K2899" s="2">
        <f>Table1[[#This Row],[Salary_after]]-Table1[[#This Row],[Salary_before]]</f>
        <v>-4275.260000000002</v>
      </c>
      <c r="L2899" s="11">
        <v>-0.14130000000000001</v>
      </c>
      <c r="M2899" s="11">
        <v>-5.6900000000000006E-2</v>
      </c>
      <c r="N2899">
        <v>65.14</v>
      </c>
      <c r="O2899">
        <v>49.91</v>
      </c>
      <c r="P2899">
        <v>1</v>
      </c>
      <c r="Q2899" t="s">
        <v>25</v>
      </c>
      <c r="R2899">
        <v>45.769999999999897</v>
      </c>
      <c r="S2899">
        <v>14.13</v>
      </c>
      <c r="T2899" s="4">
        <v>37.138999999999903</v>
      </c>
      <c r="U2899" s="4">
        <v>27.141057999999902</v>
      </c>
      <c r="V2899" t="str">
        <f>IF(Table1[[#This Row],[ai_disruption_intensity]]&gt;70,"High",
IF(Table1[[#This Row],[ai_disruption_intensity]]&gt;40,"Medium","Low"))</f>
        <v>Low</v>
      </c>
      <c r="W2899" t="str">
        <f>IF(Table1[[#This Row],[skill_gap_index]]&gt;70,"Large Gap",
IF(Table1[[#This Row],[skill_gap_index]]&gt;40,"Medium Gap","Small Gap"))</f>
        <v>Small Gap</v>
      </c>
      <c r="X2899" s="3" t="str">
        <f>IF(Table1[[#This Row],[automation_risk_percent]]&gt;0.7,"Highly Automatable",
IF(Table1[[#This Row],[automation_risk_percent]]&gt;0.4,"Moderate Risk","Safe Job"))</f>
        <v>Moderate Risk</v>
      </c>
    </row>
    <row r="2900" spans="1:24" x14ac:dyDescent="0.3">
      <c r="A2900">
        <v>10197</v>
      </c>
      <c r="B2900" t="s">
        <v>26</v>
      </c>
      <c r="C2900" t="s">
        <v>27</v>
      </c>
      <c r="D2900" t="s">
        <v>31</v>
      </c>
      <c r="E2900" s="1">
        <v>2026</v>
      </c>
      <c r="F2900" s="11">
        <v>0.13830000000000001</v>
      </c>
      <c r="G2900">
        <v>11.92</v>
      </c>
      <c r="H2900">
        <v>92.29</v>
      </c>
      <c r="I2900" s="2">
        <v>55088.92</v>
      </c>
      <c r="J2900" s="2">
        <v>64316.65</v>
      </c>
      <c r="K2900" s="2">
        <f>Table1[[#This Row],[Salary_after]]-Table1[[#This Row],[Salary_before]]</f>
        <v>9227.7300000000032</v>
      </c>
      <c r="L2900" s="11">
        <v>0.16750000000000001</v>
      </c>
      <c r="M2900" s="11">
        <v>7.7000000000000002E-3</v>
      </c>
      <c r="N2900">
        <v>70.930000000000007</v>
      </c>
      <c r="O2900">
        <v>95.65</v>
      </c>
      <c r="P2900">
        <v>2</v>
      </c>
      <c r="Q2900" t="s">
        <v>21</v>
      </c>
      <c r="R2900">
        <v>53.06</v>
      </c>
      <c r="S2900">
        <v>16.75</v>
      </c>
      <c r="T2900" s="4">
        <v>38.244</v>
      </c>
      <c r="U2900" s="4">
        <v>13.228395000000001</v>
      </c>
      <c r="V2900" t="str">
        <f>IF(Table1[[#This Row],[ai_disruption_intensity]]&gt;70,"High",
IF(Table1[[#This Row],[ai_disruption_intensity]]&gt;40,"Medium","Low"))</f>
        <v>Low</v>
      </c>
      <c r="W2900" t="str">
        <f>IF(Table1[[#This Row],[skill_gap_index]]&gt;70,"Large Gap",
IF(Table1[[#This Row],[skill_gap_index]]&gt;40,"Medium Gap","Small Gap"))</f>
        <v>Large Gap</v>
      </c>
      <c r="X2900" s="3" t="str">
        <f>IF(Table1[[#This Row],[automation_risk_percent]]&gt;0.7,"Highly Automatable",
IF(Table1[[#This Row],[automation_risk_percent]]&gt;0.4,"Moderate Risk","Safe Job"))</f>
        <v>Safe Job</v>
      </c>
    </row>
    <row r="2901" spans="1:24" x14ac:dyDescent="0.3">
      <c r="A2901">
        <v>10198</v>
      </c>
      <c r="B2901" t="s">
        <v>22</v>
      </c>
      <c r="C2901" t="s">
        <v>23</v>
      </c>
      <c r="D2901" t="s">
        <v>47</v>
      </c>
      <c r="E2901" s="1">
        <v>2026</v>
      </c>
      <c r="F2901" s="11">
        <v>0.7762</v>
      </c>
      <c r="G2901">
        <v>79.819999999999993</v>
      </c>
      <c r="H2901">
        <v>75.23</v>
      </c>
      <c r="I2901" s="2">
        <v>76325.429999999993</v>
      </c>
      <c r="J2901" s="2">
        <v>69303.08</v>
      </c>
      <c r="K2901" s="2">
        <f>Table1[[#This Row],[Salary_after]]-Table1[[#This Row],[Salary_before]]</f>
        <v>-7022.3499999999913</v>
      </c>
      <c r="L2901" s="11">
        <v>-9.1999999999999998E-2</v>
      </c>
      <c r="M2901" s="11">
        <v>3.3500000000000002E-2</v>
      </c>
      <c r="N2901">
        <v>70.61</v>
      </c>
      <c r="O2901">
        <v>27.06</v>
      </c>
      <c r="P2901">
        <v>4</v>
      </c>
      <c r="Q2901" t="s">
        <v>37</v>
      </c>
      <c r="R2901">
        <v>76.424999999999997</v>
      </c>
      <c r="S2901">
        <v>9.1999999999999993</v>
      </c>
      <c r="T2901" s="4">
        <v>56.377000000000002</v>
      </c>
      <c r="U2901" s="4">
        <v>21.003971999999901</v>
      </c>
      <c r="V2901" t="str">
        <f>IF(Table1[[#This Row],[ai_disruption_intensity]]&gt;70,"High",
IF(Table1[[#This Row],[ai_disruption_intensity]]&gt;40,"Medium","Low"))</f>
        <v>Low</v>
      </c>
      <c r="W2901" t="str">
        <f>IF(Table1[[#This Row],[skill_gap_index]]&gt;70,"Large Gap",
IF(Table1[[#This Row],[skill_gap_index]]&gt;40,"Medium Gap","Small Gap"))</f>
        <v>Large Gap</v>
      </c>
      <c r="X2901" s="3" t="str">
        <f>IF(Table1[[#This Row],[automation_risk_percent]]&gt;0.7,"Highly Automatable",
IF(Table1[[#This Row],[automation_risk_percent]]&gt;0.4,"Moderate Risk","Safe Job"))</f>
        <v>Highly Automatable</v>
      </c>
    </row>
    <row r="2902" spans="1:24" x14ac:dyDescent="0.3">
      <c r="A2902">
        <v>10200</v>
      </c>
      <c r="B2902" t="s">
        <v>39</v>
      </c>
      <c r="C2902" t="s">
        <v>38</v>
      </c>
      <c r="D2902" t="s">
        <v>36</v>
      </c>
      <c r="E2902" s="1">
        <v>2026</v>
      </c>
      <c r="F2902" s="11">
        <v>0.40009999999999996</v>
      </c>
      <c r="G2902">
        <v>44.37</v>
      </c>
      <c r="H2902">
        <v>30.67</v>
      </c>
      <c r="I2902" s="2">
        <v>141778.44</v>
      </c>
      <c r="J2902" s="2">
        <v>150529.54999999999</v>
      </c>
      <c r="K2902" s="2">
        <f>Table1[[#This Row],[Salary_after]]-Table1[[#This Row],[Salary_before]]</f>
        <v>8751.109999999986</v>
      </c>
      <c r="L2902" s="11">
        <v>6.1699999999999998E-2</v>
      </c>
      <c r="M2902" s="11">
        <v>-5.0300000000000004E-2</v>
      </c>
      <c r="N2902">
        <v>62.52</v>
      </c>
      <c r="O2902">
        <v>99.15</v>
      </c>
      <c r="P2902">
        <v>5</v>
      </c>
      <c r="Q2902" t="s">
        <v>25</v>
      </c>
      <c r="R2902">
        <v>35.340000000000003</v>
      </c>
      <c r="S2902">
        <v>6.17</v>
      </c>
      <c r="T2902" s="4">
        <v>27.056000000000001</v>
      </c>
      <c r="U2902" s="4">
        <v>39.669915000000003</v>
      </c>
      <c r="V2902" t="str">
        <f>IF(Table1[[#This Row],[ai_disruption_intensity]]&gt;70,"High",
IF(Table1[[#This Row],[ai_disruption_intensity]]&gt;40,"Medium","Low"))</f>
        <v>Low</v>
      </c>
      <c r="W2902" t="str">
        <f>IF(Table1[[#This Row],[skill_gap_index]]&gt;70,"Large Gap",
IF(Table1[[#This Row],[skill_gap_index]]&gt;40,"Medium Gap","Small Gap"))</f>
        <v>Small Gap</v>
      </c>
      <c r="X2902" s="3" t="str">
        <f>IF(Table1[[#This Row],[automation_risk_percent]]&gt;0.7,"Highly Automatable",
IF(Table1[[#This Row],[automation_risk_percent]]&gt;0.4,"Moderate Risk","Safe Job"))</f>
        <v>Moderate Risk</v>
      </c>
    </row>
    <row r="2903" spans="1:24" x14ac:dyDescent="0.3">
      <c r="A2903">
        <v>10203</v>
      </c>
      <c r="B2903" t="s">
        <v>29</v>
      </c>
      <c r="C2903" t="s">
        <v>40</v>
      </c>
      <c r="D2903" t="s">
        <v>31</v>
      </c>
      <c r="E2903" s="1">
        <v>2025</v>
      </c>
      <c r="F2903" s="11">
        <v>0.5151</v>
      </c>
      <c r="G2903">
        <v>51.83</v>
      </c>
      <c r="H2903">
        <v>54.54</v>
      </c>
      <c r="I2903" s="2">
        <v>63076.24</v>
      </c>
      <c r="J2903" s="2">
        <v>57827.1</v>
      </c>
      <c r="K2903" s="2">
        <f>Table1[[#This Row],[Salary_after]]-Table1[[#This Row],[Salary_before]]</f>
        <v>-5249.1399999999994</v>
      </c>
      <c r="L2903" s="11">
        <v>-8.3199999999999996E-2</v>
      </c>
      <c r="M2903" s="11">
        <v>-5.4000000000000006E-2</v>
      </c>
      <c r="N2903">
        <v>96.7</v>
      </c>
      <c r="O2903">
        <v>35.950000000000003</v>
      </c>
      <c r="P2903">
        <v>3</v>
      </c>
      <c r="Q2903" t="s">
        <v>25</v>
      </c>
      <c r="R2903">
        <v>53.024999999999999</v>
      </c>
      <c r="S2903">
        <v>8.32</v>
      </c>
      <c r="T2903" s="4">
        <v>39.461999999999897</v>
      </c>
      <c r="U2903" s="4">
        <v>18.517845000000001</v>
      </c>
      <c r="V2903" t="str">
        <f>IF(Table1[[#This Row],[ai_disruption_intensity]]&gt;70,"High",
IF(Table1[[#This Row],[ai_disruption_intensity]]&gt;40,"Medium","Low"))</f>
        <v>Low</v>
      </c>
      <c r="W2903" t="str">
        <f>IF(Table1[[#This Row],[skill_gap_index]]&gt;70,"Large Gap",
IF(Table1[[#This Row],[skill_gap_index]]&gt;40,"Medium Gap","Small Gap"))</f>
        <v>Medium Gap</v>
      </c>
      <c r="X2903" s="3" t="str">
        <f>IF(Table1[[#This Row],[automation_risk_percent]]&gt;0.7,"Highly Automatable",
IF(Table1[[#This Row],[automation_risk_percent]]&gt;0.4,"Moderate Risk","Safe Job"))</f>
        <v>Moderate Risk</v>
      </c>
    </row>
    <row r="2904" spans="1:24" x14ac:dyDescent="0.3">
      <c r="A2904">
        <v>10206</v>
      </c>
      <c r="B2904" t="s">
        <v>41</v>
      </c>
      <c r="C2904" t="s">
        <v>23</v>
      </c>
      <c r="D2904" t="s">
        <v>24</v>
      </c>
      <c r="E2904" s="1">
        <v>2025</v>
      </c>
      <c r="F2904" s="11">
        <v>0.50049999999999994</v>
      </c>
      <c r="G2904">
        <v>47.06</v>
      </c>
      <c r="H2904">
        <v>36.659999999999997</v>
      </c>
      <c r="I2904" s="2">
        <v>89424.38</v>
      </c>
      <c r="J2904" s="2">
        <v>79312.990000000005</v>
      </c>
      <c r="K2904" s="2">
        <f>Table1[[#This Row],[Salary_after]]-Table1[[#This Row],[Salary_before]]</f>
        <v>-10111.39</v>
      </c>
      <c r="L2904" s="11">
        <v>-0.11310000000000001</v>
      </c>
      <c r="M2904" s="11">
        <v>2.0000000000000001E-4</v>
      </c>
      <c r="N2904">
        <v>63.54</v>
      </c>
      <c r="O2904">
        <v>86.92</v>
      </c>
      <c r="P2904">
        <v>2</v>
      </c>
      <c r="Q2904" t="s">
        <v>25</v>
      </c>
      <c r="R2904">
        <v>43.354999999999997</v>
      </c>
      <c r="S2904">
        <v>11.31</v>
      </c>
      <c r="T2904" s="4">
        <v>34.411000000000001</v>
      </c>
      <c r="U2904" s="4">
        <v>43.503459999999997</v>
      </c>
      <c r="V2904" t="str">
        <f>IF(Table1[[#This Row],[ai_disruption_intensity]]&gt;70,"High",
IF(Table1[[#This Row],[ai_disruption_intensity]]&gt;40,"Medium","Low"))</f>
        <v>Medium</v>
      </c>
      <c r="W2904" t="str">
        <f>IF(Table1[[#This Row],[skill_gap_index]]&gt;70,"Large Gap",
IF(Table1[[#This Row],[skill_gap_index]]&gt;40,"Medium Gap","Small Gap"))</f>
        <v>Small Gap</v>
      </c>
      <c r="X2904" s="3" t="str">
        <f>IF(Table1[[#This Row],[automation_risk_percent]]&gt;0.7,"Highly Automatable",
IF(Table1[[#This Row],[automation_risk_percent]]&gt;0.4,"Moderate Risk","Safe Job"))</f>
        <v>Moderate Risk</v>
      </c>
    </row>
    <row r="2905" spans="1:24" x14ac:dyDescent="0.3">
      <c r="A2905">
        <v>10209</v>
      </c>
      <c r="B2905" t="s">
        <v>39</v>
      </c>
      <c r="C2905" t="s">
        <v>40</v>
      </c>
      <c r="D2905" t="s">
        <v>31</v>
      </c>
      <c r="E2905" s="1">
        <v>2026</v>
      </c>
      <c r="F2905" s="11">
        <v>0.71329999999999993</v>
      </c>
      <c r="G2905">
        <v>71.86</v>
      </c>
      <c r="H2905">
        <v>45.35</v>
      </c>
      <c r="I2905" s="2">
        <v>73628.399999999994</v>
      </c>
      <c r="J2905" s="2">
        <v>80535.990000000005</v>
      </c>
      <c r="K2905" s="2">
        <f>Table1[[#This Row],[Salary_after]]-Table1[[#This Row],[Salary_before]]</f>
        <v>6907.5900000000111</v>
      </c>
      <c r="L2905" s="11">
        <v>9.3800000000000008E-2</v>
      </c>
      <c r="M2905" s="11">
        <v>5.2000000000000005E-2</v>
      </c>
      <c r="N2905">
        <v>62.75</v>
      </c>
      <c r="O2905">
        <v>86.24</v>
      </c>
      <c r="P2905">
        <v>2</v>
      </c>
      <c r="Q2905" t="s">
        <v>37</v>
      </c>
      <c r="R2905">
        <v>58.34</v>
      </c>
      <c r="S2905">
        <v>9.3800000000000008</v>
      </c>
      <c r="T2905" s="4">
        <v>44.951000000000001</v>
      </c>
      <c r="U2905" s="4">
        <v>61.5149919999999</v>
      </c>
      <c r="V2905" t="str">
        <f>IF(Table1[[#This Row],[ai_disruption_intensity]]&gt;70,"High",
IF(Table1[[#This Row],[ai_disruption_intensity]]&gt;40,"Medium","Low"))</f>
        <v>Medium</v>
      </c>
      <c r="W2905" t="str">
        <f>IF(Table1[[#This Row],[skill_gap_index]]&gt;70,"Large Gap",
IF(Table1[[#This Row],[skill_gap_index]]&gt;40,"Medium Gap","Small Gap"))</f>
        <v>Medium Gap</v>
      </c>
      <c r="X2905" s="3" t="str">
        <f>IF(Table1[[#This Row],[automation_risk_percent]]&gt;0.7,"Highly Automatable",
IF(Table1[[#This Row],[automation_risk_percent]]&gt;0.4,"Moderate Risk","Safe Job"))</f>
        <v>Highly Automatable</v>
      </c>
    </row>
    <row r="2906" spans="1:24" x14ac:dyDescent="0.3">
      <c r="A2906">
        <v>10212</v>
      </c>
      <c r="B2906" t="s">
        <v>45</v>
      </c>
      <c r="C2906" t="s">
        <v>27</v>
      </c>
      <c r="D2906" t="s">
        <v>36</v>
      </c>
      <c r="E2906" s="1">
        <v>2026</v>
      </c>
      <c r="F2906" s="11">
        <v>0.35299999999999998</v>
      </c>
      <c r="G2906">
        <v>39.22</v>
      </c>
      <c r="H2906">
        <v>81.180000000000007</v>
      </c>
      <c r="I2906" s="2">
        <v>50112.29</v>
      </c>
      <c r="J2906" s="2">
        <v>55830.61</v>
      </c>
      <c r="K2906" s="2">
        <f>Table1[[#This Row],[Salary_after]]-Table1[[#This Row],[Salary_before]]</f>
        <v>5718.32</v>
      </c>
      <c r="L2906" s="11">
        <v>0.11410000000000001</v>
      </c>
      <c r="M2906" s="11">
        <v>5.7099999999999998E-2</v>
      </c>
      <c r="N2906">
        <v>66.209999999999994</v>
      </c>
      <c r="O2906">
        <v>48.1</v>
      </c>
      <c r="P2906">
        <v>5</v>
      </c>
      <c r="Q2906" t="s">
        <v>25</v>
      </c>
      <c r="R2906">
        <v>58.24</v>
      </c>
      <c r="S2906">
        <v>11.41</v>
      </c>
      <c r="T2906" s="4">
        <v>41.896999999999998</v>
      </c>
      <c r="U2906" s="4">
        <v>16.979299999999999</v>
      </c>
      <c r="V2906" t="str">
        <f>IF(Table1[[#This Row],[ai_disruption_intensity]]&gt;70,"High",
IF(Table1[[#This Row],[ai_disruption_intensity]]&gt;40,"Medium","Low"))</f>
        <v>Low</v>
      </c>
      <c r="W2906" t="str">
        <f>IF(Table1[[#This Row],[skill_gap_index]]&gt;70,"Large Gap",
IF(Table1[[#This Row],[skill_gap_index]]&gt;40,"Medium Gap","Small Gap"))</f>
        <v>Large Gap</v>
      </c>
      <c r="X2906" s="3" t="str">
        <f>IF(Table1[[#This Row],[automation_risk_percent]]&gt;0.7,"Highly Automatable",
IF(Table1[[#This Row],[automation_risk_percent]]&gt;0.4,"Moderate Risk","Safe Job"))</f>
        <v>Safe Job</v>
      </c>
    </row>
    <row r="2907" spans="1:24" x14ac:dyDescent="0.3">
      <c r="A2907">
        <v>10216</v>
      </c>
      <c r="B2907" t="s">
        <v>43</v>
      </c>
      <c r="C2907" t="s">
        <v>33</v>
      </c>
      <c r="D2907" t="s">
        <v>28</v>
      </c>
      <c r="E2907" s="1">
        <v>2026</v>
      </c>
      <c r="F2907" s="11">
        <v>0.57930000000000004</v>
      </c>
      <c r="G2907">
        <v>68.650000000000006</v>
      </c>
      <c r="H2907">
        <v>55.61</v>
      </c>
      <c r="I2907" s="2">
        <v>35492.67</v>
      </c>
      <c r="J2907" s="2">
        <v>35582.870000000003</v>
      </c>
      <c r="K2907" s="2">
        <f>Table1[[#This Row],[Salary_after]]-Table1[[#This Row],[Salary_before]]</f>
        <v>90.200000000004366</v>
      </c>
      <c r="L2907" s="11">
        <v>2.5000000000000001E-3</v>
      </c>
      <c r="M2907" s="11">
        <v>3.7900000000000003E-2</v>
      </c>
      <c r="N2907">
        <v>26.1</v>
      </c>
      <c r="O2907">
        <v>6.62</v>
      </c>
      <c r="P2907">
        <v>4</v>
      </c>
      <c r="Q2907" t="s">
        <v>25</v>
      </c>
      <c r="R2907">
        <v>56.769999999999897</v>
      </c>
      <c r="S2907">
        <v>0.25</v>
      </c>
      <c r="T2907" s="4">
        <v>39.93</v>
      </c>
      <c r="U2907" s="4">
        <v>3.8349660000000001</v>
      </c>
      <c r="V2907" t="str">
        <f>IF(Table1[[#This Row],[ai_disruption_intensity]]&gt;70,"High",
IF(Table1[[#This Row],[ai_disruption_intensity]]&gt;40,"Medium","Low"))</f>
        <v>Low</v>
      </c>
      <c r="W2907" t="str">
        <f>IF(Table1[[#This Row],[skill_gap_index]]&gt;70,"Large Gap",
IF(Table1[[#This Row],[skill_gap_index]]&gt;40,"Medium Gap","Small Gap"))</f>
        <v>Medium Gap</v>
      </c>
      <c r="X2907" s="3" t="str">
        <f>IF(Table1[[#This Row],[automation_risk_percent]]&gt;0.7,"Highly Automatable",
IF(Table1[[#This Row],[automation_risk_percent]]&gt;0.4,"Moderate Risk","Safe Job"))</f>
        <v>Moderate Risk</v>
      </c>
    </row>
    <row r="2908" spans="1:24" x14ac:dyDescent="0.3">
      <c r="A2908">
        <v>10218</v>
      </c>
      <c r="B2908" t="s">
        <v>22</v>
      </c>
      <c r="C2908" t="s">
        <v>30</v>
      </c>
      <c r="D2908" t="s">
        <v>28</v>
      </c>
      <c r="E2908" s="1">
        <v>2025</v>
      </c>
      <c r="F2908" s="11">
        <v>0.66020000000000001</v>
      </c>
      <c r="G2908">
        <v>66.040000000000006</v>
      </c>
      <c r="H2908">
        <v>89.68</v>
      </c>
      <c r="I2908" s="2">
        <v>124950.88</v>
      </c>
      <c r="J2908" s="2">
        <v>142747.94</v>
      </c>
      <c r="K2908" s="2">
        <f>Table1[[#This Row],[Salary_after]]-Table1[[#This Row],[Salary_before]]</f>
        <v>17797.059999999998</v>
      </c>
      <c r="L2908" s="11">
        <v>0.1424</v>
      </c>
      <c r="M2908" s="11">
        <v>7.7100000000000002E-2</v>
      </c>
      <c r="N2908">
        <v>18.54</v>
      </c>
      <c r="O2908">
        <v>20.14</v>
      </c>
      <c r="P2908">
        <v>2</v>
      </c>
      <c r="Q2908" t="s">
        <v>37</v>
      </c>
      <c r="R2908">
        <v>77.849999999999994</v>
      </c>
      <c r="S2908">
        <v>14.24</v>
      </c>
      <c r="T2908" s="4">
        <v>57.583999999999897</v>
      </c>
      <c r="U2908" s="4">
        <v>13.296427999999899</v>
      </c>
      <c r="V2908" t="str">
        <f>IF(Table1[[#This Row],[ai_disruption_intensity]]&gt;70,"High",
IF(Table1[[#This Row],[ai_disruption_intensity]]&gt;40,"Medium","Low"))</f>
        <v>Low</v>
      </c>
      <c r="W2908" t="str">
        <f>IF(Table1[[#This Row],[skill_gap_index]]&gt;70,"Large Gap",
IF(Table1[[#This Row],[skill_gap_index]]&gt;40,"Medium Gap","Small Gap"))</f>
        <v>Large Gap</v>
      </c>
      <c r="X2908" s="3" t="str">
        <f>IF(Table1[[#This Row],[automation_risk_percent]]&gt;0.7,"Highly Automatable",
IF(Table1[[#This Row],[automation_risk_percent]]&gt;0.4,"Moderate Risk","Safe Job"))</f>
        <v>Moderate Risk</v>
      </c>
    </row>
    <row r="2909" spans="1:24" x14ac:dyDescent="0.3">
      <c r="A2909">
        <v>10224</v>
      </c>
      <c r="B2909" t="s">
        <v>39</v>
      </c>
      <c r="C2909" t="s">
        <v>19</v>
      </c>
      <c r="D2909" t="s">
        <v>42</v>
      </c>
      <c r="E2909" s="1">
        <v>2026</v>
      </c>
      <c r="F2909" s="11">
        <v>0.63240000000000007</v>
      </c>
      <c r="G2909">
        <v>67.319999999999993</v>
      </c>
      <c r="H2909">
        <v>86.52</v>
      </c>
      <c r="I2909" s="2">
        <v>120143.06</v>
      </c>
      <c r="J2909" s="2">
        <v>105783.85</v>
      </c>
      <c r="K2909" s="2">
        <f>Table1[[#This Row],[Salary_after]]-Table1[[#This Row],[Salary_before]]</f>
        <v>-14359.209999999992</v>
      </c>
      <c r="L2909" s="11">
        <v>-0.1195</v>
      </c>
      <c r="M2909" s="11">
        <v>-7.7800000000000008E-2</v>
      </c>
      <c r="N2909">
        <v>68.3</v>
      </c>
      <c r="O2909">
        <v>31.02</v>
      </c>
      <c r="P2909">
        <v>2</v>
      </c>
      <c r="Q2909" t="s">
        <v>37</v>
      </c>
      <c r="R2909">
        <v>74.88</v>
      </c>
      <c r="S2909">
        <v>11.95</v>
      </c>
      <c r="T2909" s="4">
        <v>54.837000000000003</v>
      </c>
      <c r="U2909" s="4">
        <v>19.617048</v>
      </c>
      <c r="V2909" t="str">
        <f>IF(Table1[[#This Row],[ai_disruption_intensity]]&gt;70,"High",
IF(Table1[[#This Row],[ai_disruption_intensity]]&gt;40,"Medium","Low"))</f>
        <v>Low</v>
      </c>
      <c r="W2909" t="str">
        <f>IF(Table1[[#This Row],[skill_gap_index]]&gt;70,"Large Gap",
IF(Table1[[#This Row],[skill_gap_index]]&gt;40,"Medium Gap","Small Gap"))</f>
        <v>Large Gap</v>
      </c>
      <c r="X2909" s="3" t="str">
        <f>IF(Table1[[#This Row],[automation_risk_percent]]&gt;0.7,"Highly Automatable",
IF(Table1[[#This Row],[automation_risk_percent]]&gt;0.4,"Moderate Risk","Safe Job"))</f>
        <v>Moderate Risk</v>
      </c>
    </row>
    <row r="2910" spans="1:24" x14ac:dyDescent="0.3">
      <c r="A2910">
        <v>10230</v>
      </c>
      <c r="B2910" t="s">
        <v>26</v>
      </c>
      <c r="C2910" t="s">
        <v>33</v>
      </c>
      <c r="D2910" t="s">
        <v>28</v>
      </c>
      <c r="E2910" s="1">
        <v>2025</v>
      </c>
      <c r="F2910" s="11">
        <v>0.55380000000000007</v>
      </c>
      <c r="G2910">
        <v>61.4</v>
      </c>
      <c r="H2910">
        <v>1.27</v>
      </c>
      <c r="I2910" s="2">
        <v>48199.43</v>
      </c>
      <c r="J2910" s="2">
        <v>55050.87</v>
      </c>
      <c r="K2910" s="2">
        <f>Table1[[#This Row],[Salary_after]]-Table1[[#This Row],[Salary_before]]</f>
        <v>6851.4400000000023</v>
      </c>
      <c r="L2910" s="11">
        <v>0.1421</v>
      </c>
      <c r="M2910" s="11">
        <v>-6.25E-2</v>
      </c>
      <c r="N2910">
        <v>30.67</v>
      </c>
      <c r="O2910">
        <v>32.28</v>
      </c>
      <c r="P2910">
        <v>3</v>
      </c>
      <c r="Q2910" t="s">
        <v>25</v>
      </c>
      <c r="R2910">
        <v>28.324999999999999</v>
      </c>
      <c r="S2910">
        <v>14.21</v>
      </c>
      <c r="T2910" s="4">
        <v>26.795999999999999</v>
      </c>
      <c r="U2910" s="4">
        <v>17.876664000000002</v>
      </c>
      <c r="V2910" t="str">
        <f>IF(Table1[[#This Row],[ai_disruption_intensity]]&gt;70,"High",
IF(Table1[[#This Row],[ai_disruption_intensity]]&gt;40,"Medium","Low"))</f>
        <v>Low</v>
      </c>
      <c r="W2910" t="str">
        <f>IF(Table1[[#This Row],[skill_gap_index]]&gt;70,"Large Gap",
IF(Table1[[#This Row],[skill_gap_index]]&gt;40,"Medium Gap","Small Gap"))</f>
        <v>Small Gap</v>
      </c>
      <c r="X2910" s="3" t="str">
        <f>IF(Table1[[#This Row],[automation_risk_percent]]&gt;0.7,"Highly Automatable",
IF(Table1[[#This Row],[automation_risk_percent]]&gt;0.4,"Moderate Risk","Safe Job"))</f>
        <v>Moderate Risk</v>
      </c>
    </row>
    <row r="2911" spans="1:24" x14ac:dyDescent="0.3">
      <c r="A2911">
        <v>10234</v>
      </c>
      <c r="B2911" t="s">
        <v>41</v>
      </c>
      <c r="C2911" t="s">
        <v>40</v>
      </c>
      <c r="D2911" t="s">
        <v>35</v>
      </c>
      <c r="E2911" s="1">
        <v>2026</v>
      </c>
      <c r="F2911" s="11">
        <v>0.88040000000000007</v>
      </c>
      <c r="G2911">
        <v>79.599999999999994</v>
      </c>
      <c r="H2911">
        <v>33.9</v>
      </c>
      <c r="I2911" s="2">
        <v>122853.4</v>
      </c>
      <c r="J2911" s="2">
        <v>127392.49</v>
      </c>
      <c r="K2911" s="2">
        <f>Table1[[#This Row],[Salary_after]]-Table1[[#This Row],[Salary_before]]</f>
        <v>4539.0900000000111</v>
      </c>
      <c r="L2911" s="11">
        <v>3.6900000000000002E-2</v>
      </c>
      <c r="M2911" s="11">
        <v>7.46E-2</v>
      </c>
      <c r="N2911">
        <v>13.04</v>
      </c>
      <c r="O2911">
        <v>87.45</v>
      </c>
      <c r="P2911">
        <v>4</v>
      </c>
      <c r="Q2911" t="s">
        <v>37</v>
      </c>
      <c r="R2911">
        <v>60.97</v>
      </c>
      <c r="S2911">
        <v>3.69</v>
      </c>
      <c r="T2911" s="4">
        <v>46.493000000000002</v>
      </c>
      <c r="U2911" s="4">
        <v>76.990979999999993</v>
      </c>
      <c r="V2911" t="str">
        <f>IF(Table1[[#This Row],[ai_disruption_intensity]]&gt;70,"High",
IF(Table1[[#This Row],[ai_disruption_intensity]]&gt;40,"Medium","Low"))</f>
        <v>High</v>
      </c>
      <c r="W2911" t="str">
        <f>IF(Table1[[#This Row],[skill_gap_index]]&gt;70,"Large Gap",
IF(Table1[[#This Row],[skill_gap_index]]&gt;40,"Medium Gap","Small Gap"))</f>
        <v>Small Gap</v>
      </c>
      <c r="X2911" s="3" t="str">
        <f>IF(Table1[[#This Row],[automation_risk_percent]]&gt;0.7,"Highly Automatable",
IF(Table1[[#This Row],[automation_risk_percent]]&gt;0.4,"Moderate Risk","Safe Job"))</f>
        <v>Highly Automatable</v>
      </c>
    </row>
    <row r="2912" spans="1:24" x14ac:dyDescent="0.3">
      <c r="A2912">
        <v>10235</v>
      </c>
      <c r="B2912" t="s">
        <v>29</v>
      </c>
      <c r="C2912" t="s">
        <v>30</v>
      </c>
      <c r="D2912" t="s">
        <v>42</v>
      </c>
      <c r="E2912" s="1">
        <v>2026</v>
      </c>
      <c r="F2912" s="11">
        <v>0.80459999999999998</v>
      </c>
      <c r="G2912">
        <v>81.260000000000005</v>
      </c>
      <c r="H2912">
        <v>15.95</v>
      </c>
      <c r="I2912" s="2">
        <v>95399.24</v>
      </c>
      <c r="J2912" s="2">
        <v>102438.18</v>
      </c>
      <c r="K2912" s="2">
        <f>Table1[[#This Row],[Salary_after]]-Table1[[#This Row],[Salary_before]]</f>
        <v>7038.9399999999878</v>
      </c>
      <c r="L2912" s="11">
        <v>7.3800000000000004E-2</v>
      </c>
      <c r="M2912" s="11">
        <v>0.21010000000000001</v>
      </c>
      <c r="N2912">
        <v>83.2</v>
      </c>
      <c r="O2912">
        <v>53.24</v>
      </c>
      <c r="P2912">
        <v>4</v>
      </c>
      <c r="Q2912" t="s">
        <v>37</v>
      </c>
      <c r="R2912">
        <v>48.204999999999998</v>
      </c>
      <c r="S2912">
        <v>7.38</v>
      </c>
      <c r="T2912" s="4">
        <v>39.1829999999999</v>
      </c>
      <c r="U2912" s="4">
        <v>42.836903999999997</v>
      </c>
      <c r="V2912" t="str">
        <f>IF(Table1[[#This Row],[ai_disruption_intensity]]&gt;70,"High",
IF(Table1[[#This Row],[ai_disruption_intensity]]&gt;40,"Medium","Low"))</f>
        <v>Medium</v>
      </c>
      <c r="W2912" t="str">
        <f>IF(Table1[[#This Row],[skill_gap_index]]&gt;70,"Large Gap",
IF(Table1[[#This Row],[skill_gap_index]]&gt;40,"Medium Gap","Small Gap"))</f>
        <v>Small Gap</v>
      </c>
      <c r="X2912" s="3" t="str">
        <f>IF(Table1[[#This Row],[automation_risk_percent]]&gt;0.7,"Highly Automatable",
IF(Table1[[#This Row],[automation_risk_percent]]&gt;0.4,"Moderate Risk","Safe Job"))</f>
        <v>Highly Automatable</v>
      </c>
    </row>
    <row r="2913" spans="1:24" x14ac:dyDescent="0.3">
      <c r="A2913">
        <v>10238</v>
      </c>
      <c r="B2913" t="s">
        <v>29</v>
      </c>
      <c r="C2913" t="s">
        <v>38</v>
      </c>
      <c r="D2913" t="s">
        <v>24</v>
      </c>
      <c r="E2913" s="1">
        <v>2026</v>
      </c>
      <c r="F2913" s="11">
        <v>0.45640000000000003</v>
      </c>
      <c r="G2913">
        <v>49.13</v>
      </c>
      <c r="H2913">
        <v>42.26</v>
      </c>
      <c r="I2913" s="2">
        <v>96019.66</v>
      </c>
      <c r="J2913" s="2">
        <v>88763.520000000004</v>
      </c>
      <c r="K2913" s="2">
        <f>Table1[[#This Row],[Salary_after]]-Table1[[#This Row],[Salary_before]]</f>
        <v>-7256.1399999999994</v>
      </c>
      <c r="L2913" s="11">
        <v>-7.5600000000000001E-2</v>
      </c>
      <c r="M2913" s="11">
        <v>0.13769999999999999</v>
      </c>
      <c r="N2913">
        <v>48.13</v>
      </c>
      <c r="O2913">
        <v>51.95</v>
      </c>
      <c r="P2913">
        <v>5</v>
      </c>
      <c r="Q2913" t="s">
        <v>25</v>
      </c>
      <c r="R2913">
        <v>43.95</v>
      </c>
      <c r="S2913">
        <v>7.56</v>
      </c>
      <c r="T2913" s="4">
        <v>33.201999999999998</v>
      </c>
      <c r="U2913" s="4">
        <v>23.709980000000002</v>
      </c>
      <c r="V2913" t="str">
        <f>IF(Table1[[#This Row],[ai_disruption_intensity]]&gt;70,"High",
IF(Table1[[#This Row],[ai_disruption_intensity]]&gt;40,"Medium","Low"))</f>
        <v>Low</v>
      </c>
      <c r="W2913" t="str">
        <f>IF(Table1[[#This Row],[skill_gap_index]]&gt;70,"Large Gap",
IF(Table1[[#This Row],[skill_gap_index]]&gt;40,"Medium Gap","Small Gap"))</f>
        <v>Medium Gap</v>
      </c>
      <c r="X2913" s="3" t="str">
        <f>IF(Table1[[#This Row],[automation_risk_percent]]&gt;0.7,"Highly Automatable",
IF(Table1[[#This Row],[automation_risk_percent]]&gt;0.4,"Moderate Risk","Safe Job"))</f>
        <v>Moderate Risk</v>
      </c>
    </row>
    <row r="2914" spans="1:24" x14ac:dyDescent="0.3">
      <c r="A2914">
        <v>10240</v>
      </c>
      <c r="B2914" t="s">
        <v>43</v>
      </c>
      <c r="C2914" t="s">
        <v>27</v>
      </c>
      <c r="D2914" t="s">
        <v>35</v>
      </c>
      <c r="E2914" s="1">
        <v>2025</v>
      </c>
      <c r="F2914" s="11">
        <v>0.66769999999999996</v>
      </c>
      <c r="G2914">
        <v>54.96</v>
      </c>
      <c r="H2914">
        <v>30.57</v>
      </c>
      <c r="I2914" s="2">
        <v>35889.26</v>
      </c>
      <c r="J2914" s="2">
        <v>31935.97</v>
      </c>
      <c r="K2914" s="2">
        <f>Table1[[#This Row],[Salary_after]]-Table1[[#This Row],[Salary_before]]</f>
        <v>-3953.2900000000009</v>
      </c>
      <c r="L2914" s="11">
        <v>-0.11019999999999999</v>
      </c>
      <c r="M2914" s="11">
        <v>-2.3399999999999997E-2</v>
      </c>
      <c r="N2914">
        <v>41.7</v>
      </c>
      <c r="O2914">
        <v>82.2</v>
      </c>
      <c r="P2914">
        <v>5</v>
      </c>
      <c r="Q2914" t="s">
        <v>37</v>
      </c>
      <c r="R2914">
        <v>48.67</v>
      </c>
      <c r="S2914">
        <v>11.02</v>
      </c>
      <c r="T2914" s="4">
        <v>39.184999999999903</v>
      </c>
      <c r="U2914" s="4">
        <v>54.88494</v>
      </c>
      <c r="V2914" t="str">
        <f>IF(Table1[[#This Row],[ai_disruption_intensity]]&gt;70,"High",
IF(Table1[[#This Row],[ai_disruption_intensity]]&gt;40,"Medium","Low"))</f>
        <v>Medium</v>
      </c>
      <c r="W2914" t="str">
        <f>IF(Table1[[#This Row],[skill_gap_index]]&gt;70,"Large Gap",
IF(Table1[[#This Row],[skill_gap_index]]&gt;40,"Medium Gap","Small Gap"))</f>
        <v>Small Gap</v>
      </c>
      <c r="X2914" s="3" t="str">
        <f>IF(Table1[[#This Row],[automation_risk_percent]]&gt;0.7,"Highly Automatable",
IF(Table1[[#This Row],[automation_risk_percent]]&gt;0.4,"Moderate Risk","Safe Job"))</f>
        <v>Moderate Risk</v>
      </c>
    </row>
    <row r="2915" spans="1:24" x14ac:dyDescent="0.3">
      <c r="A2915">
        <v>10247</v>
      </c>
      <c r="B2915" t="s">
        <v>45</v>
      </c>
      <c r="C2915" t="s">
        <v>33</v>
      </c>
      <c r="D2915" t="s">
        <v>31</v>
      </c>
      <c r="E2915" s="1">
        <v>2025</v>
      </c>
      <c r="F2915" s="11">
        <v>0.36570000000000003</v>
      </c>
      <c r="G2915">
        <v>29.69</v>
      </c>
      <c r="H2915">
        <v>78.69</v>
      </c>
      <c r="I2915" s="2">
        <v>86212.81</v>
      </c>
      <c r="J2915" s="2">
        <v>82331.679999999993</v>
      </c>
      <c r="K2915" s="2">
        <f>Table1[[#This Row],[Salary_after]]-Table1[[#This Row],[Salary_before]]</f>
        <v>-3881.1300000000047</v>
      </c>
      <c r="L2915" s="11">
        <v>-4.4999999999999998E-2</v>
      </c>
      <c r="M2915" s="11">
        <v>-7.8000000000000005E-3</v>
      </c>
      <c r="N2915">
        <v>32.24</v>
      </c>
      <c r="O2915">
        <v>63.21</v>
      </c>
      <c r="P2915">
        <v>2</v>
      </c>
      <c r="Q2915" t="s">
        <v>25</v>
      </c>
      <c r="R2915">
        <v>57.629999999999903</v>
      </c>
      <c r="S2915">
        <v>4.5</v>
      </c>
      <c r="T2915" s="4">
        <v>39.585000000000001</v>
      </c>
      <c r="U2915" s="4">
        <v>23.115897</v>
      </c>
      <c r="V2915" t="str">
        <f>IF(Table1[[#This Row],[ai_disruption_intensity]]&gt;70,"High",
IF(Table1[[#This Row],[ai_disruption_intensity]]&gt;40,"Medium","Low"))</f>
        <v>Low</v>
      </c>
      <c r="W2915" t="str">
        <f>IF(Table1[[#This Row],[skill_gap_index]]&gt;70,"Large Gap",
IF(Table1[[#This Row],[skill_gap_index]]&gt;40,"Medium Gap","Small Gap"))</f>
        <v>Large Gap</v>
      </c>
      <c r="X2915" s="3" t="str">
        <f>IF(Table1[[#This Row],[automation_risk_percent]]&gt;0.7,"Highly Automatable",
IF(Table1[[#This Row],[automation_risk_percent]]&gt;0.4,"Moderate Risk","Safe Job"))</f>
        <v>Safe Job</v>
      </c>
    </row>
    <row r="2916" spans="1:24" x14ac:dyDescent="0.3">
      <c r="A2916">
        <v>10249</v>
      </c>
      <c r="B2916" t="s">
        <v>45</v>
      </c>
      <c r="C2916" t="s">
        <v>33</v>
      </c>
      <c r="D2916" t="s">
        <v>20</v>
      </c>
      <c r="E2916" s="1">
        <v>2026</v>
      </c>
      <c r="F2916" s="11">
        <v>0.75219999999999998</v>
      </c>
      <c r="G2916">
        <v>78.7</v>
      </c>
      <c r="H2916">
        <v>36.380000000000003</v>
      </c>
      <c r="I2916" s="2">
        <v>67642.83</v>
      </c>
      <c r="J2916" s="2">
        <v>78572.5</v>
      </c>
      <c r="K2916" s="2">
        <f>Table1[[#This Row],[Salary_after]]-Table1[[#This Row],[Salary_before]]</f>
        <v>10929.669999999998</v>
      </c>
      <c r="L2916" s="11">
        <v>0.16159999999999999</v>
      </c>
      <c r="M2916" s="11">
        <v>-6.4600000000000005E-2</v>
      </c>
      <c r="N2916">
        <v>39.43</v>
      </c>
      <c r="O2916">
        <v>47</v>
      </c>
      <c r="P2916">
        <v>5</v>
      </c>
      <c r="Q2916" t="s">
        <v>37</v>
      </c>
      <c r="R2916">
        <v>55.8</v>
      </c>
      <c r="S2916">
        <v>16.16</v>
      </c>
      <c r="T2916" s="4">
        <v>45.85</v>
      </c>
      <c r="U2916" s="4">
        <v>35.353400000000001</v>
      </c>
      <c r="V2916" t="str">
        <f>IF(Table1[[#This Row],[ai_disruption_intensity]]&gt;70,"High",
IF(Table1[[#This Row],[ai_disruption_intensity]]&gt;40,"Medium","Low"))</f>
        <v>Low</v>
      </c>
      <c r="W2916" t="str">
        <f>IF(Table1[[#This Row],[skill_gap_index]]&gt;70,"Large Gap",
IF(Table1[[#This Row],[skill_gap_index]]&gt;40,"Medium Gap","Small Gap"))</f>
        <v>Small Gap</v>
      </c>
      <c r="X2916" s="3" t="str">
        <f>IF(Table1[[#This Row],[automation_risk_percent]]&gt;0.7,"Highly Automatable",
IF(Table1[[#This Row],[automation_risk_percent]]&gt;0.4,"Moderate Risk","Safe Job"))</f>
        <v>Highly Automatable</v>
      </c>
    </row>
    <row r="2917" spans="1:24" x14ac:dyDescent="0.3">
      <c r="A2917">
        <v>10251</v>
      </c>
      <c r="B2917" t="s">
        <v>39</v>
      </c>
      <c r="C2917" t="s">
        <v>33</v>
      </c>
      <c r="D2917" t="s">
        <v>35</v>
      </c>
      <c r="E2917" s="1">
        <v>2025</v>
      </c>
      <c r="F2917" s="11">
        <v>0.16760000000000003</v>
      </c>
      <c r="G2917">
        <v>13.98</v>
      </c>
      <c r="H2917">
        <v>50.47</v>
      </c>
      <c r="I2917" s="2">
        <v>58581.52</v>
      </c>
      <c r="J2917" s="2">
        <v>66021.75</v>
      </c>
      <c r="K2917" s="2">
        <f>Table1[[#This Row],[Salary_after]]-Table1[[#This Row],[Salary_before]]</f>
        <v>7440.2300000000032</v>
      </c>
      <c r="L2917" s="11">
        <v>0.127</v>
      </c>
      <c r="M2917" s="11">
        <v>0.161</v>
      </c>
      <c r="N2917">
        <v>62.74</v>
      </c>
      <c r="O2917">
        <v>83.46</v>
      </c>
      <c r="P2917">
        <v>3</v>
      </c>
      <c r="Q2917" t="s">
        <v>21</v>
      </c>
      <c r="R2917">
        <v>33.615000000000002</v>
      </c>
      <c r="S2917">
        <v>12.7</v>
      </c>
      <c r="T2917" s="4">
        <v>25.654999999999902</v>
      </c>
      <c r="U2917" s="4">
        <v>13.987895999999999</v>
      </c>
      <c r="V2917" t="str">
        <f>IF(Table1[[#This Row],[ai_disruption_intensity]]&gt;70,"High",
IF(Table1[[#This Row],[ai_disruption_intensity]]&gt;40,"Medium","Low"))</f>
        <v>Low</v>
      </c>
      <c r="W2917" t="str">
        <f>IF(Table1[[#This Row],[skill_gap_index]]&gt;70,"Large Gap",
IF(Table1[[#This Row],[skill_gap_index]]&gt;40,"Medium Gap","Small Gap"))</f>
        <v>Medium Gap</v>
      </c>
      <c r="X2917" s="3" t="str">
        <f>IF(Table1[[#This Row],[automation_risk_percent]]&gt;0.7,"Highly Automatable",
IF(Table1[[#This Row],[automation_risk_percent]]&gt;0.4,"Moderate Risk","Safe Job"))</f>
        <v>Safe Job</v>
      </c>
    </row>
    <row r="2918" spans="1:24" x14ac:dyDescent="0.3">
      <c r="A2918">
        <v>10254</v>
      </c>
      <c r="B2918" t="s">
        <v>26</v>
      </c>
      <c r="C2918" t="s">
        <v>23</v>
      </c>
      <c r="D2918" t="s">
        <v>32</v>
      </c>
      <c r="E2918" s="1">
        <v>2026</v>
      </c>
      <c r="F2918" s="11">
        <v>0.40460000000000002</v>
      </c>
      <c r="G2918">
        <v>41.46</v>
      </c>
      <c r="H2918">
        <v>9.64</v>
      </c>
      <c r="I2918" s="2">
        <v>36051.68</v>
      </c>
      <c r="J2918" s="2">
        <v>41514.81</v>
      </c>
      <c r="K2918" s="2">
        <f>Table1[[#This Row],[Salary_after]]-Table1[[#This Row],[Salary_before]]</f>
        <v>5463.1299999999974</v>
      </c>
      <c r="L2918" s="11">
        <v>0.1515</v>
      </c>
      <c r="M2918" s="11">
        <v>4.5100000000000001E-2</v>
      </c>
      <c r="N2918">
        <v>95.84</v>
      </c>
      <c r="O2918">
        <v>7.52</v>
      </c>
      <c r="P2918">
        <v>3</v>
      </c>
      <c r="Q2918" t="s">
        <v>25</v>
      </c>
      <c r="R2918">
        <v>25.05</v>
      </c>
      <c r="S2918">
        <v>15.15</v>
      </c>
      <c r="T2918" s="4">
        <v>23.620999999999999</v>
      </c>
      <c r="U2918" s="4">
        <v>3.0425919999999902</v>
      </c>
      <c r="V2918" t="str">
        <f>IF(Table1[[#This Row],[ai_disruption_intensity]]&gt;70,"High",
IF(Table1[[#This Row],[ai_disruption_intensity]]&gt;40,"Medium","Low"))</f>
        <v>Low</v>
      </c>
      <c r="W2918" t="str">
        <f>IF(Table1[[#This Row],[skill_gap_index]]&gt;70,"Large Gap",
IF(Table1[[#This Row],[skill_gap_index]]&gt;40,"Medium Gap","Small Gap"))</f>
        <v>Small Gap</v>
      </c>
      <c r="X2918" s="3" t="str">
        <f>IF(Table1[[#This Row],[automation_risk_percent]]&gt;0.7,"Highly Automatable",
IF(Table1[[#This Row],[automation_risk_percent]]&gt;0.4,"Moderate Risk","Safe Job"))</f>
        <v>Moderate Risk</v>
      </c>
    </row>
    <row r="2919" spans="1:24" x14ac:dyDescent="0.3">
      <c r="A2919">
        <v>10257</v>
      </c>
      <c r="B2919" t="s">
        <v>45</v>
      </c>
      <c r="C2919" t="s">
        <v>38</v>
      </c>
      <c r="D2919" t="s">
        <v>31</v>
      </c>
      <c r="E2919" s="1">
        <v>2025</v>
      </c>
      <c r="F2919" s="11">
        <v>0.27610000000000001</v>
      </c>
      <c r="G2919">
        <v>24.27</v>
      </c>
      <c r="H2919">
        <v>1.43</v>
      </c>
      <c r="I2919" s="2">
        <v>131143.19</v>
      </c>
      <c r="J2919" s="2">
        <v>143931.64000000001</v>
      </c>
      <c r="K2919" s="2">
        <f>Table1[[#This Row],[Salary_after]]-Table1[[#This Row],[Salary_before]]</f>
        <v>12788.450000000012</v>
      </c>
      <c r="L2919" s="11">
        <v>9.7500000000000003E-2</v>
      </c>
      <c r="M2919" s="11">
        <v>1.7600000000000001E-2</v>
      </c>
      <c r="N2919">
        <v>39.130000000000003</v>
      </c>
      <c r="O2919">
        <v>75.599999999999994</v>
      </c>
      <c r="P2919">
        <v>2</v>
      </c>
      <c r="Q2919" t="s">
        <v>21</v>
      </c>
      <c r="R2919">
        <v>14.52</v>
      </c>
      <c r="S2919">
        <v>9.75</v>
      </c>
      <c r="T2919" s="4">
        <v>14.398</v>
      </c>
      <c r="U2919" s="4">
        <v>20.873159999999999</v>
      </c>
      <c r="V2919" t="str">
        <f>IF(Table1[[#This Row],[ai_disruption_intensity]]&gt;70,"High",
IF(Table1[[#This Row],[ai_disruption_intensity]]&gt;40,"Medium","Low"))</f>
        <v>Low</v>
      </c>
      <c r="W2919" t="str">
        <f>IF(Table1[[#This Row],[skill_gap_index]]&gt;70,"Large Gap",
IF(Table1[[#This Row],[skill_gap_index]]&gt;40,"Medium Gap","Small Gap"))</f>
        <v>Small Gap</v>
      </c>
      <c r="X2919" s="3" t="str">
        <f>IF(Table1[[#This Row],[automation_risk_percent]]&gt;0.7,"Highly Automatable",
IF(Table1[[#This Row],[automation_risk_percent]]&gt;0.4,"Moderate Risk","Safe Job"))</f>
        <v>Safe Job</v>
      </c>
    </row>
    <row r="2920" spans="1:24" x14ac:dyDescent="0.3">
      <c r="A2920">
        <v>10258</v>
      </c>
      <c r="B2920" t="s">
        <v>41</v>
      </c>
      <c r="C2920" t="s">
        <v>40</v>
      </c>
      <c r="D2920" t="s">
        <v>24</v>
      </c>
      <c r="E2920" s="1">
        <v>2026</v>
      </c>
      <c r="F2920" s="11">
        <v>0.29880000000000001</v>
      </c>
      <c r="G2920">
        <v>33.6</v>
      </c>
      <c r="H2920">
        <v>89.1</v>
      </c>
      <c r="I2920" s="2">
        <v>61785.64</v>
      </c>
      <c r="J2920" s="2">
        <v>59785.72</v>
      </c>
      <c r="K2920" s="2">
        <f>Table1[[#This Row],[Salary_after]]-Table1[[#This Row],[Salary_before]]</f>
        <v>-1999.9199999999983</v>
      </c>
      <c r="L2920" s="11">
        <v>-3.2400000000000005E-2</v>
      </c>
      <c r="M2920" s="11">
        <v>1.18E-2</v>
      </c>
      <c r="N2920">
        <v>88.1</v>
      </c>
      <c r="O2920">
        <v>28.62</v>
      </c>
      <c r="P2920">
        <v>2</v>
      </c>
      <c r="Q2920" t="s">
        <v>21</v>
      </c>
      <c r="R2920">
        <v>59.489999999999903</v>
      </c>
      <c r="S2920">
        <v>3.24</v>
      </c>
      <c r="T2920" s="4">
        <v>39.653999999999897</v>
      </c>
      <c r="U2920" s="4">
        <v>8.5516559999999995</v>
      </c>
      <c r="V2920" t="str">
        <f>IF(Table1[[#This Row],[ai_disruption_intensity]]&gt;70,"High",
IF(Table1[[#This Row],[ai_disruption_intensity]]&gt;40,"Medium","Low"))</f>
        <v>Low</v>
      </c>
      <c r="W2920" t="str">
        <f>IF(Table1[[#This Row],[skill_gap_index]]&gt;70,"Large Gap",
IF(Table1[[#This Row],[skill_gap_index]]&gt;40,"Medium Gap","Small Gap"))</f>
        <v>Large Gap</v>
      </c>
      <c r="X2920" s="3" t="str">
        <f>IF(Table1[[#This Row],[automation_risk_percent]]&gt;0.7,"Highly Automatable",
IF(Table1[[#This Row],[automation_risk_percent]]&gt;0.4,"Moderate Risk","Safe Job"))</f>
        <v>Safe Job</v>
      </c>
    </row>
    <row r="2921" spans="1:24" x14ac:dyDescent="0.3">
      <c r="A2921">
        <v>10262</v>
      </c>
      <c r="B2921" t="s">
        <v>43</v>
      </c>
      <c r="C2921" t="s">
        <v>30</v>
      </c>
      <c r="D2921" t="s">
        <v>36</v>
      </c>
      <c r="E2921" s="1">
        <v>2026</v>
      </c>
      <c r="F2921" s="11">
        <v>0.46240000000000003</v>
      </c>
      <c r="G2921">
        <v>45.91</v>
      </c>
      <c r="H2921">
        <v>47.96</v>
      </c>
      <c r="I2921" s="2">
        <v>78633.240000000005</v>
      </c>
      <c r="J2921" s="2">
        <v>84462.11</v>
      </c>
      <c r="K2921" s="2">
        <f>Table1[[#This Row],[Salary_after]]-Table1[[#This Row],[Salary_before]]</f>
        <v>5828.8699999999953</v>
      </c>
      <c r="L2921" s="11">
        <v>7.4099999999999999E-2</v>
      </c>
      <c r="M2921" s="11">
        <v>0.1968</v>
      </c>
      <c r="N2921">
        <v>53.9</v>
      </c>
      <c r="O2921">
        <v>72.069999999999993</v>
      </c>
      <c r="P2921">
        <v>2</v>
      </c>
      <c r="Q2921" t="s">
        <v>25</v>
      </c>
      <c r="R2921">
        <v>47.1</v>
      </c>
      <c r="S2921">
        <v>7.41</v>
      </c>
      <c r="T2921" s="4">
        <v>35.106999999999999</v>
      </c>
      <c r="U2921" s="4">
        <v>33.325167999999998</v>
      </c>
      <c r="V2921" t="str">
        <f>IF(Table1[[#This Row],[ai_disruption_intensity]]&gt;70,"High",
IF(Table1[[#This Row],[ai_disruption_intensity]]&gt;40,"Medium","Low"))</f>
        <v>Low</v>
      </c>
      <c r="W2921" t="str">
        <f>IF(Table1[[#This Row],[skill_gap_index]]&gt;70,"Large Gap",
IF(Table1[[#This Row],[skill_gap_index]]&gt;40,"Medium Gap","Small Gap"))</f>
        <v>Medium Gap</v>
      </c>
      <c r="X2921" s="3" t="str">
        <f>IF(Table1[[#This Row],[automation_risk_percent]]&gt;0.7,"Highly Automatable",
IF(Table1[[#This Row],[automation_risk_percent]]&gt;0.4,"Moderate Risk","Safe Job"))</f>
        <v>Moderate Risk</v>
      </c>
    </row>
    <row r="2922" spans="1:24" x14ac:dyDescent="0.3">
      <c r="A2922">
        <v>10263</v>
      </c>
      <c r="B2922" t="s">
        <v>18</v>
      </c>
      <c r="C2922" t="s">
        <v>23</v>
      </c>
      <c r="D2922" t="s">
        <v>20</v>
      </c>
      <c r="E2922" s="1">
        <v>2025</v>
      </c>
      <c r="F2922" s="11">
        <v>0.28320000000000001</v>
      </c>
      <c r="G2922">
        <v>32.76</v>
      </c>
      <c r="H2922">
        <v>38.42</v>
      </c>
      <c r="I2922" s="2">
        <v>69311.12</v>
      </c>
      <c r="J2922" s="2">
        <v>57413.3</v>
      </c>
      <c r="K2922" s="2">
        <f>Table1[[#This Row],[Salary_after]]-Table1[[#This Row],[Salary_before]]</f>
        <v>-11897.819999999992</v>
      </c>
      <c r="L2922" s="11">
        <v>-0.17170000000000002</v>
      </c>
      <c r="M2922" s="11">
        <v>8.1600000000000006E-2</v>
      </c>
      <c r="N2922">
        <v>34.19</v>
      </c>
      <c r="O2922">
        <v>7.79</v>
      </c>
      <c r="P2922">
        <v>4</v>
      </c>
      <c r="Q2922" t="s">
        <v>21</v>
      </c>
      <c r="R2922">
        <v>33.369999999999997</v>
      </c>
      <c r="S2922">
        <v>17.170000000000002</v>
      </c>
      <c r="T2922" s="4">
        <v>28.004999999999999</v>
      </c>
      <c r="U2922" s="4">
        <v>2.2061280000000001</v>
      </c>
      <c r="V2922" t="str">
        <f>IF(Table1[[#This Row],[ai_disruption_intensity]]&gt;70,"High",
IF(Table1[[#This Row],[ai_disruption_intensity]]&gt;40,"Medium","Low"))</f>
        <v>Low</v>
      </c>
      <c r="W2922" t="str">
        <f>IF(Table1[[#This Row],[skill_gap_index]]&gt;70,"Large Gap",
IF(Table1[[#This Row],[skill_gap_index]]&gt;40,"Medium Gap","Small Gap"))</f>
        <v>Small Gap</v>
      </c>
      <c r="X2922" s="3" t="str">
        <f>IF(Table1[[#This Row],[automation_risk_percent]]&gt;0.7,"Highly Automatable",
IF(Table1[[#This Row],[automation_risk_percent]]&gt;0.4,"Moderate Risk","Safe Job"))</f>
        <v>Safe Job</v>
      </c>
    </row>
    <row r="2923" spans="1:24" x14ac:dyDescent="0.3">
      <c r="A2923">
        <v>10265</v>
      </c>
      <c r="B2923" t="s">
        <v>45</v>
      </c>
      <c r="C2923" t="s">
        <v>19</v>
      </c>
      <c r="D2923" t="s">
        <v>31</v>
      </c>
      <c r="E2923" s="1">
        <v>2025</v>
      </c>
      <c r="F2923" s="11">
        <v>0.34320000000000001</v>
      </c>
      <c r="G2923">
        <v>28.44</v>
      </c>
      <c r="H2923">
        <v>85.84</v>
      </c>
      <c r="I2923" s="2">
        <v>115873.1</v>
      </c>
      <c r="J2923" s="2">
        <v>103537.2</v>
      </c>
      <c r="K2923" s="2">
        <f>Table1[[#This Row],[Salary_after]]-Table1[[#This Row],[Salary_before]]</f>
        <v>-12335.900000000009</v>
      </c>
      <c r="L2923" s="11">
        <v>-0.1065</v>
      </c>
      <c r="M2923" s="11">
        <v>-7.1300000000000002E-2</v>
      </c>
      <c r="N2923">
        <v>61.26</v>
      </c>
      <c r="O2923">
        <v>79.8</v>
      </c>
      <c r="P2923">
        <v>4</v>
      </c>
      <c r="Q2923" t="s">
        <v>25</v>
      </c>
      <c r="R2923">
        <v>60.08</v>
      </c>
      <c r="S2923">
        <v>10.65</v>
      </c>
      <c r="T2923" s="4">
        <v>42.674999999999997</v>
      </c>
      <c r="U2923" s="4">
        <v>27.387359999999902</v>
      </c>
      <c r="V2923" t="str">
        <f>IF(Table1[[#This Row],[ai_disruption_intensity]]&gt;70,"High",
IF(Table1[[#This Row],[ai_disruption_intensity]]&gt;40,"Medium","Low"))</f>
        <v>Low</v>
      </c>
      <c r="W2923" t="str">
        <f>IF(Table1[[#This Row],[skill_gap_index]]&gt;70,"Large Gap",
IF(Table1[[#This Row],[skill_gap_index]]&gt;40,"Medium Gap","Small Gap"))</f>
        <v>Large Gap</v>
      </c>
      <c r="X2923" s="3" t="str">
        <f>IF(Table1[[#This Row],[automation_risk_percent]]&gt;0.7,"Highly Automatable",
IF(Table1[[#This Row],[automation_risk_percent]]&gt;0.4,"Moderate Risk","Safe Job"))</f>
        <v>Safe Job</v>
      </c>
    </row>
    <row r="2924" spans="1:24" x14ac:dyDescent="0.3">
      <c r="A2924">
        <v>10270</v>
      </c>
      <c r="B2924" t="s">
        <v>43</v>
      </c>
      <c r="C2924" t="s">
        <v>19</v>
      </c>
      <c r="D2924" t="s">
        <v>35</v>
      </c>
      <c r="E2924" s="1">
        <v>2025</v>
      </c>
      <c r="F2924" s="11">
        <v>0.28610000000000002</v>
      </c>
      <c r="G2924">
        <v>32.03</v>
      </c>
      <c r="H2924">
        <v>62.79</v>
      </c>
      <c r="I2924" s="2">
        <v>44330.37</v>
      </c>
      <c r="J2924" s="2">
        <v>48410.43</v>
      </c>
      <c r="K2924" s="2">
        <f>Table1[[#This Row],[Salary_after]]-Table1[[#This Row],[Salary_before]]</f>
        <v>4080.0599999999977</v>
      </c>
      <c r="L2924" s="11">
        <v>9.1999999999999998E-2</v>
      </c>
      <c r="M2924" s="11">
        <v>6.5299999999999997E-2</v>
      </c>
      <c r="N2924">
        <v>36.090000000000003</v>
      </c>
      <c r="O2924">
        <v>65.91</v>
      </c>
      <c r="P2924">
        <v>1</v>
      </c>
      <c r="Q2924" t="s">
        <v>21</v>
      </c>
      <c r="R2924">
        <v>45.7</v>
      </c>
      <c r="S2924">
        <v>9.1999999999999993</v>
      </c>
      <c r="T2924" s="4">
        <v>33.040999999999997</v>
      </c>
      <c r="U2924" s="4">
        <v>18.856850999999999</v>
      </c>
      <c r="V2924" t="str">
        <f>IF(Table1[[#This Row],[ai_disruption_intensity]]&gt;70,"High",
IF(Table1[[#This Row],[ai_disruption_intensity]]&gt;40,"Medium","Low"))</f>
        <v>Low</v>
      </c>
      <c r="W2924" t="str">
        <f>IF(Table1[[#This Row],[skill_gap_index]]&gt;70,"Large Gap",
IF(Table1[[#This Row],[skill_gap_index]]&gt;40,"Medium Gap","Small Gap"))</f>
        <v>Medium Gap</v>
      </c>
      <c r="X2924" s="3" t="str">
        <f>IF(Table1[[#This Row],[automation_risk_percent]]&gt;0.7,"Highly Automatable",
IF(Table1[[#This Row],[automation_risk_percent]]&gt;0.4,"Moderate Risk","Safe Job"))</f>
        <v>Safe Job</v>
      </c>
    </row>
    <row r="2925" spans="1:24" x14ac:dyDescent="0.3">
      <c r="A2925">
        <v>10273</v>
      </c>
      <c r="B2925" t="s">
        <v>22</v>
      </c>
      <c r="C2925" t="s">
        <v>27</v>
      </c>
      <c r="D2925" t="s">
        <v>47</v>
      </c>
      <c r="E2925" s="1">
        <v>2025</v>
      </c>
      <c r="F2925" s="11">
        <v>0.21489999999999998</v>
      </c>
      <c r="G2925">
        <v>22.5</v>
      </c>
      <c r="H2925">
        <v>12.35</v>
      </c>
      <c r="I2925" s="2">
        <v>90096.98</v>
      </c>
      <c r="J2925" s="2">
        <v>84678.17</v>
      </c>
      <c r="K2925" s="2">
        <f>Table1[[#This Row],[Salary_after]]-Table1[[#This Row],[Salary_before]]</f>
        <v>-5418.8099999999977</v>
      </c>
      <c r="L2925" s="11">
        <v>-6.0100000000000001E-2</v>
      </c>
      <c r="M2925" s="11">
        <v>-6.8999999999999999E-3</v>
      </c>
      <c r="N2925">
        <v>18.62</v>
      </c>
      <c r="O2925">
        <v>35.74</v>
      </c>
      <c r="P2925">
        <v>4</v>
      </c>
      <c r="Q2925" t="s">
        <v>21</v>
      </c>
      <c r="R2925">
        <v>16.919999999999899</v>
      </c>
      <c r="S2925">
        <v>6.01</v>
      </c>
      <c r="T2925" s="4">
        <v>14.103999999999999</v>
      </c>
      <c r="U2925" s="4">
        <v>7.6805259999999898</v>
      </c>
      <c r="V2925" t="str">
        <f>IF(Table1[[#This Row],[ai_disruption_intensity]]&gt;70,"High",
IF(Table1[[#This Row],[ai_disruption_intensity]]&gt;40,"Medium","Low"))</f>
        <v>Low</v>
      </c>
      <c r="W2925" t="str">
        <f>IF(Table1[[#This Row],[skill_gap_index]]&gt;70,"Large Gap",
IF(Table1[[#This Row],[skill_gap_index]]&gt;40,"Medium Gap","Small Gap"))</f>
        <v>Small Gap</v>
      </c>
      <c r="X2925" s="3" t="str">
        <f>IF(Table1[[#This Row],[automation_risk_percent]]&gt;0.7,"Highly Automatable",
IF(Table1[[#This Row],[automation_risk_percent]]&gt;0.4,"Moderate Risk","Safe Job"))</f>
        <v>Safe Job</v>
      </c>
    </row>
    <row r="2926" spans="1:24" x14ac:dyDescent="0.3">
      <c r="A2926">
        <v>10276</v>
      </c>
      <c r="B2926" t="s">
        <v>39</v>
      </c>
      <c r="C2926" t="s">
        <v>30</v>
      </c>
      <c r="D2926" t="s">
        <v>24</v>
      </c>
      <c r="E2926" s="1">
        <v>2025</v>
      </c>
      <c r="F2926" s="11">
        <v>0.37130000000000002</v>
      </c>
      <c r="G2926">
        <v>39</v>
      </c>
      <c r="H2926">
        <v>52.45</v>
      </c>
      <c r="I2926" s="2">
        <v>138926.04</v>
      </c>
      <c r="J2926" s="2">
        <v>131774.5</v>
      </c>
      <c r="K2926" s="2">
        <f>Table1[[#This Row],[Salary_after]]-Table1[[#This Row],[Salary_before]]</f>
        <v>-7151.5400000000081</v>
      </c>
      <c r="L2926" s="11">
        <v>-5.1500000000000004E-2</v>
      </c>
      <c r="M2926" s="11">
        <v>-0.13419999999999999</v>
      </c>
      <c r="N2926">
        <v>15.83</v>
      </c>
      <c r="O2926">
        <v>80.5</v>
      </c>
      <c r="P2926">
        <v>3</v>
      </c>
      <c r="Q2926" t="s">
        <v>25</v>
      </c>
      <c r="R2926">
        <v>44.79</v>
      </c>
      <c r="S2926">
        <v>5.15</v>
      </c>
      <c r="T2926" s="4">
        <v>32.131999999999998</v>
      </c>
      <c r="U2926" s="4">
        <v>29.88965</v>
      </c>
      <c r="V2926" t="str">
        <f>IF(Table1[[#This Row],[ai_disruption_intensity]]&gt;70,"High",
IF(Table1[[#This Row],[ai_disruption_intensity]]&gt;40,"Medium","Low"))</f>
        <v>Low</v>
      </c>
      <c r="W2926" t="str">
        <f>IF(Table1[[#This Row],[skill_gap_index]]&gt;70,"Large Gap",
IF(Table1[[#This Row],[skill_gap_index]]&gt;40,"Medium Gap","Small Gap"))</f>
        <v>Medium Gap</v>
      </c>
      <c r="X2926" s="3" t="str">
        <f>IF(Table1[[#This Row],[automation_risk_percent]]&gt;0.7,"Highly Automatable",
IF(Table1[[#This Row],[automation_risk_percent]]&gt;0.4,"Moderate Risk","Safe Job"))</f>
        <v>Safe Job</v>
      </c>
    </row>
    <row r="2927" spans="1:24" x14ac:dyDescent="0.3">
      <c r="A2927">
        <v>10279</v>
      </c>
      <c r="B2927" t="s">
        <v>44</v>
      </c>
      <c r="C2927" t="s">
        <v>19</v>
      </c>
      <c r="D2927" t="s">
        <v>20</v>
      </c>
      <c r="E2927" s="1">
        <v>2026</v>
      </c>
      <c r="F2927" s="11">
        <v>0.66010000000000002</v>
      </c>
      <c r="G2927">
        <v>61.43</v>
      </c>
      <c r="H2927">
        <v>35.200000000000003</v>
      </c>
      <c r="I2927" s="2">
        <v>92138.04</v>
      </c>
      <c r="J2927" s="2">
        <v>94881.45</v>
      </c>
      <c r="K2927" s="2">
        <f>Table1[[#This Row],[Salary_after]]-Table1[[#This Row],[Salary_before]]</f>
        <v>2743.4100000000035</v>
      </c>
      <c r="L2927" s="11">
        <v>2.98E-2</v>
      </c>
      <c r="M2927" s="11">
        <v>-1.2699999999999999E-2</v>
      </c>
      <c r="N2927">
        <v>64.819999999999993</v>
      </c>
      <c r="O2927">
        <v>31.87</v>
      </c>
      <c r="P2927">
        <v>3</v>
      </c>
      <c r="Q2927" t="s">
        <v>37</v>
      </c>
      <c r="R2927">
        <v>50.604999999999997</v>
      </c>
      <c r="S2927">
        <v>2.98</v>
      </c>
      <c r="T2927" s="4">
        <v>37.857999999999997</v>
      </c>
      <c r="U2927" s="4">
        <v>21.037386999999999</v>
      </c>
      <c r="V2927" t="str">
        <f>IF(Table1[[#This Row],[ai_disruption_intensity]]&gt;70,"High",
IF(Table1[[#This Row],[ai_disruption_intensity]]&gt;40,"Medium","Low"))</f>
        <v>Low</v>
      </c>
      <c r="W2927" t="str">
        <f>IF(Table1[[#This Row],[skill_gap_index]]&gt;70,"Large Gap",
IF(Table1[[#This Row],[skill_gap_index]]&gt;40,"Medium Gap","Small Gap"))</f>
        <v>Small Gap</v>
      </c>
      <c r="X2927" s="3" t="str">
        <f>IF(Table1[[#This Row],[automation_risk_percent]]&gt;0.7,"Highly Automatable",
IF(Table1[[#This Row],[automation_risk_percent]]&gt;0.4,"Moderate Risk","Safe Job"))</f>
        <v>Moderate Risk</v>
      </c>
    </row>
    <row r="2928" spans="1:24" x14ac:dyDescent="0.3">
      <c r="A2928">
        <v>10280</v>
      </c>
      <c r="B2928" t="s">
        <v>39</v>
      </c>
      <c r="C2928" t="s">
        <v>19</v>
      </c>
      <c r="D2928" t="s">
        <v>36</v>
      </c>
      <c r="E2928" s="1">
        <v>2025</v>
      </c>
      <c r="F2928" s="11">
        <v>0.54659999999999997</v>
      </c>
      <c r="G2928">
        <v>45.88</v>
      </c>
      <c r="H2928">
        <v>95.21</v>
      </c>
      <c r="I2928" s="2">
        <v>38036.6</v>
      </c>
      <c r="J2928" s="2">
        <v>41535.29</v>
      </c>
      <c r="K2928" s="2">
        <f>Table1[[#This Row],[Salary_after]]-Table1[[#This Row],[Salary_before]]</f>
        <v>3498.6900000000023</v>
      </c>
      <c r="L2928" s="11">
        <v>9.1999999999999998E-2</v>
      </c>
      <c r="M2928" s="11">
        <v>2.58E-2</v>
      </c>
      <c r="N2928">
        <v>23.58</v>
      </c>
      <c r="O2928">
        <v>6.67</v>
      </c>
      <c r="P2928">
        <v>3</v>
      </c>
      <c r="Q2928" t="s">
        <v>25</v>
      </c>
      <c r="R2928">
        <v>74.935000000000002</v>
      </c>
      <c r="S2928">
        <v>9.1999999999999993</v>
      </c>
      <c r="T2928" s="4">
        <v>53.186999999999998</v>
      </c>
      <c r="U2928" s="4">
        <v>3.6458219999999999</v>
      </c>
      <c r="V2928" t="str">
        <f>IF(Table1[[#This Row],[ai_disruption_intensity]]&gt;70,"High",
IF(Table1[[#This Row],[ai_disruption_intensity]]&gt;40,"Medium","Low"))</f>
        <v>Low</v>
      </c>
      <c r="W2928" t="str">
        <f>IF(Table1[[#This Row],[skill_gap_index]]&gt;70,"Large Gap",
IF(Table1[[#This Row],[skill_gap_index]]&gt;40,"Medium Gap","Small Gap"))</f>
        <v>Large Gap</v>
      </c>
      <c r="X2928" s="3" t="str">
        <f>IF(Table1[[#This Row],[automation_risk_percent]]&gt;0.7,"Highly Automatable",
IF(Table1[[#This Row],[automation_risk_percent]]&gt;0.4,"Moderate Risk","Safe Job"))</f>
        <v>Moderate Risk</v>
      </c>
    </row>
    <row r="2929" spans="1:24" x14ac:dyDescent="0.3">
      <c r="A2929">
        <v>10283</v>
      </c>
      <c r="B2929" t="s">
        <v>39</v>
      </c>
      <c r="C2929" t="s">
        <v>40</v>
      </c>
      <c r="D2929" t="s">
        <v>24</v>
      </c>
      <c r="E2929" s="1">
        <v>2025</v>
      </c>
      <c r="F2929" s="11">
        <v>0.37119999999999997</v>
      </c>
      <c r="G2929">
        <v>30.95</v>
      </c>
      <c r="H2929">
        <v>60.24</v>
      </c>
      <c r="I2929" s="2">
        <v>130761.09</v>
      </c>
      <c r="J2929" s="2">
        <v>108523.65</v>
      </c>
      <c r="K2929" s="2">
        <f>Table1[[#This Row],[Salary_after]]-Table1[[#This Row],[Salary_before]]</f>
        <v>-22237.440000000002</v>
      </c>
      <c r="L2929" s="11">
        <v>-0.17010000000000003</v>
      </c>
      <c r="M2929" s="11">
        <v>-0.1283</v>
      </c>
      <c r="N2929">
        <v>84.4</v>
      </c>
      <c r="O2929">
        <v>21.06</v>
      </c>
      <c r="P2929">
        <v>4</v>
      </c>
      <c r="Q2929" t="s">
        <v>25</v>
      </c>
      <c r="R2929">
        <v>48.68</v>
      </c>
      <c r="S2929">
        <v>17.010000000000002</v>
      </c>
      <c r="T2929" s="4">
        <v>38.023000000000003</v>
      </c>
      <c r="U2929" s="4">
        <v>7.8174719999999898</v>
      </c>
      <c r="V2929" t="str">
        <f>IF(Table1[[#This Row],[ai_disruption_intensity]]&gt;70,"High",
IF(Table1[[#This Row],[ai_disruption_intensity]]&gt;40,"Medium","Low"))</f>
        <v>Low</v>
      </c>
      <c r="W2929" t="str">
        <f>IF(Table1[[#This Row],[skill_gap_index]]&gt;70,"Large Gap",
IF(Table1[[#This Row],[skill_gap_index]]&gt;40,"Medium Gap","Small Gap"))</f>
        <v>Medium Gap</v>
      </c>
      <c r="X2929" s="3" t="str">
        <f>IF(Table1[[#This Row],[automation_risk_percent]]&gt;0.7,"Highly Automatable",
IF(Table1[[#This Row],[automation_risk_percent]]&gt;0.4,"Moderate Risk","Safe Job"))</f>
        <v>Safe Job</v>
      </c>
    </row>
    <row r="2930" spans="1:24" x14ac:dyDescent="0.3">
      <c r="A2930">
        <v>10284</v>
      </c>
      <c r="B2930" t="s">
        <v>44</v>
      </c>
      <c r="C2930" t="s">
        <v>23</v>
      </c>
      <c r="D2930" t="s">
        <v>24</v>
      </c>
      <c r="E2930" s="1">
        <v>2026</v>
      </c>
      <c r="F2930" s="11">
        <v>0.22070000000000001</v>
      </c>
      <c r="G2930">
        <v>23.8</v>
      </c>
      <c r="H2930">
        <v>65.650000000000006</v>
      </c>
      <c r="I2930" s="2">
        <v>139455.16</v>
      </c>
      <c r="J2930" s="2">
        <v>124375.45</v>
      </c>
      <c r="K2930" s="2">
        <f>Table1[[#This Row],[Salary_after]]-Table1[[#This Row],[Salary_before]]</f>
        <v>-15079.710000000006</v>
      </c>
      <c r="L2930" s="11">
        <v>-0.1081</v>
      </c>
      <c r="M2930" s="11">
        <v>-1.01E-2</v>
      </c>
      <c r="N2930">
        <v>48.59</v>
      </c>
      <c r="O2930">
        <v>38.380000000000003</v>
      </c>
      <c r="P2930">
        <v>1</v>
      </c>
      <c r="Q2930" t="s">
        <v>21</v>
      </c>
      <c r="R2930">
        <v>43.86</v>
      </c>
      <c r="S2930">
        <v>10.81</v>
      </c>
      <c r="T2930" s="4">
        <v>31.765999999999998</v>
      </c>
      <c r="U2930" s="4">
        <v>8.4704660000000001</v>
      </c>
      <c r="V2930" t="str">
        <f>IF(Table1[[#This Row],[ai_disruption_intensity]]&gt;70,"High",
IF(Table1[[#This Row],[ai_disruption_intensity]]&gt;40,"Medium","Low"))</f>
        <v>Low</v>
      </c>
      <c r="W2930" t="str">
        <f>IF(Table1[[#This Row],[skill_gap_index]]&gt;70,"Large Gap",
IF(Table1[[#This Row],[skill_gap_index]]&gt;40,"Medium Gap","Small Gap"))</f>
        <v>Medium Gap</v>
      </c>
      <c r="X2930" s="3" t="str">
        <f>IF(Table1[[#This Row],[automation_risk_percent]]&gt;0.7,"Highly Automatable",
IF(Table1[[#This Row],[automation_risk_percent]]&gt;0.4,"Moderate Risk","Safe Job"))</f>
        <v>Safe Job</v>
      </c>
    </row>
    <row r="2931" spans="1:24" x14ac:dyDescent="0.3">
      <c r="A2931">
        <v>10286</v>
      </c>
      <c r="B2931" t="s">
        <v>43</v>
      </c>
      <c r="C2931" t="s">
        <v>19</v>
      </c>
      <c r="D2931" t="s">
        <v>24</v>
      </c>
      <c r="E2931" s="1">
        <v>2026</v>
      </c>
      <c r="F2931" s="11">
        <v>0.6381</v>
      </c>
      <c r="G2931">
        <v>74.12</v>
      </c>
      <c r="H2931">
        <v>71.78</v>
      </c>
      <c r="I2931" s="2">
        <v>53358.28</v>
      </c>
      <c r="J2931" s="2">
        <v>47500.58</v>
      </c>
      <c r="K2931" s="2">
        <f>Table1[[#This Row],[Salary_after]]-Table1[[#This Row],[Salary_before]]</f>
        <v>-5857.6999999999971</v>
      </c>
      <c r="L2931" s="11">
        <v>-0.10980000000000001</v>
      </c>
      <c r="M2931" s="11">
        <v>0.12939999999999999</v>
      </c>
      <c r="N2931">
        <v>10.5</v>
      </c>
      <c r="O2931">
        <v>38.54</v>
      </c>
      <c r="P2931">
        <v>5</v>
      </c>
      <c r="Q2931" t="s">
        <v>37</v>
      </c>
      <c r="R2931">
        <v>67.795000000000002</v>
      </c>
      <c r="S2931">
        <v>10.98</v>
      </c>
      <c r="T2931" s="4">
        <v>50.351999999999997</v>
      </c>
      <c r="U2931" s="4">
        <v>24.592374</v>
      </c>
      <c r="V2931" t="str">
        <f>IF(Table1[[#This Row],[ai_disruption_intensity]]&gt;70,"High",
IF(Table1[[#This Row],[ai_disruption_intensity]]&gt;40,"Medium","Low"))</f>
        <v>Low</v>
      </c>
      <c r="W2931" t="str">
        <f>IF(Table1[[#This Row],[skill_gap_index]]&gt;70,"Large Gap",
IF(Table1[[#This Row],[skill_gap_index]]&gt;40,"Medium Gap","Small Gap"))</f>
        <v>Large Gap</v>
      </c>
      <c r="X2931" s="3" t="str">
        <f>IF(Table1[[#This Row],[automation_risk_percent]]&gt;0.7,"Highly Automatable",
IF(Table1[[#This Row],[automation_risk_percent]]&gt;0.4,"Moderate Risk","Safe Job"))</f>
        <v>Moderate Risk</v>
      </c>
    </row>
    <row r="2932" spans="1:24" x14ac:dyDescent="0.3">
      <c r="A2932">
        <v>10292</v>
      </c>
      <c r="B2932" t="s">
        <v>46</v>
      </c>
      <c r="C2932" t="s">
        <v>34</v>
      </c>
      <c r="D2932" t="s">
        <v>35</v>
      </c>
      <c r="E2932" s="1">
        <v>2025</v>
      </c>
      <c r="F2932" s="11">
        <v>6.83E-2</v>
      </c>
      <c r="G2932">
        <v>5.93</v>
      </c>
      <c r="H2932">
        <v>46.73</v>
      </c>
      <c r="I2932" s="2">
        <v>33243.64</v>
      </c>
      <c r="J2932" s="2">
        <v>33563.550000000003</v>
      </c>
      <c r="K2932" s="2">
        <f>Table1[[#This Row],[Salary_after]]-Table1[[#This Row],[Salary_before]]</f>
        <v>319.91000000000349</v>
      </c>
      <c r="L2932" s="11">
        <v>9.5999999999999992E-3</v>
      </c>
      <c r="M2932" s="11">
        <v>0.1186</v>
      </c>
      <c r="N2932">
        <v>25.62</v>
      </c>
      <c r="O2932">
        <v>41.63</v>
      </c>
      <c r="P2932">
        <v>2</v>
      </c>
      <c r="Q2932" t="s">
        <v>21</v>
      </c>
      <c r="R2932">
        <v>26.779999999999902</v>
      </c>
      <c r="S2932">
        <v>0.96</v>
      </c>
      <c r="T2932" s="4">
        <v>17.038999999999898</v>
      </c>
      <c r="U2932" s="4">
        <v>2.84332899999999</v>
      </c>
      <c r="V2932" t="str">
        <f>IF(Table1[[#This Row],[ai_disruption_intensity]]&gt;70,"High",
IF(Table1[[#This Row],[ai_disruption_intensity]]&gt;40,"Medium","Low"))</f>
        <v>Low</v>
      </c>
      <c r="W2932" t="str">
        <f>IF(Table1[[#This Row],[skill_gap_index]]&gt;70,"Large Gap",
IF(Table1[[#This Row],[skill_gap_index]]&gt;40,"Medium Gap","Small Gap"))</f>
        <v>Medium Gap</v>
      </c>
      <c r="X2932" s="3" t="str">
        <f>IF(Table1[[#This Row],[automation_risk_percent]]&gt;0.7,"Highly Automatable",
IF(Table1[[#This Row],[automation_risk_percent]]&gt;0.4,"Moderate Risk","Safe Job"))</f>
        <v>Safe Job</v>
      </c>
    </row>
    <row r="2933" spans="1:24" x14ac:dyDescent="0.3">
      <c r="A2933">
        <v>10294</v>
      </c>
      <c r="B2933" t="s">
        <v>39</v>
      </c>
      <c r="C2933" t="s">
        <v>23</v>
      </c>
      <c r="D2933" t="s">
        <v>47</v>
      </c>
      <c r="E2933" s="1">
        <v>2025</v>
      </c>
      <c r="F2933" s="11">
        <v>0.63340000000000007</v>
      </c>
      <c r="G2933">
        <v>53.7</v>
      </c>
      <c r="H2933">
        <v>85.67</v>
      </c>
      <c r="I2933" s="2">
        <v>38506.19</v>
      </c>
      <c r="J2933" s="2">
        <v>34780.97</v>
      </c>
      <c r="K2933" s="2">
        <f>Table1[[#This Row],[Salary_after]]-Table1[[#This Row],[Salary_before]]</f>
        <v>-3725.2200000000012</v>
      </c>
      <c r="L2933" s="11">
        <v>-9.6699999999999994E-2</v>
      </c>
      <c r="M2933" s="11">
        <v>-0.10779999999999999</v>
      </c>
      <c r="N2933">
        <v>45.42</v>
      </c>
      <c r="O2933">
        <v>18.77</v>
      </c>
      <c r="P2933">
        <v>3</v>
      </c>
      <c r="Q2933" t="s">
        <v>37</v>
      </c>
      <c r="R2933">
        <v>74.504999999999995</v>
      </c>
      <c r="S2933">
        <v>9.67</v>
      </c>
      <c r="T2933" s="4">
        <v>53.938000000000002</v>
      </c>
      <c r="U2933" s="4">
        <v>11.888918</v>
      </c>
      <c r="V2933" t="str">
        <f>IF(Table1[[#This Row],[ai_disruption_intensity]]&gt;70,"High",
IF(Table1[[#This Row],[ai_disruption_intensity]]&gt;40,"Medium","Low"))</f>
        <v>Low</v>
      </c>
      <c r="W2933" t="str">
        <f>IF(Table1[[#This Row],[skill_gap_index]]&gt;70,"Large Gap",
IF(Table1[[#This Row],[skill_gap_index]]&gt;40,"Medium Gap","Small Gap"))</f>
        <v>Large Gap</v>
      </c>
      <c r="X2933" s="3" t="str">
        <f>IF(Table1[[#This Row],[automation_risk_percent]]&gt;0.7,"Highly Automatable",
IF(Table1[[#This Row],[automation_risk_percent]]&gt;0.4,"Moderate Risk","Safe Job"))</f>
        <v>Moderate Risk</v>
      </c>
    </row>
    <row r="2934" spans="1:24" x14ac:dyDescent="0.3">
      <c r="A2934">
        <v>10296</v>
      </c>
      <c r="B2934" t="s">
        <v>41</v>
      </c>
      <c r="C2934" t="s">
        <v>23</v>
      </c>
      <c r="D2934" t="s">
        <v>36</v>
      </c>
      <c r="E2934" s="1">
        <v>2026</v>
      </c>
      <c r="F2934" s="11">
        <v>0.68920000000000003</v>
      </c>
      <c r="G2934">
        <v>67.56</v>
      </c>
      <c r="H2934">
        <v>75.25</v>
      </c>
      <c r="I2934" s="2">
        <v>101993.18</v>
      </c>
      <c r="J2934" s="2">
        <v>120475.67</v>
      </c>
      <c r="K2934" s="2">
        <f>Table1[[#This Row],[Salary_after]]-Table1[[#This Row],[Salary_before]]</f>
        <v>18482.490000000005</v>
      </c>
      <c r="L2934" s="11">
        <v>0.1812</v>
      </c>
      <c r="M2934" s="11">
        <v>-0.12720000000000001</v>
      </c>
      <c r="N2934">
        <v>46.53</v>
      </c>
      <c r="O2934">
        <v>10.029999999999999</v>
      </c>
      <c r="P2934">
        <v>3</v>
      </c>
      <c r="Q2934" t="s">
        <v>37</v>
      </c>
      <c r="R2934">
        <v>72.084999999999994</v>
      </c>
      <c r="S2934">
        <v>18.12</v>
      </c>
      <c r="T2934" s="4">
        <v>55.579000000000001</v>
      </c>
      <c r="U2934" s="4">
        <v>6.9126760000000003</v>
      </c>
      <c r="V2934" t="str">
        <f>IF(Table1[[#This Row],[ai_disruption_intensity]]&gt;70,"High",
IF(Table1[[#This Row],[ai_disruption_intensity]]&gt;40,"Medium","Low"))</f>
        <v>Low</v>
      </c>
      <c r="W2934" t="str">
        <f>IF(Table1[[#This Row],[skill_gap_index]]&gt;70,"Large Gap",
IF(Table1[[#This Row],[skill_gap_index]]&gt;40,"Medium Gap","Small Gap"))</f>
        <v>Large Gap</v>
      </c>
      <c r="X2934" s="3" t="str">
        <f>IF(Table1[[#This Row],[automation_risk_percent]]&gt;0.7,"Highly Automatable",
IF(Table1[[#This Row],[automation_risk_percent]]&gt;0.4,"Moderate Risk","Safe Job"))</f>
        <v>Moderate Risk</v>
      </c>
    </row>
    <row r="2935" spans="1:24" x14ac:dyDescent="0.3">
      <c r="A2935">
        <v>10301</v>
      </c>
      <c r="B2935" t="s">
        <v>45</v>
      </c>
      <c r="C2935" t="s">
        <v>27</v>
      </c>
      <c r="D2935" t="s">
        <v>28</v>
      </c>
      <c r="E2935" s="1">
        <v>2026</v>
      </c>
      <c r="F2935" s="11">
        <v>0.12039999999999999</v>
      </c>
      <c r="G2935">
        <v>10.75</v>
      </c>
      <c r="H2935">
        <v>79.459999999999994</v>
      </c>
      <c r="I2935" s="2">
        <v>101677.82</v>
      </c>
      <c r="J2935" s="2">
        <v>88593.47</v>
      </c>
      <c r="K2935" s="2">
        <f>Table1[[#This Row],[Salary_after]]-Table1[[#This Row],[Salary_before]]</f>
        <v>-13084.350000000006</v>
      </c>
      <c r="L2935" s="11">
        <v>-0.12869999999999998</v>
      </c>
      <c r="M2935" s="11">
        <v>-1.9099999999999999E-2</v>
      </c>
      <c r="N2935">
        <v>81.98</v>
      </c>
      <c r="O2935">
        <v>45.79</v>
      </c>
      <c r="P2935">
        <v>1</v>
      </c>
      <c r="Q2935" t="s">
        <v>21</v>
      </c>
      <c r="R2935">
        <v>45.75</v>
      </c>
      <c r="S2935">
        <v>12.87</v>
      </c>
      <c r="T2935" s="4">
        <v>32.514999999999901</v>
      </c>
      <c r="U2935" s="4">
        <v>5.5131160000000001</v>
      </c>
      <c r="V2935" t="str">
        <f>IF(Table1[[#This Row],[ai_disruption_intensity]]&gt;70,"High",
IF(Table1[[#This Row],[ai_disruption_intensity]]&gt;40,"Medium","Low"))</f>
        <v>Low</v>
      </c>
      <c r="W2935" t="str">
        <f>IF(Table1[[#This Row],[skill_gap_index]]&gt;70,"Large Gap",
IF(Table1[[#This Row],[skill_gap_index]]&gt;40,"Medium Gap","Small Gap"))</f>
        <v>Large Gap</v>
      </c>
      <c r="X2935" s="3" t="str">
        <f>IF(Table1[[#This Row],[automation_risk_percent]]&gt;0.7,"Highly Automatable",
IF(Table1[[#This Row],[automation_risk_percent]]&gt;0.4,"Moderate Risk","Safe Job"))</f>
        <v>Safe Job</v>
      </c>
    </row>
    <row r="2936" spans="1:24" x14ac:dyDescent="0.3">
      <c r="A2936">
        <v>10304</v>
      </c>
      <c r="B2936" t="s">
        <v>26</v>
      </c>
      <c r="C2936" t="s">
        <v>38</v>
      </c>
      <c r="D2936" t="s">
        <v>47</v>
      </c>
      <c r="E2936" s="1">
        <v>2025</v>
      </c>
      <c r="F2936" s="11">
        <v>0.63060000000000005</v>
      </c>
      <c r="G2936">
        <v>73.45</v>
      </c>
      <c r="H2936">
        <v>77.11</v>
      </c>
      <c r="I2936" s="2">
        <v>125323.93</v>
      </c>
      <c r="J2936" s="2">
        <v>140738.54999999999</v>
      </c>
      <c r="K2936" s="2">
        <f>Table1[[#This Row],[Salary_after]]-Table1[[#This Row],[Salary_before]]</f>
        <v>15414.619999999995</v>
      </c>
      <c r="L2936" s="11">
        <v>0.12300000000000001</v>
      </c>
      <c r="M2936" s="11">
        <v>0.13470000000000001</v>
      </c>
      <c r="N2936">
        <v>20.440000000000001</v>
      </c>
      <c r="O2936">
        <v>32.92</v>
      </c>
      <c r="P2936">
        <v>5</v>
      </c>
      <c r="Q2936" t="s">
        <v>37</v>
      </c>
      <c r="R2936">
        <v>70.084999999999994</v>
      </c>
      <c r="S2936">
        <v>12.3</v>
      </c>
      <c r="T2936" s="4">
        <v>52.046999999999997</v>
      </c>
      <c r="U2936" s="4">
        <v>20.759352</v>
      </c>
      <c r="V2936" t="str">
        <f>IF(Table1[[#This Row],[ai_disruption_intensity]]&gt;70,"High",
IF(Table1[[#This Row],[ai_disruption_intensity]]&gt;40,"Medium","Low"))</f>
        <v>Low</v>
      </c>
      <c r="W2936" t="str">
        <f>IF(Table1[[#This Row],[skill_gap_index]]&gt;70,"Large Gap",
IF(Table1[[#This Row],[skill_gap_index]]&gt;40,"Medium Gap","Small Gap"))</f>
        <v>Large Gap</v>
      </c>
      <c r="X2936" s="3" t="str">
        <f>IF(Table1[[#This Row],[automation_risk_percent]]&gt;0.7,"Highly Automatable",
IF(Table1[[#This Row],[automation_risk_percent]]&gt;0.4,"Moderate Risk","Safe Job"))</f>
        <v>Moderate Risk</v>
      </c>
    </row>
    <row r="2937" spans="1:24" x14ac:dyDescent="0.3">
      <c r="A2937">
        <v>10305</v>
      </c>
      <c r="B2937" t="s">
        <v>45</v>
      </c>
      <c r="C2937" t="s">
        <v>19</v>
      </c>
      <c r="D2937" t="s">
        <v>36</v>
      </c>
      <c r="E2937" s="1">
        <v>2026</v>
      </c>
      <c r="F2937" s="11">
        <v>0.42070000000000002</v>
      </c>
      <c r="G2937">
        <v>44.83</v>
      </c>
      <c r="H2937">
        <v>41.77</v>
      </c>
      <c r="I2937" s="2">
        <v>74999.759999999995</v>
      </c>
      <c r="J2937" s="2">
        <v>59794.74</v>
      </c>
      <c r="K2937" s="2">
        <f>Table1[[#This Row],[Salary_after]]-Table1[[#This Row],[Salary_before]]</f>
        <v>-15205.019999999997</v>
      </c>
      <c r="L2937" s="11">
        <v>-0.20269999999999999</v>
      </c>
      <c r="M2937" s="11">
        <v>0.1721</v>
      </c>
      <c r="N2937">
        <v>16.53</v>
      </c>
      <c r="O2937">
        <v>96.94</v>
      </c>
      <c r="P2937">
        <v>1</v>
      </c>
      <c r="Q2937" t="s">
        <v>25</v>
      </c>
      <c r="R2937">
        <v>41.92</v>
      </c>
      <c r="S2937">
        <v>20.27</v>
      </c>
      <c r="T2937" s="4">
        <v>35.44</v>
      </c>
      <c r="U2937" s="4">
        <v>40.782657999999998</v>
      </c>
      <c r="V2937" t="str">
        <f>IF(Table1[[#This Row],[ai_disruption_intensity]]&gt;70,"High",
IF(Table1[[#This Row],[ai_disruption_intensity]]&gt;40,"Medium","Low"))</f>
        <v>Medium</v>
      </c>
      <c r="W2937" t="str">
        <f>IF(Table1[[#This Row],[skill_gap_index]]&gt;70,"Large Gap",
IF(Table1[[#This Row],[skill_gap_index]]&gt;40,"Medium Gap","Small Gap"))</f>
        <v>Medium Gap</v>
      </c>
      <c r="X2937" s="3" t="str">
        <f>IF(Table1[[#This Row],[automation_risk_percent]]&gt;0.7,"Highly Automatable",
IF(Table1[[#This Row],[automation_risk_percent]]&gt;0.4,"Moderate Risk","Safe Job"))</f>
        <v>Moderate Risk</v>
      </c>
    </row>
    <row r="2938" spans="1:24" x14ac:dyDescent="0.3">
      <c r="A2938">
        <v>10306</v>
      </c>
      <c r="B2938" t="s">
        <v>41</v>
      </c>
      <c r="C2938" t="s">
        <v>19</v>
      </c>
      <c r="D2938" t="s">
        <v>47</v>
      </c>
      <c r="E2938" s="1">
        <v>2026</v>
      </c>
      <c r="F2938" s="11">
        <v>0.89829999999999999</v>
      </c>
      <c r="G2938">
        <v>73.27</v>
      </c>
      <c r="H2938">
        <v>52.92</v>
      </c>
      <c r="I2938" s="2">
        <v>115532.88</v>
      </c>
      <c r="J2938" s="2">
        <v>97004.94</v>
      </c>
      <c r="K2938" s="2">
        <f>Table1[[#This Row],[Salary_after]]-Table1[[#This Row],[Salary_before]]</f>
        <v>-18527.940000000002</v>
      </c>
      <c r="L2938" s="11">
        <v>-0.16039999999999999</v>
      </c>
      <c r="M2938" s="11">
        <v>0.17019999999999999</v>
      </c>
      <c r="N2938">
        <v>82.29</v>
      </c>
      <c r="O2938">
        <v>61.47</v>
      </c>
      <c r="P2938">
        <v>4</v>
      </c>
      <c r="Q2938" t="s">
        <v>37</v>
      </c>
      <c r="R2938">
        <v>71.375</v>
      </c>
      <c r="S2938">
        <v>16.04</v>
      </c>
      <c r="T2938" s="4">
        <v>56.62</v>
      </c>
      <c r="U2938" s="4">
        <v>55.218500999999897</v>
      </c>
      <c r="V2938" t="str">
        <f>IF(Table1[[#This Row],[ai_disruption_intensity]]&gt;70,"High",
IF(Table1[[#This Row],[ai_disruption_intensity]]&gt;40,"Medium","Low"))</f>
        <v>Medium</v>
      </c>
      <c r="W2938" t="str">
        <f>IF(Table1[[#This Row],[skill_gap_index]]&gt;70,"Large Gap",
IF(Table1[[#This Row],[skill_gap_index]]&gt;40,"Medium Gap","Small Gap"))</f>
        <v>Medium Gap</v>
      </c>
      <c r="X2938" s="3" t="str">
        <f>IF(Table1[[#This Row],[automation_risk_percent]]&gt;0.7,"Highly Automatable",
IF(Table1[[#This Row],[automation_risk_percent]]&gt;0.4,"Moderate Risk","Safe Job"))</f>
        <v>Highly Automatable</v>
      </c>
    </row>
    <row r="2939" spans="1:24" x14ac:dyDescent="0.3">
      <c r="A2939">
        <v>10307</v>
      </c>
      <c r="B2939" t="s">
        <v>44</v>
      </c>
      <c r="C2939" t="s">
        <v>23</v>
      </c>
      <c r="D2939" t="s">
        <v>36</v>
      </c>
      <c r="E2939" s="1">
        <v>2025</v>
      </c>
      <c r="F2939" s="11">
        <v>0.26729999999999998</v>
      </c>
      <c r="G2939">
        <v>27.91</v>
      </c>
      <c r="H2939">
        <v>27.47</v>
      </c>
      <c r="I2939" s="2">
        <v>101501.98</v>
      </c>
      <c r="J2939" s="2">
        <v>93668.4</v>
      </c>
      <c r="K2939" s="2">
        <f>Table1[[#This Row],[Salary_after]]-Table1[[#This Row],[Salary_before]]</f>
        <v>-7833.5800000000017</v>
      </c>
      <c r="L2939" s="11">
        <v>-7.7199999999999991E-2</v>
      </c>
      <c r="M2939" s="11">
        <v>0.15329999999999999</v>
      </c>
      <c r="N2939">
        <v>35.43</v>
      </c>
      <c r="O2939">
        <v>72.67</v>
      </c>
      <c r="P2939">
        <v>4</v>
      </c>
      <c r="Q2939" t="s">
        <v>21</v>
      </c>
      <c r="R2939">
        <v>27.1</v>
      </c>
      <c r="S2939">
        <v>7.72</v>
      </c>
      <c r="T2939" s="4">
        <v>21.248999999999999</v>
      </c>
      <c r="U2939" s="4">
        <v>19.424690999999999</v>
      </c>
      <c r="V2939" t="str">
        <f>IF(Table1[[#This Row],[ai_disruption_intensity]]&gt;70,"High",
IF(Table1[[#This Row],[ai_disruption_intensity]]&gt;40,"Medium","Low"))</f>
        <v>Low</v>
      </c>
      <c r="W2939" t="str">
        <f>IF(Table1[[#This Row],[skill_gap_index]]&gt;70,"Large Gap",
IF(Table1[[#This Row],[skill_gap_index]]&gt;40,"Medium Gap","Small Gap"))</f>
        <v>Small Gap</v>
      </c>
      <c r="X2939" s="3" t="str">
        <f>IF(Table1[[#This Row],[automation_risk_percent]]&gt;0.7,"Highly Automatable",
IF(Table1[[#This Row],[automation_risk_percent]]&gt;0.4,"Moderate Risk","Safe Job"))</f>
        <v>Safe Job</v>
      </c>
    </row>
    <row r="2940" spans="1:24" x14ac:dyDescent="0.3">
      <c r="A2940">
        <v>10310</v>
      </c>
      <c r="B2940" t="s">
        <v>39</v>
      </c>
      <c r="C2940" t="s">
        <v>33</v>
      </c>
      <c r="D2940" t="s">
        <v>28</v>
      </c>
      <c r="E2940" s="1">
        <v>2026</v>
      </c>
      <c r="F2940" s="11">
        <v>0.50369999999999993</v>
      </c>
      <c r="G2940">
        <v>53.63</v>
      </c>
      <c r="H2940">
        <v>90.19</v>
      </c>
      <c r="I2940" s="2">
        <v>34172.71</v>
      </c>
      <c r="J2940" s="2">
        <v>35289.53</v>
      </c>
      <c r="K2940" s="2">
        <f>Table1[[#This Row],[Salary_after]]-Table1[[#This Row],[Salary_before]]</f>
        <v>1116.8199999999997</v>
      </c>
      <c r="L2940" s="11">
        <v>3.27E-2</v>
      </c>
      <c r="M2940" s="11">
        <v>-1.7000000000000001E-2</v>
      </c>
      <c r="N2940">
        <v>40.99</v>
      </c>
      <c r="O2940">
        <v>67.77</v>
      </c>
      <c r="P2940">
        <v>1</v>
      </c>
      <c r="Q2940" t="s">
        <v>25</v>
      </c>
      <c r="R2940">
        <v>70.28</v>
      </c>
      <c r="S2940">
        <v>3.27</v>
      </c>
      <c r="T2940" s="4">
        <v>48.186</v>
      </c>
      <c r="U2940" s="4">
        <v>34.135748999999997</v>
      </c>
      <c r="V2940" t="str">
        <f>IF(Table1[[#This Row],[ai_disruption_intensity]]&gt;70,"High",
IF(Table1[[#This Row],[ai_disruption_intensity]]&gt;40,"Medium","Low"))</f>
        <v>Low</v>
      </c>
      <c r="W2940" t="str">
        <f>IF(Table1[[#This Row],[skill_gap_index]]&gt;70,"Large Gap",
IF(Table1[[#This Row],[skill_gap_index]]&gt;40,"Medium Gap","Small Gap"))</f>
        <v>Large Gap</v>
      </c>
      <c r="X2940" s="3" t="str">
        <f>IF(Table1[[#This Row],[automation_risk_percent]]&gt;0.7,"Highly Automatable",
IF(Table1[[#This Row],[automation_risk_percent]]&gt;0.4,"Moderate Risk","Safe Job"))</f>
        <v>Moderate Risk</v>
      </c>
    </row>
    <row r="2941" spans="1:24" x14ac:dyDescent="0.3">
      <c r="A2941">
        <v>10312</v>
      </c>
      <c r="B2941" t="s">
        <v>46</v>
      </c>
      <c r="C2941" t="s">
        <v>19</v>
      </c>
      <c r="D2941" t="s">
        <v>36</v>
      </c>
      <c r="E2941" s="1">
        <v>2026</v>
      </c>
      <c r="F2941" s="11">
        <v>0.52570000000000006</v>
      </c>
      <c r="G2941">
        <v>46.61</v>
      </c>
      <c r="H2941">
        <v>61.53</v>
      </c>
      <c r="I2941" s="2">
        <v>141537.94</v>
      </c>
      <c r="J2941" s="2">
        <v>145807.63</v>
      </c>
      <c r="K2941" s="2">
        <f>Table1[[#This Row],[Salary_after]]-Table1[[#This Row],[Salary_before]]</f>
        <v>4269.6900000000023</v>
      </c>
      <c r="L2941" s="11">
        <v>3.0200000000000001E-2</v>
      </c>
      <c r="M2941" s="11">
        <v>0.2102</v>
      </c>
      <c r="N2941">
        <v>37.89</v>
      </c>
      <c r="O2941">
        <v>63.65</v>
      </c>
      <c r="P2941">
        <v>5</v>
      </c>
      <c r="Q2941" t="s">
        <v>25</v>
      </c>
      <c r="R2941">
        <v>57.05</v>
      </c>
      <c r="S2941">
        <v>3.02</v>
      </c>
      <c r="T2941" s="4">
        <v>40.393000000000001</v>
      </c>
      <c r="U2941" s="4">
        <v>33.460805000000001</v>
      </c>
      <c r="V2941" t="str">
        <f>IF(Table1[[#This Row],[ai_disruption_intensity]]&gt;70,"High",
IF(Table1[[#This Row],[ai_disruption_intensity]]&gt;40,"Medium","Low"))</f>
        <v>Low</v>
      </c>
      <c r="W2941" t="str">
        <f>IF(Table1[[#This Row],[skill_gap_index]]&gt;70,"Large Gap",
IF(Table1[[#This Row],[skill_gap_index]]&gt;40,"Medium Gap","Small Gap"))</f>
        <v>Medium Gap</v>
      </c>
      <c r="X2941" s="3" t="str">
        <f>IF(Table1[[#This Row],[automation_risk_percent]]&gt;0.7,"Highly Automatable",
IF(Table1[[#This Row],[automation_risk_percent]]&gt;0.4,"Moderate Risk","Safe Job"))</f>
        <v>Moderate Risk</v>
      </c>
    </row>
    <row r="2942" spans="1:24" x14ac:dyDescent="0.3">
      <c r="A2942">
        <v>10316</v>
      </c>
      <c r="B2942" t="s">
        <v>46</v>
      </c>
      <c r="C2942" t="s">
        <v>27</v>
      </c>
      <c r="D2942" t="s">
        <v>35</v>
      </c>
      <c r="E2942" s="1">
        <v>2025</v>
      </c>
      <c r="F2942" s="11">
        <v>0.05</v>
      </c>
      <c r="G2942">
        <v>4.47</v>
      </c>
      <c r="H2942">
        <v>71.95</v>
      </c>
      <c r="I2942" s="2">
        <v>55768.82</v>
      </c>
      <c r="J2942" s="2">
        <v>58361.82</v>
      </c>
      <c r="K2942" s="2">
        <f>Table1[[#This Row],[Salary_after]]-Table1[[#This Row],[Salary_before]]</f>
        <v>2593</v>
      </c>
      <c r="L2942" s="11">
        <v>4.6500000000000007E-2</v>
      </c>
      <c r="M2942" s="11">
        <v>-0.2293</v>
      </c>
      <c r="N2942">
        <v>96.81</v>
      </c>
      <c r="O2942">
        <v>89.11</v>
      </c>
      <c r="P2942">
        <v>3</v>
      </c>
      <c r="Q2942" t="s">
        <v>21</v>
      </c>
      <c r="R2942">
        <v>38.475000000000001</v>
      </c>
      <c r="S2942">
        <v>4.6500000000000004</v>
      </c>
      <c r="T2942" s="4">
        <v>24.98</v>
      </c>
      <c r="U2942" s="4">
        <v>4.4554999999999998</v>
      </c>
      <c r="V2942" t="str">
        <f>IF(Table1[[#This Row],[ai_disruption_intensity]]&gt;70,"High",
IF(Table1[[#This Row],[ai_disruption_intensity]]&gt;40,"Medium","Low"))</f>
        <v>Low</v>
      </c>
      <c r="W2942" t="str">
        <f>IF(Table1[[#This Row],[skill_gap_index]]&gt;70,"Large Gap",
IF(Table1[[#This Row],[skill_gap_index]]&gt;40,"Medium Gap","Small Gap"))</f>
        <v>Large Gap</v>
      </c>
      <c r="X2942" s="3" t="str">
        <f>IF(Table1[[#This Row],[automation_risk_percent]]&gt;0.7,"Highly Automatable",
IF(Table1[[#This Row],[automation_risk_percent]]&gt;0.4,"Moderate Risk","Safe Job"))</f>
        <v>Safe Job</v>
      </c>
    </row>
    <row r="2943" spans="1:24" x14ac:dyDescent="0.3">
      <c r="A2943">
        <v>10322</v>
      </c>
      <c r="B2943" t="s">
        <v>26</v>
      </c>
      <c r="C2943" t="s">
        <v>38</v>
      </c>
      <c r="D2943" t="s">
        <v>36</v>
      </c>
      <c r="E2943" s="1">
        <v>2025</v>
      </c>
      <c r="F2943" s="11">
        <v>0.1711</v>
      </c>
      <c r="G2943">
        <v>15.34</v>
      </c>
      <c r="H2943">
        <v>36.83</v>
      </c>
      <c r="I2943" s="2">
        <v>81306.67</v>
      </c>
      <c r="J2943" s="2">
        <v>72737.570000000007</v>
      </c>
      <c r="K2943" s="2">
        <f>Table1[[#This Row],[Salary_after]]-Table1[[#This Row],[Salary_before]]</f>
        <v>-8569.0999999999913</v>
      </c>
      <c r="L2943" s="11">
        <v>-0.10539999999999999</v>
      </c>
      <c r="M2943" s="11">
        <v>0.11960000000000001</v>
      </c>
      <c r="N2943">
        <v>89.42</v>
      </c>
      <c r="O2943">
        <v>31.73</v>
      </c>
      <c r="P2943">
        <v>4</v>
      </c>
      <c r="Q2943" t="s">
        <v>21</v>
      </c>
      <c r="R2943">
        <v>26.97</v>
      </c>
      <c r="S2943">
        <v>10.54</v>
      </c>
      <c r="T2943" s="4">
        <v>21.055</v>
      </c>
      <c r="U2943" s="4">
        <v>5.4290029999999998</v>
      </c>
      <c r="V2943" t="str">
        <f>IF(Table1[[#This Row],[ai_disruption_intensity]]&gt;70,"High",
IF(Table1[[#This Row],[ai_disruption_intensity]]&gt;40,"Medium","Low"))</f>
        <v>Low</v>
      </c>
      <c r="W2943" t="str">
        <f>IF(Table1[[#This Row],[skill_gap_index]]&gt;70,"Large Gap",
IF(Table1[[#This Row],[skill_gap_index]]&gt;40,"Medium Gap","Small Gap"))</f>
        <v>Small Gap</v>
      </c>
      <c r="X2943" s="3" t="str">
        <f>IF(Table1[[#This Row],[automation_risk_percent]]&gt;0.7,"Highly Automatable",
IF(Table1[[#This Row],[automation_risk_percent]]&gt;0.4,"Moderate Risk","Safe Job"))</f>
        <v>Safe Job</v>
      </c>
    </row>
    <row r="2944" spans="1:24" x14ac:dyDescent="0.3">
      <c r="A2944">
        <v>10326</v>
      </c>
      <c r="B2944" t="s">
        <v>45</v>
      </c>
      <c r="C2944" t="s">
        <v>34</v>
      </c>
      <c r="D2944" t="s">
        <v>31</v>
      </c>
      <c r="E2944" s="1">
        <v>2025</v>
      </c>
      <c r="F2944" s="11">
        <v>0.2487</v>
      </c>
      <c r="G2944">
        <v>21.84</v>
      </c>
      <c r="H2944">
        <v>24.7</v>
      </c>
      <c r="I2944" s="2">
        <v>56546.45</v>
      </c>
      <c r="J2944" s="2">
        <v>57356.49</v>
      </c>
      <c r="K2944" s="2">
        <f>Table1[[#This Row],[Salary_after]]-Table1[[#This Row],[Salary_before]]</f>
        <v>810.04000000000087</v>
      </c>
      <c r="L2944" s="11">
        <v>1.43E-2</v>
      </c>
      <c r="M2944" s="11">
        <v>0.185</v>
      </c>
      <c r="N2944">
        <v>36.69</v>
      </c>
      <c r="O2944">
        <v>34.51</v>
      </c>
      <c r="P2944">
        <v>2</v>
      </c>
      <c r="Q2944" t="s">
        <v>21</v>
      </c>
      <c r="R2944">
        <v>24.785</v>
      </c>
      <c r="S2944">
        <v>1.43</v>
      </c>
      <c r="T2944" s="4">
        <v>17.786999999999999</v>
      </c>
      <c r="U2944" s="4">
        <v>8.5826370000000001</v>
      </c>
      <c r="V2944" t="str">
        <f>IF(Table1[[#This Row],[ai_disruption_intensity]]&gt;70,"High",
IF(Table1[[#This Row],[ai_disruption_intensity]]&gt;40,"Medium","Low"))</f>
        <v>Low</v>
      </c>
      <c r="W2944" t="str">
        <f>IF(Table1[[#This Row],[skill_gap_index]]&gt;70,"Large Gap",
IF(Table1[[#This Row],[skill_gap_index]]&gt;40,"Medium Gap","Small Gap"))</f>
        <v>Small Gap</v>
      </c>
      <c r="X2944" s="3" t="str">
        <f>IF(Table1[[#This Row],[automation_risk_percent]]&gt;0.7,"Highly Automatable",
IF(Table1[[#This Row],[automation_risk_percent]]&gt;0.4,"Moderate Risk","Safe Job"))</f>
        <v>Safe Job</v>
      </c>
    </row>
    <row r="2945" spans="1:24" x14ac:dyDescent="0.3">
      <c r="A2945">
        <v>10327</v>
      </c>
      <c r="B2945" t="s">
        <v>46</v>
      </c>
      <c r="C2945" t="s">
        <v>33</v>
      </c>
      <c r="D2945" t="s">
        <v>31</v>
      </c>
      <c r="E2945" s="1">
        <v>2025</v>
      </c>
      <c r="F2945" s="11">
        <v>0.67049999999999998</v>
      </c>
      <c r="G2945">
        <v>58.57</v>
      </c>
      <c r="H2945">
        <v>88.68</v>
      </c>
      <c r="I2945" s="2">
        <v>118416.47</v>
      </c>
      <c r="J2945" s="2">
        <v>136663.81</v>
      </c>
      <c r="K2945" s="2">
        <f>Table1[[#This Row],[Salary_after]]-Table1[[#This Row],[Salary_before]]</f>
        <v>18247.339999999997</v>
      </c>
      <c r="L2945" s="11">
        <v>0.15410000000000001</v>
      </c>
      <c r="M2945" s="11">
        <v>0.19089999999999999</v>
      </c>
      <c r="N2945">
        <v>48.06</v>
      </c>
      <c r="O2945">
        <v>43.89</v>
      </c>
      <c r="P2945">
        <v>4</v>
      </c>
      <c r="Q2945" t="s">
        <v>37</v>
      </c>
      <c r="R2945">
        <v>77.864999999999995</v>
      </c>
      <c r="S2945">
        <v>15.41</v>
      </c>
      <c r="T2945" s="4">
        <v>58.046999999999997</v>
      </c>
      <c r="U2945" s="4">
        <v>29.428244999999901</v>
      </c>
      <c r="V2945" t="str">
        <f>IF(Table1[[#This Row],[ai_disruption_intensity]]&gt;70,"High",
IF(Table1[[#This Row],[ai_disruption_intensity]]&gt;40,"Medium","Low"))</f>
        <v>Low</v>
      </c>
      <c r="W2945" t="str">
        <f>IF(Table1[[#This Row],[skill_gap_index]]&gt;70,"Large Gap",
IF(Table1[[#This Row],[skill_gap_index]]&gt;40,"Medium Gap","Small Gap"))</f>
        <v>Large Gap</v>
      </c>
      <c r="X2945" s="3" t="str">
        <f>IF(Table1[[#This Row],[automation_risk_percent]]&gt;0.7,"Highly Automatable",
IF(Table1[[#This Row],[automation_risk_percent]]&gt;0.4,"Moderate Risk","Safe Job"))</f>
        <v>Moderate Risk</v>
      </c>
    </row>
    <row r="2946" spans="1:24" x14ac:dyDescent="0.3">
      <c r="A2946">
        <v>10329</v>
      </c>
      <c r="B2946" t="s">
        <v>44</v>
      </c>
      <c r="C2946" t="s">
        <v>33</v>
      </c>
      <c r="D2946" t="s">
        <v>20</v>
      </c>
      <c r="E2946" s="1">
        <v>2026</v>
      </c>
      <c r="F2946" s="11">
        <v>0.16870000000000002</v>
      </c>
      <c r="G2946">
        <v>17.87</v>
      </c>
      <c r="H2946">
        <v>58.75</v>
      </c>
      <c r="I2946" s="2">
        <v>42311.72</v>
      </c>
      <c r="J2946" s="2">
        <v>41974.09</v>
      </c>
      <c r="K2946" s="2">
        <f>Table1[[#This Row],[Salary_after]]-Table1[[#This Row],[Salary_before]]</f>
        <v>-337.63000000000466</v>
      </c>
      <c r="L2946" s="11">
        <v>-8.0000000000000002E-3</v>
      </c>
      <c r="M2946" s="11">
        <v>3.6299999999999999E-2</v>
      </c>
      <c r="N2946">
        <v>85.01</v>
      </c>
      <c r="O2946">
        <v>6.37</v>
      </c>
      <c r="P2946">
        <v>4</v>
      </c>
      <c r="Q2946" t="s">
        <v>21</v>
      </c>
      <c r="R2946">
        <v>37.81</v>
      </c>
      <c r="S2946">
        <v>0.8</v>
      </c>
      <c r="T2946" s="4">
        <v>24.613</v>
      </c>
      <c r="U2946" s="4">
        <v>1.074619</v>
      </c>
      <c r="V2946" t="str">
        <f>IF(Table1[[#This Row],[ai_disruption_intensity]]&gt;70,"High",
IF(Table1[[#This Row],[ai_disruption_intensity]]&gt;40,"Medium","Low"))</f>
        <v>Low</v>
      </c>
      <c r="W2946" t="str">
        <f>IF(Table1[[#This Row],[skill_gap_index]]&gt;70,"Large Gap",
IF(Table1[[#This Row],[skill_gap_index]]&gt;40,"Medium Gap","Small Gap"))</f>
        <v>Medium Gap</v>
      </c>
      <c r="X2946" s="3" t="str">
        <f>IF(Table1[[#This Row],[automation_risk_percent]]&gt;0.7,"Highly Automatable",
IF(Table1[[#This Row],[automation_risk_percent]]&gt;0.4,"Moderate Risk","Safe Job"))</f>
        <v>Safe Job</v>
      </c>
    </row>
    <row r="2947" spans="1:24" x14ac:dyDescent="0.3">
      <c r="A2947">
        <v>10332</v>
      </c>
      <c r="B2947" t="s">
        <v>22</v>
      </c>
      <c r="C2947" t="s">
        <v>27</v>
      </c>
      <c r="D2947" t="s">
        <v>28</v>
      </c>
      <c r="E2947" s="1">
        <v>2026</v>
      </c>
      <c r="F2947" s="11">
        <v>0.51159999999999994</v>
      </c>
      <c r="G2947">
        <v>53.72</v>
      </c>
      <c r="H2947">
        <v>9.5299999999999994</v>
      </c>
      <c r="I2947" s="2">
        <v>45088.26</v>
      </c>
      <c r="J2947" s="2">
        <v>43812.04</v>
      </c>
      <c r="K2947" s="2">
        <f>Table1[[#This Row],[Salary_after]]-Table1[[#This Row],[Salary_before]]</f>
        <v>-1276.2200000000012</v>
      </c>
      <c r="L2947" s="11">
        <v>-2.8300000000000002E-2</v>
      </c>
      <c r="M2947" s="11">
        <v>0.17960000000000001</v>
      </c>
      <c r="N2947">
        <v>29.37</v>
      </c>
      <c r="O2947">
        <v>9.27</v>
      </c>
      <c r="P2947">
        <v>2</v>
      </c>
      <c r="Q2947" t="s">
        <v>25</v>
      </c>
      <c r="R2947">
        <v>30.344999999999999</v>
      </c>
      <c r="S2947">
        <v>2.83</v>
      </c>
      <c r="T2947" s="4">
        <v>24.171999999999901</v>
      </c>
      <c r="U2947" s="4">
        <v>4.7425319999999997</v>
      </c>
      <c r="V2947" t="str">
        <f>IF(Table1[[#This Row],[ai_disruption_intensity]]&gt;70,"High",
IF(Table1[[#This Row],[ai_disruption_intensity]]&gt;40,"Medium","Low"))</f>
        <v>Low</v>
      </c>
      <c r="W2947" t="str">
        <f>IF(Table1[[#This Row],[skill_gap_index]]&gt;70,"Large Gap",
IF(Table1[[#This Row],[skill_gap_index]]&gt;40,"Medium Gap","Small Gap"))</f>
        <v>Small Gap</v>
      </c>
      <c r="X2947" s="3" t="str">
        <f>IF(Table1[[#This Row],[automation_risk_percent]]&gt;0.7,"Highly Automatable",
IF(Table1[[#This Row],[automation_risk_percent]]&gt;0.4,"Moderate Risk","Safe Job"))</f>
        <v>Moderate Risk</v>
      </c>
    </row>
    <row r="2948" spans="1:24" x14ac:dyDescent="0.3">
      <c r="A2948">
        <v>10334</v>
      </c>
      <c r="B2948" t="s">
        <v>44</v>
      </c>
      <c r="C2948" t="s">
        <v>19</v>
      </c>
      <c r="D2948" t="s">
        <v>36</v>
      </c>
      <c r="E2948" s="1">
        <v>2026</v>
      </c>
      <c r="F2948" s="11">
        <v>0.62259999999999993</v>
      </c>
      <c r="G2948">
        <v>50.56</v>
      </c>
      <c r="H2948">
        <v>73.150000000000006</v>
      </c>
      <c r="I2948" s="2">
        <v>137434.56</v>
      </c>
      <c r="J2948" s="2">
        <v>141423.93</v>
      </c>
      <c r="K2948" s="2">
        <f>Table1[[#This Row],[Salary_after]]-Table1[[#This Row],[Salary_before]]</f>
        <v>3989.3699999999953</v>
      </c>
      <c r="L2948" s="11">
        <v>2.8999999999999998E-2</v>
      </c>
      <c r="M2948" s="11">
        <v>9.0800000000000006E-2</v>
      </c>
      <c r="N2948">
        <v>94.13</v>
      </c>
      <c r="O2948">
        <v>70.73</v>
      </c>
      <c r="P2948">
        <v>3</v>
      </c>
      <c r="Q2948" t="s">
        <v>37</v>
      </c>
      <c r="R2948">
        <v>67.704999999999998</v>
      </c>
      <c r="S2948">
        <v>2.9</v>
      </c>
      <c r="T2948" s="4">
        <v>47.719000000000001</v>
      </c>
      <c r="U2948" s="4">
        <v>44.036498000000002</v>
      </c>
      <c r="V2948" t="str">
        <f>IF(Table1[[#This Row],[ai_disruption_intensity]]&gt;70,"High",
IF(Table1[[#This Row],[ai_disruption_intensity]]&gt;40,"Medium","Low"))</f>
        <v>Medium</v>
      </c>
      <c r="W2948" t="str">
        <f>IF(Table1[[#This Row],[skill_gap_index]]&gt;70,"Large Gap",
IF(Table1[[#This Row],[skill_gap_index]]&gt;40,"Medium Gap","Small Gap"))</f>
        <v>Large Gap</v>
      </c>
      <c r="X2948" s="3" t="str">
        <f>IF(Table1[[#This Row],[automation_risk_percent]]&gt;0.7,"Highly Automatable",
IF(Table1[[#This Row],[automation_risk_percent]]&gt;0.4,"Moderate Risk","Safe Job"))</f>
        <v>Moderate Risk</v>
      </c>
    </row>
    <row r="2949" spans="1:24" x14ac:dyDescent="0.3">
      <c r="A2949">
        <v>10340</v>
      </c>
      <c r="B2949" t="s">
        <v>44</v>
      </c>
      <c r="C2949" t="s">
        <v>33</v>
      </c>
      <c r="D2949" t="s">
        <v>28</v>
      </c>
      <c r="E2949" s="1">
        <v>2025</v>
      </c>
      <c r="F2949" s="11">
        <v>0.39710000000000001</v>
      </c>
      <c r="G2949">
        <v>46.94</v>
      </c>
      <c r="H2949">
        <v>53.44</v>
      </c>
      <c r="I2949" s="2">
        <v>77647.100000000006</v>
      </c>
      <c r="J2949" s="2">
        <v>74314.2</v>
      </c>
      <c r="K2949" s="2">
        <f>Table1[[#This Row],[Salary_after]]-Table1[[#This Row],[Salary_before]]</f>
        <v>-3332.9000000000087</v>
      </c>
      <c r="L2949" s="11">
        <v>-4.2900000000000001E-2</v>
      </c>
      <c r="M2949" s="11">
        <v>7.1099999999999997E-2</v>
      </c>
      <c r="N2949">
        <v>36.119999999999997</v>
      </c>
      <c r="O2949">
        <v>22.65</v>
      </c>
      <c r="P2949">
        <v>3</v>
      </c>
      <c r="Q2949" t="s">
        <v>25</v>
      </c>
      <c r="R2949">
        <v>46.575000000000003</v>
      </c>
      <c r="S2949">
        <v>4.29</v>
      </c>
      <c r="T2949" s="4">
        <v>33.203000000000003</v>
      </c>
      <c r="U2949" s="4">
        <v>8.9943149999999896</v>
      </c>
      <c r="V2949" t="str">
        <f>IF(Table1[[#This Row],[ai_disruption_intensity]]&gt;70,"High",
IF(Table1[[#This Row],[ai_disruption_intensity]]&gt;40,"Medium","Low"))</f>
        <v>Low</v>
      </c>
      <c r="W2949" t="str">
        <f>IF(Table1[[#This Row],[skill_gap_index]]&gt;70,"Large Gap",
IF(Table1[[#This Row],[skill_gap_index]]&gt;40,"Medium Gap","Small Gap"))</f>
        <v>Medium Gap</v>
      </c>
      <c r="X2949" s="3" t="str">
        <f>IF(Table1[[#This Row],[automation_risk_percent]]&gt;0.7,"Highly Automatable",
IF(Table1[[#This Row],[automation_risk_percent]]&gt;0.4,"Moderate Risk","Safe Job"))</f>
        <v>Safe Job</v>
      </c>
    </row>
    <row r="2950" spans="1:24" x14ac:dyDescent="0.3">
      <c r="A2950">
        <v>10341</v>
      </c>
      <c r="B2950" t="s">
        <v>41</v>
      </c>
      <c r="C2950" t="s">
        <v>33</v>
      </c>
      <c r="D2950" t="s">
        <v>31</v>
      </c>
      <c r="E2950" s="1">
        <v>2025</v>
      </c>
      <c r="F2950" s="11">
        <v>0.72609999999999997</v>
      </c>
      <c r="G2950">
        <v>75.63</v>
      </c>
      <c r="H2950">
        <v>75.94</v>
      </c>
      <c r="I2950" s="2">
        <v>81212.69</v>
      </c>
      <c r="J2950" s="2">
        <v>77729.56</v>
      </c>
      <c r="K2950" s="2">
        <f>Table1[[#This Row],[Salary_after]]-Table1[[#This Row],[Salary_before]]</f>
        <v>-3483.1300000000047</v>
      </c>
      <c r="L2950" s="11">
        <v>-4.2900000000000001E-2</v>
      </c>
      <c r="M2950" s="11">
        <v>5.8999999999999999E-3</v>
      </c>
      <c r="N2950">
        <v>90.3</v>
      </c>
      <c r="O2950">
        <v>7.49</v>
      </c>
      <c r="P2950">
        <v>1</v>
      </c>
      <c r="Q2950" t="s">
        <v>37</v>
      </c>
      <c r="R2950">
        <v>74.275000000000006</v>
      </c>
      <c r="S2950">
        <v>4.29</v>
      </c>
      <c r="T2950" s="4">
        <v>53.113</v>
      </c>
      <c r="U2950" s="4">
        <v>5.4384889999999997</v>
      </c>
      <c r="V2950" t="str">
        <f>IF(Table1[[#This Row],[ai_disruption_intensity]]&gt;70,"High",
IF(Table1[[#This Row],[ai_disruption_intensity]]&gt;40,"Medium","Low"))</f>
        <v>Low</v>
      </c>
      <c r="W2950" t="str">
        <f>IF(Table1[[#This Row],[skill_gap_index]]&gt;70,"Large Gap",
IF(Table1[[#This Row],[skill_gap_index]]&gt;40,"Medium Gap","Small Gap"))</f>
        <v>Large Gap</v>
      </c>
      <c r="X2950" s="3" t="str">
        <f>IF(Table1[[#This Row],[automation_risk_percent]]&gt;0.7,"Highly Automatable",
IF(Table1[[#This Row],[automation_risk_percent]]&gt;0.4,"Moderate Risk","Safe Job"))</f>
        <v>Highly Automatable</v>
      </c>
    </row>
    <row r="2951" spans="1:24" x14ac:dyDescent="0.3">
      <c r="A2951">
        <v>10342</v>
      </c>
      <c r="B2951" t="s">
        <v>41</v>
      </c>
      <c r="C2951" t="s">
        <v>33</v>
      </c>
      <c r="D2951" t="s">
        <v>47</v>
      </c>
      <c r="E2951" s="1">
        <v>2026</v>
      </c>
      <c r="F2951" s="11">
        <v>0.66590000000000005</v>
      </c>
      <c r="G2951">
        <v>59.44</v>
      </c>
      <c r="H2951">
        <v>21.43</v>
      </c>
      <c r="I2951" s="2">
        <v>41808.910000000003</v>
      </c>
      <c r="J2951" s="2">
        <v>40221.800000000003</v>
      </c>
      <c r="K2951" s="2">
        <f>Table1[[#This Row],[Salary_after]]-Table1[[#This Row],[Salary_before]]</f>
        <v>-1587.1100000000006</v>
      </c>
      <c r="L2951" s="11">
        <v>-3.7999999999999999E-2</v>
      </c>
      <c r="M2951" s="11">
        <v>-4.9200000000000001E-2</v>
      </c>
      <c r="N2951">
        <v>51.02</v>
      </c>
      <c r="O2951">
        <v>95.08</v>
      </c>
      <c r="P2951">
        <v>4</v>
      </c>
      <c r="Q2951" t="s">
        <v>37</v>
      </c>
      <c r="R2951">
        <v>44.01</v>
      </c>
      <c r="S2951">
        <v>3.8</v>
      </c>
      <c r="T2951" s="4">
        <v>34.204999999999998</v>
      </c>
      <c r="U2951" s="4">
        <v>63.313772</v>
      </c>
      <c r="V2951" t="str">
        <f>IF(Table1[[#This Row],[ai_disruption_intensity]]&gt;70,"High",
IF(Table1[[#This Row],[ai_disruption_intensity]]&gt;40,"Medium","Low"))</f>
        <v>Medium</v>
      </c>
      <c r="W2951" t="str">
        <f>IF(Table1[[#This Row],[skill_gap_index]]&gt;70,"Large Gap",
IF(Table1[[#This Row],[skill_gap_index]]&gt;40,"Medium Gap","Small Gap"))</f>
        <v>Small Gap</v>
      </c>
      <c r="X2951" s="3" t="str">
        <f>IF(Table1[[#This Row],[automation_risk_percent]]&gt;0.7,"Highly Automatable",
IF(Table1[[#This Row],[automation_risk_percent]]&gt;0.4,"Moderate Risk","Safe Job"))</f>
        <v>Moderate Risk</v>
      </c>
    </row>
    <row r="2952" spans="1:24" x14ac:dyDescent="0.3">
      <c r="A2952">
        <v>10343</v>
      </c>
      <c r="B2952" t="s">
        <v>22</v>
      </c>
      <c r="C2952" t="s">
        <v>40</v>
      </c>
      <c r="D2952" t="s">
        <v>36</v>
      </c>
      <c r="E2952" s="1">
        <v>2025</v>
      </c>
      <c r="F2952" s="11">
        <v>0.26929999999999998</v>
      </c>
      <c r="G2952">
        <v>29.31</v>
      </c>
      <c r="H2952">
        <v>65.64</v>
      </c>
      <c r="I2952" s="2">
        <v>92099.37</v>
      </c>
      <c r="J2952" s="2">
        <v>85548.95</v>
      </c>
      <c r="K2952" s="2">
        <f>Table1[[#This Row],[Salary_after]]-Table1[[#This Row],[Salary_before]]</f>
        <v>-6550.4199999999983</v>
      </c>
      <c r="L2952" s="11">
        <v>-7.1099999999999997E-2</v>
      </c>
      <c r="M2952" s="11">
        <v>1.5E-3</v>
      </c>
      <c r="N2952">
        <v>25.89</v>
      </c>
      <c r="O2952">
        <v>34.6</v>
      </c>
      <c r="P2952">
        <v>3</v>
      </c>
      <c r="Q2952" t="s">
        <v>21</v>
      </c>
      <c r="R2952">
        <v>46.284999999999997</v>
      </c>
      <c r="S2952">
        <v>7.11</v>
      </c>
      <c r="T2952" s="4">
        <v>32.597000000000001</v>
      </c>
      <c r="U2952" s="4">
        <v>9.3177800000000008</v>
      </c>
      <c r="V2952" t="str">
        <f>IF(Table1[[#This Row],[ai_disruption_intensity]]&gt;70,"High",
IF(Table1[[#This Row],[ai_disruption_intensity]]&gt;40,"Medium","Low"))</f>
        <v>Low</v>
      </c>
      <c r="W2952" t="str">
        <f>IF(Table1[[#This Row],[skill_gap_index]]&gt;70,"Large Gap",
IF(Table1[[#This Row],[skill_gap_index]]&gt;40,"Medium Gap","Small Gap"))</f>
        <v>Medium Gap</v>
      </c>
      <c r="X2952" s="3" t="str">
        <f>IF(Table1[[#This Row],[automation_risk_percent]]&gt;0.7,"Highly Automatable",
IF(Table1[[#This Row],[automation_risk_percent]]&gt;0.4,"Moderate Risk","Safe Job"))</f>
        <v>Safe Job</v>
      </c>
    </row>
    <row r="2953" spans="1:24" x14ac:dyDescent="0.3">
      <c r="A2953">
        <v>10344</v>
      </c>
      <c r="B2953" t="s">
        <v>45</v>
      </c>
      <c r="C2953" t="s">
        <v>23</v>
      </c>
      <c r="D2953" t="s">
        <v>42</v>
      </c>
      <c r="E2953" s="1">
        <v>2026</v>
      </c>
      <c r="F2953" s="11">
        <v>0.19600000000000001</v>
      </c>
      <c r="G2953">
        <v>23.51</v>
      </c>
      <c r="H2953">
        <v>44.58</v>
      </c>
      <c r="I2953" s="2">
        <v>94678.83</v>
      </c>
      <c r="J2953" s="2">
        <v>83102.789999999994</v>
      </c>
      <c r="K2953" s="2">
        <f>Table1[[#This Row],[Salary_after]]-Table1[[#This Row],[Salary_before]]</f>
        <v>-11576.040000000008</v>
      </c>
      <c r="L2953" s="11">
        <v>-0.12230000000000001</v>
      </c>
      <c r="M2953" s="11">
        <v>9.6799999999999997E-2</v>
      </c>
      <c r="N2953">
        <v>53.36</v>
      </c>
      <c r="O2953">
        <v>6.29</v>
      </c>
      <c r="P2953">
        <v>3</v>
      </c>
      <c r="Q2953" t="s">
        <v>21</v>
      </c>
      <c r="R2953">
        <v>32.090000000000003</v>
      </c>
      <c r="S2953">
        <v>12.23</v>
      </c>
      <c r="T2953" s="4">
        <v>24.882999999999999</v>
      </c>
      <c r="U2953" s="4">
        <v>1.2328399999999999</v>
      </c>
      <c r="V2953" t="str">
        <f>IF(Table1[[#This Row],[ai_disruption_intensity]]&gt;70,"High",
IF(Table1[[#This Row],[ai_disruption_intensity]]&gt;40,"Medium","Low"))</f>
        <v>Low</v>
      </c>
      <c r="W2953" t="str">
        <f>IF(Table1[[#This Row],[skill_gap_index]]&gt;70,"Large Gap",
IF(Table1[[#This Row],[skill_gap_index]]&gt;40,"Medium Gap","Small Gap"))</f>
        <v>Medium Gap</v>
      </c>
      <c r="X2953" s="3" t="str">
        <f>IF(Table1[[#This Row],[automation_risk_percent]]&gt;0.7,"Highly Automatable",
IF(Table1[[#This Row],[automation_risk_percent]]&gt;0.4,"Moderate Risk","Safe Job"))</f>
        <v>Safe Job</v>
      </c>
    </row>
    <row r="2954" spans="1:24" x14ac:dyDescent="0.3">
      <c r="A2954">
        <v>10345</v>
      </c>
      <c r="B2954" t="s">
        <v>41</v>
      </c>
      <c r="C2954" t="s">
        <v>33</v>
      </c>
      <c r="D2954" t="s">
        <v>24</v>
      </c>
      <c r="E2954" s="1">
        <v>2026</v>
      </c>
      <c r="F2954" s="11">
        <v>0.9284</v>
      </c>
      <c r="G2954">
        <v>91.83</v>
      </c>
      <c r="H2954">
        <v>2.97</v>
      </c>
      <c r="I2954" s="2">
        <v>101888.89</v>
      </c>
      <c r="J2954" s="2">
        <v>103207.62</v>
      </c>
      <c r="K2954" s="2">
        <f>Table1[[#This Row],[Salary_after]]-Table1[[#This Row],[Salary_before]]</f>
        <v>1318.7299999999959</v>
      </c>
      <c r="L2954" s="11">
        <v>1.29E-2</v>
      </c>
      <c r="M2954" s="11">
        <v>3.2199999999999999E-2</v>
      </c>
      <c r="N2954">
        <v>95.8</v>
      </c>
      <c r="O2954">
        <v>91.66</v>
      </c>
      <c r="P2954">
        <v>2</v>
      </c>
      <c r="Q2954" t="s">
        <v>37</v>
      </c>
      <c r="R2954">
        <v>47.905000000000001</v>
      </c>
      <c r="S2954">
        <v>1.29</v>
      </c>
      <c r="T2954" s="4">
        <v>38.414000000000001</v>
      </c>
      <c r="U2954" s="4">
        <v>85.097144</v>
      </c>
      <c r="V2954" t="str">
        <f>IF(Table1[[#This Row],[ai_disruption_intensity]]&gt;70,"High",
IF(Table1[[#This Row],[ai_disruption_intensity]]&gt;40,"Medium","Low"))</f>
        <v>High</v>
      </c>
      <c r="W2954" t="str">
        <f>IF(Table1[[#This Row],[skill_gap_index]]&gt;70,"Large Gap",
IF(Table1[[#This Row],[skill_gap_index]]&gt;40,"Medium Gap","Small Gap"))</f>
        <v>Small Gap</v>
      </c>
      <c r="X2954" s="3" t="str">
        <f>IF(Table1[[#This Row],[automation_risk_percent]]&gt;0.7,"Highly Automatable",
IF(Table1[[#This Row],[automation_risk_percent]]&gt;0.4,"Moderate Risk","Safe Job"))</f>
        <v>Highly Automatable</v>
      </c>
    </row>
    <row r="2955" spans="1:24" x14ac:dyDescent="0.3">
      <c r="A2955">
        <v>10346</v>
      </c>
      <c r="B2955" t="s">
        <v>43</v>
      </c>
      <c r="C2955" t="s">
        <v>40</v>
      </c>
      <c r="D2955" t="s">
        <v>47</v>
      </c>
      <c r="E2955" s="1">
        <v>2025</v>
      </c>
      <c r="F2955" s="11">
        <v>0.39939999999999998</v>
      </c>
      <c r="G2955">
        <v>43.34</v>
      </c>
      <c r="H2955">
        <v>15.58</v>
      </c>
      <c r="I2955" s="2">
        <v>39083.53</v>
      </c>
      <c r="J2955" s="2">
        <v>41254.120000000003</v>
      </c>
      <c r="K2955" s="2">
        <f>Table1[[#This Row],[Salary_after]]-Table1[[#This Row],[Salary_before]]</f>
        <v>2170.5900000000038</v>
      </c>
      <c r="L2955" s="11">
        <v>5.5500000000000001E-2</v>
      </c>
      <c r="M2955" s="11">
        <v>0.1414</v>
      </c>
      <c r="N2955">
        <v>91.64</v>
      </c>
      <c r="O2955">
        <v>91.46</v>
      </c>
      <c r="P2955">
        <v>5</v>
      </c>
      <c r="Q2955" t="s">
        <v>25</v>
      </c>
      <c r="R2955">
        <v>27.759999999999899</v>
      </c>
      <c r="S2955">
        <v>5.55</v>
      </c>
      <c r="T2955" s="4">
        <v>22.314999999999898</v>
      </c>
      <c r="U2955" s="4">
        <v>36.529123999999896</v>
      </c>
      <c r="V2955" t="str">
        <f>IF(Table1[[#This Row],[ai_disruption_intensity]]&gt;70,"High",
IF(Table1[[#This Row],[ai_disruption_intensity]]&gt;40,"Medium","Low"))</f>
        <v>Low</v>
      </c>
      <c r="W2955" t="str">
        <f>IF(Table1[[#This Row],[skill_gap_index]]&gt;70,"Large Gap",
IF(Table1[[#This Row],[skill_gap_index]]&gt;40,"Medium Gap","Small Gap"))</f>
        <v>Small Gap</v>
      </c>
      <c r="X2955" s="3" t="str">
        <f>IF(Table1[[#This Row],[automation_risk_percent]]&gt;0.7,"Highly Automatable",
IF(Table1[[#This Row],[automation_risk_percent]]&gt;0.4,"Moderate Risk","Safe Job"))</f>
        <v>Safe Job</v>
      </c>
    </row>
    <row r="2956" spans="1:24" x14ac:dyDescent="0.3">
      <c r="A2956">
        <v>10347</v>
      </c>
      <c r="B2956" t="s">
        <v>22</v>
      </c>
      <c r="C2956" t="s">
        <v>40</v>
      </c>
      <c r="D2956" t="s">
        <v>31</v>
      </c>
      <c r="E2956" s="1">
        <v>2026</v>
      </c>
      <c r="F2956" s="11">
        <v>0.34310000000000002</v>
      </c>
      <c r="G2956">
        <v>31.82</v>
      </c>
      <c r="H2956">
        <v>44.19</v>
      </c>
      <c r="I2956" s="2">
        <v>109881.86</v>
      </c>
      <c r="J2956" s="2">
        <v>110015.41</v>
      </c>
      <c r="K2956" s="2">
        <f>Table1[[#This Row],[Salary_after]]-Table1[[#This Row],[Salary_before]]</f>
        <v>133.55000000000291</v>
      </c>
      <c r="L2956" s="11">
        <v>1.1999999999999999E-3</v>
      </c>
      <c r="M2956" s="11">
        <v>3.2599999999999997E-2</v>
      </c>
      <c r="N2956">
        <v>11.78</v>
      </c>
      <c r="O2956">
        <v>45.07</v>
      </c>
      <c r="P2956">
        <v>1</v>
      </c>
      <c r="Q2956" t="s">
        <v>25</v>
      </c>
      <c r="R2956">
        <v>39.25</v>
      </c>
      <c r="S2956">
        <v>0.12</v>
      </c>
      <c r="T2956" s="4">
        <v>27.016999999999999</v>
      </c>
      <c r="U2956" s="4">
        <v>15.463517</v>
      </c>
      <c r="V2956" t="str">
        <f>IF(Table1[[#This Row],[ai_disruption_intensity]]&gt;70,"High",
IF(Table1[[#This Row],[ai_disruption_intensity]]&gt;40,"Medium","Low"))</f>
        <v>Low</v>
      </c>
      <c r="W2956" t="str">
        <f>IF(Table1[[#This Row],[skill_gap_index]]&gt;70,"Large Gap",
IF(Table1[[#This Row],[skill_gap_index]]&gt;40,"Medium Gap","Small Gap"))</f>
        <v>Medium Gap</v>
      </c>
      <c r="X2956" s="3" t="str">
        <f>IF(Table1[[#This Row],[automation_risk_percent]]&gt;0.7,"Highly Automatable",
IF(Table1[[#This Row],[automation_risk_percent]]&gt;0.4,"Moderate Risk","Safe Job"))</f>
        <v>Safe Job</v>
      </c>
    </row>
    <row r="2957" spans="1:24" x14ac:dyDescent="0.3">
      <c r="A2957">
        <v>10352</v>
      </c>
      <c r="B2957" t="s">
        <v>18</v>
      </c>
      <c r="C2957" t="s">
        <v>27</v>
      </c>
      <c r="D2957" t="s">
        <v>20</v>
      </c>
      <c r="E2957" s="1">
        <v>2026</v>
      </c>
      <c r="F2957" s="11">
        <v>0.64069999999999994</v>
      </c>
      <c r="G2957">
        <v>70.040000000000006</v>
      </c>
      <c r="H2957">
        <v>17.21</v>
      </c>
      <c r="I2957" s="2">
        <v>95344.05</v>
      </c>
      <c r="J2957" s="2">
        <v>114634.8</v>
      </c>
      <c r="K2957" s="2">
        <f>Table1[[#This Row],[Salary_after]]-Table1[[#This Row],[Salary_before]]</f>
        <v>19290.75</v>
      </c>
      <c r="L2957" s="11">
        <v>0.20230000000000001</v>
      </c>
      <c r="M2957" s="11">
        <v>0.1164</v>
      </c>
      <c r="N2957">
        <v>84.79</v>
      </c>
      <c r="O2957">
        <v>69.819999999999993</v>
      </c>
      <c r="P2957">
        <v>4</v>
      </c>
      <c r="Q2957" t="s">
        <v>37</v>
      </c>
      <c r="R2957">
        <v>40.64</v>
      </c>
      <c r="S2957">
        <v>20.23</v>
      </c>
      <c r="T2957" s="4">
        <v>36.86</v>
      </c>
      <c r="U2957" s="4">
        <v>44.733673999999901</v>
      </c>
      <c r="V2957" t="str">
        <f>IF(Table1[[#This Row],[ai_disruption_intensity]]&gt;70,"High",
IF(Table1[[#This Row],[ai_disruption_intensity]]&gt;40,"Medium","Low"))</f>
        <v>Medium</v>
      </c>
      <c r="W2957" t="str">
        <f>IF(Table1[[#This Row],[skill_gap_index]]&gt;70,"Large Gap",
IF(Table1[[#This Row],[skill_gap_index]]&gt;40,"Medium Gap","Small Gap"))</f>
        <v>Small Gap</v>
      </c>
      <c r="X2957" s="3" t="str">
        <f>IF(Table1[[#This Row],[automation_risk_percent]]&gt;0.7,"Highly Automatable",
IF(Table1[[#This Row],[automation_risk_percent]]&gt;0.4,"Moderate Risk","Safe Job"))</f>
        <v>Moderate Risk</v>
      </c>
    </row>
    <row r="2958" spans="1:24" x14ac:dyDescent="0.3">
      <c r="A2958">
        <v>10355</v>
      </c>
      <c r="B2958" t="s">
        <v>39</v>
      </c>
      <c r="C2958" t="s">
        <v>34</v>
      </c>
      <c r="D2958" t="s">
        <v>36</v>
      </c>
      <c r="E2958" s="1">
        <v>2026</v>
      </c>
      <c r="F2958" s="11">
        <v>0.74719999999999998</v>
      </c>
      <c r="G2958">
        <v>74.069999999999993</v>
      </c>
      <c r="H2958">
        <v>16.8</v>
      </c>
      <c r="I2958" s="2">
        <v>123582.39</v>
      </c>
      <c r="J2958" s="2">
        <v>110840.51</v>
      </c>
      <c r="K2958" s="2">
        <f>Table1[[#This Row],[Salary_after]]-Table1[[#This Row],[Salary_before]]</f>
        <v>-12741.880000000005</v>
      </c>
      <c r="L2958" s="11">
        <v>-0.10310000000000001</v>
      </c>
      <c r="M2958" s="11">
        <v>5.3699999999999998E-2</v>
      </c>
      <c r="N2958">
        <v>51.54</v>
      </c>
      <c r="O2958">
        <v>68.739999999999995</v>
      </c>
      <c r="P2958">
        <v>3</v>
      </c>
      <c r="Q2958" t="s">
        <v>37</v>
      </c>
      <c r="R2958">
        <v>45.76</v>
      </c>
      <c r="S2958">
        <v>10.31</v>
      </c>
      <c r="T2958" s="4">
        <v>38.021000000000001</v>
      </c>
      <c r="U2958" s="4">
        <v>51.362527999999898</v>
      </c>
      <c r="V2958" t="str">
        <f>IF(Table1[[#This Row],[ai_disruption_intensity]]&gt;70,"High",
IF(Table1[[#This Row],[ai_disruption_intensity]]&gt;40,"Medium","Low"))</f>
        <v>Medium</v>
      </c>
      <c r="W2958" t="str">
        <f>IF(Table1[[#This Row],[skill_gap_index]]&gt;70,"Large Gap",
IF(Table1[[#This Row],[skill_gap_index]]&gt;40,"Medium Gap","Small Gap"))</f>
        <v>Small Gap</v>
      </c>
      <c r="X2958" s="3" t="str">
        <f>IF(Table1[[#This Row],[automation_risk_percent]]&gt;0.7,"Highly Automatable",
IF(Table1[[#This Row],[automation_risk_percent]]&gt;0.4,"Moderate Risk","Safe Job"))</f>
        <v>Highly Automatable</v>
      </c>
    </row>
    <row r="2959" spans="1:24" x14ac:dyDescent="0.3">
      <c r="A2959">
        <v>10358</v>
      </c>
      <c r="B2959" t="s">
        <v>29</v>
      </c>
      <c r="C2959" t="s">
        <v>33</v>
      </c>
      <c r="D2959" t="s">
        <v>24</v>
      </c>
      <c r="E2959" s="1">
        <v>2026</v>
      </c>
      <c r="F2959" s="11">
        <v>0.5726</v>
      </c>
      <c r="G2959">
        <v>60.46</v>
      </c>
      <c r="H2959">
        <v>56.92</v>
      </c>
      <c r="I2959" s="2">
        <v>53429.43</v>
      </c>
      <c r="J2959" s="2">
        <v>56546.1</v>
      </c>
      <c r="K2959" s="2">
        <f>Table1[[#This Row],[Salary_after]]-Table1[[#This Row],[Salary_before]]</f>
        <v>3116.6699999999983</v>
      </c>
      <c r="L2959" s="11">
        <v>5.8299999999999998E-2</v>
      </c>
      <c r="M2959" s="11">
        <v>-2.69E-2</v>
      </c>
      <c r="N2959">
        <v>57.08</v>
      </c>
      <c r="O2959">
        <v>89.6</v>
      </c>
      <c r="P2959">
        <v>3</v>
      </c>
      <c r="Q2959" t="s">
        <v>25</v>
      </c>
      <c r="R2959">
        <v>57.09</v>
      </c>
      <c r="S2959">
        <v>5.83</v>
      </c>
      <c r="T2959" s="4">
        <v>41.728999999999999</v>
      </c>
      <c r="U2959" s="4">
        <v>51.304959999999902</v>
      </c>
      <c r="V2959" t="str">
        <f>IF(Table1[[#This Row],[ai_disruption_intensity]]&gt;70,"High",
IF(Table1[[#This Row],[ai_disruption_intensity]]&gt;40,"Medium","Low"))</f>
        <v>Medium</v>
      </c>
      <c r="W2959" t="str">
        <f>IF(Table1[[#This Row],[skill_gap_index]]&gt;70,"Large Gap",
IF(Table1[[#This Row],[skill_gap_index]]&gt;40,"Medium Gap","Small Gap"))</f>
        <v>Medium Gap</v>
      </c>
      <c r="X2959" s="3" t="str">
        <f>IF(Table1[[#This Row],[automation_risk_percent]]&gt;0.7,"Highly Automatable",
IF(Table1[[#This Row],[automation_risk_percent]]&gt;0.4,"Moderate Risk","Safe Job"))</f>
        <v>Moderate Risk</v>
      </c>
    </row>
    <row r="2960" spans="1:24" x14ac:dyDescent="0.3">
      <c r="A2960">
        <v>10360</v>
      </c>
      <c r="B2960" t="s">
        <v>43</v>
      </c>
      <c r="C2960" t="s">
        <v>34</v>
      </c>
      <c r="D2960" t="s">
        <v>24</v>
      </c>
      <c r="E2960" s="1">
        <v>2026</v>
      </c>
      <c r="F2960" s="11">
        <v>0.59109999999999996</v>
      </c>
      <c r="G2960">
        <v>55.28</v>
      </c>
      <c r="H2960">
        <v>98.3</v>
      </c>
      <c r="I2960" s="2">
        <v>80674.47</v>
      </c>
      <c r="J2960" s="2">
        <v>82887.600000000006</v>
      </c>
      <c r="K2960" s="2">
        <f>Table1[[#This Row],[Salary_after]]-Table1[[#This Row],[Salary_before]]</f>
        <v>2213.1300000000047</v>
      </c>
      <c r="L2960" s="11">
        <v>2.7400000000000001E-2</v>
      </c>
      <c r="M2960" s="11">
        <v>0.19850000000000001</v>
      </c>
      <c r="N2960">
        <v>67.569999999999993</v>
      </c>
      <c r="O2960">
        <v>37.29</v>
      </c>
      <c r="P2960">
        <v>1</v>
      </c>
      <c r="Q2960" t="s">
        <v>25</v>
      </c>
      <c r="R2960">
        <v>78.704999999999998</v>
      </c>
      <c r="S2960">
        <v>2.74</v>
      </c>
      <c r="T2960" s="4">
        <v>53.956000000000003</v>
      </c>
      <c r="U2960" s="4">
        <v>22.042119</v>
      </c>
      <c r="V2960" t="str">
        <f>IF(Table1[[#This Row],[ai_disruption_intensity]]&gt;70,"High",
IF(Table1[[#This Row],[ai_disruption_intensity]]&gt;40,"Medium","Low"))</f>
        <v>Low</v>
      </c>
      <c r="W2960" t="str">
        <f>IF(Table1[[#This Row],[skill_gap_index]]&gt;70,"Large Gap",
IF(Table1[[#This Row],[skill_gap_index]]&gt;40,"Medium Gap","Small Gap"))</f>
        <v>Large Gap</v>
      </c>
      <c r="X2960" s="3" t="str">
        <f>IF(Table1[[#This Row],[automation_risk_percent]]&gt;0.7,"Highly Automatable",
IF(Table1[[#This Row],[automation_risk_percent]]&gt;0.4,"Moderate Risk","Safe Job"))</f>
        <v>Moderate Risk</v>
      </c>
    </row>
    <row r="2961" spans="1:24" x14ac:dyDescent="0.3">
      <c r="A2961">
        <v>10364</v>
      </c>
      <c r="B2961" t="s">
        <v>46</v>
      </c>
      <c r="C2961" t="s">
        <v>38</v>
      </c>
      <c r="D2961" t="s">
        <v>47</v>
      </c>
      <c r="E2961" s="1">
        <v>2025</v>
      </c>
      <c r="F2961" s="11">
        <v>0.36109999999999998</v>
      </c>
      <c r="G2961">
        <v>42.35</v>
      </c>
      <c r="H2961">
        <v>55.5</v>
      </c>
      <c r="I2961" s="2">
        <v>33347.360000000001</v>
      </c>
      <c r="J2961" s="2">
        <v>32326.42</v>
      </c>
      <c r="K2961" s="2">
        <f>Table1[[#This Row],[Salary_after]]-Table1[[#This Row],[Salary_before]]</f>
        <v>-1020.9400000000023</v>
      </c>
      <c r="L2961" s="11">
        <v>-3.0600000000000002E-2</v>
      </c>
      <c r="M2961" s="11">
        <v>6.2699999999999992E-2</v>
      </c>
      <c r="N2961">
        <v>94.96</v>
      </c>
      <c r="O2961">
        <v>48.66</v>
      </c>
      <c r="P2961">
        <v>4</v>
      </c>
      <c r="Q2961" t="s">
        <v>25</v>
      </c>
      <c r="R2961">
        <v>45.805</v>
      </c>
      <c r="S2961">
        <v>3.06</v>
      </c>
      <c r="T2961" s="4">
        <v>32.012</v>
      </c>
      <c r="U2961" s="4">
        <v>17.571126</v>
      </c>
      <c r="V2961" t="str">
        <f>IF(Table1[[#This Row],[ai_disruption_intensity]]&gt;70,"High",
IF(Table1[[#This Row],[ai_disruption_intensity]]&gt;40,"Medium","Low"))</f>
        <v>Low</v>
      </c>
      <c r="W2961" t="str">
        <f>IF(Table1[[#This Row],[skill_gap_index]]&gt;70,"Large Gap",
IF(Table1[[#This Row],[skill_gap_index]]&gt;40,"Medium Gap","Small Gap"))</f>
        <v>Medium Gap</v>
      </c>
      <c r="X2961" s="3" t="str">
        <f>IF(Table1[[#This Row],[automation_risk_percent]]&gt;0.7,"Highly Automatable",
IF(Table1[[#This Row],[automation_risk_percent]]&gt;0.4,"Moderate Risk","Safe Job"))</f>
        <v>Safe Job</v>
      </c>
    </row>
    <row r="2962" spans="1:24" x14ac:dyDescent="0.3">
      <c r="A2962">
        <v>10371</v>
      </c>
      <c r="B2962" t="s">
        <v>43</v>
      </c>
      <c r="C2962" t="s">
        <v>38</v>
      </c>
      <c r="D2962" t="s">
        <v>28</v>
      </c>
      <c r="E2962" s="1">
        <v>2025</v>
      </c>
      <c r="F2962" s="11">
        <v>0.30579999999999996</v>
      </c>
      <c r="G2962">
        <v>31.63</v>
      </c>
      <c r="H2962">
        <v>82.29</v>
      </c>
      <c r="I2962" s="2">
        <v>145373.20000000001</v>
      </c>
      <c r="J2962" s="2">
        <v>133821.78</v>
      </c>
      <c r="K2962" s="2">
        <f>Table1[[#This Row],[Salary_after]]-Table1[[#This Row],[Salary_before]]</f>
        <v>-11551.420000000013</v>
      </c>
      <c r="L2962" s="11">
        <v>-7.9500000000000001E-2</v>
      </c>
      <c r="M2962" s="11">
        <v>5.45E-2</v>
      </c>
      <c r="N2962">
        <v>96.04</v>
      </c>
      <c r="O2962">
        <v>42.08</v>
      </c>
      <c r="P2962">
        <v>4</v>
      </c>
      <c r="Q2962" t="s">
        <v>25</v>
      </c>
      <c r="R2962">
        <v>56.435000000000002</v>
      </c>
      <c r="S2962">
        <v>7.95</v>
      </c>
      <c r="T2962" s="4">
        <v>39.303999999999903</v>
      </c>
      <c r="U2962" s="4">
        <v>12.868063999999899</v>
      </c>
      <c r="V2962" t="str">
        <f>IF(Table1[[#This Row],[ai_disruption_intensity]]&gt;70,"High",
IF(Table1[[#This Row],[ai_disruption_intensity]]&gt;40,"Medium","Low"))</f>
        <v>Low</v>
      </c>
      <c r="W2962" t="str">
        <f>IF(Table1[[#This Row],[skill_gap_index]]&gt;70,"Large Gap",
IF(Table1[[#This Row],[skill_gap_index]]&gt;40,"Medium Gap","Small Gap"))</f>
        <v>Large Gap</v>
      </c>
      <c r="X2962" s="3" t="str">
        <f>IF(Table1[[#This Row],[automation_risk_percent]]&gt;0.7,"Highly Automatable",
IF(Table1[[#This Row],[automation_risk_percent]]&gt;0.4,"Moderate Risk","Safe Job"))</f>
        <v>Safe Job</v>
      </c>
    </row>
    <row r="2963" spans="1:24" x14ac:dyDescent="0.3">
      <c r="A2963">
        <v>10373</v>
      </c>
      <c r="B2963" t="s">
        <v>41</v>
      </c>
      <c r="C2963" t="s">
        <v>34</v>
      </c>
      <c r="D2963" t="s">
        <v>47</v>
      </c>
      <c r="E2963" s="1">
        <v>2026</v>
      </c>
      <c r="F2963" s="11">
        <v>0.33829999999999999</v>
      </c>
      <c r="G2963">
        <v>37.47</v>
      </c>
      <c r="H2963">
        <v>66.430000000000007</v>
      </c>
      <c r="I2963" s="2">
        <v>126176.49</v>
      </c>
      <c r="J2963" s="2">
        <v>113699.47</v>
      </c>
      <c r="K2963" s="2">
        <f>Table1[[#This Row],[Salary_after]]-Table1[[#This Row],[Salary_before]]</f>
        <v>-12477.020000000004</v>
      </c>
      <c r="L2963" s="11">
        <v>-9.8900000000000002E-2</v>
      </c>
      <c r="M2963" s="11">
        <v>-0.11789999999999999</v>
      </c>
      <c r="N2963">
        <v>40.76</v>
      </c>
      <c r="O2963">
        <v>76.650000000000006</v>
      </c>
      <c r="P2963">
        <v>5</v>
      </c>
      <c r="Q2963" t="s">
        <v>25</v>
      </c>
      <c r="R2963">
        <v>50.13</v>
      </c>
      <c r="S2963">
        <v>9.89</v>
      </c>
      <c r="T2963" s="4">
        <v>36.427999999999997</v>
      </c>
      <c r="U2963" s="4">
        <v>25.930695</v>
      </c>
      <c r="V2963" t="str">
        <f>IF(Table1[[#This Row],[ai_disruption_intensity]]&gt;70,"High",
IF(Table1[[#This Row],[ai_disruption_intensity]]&gt;40,"Medium","Low"))</f>
        <v>Low</v>
      </c>
      <c r="W2963" t="str">
        <f>IF(Table1[[#This Row],[skill_gap_index]]&gt;70,"Large Gap",
IF(Table1[[#This Row],[skill_gap_index]]&gt;40,"Medium Gap","Small Gap"))</f>
        <v>Medium Gap</v>
      </c>
      <c r="X2963" s="3" t="str">
        <f>IF(Table1[[#This Row],[automation_risk_percent]]&gt;0.7,"Highly Automatable",
IF(Table1[[#This Row],[automation_risk_percent]]&gt;0.4,"Moderate Risk","Safe Job"))</f>
        <v>Safe Job</v>
      </c>
    </row>
    <row r="2964" spans="1:24" x14ac:dyDescent="0.3">
      <c r="A2964">
        <v>10377</v>
      </c>
      <c r="B2964" t="s">
        <v>45</v>
      </c>
      <c r="C2964" t="s">
        <v>40</v>
      </c>
      <c r="D2964" t="s">
        <v>42</v>
      </c>
      <c r="E2964" s="1">
        <v>2026</v>
      </c>
      <c r="F2964" s="11">
        <v>0.75129999999999997</v>
      </c>
      <c r="G2964">
        <v>86.34</v>
      </c>
      <c r="H2964">
        <v>35.840000000000003</v>
      </c>
      <c r="I2964" s="2">
        <v>42062.87</v>
      </c>
      <c r="J2964" s="2">
        <v>45192.5</v>
      </c>
      <c r="K2964" s="2">
        <f>Table1[[#This Row],[Salary_after]]-Table1[[#This Row],[Salary_before]]</f>
        <v>3129.6299999999974</v>
      </c>
      <c r="L2964" s="11">
        <v>7.4400000000000008E-2</v>
      </c>
      <c r="M2964" s="11">
        <v>8.4600000000000009E-2</v>
      </c>
      <c r="N2964">
        <v>97.72</v>
      </c>
      <c r="O2964">
        <v>13.01</v>
      </c>
      <c r="P2964">
        <v>2</v>
      </c>
      <c r="Q2964" t="s">
        <v>37</v>
      </c>
      <c r="R2964">
        <v>55.484999999999999</v>
      </c>
      <c r="S2964">
        <v>7.44</v>
      </c>
      <c r="T2964" s="4">
        <v>43.036000000000001</v>
      </c>
      <c r="U2964" s="4">
        <v>9.7744129999999991</v>
      </c>
      <c r="V2964" t="str">
        <f>IF(Table1[[#This Row],[ai_disruption_intensity]]&gt;70,"High",
IF(Table1[[#This Row],[ai_disruption_intensity]]&gt;40,"Medium","Low"))</f>
        <v>Low</v>
      </c>
      <c r="W2964" t="str">
        <f>IF(Table1[[#This Row],[skill_gap_index]]&gt;70,"Large Gap",
IF(Table1[[#This Row],[skill_gap_index]]&gt;40,"Medium Gap","Small Gap"))</f>
        <v>Small Gap</v>
      </c>
      <c r="X2964" s="3" t="str">
        <f>IF(Table1[[#This Row],[automation_risk_percent]]&gt;0.7,"Highly Automatable",
IF(Table1[[#This Row],[automation_risk_percent]]&gt;0.4,"Moderate Risk","Safe Job"))</f>
        <v>Highly Automatable</v>
      </c>
    </row>
    <row r="2965" spans="1:24" x14ac:dyDescent="0.3">
      <c r="A2965">
        <v>10379</v>
      </c>
      <c r="B2965" t="s">
        <v>46</v>
      </c>
      <c r="C2965" t="s">
        <v>34</v>
      </c>
      <c r="D2965" t="s">
        <v>32</v>
      </c>
      <c r="E2965" s="1">
        <v>2025</v>
      </c>
      <c r="F2965" s="11">
        <v>0.3332</v>
      </c>
      <c r="G2965">
        <v>34.799999999999997</v>
      </c>
      <c r="H2965">
        <v>40.85</v>
      </c>
      <c r="I2965" s="2">
        <v>34247.660000000003</v>
      </c>
      <c r="J2965" s="2">
        <v>29533.3</v>
      </c>
      <c r="K2965" s="2">
        <f>Table1[[#This Row],[Salary_after]]-Table1[[#This Row],[Salary_before]]</f>
        <v>-4714.3600000000042</v>
      </c>
      <c r="L2965" s="11">
        <v>-0.13769999999999999</v>
      </c>
      <c r="M2965" s="11">
        <v>0.10279999999999999</v>
      </c>
      <c r="N2965">
        <v>97.2</v>
      </c>
      <c r="O2965">
        <v>69.03</v>
      </c>
      <c r="P2965">
        <v>2</v>
      </c>
      <c r="Q2965" t="s">
        <v>25</v>
      </c>
      <c r="R2965">
        <v>37.085000000000001</v>
      </c>
      <c r="S2965">
        <v>13.77</v>
      </c>
      <c r="T2965" s="4">
        <v>29.713999999999999</v>
      </c>
      <c r="U2965" s="4">
        <v>23.000796000000001</v>
      </c>
      <c r="V2965" t="str">
        <f>IF(Table1[[#This Row],[ai_disruption_intensity]]&gt;70,"High",
IF(Table1[[#This Row],[ai_disruption_intensity]]&gt;40,"Medium","Low"))</f>
        <v>Low</v>
      </c>
      <c r="W2965" t="str">
        <f>IF(Table1[[#This Row],[skill_gap_index]]&gt;70,"Large Gap",
IF(Table1[[#This Row],[skill_gap_index]]&gt;40,"Medium Gap","Small Gap"))</f>
        <v>Medium Gap</v>
      </c>
      <c r="X2965" s="3" t="str">
        <f>IF(Table1[[#This Row],[automation_risk_percent]]&gt;0.7,"Highly Automatable",
IF(Table1[[#This Row],[automation_risk_percent]]&gt;0.4,"Moderate Risk","Safe Job"))</f>
        <v>Safe Job</v>
      </c>
    </row>
    <row r="2966" spans="1:24" x14ac:dyDescent="0.3">
      <c r="A2966">
        <v>10381</v>
      </c>
      <c r="B2966" t="s">
        <v>18</v>
      </c>
      <c r="C2966" t="s">
        <v>23</v>
      </c>
      <c r="D2966" t="s">
        <v>20</v>
      </c>
      <c r="E2966" s="1">
        <v>2025</v>
      </c>
      <c r="F2966" s="11">
        <v>0.41810000000000003</v>
      </c>
      <c r="G2966">
        <v>41.18</v>
      </c>
      <c r="H2966">
        <v>87.87</v>
      </c>
      <c r="I2966" s="2">
        <v>64743.94</v>
      </c>
      <c r="J2966" s="2">
        <v>53232.05</v>
      </c>
      <c r="K2966" s="2">
        <f>Table1[[#This Row],[Salary_after]]-Table1[[#This Row],[Salary_before]]</f>
        <v>-11511.89</v>
      </c>
      <c r="L2966" s="11">
        <v>-0.17780000000000001</v>
      </c>
      <c r="M2966" s="11">
        <v>0.13949999999999999</v>
      </c>
      <c r="N2966">
        <v>20.22</v>
      </c>
      <c r="O2966">
        <v>35.86</v>
      </c>
      <c r="P2966">
        <v>4</v>
      </c>
      <c r="Q2966" t="s">
        <v>25</v>
      </c>
      <c r="R2966">
        <v>64.84</v>
      </c>
      <c r="S2966">
        <v>17.78</v>
      </c>
      <c r="T2966" s="4">
        <v>48.418999999999997</v>
      </c>
      <c r="U2966" s="4">
        <v>14.993066000000001</v>
      </c>
      <c r="V2966" t="str">
        <f>IF(Table1[[#This Row],[ai_disruption_intensity]]&gt;70,"High",
IF(Table1[[#This Row],[ai_disruption_intensity]]&gt;40,"Medium","Low"))</f>
        <v>Low</v>
      </c>
      <c r="W2966" t="str">
        <f>IF(Table1[[#This Row],[skill_gap_index]]&gt;70,"Large Gap",
IF(Table1[[#This Row],[skill_gap_index]]&gt;40,"Medium Gap","Small Gap"))</f>
        <v>Large Gap</v>
      </c>
      <c r="X2966" s="3" t="str">
        <f>IF(Table1[[#This Row],[automation_risk_percent]]&gt;0.7,"Highly Automatable",
IF(Table1[[#This Row],[automation_risk_percent]]&gt;0.4,"Moderate Risk","Safe Job"))</f>
        <v>Moderate Risk</v>
      </c>
    </row>
    <row r="2967" spans="1:24" x14ac:dyDescent="0.3">
      <c r="A2967">
        <v>10385</v>
      </c>
      <c r="B2967" t="s">
        <v>18</v>
      </c>
      <c r="C2967" t="s">
        <v>38</v>
      </c>
      <c r="D2967" t="s">
        <v>31</v>
      </c>
      <c r="E2967" s="1">
        <v>2025</v>
      </c>
      <c r="F2967" s="11">
        <v>0.51100000000000001</v>
      </c>
      <c r="G2967">
        <v>54.69</v>
      </c>
      <c r="H2967">
        <v>55.68</v>
      </c>
      <c r="I2967" s="2">
        <v>45028.160000000003</v>
      </c>
      <c r="J2967" s="2">
        <v>43285.82</v>
      </c>
      <c r="K2967" s="2">
        <f>Table1[[#This Row],[Salary_after]]-Table1[[#This Row],[Salary_before]]</f>
        <v>-1742.3400000000038</v>
      </c>
      <c r="L2967" s="11">
        <v>-3.8699999999999998E-2</v>
      </c>
      <c r="M2967" s="11">
        <v>9.11E-2</v>
      </c>
      <c r="N2967">
        <v>36.28</v>
      </c>
      <c r="O2967">
        <v>66.95</v>
      </c>
      <c r="P2967">
        <v>1</v>
      </c>
      <c r="Q2967" t="s">
        <v>25</v>
      </c>
      <c r="R2967">
        <v>53.39</v>
      </c>
      <c r="S2967">
        <v>3.87</v>
      </c>
      <c r="T2967" s="4">
        <v>38.305</v>
      </c>
      <c r="U2967" s="4">
        <v>34.211449999999999</v>
      </c>
      <c r="V2967" t="str">
        <f>IF(Table1[[#This Row],[ai_disruption_intensity]]&gt;70,"High",
IF(Table1[[#This Row],[ai_disruption_intensity]]&gt;40,"Medium","Low"))</f>
        <v>Low</v>
      </c>
      <c r="W2967" t="str">
        <f>IF(Table1[[#This Row],[skill_gap_index]]&gt;70,"Large Gap",
IF(Table1[[#This Row],[skill_gap_index]]&gt;40,"Medium Gap","Small Gap"))</f>
        <v>Medium Gap</v>
      </c>
      <c r="X2967" s="3" t="str">
        <f>IF(Table1[[#This Row],[automation_risk_percent]]&gt;0.7,"Highly Automatable",
IF(Table1[[#This Row],[automation_risk_percent]]&gt;0.4,"Moderate Risk","Safe Job"))</f>
        <v>Moderate Risk</v>
      </c>
    </row>
    <row r="2968" spans="1:24" x14ac:dyDescent="0.3">
      <c r="A2968">
        <v>10395</v>
      </c>
      <c r="B2968" t="s">
        <v>22</v>
      </c>
      <c r="C2968" t="s">
        <v>19</v>
      </c>
      <c r="D2968" t="s">
        <v>31</v>
      </c>
      <c r="E2968" s="1">
        <v>2025</v>
      </c>
      <c r="F2968" s="11">
        <v>0.2303</v>
      </c>
      <c r="G2968">
        <v>23.55</v>
      </c>
      <c r="H2968">
        <v>69.569999999999993</v>
      </c>
      <c r="I2968" s="2">
        <v>88139.11</v>
      </c>
      <c r="J2968" s="2">
        <v>92240.37</v>
      </c>
      <c r="K2968" s="2">
        <f>Table1[[#This Row],[Salary_after]]-Table1[[#This Row],[Salary_before]]</f>
        <v>4101.2599999999948</v>
      </c>
      <c r="L2968" s="11">
        <v>4.6500000000000007E-2</v>
      </c>
      <c r="M2968" s="11">
        <v>5.28E-2</v>
      </c>
      <c r="N2968">
        <v>68.180000000000007</v>
      </c>
      <c r="O2968">
        <v>52.88</v>
      </c>
      <c r="P2968">
        <v>4</v>
      </c>
      <c r="Q2968" t="s">
        <v>21</v>
      </c>
      <c r="R2968">
        <v>46.3</v>
      </c>
      <c r="S2968">
        <v>4.6500000000000004</v>
      </c>
      <c r="T2968" s="4">
        <v>31.477999999999899</v>
      </c>
      <c r="U2968" s="4">
        <v>12.178264</v>
      </c>
      <c r="V2968" t="str">
        <f>IF(Table1[[#This Row],[ai_disruption_intensity]]&gt;70,"High",
IF(Table1[[#This Row],[ai_disruption_intensity]]&gt;40,"Medium","Low"))</f>
        <v>Low</v>
      </c>
      <c r="W2968" t="str">
        <f>IF(Table1[[#This Row],[skill_gap_index]]&gt;70,"Large Gap",
IF(Table1[[#This Row],[skill_gap_index]]&gt;40,"Medium Gap","Small Gap"))</f>
        <v>Medium Gap</v>
      </c>
      <c r="X2968" s="3" t="str">
        <f>IF(Table1[[#This Row],[automation_risk_percent]]&gt;0.7,"Highly Automatable",
IF(Table1[[#This Row],[automation_risk_percent]]&gt;0.4,"Moderate Risk","Safe Job"))</f>
        <v>Safe Job</v>
      </c>
    </row>
    <row r="2969" spans="1:24" x14ac:dyDescent="0.3">
      <c r="A2969">
        <v>10405</v>
      </c>
      <c r="B2969" t="s">
        <v>39</v>
      </c>
      <c r="C2969" t="s">
        <v>30</v>
      </c>
      <c r="D2969" t="s">
        <v>32</v>
      </c>
      <c r="E2969" s="1">
        <v>2025</v>
      </c>
      <c r="F2969" s="11">
        <v>0.49509999999999998</v>
      </c>
      <c r="G2969">
        <v>43.68</v>
      </c>
      <c r="H2969">
        <v>56.44</v>
      </c>
      <c r="I2969" s="2">
        <v>42053.33</v>
      </c>
      <c r="J2969" s="2">
        <v>39538.51</v>
      </c>
      <c r="K2969" s="2">
        <f>Table1[[#This Row],[Salary_after]]-Table1[[#This Row],[Salary_before]]</f>
        <v>-2514.8199999999997</v>
      </c>
      <c r="L2969" s="11">
        <v>-5.9800000000000006E-2</v>
      </c>
      <c r="M2969" s="11">
        <v>2.9500000000000002E-2</v>
      </c>
      <c r="N2969">
        <v>10.55</v>
      </c>
      <c r="O2969">
        <v>11.23</v>
      </c>
      <c r="P2969">
        <v>5</v>
      </c>
      <c r="Q2969" t="s">
        <v>25</v>
      </c>
      <c r="R2969">
        <v>52.974999999999902</v>
      </c>
      <c r="S2969">
        <v>5.98</v>
      </c>
      <c r="T2969" s="4">
        <v>38.53</v>
      </c>
      <c r="U2969" s="4">
        <v>5.5599730000000003</v>
      </c>
      <c r="V2969" t="str">
        <f>IF(Table1[[#This Row],[ai_disruption_intensity]]&gt;70,"High",
IF(Table1[[#This Row],[ai_disruption_intensity]]&gt;40,"Medium","Low"))</f>
        <v>Low</v>
      </c>
      <c r="W2969" t="str">
        <f>IF(Table1[[#This Row],[skill_gap_index]]&gt;70,"Large Gap",
IF(Table1[[#This Row],[skill_gap_index]]&gt;40,"Medium Gap","Small Gap"))</f>
        <v>Medium Gap</v>
      </c>
      <c r="X2969" s="3" t="str">
        <f>IF(Table1[[#This Row],[automation_risk_percent]]&gt;0.7,"Highly Automatable",
IF(Table1[[#This Row],[automation_risk_percent]]&gt;0.4,"Moderate Risk","Safe Job"))</f>
        <v>Moderate Risk</v>
      </c>
    </row>
    <row r="2970" spans="1:24" x14ac:dyDescent="0.3">
      <c r="A2970">
        <v>10414</v>
      </c>
      <c r="B2970" t="s">
        <v>46</v>
      </c>
      <c r="C2970" t="s">
        <v>23</v>
      </c>
      <c r="D2970" t="s">
        <v>20</v>
      </c>
      <c r="E2970" s="1">
        <v>2025</v>
      </c>
      <c r="F2970" s="11">
        <v>0.3604</v>
      </c>
      <c r="G2970">
        <v>41.54</v>
      </c>
      <c r="H2970">
        <v>1.02</v>
      </c>
      <c r="I2970" s="2">
        <v>124122.79</v>
      </c>
      <c r="J2970" s="2">
        <v>110759.64</v>
      </c>
      <c r="K2970" s="2">
        <f>Table1[[#This Row],[Salary_after]]-Table1[[#This Row],[Salary_before]]</f>
        <v>-13363.149999999994</v>
      </c>
      <c r="L2970" s="11">
        <v>-0.10769999999999999</v>
      </c>
      <c r="M2970" s="11">
        <v>0.29980000000000001</v>
      </c>
      <c r="N2970">
        <v>23.11</v>
      </c>
      <c r="O2970">
        <v>23.41</v>
      </c>
      <c r="P2970">
        <v>1</v>
      </c>
      <c r="Q2970" t="s">
        <v>25</v>
      </c>
      <c r="R2970">
        <v>18.53</v>
      </c>
      <c r="S2970">
        <v>10.77</v>
      </c>
      <c r="T2970" s="4">
        <v>17.952999999999999</v>
      </c>
      <c r="U2970" s="4">
        <v>8.4369639999999997</v>
      </c>
      <c r="V2970" t="str">
        <f>IF(Table1[[#This Row],[ai_disruption_intensity]]&gt;70,"High",
IF(Table1[[#This Row],[ai_disruption_intensity]]&gt;40,"Medium","Low"))</f>
        <v>Low</v>
      </c>
      <c r="W2970" t="str">
        <f>IF(Table1[[#This Row],[skill_gap_index]]&gt;70,"Large Gap",
IF(Table1[[#This Row],[skill_gap_index]]&gt;40,"Medium Gap","Small Gap"))</f>
        <v>Small Gap</v>
      </c>
      <c r="X2970" s="3" t="str">
        <f>IF(Table1[[#This Row],[automation_risk_percent]]&gt;0.7,"Highly Automatable",
IF(Table1[[#This Row],[automation_risk_percent]]&gt;0.4,"Moderate Risk","Safe Job"))</f>
        <v>Safe Job</v>
      </c>
    </row>
    <row r="2971" spans="1:24" x14ac:dyDescent="0.3">
      <c r="A2971">
        <v>10415</v>
      </c>
      <c r="B2971" t="s">
        <v>39</v>
      </c>
      <c r="C2971" t="s">
        <v>40</v>
      </c>
      <c r="D2971" t="s">
        <v>35</v>
      </c>
      <c r="E2971" s="1">
        <v>2025</v>
      </c>
      <c r="F2971" s="11">
        <v>0.6502</v>
      </c>
      <c r="G2971">
        <v>55.89</v>
      </c>
      <c r="H2971">
        <v>52.73</v>
      </c>
      <c r="I2971" s="2">
        <v>54915.56</v>
      </c>
      <c r="J2971" s="2">
        <v>45661.18</v>
      </c>
      <c r="K2971" s="2">
        <f>Table1[[#This Row],[Salary_after]]-Table1[[#This Row],[Salary_before]]</f>
        <v>-9254.3799999999974</v>
      </c>
      <c r="L2971" s="11">
        <v>-0.16850000000000001</v>
      </c>
      <c r="M2971" s="11">
        <v>4.2599999999999999E-2</v>
      </c>
      <c r="N2971">
        <v>41.6</v>
      </c>
      <c r="O2971">
        <v>80.239999999999995</v>
      </c>
      <c r="P2971">
        <v>3</v>
      </c>
      <c r="Q2971" t="s">
        <v>37</v>
      </c>
      <c r="R2971">
        <v>58.875</v>
      </c>
      <c r="S2971">
        <v>16.850000000000001</v>
      </c>
      <c r="T2971" s="4">
        <v>46.881999999999998</v>
      </c>
      <c r="U2971" s="4">
        <v>52.172047999999997</v>
      </c>
      <c r="V2971" t="str">
        <f>IF(Table1[[#This Row],[ai_disruption_intensity]]&gt;70,"High",
IF(Table1[[#This Row],[ai_disruption_intensity]]&gt;40,"Medium","Low"))</f>
        <v>Medium</v>
      </c>
      <c r="W2971" t="str">
        <f>IF(Table1[[#This Row],[skill_gap_index]]&gt;70,"Large Gap",
IF(Table1[[#This Row],[skill_gap_index]]&gt;40,"Medium Gap","Small Gap"))</f>
        <v>Medium Gap</v>
      </c>
      <c r="X2971" s="3" t="str">
        <f>IF(Table1[[#This Row],[automation_risk_percent]]&gt;0.7,"Highly Automatable",
IF(Table1[[#This Row],[automation_risk_percent]]&gt;0.4,"Moderate Risk","Safe Job"))</f>
        <v>Moderate Risk</v>
      </c>
    </row>
    <row r="2972" spans="1:24" x14ac:dyDescent="0.3">
      <c r="A2972">
        <v>10422</v>
      </c>
      <c r="B2972" t="s">
        <v>45</v>
      </c>
      <c r="C2972" t="s">
        <v>30</v>
      </c>
      <c r="D2972" t="s">
        <v>36</v>
      </c>
      <c r="E2972" s="1">
        <v>2026</v>
      </c>
      <c r="F2972" s="11">
        <v>0.42009999999999997</v>
      </c>
      <c r="G2972">
        <v>42.17</v>
      </c>
      <c r="H2972">
        <v>12.25</v>
      </c>
      <c r="I2972" s="2">
        <v>78434.34</v>
      </c>
      <c r="J2972" s="2">
        <v>78455.39</v>
      </c>
      <c r="K2972" s="2">
        <f>Table1[[#This Row],[Salary_after]]-Table1[[#This Row],[Salary_before]]</f>
        <v>21.05000000000291</v>
      </c>
      <c r="L2972" s="11">
        <v>2.9999999999999997E-4</v>
      </c>
      <c r="M2972" s="11">
        <v>0.28539999999999999</v>
      </c>
      <c r="N2972">
        <v>85.73</v>
      </c>
      <c r="O2972">
        <v>95.11</v>
      </c>
      <c r="P2972">
        <v>1</v>
      </c>
      <c r="Q2972" t="s">
        <v>25</v>
      </c>
      <c r="R2972">
        <v>27.13</v>
      </c>
      <c r="S2972">
        <v>0.03</v>
      </c>
      <c r="T2972" s="4">
        <v>20.488</v>
      </c>
      <c r="U2972" s="4">
        <v>39.955710999999901</v>
      </c>
      <c r="V2972" t="str">
        <f>IF(Table1[[#This Row],[ai_disruption_intensity]]&gt;70,"High",
IF(Table1[[#This Row],[ai_disruption_intensity]]&gt;40,"Medium","Low"))</f>
        <v>Low</v>
      </c>
      <c r="W2972" t="str">
        <f>IF(Table1[[#This Row],[skill_gap_index]]&gt;70,"Large Gap",
IF(Table1[[#This Row],[skill_gap_index]]&gt;40,"Medium Gap","Small Gap"))</f>
        <v>Small Gap</v>
      </c>
      <c r="X2972" s="3" t="str">
        <f>IF(Table1[[#This Row],[automation_risk_percent]]&gt;0.7,"Highly Automatable",
IF(Table1[[#This Row],[automation_risk_percent]]&gt;0.4,"Moderate Risk","Safe Job"))</f>
        <v>Moderate Risk</v>
      </c>
    </row>
    <row r="2973" spans="1:24" x14ac:dyDescent="0.3">
      <c r="A2973">
        <v>10427</v>
      </c>
      <c r="B2973" t="s">
        <v>29</v>
      </c>
      <c r="C2973" t="s">
        <v>30</v>
      </c>
      <c r="D2973" t="s">
        <v>32</v>
      </c>
      <c r="E2973" s="1">
        <v>2026</v>
      </c>
      <c r="F2973" s="11">
        <v>0.84860000000000002</v>
      </c>
      <c r="G2973">
        <v>84.47</v>
      </c>
      <c r="H2973">
        <v>54.55</v>
      </c>
      <c r="I2973" s="2">
        <v>79037.56</v>
      </c>
      <c r="J2973" s="2">
        <v>80203.27</v>
      </c>
      <c r="K2973" s="2">
        <f>Table1[[#This Row],[Salary_after]]-Table1[[#This Row],[Salary_before]]</f>
        <v>1165.7100000000064</v>
      </c>
      <c r="L2973" s="11">
        <v>1.47E-2</v>
      </c>
      <c r="M2973" s="11">
        <v>4.3099999999999999E-2</v>
      </c>
      <c r="N2973">
        <v>95.54</v>
      </c>
      <c r="O2973">
        <v>47.34</v>
      </c>
      <c r="P2973">
        <v>5</v>
      </c>
      <c r="Q2973" t="s">
        <v>37</v>
      </c>
      <c r="R2973">
        <v>69.704999999999998</v>
      </c>
      <c r="S2973">
        <v>1.47</v>
      </c>
      <c r="T2973" s="4">
        <v>50.75</v>
      </c>
      <c r="U2973" s="4">
        <v>40.172724000000002</v>
      </c>
      <c r="V2973" t="str">
        <f>IF(Table1[[#This Row],[ai_disruption_intensity]]&gt;70,"High",
IF(Table1[[#This Row],[ai_disruption_intensity]]&gt;40,"Medium","Low"))</f>
        <v>Medium</v>
      </c>
      <c r="W2973" t="str">
        <f>IF(Table1[[#This Row],[skill_gap_index]]&gt;70,"Large Gap",
IF(Table1[[#This Row],[skill_gap_index]]&gt;40,"Medium Gap","Small Gap"))</f>
        <v>Medium Gap</v>
      </c>
      <c r="X2973" s="3" t="str">
        <f>IF(Table1[[#This Row],[automation_risk_percent]]&gt;0.7,"Highly Automatable",
IF(Table1[[#This Row],[automation_risk_percent]]&gt;0.4,"Moderate Risk","Safe Job"))</f>
        <v>Highly Automatable</v>
      </c>
    </row>
    <row r="2974" spans="1:24" x14ac:dyDescent="0.3">
      <c r="A2974">
        <v>10431</v>
      </c>
      <c r="B2974" t="s">
        <v>26</v>
      </c>
      <c r="C2974" t="s">
        <v>23</v>
      </c>
      <c r="D2974" t="s">
        <v>36</v>
      </c>
      <c r="E2974" s="1">
        <v>2025</v>
      </c>
      <c r="F2974" s="11">
        <v>0.12</v>
      </c>
      <c r="G2974">
        <v>13.57</v>
      </c>
      <c r="H2974">
        <v>69.89</v>
      </c>
      <c r="I2974" s="2">
        <v>90818.3</v>
      </c>
      <c r="J2974" s="2">
        <v>92302.75</v>
      </c>
      <c r="K2974" s="2">
        <f>Table1[[#This Row],[Salary_after]]-Table1[[#This Row],[Salary_before]]</f>
        <v>1484.4499999999971</v>
      </c>
      <c r="L2974" s="11">
        <v>1.6299999999999999E-2</v>
      </c>
      <c r="M2974" s="11">
        <v>-8.0799999999999997E-2</v>
      </c>
      <c r="N2974">
        <v>24.64</v>
      </c>
      <c r="O2974">
        <v>18.399999999999999</v>
      </c>
      <c r="P2974">
        <v>5</v>
      </c>
      <c r="Q2974" t="s">
        <v>21</v>
      </c>
      <c r="R2974">
        <v>40.945</v>
      </c>
      <c r="S2974">
        <v>1.63</v>
      </c>
      <c r="T2974" s="4">
        <v>26.256</v>
      </c>
      <c r="U2974" s="4">
        <v>2.20799999999999</v>
      </c>
      <c r="V2974" t="str">
        <f>IF(Table1[[#This Row],[ai_disruption_intensity]]&gt;70,"High",
IF(Table1[[#This Row],[ai_disruption_intensity]]&gt;40,"Medium","Low"))</f>
        <v>Low</v>
      </c>
      <c r="W2974" t="str">
        <f>IF(Table1[[#This Row],[skill_gap_index]]&gt;70,"Large Gap",
IF(Table1[[#This Row],[skill_gap_index]]&gt;40,"Medium Gap","Small Gap"))</f>
        <v>Medium Gap</v>
      </c>
      <c r="X2974" s="3" t="str">
        <f>IF(Table1[[#This Row],[automation_risk_percent]]&gt;0.7,"Highly Automatable",
IF(Table1[[#This Row],[automation_risk_percent]]&gt;0.4,"Moderate Risk","Safe Job"))</f>
        <v>Safe Job</v>
      </c>
    </row>
    <row r="2975" spans="1:24" x14ac:dyDescent="0.3">
      <c r="A2975">
        <v>10432</v>
      </c>
      <c r="B2975" t="s">
        <v>39</v>
      </c>
      <c r="C2975" t="s">
        <v>34</v>
      </c>
      <c r="D2975" t="s">
        <v>20</v>
      </c>
      <c r="E2975" s="1">
        <v>2026</v>
      </c>
      <c r="F2975" s="11">
        <v>0.26890000000000003</v>
      </c>
      <c r="G2975">
        <v>28.56</v>
      </c>
      <c r="H2975">
        <v>67.97</v>
      </c>
      <c r="I2975" s="2">
        <v>38731.379999999997</v>
      </c>
      <c r="J2975" s="2">
        <v>37645.279999999999</v>
      </c>
      <c r="K2975" s="2">
        <f>Table1[[#This Row],[Salary_after]]-Table1[[#This Row],[Salary_before]]</f>
        <v>-1086.0999999999985</v>
      </c>
      <c r="L2975" s="11">
        <v>-2.7999999999999997E-2</v>
      </c>
      <c r="M2975" s="11">
        <v>5.91E-2</v>
      </c>
      <c r="N2975">
        <v>91.45</v>
      </c>
      <c r="O2975">
        <v>77.87</v>
      </c>
      <c r="P2975">
        <v>5</v>
      </c>
      <c r="Q2975" t="s">
        <v>21</v>
      </c>
      <c r="R2975">
        <v>47.43</v>
      </c>
      <c r="S2975">
        <v>2.8</v>
      </c>
      <c r="T2975" s="4">
        <v>31.986999999999998</v>
      </c>
      <c r="U2975" s="4">
        <v>20.939243000000001</v>
      </c>
      <c r="V2975" t="str">
        <f>IF(Table1[[#This Row],[ai_disruption_intensity]]&gt;70,"High",
IF(Table1[[#This Row],[ai_disruption_intensity]]&gt;40,"Medium","Low"))</f>
        <v>Low</v>
      </c>
      <c r="W2975" t="str">
        <f>IF(Table1[[#This Row],[skill_gap_index]]&gt;70,"Large Gap",
IF(Table1[[#This Row],[skill_gap_index]]&gt;40,"Medium Gap","Small Gap"))</f>
        <v>Medium Gap</v>
      </c>
      <c r="X2975" s="3" t="str">
        <f>IF(Table1[[#This Row],[automation_risk_percent]]&gt;0.7,"Highly Automatable",
IF(Table1[[#This Row],[automation_risk_percent]]&gt;0.4,"Moderate Risk","Safe Job"))</f>
        <v>Safe Job</v>
      </c>
    </row>
    <row r="2976" spans="1:24" x14ac:dyDescent="0.3">
      <c r="A2976">
        <v>10439</v>
      </c>
      <c r="B2976" t="s">
        <v>22</v>
      </c>
      <c r="C2976" t="s">
        <v>23</v>
      </c>
      <c r="D2976" t="s">
        <v>32</v>
      </c>
      <c r="E2976" s="1">
        <v>2026</v>
      </c>
      <c r="F2976" s="11">
        <v>0.39899999999999997</v>
      </c>
      <c r="G2976">
        <v>36.61</v>
      </c>
      <c r="H2976">
        <v>12.41</v>
      </c>
      <c r="I2976" s="2">
        <v>78915.360000000001</v>
      </c>
      <c r="J2976" s="2">
        <v>77774.09</v>
      </c>
      <c r="K2976" s="2">
        <f>Table1[[#This Row],[Salary_after]]-Table1[[#This Row],[Salary_before]]</f>
        <v>-1141.2700000000041</v>
      </c>
      <c r="L2976" s="11">
        <v>-1.4499999999999999E-2</v>
      </c>
      <c r="M2976" s="11">
        <v>-6.13E-2</v>
      </c>
      <c r="N2976">
        <v>90.32</v>
      </c>
      <c r="O2976">
        <v>32.1</v>
      </c>
      <c r="P2976">
        <v>4</v>
      </c>
      <c r="Q2976" t="s">
        <v>25</v>
      </c>
      <c r="R2976">
        <v>26.155000000000001</v>
      </c>
      <c r="S2976">
        <v>1.45</v>
      </c>
      <c r="T2976" s="4">
        <v>20.117999999999999</v>
      </c>
      <c r="U2976" s="4">
        <v>12.8079</v>
      </c>
      <c r="V2976" t="str">
        <f>IF(Table1[[#This Row],[ai_disruption_intensity]]&gt;70,"High",
IF(Table1[[#This Row],[ai_disruption_intensity]]&gt;40,"Medium","Low"))</f>
        <v>Low</v>
      </c>
      <c r="W2976" t="str">
        <f>IF(Table1[[#This Row],[skill_gap_index]]&gt;70,"Large Gap",
IF(Table1[[#This Row],[skill_gap_index]]&gt;40,"Medium Gap","Small Gap"))</f>
        <v>Small Gap</v>
      </c>
      <c r="X2976" s="3" t="str">
        <f>IF(Table1[[#This Row],[automation_risk_percent]]&gt;0.7,"Highly Automatable",
IF(Table1[[#This Row],[automation_risk_percent]]&gt;0.4,"Moderate Risk","Safe Job"))</f>
        <v>Safe Job</v>
      </c>
    </row>
    <row r="2977" spans="1:24" x14ac:dyDescent="0.3">
      <c r="A2977">
        <v>10444</v>
      </c>
      <c r="B2977" t="s">
        <v>46</v>
      </c>
      <c r="C2977" t="s">
        <v>30</v>
      </c>
      <c r="D2977" t="s">
        <v>28</v>
      </c>
      <c r="E2977" s="1">
        <v>2026</v>
      </c>
      <c r="F2977" s="11">
        <v>6.4500000000000002E-2</v>
      </c>
      <c r="G2977">
        <v>5.98</v>
      </c>
      <c r="H2977">
        <v>42.22</v>
      </c>
      <c r="I2977" s="2">
        <v>51226.35</v>
      </c>
      <c r="J2977" s="2">
        <v>60699.62</v>
      </c>
      <c r="K2977" s="2">
        <f>Table1[[#This Row],[Salary_after]]-Table1[[#This Row],[Salary_before]]</f>
        <v>9473.2700000000041</v>
      </c>
      <c r="L2977" s="11">
        <v>0.18489999999999998</v>
      </c>
      <c r="M2977" s="11">
        <v>2.2099999999999998E-2</v>
      </c>
      <c r="N2977">
        <v>49.33</v>
      </c>
      <c r="O2977">
        <v>23.41</v>
      </c>
      <c r="P2977">
        <v>5</v>
      </c>
      <c r="Q2977" t="s">
        <v>21</v>
      </c>
      <c r="R2977">
        <v>24.335000000000001</v>
      </c>
      <c r="S2977">
        <v>18.489999999999998</v>
      </c>
      <c r="T2977" s="4">
        <v>20.792999999999999</v>
      </c>
      <c r="U2977" s="4">
        <v>1.5099450000000001</v>
      </c>
      <c r="V2977" t="str">
        <f>IF(Table1[[#This Row],[ai_disruption_intensity]]&gt;70,"High",
IF(Table1[[#This Row],[ai_disruption_intensity]]&gt;40,"Medium","Low"))</f>
        <v>Low</v>
      </c>
      <c r="W2977" t="str">
        <f>IF(Table1[[#This Row],[skill_gap_index]]&gt;70,"Large Gap",
IF(Table1[[#This Row],[skill_gap_index]]&gt;40,"Medium Gap","Small Gap"))</f>
        <v>Medium Gap</v>
      </c>
      <c r="X2977" s="3" t="str">
        <f>IF(Table1[[#This Row],[automation_risk_percent]]&gt;0.7,"Highly Automatable",
IF(Table1[[#This Row],[automation_risk_percent]]&gt;0.4,"Moderate Risk","Safe Job"))</f>
        <v>Safe Job</v>
      </c>
    </row>
    <row r="2978" spans="1:24" x14ac:dyDescent="0.3">
      <c r="A2978">
        <v>10445</v>
      </c>
      <c r="B2978" t="s">
        <v>45</v>
      </c>
      <c r="C2978" t="s">
        <v>33</v>
      </c>
      <c r="D2978" t="s">
        <v>20</v>
      </c>
      <c r="E2978" s="1">
        <v>2025</v>
      </c>
      <c r="F2978" s="11">
        <v>0.39039999999999997</v>
      </c>
      <c r="G2978">
        <v>40.479999999999997</v>
      </c>
      <c r="H2978">
        <v>93.64</v>
      </c>
      <c r="I2978" s="2">
        <v>89933.38</v>
      </c>
      <c r="J2978" s="2">
        <v>79672.38</v>
      </c>
      <c r="K2978" s="2">
        <f>Table1[[#This Row],[Salary_after]]-Table1[[#This Row],[Salary_before]]</f>
        <v>-10261</v>
      </c>
      <c r="L2978" s="11">
        <v>-0.11410000000000001</v>
      </c>
      <c r="M2978" s="11">
        <v>6.9099999999999995E-2</v>
      </c>
      <c r="N2978">
        <v>88.78</v>
      </c>
      <c r="O2978">
        <v>86.24</v>
      </c>
      <c r="P2978">
        <v>2</v>
      </c>
      <c r="Q2978" t="s">
        <v>25</v>
      </c>
      <c r="R2978">
        <v>66.34</v>
      </c>
      <c r="S2978">
        <v>11.41</v>
      </c>
      <c r="T2978" s="4">
        <v>47.131</v>
      </c>
      <c r="U2978" s="4">
        <v>33.668095999999998</v>
      </c>
      <c r="V2978" t="str">
        <f>IF(Table1[[#This Row],[ai_disruption_intensity]]&gt;70,"High",
IF(Table1[[#This Row],[ai_disruption_intensity]]&gt;40,"Medium","Low"))</f>
        <v>Low</v>
      </c>
      <c r="W2978" t="str">
        <f>IF(Table1[[#This Row],[skill_gap_index]]&gt;70,"Large Gap",
IF(Table1[[#This Row],[skill_gap_index]]&gt;40,"Medium Gap","Small Gap"))</f>
        <v>Large Gap</v>
      </c>
      <c r="X2978" s="3" t="str">
        <f>IF(Table1[[#This Row],[automation_risk_percent]]&gt;0.7,"Highly Automatable",
IF(Table1[[#This Row],[automation_risk_percent]]&gt;0.4,"Moderate Risk","Safe Job"))</f>
        <v>Safe Job</v>
      </c>
    </row>
    <row r="2979" spans="1:24" x14ac:dyDescent="0.3">
      <c r="A2979">
        <v>10451</v>
      </c>
      <c r="B2979" t="s">
        <v>18</v>
      </c>
      <c r="C2979" t="s">
        <v>40</v>
      </c>
      <c r="D2979" t="s">
        <v>36</v>
      </c>
      <c r="E2979" s="1">
        <v>2025</v>
      </c>
      <c r="F2979" s="11">
        <v>0.32280000000000003</v>
      </c>
      <c r="G2979">
        <v>26.28</v>
      </c>
      <c r="H2979">
        <v>88.91</v>
      </c>
      <c r="I2979" s="2">
        <v>89266.880000000005</v>
      </c>
      <c r="J2979" s="2">
        <v>116139.86</v>
      </c>
      <c r="K2979" s="2">
        <f>Table1[[#This Row],[Salary_after]]-Table1[[#This Row],[Salary_before]]</f>
        <v>26872.979999999996</v>
      </c>
      <c r="L2979" s="11">
        <v>0.30099999999999999</v>
      </c>
      <c r="M2979" s="11">
        <v>3.2799999999999996E-2</v>
      </c>
      <c r="N2979">
        <v>26.19</v>
      </c>
      <c r="O2979">
        <v>71.489999999999995</v>
      </c>
      <c r="P2979">
        <v>4</v>
      </c>
      <c r="Q2979" t="s">
        <v>25</v>
      </c>
      <c r="R2979">
        <v>60.594999999999999</v>
      </c>
      <c r="S2979">
        <v>30.1</v>
      </c>
      <c r="T2979" s="4">
        <v>48.615000000000002</v>
      </c>
      <c r="U2979" s="4">
        <v>23.076972000000001</v>
      </c>
      <c r="V2979" t="str">
        <f>IF(Table1[[#This Row],[ai_disruption_intensity]]&gt;70,"High",
IF(Table1[[#This Row],[ai_disruption_intensity]]&gt;40,"Medium","Low"))</f>
        <v>Low</v>
      </c>
      <c r="W2979" t="str">
        <f>IF(Table1[[#This Row],[skill_gap_index]]&gt;70,"Large Gap",
IF(Table1[[#This Row],[skill_gap_index]]&gt;40,"Medium Gap","Small Gap"))</f>
        <v>Large Gap</v>
      </c>
      <c r="X2979" s="3" t="str">
        <f>IF(Table1[[#This Row],[automation_risk_percent]]&gt;0.7,"Highly Automatable",
IF(Table1[[#This Row],[automation_risk_percent]]&gt;0.4,"Moderate Risk","Safe Job"))</f>
        <v>Safe Job</v>
      </c>
    </row>
    <row r="2980" spans="1:24" x14ac:dyDescent="0.3">
      <c r="A2980">
        <v>10454</v>
      </c>
      <c r="B2980" t="s">
        <v>46</v>
      </c>
      <c r="C2980" t="s">
        <v>27</v>
      </c>
      <c r="D2980" t="s">
        <v>42</v>
      </c>
      <c r="E2980" s="1">
        <v>2025</v>
      </c>
      <c r="F2980" s="11">
        <v>0.39100000000000001</v>
      </c>
      <c r="G2980">
        <v>40.049999999999997</v>
      </c>
      <c r="H2980">
        <v>51.13</v>
      </c>
      <c r="I2980" s="2">
        <v>84888.27</v>
      </c>
      <c r="J2980" s="2">
        <v>80568.160000000003</v>
      </c>
      <c r="K2980" s="2">
        <f>Table1[[#This Row],[Salary_after]]-Table1[[#This Row],[Salary_before]]</f>
        <v>-4320.1100000000006</v>
      </c>
      <c r="L2980" s="11">
        <v>-5.0900000000000001E-2</v>
      </c>
      <c r="M2980" s="11">
        <v>-1.52E-2</v>
      </c>
      <c r="N2980">
        <v>21.12</v>
      </c>
      <c r="O2980">
        <v>72.349999999999994</v>
      </c>
      <c r="P2980">
        <v>2</v>
      </c>
      <c r="Q2980" t="s">
        <v>25</v>
      </c>
      <c r="R2980">
        <v>45.115000000000002</v>
      </c>
      <c r="S2980">
        <v>5.09</v>
      </c>
      <c r="T2980" s="4">
        <v>32.506</v>
      </c>
      <c r="U2980" s="4">
        <v>28.288849999999901</v>
      </c>
      <c r="V2980" t="str">
        <f>IF(Table1[[#This Row],[ai_disruption_intensity]]&gt;70,"High",
IF(Table1[[#This Row],[ai_disruption_intensity]]&gt;40,"Medium","Low"))</f>
        <v>Low</v>
      </c>
      <c r="W2980" t="str">
        <f>IF(Table1[[#This Row],[skill_gap_index]]&gt;70,"Large Gap",
IF(Table1[[#This Row],[skill_gap_index]]&gt;40,"Medium Gap","Small Gap"))</f>
        <v>Medium Gap</v>
      </c>
      <c r="X2980" s="3" t="str">
        <f>IF(Table1[[#This Row],[automation_risk_percent]]&gt;0.7,"Highly Automatable",
IF(Table1[[#This Row],[automation_risk_percent]]&gt;0.4,"Moderate Risk","Safe Job"))</f>
        <v>Safe Job</v>
      </c>
    </row>
    <row r="2981" spans="1:24" x14ac:dyDescent="0.3">
      <c r="A2981">
        <v>10455</v>
      </c>
      <c r="B2981" t="s">
        <v>18</v>
      </c>
      <c r="C2981" t="s">
        <v>27</v>
      </c>
      <c r="D2981" t="s">
        <v>35</v>
      </c>
      <c r="E2981" s="1">
        <v>2026</v>
      </c>
      <c r="F2981" s="11">
        <v>0.621</v>
      </c>
      <c r="G2981">
        <v>65.540000000000006</v>
      </c>
      <c r="H2981">
        <v>91.76</v>
      </c>
      <c r="I2981" s="2">
        <v>61795.7</v>
      </c>
      <c r="J2981" s="2">
        <v>58965.42</v>
      </c>
      <c r="K2981" s="2">
        <f>Table1[[#This Row],[Salary_after]]-Table1[[#This Row],[Salary_before]]</f>
        <v>-2830.2799999999988</v>
      </c>
      <c r="L2981" s="11">
        <v>-4.58E-2</v>
      </c>
      <c r="M2981" s="11">
        <v>9.6799999999999997E-2</v>
      </c>
      <c r="N2981">
        <v>16.100000000000001</v>
      </c>
      <c r="O2981">
        <v>0.01</v>
      </c>
      <c r="P2981">
        <v>2</v>
      </c>
      <c r="Q2981" t="s">
        <v>37</v>
      </c>
      <c r="R2981">
        <v>76.930000000000007</v>
      </c>
      <c r="S2981">
        <v>4.58</v>
      </c>
      <c r="T2981" s="4">
        <v>53.741999999999997</v>
      </c>
      <c r="U2981" s="4">
        <v>6.2100000000000002E-3</v>
      </c>
      <c r="V2981" t="str">
        <f>IF(Table1[[#This Row],[ai_disruption_intensity]]&gt;70,"High",
IF(Table1[[#This Row],[ai_disruption_intensity]]&gt;40,"Medium","Low"))</f>
        <v>Low</v>
      </c>
      <c r="W2981" t="str">
        <f>IF(Table1[[#This Row],[skill_gap_index]]&gt;70,"Large Gap",
IF(Table1[[#This Row],[skill_gap_index]]&gt;40,"Medium Gap","Small Gap"))</f>
        <v>Large Gap</v>
      </c>
      <c r="X2981" s="3" t="str">
        <f>IF(Table1[[#This Row],[automation_risk_percent]]&gt;0.7,"Highly Automatable",
IF(Table1[[#This Row],[automation_risk_percent]]&gt;0.4,"Moderate Risk","Safe Job"))</f>
        <v>Moderate Risk</v>
      </c>
    </row>
    <row r="2982" spans="1:24" x14ac:dyDescent="0.3">
      <c r="A2982">
        <v>10457</v>
      </c>
      <c r="B2982" t="s">
        <v>29</v>
      </c>
      <c r="C2982" t="s">
        <v>19</v>
      </c>
      <c r="D2982" t="s">
        <v>32</v>
      </c>
      <c r="E2982" s="1">
        <v>2025</v>
      </c>
      <c r="F2982" s="11">
        <v>0.33729999999999999</v>
      </c>
      <c r="G2982">
        <v>40.11</v>
      </c>
      <c r="H2982">
        <v>0.2</v>
      </c>
      <c r="I2982" s="2">
        <v>122654.22</v>
      </c>
      <c r="J2982" s="2">
        <v>112105.34</v>
      </c>
      <c r="K2982" s="2">
        <f>Table1[[#This Row],[Salary_after]]-Table1[[#This Row],[Salary_before]]</f>
        <v>-10548.880000000005</v>
      </c>
      <c r="L2982" s="11">
        <v>-8.5999999999999993E-2</v>
      </c>
      <c r="M2982" s="11">
        <v>5.5500000000000001E-2</v>
      </c>
      <c r="N2982">
        <v>20.8</v>
      </c>
      <c r="O2982">
        <v>59</v>
      </c>
      <c r="P2982">
        <v>4</v>
      </c>
      <c r="Q2982" t="s">
        <v>25</v>
      </c>
      <c r="R2982">
        <v>16.965</v>
      </c>
      <c r="S2982">
        <v>8.6</v>
      </c>
      <c r="T2982" s="4">
        <v>16.131999999999898</v>
      </c>
      <c r="U2982" s="4">
        <v>19.900699999999901</v>
      </c>
      <c r="V2982" t="str">
        <f>IF(Table1[[#This Row],[ai_disruption_intensity]]&gt;70,"High",
IF(Table1[[#This Row],[ai_disruption_intensity]]&gt;40,"Medium","Low"))</f>
        <v>Low</v>
      </c>
      <c r="W2982" t="str">
        <f>IF(Table1[[#This Row],[skill_gap_index]]&gt;70,"Large Gap",
IF(Table1[[#This Row],[skill_gap_index]]&gt;40,"Medium Gap","Small Gap"))</f>
        <v>Small Gap</v>
      </c>
      <c r="X2982" s="3" t="str">
        <f>IF(Table1[[#This Row],[automation_risk_percent]]&gt;0.7,"Highly Automatable",
IF(Table1[[#This Row],[automation_risk_percent]]&gt;0.4,"Moderate Risk","Safe Job"))</f>
        <v>Safe Job</v>
      </c>
    </row>
    <row r="2983" spans="1:24" x14ac:dyDescent="0.3">
      <c r="A2983">
        <v>10461</v>
      </c>
      <c r="B2983" t="s">
        <v>45</v>
      </c>
      <c r="C2983" t="s">
        <v>23</v>
      </c>
      <c r="D2983" t="s">
        <v>42</v>
      </c>
      <c r="E2983" s="1">
        <v>2026</v>
      </c>
      <c r="F2983" s="11">
        <v>0.51239999999999997</v>
      </c>
      <c r="G2983">
        <v>59.18</v>
      </c>
      <c r="H2983">
        <v>63.07</v>
      </c>
      <c r="I2983" s="2">
        <v>93097.86</v>
      </c>
      <c r="J2983" s="2">
        <v>115507.03</v>
      </c>
      <c r="K2983" s="2">
        <f>Table1[[#This Row],[Salary_after]]-Table1[[#This Row],[Salary_before]]</f>
        <v>22409.17</v>
      </c>
      <c r="L2983" s="11">
        <v>0.2407</v>
      </c>
      <c r="M2983" s="11">
        <v>5.4699999999999999E-2</v>
      </c>
      <c r="N2983">
        <v>56.5</v>
      </c>
      <c r="O2983">
        <v>27.27</v>
      </c>
      <c r="P2983">
        <v>2</v>
      </c>
      <c r="Q2983" t="s">
        <v>25</v>
      </c>
      <c r="R2983">
        <v>57.155000000000001</v>
      </c>
      <c r="S2983">
        <v>24.07</v>
      </c>
      <c r="T2983" s="4">
        <v>46.637999999999998</v>
      </c>
      <c r="U2983" s="4">
        <v>13.973148</v>
      </c>
      <c r="V2983" t="str">
        <f>IF(Table1[[#This Row],[ai_disruption_intensity]]&gt;70,"High",
IF(Table1[[#This Row],[ai_disruption_intensity]]&gt;40,"Medium","Low"))</f>
        <v>Low</v>
      </c>
      <c r="W2983" t="str">
        <f>IF(Table1[[#This Row],[skill_gap_index]]&gt;70,"Large Gap",
IF(Table1[[#This Row],[skill_gap_index]]&gt;40,"Medium Gap","Small Gap"))</f>
        <v>Medium Gap</v>
      </c>
      <c r="X2983" s="3" t="str">
        <f>IF(Table1[[#This Row],[automation_risk_percent]]&gt;0.7,"Highly Automatable",
IF(Table1[[#This Row],[automation_risk_percent]]&gt;0.4,"Moderate Risk","Safe Job"))</f>
        <v>Moderate Risk</v>
      </c>
    </row>
    <row r="2984" spans="1:24" x14ac:dyDescent="0.3">
      <c r="A2984">
        <v>10465</v>
      </c>
      <c r="B2984" t="s">
        <v>39</v>
      </c>
      <c r="C2984" t="s">
        <v>34</v>
      </c>
      <c r="D2984" t="s">
        <v>20</v>
      </c>
      <c r="E2984" s="1">
        <v>2025</v>
      </c>
      <c r="F2984" s="11">
        <v>0.52490000000000003</v>
      </c>
      <c r="G2984">
        <v>60.86</v>
      </c>
      <c r="H2984">
        <v>35.78</v>
      </c>
      <c r="I2984" s="2">
        <v>70109.66</v>
      </c>
      <c r="J2984" s="2">
        <v>80647.259999999995</v>
      </c>
      <c r="K2984" s="2">
        <f>Table1[[#This Row],[Salary_after]]-Table1[[#This Row],[Salary_before]]</f>
        <v>10537.599999999991</v>
      </c>
      <c r="L2984" s="11">
        <v>0.15029999999999999</v>
      </c>
      <c r="M2984" s="11">
        <v>0.15039999999999998</v>
      </c>
      <c r="N2984">
        <v>51.2</v>
      </c>
      <c r="O2984">
        <v>85.96</v>
      </c>
      <c r="P2984">
        <v>2</v>
      </c>
      <c r="Q2984" t="s">
        <v>25</v>
      </c>
      <c r="R2984">
        <v>44.134999999999998</v>
      </c>
      <c r="S2984">
        <v>15.03</v>
      </c>
      <c r="T2984" s="4">
        <v>36.238999999999997</v>
      </c>
      <c r="U2984" s="4">
        <v>45.120404000000001</v>
      </c>
      <c r="V2984" t="str">
        <f>IF(Table1[[#This Row],[ai_disruption_intensity]]&gt;70,"High",
IF(Table1[[#This Row],[ai_disruption_intensity]]&gt;40,"Medium","Low"))</f>
        <v>Medium</v>
      </c>
      <c r="W2984" t="str">
        <f>IF(Table1[[#This Row],[skill_gap_index]]&gt;70,"Large Gap",
IF(Table1[[#This Row],[skill_gap_index]]&gt;40,"Medium Gap","Small Gap"))</f>
        <v>Small Gap</v>
      </c>
      <c r="X2984" s="3" t="str">
        <f>IF(Table1[[#This Row],[automation_risk_percent]]&gt;0.7,"Highly Automatable",
IF(Table1[[#This Row],[automation_risk_percent]]&gt;0.4,"Moderate Risk","Safe Job"))</f>
        <v>Moderate Risk</v>
      </c>
    </row>
    <row r="2985" spans="1:24" x14ac:dyDescent="0.3">
      <c r="A2985">
        <v>10468</v>
      </c>
      <c r="B2985" t="s">
        <v>41</v>
      </c>
      <c r="C2985" t="s">
        <v>23</v>
      </c>
      <c r="D2985" t="s">
        <v>32</v>
      </c>
      <c r="E2985" s="1">
        <v>2025</v>
      </c>
      <c r="F2985" s="11">
        <v>0.26619999999999999</v>
      </c>
      <c r="G2985">
        <v>29.09</v>
      </c>
      <c r="H2985">
        <v>63.8</v>
      </c>
      <c r="I2985" s="2">
        <v>53492.79</v>
      </c>
      <c r="J2985" s="2">
        <v>46922.64</v>
      </c>
      <c r="K2985" s="2">
        <f>Table1[[#This Row],[Salary_after]]-Table1[[#This Row],[Salary_before]]</f>
        <v>-6570.1500000000015</v>
      </c>
      <c r="L2985" s="11">
        <v>-0.12279999999999999</v>
      </c>
      <c r="M2985" s="11">
        <v>0.23629999999999998</v>
      </c>
      <c r="N2985">
        <v>17.61</v>
      </c>
      <c r="O2985">
        <v>52.37</v>
      </c>
      <c r="P2985">
        <v>1</v>
      </c>
      <c r="Q2985" t="s">
        <v>21</v>
      </c>
      <c r="R2985">
        <v>45.21</v>
      </c>
      <c r="S2985">
        <v>12.28</v>
      </c>
      <c r="T2985" s="4">
        <v>33.471999999999902</v>
      </c>
      <c r="U2985" s="4">
        <v>13.940894</v>
      </c>
      <c r="V2985" t="str">
        <f>IF(Table1[[#This Row],[ai_disruption_intensity]]&gt;70,"High",
IF(Table1[[#This Row],[ai_disruption_intensity]]&gt;40,"Medium","Low"))</f>
        <v>Low</v>
      </c>
      <c r="W2985" t="str">
        <f>IF(Table1[[#This Row],[skill_gap_index]]&gt;70,"Large Gap",
IF(Table1[[#This Row],[skill_gap_index]]&gt;40,"Medium Gap","Small Gap"))</f>
        <v>Medium Gap</v>
      </c>
      <c r="X2985" s="3" t="str">
        <f>IF(Table1[[#This Row],[automation_risk_percent]]&gt;0.7,"Highly Automatable",
IF(Table1[[#This Row],[automation_risk_percent]]&gt;0.4,"Moderate Risk","Safe Job"))</f>
        <v>Safe Job</v>
      </c>
    </row>
    <row r="2986" spans="1:24" x14ac:dyDescent="0.3">
      <c r="A2986">
        <v>10471</v>
      </c>
      <c r="B2986" t="s">
        <v>26</v>
      </c>
      <c r="C2986" t="s">
        <v>30</v>
      </c>
      <c r="D2986" t="s">
        <v>42</v>
      </c>
      <c r="E2986" s="1">
        <v>2025</v>
      </c>
      <c r="F2986" s="11">
        <v>0.1578</v>
      </c>
      <c r="G2986">
        <v>17.97</v>
      </c>
      <c r="H2986">
        <v>15.54</v>
      </c>
      <c r="I2986" s="2">
        <v>70777.960000000006</v>
      </c>
      <c r="J2986" s="2">
        <v>70251.460000000006</v>
      </c>
      <c r="K2986" s="2">
        <f>Table1[[#This Row],[Salary_after]]-Table1[[#This Row],[Salary_before]]</f>
        <v>-526.5</v>
      </c>
      <c r="L2986" s="11">
        <v>-7.4000000000000003E-3</v>
      </c>
      <c r="M2986" s="11">
        <v>0.16070000000000001</v>
      </c>
      <c r="N2986">
        <v>26.52</v>
      </c>
      <c r="O2986">
        <v>73.72</v>
      </c>
      <c r="P2986">
        <v>2</v>
      </c>
      <c r="Q2986" t="s">
        <v>21</v>
      </c>
      <c r="R2986">
        <v>15.66</v>
      </c>
      <c r="S2986">
        <v>0.74</v>
      </c>
      <c r="T2986" s="4">
        <v>11.196</v>
      </c>
      <c r="U2986" s="4">
        <v>11.633016</v>
      </c>
      <c r="V2986" t="str">
        <f>IF(Table1[[#This Row],[ai_disruption_intensity]]&gt;70,"High",
IF(Table1[[#This Row],[ai_disruption_intensity]]&gt;40,"Medium","Low"))</f>
        <v>Low</v>
      </c>
      <c r="W2986" t="str">
        <f>IF(Table1[[#This Row],[skill_gap_index]]&gt;70,"Large Gap",
IF(Table1[[#This Row],[skill_gap_index]]&gt;40,"Medium Gap","Small Gap"))</f>
        <v>Small Gap</v>
      </c>
      <c r="X2986" s="3" t="str">
        <f>IF(Table1[[#This Row],[automation_risk_percent]]&gt;0.7,"Highly Automatable",
IF(Table1[[#This Row],[automation_risk_percent]]&gt;0.4,"Moderate Risk","Safe Job"))</f>
        <v>Safe Job</v>
      </c>
    </row>
    <row r="2987" spans="1:24" x14ac:dyDescent="0.3">
      <c r="A2987">
        <v>10472</v>
      </c>
      <c r="B2987" t="s">
        <v>45</v>
      </c>
      <c r="C2987" t="s">
        <v>19</v>
      </c>
      <c r="D2987" t="s">
        <v>47</v>
      </c>
      <c r="E2987" s="1">
        <v>2026</v>
      </c>
      <c r="F2987" s="11">
        <v>0.29870000000000002</v>
      </c>
      <c r="G2987">
        <v>32</v>
      </c>
      <c r="H2987">
        <v>79.09</v>
      </c>
      <c r="I2987" s="2">
        <v>98319.46</v>
      </c>
      <c r="J2987" s="2">
        <v>86756.24</v>
      </c>
      <c r="K2987" s="2">
        <f>Table1[[#This Row],[Salary_after]]-Table1[[#This Row],[Salary_before]]</f>
        <v>-11563.220000000001</v>
      </c>
      <c r="L2987" s="11">
        <v>-0.1176</v>
      </c>
      <c r="M2987" s="11">
        <v>6.7099999999999993E-2</v>
      </c>
      <c r="N2987">
        <v>73.86</v>
      </c>
      <c r="O2987">
        <v>41.01</v>
      </c>
      <c r="P2987">
        <v>5</v>
      </c>
      <c r="Q2987" t="s">
        <v>21</v>
      </c>
      <c r="R2987">
        <v>54.48</v>
      </c>
      <c r="S2987">
        <v>11.76</v>
      </c>
      <c r="T2987" s="4">
        <v>39.202999999999903</v>
      </c>
      <c r="U2987" s="4">
        <v>12.249687</v>
      </c>
      <c r="V2987" t="str">
        <f>IF(Table1[[#This Row],[ai_disruption_intensity]]&gt;70,"High",
IF(Table1[[#This Row],[ai_disruption_intensity]]&gt;40,"Medium","Low"))</f>
        <v>Low</v>
      </c>
      <c r="W2987" t="str">
        <f>IF(Table1[[#This Row],[skill_gap_index]]&gt;70,"Large Gap",
IF(Table1[[#This Row],[skill_gap_index]]&gt;40,"Medium Gap","Small Gap"))</f>
        <v>Large Gap</v>
      </c>
      <c r="X2987" s="3" t="str">
        <f>IF(Table1[[#This Row],[automation_risk_percent]]&gt;0.7,"Highly Automatable",
IF(Table1[[#This Row],[automation_risk_percent]]&gt;0.4,"Moderate Risk","Safe Job"))</f>
        <v>Safe Job</v>
      </c>
    </row>
    <row r="2988" spans="1:24" x14ac:dyDescent="0.3">
      <c r="A2988">
        <v>10475</v>
      </c>
      <c r="B2988" t="s">
        <v>45</v>
      </c>
      <c r="C2988" t="s">
        <v>38</v>
      </c>
      <c r="D2988" t="s">
        <v>47</v>
      </c>
      <c r="E2988" s="1">
        <v>2025</v>
      </c>
      <c r="F2988" s="11">
        <v>0.3982</v>
      </c>
      <c r="G2988">
        <v>47.76</v>
      </c>
      <c r="H2988">
        <v>37.340000000000003</v>
      </c>
      <c r="I2988" s="2">
        <v>40339.9</v>
      </c>
      <c r="J2988" s="2">
        <v>42591.28</v>
      </c>
      <c r="K2988" s="2">
        <f>Table1[[#This Row],[Salary_after]]-Table1[[#This Row],[Salary_before]]</f>
        <v>2251.3799999999974</v>
      </c>
      <c r="L2988" s="11">
        <v>5.5800000000000002E-2</v>
      </c>
      <c r="M2988" s="11">
        <v>0.20280000000000001</v>
      </c>
      <c r="N2988">
        <v>50.01</v>
      </c>
      <c r="O2988">
        <v>90.87</v>
      </c>
      <c r="P2988">
        <v>5</v>
      </c>
      <c r="Q2988" t="s">
        <v>25</v>
      </c>
      <c r="R2988">
        <v>38.58</v>
      </c>
      <c r="S2988">
        <v>5.58</v>
      </c>
      <c r="T2988" s="4">
        <v>28.803999999999998</v>
      </c>
      <c r="U2988" s="4">
        <v>36.184434000000003</v>
      </c>
      <c r="V2988" t="str">
        <f>IF(Table1[[#This Row],[ai_disruption_intensity]]&gt;70,"High",
IF(Table1[[#This Row],[ai_disruption_intensity]]&gt;40,"Medium","Low"))</f>
        <v>Low</v>
      </c>
      <c r="W2988" t="str">
        <f>IF(Table1[[#This Row],[skill_gap_index]]&gt;70,"Large Gap",
IF(Table1[[#This Row],[skill_gap_index]]&gt;40,"Medium Gap","Small Gap"))</f>
        <v>Small Gap</v>
      </c>
      <c r="X2988" s="3" t="str">
        <f>IF(Table1[[#This Row],[automation_risk_percent]]&gt;0.7,"Highly Automatable",
IF(Table1[[#This Row],[automation_risk_percent]]&gt;0.4,"Moderate Risk","Safe Job"))</f>
        <v>Safe Job</v>
      </c>
    </row>
    <row r="2989" spans="1:24" x14ac:dyDescent="0.3">
      <c r="A2989">
        <v>10478</v>
      </c>
      <c r="B2989" t="s">
        <v>26</v>
      </c>
      <c r="C2989" t="s">
        <v>40</v>
      </c>
      <c r="D2989" t="s">
        <v>35</v>
      </c>
      <c r="E2989" s="1">
        <v>2026</v>
      </c>
      <c r="F2989" s="11">
        <v>0.57779999999999998</v>
      </c>
      <c r="G2989">
        <v>64.31</v>
      </c>
      <c r="H2989">
        <v>66.680000000000007</v>
      </c>
      <c r="I2989" s="2">
        <v>56339.08</v>
      </c>
      <c r="J2989" s="2">
        <v>58918.12</v>
      </c>
      <c r="K2989" s="2">
        <f>Table1[[#This Row],[Salary_after]]-Table1[[#This Row],[Salary_before]]</f>
        <v>2579.0400000000009</v>
      </c>
      <c r="L2989" s="11">
        <v>4.58E-2</v>
      </c>
      <c r="M2989" s="11">
        <v>3.0899999999999997E-2</v>
      </c>
      <c r="N2989">
        <v>26.16</v>
      </c>
      <c r="O2989">
        <v>17.52</v>
      </c>
      <c r="P2989">
        <v>2</v>
      </c>
      <c r="Q2989" t="s">
        <v>25</v>
      </c>
      <c r="R2989">
        <v>62.23</v>
      </c>
      <c r="S2989">
        <v>4.58</v>
      </c>
      <c r="T2989" s="4">
        <v>44.49</v>
      </c>
      <c r="U2989" s="4">
        <v>10.123056</v>
      </c>
      <c r="V2989" t="str">
        <f>IF(Table1[[#This Row],[ai_disruption_intensity]]&gt;70,"High",
IF(Table1[[#This Row],[ai_disruption_intensity]]&gt;40,"Medium","Low"))</f>
        <v>Low</v>
      </c>
      <c r="W2989" t="str">
        <f>IF(Table1[[#This Row],[skill_gap_index]]&gt;70,"Large Gap",
IF(Table1[[#This Row],[skill_gap_index]]&gt;40,"Medium Gap","Small Gap"))</f>
        <v>Medium Gap</v>
      </c>
      <c r="X2989" s="3" t="str">
        <f>IF(Table1[[#This Row],[automation_risk_percent]]&gt;0.7,"Highly Automatable",
IF(Table1[[#This Row],[automation_risk_percent]]&gt;0.4,"Moderate Risk","Safe Job"))</f>
        <v>Moderate Risk</v>
      </c>
    </row>
    <row r="2990" spans="1:24" x14ac:dyDescent="0.3">
      <c r="A2990">
        <v>10479</v>
      </c>
      <c r="B2990" t="s">
        <v>39</v>
      </c>
      <c r="C2990" t="s">
        <v>40</v>
      </c>
      <c r="D2990" t="s">
        <v>47</v>
      </c>
      <c r="E2990" s="1">
        <v>2025</v>
      </c>
      <c r="F2990" s="11">
        <v>0.17489999999999997</v>
      </c>
      <c r="G2990">
        <v>16.98</v>
      </c>
      <c r="H2990">
        <v>1.22</v>
      </c>
      <c r="I2990" s="2">
        <v>75761.27</v>
      </c>
      <c r="J2990" s="2">
        <v>70576.570000000007</v>
      </c>
      <c r="K2990" s="2">
        <f>Table1[[#This Row],[Salary_after]]-Table1[[#This Row],[Salary_before]]</f>
        <v>-5184.6999999999971</v>
      </c>
      <c r="L2990" s="11">
        <v>-6.8400000000000002E-2</v>
      </c>
      <c r="M2990" s="11">
        <v>7.0400000000000004E-2</v>
      </c>
      <c r="N2990">
        <v>83.66</v>
      </c>
      <c r="O2990">
        <v>29.27</v>
      </c>
      <c r="P2990">
        <v>2</v>
      </c>
      <c r="Q2990" t="s">
        <v>21</v>
      </c>
      <c r="R2990">
        <v>9.3549999999999898</v>
      </c>
      <c r="S2990">
        <v>6.84</v>
      </c>
      <c r="T2990" s="4">
        <v>9.4139999999999997</v>
      </c>
      <c r="U2990" s="4">
        <v>5.1193229999999996</v>
      </c>
      <c r="V2990" t="str">
        <f>IF(Table1[[#This Row],[ai_disruption_intensity]]&gt;70,"High",
IF(Table1[[#This Row],[ai_disruption_intensity]]&gt;40,"Medium","Low"))</f>
        <v>Low</v>
      </c>
      <c r="W2990" t="str">
        <f>IF(Table1[[#This Row],[skill_gap_index]]&gt;70,"Large Gap",
IF(Table1[[#This Row],[skill_gap_index]]&gt;40,"Medium Gap","Small Gap"))</f>
        <v>Small Gap</v>
      </c>
      <c r="X2990" s="3" t="str">
        <f>IF(Table1[[#This Row],[automation_risk_percent]]&gt;0.7,"Highly Automatable",
IF(Table1[[#This Row],[automation_risk_percent]]&gt;0.4,"Moderate Risk","Safe Job"))</f>
        <v>Safe Job</v>
      </c>
    </row>
    <row r="2991" spans="1:24" x14ac:dyDescent="0.3">
      <c r="A2991">
        <v>10483</v>
      </c>
      <c r="B2991" t="s">
        <v>45</v>
      </c>
      <c r="C2991" t="s">
        <v>30</v>
      </c>
      <c r="D2991" t="s">
        <v>32</v>
      </c>
      <c r="E2991" s="1">
        <v>2026</v>
      </c>
      <c r="F2991" s="11">
        <v>0.6159</v>
      </c>
      <c r="G2991">
        <v>72.34</v>
      </c>
      <c r="H2991">
        <v>58.07</v>
      </c>
      <c r="I2991" s="2">
        <v>102561.63</v>
      </c>
      <c r="J2991" s="2">
        <v>118201.27</v>
      </c>
      <c r="K2991" s="2">
        <f>Table1[[#This Row],[Salary_after]]-Table1[[#This Row],[Salary_before]]</f>
        <v>15639.64</v>
      </c>
      <c r="L2991" s="11">
        <v>0.1525</v>
      </c>
      <c r="M2991" s="11">
        <v>8.3100000000000007E-2</v>
      </c>
      <c r="N2991">
        <v>26.28</v>
      </c>
      <c r="O2991">
        <v>41.31</v>
      </c>
      <c r="P2991">
        <v>2</v>
      </c>
      <c r="Q2991" t="s">
        <v>37</v>
      </c>
      <c r="R2991">
        <v>59.83</v>
      </c>
      <c r="S2991">
        <v>15.25</v>
      </c>
      <c r="T2991" s="4">
        <v>46.631999999999998</v>
      </c>
      <c r="U2991" s="4">
        <v>25.442829</v>
      </c>
      <c r="V2991" t="str">
        <f>IF(Table1[[#This Row],[ai_disruption_intensity]]&gt;70,"High",
IF(Table1[[#This Row],[ai_disruption_intensity]]&gt;40,"Medium","Low"))</f>
        <v>Low</v>
      </c>
      <c r="W2991" t="str">
        <f>IF(Table1[[#This Row],[skill_gap_index]]&gt;70,"Large Gap",
IF(Table1[[#This Row],[skill_gap_index]]&gt;40,"Medium Gap","Small Gap"))</f>
        <v>Medium Gap</v>
      </c>
      <c r="X2991" s="3" t="str">
        <f>IF(Table1[[#This Row],[automation_risk_percent]]&gt;0.7,"Highly Automatable",
IF(Table1[[#This Row],[automation_risk_percent]]&gt;0.4,"Moderate Risk","Safe Job"))</f>
        <v>Moderate Risk</v>
      </c>
    </row>
    <row r="2992" spans="1:24" x14ac:dyDescent="0.3">
      <c r="A2992">
        <v>10484</v>
      </c>
      <c r="B2992" t="s">
        <v>43</v>
      </c>
      <c r="C2992" t="s">
        <v>27</v>
      </c>
      <c r="D2992" t="s">
        <v>35</v>
      </c>
      <c r="E2992" s="1">
        <v>2025</v>
      </c>
      <c r="F2992" s="11">
        <v>0.6008</v>
      </c>
      <c r="G2992">
        <v>55</v>
      </c>
      <c r="H2992">
        <v>45.39</v>
      </c>
      <c r="I2992" s="2">
        <v>50727.35</v>
      </c>
      <c r="J2992" s="2">
        <v>43700.6</v>
      </c>
      <c r="K2992" s="2">
        <f>Table1[[#This Row],[Salary_after]]-Table1[[#This Row],[Salary_before]]</f>
        <v>-7026.75</v>
      </c>
      <c r="L2992" s="11">
        <v>-0.13849999999999998</v>
      </c>
      <c r="M2992" s="11">
        <v>4.0300000000000002E-2</v>
      </c>
      <c r="N2992">
        <v>71.13</v>
      </c>
      <c r="O2992">
        <v>21.35</v>
      </c>
      <c r="P2992">
        <v>2</v>
      </c>
      <c r="Q2992" t="s">
        <v>37</v>
      </c>
      <c r="R2992">
        <v>52.734999999999999</v>
      </c>
      <c r="S2992">
        <v>13.85</v>
      </c>
      <c r="T2992" s="4">
        <v>41.804000000000002</v>
      </c>
      <c r="U2992" s="4">
        <v>12.82708</v>
      </c>
      <c r="V2992" t="str">
        <f>IF(Table1[[#This Row],[ai_disruption_intensity]]&gt;70,"High",
IF(Table1[[#This Row],[ai_disruption_intensity]]&gt;40,"Medium","Low"))</f>
        <v>Low</v>
      </c>
      <c r="W2992" t="str">
        <f>IF(Table1[[#This Row],[skill_gap_index]]&gt;70,"Large Gap",
IF(Table1[[#This Row],[skill_gap_index]]&gt;40,"Medium Gap","Small Gap"))</f>
        <v>Medium Gap</v>
      </c>
      <c r="X2992" s="3" t="str">
        <f>IF(Table1[[#This Row],[automation_risk_percent]]&gt;0.7,"Highly Automatable",
IF(Table1[[#This Row],[automation_risk_percent]]&gt;0.4,"Moderate Risk","Safe Job"))</f>
        <v>Moderate Risk</v>
      </c>
    </row>
    <row r="2993" spans="1:24" x14ac:dyDescent="0.3">
      <c r="A2993">
        <v>10485</v>
      </c>
      <c r="B2993" t="s">
        <v>22</v>
      </c>
      <c r="C2993" t="s">
        <v>19</v>
      </c>
      <c r="D2993" t="s">
        <v>42</v>
      </c>
      <c r="E2993" s="1">
        <v>2025</v>
      </c>
      <c r="F2993" s="11">
        <v>0.26</v>
      </c>
      <c r="G2993">
        <v>30.91</v>
      </c>
      <c r="H2993">
        <v>9.9499999999999993</v>
      </c>
      <c r="I2993" s="2">
        <v>75509.02</v>
      </c>
      <c r="J2993" s="2">
        <v>68287.86</v>
      </c>
      <c r="K2993" s="2">
        <f>Table1[[#This Row],[Salary_after]]-Table1[[#This Row],[Salary_before]]</f>
        <v>-7221.1600000000035</v>
      </c>
      <c r="L2993" s="11">
        <v>-9.5600000000000004E-2</v>
      </c>
      <c r="M2993" s="11">
        <v>6.3399999999999998E-2</v>
      </c>
      <c r="N2993">
        <v>13.5</v>
      </c>
      <c r="O2993">
        <v>54.23</v>
      </c>
      <c r="P2993">
        <v>1</v>
      </c>
      <c r="Q2993" t="s">
        <v>21</v>
      </c>
      <c r="R2993">
        <v>17.975000000000001</v>
      </c>
      <c r="S2993">
        <v>9.56</v>
      </c>
      <c r="T2993" s="4">
        <v>16.253</v>
      </c>
      <c r="U2993" s="4">
        <v>14.0998</v>
      </c>
      <c r="V2993" t="str">
        <f>IF(Table1[[#This Row],[ai_disruption_intensity]]&gt;70,"High",
IF(Table1[[#This Row],[ai_disruption_intensity]]&gt;40,"Medium","Low"))</f>
        <v>Low</v>
      </c>
      <c r="W2993" t="str">
        <f>IF(Table1[[#This Row],[skill_gap_index]]&gt;70,"Large Gap",
IF(Table1[[#This Row],[skill_gap_index]]&gt;40,"Medium Gap","Small Gap"))</f>
        <v>Small Gap</v>
      </c>
      <c r="X2993" s="3" t="str">
        <f>IF(Table1[[#This Row],[automation_risk_percent]]&gt;0.7,"Highly Automatable",
IF(Table1[[#This Row],[automation_risk_percent]]&gt;0.4,"Moderate Risk","Safe Job"))</f>
        <v>Safe Job</v>
      </c>
    </row>
    <row r="2994" spans="1:24" x14ac:dyDescent="0.3">
      <c r="A2994">
        <v>10489</v>
      </c>
      <c r="B2994" t="s">
        <v>41</v>
      </c>
      <c r="C2994" t="s">
        <v>40</v>
      </c>
      <c r="D2994" t="s">
        <v>32</v>
      </c>
      <c r="E2994" s="1">
        <v>2026</v>
      </c>
      <c r="F2994" s="11">
        <v>0.70810000000000006</v>
      </c>
      <c r="G2994">
        <v>61.16</v>
      </c>
      <c r="H2994">
        <v>8.75</v>
      </c>
      <c r="I2994" s="2">
        <v>72478.080000000002</v>
      </c>
      <c r="J2994" s="2">
        <v>80986.850000000006</v>
      </c>
      <c r="K2994" s="2">
        <f>Table1[[#This Row],[Salary_after]]-Table1[[#This Row],[Salary_before]]</f>
        <v>8508.7700000000041</v>
      </c>
      <c r="L2994" s="11">
        <v>0.1174</v>
      </c>
      <c r="M2994" s="11">
        <v>-0.1177</v>
      </c>
      <c r="N2994">
        <v>60.89</v>
      </c>
      <c r="O2994">
        <v>68.790000000000006</v>
      </c>
      <c r="P2994">
        <v>3</v>
      </c>
      <c r="Q2994" t="s">
        <v>37</v>
      </c>
      <c r="R2994">
        <v>39.78</v>
      </c>
      <c r="S2994">
        <v>11.74</v>
      </c>
      <c r="T2994" s="4">
        <v>34.470999999999997</v>
      </c>
      <c r="U2994" s="4">
        <v>48.710199000000003</v>
      </c>
      <c r="V2994" t="str">
        <f>IF(Table1[[#This Row],[ai_disruption_intensity]]&gt;70,"High",
IF(Table1[[#This Row],[ai_disruption_intensity]]&gt;40,"Medium","Low"))</f>
        <v>Medium</v>
      </c>
      <c r="W2994" t="str">
        <f>IF(Table1[[#This Row],[skill_gap_index]]&gt;70,"Large Gap",
IF(Table1[[#This Row],[skill_gap_index]]&gt;40,"Medium Gap","Small Gap"))</f>
        <v>Small Gap</v>
      </c>
      <c r="X2994" s="3" t="str">
        <f>IF(Table1[[#This Row],[automation_risk_percent]]&gt;0.7,"Highly Automatable",
IF(Table1[[#This Row],[automation_risk_percent]]&gt;0.4,"Moderate Risk","Safe Job"))</f>
        <v>Highly Automatable</v>
      </c>
    </row>
    <row r="2995" spans="1:24" x14ac:dyDescent="0.3">
      <c r="A2995">
        <v>10491</v>
      </c>
      <c r="B2995" t="s">
        <v>43</v>
      </c>
      <c r="C2995" t="s">
        <v>34</v>
      </c>
      <c r="D2995" t="s">
        <v>20</v>
      </c>
      <c r="E2995" s="1">
        <v>2025</v>
      </c>
      <c r="F2995" s="11">
        <v>0.1472</v>
      </c>
      <c r="G2995">
        <v>17.420000000000002</v>
      </c>
      <c r="H2995">
        <v>6.86</v>
      </c>
      <c r="I2995" s="2">
        <v>95948.61</v>
      </c>
      <c r="J2995" s="2">
        <v>87159.43</v>
      </c>
      <c r="K2995" s="2">
        <f>Table1[[#This Row],[Salary_after]]-Table1[[#This Row],[Salary_before]]</f>
        <v>-8789.1800000000076</v>
      </c>
      <c r="L2995" s="11">
        <v>-9.1600000000000001E-2</v>
      </c>
      <c r="M2995" s="11">
        <v>-0.1076</v>
      </c>
      <c r="N2995">
        <v>66.400000000000006</v>
      </c>
      <c r="O2995">
        <v>58.38</v>
      </c>
      <c r="P2995">
        <v>5</v>
      </c>
      <c r="Q2995" t="s">
        <v>21</v>
      </c>
      <c r="R2995">
        <v>10.79</v>
      </c>
      <c r="S2995">
        <v>9.16</v>
      </c>
      <c r="T2995" s="4">
        <v>10.694000000000001</v>
      </c>
      <c r="U2995" s="4">
        <v>8.5935360000000003</v>
      </c>
      <c r="V2995" t="str">
        <f>IF(Table1[[#This Row],[ai_disruption_intensity]]&gt;70,"High",
IF(Table1[[#This Row],[ai_disruption_intensity]]&gt;40,"Medium","Low"))</f>
        <v>Low</v>
      </c>
      <c r="W2995" t="str">
        <f>IF(Table1[[#This Row],[skill_gap_index]]&gt;70,"Large Gap",
IF(Table1[[#This Row],[skill_gap_index]]&gt;40,"Medium Gap","Small Gap"))</f>
        <v>Small Gap</v>
      </c>
      <c r="X2995" s="3" t="str">
        <f>IF(Table1[[#This Row],[automation_risk_percent]]&gt;0.7,"Highly Automatable",
IF(Table1[[#This Row],[automation_risk_percent]]&gt;0.4,"Moderate Risk","Safe Job"))</f>
        <v>Safe Job</v>
      </c>
    </row>
    <row r="2996" spans="1:24" x14ac:dyDescent="0.3">
      <c r="A2996">
        <v>10493</v>
      </c>
      <c r="B2996" t="s">
        <v>18</v>
      </c>
      <c r="C2996" t="s">
        <v>33</v>
      </c>
      <c r="D2996" t="s">
        <v>31</v>
      </c>
      <c r="E2996" s="1">
        <v>2026</v>
      </c>
      <c r="F2996" s="11">
        <v>0.57140000000000002</v>
      </c>
      <c r="G2996">
        <v>63.18</v>
      </c>
      <c r="H2996">
        <v>57.8</v>
      </c>
      <c r="I2996" s="2">
        <v>111482.13</v>
      </c>
      <c r="J2996" s="2">
        <v>104166.64</v>
      </c>
      <c r="K2996" s="2">
        <f>Table1[[#This Row],[Salary_after]]-Table1[[#This Row],[Salary_before]]</f>
        <v>-7315.4900000000052</v>
      </c>
      <c r="L2996" s="11">
        <v>-6.5599999999999992E-2</v>
      </c>
      <c r="M2996" s="11">
        <v>5.79E-2</v>
      </c>
      <c r="N2996">
        <v>34.6</v>
      </c>
      <c r="O2996">
        <v>70.27</v>
      </c>
      <c r="P2996">
        <v>1</v>
      </c>
      <c r="Q2996" t="s">
        <v>25</v>
      </c>
      <c r="R2996">
        <v>57.47</v>
      </c>
      <c r="S2996">
        <v>6.56</v>
      </c>
      <c r="T2996" s="4">
        <v>42.163999999999902</v>
      </c>
      <c r="U2996" s="4">
        <v>40.152277999999903</v>
      </c>
      <c r="V2996" t="str">
        <f>IF(Table1[[#This Row],[ai_disruption_intensity]]&gt;70,"High",
IF(Table1[[#This Row],[ai_disruption_intensity]]&gt;40,"Medium","Low"))</f>
        <v>Medium</v>
      </c>
      <c r="W2996" t="str">
        <f>IF(Table1[[#This Row],[skill_gap_index]]&gt;70,"Large Gap",
IF(Table1[[#This Row],[skill_gap_index]]&gt;40,"Medium Gap","Small Gap"))</f>
        <v>Medium Gap</v>
      </c>
      <c r="X2996" s="3" t="str">
        <f>IF(Table1[[#This Row],[automation_risk_percent]]&gt;0.7,"Highly Automatable",
IF(Table1[[#This Row],[automation_risk_percent]]&gt;0.4,"Moderate Risk","Safe Job"))</f>
        <v>Moderate Risk</v>
      </c>
    </row>
    <row r="2997" spans="1:24" x14ac:dyDescent="0.3">
      <c r="A2997">
        <v>10502</v>
      </c>
      <c r="B2997" t="s">
        <v>45</v>
      </c>
      <c r="C2997" t="s">
        <v>23</v>
      </c>
      <c r="D2997" t="s">
        <v>20</v>
      </c>
      <c r="E2997" s="1">
        <v>2025</v>
      </c>
      <c r="F2997" s="11">
        <v>0.61039999999999994</v>
      </c>
      <c r="G2997">
        <v>55.28</v>
      </c>
      <c r="H2997">
        <v>20.73</v>
      </c>
      <c r="I2997" s="2">
        <v>83064.38</v>
      </c>
      <c r="J2997" s="2">
        <v>75716.95</v>
      </c>
      <c r="K2997" s="2">
        <f>Table1[[#This Row],[Salary_after]]-Table1[[#This Row],[Salary_before]]</f>
        <v>-7347.4300000000076</v>
      </c>
      <c r="L2997" s="11">
        <v>-8.8499999999999995E-2</v>
      </c>
      <c r="M2997" s="11">
        <v>0.11840000000000001</v>
      </c>
      <c r="N2997">
        <v>48.66</v>
      </c>
      <c r="O2997">
        <v>51.88</v>
      </c>
      <c r="P2997">
        <v>4</v>
      </c>
      <c r="Q2997" t="s">
        <v>37</v>
      </c>
      <c r="R2997">
        <v>40.884999999999998</v>
      </c>
      <c r="S2997">
        <v>8.85</v>
      </c>
      <c r="T2997" s="4">
        <v>33.29</v>
      </c>
      <c r="U2997" s="4">
        <v>31.667552000000001</v>
      </c>
      <c r="V2997" t="str">
        <f>IF(Table1[[#This Row],[ai_disruption_intensity]]&gt;70,"High",
IF(Table1[[#This Row],[ai_disruption_intensity]]&gt;40,"Medium","Low"))</f>
        <v>Low</v>
      </c>
      <c r="W2997" t="str">
        <f>IF(Table1[[#This Row],[skill_gap_index]]&gt;70,"Large Gap",
IF(Table1[[#This Row],[skill_gap_index]]&gt;40,"Medium Gap","Small Gap"))</f>
        <v>Small Gap</v>
      </c>
      <c r="X2997" s="3" t="str">
        <f>IF(Table1[[#This Row],[automation_risk_percent]]&gt;0.7,"Highly Automatable",
IF(Table1[[#This Row],[automation_risk_percent]]&gt;0.4,"Moderate Risk","Safe Job"))</f>
        <v>Moderate Risk</v>
      </c>
    </row>
    <row r="2998" spans="1:24" x14ac:dyDescent="0.3">
      <c r="A2998">
        <v>10504</v>
      </c>
      <c r="B2998" t="s">
        <v>44</v>
      </c>
      <c r="C2998" t="s">
        <v>38</v>
      </c>
      <c r="D2998" t="s">
        <v>35</v>
      </c>
      <c r="E2998" s="1">
        <v>2026</v>
      </c>
      <c r="F2998" s="11">
        <v>0.62519999999999998</v>
      </c>
      <c r="G2998">
        <v>67.63</v>
      </c>
      <c r="H2998">
        <v>74.61</v>
      </c>
      <c r="I2998" s="2">
        <v>66865.279999999999</v>
      </c>
      <c r="J2998" s="2">
        <v>68589.89</v>
      </c>
      <c r="K2998" s="2">
        <f>Table1[[#This Row],[Salary_after]]-Table1[[#This Row],[Salary_before]]</f>
        <v>1724.6100000000006</v>
      </c>
      <c r="L2998" s="11">
        <v>2.58E-2</v>
      </c>
      <c r="M2998" s="11">
        <v>7.000000000000001E-4</v>
      </c>
      <c r="N2998">
        <v>93.02</v>
      </c>
      <c r="O2998">
        <v>45.22</v>
      </c>
      <c r="P2998">
        <v>5</v>
      </c>
      <c r="Q2998" t="s">
        <v>37</v>
      </c>
      <c r="R2998">
        <v>68.564999999999998</v>
      </c>
      <c r="S2998">
        <v>2.58</v>
      </c>
      <c r="T2998" s="4">
        <v>48.164999999999999</v>
      </c>
      <c r="U2998" s="4">
        <v>28.271543999999999</v>
      </c>
      <c r="V2998" t="str">
        <f>IF(Table1[[#This Row],[ai_disruption_intensity]]&gt;70,"High",
IF(Table1[[#This Row],[ai_disruption_intensity]]&gt;40,"Medium","Low"))</f>
        <v>Low</v>
      </c>
      <c r="W2998" t="str">
        <f>IF(Table1[[#This Row],[skill_gap_index]]&gt;70,"Large Gap",
IF(Table1[[#This Row],[skill_gap_index]]&gt;40,"Medium Gap","Small Gap"))</f>
        <v>Large Gap</v>
      </c>
      <c r="X2998" s="3" t="str">
        <f>IF(Table1[[#This Row],[automation_risk_percent]]&gt;0.7,"Highly Automatable",
IF(Table1[[#This Row],[automation_risk_percent]]&gt;0.4,"Moderate Risk","Safe Job"))</f>
        <v>Moderate Risk</v>
      </c>
    </row>
    <row r="2999" spans="1:24" x14ac:dyDescent="0.3">
      <c r="A2999">
        <v>10507</v>
      </c>
      <c r="B2999" t="s">
        <v>43</v>
      </c>
      <c r="C2999" t="s">
        <v>19</v>
      </c>
      <c r="D2999" t="s">
        <v>47</v>
      </c>
      <c r="E2999" s="1">
        <v>2026</v>
      </c>
      <c r="F2999" s="11">
        <v>0.56979999999999997</v>
      </c>
      <c r="G2999">
        <v>58.97</v>
      </c>
      <c r="H2999">
        <v>94.69</v>
      </c>
      <c r="I2999" s="2">
        <v>129761.26</v>
      </c>
      <c r="J2999" s="2">
        <v>148198.1</v>
      </c>
      <c r="K2999" s="2">
        <f>Table1[[#This Row],[Salary_after]]-Table1[[#This Row],[Salary_before]]</f>
        <v>18436.840000000011</v>
      </c>
      <c r="L2999" s="11">
        <v>0.1421</v>
      </c>
      <c r="M2999" s="11">
        <v>-4.8399999999999999E-2</v>
      </c>
      <c r="N2999">
        <v>51.5</v>
      </c>
      <c r="O2999">
        <v>92.83</v>
      </c>
      <c r="P2999">
        <v>2</v>
      </c>
      <c r="Q2999" t="s">
        <v>25</v>
      </c>
      <c r="R2999">
        <v>75.834999999999994</v>
      </c>
      <c r="S2999">
        <v>14.21</v>
      </c>
      <c r="T2999" s="4">
        <v>55.461999999999897</v>
      </c>
      <c r="U2999" s="4">
        <v>52.894533999999901</v>
      </c>
      <c r="V2999" t="str">
        <f>IF(Table1[[#This Row],[ai_disruption_intensity]]&gt;70,"High",
IF(Table1[[#This Row],[ai_disruption_intensity]]&gt;40,"Medium","Low"))</f>
        <v>Medium</v>
      </c>
      <c r="W2999" t="str">
        <f>IF(Table1[[#This Row],[skill_gap_index]]&gt;70,"Large Gap",
IF(Table1[[#This Row],[skill_gap_index]]&gt;40,"Medium Gap","Small Gap"))</f>
        <v>Large Gap</v>
      </c>
      <c r="X2999" s="3" t="str">
        <f>IF(Table1[[#This Row],[automation_risk_percent]]&gt;0.7,"Highly Automatable",
IF(Table1[[#This Row],[automation_risk_percent]]&gt;0.4,"Moderate Risk","Safe Job"))</f>
        <v>Moderate Risk</v>
      </c>
    </row>
    <row r="3000" spans="1:24" x14ac:dyDescent="0.3">
      <c r="A3000">
        <v>10509</v>
      </c>
      <c r="B3000" t="s">
        <v>39</v>
      </c>
      <c r="C3000" t="s">
        <v>27</v>
      </c>
      <c r="D3000" t="s">
        <v>35</v>
      </c>
      <c r="E3000" s="1">
        <v>2025</v>
      </c>
      <c r="F3000" s="11">
        <v>0.66890000000000005</v>
      </c>
      <c r="G3000">
        <v>53.57</v>
      </c>
      <c r="H3000">
        <v>91.58</v>
      </c>
      <c r="I3000" s="2">
        <v>45393.94</v>
      </c>
      <c r="J3000" s="2">
        <v>44080.07</v>
      </c>
      <c r="K3000" s="2">
        <f>Table1[[#This Row],[Salary_after]]-Table1[[#This Row],[Salary_before]]</f>
        <v>-1313.8700000000026</v>
      </c>
      <c r="L3000" s="11">
        <v>-2.8900000000000002E-2</v>
      </c>
      <c r="M3000" s="11">
        <v>1.49E-2</v>
      </c>
      <c r="N3000">
        <v>56.02</v>
      </c>
      <c r="O3000">
        <v>32.119999999999997</v>
      </c>
      <c r="P3000">
        <v>5</v>
      </c>
      <c r="Q3000" t="s">
        <v>37</v>
      </c>
      <c r="R3000">
        <v>79.234999999999999</v>
      </c>
      <c r="S3000">
        <v>2.89</v>
      </c>
      <c r="T3000" s="4">
        <v>55.097000000000001</v>
      </c>
      <c r="U3000" s="4">
        <v>21.485067999999998</v>
      </c>
      <c r="V3000" t="str">
        <f>IF(Table1[[#This Row],[ai_disruption_intensity]]&gt;70,"High",
IF(Table1[[#This Row],[ai_disruption_intensity]]&gt;40,"Medium","Low"))</f>
        <v>Low</v>
      </c>
      <c r="W3000" t="str">
        <f>IF(Table1[[#This Row],[skill_gap_index]]&gt;70,"Large Gap",
IF(Table1[[#This Row],[skill_gap_index]]&gt;40,"Medium Gap","Small Gap"))</f>
        <v>Large Gap</v>
      </c>
      <c r="X3000" s="3" t="str">
        <f>IF(Table1[[#This Row],[automation_risk_percent]]&gt;0.7,"Highly Automatable",
IF(Table1[[#This Row],[automation_risk_percent]]&gt;0.4,"Moderate Risk","Safe Job"))</f>
        <v>Moderate Risk</v>
      </c>
    </row>
    <row r="3001" spans="1:24" x14ac:dyDescent="0.3">
      <c r="A3001">
        <v>10513</v>
      </c>
      <c r="B3001" t="s">
        <v>43</v>
      </c>
      <c r="C3001" t="s">
        <v>23</v>
      </c>
      <c r="D3001" t="s">
        <v>31</v>
      </c>
      <c r="E3001" s="1">
        <v>2026</v>
      </c>
      <c r="F3001" s="11">
        <v>0.36499999999999999</v>
      </c>
      <c r="G3001">
        <v>39.61</v>
      </c>
      <c r="H3001">
        <v>30.72</v>
      </c>
      <c r="I3001" s="2">
        <v>99761.31</v>
      </c>
      <c r="J3001" s="2">
        <v>103254.65</v>
      </c>
      <c r="K3001" s="2">
        <f>Table1[[#This Row],[Salary_after]]-Table1[[#This Row],[Salary_before]]</f>
        <v>3493.3399999999965</v>
      </c>
      <c r="L3001" s="11">
        <v>3.5000000000000003E-2</v>
      </c>
      <c r="M3001" s="11">
        <v>-0.1012</v>
      </c>
      <c r="N3001">
        <v>93.08</v>
      </c>
      <c r="O3001">
        <v>77.14</v>
      </c>
      <c r="P3001">
        <v>1</v>
      </c>
      <c r="Q3001" t="s">
        <v>25</v>
      </c>
      <c r="R3001">
        <v>33.61</v>
      </c>
      <c r="S3001">
        <v>3.5</v>
      </c>
      <c r="T3001" s="4">
        <v>24.866</v>
      </c>
      <c r="U3001" s="4">
        <v>28.156099999999999</v>
      </c>
      <c r="V3001" t="str">
        <f>IF(Table1[[#This Row],[ai_disruption_intensity]]&gt;70,"High",
IF(Table1[[#This Row],[ai_disruption_intensity]]&gt;40,"Medium","Low"))</f>
        <v>Low</v>
      </c>
      <c r="W3001" t="str">
        <f>IF(Table1[[#This Row],[skill_gap_index]]&gt;70,"Large Gap",
IF(Table1[[#This Row],[skill_gap_index]]&gt;40,"Medium Gap","Small Gap"))</f>
        <v>Small Gap</v>
      </c>
      <c r="X3001" s="3" t="str">
        <f>IF(Table1[[#This Row],[automation_risk_percent]]&gt;0.7,"Highly Automatable",
IF(Table1[[#This Row],[automation_risk_percent]]&gt;0.4,"Moderate Risk","Safe Job"))</f>
        <v>Safe Job</v>
      </c>
    </row>
    <row r="3002" spans="1:24" x14ac:dyDescent="0.3">
      <c r="A3002">
        <v>10514</v>
      </c>
      <c r="B3002" t="s">
        <v>45</v>
      </c>
      <c r="C3002" t="s">
        <v>30</v>
      </c>
      <c r="D3002" t="s">
        <v>36</v>
      </c>
      <c r="E3002" s="1">
        <v>2025</v>
      </c>
      <c r="F3002" s="11">
        <v>0.55920000000000003</v>
      </c>
      <c r="G3002">
        <v>50.24</v>
      </c>
      <c r="H3002">
        <v>6.34</v>
      </c>
      <c r="I3002" s="2">
        <v>115268.37</v>
      </c>
      <c r="J3002" s="2">
        <v>99199.98</v>
      </c>
      <c r="K3002" s="2">
        <f>Table1[[#This Row],[Salary_after]]-Table1[[#This Row],[Salary_before]]</f>
        <v>-16068.39</v>
      </c>
      <c r="L3002" s="11">
        <v>-0.1394</v>
      </c>
      <c r="M3002" s="11">
        <v>8.6899999999999991E-2</v>
      </c>
      <c r="N3002">
        <v>94.13</v>
      </c>
      <c r="O3002">
        <v>55.2</v>
      </c>
      <c r="P3002">
        <v>1</v>
      </c>
      <c r="Q3002" t="s">
        <v>25</v>
      </c>
      <c r="R3002">
        <v>31.13</v>
      </c>
      <c r="S3002">
        <v>13.94</v>
      </c>
      <c r="T3002" s="4">
        <v>28.452000000000002</v>
      </c>
      <c r="U3002" s="4">
        <v>30.867840000000001</v>
      </c>
      <c r="V3002" t="str">
        <f>IF(Table1[[#This Row],[ai_disruption_intensity]]&gt;70,"High",
IF(Table1[[#This Row],[ai_disruption_intensity]]&gt;40,"Medium","Low"))</f>
        <v>Low</v>
      </c>
      <c r="W3002" t="str">
        <f>IF(Table1[[#This Row],[skill_gap_index]]&gt;70,"Large Gap",
IF(Table1[[#This Row],[skill_gap_index]]&gt;40,"Medium Gap","Small Gap"))</f>
        <v>Small Gap</v>
      </c>
      <c r="X3002" s="3" t="str">
        <f>IF(Table1[[#This Row],[automation_risk_percent]]&gt;0.7,"Highly Automatable",
IF(Table1[[#This Row],[automation_risk_percent]]&gt;0.4,"Moderate Risk","Safe Job"))</f>
        <v>Moderate Risk</v>
      </c>
    </row>
    <row r="3003" spans="1:24" x14ac:dyDescent="0.3">
      <c r="A3003">
        <v>10515</v>
      </c>
      <c r="B3003" t="s">
        <v>29</v>
      </c>
      <c r="C3003" t="s">
        <v>40</v>
      </c>
      <c r="D3003" t="s">
        <v>47</v>
      </c>
      <c r="E3003" s="1">
        <v>2025</v>
      </c>
      <c r="F3003" s="11">
        <v>0.65029999999999999</v>
      </c>
      <c r="G3003">
        <v>59.8</v>
      </c>
      <c r="H3003">
        <v>87.94</v>
      </c>
      <c r="I3003" s="2">
        <v>136966.91</v>
      </c>
      <c r="J3003" s="2">
        <v>129540.27</v>
      </c>
      <c r="K3003" s="2">
        <f>Table1[[#This Row],[Salary_after]]-Table1[[#This Row],[Salary_before]]</f>
        <v>-7426.6399999999994</v>
      </c>
      <c r="L3003" s="11">
        <v>-5.4199999999999998E-2</v>
      </c>
      <c r="M3003" s="11">
        <v>7.9100000000000004E-2</v>
      </c>
      <c r="N3003">
        <v>17.59</v>
      </c>
      <c r="O3003">
        <v>46.94</v>
      </c>
      <c r="P3003">
        <v>5</v>
      </c>
      <c r="Q3003" t="s">
        <v>37</v>
      </c>
      <c r="R3003">
        <v>76.484999999999999</v>
      </c>
      <c r="S3003">
        <v>5.42</v>
      </c>
      <c r="T3003" s="4">
        <v>54.019999999999897</v>
      </c>
      <c r="U3003" s="4">
        <v>30.525081999999902</v>
      </c>
      <c r="V3003" t="str">
        <f>IF(Table1[[#This Row],[ai_disruption_intensity]]&gt;70,"High",
IF(Table1[[#This Row],[ai_disruption_intensity]]&gt;40,"Medium","Low"))</f>
        <v>Low</v>
      </c>
      <c r="W3003" t="str">
        <f>IF(Table1[[#This Row],[skill_gap_index]]&gt;70,"Large Gap",
IF(Table1[[#This Row],[skill_gap_index]]&gt;40,"Medium Gap","Small Gap"))</f>
        <v>Large Gap</v>
      </c>
      <c r="X3003" s="3" t="str">
        <f>IF(Table1[[#This Row],[automation_risk_percent]]&gt;0.7,"Highly Automatable",
IF(Table1[[#This Row],[automation_risk_percent]]&gt;0.4,"Moderate Risk","Safe Job"))</f>
        <v>Moderate Risk</v>
      </c>
    </row>
    <row r="3004" spans="1:24" x14ac:dyDescent="0.3">
      <c r="A3004">
        <v>10518</v>
      </c>
      <c r="B3004" t="s">
        <v>22</v>
      </c>
      <c r="C3004" t="s">
        <v>30</v>
      </c>
      <c r="D3004" t="s">
        <v>42</v>
      </c>
      <c r="E3004" s="1">
        <v>2026</v>
      </c>
      <c r="F3004" s="11">
        <v>0.37090000000000001</v>
      </c>
      <c r="G3004">
        <v>31.88</v>
      </c>
      <c r="H3004">
        <v>23.98</v>
      </c>
      <c r="I3004" s="2">
        <v>58400.71</v>
      </c>
      <c r="J3004" s="2">
        <v>61822.34</v>
      </c>
      <c r="K3004" s="2">
        <f>Table1[[#This Row],[Salary_after]]-Table1[[#This Row],[Salary_before]]</f>
        <v>3421.6299999999974</v>
      </c>
      <c r="L3004" s="11">
        <v>5.8600000000000006E-2</v>
      </c>
      <c r="M3004" s="11">
        <v>0.14710000000000001</v>
      </c>
      <c r="N3004">
        <v>93.05</v>
      </c>
      <c r="O3004">
        <v>30.99</v>
      </c>
      <c r="P3004">
        <v>4</v>
      </c>
      <c r="Q3004" t="s">
        <v>25</v>
      </c>
      <c r="R3004">
        <v>30.535</v>
      </c>
      <c r="S3004">
        <v>5.86</v>
      </c>
      <c r="T3004" s="4">
        <v>23.788</v>
      </c>
      <c r="U3004" s="4">
        <v>11.494191000000001</v>
      </c>
      <c r="V3004" t="str">
        <f>IF(Table1[[#This Row],[ai_disruption_intensity]]&gt;70,"High",
IF(Table1[[#This Row],[ai_disruption_intensity]]&gt;40,"Medium","Low"))</f>
        <v>Low</v>
      </c>
      <c r="W3004" t="str">
        <f>IF(Table1[[#This Row],[skill_gap_index]]&gt;70,"Large Gap",
IF(Table1[[#This Row],[skill_gap_index]]&gt;40,"Medium Gap","Small Gap"))</f>
        <v>Small Gap</v>
      </c>
      <c r="X3004" s="3" t="str">
        <f>IF(Table1[[#This Row],[automation_risk_percent]]&gt;0.7,"Highly Automatable",
IF(Table1[[#This Row],[automation_risk_percent]]&gt;0.4,"Moderate Risk","Safe Job"))</f>
        <v>Safe Job</v>
      </c>
    </row>
    <row r="3005" spans="1:24" x14ac:dyDescent="0.3">
      <c r="A3005">
        <v>10524</v>
      </c>
      <c r="B3005" t="s">
        <v>41</v>
      </c>
      <c r="C3005" t="s">
        <v>19</v>
      </c>
      <c r="D3005" t="s">
        <v>24</v>
      </c>
      <c r="E3005" s="1">
        <v>2025</v>
      </c>
      <c r="F3005" s="11">
        <v>0.28870000000000001</v>
      </c>
      <c r="G3005">
        <v>34.49</v>
      </c>
      <c r="H3005">
        <v>9.26</v>
      </c>
      <c r="I3005" s="2">
        <v>81446.69</v>
      </c>
      <c r="J3005" s="2">
        <v>83151.28</v>
      </c>
      <c r="K3005" s="2">
        <f>Table1[[#This Row],[Salary_after]]-Table1[[#This Row],[Salary_before]]</f>
        <v>1704.5899999999965</v>
      </c>
      <c r="L3005" s="11">
        <v>2.0899999999999998E-2</v>
      </c>
      <c r="M3005" s="11">
        <v>2.1499999999999998E-2</v>
      </c>
      <c r="N3005">
        <v>74.42</v>
      </c>
      <c r="O3005">
        <v>4.5</v>
      </c>
      <c r="P3005">
        <v>3</v>
      </c>
      <c r="Q3005" t="s">
        <v>21</v>
      </c>
      <c r="R3005">
        <v>19.065000000000001</v>
      </c>
      <c r="S3005">
        <v>2.09</v>
      </c>
      <c r="T3005" s="4">
        <v>14.952999999999999</v>
      </c>
      <c r="U3005" s="4">
        <v>1.29915</v>
      </c>
      <c r="V3005" t="str">
        <f>IF(Table1[[#This Row],[ai_disruption_intensity]]&gt;70,"High",
IF(Table1[[#This Row],[ai_disruption_intensity]]&gt;40,"Medium","Low"))</f>
        <v>Low</v>
      </c>
      <c r="W3005" t="str">
        <f>IF(Table1[[#This Row],[skill_gap_index]]&gt;70,"Large Gap",
IF(Table1[[#This Row],[skill_gap_index]]&gt;40,"Medium Gap","Small Gap"))</f>
        <v>Small Gap</v>
      </c>
      <c r="X3005" s="3" t="str">
        <f>IF(Table1[[#This Row],[automation_risk_percent]]&gt;0.7,"Highly Automatable",
IF(Table1[[#This Row],[automation_risk_percent]]&gt;0.4,"Moderate Risk","Safe Job"))</f>
        <v>Safe Job</v>
      </c>
    </row>
    <row r="3006" spans="1:24" x14ac:dyDescent="0.3">
      <c r="A3006">
        <v>10530</v>
      </c>
      <c r="B3006" t="s">
        <v>41</v>
      </c>
      <c r="C3006" t="s">
        <v>33</v>
      </c>
      <c r="D3006" t="s">
        <v>20</v>
      </c>
      <c r="E3006" s="1">
        <v>2026</v>
      </c>
      <c r="F3006" s="11">
        <v>0.52560000000000007</v>
      </c>
      <c r="G3006">
        <v>47.3</v>
      </c>
      <c r="H3006">
        <v>87.16</v>
      </c>
      <c r="I3006" s="2">
        <v>114970.58</v>
      </c>
      <c r="J3006" s="2">
        <v>105683.49</v>
      </c>
      <c r="K3006" s="2">
        <f>Table1[[#This Row],[Salary_after]]-Table1[[#This Row],[Salary_before]]</f>
        <v>-9287.0899999999965</v>
      </c>
      <c r="L3006" s="11">
        <v>-8.0799999999999997E-2</v>
      </c>
      <c r="M3006" s="11">
        <v>9.9900000000000003E-2</v>
      </c>
      <c r="N3006">
        <v>94.36</v>
      </c>
      <c r="O3006">
        <v>11.31</v>
      </c>
      <c r="P3006">
        <v>3</v>
      </c>
      <c r="Q3006" t="s">
        <v>25</v>
      </c>
      <c r="R3006">
        <v>69.86</v>
      </c>
      <c r="S3006">
        <v>8.08</v>
      </c>
      <c r="T3006" s="4">
        <v>49.595999999999997</v>
      </c>
      <c r="U3006" s="4">
        <v>5.9445360000000003</v>
      </c>
      <c r="V3006" t="str">
        <f>IF(Table1[[#This Row],[ai_disruption_intensity]]&gt;70,"High",
IF(Table1[[#This Row],[ai_disruption_intensity]]&gt;40,"Medium","Low"))</f>
        <v>Low</v>
      </c>
      <c r="W3006" t="str">
        <f>IF(Table1[[#This Row],[skill_gap_index]]&gt;70,"Large Gap",
IF(Table1[[#This Row],[skill_gap_index]]&gt;40,"Medium Gap","Small Gap"))</f>
        <v>Large Gap</v>
      </c>
      <c r="X3006" s="3" t="str">
        <f>IF(Table1[[#This Row],[automation_risk_percent]]&gt;0.7,"Highly Automatable",
IF(Table1[[#This Row],[automation_risk_percent]]&gt;0.4,"Moderate Risk","Safe Job"))</f>
        <v>Moderate Risk</v>
      </c>
    </row>
    <row r="3007" spans="1:24" x14ac:dyDescent="0.3">
      <c r="A3007">
        <v>10540</v>
      </c>
      <c r="B3007" t="s">
        <v>29</v>
      </c>
      <c r="C3007" t="s">
        <v>27</v>
      </c>
      <c r="D3007" t="s">
        <v>47</v>
      </c>
      <c r="E3007" s="1">
        <v>2025</v>
      </c>
      <c r="F3007" s="11">
        <v>0.29499999999999998</v>
      </c>
      <c r="G3007">
        <v>32.630000000000003</v>
      </c>
      <c r="H3007">
        <v>30.52</v>
      </c>
      <c r="I3007" s="2">
        <v>57661.440000000002</v>
      </c>
      <c r="J3007" s="2">
        <v>61160.83</v>
      </c>
      <c r="K3007" s="2">
        <f>Table1[[#This Row],[Salary_after]]-Table1[[#This Row],[Salary_before]]</f>
        <v>3499.3899999999994</v>
      </c>
      <c r="L3007" s="11">
        <v>6.0700000000000004E-2</v>
      </c>
      <c r="M3007" s="11">
        <v>7.6200000000000004E-2</v>
      </c>
      <c r="N3007">
        <v>13.74</v>
      </c>
      <c r="O3007">
        <v>14.37</v>
      </c>
      <c r="P3007">
        <v>5</v>
      </c>
      <c r="Q3007" t="s">
        <v>21</v>
      </c>
      <c r="R3007">
        <v>30.009999999999899</v>
      </c>
      <c r="S3007">
        <v>6.07</v>
      </c>
      <c r="T3007" s="4">
        <v>22.777000000000001</v>
      </c>
      <c r="U3007" s="4">
        <v>4.2391499999999898</v>
      </c>
      <c r="V3007" t="str">
        <f>IF(Table1[[#This Row],[ai_disruption_intensity]]&gt;70,"High",
IF(Table1[[#This Row],[ai_disruption_intensity]]&gt;40,"Medium","Low"))</f>
        <v>Low</v>
      </c>
      <c r="W3007" t="str">
        <f>IF(Table1[[#This Row],[skill_gap_index]]&gt;70,"Large Gap",
IF(Table1[[#This Row],[skill_gap_index]]&gt;40,"Medium Gap","Small Gap"))</f>
        <v>Small Gap</v>
      </c>
      <c r="X3007" s="3" t="str">
        <f>IF(Table1[[#This Row],[automation_risk_percent]]&gt;0.7,"Highly Automatable",
IF(Table1[[#This Row],[automation_risk_percent]]&gt;0.4,"Moderate Risk","Safe Job"))</f>
        <v>Safe Job</v>
      </c>
    </row>
    <row r="3008" spans="1:24" x14ac:dyDescent="0.3">
      <c r="A3008">
        <v>10542</v>
      </c>
      <c r="B3008" t="s">
        <v>41</v>
      </c>
      <c r="C3008" t="s">
        <v>30</v>
      </c>
      <c r="D3008" t="s">
        <v>31</v>
      </c>
      <c r="E3008" s="1">
        <v>2026</v>
      </c>
      <c r="F3008" s="11">
        <v>0.41189999999999999</v>
      </c>
      <c r="G3008">
        <v>41.69</v>
      </c>
      <c r="H3008">
        <v>33.17</v>
      </c>
      <c r="I3008" s="2">
        <v>89872.25</v>
      </c>
      <c r="J3008" s="2">
        <v>78153.289999999994</v>
      </c>
      <c r="K3008" s="2">
        <f>Table1[[#This Row],[Salary_after]]-Table1[[#This Row],[Salary_before]]</f>
        <v>-11718.960000000006</v>
      </c>
      <c r="L3008" s="11">
        <v>-0.13039999999999999</v>
      </c>
      <c r="M3008" s="11">
        <v>-4.7100000000000003E-2</v>
      </c>
      <c r="N3008">
        <v>48.46</v>
      </c>
      <c r="O3008">
        <v>33.29</v>
      </c>
      <c r="P3008">
        <v>4</v>
      </c>
      <c r="Q3008" t="s">
        <v>25</v>
      </c>
      <c r="R3008">
        <v>37.18</v>
      </c>
      <c r="S3008">
        <v>13.04</v>
      </c>
      <c r="T3008" s="4">
        <v>30.338999999999999</v>
      </c>
      <c r="U3008" s="4">
        <v>13.712150999999899</v>
      </c>
      <c r="V3008" t="str">
        <f>IF(Table1[[#This Row],[ai_disruption_intensity]]&gt;70,"High",
IF(Table1[[#This Row],[ai_disruption_intensity]]&gt;40,"Medium","Low"))</f>
        <v>Low</v>
      </c>
      <c r="W3008" t="str">
        <f>IF(Table1[[#This Row],[skill_gap_index]]&gt;70,"Large Gap",
IF(Table1[[#This Row],[skill_gap_index]]&gt;40,"Medium Gap","Small Gap"))</f>
        <v>Small Gap</v>
      </c>
      <c r="X3008" s="3" t="str">
        <f>IF(Table1[[#This Row],[automation_risk_percent]]&gt;0.7,"Highly Automatable",
IF(Table1[[#This Row],[automation_risk_percent]]&gt;0.4,"Moderate Risk","Safe Job"))</f>
        <v>Moderate Risk</v>
      </c>
    </row>
    <row r="3009" spans="1:24" x14ac:dyDescent="0.3">
      <c r="A3009">
        <v>10543</v>
      </c>
      <c r="B3009" t="s">
        <v>44</v>
      </c>
      <c r="C3009" t="s">
        <v>40</v>
      </c>
      <c r="D3009" t="s">
        <v>35</v>
      </c>
      <c r="E3009" s="1">
        <v>2026</v>
      </c>
      <c r="F3009" s="11">
        <v>0.68779999999999997</v>
      </c>
      <c r="G3009">
        <v>71</v>
      </c>
      <c r="H3009">
        <v>17.62</v>
      </c>
      <c r="I3009" s="2">
        <v>58313.48</v>
      </c>
      <c r="J3009" s="2">
        <v>57612.12</v>
      </c>
      <c r="K3009" s="2">
        <f>Table1[[#This Row],[Salary_after]]-Table1[[#This Row],[Salary_before]]</f>
        <v>-701.36000000000058</v>
      </c>
      <c r="L3009" s="11">
        <v>-1.2E-2</v>
      </c>
      <c r="M3009" s="11">
        <v>2.3199999999999998E-2</v>
      </c>
      <c r="N3009">
        <v>70.260000000000005</v>
      </c>
      <c r="O3009">
        <v>18.3</v>
      </c>
      <c r="P3009">
        <v>2</v>
      </c>
      <c r="Q3009" t="s">
        <v>37</v>
      </c>
      <c r="R3009">
        <v>43.2</v>
      </c>
      <c r="S3009">
        <v>1.2</v>
      </c>
      <c r="T3009" s="4">
        <v>33.158000000000001</v>
      </c>
      <c r="U3009" s="4">
        <v>12.586739999999899</v>
      </c>
      <c r="V3009" t="str">
        <f>IF(Table1[[#This Row],[ai_disruption_intensity]]&gt;70,"High",
IF(Table1[[#This Row],[ai_disruption_intensity]]&gt;40,"Medium","Low"))</f>
        <v>Low</v>
      </c>
      <c r="W3009" t="str">
        <f>IF(Table1[[#This Row],[skill_gap_index]]&gt;70,"Large Gap",
IF(Table1[[#This Row],[skill_gap_index]]&gt;40,"Medium Gap","Small Gap"))</f>
        <v>Small Gap</v>
      </c>
      <c r="X3009" s="3" t="str">
        <f>IF(Table1[[#This Row],[automation_risk_percent]]&gt;0.7,"Highly Automatable",
IF(Table1[[#This Row],[automation_risk_percent]]&gt;0.4,"Moderate Risk","Safe Job"))</f>
        <v>Moderate Risk</v>
      </c>
    </row>
    <row r="3010" spans="1:24" x14ac:dyDescent="0.3">
      <c r="A3010">
        <v>10548</v>
      </c>
      <c r="B3010" t="s">
        <v>46</v>
      </c>
      <c r="C3010" t="s">
        <v>38</v>
      </c>
      <c r="D3010" t="s">
        <v>20</v>
      </c>
      <c r="E3010" s="1">
        <v>2026</v>
      </c>
      <c r="F3010" s="11">
        <v>0.6008</v>
      </c>
      <c r="G3010">
        <v>53.47</v>
      </c>
      <c r="H3010">
        <v>58.89</v>
      </c>
      <c r="I3010" s="2">
        <v>116518.2</v>
      </c>
      <c r="J3010" s="2">
        <v>103550.89</v>
      </c>
      <c r="K3010" s="2">
        <f>Table1[[#This Row],[Salary_after]]-Table1[[#This Row],[Salary_before]]</f>
        <v>-12967.309999999998</v>
      </c>
      <c r="L3010" s="11">
        <v>-0.11130000000000001</v>
      </c>
      <c r="M3010" s="11">
        <v>-2.6600000000000002E-2</v>
      </c>
      <c r="N3010">
        <v>23.92</v>
      </c>
      <c r="O3010">
        <v>68.709999999999994</v>
      </c>
      <c r="P3010">
        <v>4</v>
      </c>
      <c r="Q3010" t="s">
        <v>37</v>
      </c>
      <c r="R3010">
        <v>59.484999999999999</v>
      </c>
      <c r="S3010">
        <v>11.13</v>
      </c>
      <c r="T3010" s="4">
        <v>45.037999999999997</v>
      </c>
      <c r="U3010" s="4">
        <v>41.280967999999902</v>
      </c>
      <c r="V3010" t="str">
        <f>IF(Table1[[#This Row],[ai_disruption_intensity]]&gt;70,"High",
IF(Table1[[#This Row],[ai_disruption_intensity]]&gt;40,"Medium","Low"))</f>
        <v>Medium</v>
      </c>
      <c r="W3010" t="str">
        <f>IF(Table1[[#This Row],[skill_gap_index]]&gt;70,"Large Gap",
IF(Table1[[#This Row],[skill_gap_index]]&gt;40,"Medium Gap","Small Gap"))</f>
        <v>Medium Gap</v>
      </c>
      <c r="X3010" s="3" t="str">
        <f>IF(Table1[[#This Row],[automation_risk_percent]]&gt;0.7,"Highly Automatable",
IF(Table1[[#This Row],[automation_risk_percent]]&gt;0.4,"Moderate Risk","Safe Job"))</f>
        <v>Moderate Risk</v>
      </c>
    </row>
    <row r="3011" spans="1:24" x14ac:dyDescent="0.3">
      <c r="A3011">
        <v>10551</v>
      </c>
      <c r="B3011" t="s">
        <v>43</v>
      </c>
      <c r="C3011" t="s">
        <v>34</v>
      </c>
      <c r="D3011" t="s">
        <v>24</v>
      </c>
      <c r="E3011" s="1">
        <v>2025</v>
      </c>
      <c r="F3011" s="11">
        <v>0.53239999999999998</v>
      </c>
      <c r="G3011">
        <v>50.13</v>
      </c>
      <c r="H3011">
        <v>96.09</v>
      </c>
      <c r="I3011" s="2">
        <v>102312.44</v>
      </c>
      <c r="J3011" s="2">
        <v>102037.14</v>
      </c>
      <c r="K3011" s="2">
        <f>Table1[[#This Row],[Salary_after]]-Table1[[#This Row],[Salary_before]]</f>
        <v>-275.30000000000291</v>
      </c>
      <c r="L3011" s="11">
        <v>-2.7000000000000001E-3</v>
      </c>
      <c r="M3011" s="11">
        <v>6.9500000000000006E-2</v>
      </c>
      <c r="N3011">
        <v>12.91</v>
      </c>
      <c r="O3011">
        <v>30.24</v>
      </c>
      <c r="P3011">
        <v>3</v>
      </c>
      <c r="Q3011" t="s">
        <v>25</v>
      </c>
      <c r="R3011">
        <v>74.665000000000006</v>
      </c>
      <c r="S3011">
        <v>0.27</v>
      </c>
      <c r="T3011" s="4">
        <v>50.204000000000001</v>
      </c>
      <c r="U3011" s="4">
        <v>16.099775999999999</v>
      </c>
      <c r="V3011" t="str">
        <f>IF(Table1[[#This Row],[ai_disruption_intensity]]&gt;70,"High",
IF(Table1[[#This Row],[ai_disruption_intensity]]&gt;40,"Medium","Low"))</f>
        <v>Low</v>
      </c>
      <c r="W3011" t="str">
        <f>IF(Table1[[#This Row],[skill_gap_index]]&gt;70,"Large Gap",
IF(Table1[[#This Row],[skill_gap_index]]&gt;40,"Medium Gap","Small Gap"))</f>
        <v>Large Gap</v>
      </c>
      <c r="X3011" s="3" t="str">
        <f>IF(Table1[[#This Row],[automation_risk_percent]]&gt;0.7,"Highly Automatable",
IF(Table1[[#This Row],[automation_risk_percent]]&gt;0.4,"Moderate Risk","Safe Job"))</f>
        <v>Moderate Risk</v>
      </c>
    </row>
    <row r="3012" spans="1:24" x14ac:dyDescent="0.3">
      <c r="A3012">
        <v>10552</v>
      </c>
      <c r="B3012" t="s">
        <v>43</v>
      </c>
      <c r="C3012" t="s">
        <v>19</v>
      </c>
      <c r="D3012" t="s">
        <v>31</v>
      </c>
      <c r="E3012" s="1">
        <v>2025</v>
      </c>
      <c r="F3012" s="11">
        <v>0.55559999999999998</v>
      </c>
      <c r="G3012">
        <v>64.67</v>
      </c>
      <c r="H3012">
        <v>61.52</v>
      </c>
      <c r="I3012" s="2">
        <v>86611.64</v>
      </c>
      <c r="J3012" s="2">
        <v>87428.71</v>
      </c>
      <c r="K3012" s="2">
        <f>Table1[[#This Row],[Salary_after]]-Table1[[#This Row],[Salary_before]]</f>
        <v>817.07000000000698</v>
      </c>
      <c r="L3012" s="11">
        <v>9.3999999999999986E-3</v>
      </c>
      <c r="M3012" s="11">
        <v>3.0099999999999998E-2</v>
      </c>
      <c r="N3012">
        <v>84.8</v>
      </c>
      <c r="O3012">
        <v>16.440000000000001</v>
      </c>
      <c r="P3012">
        <v>4</v>
      </c>
      <c r="Q3012" t="s">
        <v>25</v>
      </c>
      <c r="R3012">
        <v>58.54</v>
      </c>
      <c r="S3012">
        <v>0.94</v>
      </c>
      <c r="T3012" s="4">
        <v>40.962000000000003</v>
      </c>
      <c r="U3012" s="4">
        <v>9.1340640000000004</v>
      </c>
      <c r="V3012" t="str">
        <f>IF(Table1[[#This Row],[ai_disruption_intensity]]&gt;70,"High",
IF(Table1[[#This Row],[ai_disruption_intensity]]&gt;40,"Medium","Low"))</f>
        <v>Low</v>
      </c>
      <c r="W3012" t="str">
        <f>IF(Table1[[#This Row],[skill_gap_index]]&gt;70,"Large Gap",
IF(Table1[[#This Row],[skill_gap_index]]&gt;40,"Medium Gap","Small Gap"))</f>
        <v>Medium Gap</v>
      </c>
      <c r="X3012" s="3" t="str">
        <f>IF(Table1[[#This Row],[automation_risk_percent]]&gt;0.7,"Highly Automatable",
IF(Table1[[#This Row],[automation_risk_percent]]&gt;0.4,"Moderate Risk","Safe Job"))</f>
        <v>Moderate Risk</v>
      </c>
    </row>
    <row r="3013" spans="1:24" x14ac:dyDescent="0.3">
      <c r="A3013">
        <v>10553</v>
      </c>
      <c r="B3013" t="s">
        <v>44</v>
      </c>
      <c r="C3013" t="s">
        <v>40</v>
      </c>
      <c r="D3013" t="s">
        <v>20</v>
      </c>
      <c r="E3013" s="1">
        <v>2026</v>
      </c>
      <c r="F3013" s="11">
        <v>0.32770000000000005</v>
      </c>
      <c r="G3013">
        <v>32.49</v>
      </c>
      <c r="H3013">
        <v>14.28</v>
      </c>
      <c r="I3013" s="2">
        <v>79942.960000000006</v>
      </c>
      <c r="J3013" s="2">
        <v>82081.41</v>
      </c>
      <c r="K3013" s="2">
        <f>Table1[[#This Row],[Salary_after]]-Table1[[#This Row],[Salary_before]]</f>
        <v>2138.4499999999971</v>
      </c>
      <c r="L3013" s="11">
        <v>2.6699999999999998E-2</v>
      </c>
      <c r="M3013" s="11">
        <v>4.7E-2</v>
      </c>
      <c r="N3013">
        <v>81.400000000000006</v>
      </c>
      <c r="O3013">
        <v>29.31</v>
      </c>
      <c r="P3013">
        <v>2</v>
      </c>
      <c r="Q3013" t="s">
        <v>25</v>
      </c>
      <c r="R3013">
        <v>23.524999999999999</v>
      </c>
      <c r="S3013">
        <v>2.67</v>
      </c>
      <c r="T3013" s="4">
        <v>18.193000000000001</v>
      </c>
      <c r="U3013" s="4">
        <v>9.6048869999999997</v>
      </c>
      <c r="V3013" t="str">
        <f>IF(Table1[[#This Row],[ai_disruption_intensity]]&gt;70,"High",
IF(Table1[[#This Row],[ai_disruption_intensity]]&gt;40,"Medium","Low"))</f>
        <v>Low</v>
      </c>
      <c r="W3013" t="str">
        <f>IF(Table1[[#This Row],[skill_gap_index]]&gt;70,"Large Gap",
IF(Table1[[#This Row],[skill_gap_index]]&gt;40,"Medium Gap","Small Gap"))</f>
        <v>Small Gap</v>
      </c>
      <c r="X3013" s="3" t="str">
        <f>IF(Table1[[#This Row],[automation_risk_percent]]&gt;0.7,"Highly Automatable",
IF(Table1[[#This Row],[automation_risk_percent]]&gt;0.4,"Moderate Risk","Safe Job"))</f>
        <v>Safe Job</v>
      </c>
    </row>
    <row r="3014" spans="1:24" x14ac:dyDescent="0.3">
      <c r="A3014">
        <v>10555</v>
      </c>
      <c r="B3014" t="s">
        <v>22</v>
      </c>
      <c r="C3014" t="s">
        <v>34</v>
      </c>
      <c r="D3014" t="s">
        <v>47</v>
      </c>
      <c r="E3014" s="1">
        <v>2026</v>
      </c>
      <c r="F3014" s="11">
        <v>0.62680000000000002</v>
      </c>
      <c r="G3014">
        <v>54.06</v>
      </c>
      <c r="H3014">
        <v>89.29</v>
      </c>
      <c r="I3014" s="2">
        <v>39376.129999999997</v>
      </c>
      <c r="J3014" s="2">
        <v>35694.239999999998</v>
      </c>
      <c r="K3014" s="2">
        <f>Table1[[#This Row],[Salary_after]]-Table1[[#This Row],[Salary_before]]</f>
        <v>-3681.8899999999994</v>
      </c>
      <c r="L3014" s="11">
        <v>-9.35E-2</v>
      </c>
      <c r="M3014" s="11">
        <v>0.10210000000000001</v>
      </c>
      <c r="N3014">
        <v>82.54</v>
      </c>
      <c r="O3014">
        <v>57.14</v>
      </c>
      <c r="P3014">
        <v>1</v>
      </c>
      <c r="Q3014" t="s">
        <v>37</v>
      </c>
      <c r="R3014">
        <v>75.984999999999999</v>
      </c>
      <c r="S3014">
        <v>9.35</v>
      </c>
      <c r="T3014" s="4">
        <v>54.664000000000001</v>
      </c>
      <c r="U3014" s="4">
        <v>35.815351999999997</v>
      </c>
      <c r="V3014" t="str">
        <f>IF(Table1[[#This Row],[ai_disruption_intensity]]&gt;70,"High",
IF(Table1[[#This Row],[ai_disruption_intensity]]&gt;40,"Medium","Low"))</f>
        <v>Low</v>
      </c>
      <c r="W3014" t="str">
        <f>IF(Table1[[#This Row],[skill_gap_index]]&gt;70,"Large Gap",
IF(Table1[[#This Row],[skill_gap_index]]&gt;40,"Medium Gap","Small Gap"))</f>
        <v>Large Gap</v>
      </c>
      <c r="X3014" s="3" t="str">
        <f>IF(Table1[[#This Row],[automation_risk_percent]]&gt;0.7,"Highly Automatable",
IF(Table1[[#This Row],[automation_risk_percent]]&gt;0.4,"Moderate Risk","Safe Job"))</f>
        <v>Moderate Risk</v>
      </c>
    </row>
    <row r="3015" spans="1:24" x14ac:dyDescent="0.3">
      <c r="A3015">
        <v>10556</v>
      </c>
      <c r="B3015" t="s">
        <v>41</v>
      </c>
      <c r="C3015" t="s">
        <v>27</v>
      </c>
      <c r="D3015" t="s">
        <v>24</v>
      </c>
      <c r="E3015" s="1">
        <v>2025</v>
      </c>
      <c r="F3015" s="11">
        <v>0.66239999999999999</v>
      </c>
      <c r="G3015">
        <v>62.16</v>
      </c>
      <c r="H3015">
        <v>28.33</v>
      </c>
      <c r="I3015" s="2">
        <v>85598.53</v>
      </c>
      <c r="J3015" s="2">
        <v>79957.440000000002</v>
      </c>
      <c r="K3015" s="2">
        <f>Table1[[#This Row],[Salary_after]]-Table1[[#This Row],[Salary_before]]</f>
        <v>-5641.0899999999965</v>
      </c>
      <c r="L3015" s="11">
        <v>-6.59E-2</v>
      </c>
      <c r="M3015" s="11">
        <v>0.1012</v>
      </c>
      <c r="N3015">
        <v>83.46</v>
      </c>
      <c r="O3015">
        <v>47.98</v>
      </c>
      <c r="P3015">
        <v>4</v>
      </c>
      <c r="Q3015" t="s">
        <v>37</v>
      </c>
      <c r="R3015">
        <v>47.284999999999997</v>
      </c>
      <c r="S3015">
        <v>6.59</v>
      </c>
      <c r="T3015" s="4">
        <v>36.971999999999902</v>
      </c>
      <c r="U3015" s="4">
        <v>31.781951999999901</v>
      </c>
      <c r="V3015" t="str">
        <f>IF(Table1[[#This Row],[ai_disruption_intensity]]&gt;70,"High",
IF(Table1[[#This Row],[ai_disruption_intensity]]&gt;40,"Medium","Low"))</f>
        <v>Low</v>
      </c>
      <c r="W3015" t="str">
        <f>IF(Table1[[#This Row],[skill_gap_index]]&gt;70,"Large Gap",
IF(Table1[[#This Row],[skill_gap_index]]&gt;40,"Medium Gap","Small Gap"))</f>
        <v>Small Gap</v>
      </c>
      <c r="X3015" s="3" t="str">
        <f>IF(Table1[[#This Row],[automation_risk_percent]]&gt;0.7,"Highly Automatable",
IF(Table1[[#This Row],[automation_risk_percent]]&gt;0.4,"Moderate Risk","Safe Job"))</f>
        <v>Moderate Risk</v>
      </c>
    </row>
    <row r="3016" spans="1:24" x14ac:dyDescent="0.3">
      <c r="A3016">
        <v>10561</v>
      </c>
      <c r="B3016" t="s">
        <v>39</v>
      </c>
      <c r="C3016" t="s">
        <v>34</v>
      </c>
      <c r="D3016" t="s">
        <v>20</v>
      </c>
      <c r="E3016" s="1">
        <v>2026</v>
      </c>
      <c r="F3016" s="11">
        <v>0.42060000000000003</v>
      </c>
      <c r="G3016">
        <v>47.87</v>
      </c>
      <c r="H3016">
        <v>54.25</v>
      </c>
      <c r="I3016" s="2">
        <v>35744.019999999997</v>
      </c>
      <c r="J3016" s="2">
        <v>29258.28</v>
      </c>
      <c r="K3016" s="2">
        <f>Table1[[#This Row],[Salary_after]]-Table1[[#This Row],[Salary_before]]</f>
        <v>-6485.739999999998</v>
      </c>
      <c r="L3016" s="11">
        <v>-0.18140000000000001</v>
      </c>
      <c r="M3016" s="11">
        <v>-8.4700000000000011E-2</v>
      </c>
      <c r="N3016">
        <v>90.99</v>
      </c>
      <c r="O3016">
        <v>30.54</v>
      </c>
      <c r="P3016">
        <v>4</v>
      </c>
      <c r="Q3016" t="s">
        <v>25</v>
      </c>
      <c r="R3016">
        <v>48.155000000000001</v>
      </c>
      <c r="S3016">
        <v>18.14</v>
      </c>
      <c r="T3016" s="4">
        <v>38.540999999999997</v>
      </c>
      <c r="U3016" s="4">
        <v>12.845124</v>
      </c>
      <c r="V3016" t="str">
        <f>IF(Table1[[#This Row],[ai_disruption_intensity]]&gt;70,"High",
IF(Table1[[#This Row],[ai_disruption_intensity]]&gt;40,"Medium","Low"))</f>
        <v>Low</v>
      </c>
      <c r="W3016" t="str">
        <f>IF(Table1[[#This Row],[skill_gap_index]]&gt;70,"Large Gap",
IF(Table1[[#This Row],[skill_gap_index]]&gt;40,"Medium Gap","Small Gap"))</f>
        <v>Medium Gap</v>
      </c>
      <c r="X3016" s="3" t="str">
        <f>IF(Table1[[#This Row],[automation_risk_percent]]&gt;0.7,"Highly Automatable",
IF(Table1[[#This Row],[automation_risk_percent]]&gt;0.4,"Moderate Risk","Safe Job"))</f>
        <v>Moderate Risk</v>
      </c>
    </row>
    <row r="3017" spans="1:24" x14ac:dyDescent="0.3">
      <c r="A3017">
        <v>10563</v>
      </c>
      <c r="B3017" t="s">
        <v>46</v>
      </c>
      <c r="C3017" t="s">
        <v>19</v>
      </c>
      <c r="D3017" t="s">
        <v>47</v>
      </c>
      <c r="E3017" s="1">
        <v>2025</v>
      </c>
      <c r="F3017" s="11">
        <v>0.55149999999999999</v>
      </c>
      <c r="G3017">
        <v>48.09</v>
      </c>
      <c r="H3017">
        <v>7.14</v>
      </c>
      <c r="I3017" s="2">
        <v>97407</v>
      </c>
      <c r="J3017" s="2">
        <v>99280.27</v>
      </c>
      <c r="K3017" s="2">
        <f>Table1[[#This Row],[Salary_after]]-Table1[[#This Row],[Salary_before]]</f>
        <v>1873.2700000000041</v>
      </c>
      <c r="L3017" s="11">
        <v>1.9199999999999998E-2</v>
      </c>
      <c r="M3017" s="11">
        <v>0.16089999999999999</v>
      </c>
      <c r="N3017">
        <v>81.650000000000006</v>
      </c>
      <c r="O3017">
        <v>89.28</v>
      </c>
      <c r="P3017">
        <v>5</v>
      </c>
      <c r="Q3017" t="s">
        <v>25</v>
      </c>
      <c r="R3017">
        <v>31.145</v>
      </c>
      <c r="S3017">
        <v>1.92</v>
      </c>
      <c r="T3017" s="4">
        <v>24.777999999999999</v>
      </c>
      <c r="U3017" s="4">
        <v>49.237920000000003</v>
      </c>
      <c r="V3017" t="str">
        <f>IF(Table1[[#This Row],[ai_disruption_intensity]]&gt;70,"High",
IF(Table1[[#This Row],[ai_disruption_intensity]]&gt;40,"Medium","Low"))</f>
        <v>Medium</v>
      </c>
      <c r="W3017" t="str">
        <f>IF(Table1[[#This Row],[skill_gap_index]]&gt;70,"Large Gap",
IF(Table1[[#This Row],[skill_gap_index]]&gt;40,"Medium Gap","Small Gap"))</f>
        <v>Small Gap</v>
      </c>
      <c r="X3017" s="3" t="str">
        <f>IF(Table1[[#This Row],[automation_risk_percent]]&gt;0.7,"Highly Automatable",
IF(Table1[[#This Row],[automation_risk_percent]]&gt;0.4,"Moderate Risk","Safe Job"))</f>
        <v>Moderate Risk</v>
      </c>
    </row>
    <row r="3018" spans="1:24" x14ac:dyDescent="0.3">
      <c r="A3018">
        <v>10570</v>
      </c>
      <c r="B3018" t="s">
        <v>41</v>
      </c>
      <c r="C3018" t="s">
        <v>19</v>
      </c>
      <c r="D3018" t="s">
        <v>28</v>
      </c>
      <c r="E3018" s="1">
        <v>2026</v>
      </c>
      <c r="F3018" s="11">
        <v>0.8669</v>
      </c>
      <c r="G3018">
        <v>93.53</v>
      </c>
      <c r="H3018">
        <v>3.14</v>
      </c>
      <c r="I3018" s="2">
        <v>30199.91</v>
      </c>
      <c r="J3018" s="2">
        <v>31396.39</v>
      </c>
      <c r="K3018" s="2">
        <f>Table1[[#This Row],[Salary_after]]-Table1[[#This Row],[Salary_before]]</f>
        <v>1196.4799999999996</v>
      </c>
      <c r="L3018" s="11">
        <v>3.9599999999999996E-2</v>
      </c>
      <c r="M3018" s="11">
        <v>-0.1394</v>
      </c>
      <c r="N3018">
        <v>68.27</v>
      </c>
      <c r="O3018">
        <v>52.04</v>
      </c>
      <c r="P3018">
        <v>4</v>
      </c>
      <c r="Q3018" t="s">
        <v>37</v>
      </c>
      <c r="R3018">
        <v>44.914999999999999</v>
      </c>
      <c r="S3018">
        <v>3.96</v>
      </c>
      <c r="T3018" s="4">
        <v>36.805999999999997</v>
      </c>
      <c r="U3018" s="4">
        <v>45.113475999999999</v>
      </c>
      <c r="V3018" t="str">
        <f>IF(Table1[[#This Row],[ai_disruption_intensity]]&gt;70,"High",
IF(Table1[[#This Row],[ai_disruption_intensity]]&gt;40,"Medium","Low"))</f>
        <v>Medium</v>
      </c>
      <c r="W3018" t="str">
        <f>IF(Table1[[#This Row],[skill_gap_index]]&gt;70,"Large Gap",
IF(Table1[[#This Row],[skill_gap_index]]&gt;40,"Medium Gap","Small Gap"))</f>
        <v>Small Gap</v>
      </c>
      <c r="X3018" s="3" t="str">
        <f>IF(Table1[[#This Row],[automation_risk_percent]]&gt;0.7,"Highly Automatable",
IF(Table1[[#This Row],[automation_risk_percent]]&gt;0.4,"Moderate Risk","Safe Job"))</f>
        <v>Highly Automatable</v>
      </c>
    </row>
    <row r="3019" spans="1:24" x14ac:dyDescent="0.3">
      <c r="A3019">
        <v>10571</v>
      </c>
      <c r="B3019" t="s">
        <v>18</v>
      </c>
      <c r="C3019" t="s">
        <v>33</v>
      </c>
      <c r="D3019" t="s">
        <v>20</v>
      </c>
      <c r="E3019" s="1">
        <v>2026</v>
      </c>
      <c r="F3019" s="11">
        <v>0.2495</v>
      </c>
      <c r="G3019">
        <v>25.76</v>
      </c>
      <c r="H3019">
        <v>25.87</v>
      </c>
      <c r="I3019" s="2">
        <v>49802.68</v>
      </c>
      <c r="J3019" s="2">
        <v>38190.61</v>
      </c>
      <c r="K3019" s="2">
        <f>Table1[[#This Row],[Salary_after]]-Table1[[#This Row],[Salary_before]]</f>
        <v>-11612.07</v>
      </c>
      <c r="L3019" s="11">
        <v>-0.23319999999999999</v>
      </c>
      <c r="M3019" s="11">
        <v>6.0100000000000001E-2</v>
      </c>
      <c r="N3019">
        <v>12.47</v>
      </c>
      <c r="O3019">
        <v>94.97</v>
      </c>
      <c r="P3019">
        <v>3</v>
      </c>
      <c r="Q3019" t="s">
        <v>21</v>
      </c>
      <c r="R3019">
        <v>25.41</v>
      </c>
      <c r="S3019">
        <v>23.32</v>
      </c>
      <c r="T3019" s="4">
        <v>24.736999999999998</v>
      </c>
      <c r="U3019" s="4">
        <v>23.695014999999898</v>
      </c>
      <c r="V3019" t="str">
        <f>IF(Table1[[#This Row],[ai_disruption_intensity]]&gt;70,"High",
IF(Table1[[#This Row],[ai_disruption_intensity]]&gt;40,"Medium","Low"))</f>
        <v>Low</v>
      </c>
      <c r="W3019" t="str">
        <f>IF(Table1[[#This Row],[skill_gap_index]]&gt;70,"Large Gap",
IF(Table1[[#This Row],[skill_gap_index]]&gt;40,"Medium Gap","Small Gap"))</f>
        <v>Small Gap</v>
      </c>
      <c r="X3019" s="3" t="str">
        <f>IF(Table1[[#This Row],[automation_risk_percent]]&gt;0.7,"Highly Automatable",
IF(Table1[[#This Row],[automation_risk_percent]]&gt;0.4,"Moderate Risk","Safe Job"))</f>
        <v>Safe Job</v>
      </c>
    </row>
    <row r="3020" spans="1:24" x14ac:dyDescent="0.3">
      <c r="A3020">
        <v>10572</v>
      </c>
      <c r="B3020" t="s">
        <v>39</v>
      </c>
      <c r="C3020" t="s">
        <v>40</v>
      </c>
      <c r="D3020" t="s">
        <v>24</v>
      </c>
      <c r="E3020" s="1">
        <v>2026</v>
      </c>
      <c r="F3020" s="11">
        <v>0.12770000000000001</v>
      </c>
      <c r="G3020">
        <v>14.83</v>
      </c>
      <c r="H3020">
        <v>18.97</v>
      </c>
      <c r="I3020" s="2">
        <v>47023.48</v>
      </c>
      <c r="J3020" s="2">
        <v>46437.94</v>
      </c>
      <c r="K3020" s="2">
        <f>Table1[[#This Row],[Salary_after]]-Table1[[#This Row],[Salary_before]]</f>
        <v>-585.54000000000087</v>
      </c>
      <c r="L3020" s="11">
        <v>-1.2500000000000001E-2</v>
      </c>
      <c r="M3020" s="11">
        <v>-2.2200000000000001E-2</v>
      </c>
      <c r="N3020">
        <v>62.82</v>
      </c>
      <c r="O3020">
        <v>90.37</v>
      </c>
      <c r="P3020">
        <v>2</v>
      </c>
      <c r="Q3020" t="s">
        <v>21</v>
      </c>
      <c r="R3020">
        <v>15.87</v>
      </c>
      <c r="S3020">
        <v>1.25</v>
      </c>
      <c r="T3020" s="4">
        <v>11.173999999999999</v>
      </c>
      <c r="U3020" s="4">
        <v>11.540248999999999</v>
      </c>
      <c r="V3020" t="str">
        <f>IF(Table1[[#This Row],[ai_disruption_intensity]]&gt;70,"High",
IF(Table1[[#This Row],[ai_disruption_intensity]]&gt;40,"Medium","Low"))</f>
        <v>Low</v>
      </c>
      <c r="W3020" t="str">
        <f>IF(Table1[[#This Row],[skill_gap_index]]&gt;70,"Large Gap",
IF(Table1[[#This Row],[skill_gap_index]]&gt;40,"Medium Gap","Small Gap"))</f>
        <v>Small Gap</v>
      </c>
      <c r="X3020" s="3" t="str">
        <f>IF(Table1[[#This Row],[automation_risk_percent]]&gt;0.7,"Highly Automatable",
IF(Table1[[#This Row],[automation_risk_percent]]&gt;0.4,"Moderate Risk","Safe Job"))</f>
        <v>Safe Job</v>
      </c>
    </row>
    <row r="3021" spans="1:24" x14ac:dyDescent="0.3">
      <c r="A3021">
        <v>10576</v>
      </c>
      <c r="B3021" t="s">
        <v>46</v>
      </c>
      <c r="C3021" t="s">
        <v>30</v>
      </c>
      <c r="D3021" t="s">
        <v>42</v>
      </c>
      <c r="E3021" s="1">
        <v>2026</v>
      </c>
      <c r="F3021" s="11">
        <v>0.10220000000000001</v>
      </c>
      <c r="G3021">
        <v>10.15</v>
      </c>
      <c r="H3021">
        <v>27.29</v>
      </c>
      <c r="I3021" s="2">
        <v>140403.41</v>
      </c>
      <c r="J3021" s="2">
        <v>139689.73000000001</v>
      </c>
      <c r="K3021" s="2">
        <f>Table1[[#This Row],[Salary_after]]-Table1[[#This Row],[Salary_before]]</f>
        <v>-713.67999999999302</v>
      </c>
      <c r="L3021" s="11">
        <v>-5.1000000000000004E-3</v>
      </c>
      <c r="M3021" s="11">
        <v>0.1812</v>
      </c>
      <c r="N3021">
        <v>50.84</v>
      </c>
      <c r="O3021">
        <v>83.4</v>
      </c>
      <c r="P3021">
        <v>3</v>
      </c>
      <c r="Q3021" t="s">
        <v>21</v>
      </c>
      <c r="R3021">
        <v>18.754999999999999</v>
      </c>
      <c r="S3021">
        <v>0.51</v>
      </c>
      <c r="T3021" s="4">
        <v>12.4279999999999</v>
      </c>
      <c r="U3021" s="4">
        <v>8.5234799999999993</v>
      </c>
      <c r="V3021" t="str">
        <f>IF(Table1[[#This Row],[ai_disruption_intensity]]&gt;70,"High",
IF(Table1[[#This Row],[ai_disruption_intensity]]&gt;40,"Medium","Low"))</f>
        <v>Low</v>
      </c>
      <c r="W3021" t="str">
        <f>IF(Table1[[#This Row],[skill_gap_index]]&gt;70,"Large Gap",
IF(Table1[[#This Row],[skill_gap_index]]&gt;40,"Medium Gap","Small Gap"))</f>
        <v>Small Gap</v>
      </c>
      <c r="X3021" s="3" t="str">
        <f>IF(Table1[[#This Row],[automation_risk_percent]]&gt;0.7,"Highly Automatable",
IF(Table1[[#This Row],[automation_risk_percent]]&gt;0.4,"Moderate Risk","Safe Job"))</f>
        <v>Safe Job</v>
      </c>
    </row>
    <row r="3022" spans="1:24" x14ac:dyDescent="0.3">
      <c r="A3022">
        <v>10577</v>
      </c>
      <c r="B3022" t="s">
        <v>46</v>
      </c>
      <c r="C3022" t="s">
        <v>23</v>
      </c>
      <c r="D3022" t="s">
        <v>36</v>
      </c>
      <c r="E3022" s="1">
        <v>2025</v>
      </c>
      <c r="F3022" s="11">
        <v>0.48330000000000001</v>
      </c>
      <c r="G3022">
        <v>51.88</v>
      </c>
      <c r="H3022">
        <v>54.83</v>
      </c>
      <c r="I3022" s="2">
        <v>133483.14000000001</v>
      </c>
      <c r="J3022" s="2">
        <v>137895.97</v>
      </c>
      <c r="K3022" s="2">
        <f>Table1[[#This Row],[Salary_after]]-Table1[[#This Row],[Salary_before]]</f>
        <v>4412.8299999999872</v>
      </c>
      <c r="L3022" s="11">
        <v>3.3099999999999997E-2</v>
      </c>
      <c r="M3022" s="11">
        <v>2.1600000000000001E-2</v>
      </c>
      <c r="N3022">
        <v>56.87</v>
      </c>
      <c r="O3022">
        <v>62.13</v>
      </c>
      <c r="P3022">
        <v>4</v>
      </c>
      <c r="Q3022" t="s">
        <v>25</v>
      </c>
      <c r="R3022">
        <v>51.58</v>
      </c>
      <c r="S3022">
        <v>3.31</v>
      </c>
      <c r="T3022" s="4">
        <v>36.774000000000001</v>
      </c>
      <c r="U3022" s="4">
        <v>30.027429000000001</v>
      </c>
      <c r="V3022" t="str">
        <f>IF(Table1[[#This Row],[ai_disruption_intensity]]&gt;70,"High",
IF(Table1[[#This Row],[ai_disruption_intensity]]&gt;40,"Medium","Low"))</f>
        <v>Low</v>
      </c>
      <c r="W3022" t="str">
        <f>IF(Table1[[#This Row],[skill_gap_index]]&gt;70,"Large Gap",
IF(Table1[[#This Row],[skill_gap_index]]&gt;40,"Medium Gap","Small Gap"))</f>
        <v>Medium Gap</v>
      </c>
      <c r="X3022" s="3" t="str">
        <f>IF(Table1[[#This Row],[automation_risk_percent]]&gt;0.7,"Highly Automatable",
IF(Table1[[#This Row],[automation_risk_percent]]&gt;0.4,"Moderate Risk","Safe Job"))</f>
        <v>Moderate Risk</v>
      </c>
    </row>
    <row r="3023" spans="1:24" x14ac:dyDescent="0.3">
      <c r="A3023">
        <v>10583</v>
      </c>
      <c r="B3023" t="s">
        <v>26</v>
      </c>
      <c r="C3023" t="s">
        <v>30</v>
      </c>
      <c r="D3023" t="s">
        <v>20</v>
      </c>
      <c r="E3023" s="1">
        <v>2026</v>
      </c>
      <c r="F3023" s="11">
        <v>0.51170000000000004</v>
      </c>
      <c r="G3023">
        <v>47.17</v>
      </c>
      <c r="H3023">
        <v>31.01</v>
      </c>
      <c r="I3023" s="2">
        <v>106782.65</v>
      </c>
      <c r="J3023" s="2">
        <v>103347.68</v>
      </c>
      <c r="K3023" s="2">
        <f>Table1[[#This Row],[Salary_after]]-Table1[[#This Row],[Salary_before]]</f>
        <v>-3434.9700000000012</v>
      </c>
      <c r="L3023" s="11">
        <v>-3.2199999999999999E-2</v>
      </c>
      <c r="M3023" s="11">
        <v>0.25619999999999998</v>
      </c>
      <c r="N3023">
        <v>60.08</v>
      </c>
      <c r="O3023">
        <v>84.89</v>
      </c>
      <c r="P3023">
        <v>4</v>
      </c>
      <c r="Q3023" t="s">
        <v>25</v>
      </c>
      <c r="R3023">
        <v>41.09</v>
      </c>
      <c r="S3023">
        <v>3.22</v>
      </c>
      <c r="T3023" s="4">
        <v>30.736999999999998</v>
      </c>
      <c r="U3023" s="4">
        <v>43.438212999999998</v>
      </c>
      <c r="V3023" t="str">
        <f>IF(Table1[[#This Row],[ai_disruption_intensity]]&gt;70,"High",
IF(Table1[[#This Row],[ai_disruption_intensity]]&gt;40,"Medium","Low"))</f>
        <v>Medium</v>
      </c>
      <c r="W3023" t="str">
        <f>IF(Table1[[#This Row],[skill_gap_index]]&gt;70,"Large Gap",
IF(Table1[[#This Row],[skill_gap_index]]&gt;40,"Medium Gap","Small Gap"))</f>
        <v>Small Gap</v>
      </c>
      <c r="X3023" s="3" t="str">
        <f>IF(Table1[[#This Row],[automation_risk_percent]]&gt;0.7,"Highly Automatable",
IF(Table1[[#This Row],[automation_risk_percent]]&gt;0.4,"Moderate Risk","Safe Job"))</f>
        <v>Moderate Risk</v>
      </c>
    </row>
    <row r="3024" spans="1:24" x14ac:dyDescent="0.3">
      <c r="A3024">
        <v>10584</v>
      </c>
      <c r="B3024" t="s">
        <v>18</v>
      </c>
      <c r="C3024" t="s">
        <v>40</v>
      </c>
      <c r="D3024" t="s">
        <v>31</v>
      </c>
      <c r="E3024" s="1">
        <v>2025</v>
      </c>
      <c r="F3024" s="11">
        <v>0.17499999999999999</v>
      </c>
      <c r="G3024">
        <v>14.45</v>
      </c>
      <c r="H3024">
        <v>65.62</v>
      </c>
      <c r="I3024" s="2">
        <v>102457.3</v>
      </c>
      <c r="J3024" s="2">
        <v>103426.65</v>
      </c>
      <c r="K3024" s="2">
        <f>Table1[[#This Row],[Salary_after]]-Table1[[#This Row],[Salary_before]]</f>
        <v>969.34999999999127</v>
      </c>
      <c r="L3024" s="11">
        <v>9.4999999999999998E-3</v>
      </c>
      <c r="M3024" s="11">
        <v>-8.5699999999999998E-2</v>
      </c>
      <c r="N3024">
        <v>77.11</v>
      </c>
      <c r="O3024">
        <v>73.17</v>
      </c>
      <c r="P3024">
        <v>2</v>
      </c>
      <c r="Q3024" t="s">
        <v>21</v>
      </c>
      <c r="R3024">
        <v>41.56</v>
      </c>
      <c r="S3024">
        <v>0.95</v>
      </c>
      <c r="T3024" s="4">
        <v>26.971</v>
      </c>
      <c r="U3024" s="4">
        <v>12.80475</v>
      </c>
      <c r="V3024" t="str">
        <f>IF(Table1[[#This Row],[ai_disruption_intensity]]&gt;70,"High",
IF(Table1[[#This Row],[ai_disruption_intensity]]&gt;40,"Medium","Low"))</f>
        <v>Low</v>
      </c>
      <c r="W3024" t="str">
        <f>IF(Table1[[#This Row],[skill_gap_index]]&gt;70,"Large Gap",
IF(Table1[[#This Row],[skill_gap_index]]&gt;40,"Medium Gap","Small Gap"))</f>
        <v>Medium Gap</v>
      </c>
      <c r="X3024" s="3" t="str">
        <f>IF(Table1[[#This Row],[automation_risk_percent]]&gt;0.7,"Highly Automatable",
IF(Table1[[#This Row],[automation_risk_percent]]&gt;0.4,"Moderate Risk","Safe Job"))</f>
        <v>Safe Job</v>
      </c>
    </row>
    <row r="3025" spans="1:24" x14ac:dyDescent="0.3">
      <c r="A3025">
        <v>10586</v>
      </c>
      <c r="B3025" t="s">
        <v>26</v>
      </c>
      <c r="C3025" t="s">
        <v>19</v>
      </c>
      <c r="D3025" t="s">
        <v>32</v>
      </c>
      <c r="E3025" s="1">
        <v>2026</v>
      </c>
      <c r="F3025" s="11">
        <v>0.43670000000000003</v>
      </c>
      <c r="G3025">
        <v>39.08</v>
      </c>
      <c r="H3025">
        <v>13.96</v>
      </c>
      <c r="I3025" s="2">
        <v>30065.119999999999</v>
      </c>
      <c r="J3025" s="2">
        <v>28400.92</v>
      </c>
      <c r="K3025" s="2">
        <f>Table1[[#This Row],[Salary_after]]-Table1[[#This Row],[Salary_before]]</f>
        <v>-1664.2000000000007</v>
      </c>
      <c r="L3025" s="11">
        <v>-5.5399999999999998E-2</v>
      </c>
      <c r="M3025" s="11">
        <v>-2.7799999999999998E-2</v>
      </c>
      <c r="N3025">
        <v>34.28</v>
      </c>
      <c r="O3025">
        <v>66.709999999999994</v>
      </c>
      <c r="P3025">
        <v>1</v>
      </c>
      <c r="Q3025" t="s">
        <v>25</v>
      </c>
      <c r="R3025">
        <v>28.815000000000001</v>
      </c>
      <c r="S3025">
        <v>5.54</v>
      </c>
      <c r="T3025" s="4">
        <v>23.317999999999898</v>
      </c>
      <c r="U3025" s="4">
        <v>29.132256999999999</v>
      </c>
      <c r="V3025" t="str">
        <f>IF(Table1[[#This Row],[ai_disruption_intensity]]&gt;70,"High",
IF(Table1[[#This Row],[ai_disruption_intensity]]&gt;40,"Medium","Low"))</f>
        <v>Low</v>
      </c>
      <c r="W3025" t="str">
        <f>IF(Table1[[#This Row],[skill_gap_index]]&gt;70,"Large Gap",
IF(Table1[[#This Row],[skill_gap_index]]&gt;40,"Medium Gap","Small Gap"))</f>
        <v>Small Gap</v>
      </c>
      <c r="X3025" s="3" t="str">
        <f>IF(Table1[[#This Row],[automation_risk_percent]]&gt;0.7,"Highly Automatable",
IF(Table1[[#This Row],[automation_risk_percent]]&gt;0.4,"Moderate Risk","Safe Job"))</f>
        <v>Moderate Risk</v>
      </c>
    </row>
    <row r="3026" spans="1:24" x14ac:dyDescent="0.3">
      <c r="A3026">
        <v>10589</v>
      </c>
      <c r="B3026" t="s">
        <v>22</v>
      </c>
      <c r="C3026" t="s">
        <v>33</v>
      </c>
      <c r="D3026" t="s">
        <v>32</v>
      </c>
      <c r="E3026" s="1">
        <v>2025</v>
      </c>
      <c r="F3026" s="11">
        <v>0.78159999999999996</v>
      </c>
      <c r="G3026">
        <v>93.36</v>
      </c>
      <c r="H3026">
        <v>69.510000000000005</v>
      </c>
      <c r="I3026" s="2">
        <v>76099.399999999994</v>
      </c>
      <c r="J3026" s="2">
        <v>82229.52</v>
      </c>
      <c r="K3026" s="2">
        <f>Table1[[#This Row],[Salary_after]]-Table1[[#This Row],[Salary_before]]</f>
        <v>6130.1200000000099</v>
      </c>
      <c r="L3026" s="11">
        <v>8.0600000000000005E-2</v>
      </c>
      <c r="M3026" s="11">
        <v>0.16300000000000001</v>
      </c>
      <c r="N3026">
        <v>59.05</v>
      </c>
      <c r="O3026">
        <v>13.18</v>
      </c>
      <c r="P3026">
        <v>3</v>
      </c>
      <c r="Q3026" t="s">
        <v>37</v>
      </c>
      <c r="R3026">
        <v>73.834999999999994</v>
      </c>
      <c r="S3026">
        <v>8.06</v>
      </c>
      <c r="T3026" s="4">
        <v>54.534999999999997</v>
      </c>
      <c r="U3026" s="4">
        <v>10.3014879999999</v>
      </c>
      <c r="V3026" t="str">
        <f>IF(Table1[[#This Row],[ai_disruption_intensity]]&gt;70,"High",
IF(Table1[[#This Row],[ai_disruption_intensity]]&gt;40,"Medium","Low"))</f>
        <v>Low</v>
      </c>
      <c r="W3026" t="str">
        <f>IF(Table1[[#This Row],[skill_gap_index]]&gt;70,"Large Gap",
IF(Table1[[#This Row],[skill_gap_index]]&gt;40,"Medium Gap","Small Gap"))</f>
        <v>Medium Gap</v>
      </c>
      <c r="X3026" s="3" t="str">
        <f>IF(Table1[[#This Row],[automation_risk_percent]]&gt;0.7,"Highly Automatable",
IF(Table1[[#This Row],[automation_risk_percent]]&gt;0.4,"Moderate Risk","Safe Job"))</f>
        <v>Highly Automatable</v>
      </c>
    </row>
    <row r="3027" spans="1:24" x14ac:dyDescent="0.3">
      <c r="A3027">
        <v>10592</v>
      </c>
      <c r="B3027" t="s">
        <v>46</v>
      </c>
      <c r="C3027" t="s">
        <v>27</v>
      </c>
      <c r="D3027" t="s">
        <v>24</v>
      </c>
      <c r="E3027" s="1">
        <v>2025</v>
      </c>
      <c r="F3027" s="11">
        <v>0.39369999999999999</v>
      </c>
      <c r="G3027">
        <v>36.450000000000003</v>
      </c>
      <c r="H3027">
        <v>12.69</v>
      </c>
      <c r="I3027" s="2">
        <v>106898.29</v>
      </c>
      <c r="J3027" s="2">
        <v>103408.05</v>
      </c>
      <c r="K3027" s="2">
        <f>Table1[[#This Row],[Salary_after]]-Table1[[#This Row],[Salary_before]]</f>
        <v>-3490.2399999999907</v>
      </c>
      <c r="L3027" s="11">
        <v>-3.27E-2</v>
      </c>
      <c r="M3027" s="11">
        <v>6.9400000000000003E-2</v>
      </c>
      <c r="N3027">
        <v>24.82</v>
      </c>
      <c r="O3027">
        <v>38.54</v>
      </c>
      <c r="P3027">
        <v>2</v>
      </c>
      <c r="Q3027" t="s">
        <v>25</v>
      </c>
      <c r="R3027">
        <v>26.029999999999902</v>
      </c>
      <c r="S3027">
        <v>3.27</v>
      </c>
      <c r="T3027" s="4">
        <v>20.536000000000001</v>
      </c>
      <c r="U3027" s="4">
        <v>15.1731979999999</v>
      </c>
      <c r="V3027" t="str">
        <f>IF(Table1[[#This Row],[ai_disruption_intensity]]&gt;70,"High",
IF(Table1[[#This Row],[ai_disruption_intensity]]&gt;40,"Medium","Low"))</f>
        <v>Low</v>
      </c>
      <c r="W3027" t="str">
        <f>IF(Table1[[#This Row],[skill_gap_index]]&gt;70,"Large Gap",
IF(Table1[[#This Row],[skill_gap_index]]&gt;40,"Medium Gap","Small Gap"))</f>
        <v>Small Gap</v>
      </c>
      <c r="X3027" s="3" t="str">
        <f>IF(Table1[[#This Row],[automation_risk_percent]]&gt;0.7,"Highly Automatable",
IF(Table1[[#This Row],[automation_risk_percent]]&gt;0.4,"Moderate Risk","Safe Job"))</f>
        <v>Safe Job</v>
      </c>
    </row>
    <row r="3028" spans="1:24" x14ac:dyDescent="0.3">
      <c r="A3028">
        <v>10595</v>
      </c>
      <c r="B3028" t="s">
        <v>45</v>
      </c>
      <c r="C3028" t="s">
        <v>27</v>
      </c>
      <c r="D3028" t="s">
        <v>35</v>
      </c>
      <c r="E3028" s="1">
        <v>2025</v>
      </c>
      <c r="F3028" s="11">
        <v>0.2888</v>
      </c>
      <c r="G3028">
        <v>32.07</v>
      </c>
      <c r="H3028">
        <v>34.049999999999997</v>
      </c>
      <c r="I3028" s="2">
        <v>75299.62</v>
      </c>
      <c r="J3028" s="2">
        <v>76574.929999999993</v>
      </c>
      <c r="K3028" s="2">
        <f>Table1[[#This Row],[Salary_after]]-Table1[[#This Row],[Salary_before]]</f>
        <v>1275.3099999999977</v>
      </c>
      <c r="L3028" s="11">
        <v>1.6899999999999998E-2</v>
      </c>
      <c r="M3028" s="11">
        <v>-2.0899999999999998E-2</v>
      </c>
      <c r="N3028">
        <v>65.97</v>
      </c>
      <c r="O3028">
        <v>43.08</v>
      </c>
      <c r="P3028">
        <v>2</v>
      </c>
      <c r="Q3028" t="s">
        <v>21</v>
      </c>
      <c r="R3028">
        <v>31.4649999999999</v>
      </c>
      <c r="S3028">
        <v>1.69</v>
      </c>
      <c r="T3028" s="4">
        <v>22.273999999999901</v>
      </c>
      <c r="U3028" s="4">
        <v>12.441504</v>
      </c>
      <c r="V3028" t="str">
        <f>IF(Table1[[#This Row],[ai_disruption_intensity]]&gt;70,"High",
IF(Table1[[#This Row],[ai_disruption_intensity]]&gt;40,"Medium","Low"))</f>
        <v>Low</v>
      </c>
      <c r="W3028" t="str">
        <f>IF(Table1[[#This Row],[skill_gap_index]]&gt;70,"Large Gap",
IF(Table1[[#This Row],[skill_gap_index]]&gt;40,"Medium Gap","Small Gap"))</f>
        <v>Small Gap</v>
      </c>
      <c r="X3028" s="3" t="str">
        <f>IF(Table1[[#This Row],[automation_risk_percent]]&gt;0.7,"Highly Automatable",
IF(Table1[[#This Row],[automation_risk_percent]]&gt;0.4,"Moderate Risk","Safe Job"))</f>
        <v>Safe Job</v>
      </c>
    </row>
    <row r="3029" spans="1:24" x14ac:dyDescent="0.3">
      <c r="A3029">
        <v>10597</v>
      </c>
      <c r="B3029" t="s">
        <v>29</v>
      </c>
      <c r="C3029" t="s">
        <v>23</v>
      </c>
      <c r="D3029" t="s">
        <v>24</v>
      </c>
      <c r="E3029" s="1">
        <v>2026</v>
      </c>
      <c r="F3029" s="11">
        <v>0.83909999999999996</v>
      </c>
      <c r="G3029">
        <v>83.9</v>
      </c>
      <c r="H3029">
        <v>55.35</v>
      </c>
      <c r="I3029" s="2">
        <v>84457.61</v>
      </c>
      <c r="J3029" s="2">
        <v>88026.86</v>
      </c>
      <c r="K3029" s="2">
        <f>Table1[[#This Row],[Salary_after]]-Table1[[#This Row],[Salary_before]]</f>
        <v>3569.25</v>
      </c>
      <c r="L3029" s="11">
        <v>4.2300000000000004E-2</v>
      </c>
      <c r="M3029" s="11">
        <v>0.1255</v>
      </c>
      <c r="N3029">
        <v>41.3</v>
      </c>
      <c r="O3029">
        <v>35.51</v>
      </c>
      <c r="P3029">
        <v>2</v>
      </c>
      <c r="Q3029" t="s">
        <v>37</v>
      </c>
      <c r="R3029">
        <v>69.63</v>
      </c>
      <c r="S3029">
        <v>4.2300000000000004</v>
      </c>
      <c r="T3029" s="4">
        <v>51.437999999999903</v>
      </c>
      <c r="U3029" s="4">
        <v>29.796440999999898</v>
      </c>
      <c r="V3029" t="str">
        <f>IF(Table1[[#This Row],[ai_disruption_intensity]]&gt;70,"High",
IF(Table1[[#This Row],[ai_disruption_intensity]]&gt;40,"Medium","Low"))</f>
        <v>Low</v>
      </c>
      <c r="W3029" t="str">
        <f>IF(Table1[[#This Row],[skill_gap_index]]&gt;70,"Large Gap",
IF(Table1[[#This Row],[skill_gap_index]]&gt;40,"Medium Gap","Small Gap"))</f>
        <v>Medium Gap</v>
      </c>
      <c r="X3029" s="3" t="str">
        <f>IF(Table1[[#This Row],[automation_risk_percent]]&gt;0.7,"Highly Automatable",
IF(Table1[[#This Row],[automation_risk_percent]]&gt;0.4,"Moderate Risk","Safe Job"))</f>
        <v>Highly Automatable</v>
      </c>
    </row>
    <row r="3030" spans="1:24" x14ac:dyDescent="0.3">
      <c r="A3030">
        <v>10599</v>
      </c>
      <c r="B3030" t="s">
        <v>43</v>
      </c>
      <c r="C3030" t="s">
        <v>27</v>
      </c>
      <c r="D3030" t="s">
        <v>35</v>
      </c>
      <c r="E3030" s="1">
        <v>2025</v>
      </c>
      <c r="F3030" s="11">
        <v>0.32719999999999999</v>
      </c>
      <c r="G3030">
        <v>38.479999999999997</v>
      </c>
      <c r="H3030">
        <v>95.09</v>
      </c>
      <c r="I3030" s="2">
        <v>36725.050000000003</v>
      </c>
      <c r="J3030" s="2">
        <v>40218</v>
      </c>
      <c r="K3030" s="2">
        <f>Table1[[#This Row],[Salary_after]]-Table1[[#This Row],[Salary_before]]</f>
        <v>3492.9499999999971</v>
      </c>
      <c r="L3030" s="11">
        <v>9.5100000000000004E-2</v>
      </c>
      <c r="M3030" s="11">
        <v>2.3999999999999998E-3</v>
      </c>
      <c r="N3030">
        <v>71.89</v>
      </c>
      <c r="O3030">
        <v>5.82</v>
      </c>
      <c r="P3030">
        <v>5</v>
      </c>
      <c r="Q3030" t="s">
        <v>25</v>
      </c>
      <c r="R3030">
        <v>63.905000000000001</v>
      </c>
      <c r="S3030">
        <v>9.51</v>
      </c>
      <c r="T3030" s="4">
        <v>44.468000000000004</v>
      </c>
      <c r="U3030" s="4">
        <v>1.904304</v>
      </c>
      <c r="V3030" t="str">
        <f>IF(Table1[[#This Row],[ai_disruption_intensity]]&gt;70,"High",
IF(Table1[[#This Row],[ai_disruption_intensity]]&gt;40,"Medium","Low"))</f>
        <v>Low</v>
      </c>
      <c r="W3030" t="str">
        <f>IF(Table1[[#This Row],[skill_gap_index]]&gt;70,"Large Gap",
IF(Table1[[#This Row],[skill_gap_index]]&gt;40,"Medium Gap","Small Gap"))</f>
        <v>Large Gap</v>
      </c>
      <c r="X3030" s="3" t="str">
        <f>IF(Table1[[#This Row],[automation_risk_percent]]&gt;0.7,"Highly Automatable",
IF(Table1[[#This Row],[automation_risk_percent]]&gt;0.4,"Moderate Risk","Safe Job"))</f>
        <v>Safe Job</v>
      </c>
    </row>
    <row r="3031" spans="1:24" x14ac:dyDescent="0.3">
      <c r="A3031">
        <v>10600</v>
      </c>
      <c r="B3031" t="s">
        <v>22</v>
      </c>
      <c r="C3031" t="s">
        <v>38</v>
      </c>
      <c r="D3031" t="s">
        <v>42</v>
      </c>
      <c r="E3031" s="1">
        <v>2026</v>
      </c>
      <c r="F3031" s="11">
        <v>0.64219999999999999</v>
      </c>
      <c r="G3031">
        <v>68.42</v>
      </c>
      <c r="H3031">
        <v>95.05</v>
      </c>
      <c r="I3031" s="2">
        <v>139201.07</v>
      </c>
      <c r="J3031" s="2">
        <v>138634.75</v>
      </c>
      <c r="K3031" s="2">
        <f>Table1[[#This Row],[Salary_after]]-Table1[[#This Row],[Salary_before]]</f>
        <v>-566.32000000000698</v>
      </c>
      <c r="L3031" s="11">
        <v>-4.0999999999999995E-3</v>
      </c>
      <c r="M3031" s="11">
        <v>9.2899999999999996E-2</v>
      </c>
      <c r="N3031">
        <v>73.59</v>
      </c>
      <c r="O3031">
        <v>96.19</v>
      </c>
      <c r="P3031">
        <v>4</v>
      </c>
      <c r="Q3031" t="s">
        <v>37</v>
      </c>
      <c r="R3031">
        <v>79.634999999999906</v>
      </c>
      <c r="S3031">
        <v>0.41</v>
      </c>
      <c r="T3031" s="4">
        <v>54.326000000000001</v>
      </c>
      <c r="U3031" s="4">
        <v>61.773218</v>
      </c>
      <c r="V3031" t="str">
        <f>IF(Table1[[#This Row],[ai_disruption_intensity]]&gt;70,"High",
IF(Table1[[#This Row],[ai_disruption_intensity]]&gt;40,"Medium","Low"))</f>
        <v>Medium</v>
      </c>
      <c r="W3031" t="str">
        <f>IF(Table1[[#This Row],[skill_gap_index]]&gt;70,"Large Gap",
IF(Table1[[#This Row],[skill_gap_index]]&gt;40,"Medium Gap","Small Gap"))</f>
        <v>Large Gap</v>
      </c>
      <c r="X3031" s="3" t="str">
        <f>IF(Table1[[#This Row],[automation_risk_percent]]&gt;0.7,"Highly Automatable",
IF(Table1[[#This Row],[automation_risk_percent]]&gt;0.4,"Moderate Risk","Safe Job"))</f>
        <v>Moderate Risk</v>
      </c>
    </row>
    <row r="3032" spans="1:24" x14ac:dyDescent="0.3">
      <c r="A3032">
        <v>10601</v>
      </c>
      <c r="B3032" t="s">
        <v>22</v>
      </c>
      <c r="C3032" t="s">
        <v>33</v>
      </c>
      <c r="D3032" t="s">
        <v>28</v>
      </c>
      <c r="E3032" s="1">
        <v>2026</v>
      </c>
      <c r="F3032" s="11">
        <v>0.10150000000000001</v>
      </c>
      <c r="G3032">
        <v>11.32</v>
      </c>
      <c r="H3032">
        <v>5.4</v>
      </c>
      <c r="I3032" s="2">
        <v>149869.95000000001</v>
      </c>
      <c r="J3032" s="2">
        <v>150365.57</v>
      </c>
      <c r="K3032" s="2">
        <f>Table1[[#This Row],[Salary_after]]-Table1[[#This Row],[Salary_before]]</f>
        <v>495.61999999999534</v>
      </c>
      <c r="L3032" s="11">
        <v>3.3E-3</v>
      </c>
      <c r="M3032" s="11">
        <v>2.06E-2</v>
      </c>
      <c r="N3032">
        <v>56.88</v>
      </c>
      <c r="O3032">
        <v>30.47</v>
      </c>
      <c r="P3032">
        <v>5</v>
      </c>
      <c r="Q3032" t="s">
        <v>21</v>
      </c>
      <c r="R3032">
        <v>7.7750000000000004</v>
      </c>
      <c r="S3032">
        <v>0.33</v>
      </c>
      <c r="T3032" s="4">
        <v>5.7789999999999999</v>
      </c>
      <c r="U3032" s="4">
        <v>3.092705</v>
      </c>
      <c r="V3032" t="str">
        <f>IF(Table1[[#This Row],[ai_disruption_intensity]]&gt;70,"High",
IF(Table1[[#This Row],[ai_disruption_intensity]]&gt;40,"Medium","Low"))</f>
        <v>Low</v>
      </c>
      <c r="W3032" t="str">
        <f>IF(Table1[[#This Row],[skill_gap_index]]&gt;70,"Large Gap",
IF(Table1[[#This Row],[skill_gap_index]]&gt;40,"Medium Gap","Small Gap"))</f>
        <v>Small Gap</v>
      </c>
      <c r="X3032" s="3" t="str">
        <f>IF(Table1[[#This Row],[automation_risk_percent]]&gt;0.7,"Highly Automatable",
IF(Table1[[#This Row],[automation_risk_percent]]&gt;0.4,"Moderate Risk","Safe Job"))</f>
        <v>Safe Job</v>
      </c>
    </row>
    <row r="3033" spans="1:24" x14ac:dyDescent="0.3">
      <c r="A3033">
        <v>10609</v>
      </c>
      <c r="B3033" t="s">
        <v>44</v>
      </c>
      <c r="C3033" t="s">
        <v>19</v>
      </c>
      <c r="D3033" t="s">
        <v>47</v>
      </c>
      <c r="E3033" s="1">
        <v>2026</v>
      </c>
      <c r="F3033" s="11">
        <v>0.72160000000000002</v>
      </c>
      <c r="G3033">
        <v>85.02</v>
      </c>
      <c r="H3033">
        <v>35.57</v>
      </c>
      <c r="I3033" s="2">
        <v>109973.45</v>
      </c>
      <c r="J3033" s="2">
        <v>120965.16</v>
      </c>
      <c r="K3033" s="2">
        <f>Table1[[#This Row],[Salary_after]]-Table1[[#This Row],[Salary_before]]</f>
        <v>10991.710000000006</v>
      </c>
      <c r="L3033" s="11">
        <v>9.9900000000000003E-2</v>
      </c>
      <c r="M3033" s="11">
        <v>-1.06E-2</v>
      </c>
      <c r="N3033">
        <v>47.4</v>
      </c>
      <c r="O3033">
        <v>55.49</v>
      </c>
      <c r="P3033">
        <v>5</v>
      </c>
      <c r="Q3033" t="s">
        <v>37</v>
      </c>
      <c r="R3033">
        <v>53.864999999999903</v>
      </c>
      <c r="S3033">
        <v>9.99</v>
      </c>
      <c r="T3033" s="4">
        <v>42.531999999999996</v>
      </c>
      <c r="U3033" s="4">
        <v>40.041584</v>
      </c>
      <c r="V3033" t="str">
        <f>IF(Table1[[#This Row],[ai_disruption_intensity]]&gt;70,"High",
IF(Table1[[#This Row],[ai_disruption_intensity]]&gt;40,"Medium","Low"))</f>
        <v>Medium</v>
      </c>
      <c r="W3033" t="str">
        <f>IF(Table1[[#This Row],[skill_gap_index]]&gt;70,"Large Gap",
IF(Table1[[#This Row],[skill_gap_index]]&gt;40,"Medium Gap","Small Gap"))</f>
        <v>Small Gap</v>
      </c>
      <c r="X3033" s="3" t="str">
        <f>IF(Table1[[#This Row],[automation_risk_percent]]&gt;0.7,"Highly Automatable",
IF(Table1[[#This Row],[automation_risk_percent]]&gt;0.4,"Moderate Risk","Safe Job"))</f>
        <v>Highly Automatable</v>
      </c>
    </row>
    <row r="3034" spans="1:24" x14ac:dyDescent="0.3">
      <c r="A3034">
        <v>10610</v>
      </c>
      <c r="B3034" t="s">
        <v>45</v>
      </c>
      <c r="C3034" t="s">
        <v>40</v>
      </c>
      <c r="D3034" t="s">
        <v>42</v>
      </c>
      <c r="E3034" s="1">
        <v>2026</v>
      </c>
      <c r="F3034" s="11">
        <v>0.19309999999999999</v>
      </c>
      <c r="G3034">
        <v>22.02</v>
      </c>
      <c r="H3034">
        <v>48.29</v>
      </c>
      <c r="I3034" s="2">
        <v>106857.2</v>
      </c>
      <c r="J3034" s="2">
        <v>93924.5</v>
      </c>
      <c r="K3034" s="2">
        <f>Table1[[#This Row],[Salary_after]]-Table1[[#This Row],[Salary_before]]</f>
        <v>-12932.699999999997</v>
      </c>
      <c r="L3034" s="11">
        <v>-0.121</v>
      </c>
      <c r="M3034" s="11">
        <v>0.14080000000000001</v>
      </c>
      <c r="N3034">
        <v>81.55</v>
      </c>
      <c r="O3034">
        <v>83.3</v>
      </c>
      <c r="P3034">
        <v>4</v>
      </c>
      <c r="Q3034" t="s">
        <v>21</v>
      </c>
      <c r="R3034">
        <v>33.799999999999997</v>
      </c>
      <c r="S3034">
        <v>12.1</v>
      </c>
      <c r="T3034" s="4">
        <v>25.840999999999902</v>
      </c>
      <c r="U3034" s="4">
        <v>16.085229999999999</v>
      </c>
      <c r="V3034" t="str">
        <f>IF(Table1[[#This Row],[ai_disruption_intensity]]&gt;70,"High",
IF(Table1[[#This Row],[ai_disruption_intensity]]&gt;40,"Medium","Low"))</f>
        <v>Low</v>
      </c>
      <c r="W3034" t="str">
        <f>IF(Table1[[#This Row],[skill_gap_index]]&gt;70,"Large Gap",
IF(Table1[[#This Row],[skill_gap_index]]&gt;40,"Medium Gap","Small Gap"))</f>
        <v>Medium Gap</v>
      </c>
      <c r="X3034" s="3" t="str">
        <f>IF(Table1[[#This Row],[automation_risk_percent]]&gt;0.7,"Highly Automatable",
IF(Table1[[#This Row],[automation_risk_percent]]&gt;0.4,"Moderate Risk","Safe Job"))</f>
        <v>Safe Job</v>
      </c>
    </row>
    <row r="3035" spans="1:24" x14ac:dyDescent="0.3">
      <c r="A3035">
        <v>10615</v>
      </c>
      <c r="B3035" t="s">
        <v>29</v>
      </c>
      <c r="C3035" t="s">
        <v>23</v>
      </c>
      <c r="D3035" t="s">
        <v>32</v>
      </c>
      <c r="E3035" s="1">
        <v>2025</v>
      </c>
      <c r="F3035" s="11">
        <v>0.38689999999999997</v>
      </c>
      <c r="G3035">
        <v>40.18</v>
      </c>
      <c r="H3035">
        <v>46.48</v>
      </c>
      <c r="I3035" s="2">
        <v>32660.13</v>
      </c>
      <c r="J3035" s="2">
        <v>42240.82</v>
      </c>
      <c r="K3035" s="2">
        <f>Table1[[#This Row],[Salary_after]]-Table1[[#This Row],[Salary_before]]</f>
        <v>9580.6899999999987</v>
      </c>
      <c r="L3035" s="11">
        <v>0.29330000000000001</v>
      </c>
      <c r="M3035" s="11">
        <v>5.0900000000000001E-2</v>
      </c>
      <c r="N3035">
        <v>86.06</v>
      </c>
      <c r="O3035">
        <v>1.9</v>
      </c>
      <c r="P3035">
        <v>2</v>
      </c>
      <c r="Q3035" t="s">
        <v>25</v>
      </c>
      <c r="R3035">
        <v>42.584999999999901</v>
      </c>
      <c r="S3035">
        <v>29.33</v>
      </c>
      <c r="T3035" s="4">
        <v>38.218999999999902</v>
      </c>
      <c r="U3035" s="4">
        <v>0.73510999999999904</v>
      </c>
      <c r="V3035" t="str">
        <f>IF(Table1[[#This Row],[ai_disruption_intensity]]&gt;70,"High",
IF(Table1[[#This Row],[ai_disruption_intensity]]&gt;40,"Medium","Low"))</f>
        <v>Low</v>
      </c>
      <c r="W3035" t="str">
        <f>IF(Table1[[#This Row],[skill_gap_index]]&gt;70,"Large Gap",
IF(Table1[[#This Row],[skill_gap_index]]&gt;40,"Medium Gap","Small Gap"))</f>
        <v>Medium Gap</v>
      </c>
      <c r="X3035" s="3" t="str">
        <f>IF(Table1[[#This Row],[automation_risk_percent]]&gt;0.7,"Highly Automatable",
IF(Table1[[#This Row],[automation_risk_percent]]&gt;0.4,"Moderate Risk","Safe Job"))</f>
        <v>Safe Job</v>
      </c>
    </row>
    <row r="3036" spans="1:24" x14ac:dyDescent="0.3">
      <c r="A3036">
        <v>10617</v>
      </c>
      <c r="B3036" t="s">
        <v>41</v>
      </c>
      <c r="C3036" t="s">
        <v>33</v>
      </c>
      <c r="D3036" t="s">
        <v>35</v>
      </c>
      <c r="E3036" s="1">
        <v>2026</v>
      </c>
      <c r="F3036" s="11">
        <v>0.87970000000000004</v>
      </c>
      <c r="G3036">
        <v>71.459999999999994</v>
      </c>
      <c r="H3036">
        <v>35.21</v>
      </c>
      <c r="I3036" s="2">
        <v>118679.38</v>
      </c>
      <c r="J3036" s="2">
        <v>108328.45</v>
      </c>
      <c r="K3036" s="2">
        <f>Table1[[#This Row],[Salary_after]]-Table1[[#This Row],[Salary_before]]</f>
        <v>-10350.930000000008</v>
      </c>
      <c r="L3036" s="11">
        <v>-8.72E-2</v>
      </c>
      <c r="M3036" s="11">
        <v>5.04E-2</v>
      </c>
      <c r="N3036">
        <v>49.82</v>
      </c>
      <c r="O3036">
        <v>49.26</v>
      </c>
      <c r="P3036">
        <v>1</v>
      </c>
      <c r="Q3036" t="s">
        <v>37</v>
      </c>
      <c r="R3036">
        <v>61.59</v>
      </c>
      <c r="S3036">
        <v>8.7200000000000006</v>
      </c>
      <c r="T3036" s="4">
        <v>48.366999999999997</v>
      </c>
      <c r="U3036" s="4">
        <v>43.334021999999997</v>
      </c>
      <c r="V3036" t="str">
        <f>IF(Table1[[#This Row],[ai_disruption_intensity]]&gt;70,"High",
IF(Table1[[#This Row],[ai_disruption_intensity]]&gt;40,"Medium","Low"))</f>
        <v>Medium</v>
      </c>
      <c r="W3036" t="str">
        <f>IF(Table1[[#This Row],[skill_gap_index]]&gt;70,"Large Gap",
IF(Table1[[#This Row],[skill_gap_index]]&gt;40,"Medium Gap","Small Gap"))</f>
        <v>Small Gap</v>
      </c>
      <c r="X3036" s="3" t="str">
        <f>IF(Table1[[#This Row],[automation_risk_percent]]&gt;0.7,"Highly Automatable",
IF(Table1[[#This Row],[automation_risk_percent]]&gt;0.4,"Moderate Risk","Safe Job"))</f>
        <v>Highly Automatable</v>
      </c>
    </row>
    <row r="3037" spans="1:24" x14ac:dyDescent="0.3">
      <c r="A3037">
        <v>10621</v>
      </c>
      <c r="B3037" t="s">
        <v>46</v>
      </c>
      <c r="C3037" t="s">
        <v>34</v>
      </c>
      <c r="D3037" t="s">
        <v>24</v>
      </c>
      <c r="E3037" s="1">
        <v>2026</v>
      </c>
      <c r="F3037" s="11">
        <v>0.47039999999999998</v>
      </c>
      <c r="G3037">
        <v>42.27</v>
      </c>
      <c r="H3037">
        <v>64.78</v>
      </c>
      <c r="I3037" s="2">
        <v>69945.05</v>
      </c>
      <c r="J3037" s="2">
        <v>83868.820000000007</v>
      </c>
      <c r="K3037" s="2">
        <f>Table1[[#This Row],[Salary_after]]-Table1[[#This Row],[Salary_before]]</f>
        <v>13923.770000000004</v>
      </c>
      <c r="L3037" s="11">
        <v>0.1991</v>
      </c>
      <c r="M3037" s="11">
        <v>0</v>
      </c>
      <c r="N3037">
        <v>62.29</v>
      </c>
      <c r="O3037">
        <v>71.27</v>
      </c>
      <c r="P3037">
        <v>3</v>
      </c>
      <c r="Q3037" t="s">
        <v>25</v>
      </c>
      <c r="R3037">
        <v>55.91</v>
      </c>
      <c r="S3037">
        <v>19.91</v>
      </c>
      <c r="T3037" s="4">
        <v>44.222999999999999</v>
      </c>
      <c r="U3037" s="4">
        <v>33.525407999999999</v>
      </c>
      <c r="V3037" t="str">
        <f>IF(Table1[[#This Row],[ai_disruption_intensity]]&gt;70,"High",
IF(Table1[[#This Row],[ai_disruption_intensity]]&gt;40,"Medium","Low"))</f>
        <v>Low</v>
      </c>
      <c r="W3037" t="str">
        <f>IF(Table1[[#This Row],[skill_gap_index]]&gt;70,"Large Gap",
IF(Table1[[#This Row],[skill_gap_index]]&gt;40,"Medium Gap","Small Gap"))</f>
        <v>Medium Gap</v>
      </c>
      <c r="X3037" s="3" t="str">
        <f>IF(Table1[[#This Row],[automation_risk_percent]]&gt;0.7,"Highly Automatable",
IF(Table1[[#This Row],[automation_risk_percent]]&gt;0.4,"Moderate Risk","Safe Job"))</f>
        <v>Moderate Risk</v>
      </c>
    </row>
    <row r="3038" spans="1:24" x14ac:dyDescent="0.3">
      <c r="A3038">
        <v>10625</v>
      </c>
      <c r="B3038" t="s">
        <v>29</v>
      </c>
      <c r="C3038" t="s">
        <v>40</v>
      </c>
      <c r="D3038" t="s">
        <v>28</v>
      </c>
      <c r="E3038" s="1">
        <v>2025</v>
      </c>
      <c r="F3038" s="11">
        <v>0.50729999999999997</v>
      </c>
      <c r="G3038">
        <v>41.33</v>
      </c>
      <c r="H3038">
        <v>27.36</v>
      </c>
      <c r="I3038" s="2">
        <v>31965.52</v>
      </c>
      <c r="J3038" s="2">
        <v>34153.160000000003</v>
      </c>
      <c r="K3038" s="2">
        <f>Table1[[#This Row],[Salary_after]]-Table1[[#This Row],[Salary_before]]</f>
        <v>2187.6400000000031</v>
      </c>
      <c r="L3038" s="11">
        <v>6.8400000000000002E-2</v>
      </c>
      <c r="M3038" s="11">
        <v>-0.21340000000000001</v>
      </c>
      <c r="N3038">
        <v>54.58</v>
      </c>
      <c r="O3038">
        <v>34.07</v>
      </c>
      <c r="P3038">
        <v>5</v>
      </c>
      <c r="Q3038" t="s">
        <v>25</v>
      </c>
      <c r="R3038">
        <v>39.045000000000002</v>
      </c>
      <c r="S3038">
        <v>6.84</v>
      </c>
      <c r="T3038" s="4">
        <v>30.552</v>
      </c>
      <c r="U3038" s="4">
        <v>17.283710999999901</v>
      </c>
      <c r="V3038" t="str">
        <f>IF(Table1[[#This Row],[ai_disruption_intensity]]&gt;70,"High",
IF(Table1[[#This Row],[ai_disruption_intensity]]&gt;40,"Medium","Low"))</f>
        <v>Low</v>
      </c>
      <c r="W3038" t="str">
        <f>IF(Table1[[#This Row],[skill_gap_index]]&gt;70,"Large Gap",
IF(Table1[[#This Row],[skill_gap_index]]&gt;40,"Medium Gap","Small Gap"))</f>
        <v>Small Gap</v>
      </c>
      <c r="X3038" s="3" t="str">
        <f>IF(Table1[[#This Row],[automation_risk_percent]]&gt;0.7,"Highly Automatable",
IF(Table1[[#This Row],[automation_risk_percent]]&gt;0.4,"Moderate Risk","Safe Job"))</f>
        <v>Moderate Risk</v>
      </c>
    </row>
    <row r="3039" spans="1:24" x14ac:dyDescent="0.3">
      <c r="A3039">
        <v>10632</v>
      </c>
      <c r="B3039" t="s">
        <v>18</v>
      </c>
      <c r="C3039" t="s">
        <v>19</v>
      </c>
      <c r="D3039" t="s">
        <v>28</v>
      </c>
      <c r="E3039" s="1">
        <v>2026</v>
      </c>
      <c r="F3039" s="11">
        <v>0.2296</v>
      </c>
      <c r="G3039">
        <v>26.73</v>
      </c>
      <c r="H3039">
        <v>85.75</v>
      </c>
      <c r="I3039" s="2">
        <v>138214.54</v>
      </c>
      <c r="J3039" s="2">
        <v>151030.29999999999</v>
      </c>
      <c r="K3039" s="2">
        <f>Table1[[#This Row],[Salary_after]]-Table1[[#This Row],[Salary_before]]</f>
        <v>12815.75999999998</v>
      </c>
      <c r="L3039" s="11">
        <v>9.2699999999999991E-2</v>
      </c>
      <c r="M3039" s="11">
        <v>8.5999999999999993E-2</v>
      </c>
      <c r="N3039">
        <v>99.21</v>
      </c>
      <c r="O3039">
        <v>47.14</v>
      </c>
      <c r="P3039">
        <v>3</v>
      </c>
      <c r="Q3039" t="s">
        <v>21</v>
      </c>
      <c r="R3039">
        <v>54.354999999999997</v>
      </c>
      <c r="S3039">
        <v>9.27</v>
      </c>
      <c r="T3039" s="4">
        <v>37.69</v>
      </c>
      <c r="U3039" s="4">
        <v>10.823343999999899</v>
      </c>
      <c r="V3039" t="str">
        <f>IF(Table1[[#This Row],[ai_disruption_intensity]]&gt;70,"High",
IF(Table1[[#This Row],[ai_disruption_intensity]]&gt;40,"Medium","Low"))</f>
        <v>Low</v>
      </c>
      <c r="W3039" t="str">
        <f>IF(Table1[[#This Row],[skill_gap_index]]&gt;70,"Large Gap",
IF(Table1[[#This Row],[skill_gap_index]]&gt;40,"Medium Gap","Small Gap"))</f>
        <v>Large Gap</v>
      </c>
      <c r="X3039" s="3" t="str">
        <f>IF(Table1[[#This Row],[automation_risk_percent]]&gt;0.7,"Highly Automatable",
IF(Table1[[#This Row],[automation_risk_percent]]&gt;0.4,"Moderate Risk","Safe Job"))</f>
        <v>Safe Job</v>
      </c>
    </row>
    <row r="3040" spans="1:24" x14ac:dyDescent="0.3">
      <c r="A3040">
        <v>10637</v>
      </c>
      <c r="B3040" t="s">
        <v>44</v>
      </c>
      <c r="C3040" t="s">
        <v>23</v>
      </c>
      <c r="D3040" t="s">
        <v>32</v>
      </c>
      <c r="E3040" s="1">
        <v>2025</v>
      </c>
      <c r="F3040" s="11">
        <v>0.54400000000000004</v>
      </c>
      <c r="G3040">
        <v>49.54</v>
      </c>
      <c r="H3040">
        <v>24.84</v>
      </c>
      <c r="I3040" s="2">
        <v>137670.19</v>
      </c>
      <c r="J3040" s="2">
        <v>143665.18</v>
      </c>
      <c r="K3040" s="2">
        <f>Table1[[#This Row],[Salary_after]]-Table1[[#This Row],[Salary_before]]</f>
        <v>5994.9899999999907</v>
      </c>
      <c r="L3040" s="11">
        <v>4.3499999999999997E-2</v>
      </c>
      <c r="M3040" s="11">
        <v>1.5900000000000001E-2</v>
      </c>
      <c r="N3040">
        <v>37.32</v>
      </c>
      <c r="O3040">
        <v>99.12</v>
      </c>
      <c r="P3040">
        <v>3</v>
      </c>
      <c r="Q3040" t="s">
        <v>25</v>
      </c>
      <c r="R3040">
        <v>39.619999999999997</v>
      </c>
      <c r="S3040">
        <v>4.3499999999999996</v>
      </c>
      <c r="T3040" s="4">
        <v>30.516999999999999</v>
      </c>
      <c r="U3040" s="4">
        <v>53.921279999999904</v>
      </c>
      <c r="V3040" t="str">
        <f>IF(Table1[[#This Row],[ai_disruption_intensity]]&gt;70,"High",
IF(Table1[[#This Row],[ai_disruption_intensity]]&gt;40,"Medium","Low"))</f>
        <v>Medium</v>
      </c>
      <c r="W3040" t="str">
        <f>IF(Table1[[#This Row],[skill_gap_index]]&gt;70,"Large Gap",
IF(Table1[[#This Row],[skill_gap_index]]&gt;40,"Medium Gap","Small Gap"))</f>
        <v>Small Gap</v>
      </c>
      <c r="X3040" s="3" t="str">
        <f>IF(Table1[[#This Row],[automation_risk_percent]]&gt;0.7,"Highly Automatable",
IF(Table1[[#This Row],[automation_risk_percent]]&gt;0.4,"Moderate Risk","Safe Job"))</f>
        <v>Moderate Risk</v>
      </c>
    </row>
    <row r="3041" spans="1:24" x14ac:dyDescent="0.3">
      <c r="A3041">
        <v>10638</v>
      </c>
      <c r="B3041" t="s">
        <v>22</v>
      </c>
      <c r="C3041" t="s">
        <v>30</v>
      </c>
      <c r="D3041" t="s">
        <v>31</v>
      </c>
      <c r="E3041" s="1">
        <v>2025</v>
      </c>
      <c r="F3041" s="11">
        <v>0.78670000000000007</v>
      </c>
      <c r="G3041">
        <v>88.97</v>
      </c>
      <c r="H3041">
        <v>86.81</v>
      </c>
      <c r="I3041" s="2">
        <v>128791.3</v>
      </c>
      <c r="J3041" s="2">
        <v>143816.21</v>
      </c>
      <c r="K3041" s="2">
        <f>Table1[[#This Row],[Salary_after]]-Table1[[#This Row],[Salary_before]]</f>
        <v>15024.909999999989</v>
      </c>
      <c r="L3041" s="11">
        <v>0.1167</v>
      </c>
      <c r="M3041" s="11">
        <v>9.8900000000000002E-2</v>
      </c>
      <c r="N3041">
        <v>66.55</v>
      </c>
      <c r="O3041">
        <v>84.22</v>
      </c>
      <c r="P3041">
        <v>1</v>
      </c>
      <c r="Q3041" t="s">
        <v>37</v>
      </c>
      <c r="R3041">
        <v>82.74</v>
      </c>
      <c r="S3041">
        <v>11.67</v>
      </c>
      <c r="T3041" s="4">
        <v>61.012</v>
      </c>
      <c r="U3041" s="4">
        <v>66.255874000000006</v>
      </c>
      <c r="V3041" t="str">
        <f>IF(Table1[[#This Row],[ai_disruption_intensity]]&gt;70,"High",
IF(Table1[[#This Row],[ai_disruption_intensity]]&gt;40,"Medium","Low"))</f>
        <v>Medium</v>
      </c>
      <c r="W3041" t="str">
        <f>IF(Table1[[#This Row],[skill_gap_index]]&gt;70,"Large Gap",
IF(Table1[[#This Row],[skill_gap_index]]&gt;40,"Medium Gap","Small Gap"))</f>
        <v>Large Gap</v>
      </c>
      <c r="X3041" s="3" t="str">
        <f>IF(Table1[[#This Row],[automation_risk_percent]]&gt;0.7,"Highly Automatable",
IF(Table1[[#This Row],[automation_risk_percent]]&gt;0.4,"Moderate Risk","Safe Job"))</f>
        <v>Highly Automatable</v>
      </c>
    </row>
    <row r="3042" spans="1:24" x14ac:dyDescent="0.3">
      <c r="A3042">
        <v>10640</v>
      </c>
      <c r="B3042" t="s">
        <v>26</v>
      </c>
      <c r="C3042" t="s">
        <v>27</v>
      </c>
      <c r="D3042" t="s">
        <v>36</v>
      </c>
      <c r="E3042" s="1">
        <v>2025</v>
      </c>
      <c r="F3042" s="11">
        <v>0.56859999999999999</v>
      </c>
      <c r="G3042">
        <v>50.08</v>
      </c>
      <c r="H3042">
        <v>7.79</v>
      </c>
      <c r="I3042" s="2">
        <v>85942.9</v>
      </c>
      <c r="J3042" s="2">
        <v>84528.21</v>
      </c>
      <c r="K3042" s="2">
        <f>Table1[[#This Row],[Salary_after]]-Table1[[#This Row],[Salary_before]]</f>
        <v>-1414.6899999999878</v>
      </c>
      <c r="L3042" s="11">
        <v>-1.6500000000000001E-2</v>
      </c>
      <c r="M3042" s="11">
        <v>1.7899999999999999E-2</v>
      </c>
      <c r="N3042">
        <v>73.03</v>
      </c>
      <c r="O3042">
        <v>37.450000000000003</v>
      </c>
      <c r="P3042">
        <v>4</v>
      </c>
      <c r="Q3042" t="s">
        <v>25</v>
      </c>
      <c r="R3042">
        <v>32.325000000000003</v>
      </c>
      <c r="S3042">
        <v>1.65</v>
      </c>
      <c r="T3042" s="4">
        <v>25.576000000000001</v>
      </c>
      <c r="U3042" s="4">
        <v>21.294070000000001</v>
      </c>
      <c r="V3042" t="str">
        <f>IF(Table1[[#This Row],[ai_disruption_intensity]]&gt;70,"High",
IF(Table1[[#This Row],[ai_disruption_intensity]]&gt;40,"Medium","Low"))</f>
        <v>Low</v>
      </c>
      <c r="W3042" t="str">
        <f>IF(Table1[[#This Row],[skill_gap_index]]&gt;70,"Large Gap",
IF(Table1[[#This Row],[skill_gap_index]]&gt;40,"Medium Gap","Small Gap"))</f>
        <v>Small Gap</v>
      </c>
      <c r="X3042" s="3" t="str">
        <f>IF(Table1[[#This Row],[automation_risk_percent]]&gt;0.7,"Highly Automatable",
IF(Table1[[#This Row],[automation_risk_percent]]&gt;0.4,"Moderate Risk","Safe Job"))</f>
        <v>Moderate Risk</v>
      </c>
    </row>
    <row r="3043" spans="1:24" x14ac:dyDescent="0.3">
      <c r="A3043">
        <v>10644</v>
      </c>
      <c r="B3043" t="s">
        <v>43</v>
      </c>
      <c r="C3043" t="s">
        <v>19</v>
      </c>
      <c r="D3043" t="s">
        <v>32</v>
      </c>
      <c r="E3043" s="1">
        <v>2026</v>
      </c>
      <c r="F3043" s="11">
        <v>0.53369999999999995</v>
      </c>
      <c r="G3043">
        <v>46.5</v>
      </c>
      <c r="H3043">
        <v>50.01</v>
      </c>
      <c r="I3043" s="2">
        <v>141793.63</v>
      </c>
      <c r="J3043" s="2">
        <v>138980.12</v>
      </c>
      <c r="K3043" s="2">
        <f>Table1[[#This Row],[Salary_after]]-Table1[[#This Row],[Salary_before]]</f>
        <v>-2813.5100000000093</v>
      </c>
      <c r="L3043" s="11">
        <v>-1.9799999999999998E-2</v>
      </c>
      <c r="M3043" s="11">
        <v>0.10880000000000001</v>
      </c>
      <c r="N3043">
        <v>56.45</v>
      </c>
      <c r="O3043">
        <v>19.84</v>
      </c>
      <c r="P3043">
        <v>3</v>
      </c>
      <c r="Q3043" t="s">
        <v>25</v>
      </c>
      <c r="R3043">
        <v>51.69</v>
      </c>
      <c r="S3043">
        <v>1.98</v>
      </c>
      <c r="T3043" s="4">
        <v>36.945</v>
      </c>
      <c r="U3043" s="4">
        <v>10.588607999999899</v>
      </c>
      <c r="V3043" t="str">
        <f>IF(Table1[[#This Row],[ai_disruption_intensity]]&gt;70,"High",
IF(Table1[[#This Row],[ai_disruption_intensity]]&gt;40,"Medium","Low"))</f>
        <v>Low</v>
      </c>
      <c r="W3043" t="str">
        <f>IF(Table1[[#This Row],[skill_gap_index]]&gt;70,"Large Gap",
IF(Table1[[#This Row],[skill_gap_index]]&gt;40,"Medium Gap","Small Gap"))</f>
        <v>Medium Gap</v>
      </c>
      <c r="X3043" s="3" t="str">
        <f>IF(Table1[[#This Row],[automation_risk_percent]]&gt;0.7,"Highly Automatable",
IF(Table1[[#This Row],[automation_risk_percent]]&gt;0.4,"Moderate Risk","Safe Job"))</f>
        <v>Moderate Risk</v>
      </c>
    </row>
    <row r="3044" spans="1:24" x14ac:dyDescent="0.3">
      <c r="A3044">
        <v>10651</v>
      </c>
      <c r="B3044" t="s">
        <v>46</v>
      </c>
      <c r="C3044" t="s">
        <v>23</v>
      </c>
      <c r="D3044" t="s">
        <v>24</v>
      </c>
      <c r="E3044" s="1">
        <v>2025</v>
      </c>
      <c r="F3044" s="11">
        <v>0.2918</v>
      </c>
      <c r="G3044">
        <v>24.48</v>
      </c>
      <c r="H3044">
        <v>84.61</v>
      </c>
      <c r="I3044" s="2">
        <v>50355.89</v>
      </c>
      <c r="J3044" s="2">
        <v>44433.2</v>
      </c>
      <c r="K3044" s="2">
        <f>Table1[[#This Row],[Salary_after]]-Table1[[#This Row],[Salary_before]]</f>
        <v>-5922.6900000000023</v>
      </c>
      <c r="L3044" s="11">
        <v>-0.1176</v>
      </c>
      <c r="M3044" s="11">
        <v>0.17710000000000001</v>
      </c>
      <c r="N3044">
        <v>87.36</v>
      </c>
      <c r="O3044">
        <v>58.69</v>
      </c>
      <c r="P3044">
        <v>1</v>
      </c>
      <c r="Q3044" t="s">
        <v>21</v>
      </c>
      <c r="R3044">
        <v>56.894999999999897</v>
      </c>
      <c r="S3044">
        <v>11.76</v>
      </c>
      <c r="T3044" s="4">
        <v>40.582999999999998</v>
      </c>
      <c r="U3044" s="4">
        <v>17.125741999999999</v>
      </c>
      <c r="V3044" t="str">
        <f>IF(Table1[[#This Row],[ai_disruption_intensity]]&gt;70,"High",
IF(Table1[[#This Row],[ai_disruption_intensity]]&gt;40,"Medium","Low"))</f>
        <v>Low</v>
      </c>
      <c r="W3044" t="str">
        <f>IF(Table1[[#This Row],[skill_gap_index]]&gt;70,"Large Gap",
IF(Table1[[#This Row],[skill_gap_index]]&gt;40,"Medium Gap","Small Gap"))</f>
        <v>Large Gap</v>
      </c>
      <c r="X3044" s="3" t="str">
        <f>IF(Table1[[#This Row],[automation_risk_percent]]&gt;0.7,"Highly Automatable",
IF(Table1[[#This Row],[automation_risk_percent]]&gt;0.4,"Moderate Risk","Safe Job"))</f>
        <v>Safe Job</v>
      </c>
    </row>
    <row r="3045" spans="1:24" x14ac:dyDescent="0.3">
      <c r="A3045">
        <v>10656</v>
      </c>
      <c r="B3045" t="s">
        <v>29</v>
      </c>
      <c r="C3045" t="s">
        <v>33</v>
      </c>
      <c r="D3045" t="s">
        <v>42</v>
      </c>
      <c r="E3045" s="1">
        <v>2025</v>
      </c>
      <c r="F3045" s="11">
        <v>0.28320000000000001</v>
      </c>
      <c r="G3045">
        <v>25.09</v>
      </c>
      <c r="H3045">
        <v>89.43</v>
      </c>
      <c r="I3045" s="2">
        <v>126262.22</v>
      </c>
      <c r="J3045" s="2">
        <v>129867.59</v>
      </c>
      <c r="K3045" s="2">
        <f>Table1[[#This Row],[Salary_after]]-Table1[[#This Row],[Salary_before]]</f>
        <v>3605.3699999999953</v>
      </c>
      <c r="L3045" s="11">
        <v>2.86E-2</v>
      </c>
      <c r="M3045" s="11">
        <v>0.20679999999999998</v>
      </c>
      <c r="N3045">
        <v>41.79</v>
      </c>
      <c r="O3045">
        <v>69.44</v>
      </c>
      <c r="P3045">
        <v>1</v>
      </c>
      <c r="Q3045" t="s">
        <v>21</v>
      </c>
      <c r="R3045">
        <v>58.875</v>
      </c>
      <c r="S3045">
        <v>2.86</v>
      </c>
      <c r="T3045" s="4">
        <v>39.015000000000001</v>
      </c>
      <c r="U3045" s="4">
        <v>19.665407999999999</v>
      </c>
      <c r="V3045" t="str">
        <f>IF(Table1[[#This Row],[ai_disruption_intensity]]&gt;70,"High",
IF(Table1[[#This Row],[ai_disruption_intensity]]&gt;40,"Medium","Low"))</f>
        <v>Low</v>
      </c>
      <c r="W3045" t="str">
        <f>IF(Table1[[#This Row],[skill_gap_index]]&gt;70,"Large Gap",
IF(Table1[[#This Row],[skill_gap_index]]&gt;40,"Medium Gap","Small Gap"))</f>
        <v>Large Gap</v>
      </c>
      <c r="X3045" s="3" t="str">
        <f>IF(Table1[[#This Row],[automation_risk_percent]]&gt;0.7,"Highly Automatable",
IF(Table1[[#This Row],[automation_risk_percent]]&gt;0.4,"Moderate Risk","Safe Job"))</f>
        <v>Safe Job</v>
      </c>
    </row>
    <row r="3046" spans="1:24" x14ac:dyDescent="0.3">
      <c r="A3046">
        <v>10657</v>
      </c>
      <c r="B3046" t="s">
        <v>41</v>
      </c>
      <c r="C3046" t="s">
        <v>30</v>
      </c>
      <c r="D3046" t="s">
        <v>20</v>
      </c>
      <c r="E3046" s="1">
        <v>2025</v>
      </c>
      <c r="F3046" s="11">
        <v>0.71430000000000005</v>
      </c>
      <c r="G3046">
        <v>75.510000000000005</v>
      </c>
      <c r="H3046">
        <v>50.37</v>
      </c>
      <c r="I3046" s="2">
        <v>61126.75</v>
      </c>
      <c r="J3046" s="2">
        <v>64339.27</v>
      </c>
      <c r="K3046" s="2">
        <f>Table1[[#This Row],[Salary_after]]-Table1[[#This Row],[Salary_before]]</f>
        <v>3212.5199999999968</v>
      </c>
      <c r="L3046" s="11">
        <v>5.2600000000000001E-2</v>
      </c>
      <c r="M3046" s="11">
        <v>-0.23</v>
      </c>
      <c r="N3046">
        <v>29.44</v>
      </c>
      <c r="O3046">
        <v>23.01</v>
      </c>
      <c r="P3046">
        <v>1</v>
      </c>
      <c r="Q3046" t="s">
        <v>37</v>
      </c>
      <c r="R3046">
        <v>60.9</v>
      </c>
      <c r="S3046">
        <v>5.26</v>
      </c>
      <c r="T3046" s="4">
        <v>45.261000000000003</v>
      </c>
      <c r="U3046" s="4">
        <v>16.436043000000002</v>
      </c>
      <c r="V3046" t="str">
        <f>IF(Table1[[#This Row],[ai_disruption_intensity]]&gt;70,"High",
IF(Table1[[#This Row],[ai_disruption_intensity]]&gt;40,"Medium","Low"))</f>
        <v>Low</v>
      </c>
      <c r="W3046" t="str">
        <f>IF(Table1[[#This Row],[skill_gap_index]]&gt;70,"Large Gap",
IF(Table1[[#This Row],[skill_gap_index]]&gt;40,"Medium Gap","Small Gap"))</f>
        <v>Medium Gap</v>
      </c>
      <c r="X3046" s="3" t="str">
        <f>IF(Table1[[#This Row],[automation_risk_percent]]&gt;0.7,"Highly Automatable",
IF(Table1[[#This Row],[automation_risk_percent]]&gt;0.4,"Moderate Risk","Safe Job"))</f>
        <v>Highly Automatable</v>
      </c>
    </row>
    <row r="3047" spans="1:24" x14ac:dyDescent="0.3">
      <c r="A3047">
        <v>10662</v>
      </c>
      <c r="B3047" t="s">
        <v>22</v>
      </c>
      <c r="C3047" t="s">
        <v>30</v>
      </c>
      <c r="D3047" t="s">
        <v>20</v>
      </c>
      <c r="E3047" s="1">
        <v>2025</v>
      </c>
      <c r="F3047" s="11">
        <v>0.61460000000000004</v>
      </c>
      <c r="G3047">
        <v>60.75</v>
      </c>
      <c r="H3047">
        <v>28.41</v>
      </c>
      <c r="I3047" s="2">
        <v>50623.81</v>
      </c>
      <c r="J3047" s="2">
        <v>48282.26</v>
      </c>
      <c r="K3047" s="2">
        <f>Table1[[#This Row],[Salary_after]]-Table1[[#This Row],[Salary_before]]</f>
        <v>-2341.5499999999956</v>
      </c>
      <c r="L3047" s="11">
        <v>-4.6300000000000001E-2</v>
      </c>
      <c r="M3047" s="11">
        <v>0.21989999999999998</v>
      </c>
      <c r="N3047">
        <v>31.55</v>
      </c>
      <c r="O3047">
        <v>94.34</v>
      </c>
      <c r="P3047">
        <v>1</v>
      </c>
      <c r="Q3047" t="s">
        <v>37</v>
      </c>
      <c r="R3047">
        <v>44.935000000000002</v>
      </c>
      <c r="S3047">
        <v>4.63</v>
      </c>
      <c r="T3047" s="4">
        <v>34.496000000000002</v>
      </c>
      <c r="U3047" s="4">
        <v>57.981363999999999</v>
      </c>
      <c r="V3047" t="str">
        <f>IF(Table1[[#This Row],[ai_disruption_intensity]]&gt;70,"High",
IF(Table1[[#This Row],[ai_disruption_intensity]]&gt;40,"Medium","Low"))</f>
        <v>Medium</v>
      </c>
      <c r="W3047" t="str">
        <f>IF(Table1[[#This Row],[skill_gap_index]]&gt;70,"Large Gap",
IF(Table1[[#This Row],[skill_gap_index]]&gt;40,"Medium Gap","Small Gap"))</f>
        <v>Small Gap</v>
      </c>
      <c r="X3047" s="3" t="str">
        <f>IF(Table1[[#This Row],[automation_risk_percent]]&gt;0.7,"Highly Automatable",
IF(Table1[[#This Row],[automation_risk_percent]]&gt;0.4,"Moderate Risk","Safe Job"))</f>
        <v>Moderate Risk</v>
      </c>
    </row>
    <row r="3048" spans="1:24" x14ac:dyDescent="0.3">
      <c r="A3048">
        <v>10663</v>
      </c>
      <c r="B3048" t="s">
        <v>41</v>
      </c>
      <c r="C3048" t="s">
        <v>27</v>
      </c>
      <c r="D3048" t="s">
        <v>24</v>
      </c>
      <c r="E3048" s="1">
        <v>2025</v>
      </c>
      <c r="F3048" s="11">
        <v>0.64269999999999994</v>
      </c>
      <c r="G3048">
        <v>60.5</v>
      </c>
      <c r="H3048">
        <v>71.97</v>
      </c>
      <c r="I3048" s="2">
        <v>89571.24</v>
      </c>
      <c r="J3048" s="2">
        <v>92756.65</v>
      </c>
      <c r="K3048" s="2">
        <f>Table1[[#This Row],[Salary_after]]-Table1[[#This Row],[Salary_before]]</f>
        <v>3185.4099999999889</v>
      </c>
      <c r="L3048" s="11">
        <v>3.56E-2</v>
      </c>
      <c r="M3048" s="11">
        <v>-0.16510000000000002</v>
      </c>
      <c r="N3048">
        <v>99.96</v>
      </c>
      <c r="O3048">
        <v>26.92</v>
      </c>
      <c r="P3048">
        <v>1</v>
      </c>
      <c r="Q3048" t="s">
        <v>37</v>
      </c>
      <c r="R3048">
        <v>68.12</v>
      </c>
      <c r="S3048">
        <v>3.56</v>
      </c>
      <c r="T3048" s="4">
        <v>48.366999999999898</v>
      </c>
      <c r="U3048" s="4">
        <v>17.301483999999999</v>
      </c>
      <c r="V3048" t="str">
        <f>IF(Table1[[#This Row],[ai_disruption_intensity]]&gt;70,"High",
IF(Table1[[#This Row],[ai_disruption_intensity]]&gt;40,"Medium","Low"))</f>
        <v>Low</v>
      </c>
      <c r="W3048" t="str">
        <f>IF(Table1[[#This Row],[skill_gap_index]]&gt;70,"Large Gap",
IF(Table1[[#This Row],[skill_gap_index]]&gt;40,"Medium Gap","Small Gap"))</f>
        <v>Large Gap</v>
      </c>
      <c r="X3048" s="3" t="str">
        <f>IF(Table1[[#This Row],[automation_risk_percent]]&gt;0.7,"Highly Automatable",
IF(Table1[[#This Row],[automation_risk_percent]]&gt;0.4,"Moderate Risk","Safe Job"))</f>
        <v>Moderate Risk</v>
      </c>
    </row>
    <row r="3049" spans="1:24" x14ac:dyDescent="0.3">
      <c r="A3049">
        <v>10665</v>
      </c>
      <c r="B3049" t="s">
        <v>18</v>
      </c>
      <c r="C3049" t="s">
        <v>34</v>
      </c>
      <c r="D3049" t="s">
        <v>20</v>
      </c>
      <c r="E3049" s="1">
        <v>2025</v>
      </c>
      <c r="F3049" s="11">
        <v>0.3337</v>
      </c>
      <c r="G3049">
        <v>30.68</v>
      </c>
      <c r="H3049">
        <v>42.74</v>
      </c>
      <c r="I3049" s="2">
        <v>125788.6</v>
      </c>
      <c r="J3049" s="2">
        <v>110477.58</v>
      </c>
      <c r="K3049" s="2">
        <f>Table1[[#This Row],[Salary_after]]-Table1[[#This Row],[Salary_before]]</f>
        <v>-15311.020000000004</v>
      </c>
      <c r="L3049" s="11">
        <v>-0.1217</v>
      </c>
      <c r="M3049" s="11">
        <v>-3.9599999999999996E-2</v>
      </c>
      <c r="N3049">
        <v>85.59</v>
      </c>
      <c r="O3049">
        <v>81.11</v>
      </c>
      <c r="P3049">
        <v>4</v>
      </c>
      <c r="Q3049" t="s">
        <v>25</v>
      </c>
      <c r="R3049">
        <v>38.055</v>
      </c>
      <c r="S3049">
        <v>12.17</v>
      </c>
      <c r="T3049" s="4">
        <v>29.821000000000002</v>
      </c>
      <c r="U3049" s="4">
        <v>27.066406999999899</v>
      </c>
      <c r="V3049" t="str">
        <f>IF(Table1[[#This Row],[ai_disruption_intensity]]&gt;70,"High",
IF(Table1[[#This Row],[ai_disruption_intensity]]&gt;40,"Medium","Low"))</f>
        <v>Low</v>
      </c>
      <c r="W3049" t="str">
        <f>IF(Table1[[#This Row],[skill_gap_index]]&gt;70,"Large Gap",
IF(Table1[[#This Row],[skill_gap_index]]&gt;40,"Medium Gap","Small Gap"))</f>
        <v>Medium Gap</v>
      </c>
      <c r="X3049" s="3" t="str">
        <f>IF(Table1[[#This Row],[automation_risk_percent]]&gt;0.7,"Highly Automatable",
IF(Table1[[#This Row],[automation_risk_percent]]&gt;0.4,"Moderate Risk","Safe Job"))</f>
        <v>Safe Job</v>
      </c>
    </row>
    <row r="3050" spans="1:24" x14ac:dyDescent="0.3">
      <c r="A3050">
        <v>10668</v>
      </c>
      <c r="B3050" t="s">
        <v>29</v>
      </c>
      <c r="C3050" t="s">
        <v>30</v>
      </c>
      <c r="D3050" t="s">
        <v>20</v>
      </c>
      <c r="E3050" s="1">
        <v>2026</v>
      </c>
      <c r="F3050" s="11">
        <v>0.3075</v>
      </c>
      <c r="G3050">
        <v>32.5</v>
      </c>
      <c r="H3050">
        <v>13.49</v>
      </c>
      <c r="I3050" s="2">
        <v>65984.42</v>
      </c>
      <c r="J3050" s="2">
        <v>51704.14</v>
      </c>
      <c r="K3050" s="2">
        <f>Table1[[#This Row],[Salary_after]]-Table1[[#This Row],[Salary_before]]</f>
        <v>-14280.279999999999</v>
      </c>
      <c r="L3050" s="11">
        <v>-0.21640000000000001</v>
      </c>
      <c r="M3050" s="11">
        <v>8.900000000000001E-2</v>
      </c>
      <c r="N3050">
        <v>29.27</v>
      </c>
      <c r="O3050">
        <v>78.25</v>
      </c>
      <c r="P3050">
        <v>3</v>
      </c>
      <c r="Q3050" t="s">
        <v>25</v>
      </c>
      <c r="R3050">
        <v>22.12</v>
      </c>
      <c r="S3050">
        <v>21.64</v>
      </c>
      <c r="T3050" s="4">
        <v>22.838999999999999</v>
      </c>
      <c r="U3050" s="4">
        <v>24.061875000000001</v>
      </c>
      <c r="V3050" t="str">
        <f>IF(Table1[[#This Row],[ai_disruption_intensity]]&gt;70,"High",
IF(Table1[[#This Row],[ai_disruption_intensity]]&gt;40,"Medium","Low"))</f>
        <v>Low</v>
      </c>
      <c r="W3050" t="str">
        <f>IF(Table1[[#This Row],[skill_gap_index]]&gt;70,"Large Gap",
IF(Table1[[#This Row],[skill_gap_index]]&gt;40,"Medium Gap","Small Gap"))</f>
        <v>Small Gap</v>
      </c>
      <c r="X3050" s="3" t="str">
        <f>IF(Table1[[#This Row],[automation_risk_percent]]&gt;0.7,"Highly Automatable",
IF(Table1[[#This Row],[automation_risk_percent]]&gt;0.4,"Moderate Risk","Safe Job"))</f>
        <v>Safe Job</v>
      </c>
    </row>
    <row r="3051" spans="1:24" x14ac:dyDescent="0.3">
      <c r="A3051">
        <v>10671</v>
      </c>
      <c r="B3051" t="s">
        <v>43</v>
      </c>
      <c r="C3051" t="s">
        <v>38</v>
      </c>
      <c r="D3051" t="s">
        <v>20</v>
      </c>
      <c r="E3051" s="1">
        <v>2026</v>
      </c>
      <c r="F3051" s="11">
        <v>0.44900000000000001</v>
      </c>
      <c r="G3051">
        <v>44.67</v>
      </c>
      <c r="H3051">
        <v>64.62</v>
      </c>
      <c r="I3051" s="2">
        <v>50184.38</v>
      </c>
      <c r="J3051" s="2">
        <v>53860.97</v>
      </c>
      <c r="K3051" s="2">
        <f>Table1[[#This Row],[Salary_after]]-Table1[[#This Row],[Salary_before]]</f>
        <v>3676.5900000000038</v>
      </c>
      <c r="L3051" s="11">
        <v>7.3300000000000004E-2</v>
      </c>
      <c r="M3051" s="11">
        <v>-0.09</v>
      </c>
      <c r="N3051">
        <v>18.77</v>
      </c>
      <c r="O3051">
        <v>90.93</v>
      </c>
      <c r="P3051">
        <v>4</v>
      </c>
      <c r="Q3051" t="s">
        <v>25</v>
      </c>
      <c r="R3051">
        <v>54.76</v>
      </c>
      <c r="S3051">
        <v>7.33</v>
      </c>
      <c r="T3051" s="4">
        <v>39.545000000000002</v>
      </c>
      <c r="U3051" s="4">
        <v>40.827570000000001</v>
      </c>
      <c r="V3051" t="str">
        <f>IF(Table1[[#This Row],[ai_disruption_intensity]]&gt;70,"High",
IF(Table1[[#This Row],[ai_disruption_intensity]]&gt;40,"Medium","Low"))</f>
        <v>Medium</v>
      </c>
      <c r="W3051" t="str">
        <f>IF(Table1[[#This Row],[skill_gap_index]]&gt;70,"Large Gap",
IF(Table1[[#This Row],[skill_gap_index]]&gt;40,"Medium Gap","Small Gap"))</f>
        <v>Medium Gap</v>
      </c>
      <c r="X3051" s="3" t="str">
        <f>IF(Table1[[#This Row],[automation_risk_percent]]&gt;0.7,"Highly Automatable",
IF(Table1[[#This Row],[automation_risk_percent]]&gt;0.4,"Moderate Risk","Safe Job"))</f>
        <v>Moderate Risk</v>
      </c>
    </row>
    <row r="3052" spans="1:24" x14ac:dyDescent="0.3">
      <c r="A3052">
        <v>10678</v>
      </c>
      <c r="B3052" t="s">
        <v>26</v>
      </c>
      <c r="C3052" t="s">
        <v>38</v>
      </c>
      <c r="D3052" t="s">
        <v>32</v>
      </c>
      <c r="E3052" s="1">
        <v>2026</v>
      </c>
      <c r="F3052" s="11">
        <v>0.62360000000000004</v>
      </c>
      <c r="G3052">
        <v>54.99</v>
      </c>
      <c r="H3052">
        <v>45.79</v>
      </c>
      <c r="I3052" s="2">
        <v>60230.17</v>
      </c>
      <c r="J3052" s="2">
        <v>63280.26</v>
      </c>
      <c r="K3052" s="2">
        <f>Table1[[#This Row],[Salary_after]]-Table1[[#This Row],[Salary_before]]</f>
        <v>3050.0900000000038</v>
      </c>
      <c r="L3052" s="11">
        <v>5.0599999999999999E-2</v>
      </c>
      <c r="M3052" s="11">
        <v>1.0800000000000001E-2</v>
      </c>
      <c r="N3052">
        <v>74.28</v>
      </c>
      <c r="O3052">
        <v>6.69</v>
      </c>
      <c r="P3052">
        <v>4</v>
      </c>
      <c r="Q3052" t="s">
        <v>37</v>
      </c>
      <c r="R3052">
        <v>54.075000000000003</v>
      </c>
      <c r="S3052">
        <v>5.0599999999999996</v>
      </c>
      <c r="T3052" s="4">
        <v>40.198999999999998</v>
      </c>
      <c r="U3052" s="4">
        <v>4.1718840000000004</v>
      </c>
      <c r="V3052" t="str">
        <f>IF(Table1[[#This Row],[ai_disruption_intensity]]&gt;70,"High",
IF(Table1[[#This Row],[ai_disruption_intensity]]&gt;40,"Medium","Low"))</f>
        <v>Low</v>
      </c>
      <c r="W3052" t="str">
        <f>IF(Table1[[#This Row],[skill_gap_index]]&gt;70,"Large Gap",
IF(Table1[[#This Row],[skill_gap_index]]&gt;40,"Medium Gap","Small Gap"))</f>
        <v>Medium Gap</v>
      </c>
      <c r="X3052" s="3" t="str">
        <f>IF(Table1[[#This Row],[automation_risk_percent]]&gt;0.7,"Highly Automatable",
IF(Table1[[#This Row],[automation_risk_percent]]&gt;0.4,"Moderate Risk","Safe Job"))</f>
        <v>Moderate Risk</v>
      </c>
    </row>
    <row r="3053" spans="1:24" x14ac:dyDescent="0.3">
      <c r="A3053">
        <v>10679</v>
      </c>
      <c r="B3053" t="s">
        <v>26</v>
      </c>
      <c r="C3053" t="s">
        <v>19</v>
      </c>
      <c r="D3053" t="s">
        <v>24</v>
      </c>
      <c r="E3053" s="1">
        <v>2026</v>
      </c>
      <c r="F3053" s="11">
        <v>0.5302</v>
      </c>
      <c r="G3053">
        <v>54.57</v>
      </c>
      <c r="H3053">
        <v>78.7</v>
      </c>
      <c r="I3053" s="2">
        <v>101199.92</v>
      </c>
      <c r="J3053" s="2">
        <v>100218.19</v>
      </c>
      <c r="K3053" s="2">
        <f>Table1[[#This Row],[Salary_after]]-Table1[[#This Row],[Salary_before]]</f>
        <v>-981.72999999999593</v>
      </c>
      <c r="L3053" s="11">
        <v>-9.7000000000000003E-3</v>
      </c>
      <c r="M3053" s="11">
        <v>-0.18690000000000001</v>
      </c>
      <c r="N3053">
        <v>22.75</v>
      </c>
      <c r="O3053">
        <v>31.06</v>
      </c>
      <c r="P3053">
        <v>3</v>
      </c>
      <c r="Q3053" t="s">
        <v>25</v>
      </c>
      <c r="R3053">
        <v>65.86</v>
      </c>
      <c r="S3053">
        <v>0.97</v>
      </c>
      <c r="T3053" s="4">
        <v>45.108999999999902</v>
      </c>
      <c r="U3053" s="4">
        <v>16.468012000000002</v>
      </c>
      <c r="V3053" t="str">
        <f>IF(Table1[[#This Row],[ai_disruption_intensity]]&gt;70,"High",
IF(Table1[[#This Row],[ai_disruption_intensity]]&gt;40,"Medium","Low"))</f>
        <v>Low</v>
      </c>
      <c r="W3053" t="str">
        <f>IF(Table1[[#This Row],[skill_gap_index]]&gt;70,"Large Gap",
IF(Table1[[#This Row],[skill_gap_index]]&gt;40,"Medium Gap","Small Gap"))</f>
        <v>Large Gap</v>
      </c>
      <c r="X3053" s="3" t="str">
        <f>IF(Table1[[#This Row],[automation_risk_percent]]&gt;0.7,"Highly Automatable",
IF(Table1[[#This Row],[automation_risk_percent]]&gt;0.4,"Moderate Risk","Safe Job"))</f>
        <v>Moderate Risk</v>
      </c>
    </row>
    <row r="3054" spans="1:24" x14ac:dyDescent="0.3">
      <c r="A3054">
        <v>10685</v>
      </c>
      <c r="B3054" t="s">
        <v>41</v>
      </c>
      <c r="C3054" t="s">
        <v>27</v>
      </c>
      <c r="D3054" t="s">
        <v>47</v>
      </c>
      <c r="E3054" s="1">
        <v>2025</v>
      </c>
      <c r="F3054" s="11">
        <v>0.57909999999999995</v>
      </c>
      <c r="G3054">
        <v>65.73</v>
      </c>
      <c r="H3054">
        <v>28.84</v>
      </c>
      <c r="I3054" s="2">
        <v>149595.48000000001</v>
      </c>
      <c r="J3054" s="2">
        <v>162567.18</v>
      </c>
      <c r="K3054" s="2">
        <f>Table1[[#This Row],[Salary_after]]-Table1[[#This Row],[Salary_before]]</f>
        <v>12971.699999999983</v>
      </c>
      <c r="L3054" s="11">
        <v>8.6699999999999999E-2</v>
      </c>
      <c r="M3054" s="11">
        <v>4.7100000000000003E-2</v>
      </c>
      <c r="N3054">
        <v>57.55</v>
      </c>
      <c r="O3054">
        <v>39.76</v>
      </c>
      <c r="P3054">
        <v>1</v>
      </c>
      <c r="Q3054" t="s">
        <v>25</v>
      </c>
      <c r="R3054">
        <v>43.375</v>
      </c>
      <c r="S3054">
        <v>8.67</v>
      </c>
      <c r="T3054" s="4">
        <v>34.417000000000002</v>
      </c>
      <c r="U3054" s="4">
        <v>23.025015999999901</v>
      </c>
      <c r="V3054" t="str">
        <f>IF(Table1[[#This Row],[ai_disruption_intensity]]&gt;70,"High",
IF(Table1[[#This Row],[ai_disruption_intensity]]&gt;40,"Medium","Low"))</f>
        <v>Low</v>
      </c>
      <c r="W3054" t="str">
        <f>IF(Table1[[#This Row],[skill_gap_index]]&gt;70,"Large Gap",
IF(Table1[[#This Row],[skill_gap_index]]&gt;40,"Medium Gap","Small Gap"))</f>
        <v>Small Gap</v>
      </c>
      <c r="X3054" s="3" t="str">
        <f>IF(Table1[[#This Row],[automation_risk_percent]]&gt;0.7,"Highly Automatable",
IF(Table1[[#This Row],[automation_risk_percent]]&gt;0.4,"Moderate Risk","Safe Job"))</f>
        <v>Moderate Risk</v>
      </c>
    </row>
    <row r="3055" spans="1:24" x14ac:dyDescent="0.3">
      <c r="A3055">
        <v>10686</v>
      </c>
      <c r="B3055" t="s">
        <v>45</v>
      </c>
      <c r="C3055" t="s">
        <v>19</v>
      </c>
      <c r="D3055" t="s">
        <v>47</v>
      </c>
      <c r="E3055" s="1">
        <v>2026</v>
      </c>
      <c r="F3055" s="11">
        <v>0.59709999999999996</v>
      </c>
      <c r="G3055">
        <v>70.650000000000006</v>
      </c>
      <c r="H3055">
        <v>37.61</v>
      </c>
      <c r="I3055" s="2">
        <v>133792.99</v>
      </c>
      <c r="J3055" s="2">
        <v>118309.25</v>
      </c>
      <c r="K3055" s="2">
        <f>Table1[[#This Row],[Salary_after]]-Table1[[#This Row],[Salary_before]]</f>
        <v>-15483.739999999991</v>
      </c>
      <c r="L3055" s="11">
        <v>-0.1157</v>
      </c>
      <c r="M3055" s="11">
        <v>0.20219999999999999</v>
      </c>
      <c r="N3055">
        <v>14.99</v>
      </c>
      <c r="O3055">
        <v>31.14</v>
      </c>
      <c r="P3055">
        <v>2</v>
      </c>
      <c r="Q3055" t="s">
        <v>25</v>
      </c>
      <c r="R3055">
        <v>48.66</v>
      </c>
      <c r="S3055">
        <v>11.57</v>
      </c>
      <c r="T3055" s="4">
        <v>38.637999999999998</v>
      </c>
      <c r="U3055" s="4">
        <v>18.593693999999999</v>
      </c>
      <c r="V3055" t="str">
        <f>IF(Table1[[#This Row],[ai_disruption_intensity]]&gt;70,"High",
IF(Table1[[#This Row],[ai_disruption_intensity]]&gt;40,"Medium","Low"))</f>
        <v>Low</v>
      </c>
      <c r="W3055" t="str">
        <f>IF(Table1[[#This Row],[skill_gap_index]]&gt;70,"Large Gap",
IF(Table1[[#This Row],[skill_gap_index]]&gt;40,"Medium Gap","Small Gap"))</f>
        <v>Small Gap</v>
      </c>
      <c r="X3055" s="3" t="str">
        <f>IF(Table1[[#This Row],[automation_risk_percent]]&gt;0.7,"Highly Automatable",
IF(Table1[[#This Row],[automation_risk_percent]]&gt;0.4,"Moderate Risk","Safe Job"))</f>
        <v>Moderate Risk</v>
      </c>
    </row>
    <row r="3056" spans="1:24" x14ac:dyDescent="0.3">
      <c r="A3056">
        <v>10690</v>
      </c>
      <c r="B3056" t="s">
        <v>18</v>
      </c>
      <c r="C3056" t="s">
        <v>34</v>
      </c>
      <c r="D3056" t="s">
        <v>31</v>
      </c>
      <c r="E3056" s="1">
        <v>2026</v>
      </c>
      <c r="F3056" s="11">
        <v>0.1948</v>
      </c>
      <c r="G3056">
        <v>16.62</v>
      </c>
      <c r="H3056">
        <v>25.95</v>
      </c>
      <c r="I3056" s="2">
        <v>107014.72</v>
      </c>
      <c r="J3056" s="2">
        <v>113531.45</v>
      </c>
      <c r="K3056" s="2">
        <f>Table1[[#This Row],[Salary_after]]-Table1[[#This Row],[Salary_before]]</f>
        <v>6516.7299999999959</v>
      </c>
      <c r="L3056" s="11">
        <v>6.0899999999999996E-2</v>
      </c>
      <c r="M3056" s="11">
        <v>-6.1500000000000006E-2</v>
      </c>
      <c r="N3056">
        <v>97.45</v>
      </c>
      <c r="O3056">
        <v>86.21</v>
      </c>
      <c r="P3056">
        <v>5</v>
      </c>
      <c r="Q3056" t="s">
        <v>21</v>
      </c>
      <c r="R3056">
        <v>22.715</v>
      </c>
      <c r="S3056">
        <v>6.09</v>
      </c>
      <c r="T3056" s="4">
        <v>17.404</v>
      </c>
      <c r="U3056" s="4">
        <v>16.793707999999999</v>
      </c>
      <c r="V3056" t="str">
        <f>IF(Table1[[#This Row],[ai_disruption_intensity]]&gt;70,"High",
IF(Table1[[#This Row],[ai_disruption_intensity]]&gt;40,"Medium","Low"))</f>
        <v>Low</v>
      </c>
      <c r="W3056" t="str">
        <f>IF(Table1[[#This Row],[skill_gap_index]]&gt;70,"Large Gap",
IF(Table1[[#This Row],[skill_gap_index]]&gt;40,"Medium Gap","Small Gap"))</f>
        <v>Small Gap</v>
      </c>
      <c r="X3056" s="3" t="str">
        <f>IF(Table1[[#This Row],[automation_risk_percent]]&gt;0.7,"Highly Automatable",
IF(Table1[[#This Row],[automation_risk_percent]]&gt;0.4,"Moderate Risk","Safe Job"))</f>
        <v>Safe Job</v>
      </c>
    </row>
    <row r="3057" spans="1:24" x14ac:dyDescent="0.3">
      <c r="A3057">
        <v>10692</v>
      </c>
      <c r="B3057" t="s">
        <v>18</v>
      </c>
      <c r="C3057" t="s">
        <v>30</v>
      </c>
      <c r="D3057" t="s">
        <v>32</v>
      </c>
      <c r="E3057" s="1">
        <v>2026</v>
      </c>
      <c r="F3057" s="11">
        <v>0.63319999999999999</v>
      </c>
      <c r="G3057">
        <v>67.290000000000006</v>
      </c>
      <c r="H3057">
        <v>21.93</v>
      </c>
      <c r="I3057" s="2">
        <v>133179.79</v>
      </c>
      <c r="J3057" s="2">
        <v>135438.01999999999</v>
      </c>
      <c r="K3057" s="2">
        <f>Table1[[#This Row],[Salary_after]]-Table1[[#This Row],[Salary_before]]</f>
        <v>2258.2299999999814</v>
      </c>
      <c r="L3057" s="11">
        <v>1.7000000000000001E-2</v>
      </c>
      <c r="M3057" s="11">
        <v>-8.199999999999999E-3</v>
      </c>
      <c r="N3057">
        <v>94.39</v>
      </c>
      <c r="O3057">
        <v>31.3</v>
      </c>
      <c r="P3057">
        <v>5</v>
      </c>
      <c r="Q3057" t="s">
        <v>37</v>
      </c>
      <c r="R3057">
        <v>42.625</v>
      </c>
      <c r="S3057">
        <v>1.7</v>
      </c>
      <c r="T3057" s="4">
        <v>32.417000000000002</v>
      </c>
      <c r="U3057" s="4">
        <v>19.81916</v>
      </c>
      <c r="V3057" t="str">
        <f>IF(Table1[[#This Row],[ai_disruption_intensity]]&gt;70,"High",
IF(Table1[[#This Row],[ai_disruption_intensity]]&gt;40,"Medium","Low"))</f>
        <v>Low</v>
      </c>
      <c r="W3057" t="str">
        <f>IF(Table1[[#This Row],[skill_gap_index]]&gt;70,"Large Gap",
IF(Table1[[#This Row],[skill_gap_index]]&gt;40,"Medium Gap","Small Gap"))</f>
        <v>Small Gap</v>
      </c>
      <c r="X3057" s="3" t="str">
        <f>IF(Table1[[#This Row],[automation_risk_percent]]&gt;0.7,"Highly Automatable",
IF(Table1[[#This Row],[automation_risk_percent]]&gt;0.4,"Moderate Risk","Safe Job"))</f>
        <v>Moderate Risk</v>
      </c>
    </row>
    <row r="3058" spans="1:24" x14ac:dyDescent="0.3">
      <c r="A3058">
        <v>10693</v>
      </c>
      <c r="B3058" t="s">
        <v>41</v>
      </c>
      <c r="C3058" t="s">
        <v>30</v>
      </c>
      <c r="D3058" t="s">
        <v>32</v>
      </c>
      <c r="E3058" s="1">
        <v>2025</v>
      </c>
      <c r="F3058" s="11">
        <v>0.65980000000000005</v>
      </c>
      <c r="G3058">
        <v>58.77</v>
      </c>
      <c r="H3058">
        <v>88.07</v>
      </c>
      <c r="I3058" s="2">
        <v>134397.69</v>
      </c>
      <c r="J3058" s="2">
        <v>115414.43</v>
      </c>
      <c r="K3058" s="2">
        <f>Table1[[#This Row],[Salary_after]]-Table1[[#This Row],[Salary_before]]</f>
        <v>-18983.260000000009</v>
      </c>
      <c r="L3058" s="11">
        <v>-0.14119999999999999</v>
      </c>
      <c r="M3058" s="11">
        <v>-7.7399999999999997E-2</v>
      </c>
      <c r="N3058">
        <v>10.01</v>
      </c>
      <c r="O3058">
        <v>31.74</v>
      </c>
      <c r="P3058">
        <v>2</v>
      </c>
      <c r="Q3058" t="s">
        <v>37</v>
      </c>
      <c r="R3058">
        <v>77.025000000000006</v>
      </c>
      <c r="S3058">
        <v>14.12</v>
      </c>
      <c r="T3058" s="4">
        <v>57.048999999999999</v>
      </c>
      <c r="U3058" s="4">
        <v>20.942052</v>
      </c>
      <c r="V3058" t="str">
        <f>IF(Table1[[#This Row],[ai_disruption_intensity]]&gt;70,"High",
IF(Table1[[#This Row],[ai_disruption_intensity]]&gt;40,"Medium","Low"))</f>
        <v>Low</v>
      </c>
      <c r="W3058" t="str">
        <f>IF(Table1[[#This Row],[skill_gap_index]]&gt;70,"Large Gap",
IF(Table1[[#This Row],[skill_gap_index]]&gt;40,"Medium Gap","Small Gap"))</f>
        <v>Large Gap</v>
      </c>
      <c r="X3058" s="3" t="str">
        <f>IF(Table1[[#This Row],[automation_risk_percent]]&gt;0.7,"Highly Automatable",
IF(Table1[[#This Row],[automation_risk_percent]]&gt;0.4,"Moderate Risk","Safe Job"))</f>
        <v>Moderate Risk</v>
      </c>
    </row>
    <row r="3059" spans="1:24" x14ac:dyDescent="0.3">
      <c r="A3059">
        <v>10694</v>
      </c>
      <c r="B3059" t="s">
        <v>45</v>
      </c>
      <c r="C3059" t="s">
        <v>40</v>
      </c>
      <c r="D3059" t="s">
        <v>35</v>
      </c>
      <c r="E3059" s="1">
        <v>2025</v>
      </c>
      <c r="F3059" s="11">
        <v>0.64700000000000002</v>
      </c>
      <c r="G3059">
        <v>52.5</v>
      </c>
      <c r="H3059">
        <v>20.27</v>
      </c>
      <c r="I3059" s="2">
        <v>117632.24</v>
      </c>
      <c r="J3059" s="2">
        <v>105974.15</v>
      </c>
      <c r="K3059" s="2">
        <f>Table1[[#This Row],[Salary_after]]-Table1[[#This Row],[Salary_before]]</f>
        <v>-11658.090000000011</v>
      </c>
      <c r="L3059" s="11">
        <v>-9.9100000000000008E-2</v>
      </c>
      <c r="M3059" s="11">
        <v>2.0400000000000001E-2</v>
      </c>
      <c r="N3059">
        <v>69.819999999999993</v>
      </c>
      <c r="O3059">
        <v>7.9</v>
      </c>
      <c r="P3059">
        <v>1</v>
      </c>
      <c r="Q3059" t="s">
        <v>37</v>
      </c>
      <c r="R3059">
        <v>42.484999999999999</v>
      </c>
      <c r="S3059">
        <v>9.91</v>
      </c>
      <c r="T3059" s="4">
        <v>34.933999999999997</v>
      </c>
      <c r="U3059" s="4">
        <v>5.1113</v>
      </c>
      <c r="V3059" t="str">
        <f>IF(Table1[[#This Row],[ai_disruption_intensity]]&gt;70,"High",
IF(Table1[[#This Row],[ai_disruption_intensity]]&gt;40,"Medium","Low"))</f>
        <v>Low</v>
      </c>
      <c r="W3059" t="str">
        <f>IF(Table1[[#This Row],[skill_gap_index]]&gt;70,"Large Gap",
IF(Table1[[#This Row],[skill_gap_index]]&gt;40,"Medium Gap","Small Gap"))</f>
        <v>Small Gap</v>
      </c>
      <c r="X3059" s="3" t="str">
        <f>IF(Table1[[#This Row],[automation_risk_percent]]&gt;0.7,"Highly Automatable",
IF(Table1[[#This Row],[automation_risk_percent]]&gt;0.4,"Moderate Risk","Safe Job"))</f>
        <v>Moderate Risk</v>
      </c>
    </row>
    <row r="3060" spans="1:24" x14ac:dyDescent="0.3">
      <c r="A3060">
        <v>10695</v>
      </c>
      <c r="B3060" t="s">
        <v>39</v>
      </c>
      <c r="C3060" t="s">
        <v>19</v>
      </c>
      <c r="D3060" t="s">
        <v>32</v>
      </c>
      <c r="E3060" s="1">
        <v>2026</v>
      </c>
      <c r="F3060" s="11">
        <v>0.18170000000000003</v>
      </c>
      <c r="G3060">
        <v>18.670000000000002</v>
      </c>
      <c r="H3060">
        <v>47.2</v>
      </c>
      <c r="I3060" s="2">
        <v>61632.82</v>
      </c>
      <c r="J3060" s="2">
        <v>68415.64</v>
      </c>
      <c r="K3060" s="2">
        <f>Table1[[#This Row],[Salary_after]]-Table1[[#This Row],[Salary_before]]</f>
        <v>6782.82</v>
      </c>
      <c r="L3060" s="11">
        <v>0.1101</v>
      </c>
      <c r="M3060" s="11">
        <v>4.3400000000000001E-2</v>
      </c>
      <c r="N3060">
        <v>75.25</v>
      </c>
      <c r="O3060">
        <v>45.48</v>
      </c>
      <c r="P3060">
        <v>3</v>
      </c>
      <c r="Q3060" t="s">
        <v>21</v>
      </c>
      <c r="R3060">
        <v>32.685000000000002</v>
      </c>
      <c r="S3060">
        <v>11.01</v>
      </c>
      <c r="T3060" s="4">
        <v>24.731000000000002</v>
      </c>
      <c r="U3060" s="4">
        <v>8.2637160000000005</v>
      </c>
      <c r="V3060" t="str">
        <f>IF(Table1[[#This Row],[ai_disruption_intensity]]&gt;70,"High",
IF(Table1[[#This Row],[ai_disruption_intensity]]&gt;40,"Medium","Low"))</f>
        <v>Low</v>
      </c>
      <c r="W3060" t="str">
        <f>IF(Table1[[#This Row],[skill_gap_index]]&gt;70,"Large Gap",
IF(Table1[[#This Row],[skill_gap_index]]&gt;40,"Medium Gap","Small Gap"))</f>
        <v>Medium Gap</v>
      </c>
      <c r="X3060" s="3" t="str">
        <f>IF(Table1[[#This Row],[automation_risk_percent]]&gt;0.7,"Highly Automatable",
IF(Table1[[#This Row],[automation_risk_percent]]&gt;0.4,"Moderate Risk","Safe Job"))</f>
        <v>Safe Job</v>
      </c>
    </row>
    <row r="3061" spans="1:24" x14ac:dyDescent="0.3">
      <c r="A3061">
        <v>10696</v>
      </c>
      <c r="B3061" t="s">
        <v>22</v>
      </c>
      <c r="C3061" t="s">
        <v>34</v>
      </c>
      <c r="D3061" t="s">
        <v>35</v>
      </c>
      <c r="E3061" s="1">
        <v>2025</v>
      </c>
      <c r="F3061" s="11">
        <v>0.31790000000000002</v>
      </c>
      <c r="G3061">
        <v>32.840000000000003</v>
      </c>
      <c r="H3061">
        <v>0.28999999999999998</v>
      </c>
      <c r="I3061" s="2">
        <v>117968.99</v>
      </c>
      <c r="J3061" s="2">
        <v>114678.01</v>
      </c>
      <c r="K3061" s="2">
        <f>Table1[[#This Row],[Salary_after]]-Table1[[#This Row],[Salary_before]]</f>
        <v>-3290.9800000000105</v>
      </c>
      <c r="L3061" s="11">
        <v>-2.7900000000000001E-2</v>
      </c>
      <c r="M3061" s="11">
        <v>7.2300000000000003E-2</v>
      </c>
      <c r="N3061">
        <v>46.24</v>
      </c>
      <c r="O3061">
        <v>14.51</v>
      </c>
      <c r="P3061">
        <v>3</v>
      </c>
      <c r="Q3061" t="s">
        <v>25</v>
      </c>
      <c r="R3061">
        <v>16.04</v>
      </c>
      <c r="S3061">
        <v>2.79</v>
      </c>
      <c r="T3061" s="4">
        <v>13.64</v>
      </c>
      <c r="U3061" s="4">
        <v>4.6127289999999999</v>
      </c>
      <c r="V3061" t="str">
        <f>IF(Table1[[#This Row],[ai_disruption_intensity]]&gt;70,"High",
IF(Table1[[#This Row],[ai_disruption_intensity]]&gt;40,"Medium","Low"))</f>
        <v>Low</v>
      </c>
      <c r="W3061" t="str">
        <f>IF(Table1[[#This Row],[skill_gap_index]]&gt;70,"Large Gap",
IF(Table1[[#This Row],[skill_gap_index]]&gt;40,"Medium Gap","Small Gap"))</f>
        <v>Small Gap</v>
      </c>
      <c r="X3061" s="3" t="str">
        <f>IF(Table1[[#This Row],[automation_risk_percent]]&gt;0.7,"Highly Automatable",
IF(Table1[[#This Row],[automation_risk_percent]]&gt;0.4,"Moderate Risk","Safe Job"))</f>
        <v>Safe Job</v>
      </c>
    </row>
    <row r="3062" spans="1:24" x14ac:dyDescent="0.3">
      <c r="A3062">
        <v>10709</v>
      </c>
      <c r="B3062" t="s">
        <v>43</v>
      </c>
      <c r="C3062" t="s">
        <v>38</v>
      </c>
      <c r="D3062" t="s">
        <v>31</v>
      </c>
      <c r="E3062" s="1">
        <v>2026</v>
      </c>
      <c r="F3062" s="11">
        <v>0.38219999999999998</v>
      </c>
      <c r="G3062">
        <v>38.17</v>
      </c>
      <c r="H3062">
        <v>4.09</v>
      </c>
      <c r="I3062" s="2">
        <v>110903.83</v>
      </c>
      <c r="J3062" s="2">
        <v>113406.05</v>
      </c>
      <c r="K3062" s="2">
        <f>Table1[[#This Row],[Salary_after]]-Table1[[#This Row],[Salary_before]]</f>
        <v>2502.2200000000012</v>
      </c>
      <c r="L3062" s="11">
        <v>2.2599999999999999E-2</v>
      </c>
      <c r="M3062" s="11">
        <v>-1.41E-2</v>
      </c>
      <c r="N3062">
        <v>99.47</v>
      </c>
      <c r="O3062">
        <v>6.06</v>
      </c>
      <c r="P3062">
        <v>4</v>
      </c>
      <c r="Q3062" t="s">
        <v>25</v>
      </c>
      <c r="R3062">
        <v>21.155000000000001</v>
      </c>
      <c r="S3062">
        <v>2.2599999999999998</v>
      </c>
      <c r="T3062" s="4">
        <v>17.193000000000001</v>
      </c>
      <c r="U3062" s="4">
        <v>2.3161319999999899</v>
      </c>
      <c r="V3062" t="str">
        <f>IF(Table1[[#This Row],[ai_disruption_intensity]]&gt;70,"High",
IF(Table1[[#This Row],[ai_disruption_intensity]]&gt;40,"Medium","Low"))</f>
        <v>Low</v>
      </c>
      <c r="W3062" t="str">
        <f>IF(Table1[[#This Row],[skill_gap_index]]&gt;70,"Large Gap",
IF(Table1[[#This Row],[skill_gap_index]]&gt;40,"Medium Gap","Small Gap"))</f>
        <v>Small Gap</v>
      </c>
      <c r="X3062" s="3" t="str">
        <f>IF(Table1[[#This Row],[automation_risk_percent]]&gt;0.7,"Highly Automatable",
IF(Table1[[#This Row],[automation_risk_percent]]&gt;0.4,"Moderate Risk","Safe Job"))</f>
        <v>Safe Job</v>
      </c>
    </row>
    <row r="3063" spans="1:24" x14ac:dyDescent="0.3">
      <c r="A3063">
        <v>10711</v>
      </c>
      <c r="B3063" t="s">
        <v>18</v>
      </c>
      <c r="C3063" t="s">
        <v>23</v>
      </c>
      <c r="D3063" t="s">
        <v>31</v>
      </c>
      <c r="E3063" s="1">
        <v>2025</v>
      </c>
      <c r="F3063" s="11">
        <v>0.35470000000000002</v>
      </c>
      <c r="G3063">
        <v>29.09</v>
      </c>
      <c r="H3063">
        <v>82.16</v>
      </c>
      <c r="I3063" s="2">
        <v>60681.37</v>
      </c>
      <c r="J3063" s="2">
        <v>56763.12</v>
      </c>
      <c r="K3063" s="2">
        <f>Table1[[#This Row],[Salary_after]]-Table1[[#This Row],[Salary_before]]</f>
        <v>-3918.25</v>
      </c>
      <c r="L3063" s="11">
        <v>-6.4600000000000005E-2</v>
      </c>
      <c r="M3063" s="11">
        <v>0.1363</v>
      </c>
      <c r="N3063">
        <v>39.229999999999997</v>
      </c>
      <c r="O3063">
        <v>40.200000000000003</v>
      </c>
      <c r="P3063">
        <v>2</v>
      </c>
      <c r="Q3063" t="s">
        <v>25</v>
      </c>
      <c r="R3063">
        <v>58.814999999999998</v>
      </c>
      <c r="S3063">
        <v>6.46</v>
      </c>
      <c r="T3063" s="4">
        <v>40.774000000000001</v>
      </c>
      <c r="U3063" s="4">
        <v>14.258940000000001</v>
      </c>
      <c r="V3063" t="str">
        <f>IF(Table1[[#This Row],[ai_disruption_intensity]]&gt;70,"High",
IF(Table1[[#This Row],[ai_disruption_intensity]]&gt;40,"Medium","Low"))</f>
        <v>Low</v>
      </c>
      <c r="W3063" t="str">
        <f>IF(Table1[[#This Row],[skill_gap_index]]&gt;70,"Large Gap",
IF(Table1[[#This Row],[skill_gap_index]]&gt;40,"Medium Gap","Small Gap"))</f>
        <v>Large Gap</v>
      </c>
      <c r="X3063" s="3" t="str">
        <f>IF(Table1[[#This Row],[automation_risk_percent]]&gt;0.7,"Highly Automatable",
IF(Table1[[#This Row],[automation_risk_percent]]&gt;0.4,"Moderate Risk","Safe Job"))</f>
        <v>Safe Job</v>
      </c>
    </row>
    <row r="3064" spans="1:24" x14ac:dyDescent="0.3">
      <c r="A3064">
        <v>10712</v>
      </c>
      <c r="B3064" t="s">
        <v>43</v>
      </c>
      <c r="C3064" t="s">
        <v>38</v>
      </c>
      <c r="D3064" t="s">
        <v>20</v>
      </c>
      <c r="E3064" s="1">
        <v>2025</v>
      </c>
      <c r="F3064" s="11">
        <v>0.64950000000000008</v>
      </c>
      <c r="G3064">
        <v>76.040000000000006</v>
      </c>
      <c r="H3064">
        <v>44.03</v>
      </c>
      <c r="I3064" s="2">
        <v>66177.210000000006</v>
      </c>
      <c r="J3064" s="2">
        <v>60832.91</v>
      </c>
      <c r="K3064" s="2">
        <f>Table1[[#This Row],[Salary_after]]-Table1[[#This Row],[Salary_before]]</f>
        <v>-5344.3000000000029</v>
      </c>
      <c r="L3064" s="11">
        <v>-8.0799999999999997E-2</v>
      </c>
      <c r="M3064" s="11">
        <v>-3.5299999999999998E-2</v>
      </c>
      <c r="N3064">
        <v>10.62</v>
      </c>
      <c r="O3064">
        <v>23.41</v>
      </c>
      <c r="P3064">
        <v>5</v>
      </c>
      <c r="Q3064" t="s">
        <v>37</v>
      </c>
      <c r="R3064">
        <v>54.49</v>
      </c>
      <c r="S3064">
        <v>8.08</v>
      </c>
      <c r="T3064" s="4">
        <v>41.613</v>
      </c>
      <c r="U3064" s="4">
        <v>15.204795000000001</v>
      </c>
      <c r="V3064" t="str">
        <f>IF(Table1[[#This Row],[ai_disruption_intensity]]&gt;70,"High",
IF(Table1[[#This Row],[ai_disruption_intensity]]&gt;40,"Medium","Low"))</f>
        <v>Low</v>
      </c>
      <c r="W3064" t="str">
        <f>IF(Table1[[#This Row],[skill_gap_index]]&gt;70,"Large Gap",
IF(Table1[[#This Row],[skill_gap_index]]&gt;40,"Medium Gap","Small Gap"))</f>
        <v>Medium Gap</v>
      </c>
      <c r="X3064" s="3" t="str">
        <f>IF(Table1[[#This Row],[automation_risk_percent]]&gt;0.7,"Highly Automatable",
IF(Table1[[#This Row],[automation_risk_percent]]&gt;0.4,"Moderate Risk","Safe Job"))</f>
        <v>Moderate Risk</v>
      </c>
    </row>
    <row r="3065" spans="1:24" x14ac:dyDescent="0.3">
      <c r="A3065">
        <v>10714</v>
      </c>
      <c r="B3065" t="s">
        <v>45</v>
      </c>
      <c r="C3065" t="s">
        <v>19</v>
      </c>
      <c r="D3065" t="s">
        <v>20</v>
      </c>
      <c r="E3065" s="1">
        <v>2025</v>
      </c>
      <c r="F3065" s="11">
        <v>0.26869999999999999</v>
      </c>
      <c r="G3065">
        <v>24.57</v>
      </c>
      <c r="H3065">
        <v>36.29</v>
      </c>
      <c r="I3065" s="2">
        <v>32955.06</v>
      </c>
      <c r="J3065" s="2">
        <v>32286.78</v>
      </c>
      <c r="K3065" s="2">
        <f>Table1[[#This Row],[Salary_after]]-Table1[[#This Row],[Salary_before]]</f>
        <v>-668.27999999999884</v>
      </c>
      <c r="L3065" s="11">
        <v>-2.0299999999999999E-2</v>
      </c>
      <c r="M3065" s="11">
        <v>0.21719999999999998</v>
      </c>
      <c r="N3065">
        <v>90.69</v>
      </c>
      <c r="O3065">
        <v>51.77</v>
      </c>
      <c r="P3065">
        <v>2</v>
      </c>
      <c r="Q3065" t="s">
        <v>21</v>
      </c>
      <c r="R3065">
        <v>31.58</v>
      </c>
      <c r="S3065">
        <v>2.0299999999999998</v>
      </c>
      <c r="T3065" s="4">
        <v>22.2439999999999</v>
      </c>
      <c r="U3065" s="4">
        <v>13.910598999999999</v>
      </c>
      <c r="V3065" t="str">
        <f>IF(Table1[[#This Row],[ai_disruption_intensity]]&gt;70,"High",
IF(Table1[[#This Row],[ai_disruption_intensity]]&gt;40,"Medium","Low"))</f>
        <v>Low</v>
      </c>
      <c r="W3065" t="str">
        <f>IF(Table1[[#This Row],[skill_gap_index]]&gt;70,"Large Gap",
IF(Table1[[#This Row],[skill_gap_index]]&gt;40,"Medium Gap","Small Gap"))</f>
        <v>Small Gap</v>
      </c>
      <c r="X3065" s="3" t="str">
        <f>IF(Table1[[#This Row],[automation_risk_percent]]&gt;0.7,"Highly Automatable",
IF(Table1[[#This Row],[automation_risk_percent]]&gt;0.4,"Moderate Risk","Safe Job"))</f>
        <v>Safe Job</v>
      </c>
    </row>
    <row r="3066" spans="1:24" x14ac:dyDescent="0.3">
      <c r="A3066">
        <v>10715</v>
      </c>
      <c r="B3066" t="s">
        <v>18</v>
      </c>
      <c r="C3066" t="s">
        <v>33</v>
      </c>
      <c r="D3066" t="s">
        <v>32</v>
      </c>
      <c r="E3066" s="1">
        <v>2025</v>
      </c>
      <c r="F3066" s="11">
        <v>0.79170000000000007</v>
      </c>
      <c r="G3066">
        <v>85.53</v>
      </c>
      <c r="H3066">
        <v>88.69</v>
      </c>
      <c r="I3066" s="2">
        <v>146794.03</v>
      </c>
      <c r="J3066" s="2">
        <v>179556.73</v>
      </c>
      <c r="K3066" s="2">
        <f>Table1[[#This Row],[Salary_after]]-Table1[[#This Row],[Salary_before]]</f>
        <v>32762.700000000012</v>
      </c>
      <c r="L3066" s="11">
        <v>0.22320000000000001</v>
      </c>
      <c r="M3066" s="11">
        <v>2.5999999999999999E-3</v>
      </c>
      <c r="N3066">
        <v>92.26</v>
      </c>
      <c r="O3066">
        <v>57.53</v>
      </c>
      <c r="P3066">
        <v>4</v>
      </c>
      <c r="Q3066" t="s">
        <v>37</v>
      </c>
      <c r="R3066">
        <v>83.93</v>
      </c>
      <c r="S3066">
        <v>22.32</v>
      </c>
      <c r="T3066" s="4">
        <v>64.971000000000004</v>
      </c>
      <c r="U3066" s="4">
        <v>45.546500999999999</v>
      </c>
      <c r="V3066" t="str">
        <f>IF(Table1[[#This Row],[ai_disruption_intensity]]&gt;70,"High",
IF(Table1[[#This Row],[ai_disruption_intensity]]&gt;40,"Medium","Low"))</f>
        <v>Medium</v>
      </c>
      <c r="W3066" t="str">
        <f>IF(Table1[[#This Row],[skill_gap_index]]&gt;70,"Large Gap",
IF(Table1[[#This Row],[skill_gap_index]]&gt;40,"Medium Gap","Small Gap"))</f>
        <v>Large Gap</v>
      </c>
      <c r="X3066" s="3" t="str">
        <f>IF(Table1[[#This Row],[automation_risk_percent]]&gt;0.7,"Highly Automatable",
IF(Table1[[#This Row],[automation_risk_percent]]&gt;0.4,"Moderate Risk","Safe Job"))</f>
        <v>Highly Automatable</v>
      </c>
    </row>
    <row r="3067" spans="1:24" x14ac:dyDescent="0.3">
      <c r="A3067">
        <v>10716</v>
      </c>
      <c r="B3067" t="s">
        <v>43</v>
      </c>
      <c r="C3067" t="s">
        <v>40</v>
      </c>
      <c r="D3067" t="s">
        <v>24</v>
      </c>
      <c r="E3067" s="1">
        <v>2026</v>
      </c>
      <c r="F3067" s="11">
        <v>0.13699999999999998</v>
      </c>
      <c r="G3067">
        <v>14.77</v>
      </c>
      <c r="H3067">
        <v>93.57</v>
      </c>
      <c r="I3067" s="2">
        <v>123740.05</v>
      </c>
      <c r="J3067" s="2">
        <v>152738.85999999999</v>
      </c>
      <c r="K3067" s="2">
        <f>Table1[[#This Row],[Salary_after]]-Table1[[#This Row],[Salary_before]]</f>
        <v>28998.809999999983</v>
      </c>
      <c r="L3067" s="11">
        <v>0.23440000000000003</v>
      </c>
      <c r="M3067" s="11">
        <v>0.16980000000000001</v>
      </c>
      <c r="N3067">
        <v>60.11</v>
      </c>
      <c r="O3067">
        <v>41.22</v>
      </c>
      <c r="P3067">
        <v>4</v>
      </c>
      <c r="Q3067" t="s">
        <v>21</v>
      </c>
      <c r="R3067">
        <v>53.634999999999998</v>
      </c>
      <c r="S3067">
        <v>23.44</v>
      </c>
      <c r="T3067" s="4">
        <v>40.582999999999998</v>
      </c>
      <c r="U3067" s="4">
        <v>5.6471399999999896</v>
      </c>
      <c r="V3067" t="str">
        <f>IF(Table1[[#This Row],[ai_disruption_intensity]]&gt;70,"High",
IF(Table1[[#This Row],[ai_disruption_intensity]]&gt;40,"Medium","Low"))</f>
        <v>Low</v>
      </c>
      <c r="W3067" t="str">
        <f>IF(Table1[[#This Row],[skill_gap_index]]&gt;70,"Large Gap",
IF(Table1[[#This Row],[skill_gap_index]]&gt;40,"Medium Gap","Small Gap"))</f>
        <v>Large Gap</v>
      </c>
      <c r="X3067" s="3" t="str">
        <f>IF(Table1[[#This Row],[automation_risk_percent]]&gt;0.7,"Highly Automatable",
IF(Table1[[#This Row],[automation_risk_percent]]&gt;0.4,"Moderate Risk","Safe Job"))</f>
        <v>Safe Job</v>
      </c>
    </row>
    <row r="3068" spans="1:24" x14ac:dyDescent="0.3">
      <c r="A3068">
        <v>10717</v>
      </c>
      <c r="B3068" t="s">
        <v>46</v>
      </c>
      <c r="C3068" t="s">
        <v>38</v>
      </c>
      <c r="D3068" t="s">
        <v>24</v>
      </c>
      <c r="E3068" s="1">
        <v>2026</v>
      </c>
      <c r="F3068" s="11">
        <v>0.69079999999999997</v>
      </c>
      <c r="G3068">
        <v>79.77</v>
      </c>
      <c r="H3068">
        <v>61.04</v>
      </c>
      <c r="I3068" s="2">
        <v>107728.65</v>
      </c>
      <c r="J3068" s="2">
        <v>115815.44</v>
      </c>
      <c r="K3068" s="2">
        <f>Table1[[#This Row],[Salary_after]]-Table1[[#This Row],[Salary_before]]</f>
        <v>8086.7900000000081</v>
      </c>
      <c r="L3068" s="11">
        <v>7.51E-2</v>
      </c>
      <c r="M3068" s="11">
        <v>0.2051</v>
      </c>
      <c r="N3068">
        <v>73.680000000000007</v>
      </c>
      <c r="O3068">
        <v>81.650000000000006</v>
      </c>
      <c r="P3068">
        <v>2</v>
      </c>
      <c r="Q3068" t="s">
        <v>37</v>
      </c>
      <c r="R3068">
        <v>65.06</v>
      </c>
      <c r="S3068">
        <v>7.51</v>
      </c>
      <c r="T3068" s="4">
        <v>48.197000000000003</v>
      </c>
      <c r="U3068" s="4">
        <v>56.403820000000003</v>
      </c>
      <c r="V3068" t="str">
        <f>IF(Table1[[#This Row],[ai_disruption_intensity]]&gt;70,"High",
IF(Table1[[#This Row],[ai_disruption_intensity]]&gt;40,"Medium","Low"))</f>
        <v>Medium</v>
      </c>
      <c r="W3068" t="str">
        <f>IF(Table1[[#This Row],[skill_gap_index]]&gt;70,"Large Gap",
IF(Table1[[#This Row],[skill_gap_index]]&gt;40,"Medium Gap","Small Gap"))</f>
        <v>Medium Gap</v>
      </c>
      <c r="X3068" s="3" t="str">
        <f>IF(Table1[[#This Row],[automation_risk_percent]]&gt;0.7,"Highly Automatable",
IF(Table1[[#This Row],[automation_risk_percent]]&gt;0.4,"Moderate Risk","Safe Job"))</f>
        <v>Moderate Risk</v>
      </c>
    </row>
    <row r="3069" spans="1:24" x14ac:dyDescent="0.3">
      <c r="A3069">
        <v>10720</v>
      </c>
      <c r="B3069" t="s">
        <v>39</v>
      </c>
      <c r="C3069" t="s">
        <v>33</v>
      </c>
      <c r="D3069" t="s">
        <v>28</v>
      </c>
      <c r="E3069" s="1">
        <v>2025</v>
      </c>
      <c r="F3069" s="11">
        <v>0.55249999999999999</v>
      </c>
      <c r="G3069">
        <v>65.86</v>
      </c>
      <c r="H3069">
        <v>3.48</v>
      </c>
      <c r="I3069" s="2">
        <v>114457.91</v>
      </c>
      <c r="J3069" s="2">
        <v>117751.51</v>
      </c>
      <c r="K3069" s="2">
        <f>Table1[[#This Row],[Salary_after]]-Table1[[#This Row],[Salary_before]]</f>
        <v>3293.5999999999913</v>
      </c>
      <c r="L3069" s="11">
        <v>2.8799999999999999E-2</v>
      </c>
      <c r="M3069" s="11">
        <v>0.16260000000000002</v>
      </c>
      <c r="N3069">
        <v>97.82</v>
      </c>
      <c r="O3069">
        <v>41.77</v>
      </c>
      <c r="P3069">
        <v>1</v>
      </c>
      <c r="Q3069" t="s">
        <v>25</v>
      </c>
      <c r="R3069">
        <v>29.364999999999998</v>
      </c>
      <c r="S3069">
        <v>2.88</v>
      </c>
      <c r="T3069" s="4">
        <v>24.007999999999999</v>
      </c>
      <c r="U3069" s="4">
        <v>23.077925</v>
      </c>
      <c r="V3069" t="str">
        <f>IF(Table1[[#This Row],[ai_disruption_intensity]]&gt;70,"High",
IF(Table1[[#This Row],[ai_disruption_intensity]]&gt;40,"Medium","Low"))</f>
        <v>Low</v>
      </c>
      <c r="W3069" t="str">
        <f>IF(Table1[[#This Row],[skill_gap_index]]&gt;70,"Large Gap",
IF(Table1[[#This Row],[skill_gap_index]]&gt;40,"Medium Gap","Small Gap"))</f>
        <v>Small Gap</v>
      </c>
      <c r="X3069" s="3" t="str">
        <f>IF(Table1[[#This Row],[automation_risk_percent]]&gt;0.7,"Highly Automatable",
IF(Table1[[#This Row],[automation_risk_percent]]&gt;0.4,"Moderate Risk","Safe Job"))</f>
        <v>Moderate Risk</v>
      </c>
    </row>
    <row r="3070" spans="1:24" x14ac:dyDescent="0.3">
      <c r="A3070">
        <v>10721</v>
      </c>
      <c r="B3070" t="s">
        <v>46</v>
      </c>
      <c r="C3070" t="s">
        <v>23</v>
      </c>
      <c r="D3070" t="s">
        <v>20</v>
      </c>
      <c r="E3070" s="1">
        <v>2025</v>
      </c>
      <c r="F3070" s="11">
        <v>0.52490000000000003</v>
      </c>
      <c r="G3070">
        <v>56.4</v>
      </c>
      <c r="H3070">
        <v>3.14</v>
      </c>
      <c r="I3070" s="2">
        <v>96334.91</v>
      </c>
      <c r="J3070" s="2">
        <v>98301.13</v>
      </c>
      <c r="K3070" s="2">
        <f>Table1[[#This Row],[Salary_after]]-Table1[[#This Row],[Salary_before]]</f>
        <v>1966.2200000000012</v>
      </c>
      <c r="L3070" s="11">
        <v>2.0400000000000001E-2</v>
      </c>
      <c r="M3070" s="11">
        <v>-0.1197</v>
      </c>
      <c r="N3070">
        <v>89.57</v>
      </c>
      <c r="O3070">
        <v>63.01</v>
      </c>
      <c r="P3070">
        <v>5</v>
      </c>
      <c r="Q3070" t="s">
        <v>25</v>
      </c>
      <c r="R3070">
        <v>27.815000000000001</v>
      </c>
      <c r="S3070">
        <v>2.04</v>
      </c>
      <c r="T3070" s="4">
        <v>22.55</v>
      </c>
      <c r="U3070" s="4">
        <v>33.073948999999999</v>
      </c>
      <c r="V3070" t="str">
        <f>IF(Table1[[#This Row],[ai_disruption_intensity]]&gt;70,"High",
IF(Table1[[#This Row],[ai_disruption_intensity]]&gt;40,"Medium","Low"))</f>
        <v>Low</v>
      </c>
      <c r="W3070" t="str">
        <f>IF(Table1[[#This Row],[skill_gap_index]]&gt;70,"Large Gap",
IF(Table1[[#This Row],[skill_gap_index]]&gt;40,"Medium Gap","Small Gap"))</f>
        <v>Small Gap</v>
      </c>
      <c r="X3070" s="3" t="str">
        <f>IF(Table1[[#This Row],[automation_risk_percent]]&gt;0.7,"Highly Automatable",
IF(Table1[[#This Row],[automation_risk_percent]]&gt;0.4,"Moderate Risk","Safe Job"))</f>
        <v>Moderate Risk</v>
      </c>
    </row>
    <row r="3071" spans="1:24" x14ac:dyDescent="0.3">
      <c r="A3071">
        <v>10723</v>
      </c>
      <c r="B3071" t="s">
        <v>44</v>
      </c>
      <c r="C3071" t="s">
        <v>23</v>
      </c>
      <c r="D3071" t="s">
        <v>20</v>
      </c>
      <c r="E3071" s="1">
        <v>2025</v>
      </c>
      <c r="F3071" s="11">
        <v>0.13059999999999999</v>
      </c>
      <c r="G3071">
        <v>13.29</v>
      </c>
      <c r="H3071">
        <v>57.36</v>
      </c>
      <c r="I3071" s="2">
        <v>87479.83</v>
      </c>
      <c r="J3071" s="2">
        <v>94368.66</v>
      </c>
      <c r="K3071" s="2">
        <f>Table1[[#This Row],[Salary_after]]-Table1[[#This Row],[Salary_before]]</f>
        <v>6888.8300000000017</v>
      </c>
      <c r="L3071" s="11">
        <v>7.8700000000000006E-2</v>
      </c>
      <c r="M3071" s="11">
        <v>2.2099999999999998E-2</v>
      </c>
      <c r="N3071">
        <v>53.3</v>
      </c>
      <c r="O3071">
        <v>79.900000000000006</v>
      </c>
      <c r="P3071">
        <v>5</v>
      </c>
      <c r="Q3071" t="s">
        <v>21</v>
      </c>
      <c r="R3071">
        <v>35.21</v>
      </c>
      <c r="S3071">
        <v>7.87</v>
      </c>
      <c r="T3071" s="4">
        <v>24.792999999999999</v>
      </c>
      <c r="U3071" s="4">
        <v>10.434939999999999</v>
      </c>
      <c r="V3071" t="str">
        <f>IF(Table1[[#This Row],[ai_disruption_intensity]]&gt;70,"High",
IF(Table1[[#This Row],[ai_disruption_intensity]]&gt;40,"Medium","Low"))</f>
        <v>Low</v>
      </c>
      <c r="W3071" t="str">
        <f>IF(Table1[[#This Row],[skill_gap_index]]&gt;70,"Large Gap",
IF(Table1[[#This Row],[skill_gap_index]]&gt;40,"Medium Gap","Small Gap"))</f>
        <v>Medium Gap</v>
      </c>
      <c r="X3071" s="3" t="str">
        <f>IF(Table1[[#This Row],[automation_risk_percent]]&gt;0.7,"Highly Automatable",
IF(Table1[[#This Row],[automation_risk_percent]]&gt;0.4,"Moderate Risk","Safe Job"))</f>
        <v>Safe Job</v>
      </c>
    </row>
    <row r="3072" spans="1:24" x14ac:dyDescent="0.3">
      <c r="A3072">
        <v>10735</v>
      </c>
      <c r="B3072" t="s">
        <v>41</v>
      </c>
      <c r="C3072" t="s">
        <v>23</v>
      </c>
      <c r="D3072" t="s">
        <v>24</v>
      </c>
      <c r="E3072" s="1">
        <v>2025</v>
      </c>
      <c r="F3072" s="11">
        <v>0.83930000000000005</v>
      </c>
      <c r="G3072">
        <v>81.08</v>
      </c>
      <c r="H3072">
        <v>73.98</v>
      </c>
      <c r="I3072" s="2">
        <v>33691.379999999997</v>
      </c>
      <c r="J3072" s="2">
        <v>34429.47</v>
      </c>
      <c r="K3072" s="2">
        <f>Table1[[#This Row],[Salary_after]]-Table1[[#This Row],[Salary_before]]</f>
        <v>738.09000000000378</v>
      </c>
      <c r="L3072" s="11">
        <v>2.1899999999999999E-2</v>
      </c>
      <c r="M3072" s="11">
        <v>-6.2400000000000004E-2</v>
      </c>
      <c r="N3072">
        <v>74.83</v>
      </c>
      <c r="O3072">
        <v>78.790000000000006</v>
      </c>
      <c r="P3072">
        <v>1</v>
      </c>
      <c r="Q3072" t="s">
        <v>37</v>
      </c>
      <c r="R3072">
        <v>78.954999999999998</v>
      </c>
      <c r="S3072">
        <v>2.19</v>
      </c>
      <c r="T3072" s="4">
        <v>56.423000000000002</v>
      </c>
      <c r="U3072" s="4">
        <v>66.128446999999994</v>
      </c>
      <c r="V3072" t="str">
        <f>IF(Table1[[#This Row],[ai_disruption_intensity]]&gt;70,"High",
IF(Table1[[#This Row],[ai_disruption_intensity]]&gt;40,"Medium","Low"))</f>
        <v>Medium</v>
      </c>
      <c r="W3072" t="str">
        <f>IF(Table1[[#This Row],[skill_gap_index]]&gt;70,"Large Gap",
IF(Table1[[#This Row],[skill_gap_index]]&gt;40,"Medium Gap","Small Gap"))</f>
        <v>Large Gap</v>
      </c>
      <c r="X3072" s="3" t="str">
        <f>IF(Table1[[#This Row],[automation_risk_percent]]&gt;0.7,"Highly Automatable",
IF(Table1[[#This Row],[automation_risk_percent]]&gt;0.4,"Moderate Risk","Safe Job"))</f>
        <v>Highly Automatable</v>
      </c>
    </row>
    <row r="3073" spans="1:24" x14ac:dyDescent="0.3">
      <c r="A3073">
        <v>10736</v>
      </c>
      <c r="B3073" t="s">
        <v>39</v>
      </c>
      <c r="C3073" t="s">
        <v>40</v>
      </c>
      <c r="D3073" t="s">
        <v>47</v>
      </c>
      <c r="E3073" s="1">
        <v>2025</v>
      </c>
      <c r="F3073" s="11">
        <v>0.55010000000000003</v>
      </c>
      <c r="G3073">
        <v>60.66</v>
      </c>
      <c r="H3073">
        <v>16.579999999999998</v>
      </c>
      <c r="I3073" s="2">
        <v>108980.88</v>
      </c>
      <c r="J3073" s="2">
        <v>117843.11</v>
      </c>
      <c r="K3073" s="2">
        <f>Table1[[#This Row],[Salary_after]]-Table1[[#This Row],[Salary_before]]</f>
        <v>8862.2299999999959</v>
      </c>
      <c r="L3073" s="11">
        <v>8.1300000000000011E-2</v>
      </c>
      <c r="M3073" s="11">
        <v>3.5400000000000001E-2</v>
      </c>
      <c r="N3073">
        <v>65.38</v>
      </c>
      <c r="O3073">
        <v>54.17</v>
      </c>
      <c r="P3073">
        <v>2</v>
      </c>
      <c r="Q3073" t="s">
        <v>25</v>
      </c>
      <c r="R3073">
        <v>35.795000000000002</v>
      </c>
      <c r="S3073">
        <v>8.1300000000000008</v>
      </c>
      <c r="T3073" s="4">
        <v>29.417000000000002</v>
      </c>
      <c r="U3073" s="4">
        <v>29.798916999999999</v>
      </c>
      <c r="V3073" t="str">
        <f>IF(Table1[[#This Row],[ai_disruption_intensity]]&gt;70,"High",
IF(Table1[[#This Row],[ai_disruption_intensity]]&gt;40,"Medium","Low"))</f>
        <v>Low</v>
      </c>
      <c r="W3073" t="str">
        <f>IF(Table1[[#This Row],[skill_gap_index]]&gt;70,"Large Gap",
IF(Table1[[#This Row],[skill_gap_index]]&gt;40,"Medium Gap","Small Gap"))</f>
        <v>Small Gap</v>
      </c>
      <c r="X3073" s="3" t="str">
        <f>IF(Table1[[#This Row],[automation_risk_percent]]&gt;0.7,"Highly Automatable",
IF(Table1[[#This Row],[automation_risk_percent]]&gt;0.4,"Moderate Risk","Safe Job"))</f>
        <v>Moderate Risk</v>
      </c>
    </row>
    <row r="3074" spans="1:24" x14ac:dyDescent="0.3">
      <c r="A3074">
        <v>10737</v>
      </c>
      <c r="B3074" t="s">
        <v>44</v>
      </c>
      <c r="C3074" t="s">
        <v>23</v>
      </c>
      <c r="D3074" t="s">
        <v>20</v>
      </c>
      <c r="E3074" s="1">
        <v>2025</v>
      </c>
      <c r="F3074" s="11">
        <v>0.50479999999999992</v>
      </c>
      <c r="G3074">
        <v>57.17</v>
      </c>
      <c r="H3074">
        <v>1.1299999999999999</v>
      </c>
      <c r="I3074" s="2">
        <v>133232.17000000001</v>
      </c>
      <c r="J3074" s="2">
        <v>134209.29999999999</v>
      </c>
      <c r="K3074" s="2">
        <f>Table1[[#This Row],[Salary_after]]-Table1[[#This Row],[Salary_before]]</f>
        <v>977.12999999997555</v>
      </c>
      <c r="L3074" s="11">
        <v>7.3000000000000001E-3</v>
      </c>
      <c r="M3074" s="11">
        <v>8.199999999999999E-3</v>
      </c>
      <c r="N3074">
        <v>55.23</v>
      </c>
      <c r="O3074">
        <v>37.04</v>
      </c>
      <c r="P3074">
        <v>5</v>
      </c>
      <c r="Q3074" t="s">
        <v>25</v>
      </c>
      <c r="R3074">
        <v>25.805</v>
      </c>
      <c r="S3074">
        <v>0.73</v>
      </c>
      <c r="T3074" s="4">
        <v>20.75</v>
      </c>
      <c r="U3074" s="4">
        <v>18.697792</v>
      </c>
      <c r="V3074" t="str">
        <f>IF(Table1[[#This Row],[ai_disruption_intensity]]&gt;70,"High",
IF(Table1[[#This Row],[ai_disruption_intensity]]&gt;40,"Medium","Low"))</f>
        <v>Low</v>
      </c>
      <c r="W3074" t="str">
        <f>IF(Table1[[#This Row],[skill_gap_index]]&gt;70,"Large Gap",
IF(Table1[[#This Row],[skill_gap_index]]&gt;40,"Medium Gap","Small Gap"))</f>
        <v>Small Gap</v>
      </c>
      <c r="X3074" s="3" t="str">
        <f>IF(Table1[[#This Row],[automation_risk_percent]]&gt;0.7,"Highly Automatable",
IF(Table1[[#This Row],[automation_risk_percent]]&gt;0.4,"Moderate Risk","Safe Job"))</f>
        <v>Moderate Risk</v>
      </c>
    </row>
    <row r="3075" spans="1:24" x14ac:dyDescent="0.3">
      <c r="A3075">
        <v>10740</v>
      </c>
      <c r="B3075" t="s">
        <v>45</v>
      </c>
      <c r="C3075" t="s">
        <v>38</v>
      </c>
      <c r="D3075" t="s">
        <v>42</v>
      </c>
      <c r="E3075" s="1">
        <v>2026</v>
      </c>
      <c r="F3075" s="11">
        <v>0.57040000000000002</v>
      </c>
      <c r="G3075">
        <v>59.11</v>
      </c>
      <c r="H3075">
        <v>1.19</v>
      </c>
      <c r="I3075" s="2">
        <v>107090.89</v>
      </c>
      <c r="J3075" s="2">
        <v>108980.21</v>
      </c>
      <c r="K3075" s="2">
        <f>Table1[[#This Row],[Salary_after]]-Table1[[#This Row],[Salary_before]]</f>
        <v>1889.320000000007</v>
      </c>
      <c r="L3075" s="11">
        <v>1.7600000000000001E-2</v>
      </c>
      <c r="M3075" s="11">
        <v>3.0099999999999998E-2</v>
      </c>
      <c r="N3075">
        <v>70.62</v>
      </c>
      <c r="O3075">
        <v>5.17</v>
      </c>
      <c r="P3075">
        <v>3</v>
      </c>
      <c r="Q3075" t="s">
        <v>25</v>
      </c>
      <c r="R3075">
        <v>29.114999999999998</v>
      </c>
      <c r="S3075">
        <v>1.76</v>
      </c>
      <c r="T3075" s="4">
        <v>23.701000000000001</v>
      </c>
      <c r="U3075" s="4">
        <v>2.9489679999999998</v>
      </c>
      <c r="V3075" t="str">
        <f>IF(Table1[[#This Row],[ai_disruption_intensity]]&gt;70,"High",
IF(Table1[[#This Row],[ai_disruption_intensity]]&gt;40,"Medium","Low"))</f>
        <v>Low</v>
      </c>
      <c r="W3075" t="str">
        <f>IF(Table1[[#This Row],[skill_gap_index]]&gt;70,"Large Gap",
IF(Table1[[#This Row],[skill_gap_index]]&gt;40,"Medium Gap","Small Gap"))</f>
        <v>Small Gap</v>
      </c>
      <c r="X3075" s="3" t="str">
        <f>IF(Table1[[#This Row],[automation_risk_percent]]&gt;0.7,"Highly Automatable",
IF(Table1[[#This Row],[automation_risk_percent]]&gt;0.4,"Moderate Risk","Safe Job"))</f>
        <v>Moderate Risk</v>
      </c>
    </row>
    <row r="3076" spans="1:24" x14ac:dyDescent="0.3">
      <c r="A3076">
        <v>10741</v>
      </c>
      <c r="B3076" t="s">
        <v>43</v>
      </c>
      <c r="C3076" t="s">
        <v>40</v>
      </c>
      <c r="D3076" t="s">
        <v>47</v>
      </c>
      <c r="E3076" s="1">
        <v>2026</v>
      </c>
      <c r="F3076" s="11">
        <v>0.47229999999999994</v>
      </c>
      <c r="G3076">
        <v>53</v>
      </c>
      <c r="H3076">
        <v>83</v>
      </c>
      <c r="I3076" s="2">
        <v>40245.86</v>
      </c>
      <c r="J3076" s="2">
        <v>42258.15</v>
      </c>
      <c r="K3076" s="2">
        <f>Table1[[#This Row],[Salary_after]]-Table1[[#This Row],[Salary_before]]</f>
        <v>2012.2900000000009</v>
      </c>
      <c r="L3076" s="11">
        <v>0.05</v>
      </c>
      <c r="M3076" s="11">
        <v>-9.2200000000000004E-2</v>
      </c>
      <c r="N3076">
        <v>64.8</v>
      </c>
      <c r="O3076">
        <v>62.98</v>
      </c>
      <c r="P3076">
        <v>2</v>
      </c>
      <c r="Q3076" t="s">
        <v>25</v>
      </c>
      <c r="R3076">
        <v>65.114999999999995</v>
      </c>
      <c r="S3076">
        <v>5</v>
      </c>
      <c r="T3076" s="4">
        <v>45.292000000000002</v>
      </c>
      <c r="U3076" s="4">
        <v>29.745453999999899</v>
      </c>
      <c r="V3076" t="str">
        <f>IF(Table1[[#This Row],[ai_disruption_intensity]]&gt;70,"High",
IF(Table1[[#This Row],[ai_disruption_intensity]]&gt;40,"Medium","Low"))</f>
        <v>Low</v>
      </c>
      <c r="W3076" t="str">
        <f>IF(Table1[[#This Row],[skill_gap_index]]&gt;70,"Large Gap",
IF(Table1[[#This Row],[skill_gap_index]]&gt;40,"Medium Gap","Small Gap"))</f>
        <v>Large Gap</v>
      </c>
      <c r="X3076" s="3" t="str">
        <f>IF(Table1[[#This Row],[automation_risk_percent]]&gt;0.7,"Highly Automatable",
IF(Table1[[#This Row],[automation_risk_percent]]&gt;0.4,"Moderate Risk","Safe Job"))</f>
        <v>Moderate Risk</v>
      </c>
    </row>
    <row r="3077" spans="1:24" x14ac:dyDescent="0.3">
      <c r="A3077">
        <v>10747</v>
      </c>
      <c r="B3077" t="s">
        <v>26</v>
      </c>
      <c r="C3077" t="s">
        <v>33</v>
      </c>
      <c r="D3077" t="s">
        <v>24</v>
      </c>
      <c r="E3077" s="1">
        <v>2025</v>
      </c>
      <c r="F3077" s="11">
        <v>0.05</v>
      </c>
      <c r="G3077">
        <v>4.3099999999999996</v>
      </c>
      <c r="H3077">
        <v>3.39</v>
      </c>
      <c r="I3077" s="2">
        <v>53620.14</v>
      </c>
      <c r="J3077" s="2">
        <v>56005.29</v>
      </c>
      <c r="K3077" s="2">
        <f>Table1[[#This Row],[Salary_after]]-Table1[[#This Row],[Salary_before]]</f>
        <v>2385.1500000000015</v>
      </c>
      <c r="L3077" s="11">
        <v>4.4500000000000005E-2</v>
      </c>
      <c r="M3077" s="11">
        <v>5.2499999999999998E-2</v>
      </c>
      <c r="N3077">
        <v>82.34</v>
      </c>
      <c r="O3077">
        <v>20.34</v>
      </c>
      <c r="P3077">
        <v>2</v>
      </c>
      <c r="Q3077" t="s">
        <v>21</v>
      </c>
      <c r="R3077">
        <v>4.1950000000000003</v>
      </c>
      <c r="S3077">
        <v>4.45</v>
      </c>
      <c r="T3077" s="4">
        <v>4.3520000000000003</v>
      </c>
      <c r="U3077" s="4">
        <v>1.0169999999999999</v>
      </c>
      <c r="V3077" t="str">
        <f>IF(Table1[[#This Row],[ai_disruption_intensity]]&gt;70,"High",
IF(Table1[[#This Row],[ai_disruption_intensity]]&gt;40,"Medium","Low"))</f>
        <v>Low</v>
      </c>
      <c r="W3077" t="str">
        <f>IF(Table1[[#This Row],[skill_gap_index]]&gt;70,"Large Gap",
IF(Table1[[#This Row],[skill_gap_index]]&gt;40,"Medium Gap","Small Gap"))</f>
        <v>Small Gap</v>
      </c>
      <c r="X3077" s="3" t="str">
        <f>IF(Table1[[#This Row],[automation_risk_percent]]&gt;0.7,"Highly Automatable",
IF(Table1[[#This Row],[automation_risk_percent]]&gt;0.4,"Moderate Risk","Safe Job"))</f>
        <v>Safe Job</v>
      </c>
    </row>
    <row r="3078" spans="1:24" x14ac:dyDescent="0.3">
      <c r="A3078">
        <v>10755</v>
      </c>
      <c r="B3078" t="s">
        <v>44</v>
      </c>
      <c r="C3078" t="s">
        <v>27</v>
      </c>
      <c r="D3078" t="s">
        <v>42</v>
      </c>
      <c r="E3078" s="1">
        <v>2025</v>
      </c>
      <c r="F3078" s="11">
        <v>0.55689999999999995</v>
      </c>
      <c r="G3078">
        <v>64.5</v>
      </c>
      <c r="H3078">
        <v>51.83</v>
      </c>
      <c r="I3078" s="2">
        <v>114246.83</v>
      </c>
      <c r="J3078" s="2">
        <v>112230.08</v>
      </c>
      <c r="K3078" s="2">
        <f>Table1[[#This Row],[Salary_after]]-Table1[[#This Row],[Salary_before]]</f>
        <v>-2016.75</v>
      </c>
      <c r="L3078" s="11">
        <v>-1.77E-2</v>
      </c>
      <c r="M3078" s="11">
        <v>0.2009</v>
      </c>
      <c r="N3078">
        <v>32.479999999999997</v>
      </c>
      <c r="O3078">
        <v>86.01</v>
      </c>
      <c r="P3078">
        <v>4</v>
      </c>
      <c r="Q3078" t="s">
        <v>25</v>
      </c>
      <c r="R3078">
        <v>53.76</v>
      </c>
      <c r="S3078">
        <v>1.77</v>
      </c>
      <c r="T3078" s="4">
        <v>38.356000000000002</v>
      </c>
      <c r="U3078" s="4">
        <v>47.898968999999902</v>
      </c>
      <c r="V3078" t="str">
        <f>IF(Table1[[#This Row],[ai_disruption_intensity]]&gt;70,"High",
IF(Table1[[#This Row],[ai_disruption_intensity]]&gt;40,"Medium","Low"))</f>
        <v>Medium</v>
      </c>
      <c r="W3078" t="str">
        <f>IF(Table1[[#This Row],[skill_gap_index]]&gt;70,"Large Gap",
IF(Table1[[#This Row],[skill_gap_index]]&gt;40,"Medium Gap","Small Gap"))</f>
        <v>Medium Gap</v>
      </c>
      <c r="X3078" s="3" t="str">
        <f>IF(Table1[[#This Row],[automation_risk_percent]]&gt;0.7,"Highly Automatable",
IF(Table1[[#This Row],[automation_risk_percent]]&gt;0.4,"Moderate Risk","Safe Job"))</f>
        <v>Moderate Risk</v>
      </c>
    </row>
    <row r="3079" spans="1:24" x14ac:dyDescent="0.3">
      <c r="A3079">
        <v>10757</v>
      </c>
      <c r="B3079" t="s">
        <v>22</v>
      </c>
      <c r="C3079" t="s">
        <v>33</v>
      </c>
      <c r="D3079" t="s">
        <v>32</v>
      </c>
      <c r="E3079" s="1">
        <v>2025</v>
      </c>
      <c r="F3079" s="11">
        <v>0.43689999999999996</v>
      </c>
      <c r="G3079">
        <v>36.54</v>
      </c>
      <c r="H3079">
        <v>40.61</v>
      </c>
      <c r="I3079" s="2">
        <v>149195.99</v>
      </c>
      <c r="J3079" s="2">
        <v>142143.20000000001</v>
      </c>
      <c r="K3079" s="2">
        <f>Table1[[#This Row],[Salary_after]]-Table1[[#This Row],[Salary_before]]</f>
        <v>-7052.789999999979</v>
      </c>
      <c r="L3079" s="11">
        <v>-4.7300000000000002E-2</v>
      </c>
      <c r="M3079" s="11">
        <v>-8.2200000000000009E-2</v>
      </c>
      <c r="N3079">
        <v>63.51</v>
      </c>
      <c r="O3079">
        <v>19.96</v>
      </c>
      <c r="P3079">
        <v>4</v>
      </c>
      <c r="Q3079" t="s">
        <v>25</v>
      </c>
      <c r="R3079">
        <v>42.15</v>
      </c>
      <c r="S3079">
        <v>4.7300000000000004</v>
      </c>
      <c r="T3079" s="4">
        <v>31.077999999999999</v>
      </c>
      <c r="U3079" s="4">
        <v>8.7205239999999993</v>
      </c>
      <c r="V3079" t="str">
        <f>IF(Table1[[#This Row],[ai_disruption_intensity]]&gt;70,"High",
IF(Table1[[#This Row],[ai_disruption_intensity]]&gt;40,"Medium","Low"))</f>
        <v>Low</v>
      </c>
      <c r="W3079" t="str">
        <f>IF(Table1[[#This Row],[skill_gap_index]]&gt;70,"Large Gap",
IF(Table1[[#This Row],[skill_gap_index]]&gt;40,"Medium Gap","Small Gap"))</f>
        <v>Medium Gap</v>
      </c>
      <c r="X3079" s="3" t="str">
        <f>IF(Table1[[#This Row],[automation_risk_percent]]&gt;0.7,"Highly Automatable",
IF(Table1[[#This Row],[automation_risk_percent]]&gt;0.4,"Moderate Risk","Safe Job"))</f>
        <v>Moderate Risk</v>
      </c>
    </row>
    <row r="3080" spans="1:24" x14ac:dyDescent="0.3">
      <c r="A3080">
        <v>10758</v>
      </c>
      <c r="B3080" t="s">
        <v>46</v>
      </c>
      <c r="C3080" t="s">
        <v>27</v>
      </c>
      <c r="D3080" t="s">
        <v>28</v>
      </c>
      <c r="E3080" s="1">
        <v>2025</v>
      </c>
      <c r="F3080" s="11">
        <v>0.6774</v>
      </c>
      <c r="G3080">
        <v>71.400000000000006</v>
      </c>
      <c r="H3080">
        <v>22.94</v>
      </c>
      <c r="I3080" s="2">
        <v>83592.39</v>
      </c>
      <c r="J3080" s="2">
        <v>76285.320000000007</v>
      </c>
      <c r="K3080" s="2">
        <f>Table1[[#This Row],[Salary_after]]-Table1[[#This Row],[Salary_before]]</f>
        <v>-7307.0699999999924</v>
      </c>
      <c r="L3080" s="11">
        <v>-8.7400000000000005E-2</v>
      </c>
      <c r="M3080" s="11">
        <v>1.78E-2</v>
      </c>
      <c r="N3080">
        <v>35.61</v>
      </c>
      <c r="O3080">
        <v>55.37</v>
      </c>
      <c r="P3080">
        <v>3</v>
      </c>
      <c r="Q3080" t="s">
        <v>37</v>
      </c>
      <c r="R3080">
        <v>45.339999999999897</v>
      </c>
      <c r="S3080">
        <v>8.74</v>
      </c>
      <c r="T3080" s="4">
        <v>36.6</v>
      </c>
      <c r="U3080" s="4">
        <v>37.507638</v>
      </c>
      <c r="V3080" t="str">
        <f>IF(Table1[[#This Row],[ai_disruption_intensity]]&gt;70,"High",
IF(Table1[[#This Row],[ai_disruption_intensity]]&gt;40,"Medium","Low"))</f>
        <v>Low</v>
      </c>
      <c r="W3080" t="str">
        <f>IF(Table1[[#This Row],[skill_gap_index]]&gt;70,"Large Gap",
IF(Table1[[#This Row],[skill_gap_index]]&gt;40,"Medium Gap","Small Gap"))</f>
        <v>Small Gap</v>
      </c>
      <c r="X3080" s="3" t="str">
        <f>IF(Table1[[#This Row],[automation_risk_percent]]&gt;0.7,"Highly Automatable",
IF(Table1[[#This Row],[automation_risk_percent]]&gt;0.4,"Moderate Risk","Safe Job"))</f>
        <v>Moderate Risk</v>
      </c>
    </row>
    <row r="3081" spans="1:24" x14ac:dyDescent="0.3">
      <c r="A3081">
        <v>10761</v>
      </c>
      <c r="B3081" t="s">
        <v>43</v>
      </c>
      <c r="C3081" t="s">
        <v>19</v>
      </c>
      <c r="D3081" t="s">
        <v>24</v>
      </c>
      <c r="E3081" s="1">
        <v>2026</v>
      </c>
      <c r="F3081" s="11">
        <v>0.31809999999999999</v>
      </c>
      <c r="G3081">
        <v>27.17</v>
      </c>
      <c r="H3081">
        <v>82.12</v>
      </c>
      <c r="I3081" s="2">
        <v>102735.71</v>
      </c>
      <c r="J3081" s="2">
        <v>115391.66</v>
      </c>
      <c r="K3081" s="2">
        <f>Table1[[#This Row],[Salary_after]]-Table1[[#This Row],[Salary_before]]</f>
        <v>12655.949999999997</v>
      </c>
      <c r="L3081" s="11">
        <v>0.1232</v>
      </c>
      <c r="M3081" s="11">
        <v>6.7000000000000004E-2</v>
      </c>
      <c r="N3081">
        <v>33.86</v>
      </c>
      <c r="O3081">
        <v>1.41</v>
      </c>
      <c r="P3081">
        <v>2</v>
      </c>
      <c r="Q3081" t="s">
        <v>25</v>
      </c>
      <c r="R3081">
        <v>56.965000000000003</v>
      </c>
      <c r="S3081">
        <v>12.32</v>
      </c>
      <c r="T3081" s="4">
        <v>41.055999999999997</v>
      </c>
      <c r="U3081" s="4">
        <v>0.448520999999999</v>
      </c>
      <c r="V3081" t="str">
        <f>IF(Table1[[#This Row],[ai_disruption_intensity]]&gt;70,"High",
IF(Table1[[#This Row],[ai_disruption_intensity]]&gt;40,"Medium","Low"))</f>
        <v>Low</v>
      </c>
      <c r="W3081" t="str">
        <f>IF(Table1[[#This Row],[skill_gap_index]]&gt;70,"Large Gap",
IF(Table1[[#This Row],[skill_gap_index]]&gt;40,"Medium Gap","Small Gap"))</f>
        <v>Large Gap</v>
      </c>
      <c r="X3081" s="3" t="str">
        <f>IF(Table1[[#This Row],[automation_risk_percent]]&gt;0.7,"Highly Automatable",
IF(Table1[[#This Row],[automation_risk_percent]]&gt;0.4,"Moderate Risk","Safe Job"))</f>
        <v>Safe Job</v>
      </c>
    </row>
    <row r="3082" spans="1:24" x14ac:dyDescent="0.3">
      <c r="A3082">
        <v>10770</v>
      </c>
      <c r="B3082" t="s">
        <v>29</v>
      </c>
      <c r="C3082" t="s">
        <v>19</v>
      </c>
      <c r="D3082" t="s">
        <v>32</v>
      </c>
      <c r="E3082" s="1">
        <v>2025</v>
      </c>
      <c r="F3082" s="11">
        <v>0.88670000000000004</v>
      </c>
      <c r="G3082">
        <v>82.32</v>
      </c>
      <c r="H3082">
        <v>89.57</v>
      </c>
      <c r="I3082" s="2">
        <v>53176.81</v>
      </c>
      <c r="J3082" s="2">
        <v>56539.99</v>
      </c>
      <c r="K3082" s="2">
        <f>Table1[[#This Row],[Salary_after]]-Table1[[#This Row],[Salary_before]]</f>
        <v>3363.1800000000003</v>
      </c>
      <c r="L3082" s="11">
        <v>6.3200000000000006E-2</v>
      </c>
      <c r="M3082" s="11">
        <v>1.5100000000000001E-2</v>
      </c>
      <c r="N3082">
        <v>17.27</v>
      </c>
      <c r="O3082">
        <v>70.180000000000007</v>
      </c>
      <c r="P3082">
        <v>5</v>
      </c>
      <c r="Q3082" t="s">
        <v>37</v>
      </c>
      <c r="R3082">
        <v>89.12</v>
      </c>
      <c r="S3082">
        <v>6.32</v>
      </c>
      <c r="T3082" s="4">
        <v>64.234999999999999</v>
      </c>
      <c r="U3082" s="4">
        <v>62.228605999999999</v>
      </c>
      <c r="V3082" t="str">
        <f>IF(Table1[[#This Row],[ai_disruption_intensity]]&gt;70,"High",
IF(Table1[[#This Row],[ai_disruption_intensity]]&gt;40,"Medium","Low"))</f>
        <v>Medium</v>
      </c>
      <c r="W3082" t="str">
        <f>IF(Table1[[#This Row],[skill_gap_index]]&gt;70,"Large Gap",
IF(Table1[[#This Row],[skill_gap_index]]&gt;40,"Medium Gap","Small Gap"))</f>
        <v>Large Gap</v>
      </c>
      <c r="X3082" s="3" t="str">
        <f>IF(Table1[[#This Row],[automation_risk_percent]]&gt;0.7,"Highly Automatable",
IF(Table1[[#This Row],[automation_risk_percent]]&gt;0.4,"Moderate Risk","Safe Job"))</f>
        <v>Highly Automatable</v>
      </c>
    </row>
    <row r="3083" spans="1:24" x14ac:dyDescent="0.3">
      <c r="A3083">
        <v>10772</v>
      </c>
      <c r="B3083" t="s">
        <v>44</v>
      </c>
      <c r="C3083" t="s">
        <v>40</v>
      </c>
      <c r="D3083" t="s">
        <v>28</v>
      </c>
      <c r="E3083" s="1">
        <v>2026</v>
      </c>
      <c r="F3083" s="11">
        <v>0.26629999999999998</v>
      </c>
      <c r="G3083">
        <v>23.62</v>
      </c>
      <c r="H3083">
        <v>2.2799999999999998</v>
      </c>
      <c r="I3083" s="2">
        <v>38801.19</v>
      </c>
      <c r="J3083" s="2">
        <v>37076.910000000003</v>
      </c>
      <c r="K3083" s="2">
        <f>Table1[[#This Row],[Salary_after]]-Table1[[#This Row],[Salary_before]]</f>
        <v>-1724.2799999999988</v>
      </c>
      <c r="L3083" s="11">
        <v>-4.4400000000000002E-2</v>
      </c>
      <c r="M3083" s="11">
        <v>-4.5599999999999995E-2</v>
      </c>
      <c r="N3083">
        <v>75.400000000000006</v>
      </c>
      <c r="O3083">
        <v>70.069999999999993</v>
      </c>
      <c r="P3083">
        <v>3</v>
      </c>
      <c r="Q3083" t="s">
        <v>21</v>
      </c>
      <c r="R3083">
        <v>14.455</v>
      </c>
      <c r="S3083">
        <v>4.4400000000000004</v>
      </c>
      <c r="T3083" s="4">
        <v>12.667999999999999</v>
      </c>
      <c r="U3083" s="4">
        <v>18.659640999999901</v>
      </c>
      <c r="V3083" t="str">
        <f>IF(Table1[[#This Row],[ai_disruption_intensity]]&gt;70,"High",
IF(Table1[[#This Row],[ai_disruption_intensity]]&gt;40,"Medium","Low"))</f>
        <v>Low</v>
      </c>
      <c r="W3083" t="str">
        <f>IF(Table1[[#This Row],[skill_gap_index]]&gt;70,"Large Gap",
IF(Table1[[#This Row],[skill_gap_index]]&gt;40,"Medium Gap","Small Gap"))</f>
        <v>Small Gap</v>
      </c>
      <c r="X3083" s="3" t="str">
        <f>IF(Table1[[#This Row],[automation_risk_percent]]&gt;0.7,"Highly Automatable",
IF(Table1[[#This Row],[automation_risk_percent]]&gt;0.4,"Moderate Risk","Safe Job"))</f>
        <v>Safe Job</v>
      </c>
    </row>
    <row r="3084" spans="1:24" x14ac:dyDescent="0.3">
      <c r="A3084">
        <v>10775</v>
      </c>
      <c r="B3084" t="s">
        <v>41</v>
      </c>
      <c r="C3084" t="s">
        <v>38</v>
      </c>
      <c r="D3084" t="s">
        <v>20</v>
      </c>
      <c r="E3084" s="1">
        <v>2026</v>
      </c>
      <c r="F3084" s="11">
        <v>0.76829999999999998</v>
      </c>
      <c r="G3084">
        <v>85.3</v>
      </c>
      <c r="H3084">
        <v>79.12</v>
      </c>
      <c r="I3084" s="2">
        <v>147096.22</v>
      </c>
      <c r="J3084" s="2">
        <v>125413.38</v>
      </c>
      <c r="K3084" s="2">
        <f>Table1[[#This Row],[Salary_after]]-Table1[[#This Row],[Salary_before]]</f>
        <v>-21682.839999999997</v>
      </c>
      <c r="L3084" s="11">
        <v>-0.1474</v>
      </c>
      <c r="M3084" s="11">
        <v>-8.9999999999999998E-4</v>
      </c>
      <c r="N3084">
        <v>45.47</v>
      </c>
      <c r="O3084">
        <v>76.680000000000007</v>
      </c>
      <c r="P3084">
        <v>5</v>
      </c>
      <c r="Q3084" t="s">
        <v>37</v>
      </c>
      <c r="R3084">
        <v>77.974999999999994</v>
      </c>
      <c r="S3084">
        <v>14.74</v>
      </c>
      <c r="T3084" s="4">
        <v>58.89</v>
      </c>
      <c r="U3084" s="4">
        <v>58.913243999999999</v>
      </c>
      <c r="V3084" t="str">
        <f>IF(Table1[[#This Row],[ai_disruption_intensity]]&gt;70,"High",
IF(Table1[[#This Row],[ai_disruption_intensity]]&gt;40,"Medium","Low"))</f>
        <v>Medium</v>
      </c>
      <c r="W3084" t="str">
        <f>IF(Table1[[#This Row],[skill_gap_index]]&gt;70,"Large Gap",
IF(Table1[[#This Row],[skill_gap_index]]&gt;40,"Medium Gap","Small Gap"))</f>
        <v>Large Gap</v>
      </c>
      <c r="X3084" s="3" t="str">
        <f>IF(Table1[[#This Row],[automation_risk_percent]]&gt;0.7,"Highly Automatable",
IF(Table1[[#This Row],[automation_risk_percent]]&gt;0.4,"Moderate Risk","Safe Job"))</f>
        <v>Highly Automatable</v>
      </c>
    </row>
    <row r="3085" spans="1:24" x14ac:dyDescent="0.3">
      <c r="A3085">
        <v>10780</v>
      </c>
      <c r="B3085" t="s">
        <v>29</v>
      </c>
      <c r="C3085" t="s">
        <v>23</v>
      </c>
      <c r="D3085" t="s">
        <v>35</v>
      </c>
      <c r="E3085" s="1">
        <v>2025</v>
      </c>
      <c r="F3085" s="11">
        <v>0.57340000000000002</v>
      </c>
      <c r="G3085">
        <v>53.63</v>
      </c>
      <c r="H3085">
        <v>46.08</v>
      </c>
      <c r="I3085" s="2">
        <v>70975.839999999997</v>
      </c>
      <c r="J3085" s="2">
        <v>67920.600000000006</v>
      </c>
      <c r="K3085" s="2">
        <f>Table1[[#This Row],[Salary_after]]-Table1[[#This Row],[Salary_before]]</f>
        <v>-3055.2399999999907</v>
      </c>
      <c r="L3085" s="11">
        <v>-4.2999999999999997E-2</v>
      </c>
      <c r="M3085" s="11">
        <v>0.11289999999999999</v>
      </c>
      <c r="N3085">
        <v>35.200000000000003</v>
      </c>
      <c r="O3085">
        <v>70.959999999999994</v>
      </c>
      <c r="P3085">
        <v>1</v>
      </c>
      <c r="Q3085" t="s">
        <v>25</v>
      </c>
      <c r="R3085">
        <v>51.71</v>
      </c>
      <c r="S3085">
        <v>4.3</v>
      </c>
      <c r="T3085" s="4">
        <v>38.049999999999997</v>
      </c>
      <c r="U3085" s="4">
        <v>40.688463999999897</v>
      </c>
      <c r="V3085" t="str">
        <f>IF(Table1[[#This Row],[ai_disruption_intensity]]&gt;70,"High",
IF(Table1[[#This Row],[ai_disruption_intensity]]&gt;40,"Medium","Low"))</f>
        <v>Medium</v>
      </c>
      <c r="W3085" t="str">
        <f>IF(Table1[[#This Row],[skill_gap_index]]&gt;70,"Large Gap",
IF(Table1[[#This Row],[skill_gap_index]]&gt;40,"Medium Gap","Small Gap"))</f>
        <v>Medium Gap</v>
      </c>
      <c r="X3085" s="3" t="str">
        <f>IF(Table1[[#This Row],[automation_risk_percent]]&gt;0.7,"Highly Automatable",
IF(Table1[[#This Row],[automation_risk_percent]]&gt;0.4,"Moderate Risk","Safe Job"))</f>
        <v>Moderate Risk</v>
      </c>
    </row>
    <row r="3086" spans="1:24" x14ac:dyDescent="0.3">
      <c r="A3086">
        <v>10787</v>
      </c>
      <c r="B3086" t="s">
        <v>29</v>
      </c>
      <c r="C3086" t="s">
        <v>30</v>
      </c>
      <c r="D3086" t="s">
        <v>47</v>
      </c>
      <c r="E3086" s="1">
        <v>2025</v>
      </c>
      <c r="F3086" s="11">
        <v>0.94709999999999994</v>
      </c>
      <c r="G3086">
        <v>84.02</v>
      </c>
      <c r="H3086">
        <v>74.099999999999994</v>
      </c>
      <c r="I3086" s="2">
        <v>38672.61</v>
      </c>
      <c r="J3086" s="2">
        <v>40935.89</v>
      </c>
      <c r="K3086" s="2">
        <f>Table1[[#This Row],[Salary_after]]-Table1[[#This Row],[Salary_before]]</f>
        <v>2263.2799999999988</v>
      </c>
      <c r="L3086" s="11">
        <v>5.8499999999999996E-2</v>
      </c>
      <c r="M3086" s="11">
        <v>1.1000000000000001E-2</v>
      </c>
      <c r="N3086">
        <v>56.18</v>
      </c>
      <c r="O3086">
        <v>78.2</v>
      </c>
      <c r="P3086">
        <v>2</v>
      </c>
      <c r="Q3086" t="s">
        <v>37</v>
      </c>
      <c r="R3086">
        <v>84.405000000000001</v>
      </c>
      <c r="S3086">
        <v>5.85</v>
      </c>
      <c r="T3086" s="4">
        <v>61.869</v>
      </c>
      <c r="U3086" s="4">
        <v>74.063220000000001</v>
      </c>
      <c r="V3086" t="str">
        <f>IF(Table1[[#This Row],[ai_disruption_intensity]]&gt;70,"High",
IF(Table1[[#This Row],[ai_disruption_intensity]]&gt;40,"Medium","Low"))</f>
        <v>High</v>
      </c>
      <c r="W3086" t="str">
        <f>IF(Table1[[#This Row],[skill_gap_index]]&gt;70,"Large Gap",
IF(Table1[[#This Row],[skill_gap_index]]&gt;40,"Medium Gap","Small Gap"))</f>
        <v>Large Gap</v>
      </c>
      <c r="X3086" s="3" t="str">
        <f>IF(Table1[[#This Row],[automation_risk_percent]]&gt;0.7,"Highly Automatable",
IF(Table1[[#This Row],[automation_risk_percent]]&gt;0.4,"Moderate Risk","Safe Job"))</f>
        <v>Highly Automatable</v>
      </c>
    </row>
    <row r="3087" spans="1:24" x14ac:dyDescent="0.3">
      <c r="A3087">
        <v>10789</v>
      </c>
      <c r="B3087" t="s">
        <v>26</v>
      </c>
      <c r="C3087" t="s">
        <v>33</v>
      </c>
      <c r="D3087" t="s">
        <v>35</v>
      </c>
      <c r="E3087" s="1">
        <v>2025</v>
      </c>
      <c r="F3087" s="11">
        <v>0.49990000000000001</v>
      </c>
      <c r="G3087">
        <v>52.62</v>
      </c>
      <c r="H3087">
        <v>3.31</v>
      </c>
      <c r="I3087" s="2">
        <v>133483.15</v>
      </c>
      <c r="J3087" s="2">
        <v>119324.86</v>
      </c>
      <c r="K3087" s="2">
        <f>Table1[[#This Row],[Salary_after]]-Table1[[#This Row],[Salary_before]]</f>
        <v>-14158.289999999994</v>
      </c>
      <c r="L3087" s="11">
        <v>-0.1061</v>
      </c>
      <c r="M3087" s="11">
        <v>-3.27E-2</v>
      </c>
      <c r="N3087">
        <v>15.27</v>
      </c>
      <c r="O3087">
        <v>25.03</v>
      </c>
      <c r="P3087">
        <v>5</v>
      </c>
      <c r="Q3087" t="s">
        <v>25</v>
      </c>
      <c r="R3087">
        <v>26.65</v>
      </c>
      <c r="S3087">
        <v>10.61</v>
      </c>
      <c r="T3087" s="4">
        <v>24.172000000000001</v>
      </c>
      <c r="U3087" s="4">
        <v>12.512497</v>
      </c>
      <c r="V3087" t="str">
        <f>IF(Table1[[#This Row],[ai_disruption_intensity]]&gt;70,"High",
IF(Table1[[#This Row],[ai_disruption_intensity]]&gt;40,"Medium","Low"))</f>
        <v>Low</v>
      </c>
      <c r="W3087" t="str">
        <f>IF(Table1[[#This Row],[skill_gap_index]]&gt;70,"Large Gap",
IF(Table1[[#This Row],[skill_gap_index]]&gt;40,"Medium Gap","Small Gap"))</f>
        <v>Small Gap</v>
      </c>
      <c r="X3087" s="3" t="str">
        <f>IF(Table1[[#This Row],[automation_risk_percent]]&gt;0.7,"Highly Automatable",
IF(Table1[[#This Row],[automation_risk_percent]]&gt;0.4,"Moderate Risk","Safe Job"))</f>
        <v>Moderate Risk</v>
      </c>
    </row>
    <row r="3088" spans="1:24" x14ac:dyDescent="0.3">
      <c r="A3088">
        <v>10793</v>
      </c>
      <c r="B3088" t="s">
        <v>22</v>
      </c>
      <c r="C3088" t="s">
        <v>23</v>
      </c>
      <c r="D3088" t="s">
        <v>35</v>
      </c>
      <c r="E3088" s="1">
        <v>2026</v>
      </c>
      <c r="F3088" s="11">
        <v>0.71920000000000006</v>
      </c>
      <c r="G3088">
        <v>59.04</v>
      </c>
      <c r="H3088">
        <v>11.55</v>
      </c>
      <c r="I3088" s="2">
        <v>32206.9</v>
      </c>
      <c r="J3088" s="2">
        <v>34995.24</v>
      </c>
      <c r="K3088" s="2">
        <f>Table1[[#This Row],[Salary_after]]-Table1[[#This Row],[Salary_before]]</f>
        <v>2788.3399999999965</v>
      </c>
      <c r="L3088" s="11">
        <v>8.6599999999999996E-2</v>
      </c>
      <c r="M3088" s="11">
        <v>9.3399999999999997E-2</v>
      </c>
      <c r="N3088">
        <v>81.7</v>
      </c>
      <c r="O3088">
        <v>62.63</v>
      </c>
      <c r="P3088">
        <v>1</v>
      </c>
      <c r="Q3088" t="s">
        <v>37</v>
      </c>
      <c r="R3088">
        <v>41.734999999999999</v>
      </c>
      <c r="S3088">
        <v>8.66</v>
      </c>
      <c r="T3088" s="4">
        <v>34.831000000000003</v>
      </c>
      <c r="U3088" s="4">
        <v>45.043495999999998</v>
      </c>
      <c r="V3088" t="str">
        <f>IF(Table1[[#This Row],[ai_disruption_intensity]]&gt;70,"High",
IF(Table1[[#This Row],[ai_disruption_intensity]]&gt;40,"Medium","Low"))</f>
        <v>Medium</v>
      </c>
      <c r="W3088" t="str">
        <f>IF(Table1[[#This Row],[skill_gap_index]]&gt;70,"Large Gap",
IF(Table1[[#This Row],[skill_gap_index]]&gt;40,"Medium Gap","Small Gap"))</f>
        <v>Small Gap</v>
      </c>
      <c r="X3088" s="3" t="str">
        <f>IF(Table1[[#This Row],[automation_risk_percent]]&gt;0.7,"Highly Automatable",
IF(Table1[[#This Row],[automation_risk_percent]]&gt;0.4,"Moderate Risk","Safe Job"))</f>
        <v>Highly Automatable</v>
      </c>
    </row>
    <row r="3089" spans="1:24" x14ac:dyDescent="0.3">
      <c r="A3089">
        <v>10794</v>
      </c>
      <c r="B3089" t="s">
        <v>45</v>
      </c>
      <c r="C3089" t="s">
        <v>34</v>
      </c>
      <c r="D3089" t="s">
        <v>24</v>
      </c>
      <c r="E3089" s="1">
        <v>2026</v>
      </c>
      <c r="F3089" s="11">
        <v>0.6502</v>
      </c>
      <c r="G3089">
        <v>63.89</v>
      </c>
      <c r="H3089">
        <v>90.64</v>
      </c>
      <c r="I3089" s="2">
        <v>85189.05</v>
      </c>
      <c r="J3089" s="2">
        <v>80967.81</v>
      </c>
      <c r="K3089" s="2">
        <f>Table1[[#This Row],[Salary_after]]-Table1[[#This Row],[Salary_before]]</f>
        <v>-4221.2400000000052</v>
      </c>
      <c r="L3089" s="11">
        <v>-4.9599999999999998E-2</v>
      </c>
      <c r="M3089" s="11">
        <v>0.10949999999999999</v>
      </c>
      <c r="N3089">
        <v>38.61</v>
      </c>
      <c r="O3089">
        <v>69.5</v>
      </c>
      <c r="P3089">
        <v>4</v>
      </c>
      <c r="Q3089" t="s">
        <v>37</v>
      </c>
      <c r="R3089">
        <v>77.83</v>
      </c>
      <c r="S3089">
        <v>4.96</v>
      </c>
      <c r="T3089" s="4">
        <v>54.688000000000002</v>
      </c>
      <c r="U3089" s="4">
        <v>45.188899999999997</v>
      </c>
      <c r="V3089" t="str">
        <f>IF(Table1[[#This Row],[ai_disruption_intensity]]&gt;70,"High",
IF(Table1[[#This Row],[ai_disruption_intensity]]&gt;40,"Medium","Low"))</f>
        <v>Medium</v>
      </c>
      <c r="W3089" t="str">
        <f>IF(Table1[[#This Row],[skill_gap_index]]&gt;70,"Large Gap",
IF(Table1[[#This Row],[skill_gap_index]]&gt;40,"Medium Gap","Small Gap"))</f>
        <v>Large Gap</v>
      </c>
      <c r="X3089" s="3" t="str">
        <f>IF(Table1[[#This Row],[automation_risk_percent]]&gt;0.7,"Highly Automatable",
IF(Table1[[#This Row],[automation_risk_percent]]&gt;0.4,"Moderate Risk","Safe Job"))</f>
        <v>Moderate Risk</v>
      </c>
    </row>
    <row r="3090" spans="1:24" x14ac:dyDescent="0.3">
      <c r="A3090">
        <v>10795</v>
      </c>
      <c r="B3090" t="s">
        <v>45</v>
      </c>
      <c r="C3090" t="s">
        <v>30</v>
      </c>
      <c r="D3090" t="s">
        <v>35</v>
      </c>
      <c r="E3090" s="1">
        <v>2025</v>
      </c>
      <c r="F3090" s="11">
        <v>0.50170000000000003</v>
      </c>
      <c r="G3090">
        <v>57.99</v>
      </c>
      <c r="H3090">
        <v>47.77</v>
      </c>
      <c r="I3090" s="2">
        <v>110694.33</v>
      </c>
      <c r="J3090" s="2">
        <v>113943.15</v>
      </c>
      <c r="K3090" s="2">
        <f>Table1[[#This Row],[Salary_after]]-Table1[[#This Row],[Salary_before]]</f>
        <v>3248.8199999999924</v>
      </c>
      <c r="L3090" s="11">
        <v>2.9300000000000003E-2</v>
      </c>
      <c r="M3090" s="11">
        <v>3.44E-2</v>
      </c>
      <c r="N3090">
        <v>43.28</v>
      </c>
      <c r="O3090">
        <v>53.95</v>
      </c>
      <c r="P3090">
        <v>4</v>
      </c>
      <c r="Q3090" t="s">
        <v>25</v>
      </c>
      <c r="R3090">
        <v>48.97</v>
      </c>
      <c r="S3090">
        <v>2.93</v>
      </c>
      <c r="T3090" s="4">
        <v>35.277999999999999</v>
      </c>
      <c r="U3090" s="4">
        <v>27.066714999999999</v>
      </c>
      <c r="V3090" t="str">
        <f>IF(Table1[[#This Row],[ai_disruption_intensity]]&gt;70,"High",
IF(Table1[[#This Row],[ai_disruption_intensity]]&gt;40,"Medium","Low"))</f>
        <v>Low</v>
      </c>
      <c r="W3090" t="str">
        <f>IF(Table1[[#This Row],[skill_gap_index]]&gt;70,"Large Gap",
IF(Table1[[#This Row],[skill_gap_index]]&gt;40,"Medium Gap","Small Gap"))</f>
        <v>Medium Gap</v>
      </c>
      <c r="X3090" s="3" t="str">
        <f>IF(Table1[[#This Row],[automation_risk_percent]]&gt;0.7,"Highly Automatable",
IF(Table1[[#This Row],[automation_risk_percent]]&gt;0.4,"Moderate Risk","Safe Job"))</f>
        <v>Moderate Risk</v>
      </c>
    </row>
    <row r="3091" spans="1:24" x14ac:dyDescent="0.3">
      <c r="A3091">
        <v>10797</v>
      </c>
      <c r="B3091" t="s">
        <v>22</v>
      </c>
      <c r="C3091" t="s">
        <v>34</v>
      </c>
      <c r="D3091" t="s">
        <v>28</v>
      </c>
      <c r="E3091" s="1">
        <v>2026</v>
      </c>
      <c r="F3091" s="11">
        <v>0.39119999999999999</v>
      </c>
      <c r="G3091">
        <v>39.86</v>
      </c>
      <c r="H3091">
        <v>84.24</v>
      </c>
      <c r="I3091" s="2">
        <v>46838.41</v>
      </c>
      <c r="J3091" s="2">
        <v>39898.69</v>
      </c>
      <c r="K3091" s="2">
        <f>Table1[[#This Row],[Salary_after]]-Table1[[#This Row],[Salary_before]]</f>
        <v>-6939.7200000000012</v>
      </c>
      <c r="L3091" s="11">
        <v>-0.1482</v>
      </c>
      <c r="M3091" s="11">
        <v>0.17530000000000001</v>
      </c>
      <c r="N3091">
        <v>88.26</v>
      </c>
      <c r="O3091">
        <v>66.12</v>
      </c>
      <c r="P3091">
        <v>2</v>
      </c>
      <c r="Q3091" t="s">
        <v>25</v>
      </c>
      <c r="R3091">
        <v>61.6799999999999</v>
      </c>
      <c r="S3091">
        <v>14.82</v>
      </c>
      <c r="T3091" s="4">
        <v>45.366</v>
      </c>
      <c r="U3091" s="4">
        <v>25.866143999999998</v>
      </c>
      <c r="V3091" t="str">
        <f>IF(Table1[[#This Row],[ai_disruption_intensity]]&gt;70,"High",
IF(Table1[[#This Row],[ai_disruption_intensity]]&gt;40,"Medium","Low"))</f>
        <v>Low</v>
      </c>
      <c r="W3091" t="str">
        <f>IF(Table1[[#This Row],[skill_gap_index]]&gt;70,"Large Gap",
IF(Table1[[#This Row],[skill_gap_index]]&gt;40,"Medium Gap","Small Gap"))</f>
        <v>Large Gap</v>
      </c>
      <c r="X3091" s="3" t="str">
        <f>IF(Table1[[#This Row],[automation_risk_percent]]&gt;0.7,"Highly Automatable",
IF(Table1[[#This Row],[automation_risk_percent]]&gt;0.4,"Moderate Risk","Safe Job"))</f>
        <v>Safe Job</v>
      </c>
    </row>
    <row r="3092" spans="1:24" x14ac:dyDescent="0.3">
      <c r="A3092">
        <v>10798</v>
      </c>
      <c r="B3092" t="s">
        <v>46</v>
      </c>
      <c r="C3092" t="s">
        <v>34</v>
      </c>
      <c r="D3092" t="s">
        <v>47</v>
      </c>
      <c r="E3092" s="1">
        <v>2026</v>
      </c>
      <c r="F3092" s="11">
        <v>0.1016</v>
      </c>
      <c r="G3092">
        <v>9.34</v>
      </c>
      <c r="H3092">
        <v>3.62</v>
      </c>
      <c r="I3092" s="2">
        <v>122467.38</v>
      </c>
      <c r="J3092" s="2">
        <v>115493.78</v>
      </c>
      <c r="K3092" s="2">
        <f>Table1[[#This Row],[Salary_after]]-Table1[[#This Row],[Salary_before]]</f>
        <v>-6973.6000000000058</v>
      </c>
      <c r="L3092" s="11">
        <v>-5.6900000000000006E-2</v>
      </c>
      <c r="M3092" s="11">
        <v>3.9E-2</v>
      </c>
      <c r="N3092">
        <v>11.21</v>
      </c>
      <c r="O3092">
        <v>95.55</v>
      </c>
      <c r="P3092">
        <v>1</v>
      </c>
      <c r="Q3092" t="s">
        <v>21</v>
      </c>
      <c r="R3092">
        <v>6.89</v>
      </c>
      <c r="S3092">
        <v>5.69</v>
      </c>
      <c r="T3092" s="4">
        <v>6.8570000000000002</v>
      </c>
      <c r="U3092" s="4">
        <v>9.7078799999999994</v>
      </c>
      <c r="V3092" t="str">
        <f>IF(Table1[[#This Row],[ai_disruption_intensity]]&gt;70,"High",
IF(Table1[[#This Row],[ai_disruption_intensity]]&gt;40,"Medium","Low"))</f>
        <v>Low</v>
      </c>
      <c r="W3092" t="str">
        <f>IF(Table1[[#This Row],[skill_gap_index]]&gt;70,"Large Gap",
IF(Table1[[#This Row],[skill_gap_index]]&gt;40,"Medium Gap","Small Gap"))</f>
        <v>Small Gap</v>
      </c>
      <c r="X3092" s="3" t="str">
        <f>IF(Table1[[#This Row],[automation_risk_percent]]&gt;0.7,"Highly Automatable",
IF(Table1[[#This Row],[automation_risk_percent]]&gt;0.4,"Moderate Risk","Safe Job"))</f>
        <v>Safe Job</v>
      </c>
    </row>
    <row r="3093" spans="1:24" x14ac:dyDescent="0.3">
      <c r="A3093">
        <v>10802</v>
      </c>
      <c r="B3093" t="s">
        <v>46</v>
      </c>
      <c r="C3093" t="s">
        <v>34</v>
      </c>
      <c r="D3093" t="s">
        <v>36</v>
      </c>
      <c r="E3093" s="1">
        <v>2026</v>
      </c>
      <c r="F3093" s="11">
        <v>0.27100000000000002</v>
      </c>
      <c r="G3093">
        <v>29.93</v>
      </c>
      <c r="H3093">
        <v>74.92</v>
      </c>
      <c r="I3093" s="2">
        <v>47373.42</v>
      </c>
      <c r="J3093" s="2">
        <v>48373.32</v>
      </c>
      <c r="K3093" s="2">
        <f>Table1[[#This Row],[Salary_after]]-Table1[[#This Row],[Salary_before]]</f>
        <v>999.90000000000146</v>
      </c>
      <c r="L3093" s="11">
        <v>2.1099999999999997E-2</v>
      </c>
      <c r="M3093" s="11">
        <v>-8.8200000000000001E-2</v>
      </c>
      <c r="N3093">
        <v>71.58</v>
      </c>
      <c r="O3093">
        <v>75.23</v>
      </c>
      <c r="P3093">
        <v>4</v>
      </c>
      <c r="Q3093" t="s">
        <v>21</v>
      </c>
      <c r="R3093">
        <v>51.01</v>
      </c>
      <c r="S3093">
        <v>2.11</v>
      </c>
      <c r="T3093" s="4">
        <v>33.948999999999998</v>
      </c>
      <c r="U3093" s="4">
        <v>20.387329999999999</v>
      </c>
      <c r="V3093" t="str">
        <f>IF(Table1[[#This Row],[ai_disruption_intensity]]&gt;70,"High",
IF(Table1[[#This Row],[ai_disruption_intensity]]&gt;40,"Medium","Low"))</f>
        <v>Low</v>
      </c>
      <c r="W3093" t="str">
        <f>IF(Table1[[#This Row],[skill_gap_index]]&gt;70,"Large Gap",
IF(Table1[[#This Row],[skill_gap_index]]&gt;40,"Medium Gap","Small Gap"))</f>
        <v>Large Gap</v>
      </c>
      <c r="X3093" s="3" t="str">
        <f>IF(Table1[[#This Row],[automation_risk_percent]]&gt;0.7,"Highly Automatable",
IF(Table1[[#This Row],[automation_risk_percent]]&gt;0.4,"Moderate Risk","Safe Job"))</f>
        <v>Safe Job</v>
      </c>
    </row>
    <row r="3094" spans="1:24" x14ac:dyDescent="0.3">
      <c r="A3094">
        <v>10805</v>
      </c>
      <c r="B3094" t="s">
        <v>39</v>
      </c>
      <c r="C3094" t="s">
        <v>30</v>
      </c>
      <c r="D3094" t="s">
        <v>36</v>
      </c>
      <c r="E3094" s="1">
        <v>2025</v>
      </c>
      <c r="F3094" s="11">
        <v>0.47850000000000004</v>
      </c>
      <c r="G3094">
        <v>42.84</v>
      </c>
      <c r="H3094">
        <v>83.21</v>
      </c>
      <c r="I3094" s="2">
        <v>139666.89000000001</v>
      </c>
      <c r="J3094" s="2">
        <v>105931.76</v>
      </c>
      <c r="K3094" s="2">
        <f>Table1[[#This Row],[Salary_after]]-Table1[[#This Row],[Salary_before]]</f>
        <v>-33735.130000000019</v>
      </c>
      <c r="L3094" s="11">
        <v>-0.24149999999999999</v>
      </c>
      <c r="M3094" s="11">
        <v>-8.8000000000000009E-2</v>
      </c>
      <c r="N3094">
        <v>39.54</v>
      </c>
      <c r="O3094">
        <v>26.68</v>
      </c>
      <c r="P3094">
        <v>2</v>
      </c>
      <c r="Q3094" t="s">
        <v>25</v>
      </c>
      <c r="R3094">
        <v>65.53</v>
      </c>
      <c r="S3094">
        <v>24.15</v>
      </c>
      <c r="T3094" s="4">
        <v>51.3479999999999</v>
      </c>
      <c r="U3094" s="4">
        <v>12.76638</v>
      </c>
      <c r="V3094" t="str">
        <f>IF(Table1[[#This Row],[ai_disruption_intensity]]&gt;70,"High",
IF(Table1[[#This Row],[ai_disruption_intensity]]&gt;40,"Medium","Low"))</f>
        <v>Low</v>
      </c>
      <c r="W3094" t="str">
        <f>IF(Table1[[#This Row],[skill_gap_index]]&gt;70,"Large Gap",
IF(Table1[[#This Row],[skill_gap_index]]&gt;40,"Medium Gap","Small Gap"))</f>
        <v>Large Gap</v>
      </c>
      <c r="X3094" s="3" t="str">
        <f>IF(Table1[[#This Row],[automation_risk_percent]]&gt;0.7,"Highly Automatable",
IF(Table1[[#This Row],[automation_risk_percent]]&gt;0.4,"Moderate Risk","Safe Job"))</f>
        <v>Moderate Risk</v>
      </c>
    </row>
    <row r="3095" spans="1:24" x14ac:dyDescent="0.3">
      <c r="A3095">
        <v>10807</v>
      </c>
      <c r="B3095" t="s">
        <v>22</v>
      </c>
      <c r="C3095" t="s">
        <v>27</v>
      </c>
      <c r="D3095" t="s">
        <v>35</v>
      </c>
      <c r="E3095" s="1">
        <v>2025</v>
      </c>
      <c r="F3095" s="11">
        <v>0.47409999999999997</v>
      </c>
      <c r="G3095">
        <v>53.93</v>
      </c>
      <c r="H3095">
        <v>72.78</v>
      </c>
      <c r="I3095" s="2">
        <v>132099.88</v>
      </c>
      <c r="J3095" s="2">
        <v>138157.09</v>
      </c>
      <c r="K3095" s="2">
        <f>Table1[[#This Row],[Salary_after]]-Table1[[#This Row],[Salary_before]]</f>
        <v>6057.2099999999919</v>
      </c>
      <c r="L3095" s="11">
        <v>4.5899999999999996E-2</v>
      </c>
      <c r="M3095" s="11">
        <v>-2.3700000000000002E-2</v>
      </c>
      <c r="N3095">
        <v>52.22</v>
      </c>
      <c r="O3095">
        <v>32.32</v>
      </c>
      <c r="P3095">
        <v>2</v>
      </c>
      <c r="Q3095" t="s">
        <v>25</v>
      </c>
      <c r="R3095">
        <v>60.094999999999999</v>
      </c>
      <c r="S3095">
        <v>4.59</v>
      </c>
      <c r="T3095" s="4">
        <v>42.174999999999997</v>
      </c>
      <c r="U3095" s="4">
        <v>15.322911999999899</v>
      </c>
      <c r="V3095" t="str">
        <f>IF(Table1[[#This Row],[ai_disruption_intensity]]&gt;70,"High",
IF(Table1[[#This Row],[ai_disruption_intensity]]&gt;40,"Medium","Low"))</f>
        <v>Low</v>
      </c>
      <c r="W3095" t="str">
        <f>IF(Table1[[#This Row],[skill_gap_index]]&gt;70,"Large Gap",
IF(Table1[[#This Row],[skill_gap_index]]&gt;40,"Medium Gap","Small Gap"))</f>
        <v>Large Gap</v>
      </c>
      <c r="X3095" s="3" t="str">
        <f>IF(Table1[[#This Row],[automation_risk_percent]]&gt;0.7,"Highly Automatable",
IF(Table1[[#This Row],[automation_risk_percent]]&gt;0.4,"Moderate Risk","Safe Job"))</f>
        <v>Moderate Risk</v>
      </c>
    </row>
    <row r="3096" spans="1:24" x14ac:dyDescent="0.3">
      <c r="A3096">
        <v>10809</v>
      </c>
      <c r="B3096" t="s">
        <v>41</v>
      </c>
      <c r="C3096" t="s">
        <v>27</v>
      </c>
      <c r="D3096" t="s">
        <v>42</v>
      </c>
      <c r="E3096" s="1">
        <v>2025</v>
      </c>
      <c r="F3096" s="11">
        <v>0.28089999999999998</v>
      </c>
      <c r="G3096">
        <v>29.45</v>
      </c>
      <c r="H3096">
        <v>1.24</v>
      </c>
      <c r="I3096" s="2">
        <v>61288.18</v>
      </c>
      <c r="J3096" s="2">
        <v>66820.429999999993</v>
      </c>
      <c r="K3096" s="2">
        <f>Table1[[#This Row],[Salary_after]]-Table1[[#This Row],[Salary_before]]</f>
        <v>5532.2499999999927</v>
      </c>
      <c r="L3096" s="11">
        <v>9.0299999999999991E-2</v>
      </c>
      <c r="M3096" s="11">
        <v>-3.4799999999999998E-2</v>
      </c>
      <c r="N3096">
        <v>50.56</v>
      </c>
      <c r="O3096">
        <v>57.32</v>
      </c>
      <c r="P3096">
        <v>3</v>
      </c>
      <c r="Q3096" t="s">
        <v>21</v>
      </c>
      <c r="R3096">
        <v>14.664999999999999</v>
      </c>
      <c r="S3096">
        <v>9.0299999999999994</v>
      </c>
      <c r="T3096" s="4">
        <v>14.317</v>
      </c>
      <c r="U3096" s="4">
        <v>16.101188</v>
      </c>
      <c r="V3096" t="str">
        <f>IF(Table1[[#This Row],[ai_disruption_intensity]]&gt;70,"High",
IF(Table1[[#This Row],[ai_disruption_intensity]]&gt;40,"Medium","Low"))</f>
        <v>Low</v>
      </c>
      <c r="W3096" t="str">
        <f>IF(Table1[[#This Row],[skill_gap_index]]&gt;70,"Large Gap",
IF(Table1[[#This Row],[skill_gap_index]]&gt;40,"Medium Gap","Small Gap"))</f>
        <v>Small Gap</v>
      </c>
      <c r="X3096" s="3" t="str">
        <f>IF(Table1[[#This Row],[automation_risk_percent]]&gt;0.7,"Highly Automatable",
IF(Table1[[#This Row],[automation_risk_percent]]&gt;0.4,"Moderate Risk","Safe Job"))</f>
        <v>Safe Job</v>
      </c>
    </row>
    <row r="3097" spans="1:24" x14ac:dyDescent="0.3">
      <c r="A3097">
        <v>10814</v>
      </c>
      <c r="B3097" t="s">
        <v>44</v>
      </c>
      <c r="C3097" t="s">
        <v>23</v>
      </c>
      <c r="D3097" t="s">
        <v>36</v>
      </c>
      <c r="E3097" s="1">
        <v>2025</v>
      </c>
      <c r="F3097" s="11">
        <v>0.74010000000000009</v>
      </c>
      <c r="G3097">
        <v>86.19</v>
      </c>
      <c r="H3097">
        <v>24.15</v>
      </c>
      <c r="I3097" s="2">
        <v>143569.26</v>
      </c>
      <c r="J3097" s="2">
        <v>150336.10999999999</v>
      </c>
      <c r="K3097" s="2">
        <f>Table1[[#This Row],[Salary_after]]-Table1[[#This Row],[Salary_before]]</f>
        <v>6766.8499999999767</v>
      </c>
      <c r="L3097" s="11">
        <v>4.7100000000000003E-2</v>
      </c>
      <c r="M3097" s="11">
        <v>1.41E-2</v>
      </c>
      <c r="N3097">
        <v>62.3</v>
      </c>
      <c r="O3097">
        <v>83.87</v>
      </c>
      <c r="P3097">
        <v>5</v>
      </c>
      <c r="Q3097" t="s">
        <v>37</v>
      </c>
      <c r="R3097">
        <v>49.08</v>
      </c>
      <c r="S3097">
        <v>4.71</v>
      </c>
      <c r="T3097" s="4">
        <v>38.262</v>
      </c>
      <c r="U3097" s="4">
        <v>62.072187</v>
      </c>
      <c r="V3097" t="str">
        <f>IF(Table1[[#This Row],[ai_disruption_intensity]]&gt;70,"High",
IF(Table1[[#This Row],[ai_disruption_intensity]]&gt;40,"Medium","Low"))</f>
        <v>Medium</v>
      </c>
      <c r="W3097" t="str">
        <f>IF(Table1[[#This Row],[skill_gap_index]]&gt;70,"Large Gap",
IF(Table1[[#This Row],[skill_gap_index]]&gt;40,"Medium Gap","Small Gap"))</f>
        <v>Small Gap</v>
      </c>
      <c r="X3097" s="3" t="str">
        <f>IF(Table1[[#This Row],[automation_risk_percent]]&gt;0.7,"Highly Automatable",
IF(Table1[[#This Row],[automation_risk_percent]]&gt;0.4,"Moderate Risk","Safe Job"))</f>
        <v>Highly Automatable</v>
      </c>
    </row>
    <row r="3098" spans="1:24" x14ac:dyDescent="0.3">
      <c r="A3098">
        <v>10815</v>
      </c>
      <c r="B3098" t="s">
        <v>29</v>
      </c>
      <c r="C3098" t="s">
        <v>23</v>
      </c>
      <c r="D3098" t="s">
        <v>36</v>
      </c>
      <c r="E3098" s="1">
        <v>2026</v>
      </c>
      <c r="F3098" s="11">
        <v>0.9376000000000001</v>
      </c>
      <c r="G3098">
        <v>107.85</v>
      </c>
      <c r="H3098">
        <v>81.650000000000006</v>
      </c>
      <c r="I3098" s="2">
        <v>54780.61</v>
      </c>
      <c r="J3098" s="2">
        <v>53785.58</v>
      </c>
      <c r="K3098" s="2">
        <f>Table1[[#This Row],[Salary_after]]-Table1[[#This Row],[Salary_before]]</f>
        <v>-995.02999999999884</v>
      </c>
      <c r="L3098" s="11">
        <v>-1.8200000000000001E-2</v>
      </c>
      <c r="M3098" s="11">
        <v>6.9599999999999995E-2</v>
      </c>
      <c r="N3098">
        <v>56.14</v>
      </c>
      <c r="O3098">
        <v>50.23</v>
      </c>
      <c r="P3098">
        <v>2</v>
      </c>
      <c r="Q3098" t="s">
        <v>37</v>
      </c>
      <c r="R3098">
        <v>87.704999999999998</v>
      </c>
      <c r="S3098">
        <v>1.82</v>
      </c>
      <c r="T3098" s="4">
        <v>62.545000000000002</v>
      </c>
      <c r="U3098" s="4">
        <v>47.095647999999997</v>
      </c>
      <c r="V3098" t="str">
        <f>IF(Table1[[#This Row],[ai_disruption_intensity]]&gt;70,"High",
IF(Table1[[#This Row],[ai_disruption_intensity]]&gt;40,"Medium","Low"))</f>
        <v>Medium</v>
      </c>
      <c r="W3098" t="str">
        <f>IF(Table1[[#This Row],[skill_gap_index]]&gt;70,"Large Gap",
IF(Table1[[#This Row],[skill_gap_index]]&gt;40,"Medium Gap","Small Gap"))</f>
        <v>Large Gap</v>
      </c>
      <c r="X3098" s="3" t="str">
        <f>IF(Table1[[#This Row],[automation_risk_percent]]&gt;0.7,"Highly Automatable",
IF(Table1[[#This Row],[automation_risk_percent]]&gt;0.4,"Moderate Risk","Safe Job"))</f>
        <v>Highly Automatable</v>
      </c>
    </row>
    <row r="3099" spans="1:24" x14ac:dyDescent="0.3">
      <c r="A3099">
        <v>10827</v>
      </c>
      <c r="B3099" t="s">
        <v>44</v>
      </c>
      <c r="C3099" t="s">
        <v>27</v>
      </c>
      <c r="D3099" t="s">
        <v>20</v>
      </c>
      <c r="E3099" s="1">
        <v>2026</v>
      </c>
      <c r="F3099" s="11">
        <v>0.16159999999999999</v>
      </c>
      <c r="G3099">
        <v>18.47</v>
      </c>
      <c r="H3099">
        <v>76.12</v>
      </c>
      <c r="I3099" s="2">
        <v>74753.77</v>
      </c>
      <c r="J3099" s="2">
        <v>78913.69</v>
      </c>
      <c r="K3099" s="2">
        <f>Table1[[#This Row],[Salary_after]]-Table1[[#This Row],[Salary_before]]</f>
        <v>4159.9199999999983</v>
      </c>
      <c r="L3099" s="11">
        <v>5.5599999999999997E-2</v>
      </c>
      <c r="M3099" s="11">
        <v>1.7100000000000001E-2</v>
      </c>
      <c r="N3099">
        <v>18.91</v>
      </c>
      <c r="O3099">
        <v>68.959999999999994</v>
      </c>
      <c r="P3099">
        <v>5</v>
      </c>
      <c r="Q3099" t="s">
        <v>21</v>
      </c>
      <c r="R3099">
        <v>46.14</v>
      </c>
      <c r="S3099">
        <v>5.56</v>
      </c>
      <c r="T3099" s="4">
        <v>30.968</v>
      </c>
      <c r="U3099" s="4">
        <v>11.143935999999901</v>
      </c>
      <c r="V3099" t="str">
        <f>IF(Table1[[#This Row],[ai_disruption_intensity]]&gt;70,"High",
IF(Table1[[#This Row],[ai_disruption_intensity]]&gt;40,"Medium","Low"))</f>
        <v>Low</v>
      </c>
      <c r="W3099" t="str">
        <f>IF(Table1[[#This Row],[skill_gap_index]]&gt;70,"Large Gap",
IF(Table1[[#This Row],[skill_gap_index]]&gt;40,"Medium Gap","Small Gap"))</f>
        <v>Large Gap</v>
      </c>
      <c r="X3099" s="3" t="str">
        <f>IF(Table1[[#This Row],[automation_risk_percent]]&gt;0.7,"Highly Automatable",
IF(Table1[[#This Row],[automation_risk_percent]]&gt;0.4,"Moderate Risk","Safe Job"))</f>
        <v>Safe Job</v>
      </c>
    </row>
    <row r="3100" spans="1:24" x14ac:dyDescent="0.3">
      <c r="A3100">
        <v>10832</v>
      </c>
      <c r="B3100" t="s">
        <v>29</v>
      </c>
      <c r="C3100" t="s">
        <v>23</v>
      </c>
      <c r="D3100" t="s">
        <v>32</v>
      </c>
      <c r="E3100" s="1">
        <v>2026</v>
      </c>
      <c r="F3100" s="11">
        <v>0.89190000000000003</v>
      </c>
      <c r="G3100">
        <v>101.15</v>
      </c>
      <c r="H3100">
        <v>76.89</v>
      </c>
      <c r="I3100" s="2">
        <v>113614.15</v>
      </c>
      <c r="J3100" s="2">
        <v>129807.94</v>
      </c>
      <c r="K3100" s="2">
        <f>Table1[[#This Row],[Salary_after]]-Table1[[#This Row],[Salary_before]]</f>
        <v>16193.790000000008</v>
      </c>
      <c r="L3100" s="11">
        <v>0.14249999999999999</v>
      </c>
      <c r="M3100" s="11">
        <v>3.5699999999999996E-2</v>
      </c>
      <c r="N3100">
        <v>83.73</v>
      </c>
      <c r="O3100">
        <v>9.85</v>
      </c>
      <c r="P3100">
        <v>5</v>
      </c>
      <c r="Q3100" t="s">
        <v>37</v>
      </c>
      <c r="R3100">
        <v>83.039999999999907</v>
      </c>
      <c r="S3100">
        <v>14.25</v>
      </c>
      <c r="T3100" s="4">
        <v>63.018000000000001</v>
      </c>
      <c r="U3100" s="4">
        <v>8.7852149999999902</v>
      </c>
      <c r="V3100" t="str">
        <f>IF(Table1[[#This Row],[ai_disruption_intensity]]&gt;70,"High",
IF(Table1[[#This Row],[ai_disruption_intensity]]&gt;40,"Medium","Low"))</f>
        <v>Low</v>
      </c>
      <c r="W3100" t="str">
        <f>IF(Table1[[#This Row],[skill_gap_index]]&gt;70,"Large Gap",
IF(Table1[[#This Row],[skill_gap_index]]&gt;40,"Medium Gap","Small Gap"))</f>
        <v>Large Gap</v>
      </c>
      <c r="X3100" s="3" t="str">
        <f>IF(Table1[[#This Row],[automation_risk_percent]]&gt;0.7,"Highly Automatable",
IF(Table1[[#This Row],[automation_risk_percent]]&gt;0.4,"Moderate Risk","Safe Job"))</f>
        <v>Highly Automatable</v>
      </c>
    </row>
    <row r="3101" spans="1:24" x14ac:dyDescent="0.3">
      <c r="A3101">
        <v>10833</v>
      </c>
      <c r="B3101" t="s">
        <v>41</v>
      </c>
      <c r="C3101" t="s">
        <v>30</v>
      </c>
      <c r="D3101" t="s">
        <v>47</v>
      </c>
      <c r="E3101" s="1">
        <v>2026</v>
      </c>
      <c r="F3101" s="11">
        <v>0.48170000000000002</v>
      </c>
      <c r="G3101">
        <v>44.64</v>
      </c>
      <c r="H3101">
        <v>12.46</v>
      </c>
      <c r="I3101" s="2">
        <v>147094.85</v>
      </c>
      <c r="J3101" s="2">
        <v>172618.16</v>
      </c>
      <c r="K3101" s="2">
        <f>Table1[[#This Row],[Salary_after]]-Table1[[#This Row],[Salary_before]]</f>
        <v>25523.309999999998</v>
      </c>
      <c r="L3101" s="11">
        <v>0.17350000000000002</v>
      </c>
      <c r="M3101" s="11">
        <v>0.21149999999999999</v>
      </c>
      <c r="N3101">
        <v>44.42</v>
      </c>
      <c r="O3101">
        <v>76.87</v>
      </c>
      <c r="P3101">
        <v>5</v>
      </c>
      <c r="Q3101" t="s">
        <v>25</v>
      </c>
      <c r="R3101">
        <v>30.315000000000001</v>
      </c>
      <c r="S3101">
        <v>17.350000000000001</v>
      </c>
      <c r="T3101" s="4">
        <v>28.210999999999999</v>
      </c>
      <c r="U3101" s="4">
        <v>37.028278999999998</v>
      </c>
      <c r="V3101" t="str">
        <f>IF(Table1[[#This Row],[ai_disruption_intensity]]&gt;70,"High",
IF(Table1[[#This Row],[ai_disruption_intensity]]&gt;40,"Medium","Low"))</f>
        <v>Low</v>
      </c>
      <c r="W3101" t="str">
        <f>IF(Table1[[#This Row],[skill_gap_index]]&gt;70,"Large Gap",
IF(Table1[[#This Row],[skill_gap_index]]&gt;40,"Medium Gap","Small Gap"))</f>
        <v>Small Gap</v>
      </c>
      <c r="X3101" s="3" t="str">
        <f>IF(Table1[[#This Row],[automation_risk_percent]]&gt;0.7,"Highly Automatable",
IF(Table1[[#This Row],[automation_risk_percent]]&gt;0.4,"Moderate Risk","Safe Job"))</f>
        <v>Moderate Risk</v>
      </c>
    </row>
    <row r="3102" spans="1:24" x14ac:dyDescent="0.3">
      <c r="A3102">
        <v>10836</v>
      </c>
      <c r="B3102" t="s">
        <v>22</v>
      </c>
      <c r="C3102" t="s">
        <v>19</v>
      </c>
      <c r="D3102" t="s">
        <v>32</v>
      </c>
      <c r="E3102" s="1">
        <v>2026</v>
      </c>
      <c r="F3102" s="11">
        <v>0.62480000000000002</v>
      </c>
      <c r="G3102">
        <v>70.23</v>
      </c>
      <c r="H3102">
        <v>99.13</v>
      </c>
      <c r="I3102" s="2">
        <v>146978.45000000001</v>
      </c>
      <c r="J3102" s="2">
        <v>149302.10999999999</v>
      </c>
      <c r="K3102" s="2">
        <f>Table1[[#This Row],[Salary_after]]-Table1[[#This Row],[Salary_before]]</f>
        <v>2323.6599999999744</v>
      </c>
      <c r="L3102" s="11">
        <v>1.5800000000000002E-2</v>
      </c>
      <c r="M3102" s="11">
        <v>0.1444</v>
      </c>
      <c r="N3102">
        <v>37.119999999999997</v>
      </c>
      <c r="O3102">
        <v>72.37</v>
      </c>
      <c r="P3102">
        <v>3</v>
      </c>
      <c r="Q3102" t="s">
        <v>37</v>
      </c>
      <c r="R3102">
        <v>80.804999999999893</v>
      </c>
      <c r="S3102">
        <v>1.58</v>
      </c>
      <c r="T3102" s="4">
        <v>55.204999999999899</v>
      </c>
      <c r="U3102" s="4">
        <v>45.216776000000003</v>
      </c>
      <c r="V3102" t="str">
        <f>IF(Table1[[#This Row],[ai_disruption_intensity]]&gt;70,"High",
IF(Table1[[#This Row],[ai_disruption_intensity]]&gt;40,"Medium","Low"))</f>
        <v>Medium</v>
      </c>
      <c r="W3102" t="str">
        <f>IF(Table1[[#This Row],[skill_gap_index]]&gt;70,"Large Gap",
IF(Table1[[#This Row],[skill_gap_index]]&gt;40,"Medium Gap","Small Gap"))</f>
        <v>Large Gap</v>
      </c>
      <c r="X3102" s="3" t="str">
        <f>IF(Table1[[#This Row],[automation_risk_percent]]&gt;0.7,"Highly Automatable",
IF(Table1[[#This Row],[automation_risk_percent]]&gt;0.4,"Moderate Risk","Safe Job"))</f>
        <v>Moderate Risk</v>
      </c>
    </row>
    <row r="3103" spans="1:24" x14ac:dyDescent="0.3">
      <c r="A3103">
        <v>10837</v>
      </c>
      <c r="B3103" t="s">
        <v>46</v>
      </c>
      <c r="C3103" t="s">
        <v>27</v>
      </c>
      <c r="D3103" t="s">
        <v>35</v>
      </c>
      <c r="E3103" s="1">
        <v>2026</v>
      </c>
      <c r="F3103" s="11">
        <v>0.66449999999999998</v>
      </c>
      <c r="G3103">
        <v>79.48</v>
      </c>
      <c r="H3103">
        <v>61.32</v>
      </c>
      <c r="I3103" s="2">
        <v>114096.31</v>
      </c>
      <c r="J3103" s="2">
        <v>104106.16</v>
      </c>
      <c r="K3103" s="2">
        <f>Table1[[#This Row],[Salary_after]]-Table1[[#This Row],[Salary_before]]</f>
        <v>-9990.1499999999942</v>
      </c>
      <c r="L3103" s="11">
        <v>-8.7599999999999997E-2</v>
      </c>
      <c r="M3103" s="11">
        <v>-1.49E-2</v>
      </c>
      <c r="N3103">
        <v>67.5</v>
      </c>
      <c r="O3103">
        <v>22.51</v>
      </c>
      <c r="P3103">
        <v>5</v>
      </c>
      <c r="Q3103" t="s">
        <v>37</v>
      </c>
      <c r="R3103">
        <v>63.884999999999998</v>
      </c>
      <c r="S3103">
        <v>8.76</v>
      </c>
      <c r="T3103" s="4">
        <v>47.603999999999999</v>
      </c>
      <c r="U3103" s="4">
        <v>14.957895000000001</v>
      </c>
      <c r="V3103" t="str">
        <f>IF(Table1[[#This Row],[ai_disruption_intensity]]&gt;70,"High",
IF(Table1[[#This Row],[ai_disruption_intensity]]&gt;40,"Medium","Low"))</f>
        <v>Low</v>
      </c>
      <c r="W3103" t="str">
        <f>IF(Table1[[#This Row],[skill_gap_index]]&gt;70,"Large Gap",
IF(Table1[[#This Row],[skill_gap_index]]&gt;40,"Medium Gap","Small Gap"))</f>
        <v>Medium Gap</v>
      </c>
      <c r="X3103" s="3" t="str">
        <f>IF(Table1[[#This Row],[automation_risk_percent]]&gt;0.7,"Highly Automatable",
IF(Table1[[#This Row],[automation_risk_percent]]&gt;0.4,"Moderate Risk","Safe Job"))</f>
        <v>Moderate Risk</v>
      </c>
    </row>
    <row r="3104" spans="1:24" x14ac:dyDescent="0.3">
      <c r="A3104">
        <v>10839</v>
      </c>
      <c r="B3104" t="s">
        <v>43</v>
      </c>
      <c r="C3104" t="s">
        <v>33</v>
      </c>
      <c r="D3104" t="s">
        <v>28</v>
      </c>
      <c r="E3104" s="1">
        <v>2025</v>
      </c>
      <c r="F3104" s="11">
        <v>0.64800000000000002</v>
      </c>
      <c r="G3104">
        <v>65.37</v>
      </c>
      <c r="H3104">
        <v>93.31</v>
      </c>
      <c r="I3104" s="2">
        <v>106489.9</v>
      </c>
      <c r="J3104" s="2">
        <v>123138.36</v>
      </c>
      <c r="K3104" s="2">
        <f>Table1[[#This Row],[Salary_after]]-Table1[[#This Row],[Salary_before]]</f>
        <v>16648.460000000006</v>
      </c>
      <c r="L3104" s="11">
        <v>0.15629999999999999</v>
      </c>
      <c r="M3104" s="11">
        <v>4.0500000000000001E-2</v>
      </c>
      <c r="N3104">
        <v>95.83</v>
      </c>
      <c r="O3104">
        <v>33.32</v>
      </c>
      <c r="P3104">
        <v>4</v>
      </c>
      <c r="Q3104" t="s">
        <v>37</v>
      </c>
      <c r="R3104">
        <v>79.055000000000007</v>
      </c>
      <c r="S3104">
        <v>15.63</v>
      </c>
      <c r="T3104" s="4">
        <v>58.601999999999997</v>
      </c>
      <c r="U3104" s="4">
        <v>21.591359999999899</v>
      </c>
      <c r="V3104" t="str">
        <f>IF(Table1[[#This Row],[ai_disruption_intensity]]&gt;70,"High",
IF(Table1[[#This Row],[ai_disruption_intensity]]&gt;40,"Medium","Low"))</f>
        <v>Low</v>
      </c>
      <c r="W3104" t="str">
        <f>IF(Table1[[#This Row],[skill_gap_index]]&gt;70,"Large Gap",
IF(Table1[[#This Row],[skill_gap_index]]&gt;40,"Medium Gap","Small Gap"))</f>
        <v>Large Gap</v>
      </c>
      <c r="X3104" s="3" t="str">
        <f>IF(Table1[[#This Row],[automation_risk_percent]]&gt;0.7,"Highly Automatable",
IF(Table1[[#This Row],[automation_risk_percent]]&gt;0.4,"Moderate Risk","Safe Job"))</f>
        <v>Moderate Risk</v>
      </c>
    </row>
    <row r="3105" spans="1:24" x14ac:dyDescent="0.3">
      <c r="A3105">
        <v>10840</v>
      </c>
      <c r="B3105" t="s">
        <v>43</v>
      </c>
      <c r="C3105" t="s">
        <v>34</v>
      </c>
      <c r="D3105" t="s">
        <v>35</v>
      </c>
      <c r="E3105" s="1">
        <v>2025</v>
      </c>
      <c r="F3105" s="11">
        <v>0.29249999999999998</v>
      </c>
      <c r="G3105">
        <v>25.9</v>
      </c>
      <c r="H3105">
        <v>53.56</v>
      </c>
      <c r="I3105" s="2">
        <v>86188.19</v>
      </c>
      <c r="J3105" s="2">
        <v>93347.86</v>
      </c>
      <c r="K3105" s="2">
        <f>Table1[[#This Row],[Salary_after]]-Table1[[#This Row],[Salary_before]]</f>
        <v>7159.6699999999983</v>
      </c>
      <c r="L3105" s="11">
        <v>8.3100000000000007E-2</v>
      </c>
      <c r="M3105" s="11">
        <v>-4.4699999999999997E-2</v>
      </c>
      <c r="N3105">
        <v>36.78</v>
      </c>
      <c r="O3105">
        <v>75.650000000000006</v>
      </c>
      <c r="P3105">
        <v>2</v>
      </c>
      <c r="Q3105" t="s">
        <v>21</v>
      </c>
      <c r="R3105">
        <v>41.405000000000001</v>
      </c>
      <c r="S3105">
        <v>8.31</v>
      </c>
      <c r="T3105" s="4">
        <v>30.260999999999999</v>
      </c>
      <c r="U3105" s="4">
        <v>22.127624999999998</v>
      </c>
      <c r="V3105" t="str">
        <f>IF(Table1[[#This Row],[ai_disruption_intensity]]&gt;70,"High",
IF(Table1[[#This Row],[ai_disruption_intensity]]&gt;40,"Medium","Low"))</f>
        <v>Low</v>
      </c>
      <c r="W3105" t="str">
        <f>IF(Table1[[#This Row],[skill_gap_index]]&gt;70,"Large Gap",
IF(Table1[[#This Row],[skill_gap_index]]&gt;40,"Medium Gap","Small Gap"))</f>
        <v>Medium Gap</v>
      </c>
      <c r="X3105" s="3" t="str">
        <f>IF(Table1[[#This Row],[automation_risk_percent]]&gt;0.7,"Highly Automatable",
IF(Table1[[#This Row],[automation_risk_percent]]&gt;0.4,"Moderate Risk","Safe Job"))</f>
        <v>Safe Job</v>
      </c>
    </row>
    <row r="3106" spans="1:24" x14ac:dyDescent="0.3">
      <c r="A3106">
        <v>10843</v>
      </c>
      <c r="B3106" t="s">
        <v>41</v>
      </c>
      <c r="C3106" t="s">
        <v>34</v>
      </c>
      <c r="D3106" t="s">
        <v>42</v>
      </c>
      <c r="E3106" s="1">
        <v>2026</v>
      </c>
      <c r="F3106" s="11">
        <v>0.54059999999999997</v>
      </c>
      <c r="G3106">
        <v>50.81</v>
      </c>
      <c r="H3106">
        <v>33.979999999999997</v>
      </c>
      <c r="I3106" s="2">
        <v>49085.34</v>
      </c>
      <c r="J3106" s="2">
        <v>55586.18</v>
      </c>
      <c r="K3106" s="2">
        <f>Table1[[#This Row],[Salary_after]]-Table1[[#This Row],[Salary_before]]</f>
        <v>6500.8400000000038</v>
      </c>
      <c r="L3106" s="11">
        <v>0.13239999999999999</v>
      </c>
      <c r="M3106" s="11">
        <v>2.35E-2</v>
      </c>
      <c r="N3106">
        <v>11.09</v>
      </c>
      <c r="O3106">
        <v>57.49</v>
      </c>
      <c r="P3106">
        <v>5</v>
      </c>
      <c r="Q3106" t="s">
        <v>25</v>
      </c>
      <c r="R3106">
        <v>44.019999999999897</v>
      </c>
      <c r="S3106">
        <v>13.24</v>
      </c>
      <c r="T3106" s="4">
        <v>35.79</v>
      </c>
      <c r="U3106" s="4">
        <v>31.079094000000001</v>
      </c>
      <c r="V3106" t="str">
        <f>IF(Table1[[#This Row],[ai_disruption_intensity]]&gt;70,"High",
IF(Table1[[#This Row],[ai_disruption_intensity]]&gt;40,"Medium","Low"))</f>
        <v>Low</v>
      </c>
      <c r="W3106" t="str">
        <f>IF(Table1[[#This Row],[skill_gap_index]]&gt;70,"Large Gap",
IF(Table1[[#This Row],[skill_gap_index]]&gt;40,"Medium Gap","Small Gap"))</f>
        <v>Small Gap</v>
      </c>
      <c r="X3106" s="3" t="str">
        <f>IF(Table1[[#This Row],[automation_risk_percent]]&gt;0.7,"Highly Automatable",
IF(Table1[[#This Row],[automation_risk_percent]]&gt;0.4,"Moderate Risk","Safe Job"))</f>
        <v>Moderate Risk</v>
      </c>
    </row>
    <row r="3107" spans="1:24" x14ac:dyDescent="0.3">
      <c r="A3107">
        <v>10846</v>
      </c>
      <c r="B3107" t="s">
        <v>41</v>
      </c>
      <c r="C3107" t="s">
        <v>30</v>
      </c>
      <c r="D3107" t="s">
        <v>24</v>
      </c>
      <c r="E3107" s="1">
        <v>2025</v>
      </c>
      <c r="F3107" s="11">
        <v>0.70569999999999988</v>
      </c>
      <c r="G3107">
        <v>76.84</v>
      </c>
      <c r="H3107">
        <v>82.08</v>
      </c>
      <c r="I3107" s="2">
        <v>98939.17</v>
      </c>
      <c r="J3107" s="2">
        <v>91553.1</v>
      </c>
      <c r="K3107" s="2">
        <f>Table1[[#This Row],[Salary_after]]-Table1[[#This Row],[Salary_before]]</f>
        <v>-7386.0699999999924</v>
      </c>
      <c r="L3107" s="11">
        <v>-7.4700000000000003E-2</v>
      </c>
      <c r="M3107" s="11">
        <v>0.1085</v>
      </c>
      <c r="N3107">
        <v>77.150000000000006</v>
      </c>
      <c r="O3107">
        <v>5.81</v>
      </c>
      <c r="P3107">
        <v>5</v>
      </c>
      <c r="Q3107" t="s">
        <v>37</v>
      </c>
      <c r="R3107">
        <v>76.324999999999903</v>
      </c>
      <c r="S3107">
        <v>7.47</v>
      </c>
      <c r="T3107" s="4">
        <v>55.092999999999897</v>
      </c>
      <c r="U3107" s="4">
        <v>4.1001169999999902</v>
      </c>
      <c r="V3107" t="str">
        <f>IF(Table1[[#This Row],[ai_disruption_intensity]]&gt;70,"High",
IF(Table1[[#This Row],[ai_disruption_intensity]]&gt;40,"Medium","Low"))</f>
        <v>Low</v>
      </c>
      <c r="W3107" t="str">
        <f>IF(Table1[[#This Row],[skill_gap_index]]&gt;70,"Large Gap",
IF(Table1[[#This Row],[skill_gap_index]]&gt;40,"Medium Gap","Small Gap"))</f>
        <v>Large Gap</v>
      </c>
      <c r="X3107" s="3" t="str">
        <f>IF(Table1[[#This Row],[automation_risk_percent]]&gt;0.7,"Highly Automatable",
IF(Table1[[#This Row],[automation_risk_percent]]&gt;0.4,"Moderate Risk","Safe Job"))</f>
        <v>Highly Automatable</v>
      </c>
    </row>
    <row r="3108" spans="1:24" x14ac:dyDescent="0.3">
      <c r="A3108">
        <v>10865</v>
      </c>
      <c r="B3108" t="s">
        <v>41</v>
      </c>
      <c r="C3108" t="s">
        <v>38</v>
      </c>
      <c r="D3108" t="s">
        <v>24</v>
      </c>
      <c r="E3108" s="1">
        <v>2026</v>
      </c>
      <c r="F3108" s="11">
        <v>0.64629999999999999</v>
      </c>
      <c r="G3108">
        <v>54.52</v>
      </c>
      <c r="H3108">
        <v>43.66</v>
      </c>
      <c r="I3108" s="2">
        <v>110865.42</v>
      </c>
      <c r="J3108" s="2">
        <v>108857.8</v>
      </c>
      <c r="K3108" s="2">
        <f>Table1[[#This Row],[Salary_after]]-Table1[[#This Row],[Salary_before]]</f>
        <v>-2007.6199999999953</v>
      </c>
      <c r="L3108" s="11">
        <v>-1.8100000000000002E-2</v>
      </c>
      <c r="M3108" s="11">
        <v>7.5600000000000001E-2</v>
      </c>
      <c r="N3108">
        <v>41.97</v>
      </c>
      <c r="O3108">
        <v>36.06</v>
      </c>
      <c r="P3108">
        <v>1</v>
      </c>
      <c r="Q3108" t="s">
        <v>37</v>
      </c>
      <c r="R3108">
        <v>54.144999999999897</v>
      </c>
      <c r="S3108">
        <v>1.81</v>
      </c>
      <c r="T3108" s="4">
        <v>39.493000000000002</v>
      </c>
      <c r="U3108" s="4">
        <v>23.305578000000001</v>
      </c>
      <c r="V3108" t="str">
        <f>IF(Table1[[#This Row],[ai_disruption_intensity]]&gt;70,"High",
IF(Table1[[#This Row],[ai_disruption_intensity]]&gt;40,"Medium","Low"))</f>
        <v>Low</v>
      </c>
      <c r="W3108" t="str">
        <f>IF(Table1[[#This Row],[skill_gap_index]]&gt;70,"Large Gap",
IF(Table1[[#This Row],[skill_gap_index]]&gt;40,"Medium Gap","Small Gap"))</f>
        <v>Medium Gap</v>
      </c>
      <c r="X3108" s="3" t="str">
        <f>IF(Table1[[#This Row],[automation_risk_percent]]&gt;0.7,"Highly Automatable",
IF(Table1[[#This Row],[automation_risk_percent]]&gt;0.4,"Moderate Risk","Safe Job"))</f>
        <v>Moderate Risk</v>
      </c>
    </row>
    <row r="3109" spans="1:24" x14ac:dyDescent="0.3">
      <c r="A3109">
        <v>10866</v>
      </c>
      <c r="B3109" t="s">
        <v>29</v>
      </c>
      <c r="C3109" t="s">
        <v>30</v>
      </c>
      <c r="D3109" t="s">
        <v>36</v>
      </c>
      <c r="E3109" s="1">
        <v>2026</v>
      </c>
      <c r="F3109" s="11">
        <v>0.61709999999999998</v>
      </c>
      <c r="G3109">
        <v>70.67</v>
      </c>
      <c r="H3109">
        <v>39.549999999999997</v>
      </c>
      <c r="I3109" s="2">
        <v>47616.97</v>
      </c>
      <c r="J3109" s="2">
        <v>44953.67</v>
      </c>
      <c r="K3109" s="2">
        <f>Table1[[#This Row],[Salary_after]]-Table1[[#This Row],[Salary_before]]</f>
        <v>-2663.3000000000029</v>
      </c>
      <c r="L3109" s="11">
        <v>-5.5899999999999998E-2</v>
      </c>
      <c r="M3109" s="11">
        <v>5.0799999999999998E-2</v>
      </c>
      <c r="N3109">
        <v>41</v>
      </c>
      <c r="O3109">
        <v>51.42</v>
      </c>
      <c r="P3109">
        <v>3</v>
      </c>
      <c r="Q3109" t="s">
        <v>37</v>
      </c>
      <c r="R3109">
        <v>50.629999999999903</v>
      </c>
      <c r="S3109">
        <v>5.59</v>
      </c>
      <c r="T3109" s="4">
        <v>38.225999999999999</v>
      </c>
      <c r="U3109" s="4">
        <v>31.731282</v>
      </c>
      <c r="V3109" t="str">
        <f>IF(Table1[[#This Row],[ai_disruption_intensity]]&gt;70,"High",
IF(Table1[[#This Row],[ai_disruption_intensity]]&gt;40,"Medium","Low"))</f>
        <v>Low</v>
      </c>
      <c r="W3109" t="str">
        <f>IF(Table1[[#This Row],[skill_gap_index]]&gt;70,"Large Gap",
IF(Table1[[#This Row],[skill_gap_index]]&gt;40,"Medium Gap","Small Gap"))</f>
        <v>Small Gap</v>
      </c>
      <c r="X3109" s="3" t="str">
        <f>IF(Table1[[#This Row],[automation_risk_percent]]&gt;0.7,"Highly Automatable",
IF(Table1[[#This Row],[automation_risk_percent]]&gt;0.4,"Moderate Risk","Safe Job"))</f>
        <v>Moderate Risk</v>
      </c>
    </row>
    <row r="3110" spans="1:24" x14ac:dyDescent="0.3">
      <c r="A3110">
        <v>10881</v>
      </c>
      <c r="B3110" t="s">
        <v>43</v>
      </c>
      <c r="C3110" t="s">
        <v>34</v>
      </c>
      <c r="D3110" t="s">
        <v>32</v>
      </c>
      <c r="E3110" s="1">
        <v>2026</v>
      </c>
      <c r="F3110" s="11">
        <v>0.35700000000000004</v>
      </c>
      <c r="G3110">
        <v>37.79</v>
      </c>
      <c r="H3110">
        <v>49.94</v>
      </c>
      <c r="I3110" s="2">
        <v>118217.42</v>
      </c>
      <c r="J3110" s="2">
        <v>128771.49</v>
      </c>
      <c r="K3110" s="2">
        <f>Table1[[#This Row],[Salary_after]]-Table1[[#This Row],[Salary_before]]</f>
        <v>10554.070000000007</v>
      </c>
      <c r="L3110" s="11">
        <v>8.929999999999999E-2</v>
      </c>
      <c r="M3110" s="11">
        <v>0.15289999999999998</v>
      </c>
      <c r="N3110">
        <v>59.27</v>
      </c>
      <c r="O3110">
        <v>66.3</v>
      </c>
      <c r="P3110">
        <v>4</v>
      </c>
      <c r="Q3110" t="s">
        <v>25</v>
      </c>
      <c r="R3110">
        <v>42.82</v>
      </c>
      <c r="S3110">
        <v>8.93</v>
      </c>
      <c r="T3110" s="4">
        <v>31.940999999999999</v>
      </c>
      <c r="U3110" s="4">
        <v>23.6691</v>
      </c>
      <c r="V3110" t="str">
        <f>IF(Table1[[#This Row],[ai_disruption_intensity]]&gt;70,"High",
IF(Table1[[#This Row],[ai_disruption_intensity]]&gt;40,"Medium","Low"))</f>
        <v>Low</v>
      </c>
      <c r="W3110" t="str">
        <f>IF(Table1[[#This Row],[skill_gap_index]]&gt;70,"Large Gap",
IF(Table1[[#This Row],[skill_gap_index]]&gt;40,"Medium Gap","Small Gap"))</f>
        <v>Medium Gap</v>
      </c>
      <c r="X3110" s="3" t="str">
        <f>IF(Table1[[#This Row],[automation_risk_percent]]&gt;0.7,"Highly Automatable",
IF(Table1[[#This Row],[automation_risk_percent]]&gt;0.4,"Moderate Risk","Safe Job"))</f>
        <v>Safe Job</v>
      </c>
    </row>
    <row r="3111" spans="1:24" x14ac:dyDescent="0.3">
      <c r="A3111">
        <v>10882</v>
      </c>
      <c r="B3111" t="s">
        <v>41</v>
      </c>
      <c r="C3111" t="s">
        <v>34</v>
      </c>
      <c r="D3111" t="s">
        <v>32</v>
      </c>
      <c r="E3111" s="1">
        <v>2025</v>
      </c>
      <c r="F3111" s="11">
        <v>0.93420000000000003</v>
      </c>
      <c r="G3111">
        <v>101.11</v>
      </c>
      <c r="H3111">
        <v>74.25</v>
      </c>
      <c r="I3111" s="2">
        <v>64943.14</v>
      </c>
      <c r="J3111" s="2">
        <v>47599.74</v>
      </c>
      <c r="K3111" s="2">
        <f>Table1[[#This Row],[Salary_after]]-Table1[[#This Row],[Salary_before]]</f>
        <v>-17343.400000000001</v>
      </c>
      <c r="L3111" s="11">
        <v>-0.2671</v>
      </c>
      <c r="M3111" s="11">
        <v>-4.07E-2</v>
      </c>
      <c r="N3111">
        <v>41.81</v>
      </c>
      <c r="O3111">
        <v>45.96</v>
      </c>
      <c r="P3111">
        <v>1</v>
      </c>
      <c r="Q3111" t="s">
        <v>37</v>
      </c>
      <c r="R3111">
        <v>83.834999999999994</v>
      </c>
      <c r="S3111">
        <v>26.71</v>
      </c>
      <c r="T3111" s="4">
        <v>67.656000000000006</v>
      </c>
      <c r="U3111" s="4">
        <v>42.935831999999998</v>
      </c>
      <c r="V3111" t="str">
        <f>IF(Table1[[#This Row],[ai_disruption_intensity]]&gt;70,"High",
IF(Table1[[#This Row],[ai_disruption_intensity]]&gt;40,"Medium","Low"))</f>
        <v>Medium</v>
      </c>
      <c r="W3111" t="str">
        <f>IF(Table1[[#This Row],[skill_gap_index]]&gt;70,"Large Gap",
IF(Table1[[#This Row],[skill_gap_index]]&gt;40,"Medium Gap","Small Gap"))</f>
        <v>Large Gap</v>
      </c>
      <c r="X3111" s="3" t="str">
        <f>IF(Table1[[#This Row],[automation_risk_percent]]&gt;0.7,"Highly Automatable",
IF(Table1[[#This Row],[automation_risk_percent]]&gt;0.4,"Moderate Risk","Safe Job"))</f>
        <v>Highly Automatable</v>
      </c>
    </row>
    <row r="3112" spans="1:24" x14ac:dyDescent="0.3">
      <c r="A3112">
        <v>10884</v>
      </c>
      <c r="B3112" t="s">
        <v>22</v>
      </c>
      <c r="C3112" t="s">
        <v>27</v>
      </c>
      <c r="D3112" t="s">
        <v>32</v>
      </c>
      <c r="E3112" s="1">
        <v>2026</v>
      </c>
      <c r="F3112" s="11">
        <v>0.61030000000000006</v>
      </c>
      <c r="G3112">
        <v>65.56</v>
      </c>
      <c r="H3112">
        <v>84.99</v>
      </c>
      <c r="I3112" s="2">
        <v>138669.35999999999</v>
      </c>
      <c r="J3112" s="2">
        <v>130480.44</v>
      </c>
      <c r="K3112" s="2">
        <f>Table1[[#This Row],[Salary_after]]-Table1[[#This Row],[Salary_before]]</f>
        <v>-8188.9199999999837</v>
      </c>
      <c r="L3112" s="11">
        <v>-5.91E-2</v>
      </c>
      <c r="M3112" s="11">
        <v>2.69E-2</v>
      </c>
      <c r="N3112">
        <v>69.08</v>
      </c>
      <c r="O3112">
        <v>11.03</v>
      </c>
      <c r="P3112">
        <v>1</v>
      </c>
      <c r="Q3112" t="s">
        <v>37</v>
      </c>
      <c r="R3112">
        <v>73.009999999999906</v>
      </c>
      <c r="S3112">
        <v>5.91</v>
      </c>
      <c r="T3112" s="4">
        <v>51.682000000000002</v>
      </c>
      <c r="U3112" s="4">
        <v>6.7316089999999997</v>
      </c>
      <c r="V3112" t="str">
        <f>IF(Table1[[#This Row],[ai_disruption_intensity]]&gt;70,"High",
IF(Table1[[#This Row],[ai_disruption_intensity]]&gt;40,"Medium","Low"))</f>
        <v>Low</v>
      </c>
      <c r="W3112" t="str">
        <f>IF(Table1[[#This Row],[skill_gap_index]]&gt;70,"Large Gap",
IF(Table1[[#This Row],[skill_gap_index]]&gt;40,"Medium Gap","Small Gap"))</f>
        <v>Large Gap</v>
      </c>
      <c r="X3112" s="3" t="str">
        <f>IF(Table1[[#This Row],[automation_risk_percent]]&gt;0.7,"Highly Automatable",
IF(Table1[[#This Row],[automation_risk_percent]]&gt;0.4,"Moderate Risk","Safe Job"))</f>
        <v>Moderate Risk</v>
      </c>
    </row>
    <row r="3113" spans="1:24" x14ac:dyDescent="0.3">
      <c r="A3113">
        <v>10888</v>
      </c>
      <c r="B3113" t="s">
        <v>29</v>
      </c>
      <c r="C3113" t="s">
        <v>40</v>
      </c>
      <c r="D3113" t="s">
        <v>32</v>
      </c>
      <c r="E3113" s="1">
        <v>2026</v>
      </c>
      <c r="F3113" s="11">
        <v>0.71660000000000001</v>
      </c>
      <c r="G3113">
        <v>76.66</v>
      </c>
      <c r="H3113">
        <v>98.15</v>
      </c>
      <c r="I3113" s="2">
        <v>116730.39</v>
      </c>
      <c r="J3113" s="2">
        <v>101558.86</v>
      </c>
      <c r="K3113" s="2">
        <f>Table1[[#This Row],[Salary_after]]-Table1[[#This Row],[Salary_before]]</f>
        <v>-15171.529999999999</v>
      </c>
      <c r="L3113" s="11">
        <v>-0.13</v>
      </c>
      <c r="M3113" s="11">
        <v>2.86E-2</v>
      </c>
      <c r="N3113">
        <v>80.89</v>
      </c>
      <c r="O3113">
        <v>35.380000000000003</v>
      </c>
      <c r="P3113">
        <v>1</v>
      </c>
      <c r="Q3113" t="s">
        <v>37</v>
      </c>
      <c r="R3113">
        <v>84.905000000000001</v>
      </c>
      <c r="S3113">
        <v>13</v>
      </c>
      <c r="T3113" s="4">
        <v>62.009</v>
      </c>
      <c r="U3113" s="4">
        <v>25.353307999999998</v>
      </c>
      <c r="V3113" t="str">
        <f>IF(Table1[[#This Row],[ai_disruption_intensity]]&gt;70,"High",
IF(Table1[[#This Row],[ai_disruption_intensity]]&gt;40,"Medium","Low"))</f>
        <v>Low</v>
      </c>
      <c r="W3113" t="str">
        <f>IF(Table1[[#This Row],[skill_gap_index]]&gt;70,"Large Gap",
IF(Table1[[#This Row],[skill_gap_index]]&gt;40,"Medium Gap","Small Gap"))</f>
        <v>Large Gap</v>
      </c>
      <c r="X3113" s="3" t="str">
        <f>IF(Table1[[#This Row],[automation_risk_percent]]&gt;0.7,"Highly Automatable",
IF(Table1[[#This Row],[automation_risk_percent]]&gt;0.4,"Moderate Risk","Safe Job"))</f>
        <v>Highly Automatable</v>
      </c>
    </row>
    <row r="3114" spans="1:24" x14ac:dyDescent="0.3">
      <c r="A3114">
        <v>10894</v>
      </c>
      <c r="B3114" t="s">
        <v>46</v>
      </c>
      <c r="C3114" t="s">
        <v>33</v>
      </c>
      <c r="D3114" t="s">
        <v>47</v>
      </c>
      <c r="E3114" s="1">
        <v>2025</v>
      </c>
      <c r="F3114" s="11">
        <v>0.46710000000000002</v>
      </c>
      <c r="G3114">
        <v>45.55</v>
      </c>
      <c r="H3114">
        <v>18.77</v>
      </c>
      <c r="I3114" s="2">
        <v>88918.46</v>
      </c>
      <c r="J3114" s="2">
        <v>94692.96</v>
      </c>
      <c r="K3114" s="2">
        <f>Table1[[#This Row],[Salary_after]]-Table1[[#This Row],[Salary_before]]</f>
        <v>5774.5</v>
      </c>
      <c r="L3114" s="11">
        <v>6.4899999999999999E-2</v>
      </c>
      <c r="M3114" s="11">
        <v>0.1449</v>
      </c>
      <c r="N3114">
        <v>20.37</v>
      </c>
      <c r="O3114">
        <v>94.83</v>
      </c>
      <c r="P3114">
        <v>3</v>
      </c>
      <c r="Q3114" t="s">
        <v>25</v>
      </c>
      <c r="R3114">
        <v>32.74</v>
      </c>
      <c r="S3114">
        <v>6.49</v>
      </c>
      <c r="T3114" s="4">
        <v>26.262</v>
      </c>
      <c r="U3114" s="4">
        <v>44.295092999999902</v>
      </c>
      <c r="V3114" t="str">
        <f>IF(Table1[[#This Row],[ai_disruption_intensity]]&gt;70,"High",
IF(Table1[[#This Row],[ai_disruption_intensity]]&gt;40,"Medium","Low"))</f>
        <v>Medium</v>
      </c>
      <c r="W3114" t="str">
        <f>IF(Table1[[#This Row],[skill_gap_index]]&gt;70,"Large Gap",
IF(Table1[[#This Row],[skill_gap_index]]&gt;40,"Medium Gap","Small Gap"))</f>
        <v>Small Gap</v>
      </c>
      <c r="X3114" s="3" t="str">
        <f>IF(Table1[[#This Row],[automation_risk_percent]]&gt;0.7,"Highly Automatable",
IF(Table1[[#This Row],[automation_risk_percent]]&gt;0.4,"Moderate Risk","Safe Job"))</f>
        <v>Moderate Risk</v>
      </c>
    </row>
    <row r="3115" spans="1:24" x14ac:dyDescent="0.3">
      <c r="A3115">
        <v>10895</v>
      </c>
      <c r="B3115" t="s">
        <v>43</v>
      </c>
      <c r="C3115" t="s">
        <v>33</v>
      </c>
      <c r="D3115" t="s">
        <v>31</v>
      </c>
      <c r="E3115" s="1">
        <v>2026</v>
      </c>
      <c r="F3115" s="11">
        <v>0.31409999999999999</v>
      </c>
      <c r="G3115">
        <v>32.49</v>
      </c>
      <c r="H3115">
        <v>3.21</v>
      </c>
      <c r="I3115" s="2">
        <v>139137.20000000001</v>
      </c>
      <c r="J3115" s="2">
        <v>123231.76</v>
      </c>
      <c r="K3115" s="2">
        <f>Table1[[#This Row],[Salary_after]]-Table1[[#This Row],[Salary_before]]</f>
        <v>-15905.440000000017</v>
      </c>
      <c r="L3115" s="11">
        <v>-0.1143</v>
      </c>
      <c r="M3115" s="11">
        <v>0.14369999999999999</v>
      </c>
      <c r="N3115">
        <v>71.5</v>
      </c>
      <c r="O3115">
        <v>29.25</v>
      </c>
      <c r="P3115">
        <v>2</v>
      </c>
      <c r="Q3115" t="s">
        <v>25</v>
      </c>
      <c r="R3115">
        <v>17.309999999999999</v>
      </c>
      <c r="S3115">
        <v>11.43</v>
      </c>
      <c r="T3115" s="4">
        <v>16.956</v>
      </c>
      <c r="U3115" s="4">
        <v>9.1874249999999993</v>
      </c>
      <c r="V3115" t="str">
        <f>IF(Table1[[#This Row],[ai_disruption_intensity]]&gt;70,"High",
IF(Table1[[#This Row],[ai_disruption_intensity]]&gt;40,"Medium","Low"))</f>
        <v>Low</v>
      </c>
      <c r="W3115" t="str">
        <f>IF(Table1[[#This Row],[skill_gap_index]]&gt;70,"Large Gap",
IF(Table1[[#This Row],[skill_gap_index]]&gt;40,"Medium Gap","Small Gap"))</f>
        <v>Small Gap</v>
      </c>
      <c r="X3115" s="3" t="str">
        <f>IF(Table1[[#This Row],[automation_risk_percent]]&gt;0.7,"Highly Automatable",
IF(Table1[[#This Row],[automation_risk_percent]]&gt;0.4,"Moderate Risk","Safe Job"))</f>
        <v>Safe Job</v>
      </c>
    </row>
    <row r="3116" spans="1:24" x14ac:dyDescent="0.3">
      <c r="A3116">
        <v>10900</v>
      </c>
      <c r="B3116" t="s">
        <v>41</v>
      </c>
      <c r="C3116" t="s">
        <v>30</v>
      </c>
      <c r="D3116" t="s">
        <v>36</v>
      </c>
      <c r="E3116" s="1">
        <v>2026</v>
      </c>
      <c r="F3116" s="11">
        <v>0.75609999999999999</v>
      </c>
      <c r="G3116">
        <v>83.31</v>
      </c>
      <c r="H3116">
        <v>60.03</v>
      </c>
      <c r="I3116" s="2">
        <v>114052.41</v>
      </c>
      <c r="J3116" s="2">
        <v>116480.91</v>
      </c>
      <c r="K3116" s="2">
        <f>Table1[[#This Row],[Salary_after]]-Table1[[#This Row],[Salary_before]]</f>
        <v>2428.5</v>
      </c>
      <c r="L3116" s="11">
        <v>2.1299999999999999E-2</v>
      </c>
      <c r="M3116" s="11">
        <v>-7.9899999999999999E-2</v>
      </c>
      <c r="N3116">
        <v>61.35</v>
      </c>
      <c r="O3116">
        <v>62.87</v>
      </c>
      <c r="P3116">
        <v>5</v>
      </c>
      <c r="Q3116" t="s">
        <v>37</v>
      </c>
      <c r="R3116">
        <v>67.819999999999993</v>
      </c>
      <c r="S3116">
        <v>2.13</v>
      </c>
      <c r="T3116" s="4">
        <v>48.892000000000003</v>
      </c>
      <c r="U3116" s="4">
        <v>47.536006999999998</v>
      </c>
      <c r="V3116" t="str">
        <f>IF(Table1[[#This Row],[ai_disruption_intensity]]&gt;70,"High",
IF(Table1[[#This Row],[ai_disruption_intensity]]&gt;40,"Medium","Low"))</f>
        <v>Medium</v>
      </c>
      <c r="W3116" t="str">
        <f>IF(Table1[[#This Row],[skill_gap_index]]&gt;70,"Large Gap",
IF(Table1[[#This Row],[skill_gap_index]]&gt;40,"Medium Gap","Small Gap"))</f>
        <v>Medium Gap</v>
      </c>
      <c r="X3116" s="3" t="str">
        <f>IF(Table1[[#This Row],[automation_risk_percent]]&gt;0.7,"Highly Automatable",
IF(Table1[[#This Row],[automation_risk_percent]]&gt;0.4,"Moderate Risk","Safe Job"))</f>
        <v>Highly Automatable</v>
      </c>
    </row>
    <row r="3117" spans="1:24" x14ac:dyDescent="0.3">
      <c r="A3117">
        <v>10905</v>
      </c>
      <c r="B3117" t="s">
        <v>46</v>
      </c>
      <c r="C3117" t="s">
        <v>30</v>
      </c>
      <c r="D3117" t="s">
        <v>36</v>
      </c>
      <c r="E3117" s="1">
        <v>2026</v>
      </c>
      <c r="F3117" s="11">
        <v>0.1628</v>
      </c>
      <c r="G3117">
        <v>18.89</v>
      </c>
      <c r="H3117">
        <v>14.35</v>
      </c>
      <c r="I3117" s="2">
        <v>81126.23</v>
      </c>
      <c r="J3117" s="2">
        <v>78432.94</v>
      </c>
      <c r="K3117" s="2">
        <f>Table1[[#This Row],[Salary_after]]-Table1[[#This Row],[Salary_before]]</f>
        <v>-2693.2899999999936</v>
      </c>
      <c r="L3117" s="11">
        <v>-3.32E-2</v>
      </c>
      <c r="M3117" s="11">
        <v>-3.7900000000000003E-2</v>
      </c>
      <c r="N3117">
        <v>53.63</v>
      </c>
      <c r="O3117">
        <v>55.39</v>
      </c>
      <c r="P3117">
        <v>5</v>
      </c>
      <c r="Q3117" t="s">
        <v>21</v>
      </c>
      <c r="R3117">
        <v>15.315</v>
      </c>
      <c r="S3117">
        <v>3.32</v>
      </c>
      <c r="T3117" s="4">
        <v>11.813000000000001</v>
      </c>
      <c r="U3117" s="4">
        <v>9.0174920000000007</v>
      </c>
      <c r="V3117" t="str">
        <f>IF(Table1[[#This Row],[ai_disruption_intensity]]&gt;70,"High",
IF(Table1[[#This Row],[ai_disruption_intensity]]&gt;40,"Medium","Low"))</f>
        <v>Low</v>
      </c>
      <c r="W3117" t="str">
        <f>IF(Table1[[#This Row],[skill_gap_index]]&gt;70,"Large Gap",
IF(Table1[[#This Row],[skill_gap_index]]&gt;40,"Medium Gap","Small Gap"))</f>
        <v>Small Gap</v>
      </c>
      <c r="X3117" s="3" t="str">
        <f>IF(Table1[[#This Row],[automation_risk_percent]]&gt;0.7,"Highly Automatable",
IF(Table1[[#This Row],[automation_risk_percent]]&gt;0.4,"Moderate Risk","Safe Job"))</f>
        <v>Safe Job</v>
      </c>
    </row>
    <row r="3118" spans="1:24" x14ac:dyDescent="0.3">
      <c r="A3118">
        <v>10908</v>
      </c>
      <c r="B3118" t="s">
        <v>18</v>
      </c>
      <c r="C3118" t="s">
        <v>19</v>
      </c>
      <c r="D3118" t="s">
        <v>47</v>
      </c>
      <c r="E3118" s="1">
        <v>2025</v>
      </c>
      <c r="F3118" s="11">
        <v>0.49840000000000001</v>
      </c>
      <c r="G3118">
        <v>54.91</v>
      </c>
      <c r="H3118">
        <v>92.86</v>
      </c>
      <c r="I3118" s="2">
        <v>143500.48000000001</v>
      </c>
      <c r="J3118" s="2">
        <v>133041.99</v>
      </c>
      <c r="K3118" s="2">
        <f>Table1[[#This Row],[Salary_after]]-Table1[[#This Row],[Salary_before]]</f>
        <v>-10458.49000000002</v>
      </c>
      <c r="L3118" s="11">
        <v>-7.2900000000000006E-2</v>
      </c>
      <c r="M3118" s="11">
        <v>3.7999999999999999E-2</v>
      </c>
      <c r="N3118">
        <v>11.12</v>
      </c>
      <c r="O3118">
        <v>70.52</v>
      </c>
      <c r="P3118">
        <v>2</v>
      </c>
      <c r="Q3118" t="s">
        <v>25</v>
      </c>
      <c r="R3118">
        <v>71.349999999999994</v>
      </c>
      <c r="S3118">
        <v>7.29</v>
      </c>
      <c r="T3118" s="4">
        <v>49.981000000000002</v>
      </c>
      <c r="U3118" s="4">
        <v>35.147168000000001</v>
      </c>
      <c r="V3118" t="str">
        <f>IF(Table1[[#This Row],[ai_disruption_intensity]]&gt;70,"High",
IF(Table1[[#This Row],[ai_disruption_intensity]]&gt;40,"Medium","Low"))</f>
        <v>Low</v>
      </c>
      <c r="W3118" t="str">
        <f>IF(Table1[[#This Row],[skill_gap_index]]&gt;70,"Large Gap",
IF(Table1[[#This Row],[skill_gap_index]]&gt;40,"Medium Gap","Small Gap"))</f>
        <v>Large Gap</v>
      </c>
      <c r="X3118" s="3" t="str">
        <f>IF(Table1[[#This Row],[automation_risk_percent]]&gt;0.7,"Highly Automatable",
IF(Table1[[#This Row],[automation_risk_percent]]&gt;0.4,"Moderate Risk","Safe Job"))</f>
        <v>Moderate Risk</v>
      </c>
    </row>
    <row r="3119" spans="1:24" x14ac:dyDescent="0.3">
      <c r="A3119">
        <v>10911</v>
      </c>
      <c r="B3119" t="s">
        <v>29</v>
      </c>
      <c r="C3119" t="s">
        <v>23</v>
      </c>
      <c r="D3119" t="s">
        <v>24</v>
      </c>
      <c r="E3119" s="1">
        <v>2026</v>
      </c>
      <c r="F3119" s="11">
        <v>0.40740000000000004</v>
      </c>
      <c r="G3119">
        <v>41.42</v>
      </c>
      <c r="H3119">
        <v>21.7</v>
      </c>
      <c r="I3119" s="2">
        <v>76450.929999999993</v>
      </c>
      <c r="J3119" s="2">
        <v>88820.44</v>
      </c>
      <c r="K3119" s="2">
        <f>Table1[[#This Row],[Salary_after]]-Table1[[#This Row],[Salary_before]]</f>
        <v>12369.510000000009</v>
      </c>
      <c r="L3119" s="11">
        <v>0.1618</v>
      </c>
      <c r="M3119" s="11">
        <v>6.3399999999999998E-2</v>
      </c>
      <c r="N3119">
        <v>35.35</v>
      </c>
      <c r="O3119">
        <v>44.65</v>
      </c>
      <c r="P3119">
        <v>1</v>
      </c>
      <c r="Q3119" t="s">
        <v>25</v>
      </c>
      <c r="R3119">
        <v>31.22</v>
      </c>
      <c r="S3119">
        <v>16.18</v>
      </c>
      <c r="T3119" s="4">
        <v>27.66</v>
      </c>
      <c r="U3119" s="4">
        <v>18.19041</v>
      </c>
      <c r="V3119" t="str">
        <f>IF(Table1[[#This Row],[ai_disruption_intensity]]&gt;70,"High",
IF(Table1[[#This Row],[ai_disruption_intensity]]&gt;40,"Medium","Low"))</f>
        <v>Low</v>
      </c>
      <c r="W3119" t="str">
        <f>IF(Table1[[#This Row],[skill_gap_index]]&gt;70,"Large Gap",
IF(Table1[[#This Row],[skill_gap_index]]&gt;40,"Medium Gap","Small Gap"))</f>
        <v>Small Gap</v>
      </c>
      <c r="X3119" s="3" t="str">
        <f>IF(Table1[[#This Row],[automation_risk_percent]]&gt;0.7,"Highly Automatable",
IF(Table1[[#This Row],[automation_risk_percent]]&gt;0.4,"Moderate Risk","Safe Job"))</f>
        <v>Moderate Risk</v>
      </c>
    </row>
    <row r="3120" spans="1:24" x14ac:dyDescent="0.3">
      <c r="A3120">
        <v>10912</v>
      </c>
      <c r="B3120" t="s">
        <v>39</v>
      </c>
      <c r="C3120" t="s">
        <v>34</v>
      </c>
      <c r="D3120" t="s">
        <v>32</v>
      </c>
      <c r="E3120" s="1">
        <v>2026</v>
      </c>
      <c r="F3120" s="11">
        <v>0.55000000000000004</v>
      </c>
      <c r="G3120">
        <v>50.06</v>
      </c>
      <c r="H3120">
        <v>22</v>
      </c>
      <c r="I3120" s="2">
        <v>98268.98</v>
      </c>
      <c r="J3120" s="2">
        <v>84154.28</v>
      </c>
      <c r="K3120" s="2">
        <f>Table1[[#This Row],[Salary_after]]-Table1[[#This Row],[Salary_before]]</f>
        <v>-14114.699999999997</v>
      </c>
      <c r="L3120" s="11">
        <v>-0.14360000000000001</v>
      </c>
      <c r="M3120" s="11">
        <v>0.23480000000000001</v>
      </c>
      <c r="N3120">
        <v>60.92</v>
      </c>
      <c r="O3120">
        <v>80.2</v>
      </c>
      <c r="P3120">
        <v>3</v>
      </c>
      <c r="Q3120" t="s">
        <v>25</v>
      </c>
      <c r="R3120">
        <v>38.5</v>
      </c>
      <c r="S3120">
        <v>14.36</v>
      </c>
      <c r="T3120" s="4">
        <v>32.908000000000001</v>
      </c>
      <c r="U3120" s="4">
        <v>44.11</v>
      </c>
      <c r="V3120" t="str">
        <f>IF(Table1[[#This Row],[ai_disruption_intensity]]&gt;70,"High",
IF(Table1[[#This Row],[ai_disruption_intensity]]&gt;40,"Medium","Low"))</f>
        <v>Medium</v>
      </c>
      <c r="W3120" t="str">
        <f>IF(Table1[[#This Row],[skill_gap_index]]&gt;70,"Large Gap",
IF(Table1[[#This Row],[skill_gap_index]]&gt;40,"Medium Gap","Small Gap"))</f>
        <v>Small Gap</v>
      </c>
      <c r="X3120" s="3" t="str">
        <f>IF(Table1[[#This Row],[automation_risk_percent]]&gt;0.7,"Highly Automatable",
IF(Table1[[#This Row],[automation_risk_percent]]&gt;0.4,"Moderate Risk","Safe Job"))</f>
        <v>Moderate Risk</v>
      </c>
    </row>
    <row r="3121" spans="1:24" x14ac:dyDescent="0.3">
      <c r="A3121">
        <v>10913</v>
      </c>
      <c r="B3121" t="s">
        <v>43</v>
      </c>
      <c r="C3121" t="s">
        <v>27</v>
      </c>
      <c r="D3121" t="s">
        <v>35</v>
      </c>
      <c r="E3121" s="1">
        <v>2025</v>
      </c>
      <c r="F3121" s="11">
        <v>0.16500000000000001</v>
      </c>
      <c r="G3121">
        <v>18.36</v>
      </c>
      <c r="H3121">
        <v>65.8</v>
      </c>
      <c r="I3121" s="2">
        <v>62285.14</v>
      </c>
      <c r="J3121" s="2">
        <v>61067.51</v>
      </c>
      <c r="K3121" s="2">
        <f>Table1[[#This Row],[Salary_after]]-Table1[[#This Row],[Salary_before]]</f>
        <v>-1217.6299999999974</v>
      </c>
      <c r="L3121" s="11">
        <v>-1.95E-2</v>
      </c>
      <c r="M3121" s="11">
        <v>0.12300000000000001</v>
      </c>
      <c r="N3121">
        <v>82.93</v>
      </c>
      <c r="O3121">
        <v>15.45</v>
      </c>
      <c r="P3121">
        <v>5</v>
      </c>
      <c r="Q3121" t="s">
        <v>21</v>
      </c>
      <c r="R3121">
        <v>41.15</v>
      </c>
      <c r="S3121">
        <v>1.95</v>
      </c>
      <c r="T3121" s="4">
        <v>26.925000000000001</v>
      </c>
      <c r="U3121" s="4">
        <v>2.5492499999999998</v>
      </c>
      <c r="V3121" t="str">
        <f>IF(Table1[[#This Row],[ai_disruption_intensity]]&gt;70,"High",
IF(Table1[[#This Row],[ai_disruption_intensity]]&gt;40,"Medium","Low"))</f>
        <v>Low</v>
      </c>
      <c r="W3121" t="str">
        <f>IF(Table1[[#This Row],[skill_gap_index]]&gt;70,"Large Gap",
IF(Table1[[#This Row],[skill_gap_index]]&gt;40,"Medium Gap","Small Gap"))</f>
        <v>Medium Gap</v>
      </c>
      <c r="X3121" s="3" t="str">
        <f>IF(Table1[[#This Row],[automation_risk_percent]]&gt;0.7,"Highly Automatable",
IF(Table1[[#This Row],[automation_risk_percent]]&gt;0.4,"Moderate Risk","Safe Job"))</f>
        <v>Safe Job</v>
      </c>
    </row>
    <row r="3122" spans="1:24" x14ac:dyDescent="0.3">
      <c r="A3122">
        <v>10917</v>
      </c>
      <c r="B3122" t="s">
        <v>18</v>
      </c>
      <c r="C3122" t="s">
        <v>34</v>
      </c>
      <c r="D3122" t="s">
        <v>32</v>
      </c>
      <c r="E3122" s="1">
        <v>2025</v>
      </c>
      <c r="F3122" s="11">
        <v>0.1696</v>
      </c>
      <c r="G3122">
        <v>19.39</v>
      </c>
      <c r="H3122">
        <v>81.790000000000006</v>
      </c>
      <c r="I3122" s="2">
        <v>122766.89</v>
      </c>
      <c r="J3122" s="2">
        <v>114222.18</v>
      </c>
      <c r="K3122" s="2">
        <f>Table1[[#This Row],[Salary_after]]-Table1[[#This Row],[Salary_before]]</f>
        <v>-8544.7100000000064</v>
      </c>
      <c r="L3122" s="11">
        <v>-6.9599999999999995E-2</v>
      </c>
      <c r="M3122" s="11">
        <v>8.1600000000000006E-2</v>
      </c>
      <c r="N3122">
        <v>46.54</v>
      </c>
      <c r="O3122">
        <v>70.45</v>
      </c>
      <c r="P3122">
        <v>3</v>
      </c>
      <c r="Q3122" t="s">
        <v>21</v>
      </c>
      <c r="R3122">
        <v>49.375</v>
      </c>
      <c r="S3122">
        <v>6.96</v>
      </c>
      <c r="T3122" s="4">
        <v>33.408999999999999</v>
      </c>
      <c r="U3122" s="4">
        <v>11.948320000000001</v>
      </c>
      <c r="V3122" t="str">
        <f>IF(Table1[[#This Row],[ai_disruption_intensity]]&gt;70,"High",
IF(Table1[[#This Row],[ai_disruption_intensity]]&gt;40,"Medium","Low"))</f>
        <v>Low</v>
      </c>
      <c r="W3122" t="str">
        <f>IF(Table1[[#This Row],[skill_gap_index]]&gt;70,"Large Gap",
IF(Table1[[#This Row],[skill_gap_index]]&gt;40,"Medium Gap","Small Gap"))</f>
        <v>Large Gap</v>
      </c>
      <c r="X3122" s="3" t="str">
        <f>IF(Table1[[#This Row],[automation_risk_percent]]&gt;0.7,"Highly Automatable",
IF(Table1[[#This Row],[automation_risk_percent]]&gt;0.4,"Moderate Risk","Safe Job"))</f>
        <v>Safe Job</v>
      </c>
    </row>
    <row r="3123" spans="1:24" x14ac:dyDescent="0.3">
      <c r="A3123">
        <v>10918</v>
      </c>
      <c r="B3123" t="s">
        <v>46</v>
      </c>
      <c r="C3123" t="s">
        <v>23</v>
      </c>
      <c r="D3123" t="s">
        <v>42</v>
      </c>
      <c r="E3123" s="1">
        <v>2026</v>
      </c>
      <c r="F3123" s="11">
        <v>0.25259999999999999</v>
      </c>
      <c r="G3123">
        <v>27.46</v>
      </c>
      <c r="H3123">
        <v>28.54</v>
      </c>
      <c r="I3123" s="2">
        <v>95224.55</v>
      </c>
      <c r="J3123" s="2">
        <v>101316.95</v>
      </c>
      <c r="K3123" s="2">
        <f>Table1[[#This Row],[Salary_after]]-Table1[[#This Row],[Salary_before]]</f>
        <v>6092.3999999999942</v>
      </c>
      <c r="L3123" s="11">
        <v>6.4000000000000001E-2</v>
      </c>
      <c r="M3123" s="11">
        <v>2.7900000000000001E-2</v>
      </c>
      <c r="N3123">
        <v>49.82</v>
      </c>
      <c r="O3123">
        <v>28.67</v>
      </c>
      <c r="P3123">
        <v>3</v>
      </c>
      <c r="Q3123" t="s">
        <v>21</v>
      </c>
      <c r="R3123">
        <v>26.9</v>
      </c>
      <c r="S3123">
        <v>6.4</v>
      </c>
      <c r="T3123" s="4">
        <v>20.585999999999999</v>
      </c>
      <c r="U3123" s="4">
        <v>7.2420419999999996</v>
      </c>
      <c r="V3123" t="str">
        <f>IF(Table1[[#This Row],[ai_disruption_intensity]]&gt;70,"High",
IF(Table1[[#This Row],[ai_disruption_intensity]]&gt;40,"Medium","Low"))</f>
        <v>Low</v>
      </c>
      <c r="W3123" t="str">
        <f>IF(Table1[[#This Row],[skill_gap_index]]&gt;70,"Large Gap",
IF(Table1[[#This Row],[skill_gap_index]]&gt;40,"Medium Gap","Small Gap"))</f>
        <v>Small Gap</v>
      </c>
      <c r="X3123" s="3" t="str">
        <f>IF(Table1[[#This Row],[automation_risk_percent]]&gt;0.7,"Highly Automatable",
IF(Table1[[#This Row],[automation_risk_percent]]&gt;0.4,"Moderate Risk","Safe Job"))</f>
        <v>Safe Job</v>
      </c>
    </row>
    <row r="3124" spans="1:24" x14ac:dyDescent="0.3">
      <c r="A3124">
        <v>10921</v>
      </c>
      <c r="B3124" t="s">
        <v>18</v>
      </c>
      <c r="C3124" t="s">
        <v>30</v>
      </c>
      <c r="D3124" t="s">
        <v>36</v>
      </c>
      <c r="E3124" s="1">
        <v>2026</v>
      </c>
      <c r="F3124" s="11">
        <v>0.46049999999999996</v>
      </c>
      <c r="G3124">
        <v>45.21</v>
      </c>
      <c r="H3124">
        <v>34.17</v>
      </c>
      <c r="I3124" s="2">
        <v>36304.44</v>
      </c>
      <c r="J3124" s="2">
        <v>37785.089999999997</v>
      </c>
      <c r="K3124" s="2">
        <f>Table1[[#This Row],[Salary_after]]-Table1[[#This Row],[Salary_before]]</f>
        <v>1480.6499999999942</v>
      </c>
      <c r="L3124" s="11">
        <v>4.0800000000000003E-2</v>
      </c>
      <c r="M3124" s="11">
        <v>0.29609999999999997</v>
      </c>
      <c r="N3124">
        <v>62.68</v>
      </c>
      <c r="O3124">
        <v>0.24</v>
      </c>
      <c r="P3124">
        <v>4</v>
      </c>
      <c r="Q3124" t="s">
        <v>25</v>
      </c>
      <c r="R3124">
        <v>40.11</v>
      </c>
      <c r="S3124">
        <v>4.08</v>
      </c>
      <c r="T3124" s="4">
        <v>29.895</v>
      </c>
      <c r="U3124" s="4">
        <v>0.11051999999999999</v>
      </c>
      <c r="V3124" t="str">
        <f>IF(Table1[[#This Row],[ai_disruption_intensity]]&gt;70,"High",
IF(Table1[[#This Row],[ai_disruption_intensity]]&gt;40,"Medium","Low"))</f>
        <v>Low</v>
      </c>
      <c r="W3124" t="str">
        <f>IF(Table1[[#This Row],[skill_gap_index]]&gt;70,"Large Gap",
IF(Table1[[#This Row],[skill_gap_index]]&gt;40,"Medium Gap","Small Gap"))</f>
        <v>Small Gap</v>
      </c>
      <c r="X3124" s="3" t="str">
        <f>IF(Table1[[#This Row],[automation_risk_percent]]&gt;0.7,"Highly Automatable",
IF(Table1[[#This Row],[automation_risk_percent]]&gt;0.4,"Moderate Risk","Safe Job"))</f>
        <v>Moderate Risk</v>
      </c>
    </row>
    <row r="3125" spans="1:24" x14ac:dyDescent="0.3">
      <c r="A3125">
        <v>10923</v>
      </c>
      <c r="B3125" t="s">
        <v>44</v>
      </c>
      <c r="C3125" t="s">
        <v>30</v>
      </c>
      <c r="D3125" t="s">
        <v>28</v>
      </c>
      <c r="E3125" s="1">
        <v>2026</v>
      </c>
      <c r="F3125" s="11">
        <v>0.71200000000000008</v>
      </c>
      <c r="G3125">
        <v>80.209999999999994</v>
      </c>
      <c r="H3125">
        <v>73.84</v>
      </c>
      <c r="I3125" s="2">
        <v>34613.15</v>
      </c>
      <c r="J3125" s="2">
        <v>30973.360000000001</v>
      </c>
      <c r="K3125" s="2">
        <f>Table1[[#This Row],[Salary_after]]-Table1[[#This Row],[Salary_before]]</f>
        <v>-3639.7900000000009</v>
      </c>
      <c r="L3125" s="11">
        <v>-0.1052</v>
      </c>
      <c r="M3125" s="11">
        <v>-8.8999999999999999E-3</v>
      </c>
      <c r="N3125">
        <v>52.71</v>
      </c>
      <c r="O3125">
        <v>35.43</v>
      </c>
      <c r="P3125">
        <v>3</v>
      </c>
      <c r="Q3125" t="s">
        <v>37</v>
      </c>
      <c r="R3125">
        <v>72.52</v>
      </c>
      <c r="S3125">
        <v>10.52</v>
      </c>
      <c r="T3125" s="4">
        <v>53.787999999999997</v>
      </c>
      <c r="U3125" s="4">
        <v>25.22616</v>
      </c>
      <c r="V3125" t="str">
        <f>IF(Table1[[#This Row],[ai_disruption_intensity]]&gt;70,"High",
IF(Table1[[#This Row],[ai_disruption_intensity]]&gt;40,"Medium","Low"))</f>
        <v>Low</v>
      </c>
      <c r="W3125" t="str">
        <f>IF(Table1[[#This Row],[skill_gap_index]]&gt;70,"Large Gap",
IF(Table1[[#This Row],[skill_gap_index]]&gt;40,"Medium Gap","Small Gap"))</f>
        <v>Large Gap</v>
      </c>
      <c r="X3125" s="3" t="str">
        <f>IF(Table1[[#This Row],[automation_risk_percent]]&gt;0.7,"Highly Automatable",
IF(Table1[[#This Row],[automation_risk_percent]]&gt;0.4,"Moderate Risk","Safe Job"))</f>
        <v>Highly Automatable</v>
      </c>
    </row>
    <row r="3126" spans="1:24" x14ac:dyDescent="0.3">
      <c r="A3126">
        <v>10924</v>
      </c>
      <c r="B3126" t="s">
        <v>45</v>
      </c>
      <c r="C3126" t="s">
        <v>38</v>
      </c>
      <c r="D3126" t="s">
        <v>28</v>
      </c>
      <c r="E3126" s="1">
        <v>2025</v>
      </c>
      <c r="F3126" s="11">
        <v>0.53249999999999997</v>
      </c>
      <c r="G3126">
        <v>54.65</v>
      </c>
      <c r="H3126">
        <v>43.09</v>
      </c>
      <c r="I3126" s="2">
        <v>122089.27</v>
      </c>
      <c r="J3126" s="2">
        <v>122005.31</v>
      </c>
      <c r="K3126" s="2">
        <f>Table1[[#This Row],[Salary_after]]-Table1[[#This Row],[Salary_before]]</f>
        <v>-83.960000000006403</v>
      </c>
      <c r="L3126" s="11">
        <v>-7.000000000000001E-4</v>
      </c>
      <c r="M3126" s="11">
        <v>4.2900000000000001E-2</v>
      </c>
      <c r="N3126">
        <v>89.32</v>
      </c>
      <c r="O3126">
        <v>41.8</v>
      </c>
      <c r="P3126">
        <v>1</v>
      </c>
      <c r="Q3126" t="s">
        <v>25</v>
      </c>
      <c r="R3126">
        <v>48.17</v>
      </c>
      <c r="S3126">
        <v>7.0000000000000007E-2</v>
      </c>
      <c r="T3126" s="4">
        <v>34.247999999999998</v>
      </c>
      <c r="U3126" s="4">
        <v>22.258499999999898</v>
      </c>
      <c r="V3126" t="str">
        <f>IF(Table1[[#This Row],[ai_disruption_intensity]]&gt;70,"High",
IF(Table1[[#This Row],[ai_disruption_intensity]]&gt;40,"Medium","Low"))</f>
        <v>Low</v>
      </c>
      <c r="W3126" t="str">
        <f>IF(Table1[[#This Row],[skill_gap_index]]&gt;70,"Large Gap",
IF(Table1[[#This Row],[skill_gap_index]]&gt;40,"Medium Gap","Small Gap"))</f>
        <v>Medium Gap</v>
      </c>
      <c r="X3126" s="3" t="str">
        <f>IF(Table1[[#This Row],[automation_risk_percent]]&gt;0.7,"Highly Automatable",
IF(Table1[[#This Row],[automation_risk_percent]]&gt;0.4,"Moderate Risk","Safe Job"))</f>
        <v>Moderate Risk</v>
      </c>
    </row>
    <row r="3127" spans="1:24" x14ac:dyDescent="0.3">
      <c r="A3127">
        <v>10926</v>
      </c>
      <c r="B3127" t="s">
        <v>46</v>
      </c>
      <c r="C3127" t="s">
        <v>33</v>
      </c>
      <c r="D3127" t="s">
        <v>28</v>
      </c>
      <c r="E3127" s="1">
        <v>2025</v>
      </c>
      <c r="F3127" s="11">
        <v>0.19390000000000002</v>
      </c>
      <c r="G3127">
        <v>23</v>
      </c>
      <c r="H3127">
        <v>70.88</v>
      </c>
      <c r="I3127" s="2">
        <v>122452.2</v>
      </c>
      <c r="J3127" s="2">
        <v>118579.78</v>
      </c>
      <c r="K3127" s="2">
        <f>Table1[[#This Row],[Salary_after]]-Table1[[#This Row],[Salary_before]]</f>
        <v>-3872.4199999999983</v>
      </c>
      <c r="L3127" s="11">
        <v>-3.1600000000000003E-2</v>
      </c>
      <c r="M3127" s="11">
        <v>-1.8E-3</v>
      </c>
      <c r="N3127">
        <v>55.33</v>
      </c>
      <c r="O3127">
        <v>73.64</v>
      </c>
      <c r="P3127">
        <v>5</v>
      </c>
      <c r="Q3127" t="s">
        <v>21</v>
      </c>
      <c r="R3127">
        <v>45.134999999999998</v>
      </c>
      <c r="S3127">
        <v>3.16</v>
      </c>
      <c r="T3127" s="4">
        <v>29.968</v>
      </c>
      <c r="U3127" s="4">
        <v>14.278796</v>
      </c>
      <c r="V3127" t="str">
        <f>IF(Table1[[#This Row],[ai_disruption_intensity]]&gt;70,"High",
IF(Table1[[#This Row],[ai_disruption_intensity]]&gt;40,"Medium","Low"))</f>
        <v>Low</v>
      </c>
      <c r="W3127" t="str">
        <f>IF(Table1[[#This Row],[skill_gap_index]]&gt;70,"Large Gap",
IF(Table1[[#This Row],[skill_gap_index]]&gt;40,"Medium Gap","Small Gap"))</f>
        <v>Large Gap</v>
      </c>
      <c r="X3127" s="3" t="str">
        <f>IF(Table1[[#This Row],[automation_risk_percent]]&gt;0.7,"Highly Automatable",
IF(Table1[[#This Row],[automation_risk_percent]]&gt;0.4,"Moderate Risk","Safe Job"))</f>
        <v>Safe Job</v>
      </c>
    </row>
    <row r="3128" spans="1:24" x14ac:dyDescent="0.3">
      <c r="A3128">
        <v>10927</v>
      </c>
      <c r="B3128" t="s">
        <v>18</v>
      </c>
      <c r="C3128" t="s">
        <v>27</v>
      </c>
      <c r="D3128" t="s">
        <v>47</v>
      </c>
      <c r="E3128" s="1">
        <v>2026</v>
      </c>
      <c r="F3128" s="11">
        <v>0.34310000000000002</v>
      </c>
      <c r="G3128">
        <v>30.25</v>
      </c>
      <c r="H3128">
        <v>43.72</v>
      </c>
      <c r="I3128" s="2">
        <v>80915.72</v>
      </c>
      <c r="J3128" s="2">
        <v>76628.83</v>
      </c>
      <c r="K3128" s="2">
        <f>Table1[[#This Row],[Salary_after]]-Table1[[#This Row],[Salary_before]]</f>
        <v>-4286.8899999999994</v>
      </c>
      <c r="L3128" s="11">
        <v>-5.2999999999999999E-2</v>
      </c>
      <c r="M3128" s="11">
        <v>-2.9600000000000001E-2</v>
      </c>
      <c r="N3128">
        <v>80.739999999999995</v>
      </c>
      <c r="O3128">
        <v>24.5</v>
      </c>
      <c r="P3128">
        <v>5</v>
      </c>
      <c r="Q3128" t="s">
        <v>25</v>
      </c>
      <c r="R3128">
        <v>39.015000000000001</v>
      </c>
      <c r="S3128">
        <v>5.3</v>
      </c>
      <c r="T3128" s="4">
        <v>28.43</v>
      </c>
      <c r="U3128" s="4">
        <v>8.4059500000000007</v>
      </c>
      <c r="V3128" t="str">
        <f>IF(Table1[[#This Row],[ai_disruption_intensity]]&gt;70,"High",
IF(Table1[[#This Row],[ai_disruption_intensity]]&gt;40,"Medium","Low"))</f>
        <v>Low</v>
      </c>
      <c r="W3128" t="str">
        <f>IF(Table1[[#This Row],[skill_gap_index]]&gt;70,"Large Gap",
IF(Table1[[#This Row],[skill_gap_index]]&gt;40,"Medium Gap","Small Gap"))</f>
        <v>Medium Gap</v>
      </c>
      <c r="X3128" s="3" t="str">
        <f>IF(Table1[[#This Row],[automation_risk_percent]]&gt;0.7,"Highly Automatable",
IF(Table1[[#This Row],[automation_risk_percent]]&gt;0.4,"Moderate Risk","Safe Job"))</f>
        <v>Safe Job</v>
      </c>
    </row>
    <row r="3129" spans="1:24" x14ac:dyDescent="0.3">
      <c r="A3129">
        <v>10928</v>
      </c>
      <c r="B3129" t="s">
        <v>39</v>
      </c>
      <c r="C3129" t="s">
        <v>40</v>
      </c>
      <c r="D3129" t="s">
        <v>28</v>
      </c>
      <c r="E3129" s="1">
        <v>2026</v>
      </c>
      <c r="F3129" s="11">
        <v>0.2853</v>
      </c>
      <c r="G3129">
        <v>30.54</v>
      </c>
      <c r="H3129">
        <v>51.08</v>
      </c>
      <c r="I3129" s="2">
        <v>114432.61</v>
      </c>
      <c r="J3129" s="2">
        <v>114521.76</v>
      </c>
      <c r="K3129" s="2">
        <f>Table1[[#This Row],[Salary_after]]-Table1[[#This Row],[Salary_before]]</f>
        <v>89.149999999994179</v>
      </c>
      <c r="L3129" s="11">
        <v>8.0000000000000004E-4</v>
      </c>
      <c r="M3129" s="11">
        <v>-2.92E-2</v>
      </c>
      <c r="N3129">
        <v>70.56</v>
      </c>
      <c r="O3129">
        <v>47.44</v>
      </c>
      <c r="P3129">
        <v>2</v>
      </c>
      <c r="Q3129" t="s">
        <v>21</v>
      </c>
      <c r="R3129">
        <v>39.805</v>
      </c>
      <c r="S3129">
        <v>0.08</v>
      </c>
      <c r="T3129" s="4">
        <v>26.759999999999899</v>
      </c>
      <c r="U3129" s="4">
        <v>13.534631999999901</v>
      </c>
      <c r="V3129" t="str">
        <f>IF(Table1[[#This Row],[ai_disruption_intensity]]&gt;70,"High",
IF(Table1[[#This Row],[ai_disruption_intensity]]&gt;40,"Medium","Low"))</f>
        <v>Low</v>
      </c>
      <c r="W3129" t="str">
        <f>IF(Table1[[#This Row],[skill_gap_index]]&gt;70,"Large Gap",
IF(Table1[[#This Row],[skill_gap_index]]&gt;40,"Medium Gap","Small Gap"))</f>
        <v>Medium Gap</v>
      </c>
      <c r="X3129" s="3" t="str">
        <f>IF(Table1[[#This Row],[automation_risk_percent]]&gt;0.7,"Highly Automatable",
IF(Table1[[#This Row],[automation_risk_percent]]&gt;0.4,"Moderate Risk","Safe Job"))</f>
        <v>Safe Job</v>
      </c>
    </row>
    <row r="3130" spans="1:24" x14ac:dyDescent="0.3">
      <c r="A3130">
        <v>10939</v>
      </c>
      <c r="B3130" t="s">
        <v>22</v>
      </c>
      <c r="C3130" t="s">
        <v>30</v>
      </c>
      <c r="D3130" t="s">
        <v>32</v>
      </c>
      <c r="E3130" s="1">
        <v>2025</v>
      </c>
      <c r="F3130" s="11">
        <v>0.50080000000000002</v>
      </c>
      <c r="G3130">
        <v>50.12</v>
      </c>
      <c r="H3130">
        <v>73.8</v>
      </c>
      <c r="I3130" s="2">
        <v>107574.13</v>
      </c>
      <c r="J3130" s="2">
        <v>110487.55</v>
      </c>
      <c r="K3130" s="2">
        <f>Table1[[#This Row],[Salary_after]]-Table1[[#This Row],[Salary_before]]</f>
        <v>2913.4199999999983</v>
      </c>
      <c r="L3130" s="11">
        <v>2.7099999999999999E-2</v>
      </c>
      <c r="M3130" s="11">
        <v>-0.16260000000000002</v>
      </c>
      <c r="N3130">
        <v>84.34</v>
      </c>
      <c r="O3130">
        <v>63.35</v>
      </c>
      <c r="P3130">
        <v>2</v>
      </c>
      <c r="Q3130" t="s">
        <v>25</v>
      </c>
      <c r="R3130">
        <v>61.94</v>
      </c>
      <c r="S3130">
        <v>2.71</v>
      </c>
      <c r="T3130" s="4">
        <v>42.984999999999999</v>
      </c>
      <c r="U3130" s="4">
        <v>31.725679999999901</v>
      </c>
      <c r="V3130" t="str">
        <f>IF(Table1[[#This Row],[ai_disruption_intensity]]&gt;70,"High",
IF(Table1[[#This Row],[ai_disruption_intensity]]&gt;40,"Medium","Low"))</f>
        <v>Low</v>
      </c>
      <c r="W3130" t="str">
        <f>IF(Table1[[#This Row],[skill_gap_index]]&gt;70,"Large Gap",
IF(Table1[[#This Row],[skill_gap_index]]&gt;40,"Medium Gap","Small Gap"))</f>
        <v>Large Gap</v>
      </c>
      <c r="X3130" s="3" t="str">
        <f>IF(Table1[[#This Row],[automation_risk_percent]]&gt;0.7,"Highly Automatable",
IF(Table1[[#This Row],[automation_risk_percent]]&gt;0.4,"Moderate Risk","Safe Job"))</f>
        <v>Moderate Risk</v>
      </c>
    </row>
    <row r="3131" spans="1:24" x14ac:dyDescent="0.3">
      <c r="A3131">
        <v>10940</v>
      </c>
      <c r="B3131" t="s">
        <v>22</v>
      </c>
      <c r="C3131" t="s">
        <v>30</v>
      </c>
      <c r="D3131" t="s">
        <v>20</v>
      </c>
      <c r="E3131" s="1">
        <v>2026</v>
      </c>
      <c r="F3131" s="11">
        <v>0.76819999999999988</v>
      </c>
      <c r="G3131">
        <v>84.62</v>
      </c>
      <c r="H3131">
        <v>48.52</v>
      </c>
      <c r="I3131" s="2">
        <v>126841.28</v>
      </c>
      <c r="J3131" s="2">
        <v>108636.96</v>
      </c>
      <c r="K3131" s="2">
        <f>Table1[[#This Row],[Salary_after]]-Table1[[#This Row],[Salary_before]]</f>
        <v>-18204.319999999992</v>
      </c>
      <c r="L3131" s="11">
        <v>-0.14349999999999999</v>
      </c>
      <c r="M3131" s="11">
        <v>2.1099999999999997E-2</v>
      </c>
      <c r="N3131">
        <v>66.67</v>
      </c>
      <c r="O3131">
        <v>35.39</v>
      </c>
      <c r="P3131">
        <v>5</v>
      </c>
      <c r="Q3131" t="s">
        <v>37</v>
      </c>
      <c r="R3131">
        <v>62.67</v>
      </c>
      <c r="S3131">
        <v>14.35</v>
      </c>
      <c r="T3131" s="4">
        <v>49.588999999999999</v>
      </c>
      <c r="U3131" s="4">
        <v>27.186598</v>
      </c>
      <c r="V3131" t="str">
        <f>IF(Table1[[#This Row],[ai_disruption_intensity]]&gt;70,"High",
IF(Table1[[#This Row],[ai_disruption_intensity]]&gt;40,"Medium","Low"))</f>
        <v>Low</v>
      </c>
      <c r="W3131" t="str">
        <f>IF(Table1[[#This Row],[skill_gap_index]]&gt;70,"Large Gap",
IF(Table1[[#This Row],[skill_gap_index]]&gt;40,"Medium Gap","Small Gap"))</f>
        <v>Medium Gap</v>
      </c>
      <c r="X3131" s="3" t="str">
        <f>IF(Table1[[#This Row],[automation_risk_percent]]&gt;0.7,"Highly Automatable",
IF(Table1[[#This Row],[automation_risk_percent]]&gt;0.4,"Moderate Risk","Safe Job"))</f>
        <v>Highly Automatable</v>
      </c>
    </row>
    <row r="3132" spans="1:24" x14ac:dyDescent="0.3">
      <c r="A3132">
        <v>10947</v>
      </c>
      <c r="B3132" t="s">
        <v>26</v>
      </c>
      <c r="C3132" t="s">
        <v>30</v>
      </c>
      <c r="D3132" t="s">
        <v>31</v>
      </c>
      <c r="E3132" s="1">
        <v>2026</v>
      </c>
      <c r="F3132" s="11">
        <v>9.6000000000000002E-2</v>
      </c>
      <c r="G3132">
        <v>9.61</v>
      </c>
      <c r="H3132">
        <v>63.2</v>
      </c>
      <c r="I3132" s="2">
        <v>121210.06</v>
      </c>
      <c r="J3132" s="2">
        <v>128084.08</v>
      </c>
      <c r="K3132" s="2">
        <f>Table1[[#This Row],[Salary_after]]-Table1[[#This Row],[Salary_before]]</f>
        <v>6874.0200000000041</v>
      </c>
      <c r="L3132" s="11">
        <v>5.67E-2</v>
      </c>
      <c r="M3132" s="11">
        <v>0.21989999999999998</v>
      </c>
      <c r="N3132">
        <v>52.23</v>
      </c>
      <c r="O3132">
        <v>94.17</v>
      </c>
      <c r="P3132">
        <v>3</v>
      </c>
      <c r="Q3132" t="s">
        <v>21</v>
      </c>
      <c r="R3132">
        <v>36.4</v>
      </c>
      <c r="S3132">
        <v>5.67</v>
      </c>
      <c r="T3132" s="4">
        <v>24.501000000000001</v>
      </c>
      <c r="U3132" s="4">
        <v>9.0403199999999995</v>
      </c>
      <c r="V3132" t="str">
        <f>IF(Table1[[#This Row],[ai_disruption_intensity]]&gt;70,"High",
IF(Table1[[#This Row],[ai_disruption_intensity]]&gt;40,"Medium","Low"))</f>
        <v>Low</v>
      </c>
      <c r="W3132" t="str">
        <f>IF(Table1[[#This Row],[skill_gap_index]]&gt;70,"Large Gap",
IF(Table1[[#This Row],[skill_gap_index]]&gt;40,"Medium Gap","Small Gap"))</f>
        <v>Medium Gap</v>
      </c>
      <c r="X3132" s="3" t="str">
        <f>IF(Table1[[#This Row],[automation_risk_percent]]&gt;0.7,"Highly Automatable",
IF(Table1[[#This Row],[automation_risk_percent]]&gt;0.4,"Moderate Risk","Safe Job"))</f>
        <v>Safe Job</v>
      </c>
    </row>
    <row r="3133" spans="1:24" x14ac:dyDescent="0.3">
      <c r="A3133">
        <v>10949</v>
      </c>
      <c r="B3133" t="s">
        <v>18</v>
      </c>
      <c r="C3133" t="s">
        <v>38</v>
      </c>
      <c r="D3133" t="s">
        <v>47</v>
      </c>
      <c r="E3133" s="1">
        <v>2026</v>
      </c>
      <c r="F3133" s="11">
        <v>0.31040000000000001</v>
      </c>
      <c r="G3133">
        <v>32.79</v>
      </c>
      <c r="H3133">
        <v>37.94</v>
      </c>
      <c r="I3133" s="2">
        <v>135141.17000000001</v>
      </c>
      <c r="J3133" s="2">
        <v>127189.91</v>
      </c>
      <c r="K3133" s="2">
        <f>Table1[[#This Row],[Salary_after]]-Table1[[#This Row],[Salary_before]]</f>
        <v>-7951.2600000000093</v>
      </c>
      <c r="L3133" s="11">
        <v>-5.8799999999999998E-2</v>
      </c>
      <c r="M3133" s="11">
        <v>8.6599999999999996E-2</v>
      </c>
      <c r="N3133">
        <v>32.799999999999997</v>
      </c>
      <c r="O3133">
        <v>65.760000000000005</v>
      </c>
      <c r="P3133">
        <v>2</v>
      </c>
      <c r="Q3133" t="s">
        <v>25</v>
      </c>
      <c r="R3133">
        <v>34.489999999999903</v>
      </c>
      <c r="S3133">
        <v>5.88</v>
      </c>
      <c r="T3133" s="4">
        <v>25.562000000000001</v>
      </c>
      <c r="U3133" s="4">
        <v>20.411904</v>
      </c>
      <c r="V3133" t="str">
        <f>IF(Table1[[#This Row],[ai_disruption_intensity]]&gt;70,"High",
IF(Table1[[#This Row],[ai_disruption_intensity]]&gt;40,"Medium","Low"))</f>
        <v>Low</v>
      </c>
      <c r="W3133" t="str">
        <f>IF(Table1[[#This Row],[skill_gap_index]]&gt;70,"Large Gap",
IF(Table1[[#This Row],[skill_gap_index]]&gt;40,"Medium Gap","Small Gap"))</f>
        <v>Small Gap</v>
      </c>
      <c r="X3133" s="3" t="str">
        <f>IF(Table1[[#This Row],[automation_risk_percent]]&gt;0.7,"Highly Automatable",
IF(Table1[[#This Row],[automation_risk_percent]]&gt;0.4,"Moderate Risk","Safe Job"))</f>
        <v>Safe Job</v>
      </c>
    </row>
    <row r="3134" spans="1:24" x14ac:dyDescent="0.3">
      <c r="A3134">
        <v>10960</v>
      </c>
      <c r="B3134" t="s">
        <v>18</v>
      </c>
      <c r="C3134" t="s">
        <v>33</v>
      </c>
      <c r="D3134" t="s">
        <v>47</v>
      </c>
      <c r="E3134" s="1">
        <v>2025</v>
      </c>
      <c r="F3134" s="11">
        <v>0.77359999999999995</v>
      </c>
      <c r="G3134">
        <v>81.96</v>
      </c>
      <c r="H3134">
        <v>36.82</v>
      </c>
      <c r="I3134" s="2">
        <v>112680.48</v>
      </c>
      <c r="J3134" s="2">
        <v>99322.73</v>
      </c>
      <c r="K3134" s="2">
        <f>Table1[[#This Row],[Salary_after]]-Table1[[#This Row],[Salary_before]]</f>
        <v>-13357.75</v>
      </c>
      <c r="L3134" s="11">
        <v>-0.11849999999999999</v>
      </c>
      <c r="M3134" s="11">
        <v>0.14829999999999999</v>
      </c>
      <c r="N3134">
        <v>65.37</v>
      </c>
      <c r="O3134">
        <v>38.020000000000003</v>
      </c>
      <c r="P3134">
        <v>5</v>
      </c>
      <c r="Q3134" t="s">
        <v>37</v>
      </c>
      <c r="R3134">
        <v>57.09</v>
      </c>
      <c r="S3134">
        <v>11.85</v>
      </c>
      <c r="T3134" s="4">
        <v>45.545000000000002</v>
      </c>
      <c r="U3134" s="4">
        <v>29.412272000000002</v>
      </c>
      <c r="V3134" t="str">
        <f>IF(Table1[[#This Row],[ai_disruption_intensity]]&gt;70,"High",
IF(Table1[[#This Row],[ai_disruption_intensity]]&gt;40,"Medium","Low"))</f>
        <v>Low</v>
      </c>
      <c r="W3134" t="str">
        <f>IF(Table1[[#This Row],[skill_gap_index]]&gt;70,"Large Gap",
IF(Table1[[#This Row],[skill_gap_index]]&gt;40,"Medium Gap","Small Gap"))</f>
        <v>Small Gap</v>
      </c>
      <c r="X3134" s="3" t="str">
        <f>IF(Table1[[#This Row],[automation_risk_percent]]&gt;0.7,"Highly Automatable",
IF(Table1[[#This Row],[automation_risk_percent]]&gt;0.4,"Moderate Risk","Safe Job"))</f>
        <v>Highly Automatable</v>
      </c>
    </row>
    <row r="3135" spans="1:24" x14ac:dyDescent="0.3">
      <c r="A3135">
        <v>10966</v>
      </c>
      <c r="B3135" t="s">
        <v>18</v>
      </c>
      <c r="C3135" t="s">
        <v>30</v>
      </c>
      <c r="D3135" t="s">
        <v>47</v>
      </c>
      <c r="E3135" s="1">
        <v>2025</v>
      </c>
      <c r="F3135" s="11">
        <v>0.1777</v>
      </c>
      <c r="G3135">
        <v>18.07</v>
      </c>
      <c r="H3135">
        <v>57.41</v>
      </c>
      <c r="I3135" s="2">
        <v>53514.55</v>
      </c>
      <c r="J3135" s="2">
        <v>54058.46</v>
      </c>
      <c r="K3135" s="2">
        <f>Table1[[#This Row],[Salary_after]]-Table1[[#This Row],[Salary_before]]</f>
        <v>543.90999999999622</v>
      </c>
      <c r="L3135" s="11">
        <v>1.0200000000000001E-2</v>
      </c>
      <c r="M3135" s="11">
        <v>9.9299999999999999E-2</v>
      </c>
      <c r="N3135">
        <v>30.04</v>
      </c>
      <c r="O3135">
        <v>83.34</v>
      </c>
      <c r="P3135">
        <v>4</v>
      </c>
      <c r="Q3135" t="s">
        <v>21</v>
      </c>
      <c r="R3135">
        <v>37.589999999999897</v>
      </c>
      <c r="S3135">
        <v>1.02</v>
      </c>
      <c r="T3135" s="4">
        <v>24.637</v>
      </c>
      <c r="U3135" s="4">
        <v>14.809518000000001</v>
      </c>
      <c r="V3135" t="str">
        <f>IF(Table1[[#This Row],[ai_disruption_intensity]]&gt;70,"High",
IF(Table1[[#This Row],[ai_disruption_intensity]]&gt;40,"Medium","Low"))</f>
        <v>Low</v>
      </c>
      <c r="W3135" t="str">
        <f>IF(Table1[[#This Row],[skill_gap_index]]&gt;70,"Large Gap",
IF(Table1[[#This Row],[skill_gap_index]]&gt;40,"Medium Gap","Small Gap"))</f>
        <v>Medium Gap</v>
      </c>
      <c r="X3135" s="3" t="str">
        <f>IF(Table1[[#This Row],[automation_risk_percent]]&gt;0.7,"Highly Automatable",
IF(Table1[[#This Row],[automation_risk_percent]]&gt;0.4,"Moderate Risk","Safe Job"))</f>
        <v>Safe Job</v>
      </c>
    </row>
    <row r="3136" spans="1:24" x14ac:dyDescent="0.3">
      <c r="A3136">
        <v>10968</v>
      </c>
      <c r="B3136" t="s">
        <v>26</v>
      </c>
      <c r="C3136" t="s">
        <v>19</v>
      </c>
      <c r="D3136" t="s">
        <v>47</v>
      </c>
      <c r="E3136" s="1">
        <v>2025</v>
      </c>
      <c r="F3136" s="11">
        <v>0.12089999999999999</v>
      </c>
      <c r="G3136">
        <v>9.91</v>
      </c>
      <c r="H3136">
        <v>13.45</v>
      </c>
      <c r="I3136" s="2">
        <v>100569.23</v>
      </c>
      <c r="J3136" s="2">
        <v>94102.67</v>
      </c>
      <c r="K3136" s="2">
        <f>Table1[[#This Row],[Salary_after]]-Table1[[#This Row],[Salary_before]]</f>
        <v>-6466.5599999999977</v>
      </c>
      <c r="L3136" s="11">
        <v>-6.4299999999999996E-2</v>
      </c>
      <c r="M3136" s="11">
        <v>-4.1100000000000005E-2</v>
      </c>
      <c r="N3136">
        <v>59.97</v>
      </c>
      <c r="O3136">
        <v>41.41</v>
      </c>
      <c r="P3136">
        <v>3</v>
      </c>
      <c r="Q3136" t="s">
        <v>21</v>
      </c>
      <c r="R3136">
        <v>12.77</v>
      </c>
      <c r="S3136">
        <v>6.43</v>
      </c>
      <c r="T3136" s="4">
        <v>10.799999999999899</v>
      </c>
      <c r="U3136" s="4">
        <v>5.0064689999999903</v>
      </c>
      <c r="V3136" t="str">
        <f>IF(Table1[[#This Row],[ai_disruption_intensity]]&gt;70,"High",
IF(Table1[[#This Row],[ai_disruption_intensity]]&gt;40,"Medium","Low"))</f>
        <v>Low</v>
      </c>
      <c r="W3136" t="str">
        <f>IF(Table1[[#This Row],[skill_gap_index]]&gt;70,"Large Gap",
IF(Table1[[#This Row],[skill_gap_index]]&gt;40,"Medium Gap","Small Gap"))</f>
        <v>Small Gap</v>
      </c>
      <c r="X3136" s="3" t="str">
        <f>IF(Table1[[#This Row],[automation_risk_percent]]&gt;0.7,"Highly Automatable",
IF(Table1[[#This Row],[automation_risk_percent]]&gt;0.4,"Moderate Risk","Safe Job"))</f>
        <v>Safe Job</v>
      </c>
    </row>
    <row r="3137" spans="1:24" x14ac:dyDescent="0.3">
      <c r="A3137">
        <v>10973</v>
      </c>
      <c r="B3137" t="s">
        <v>46</v>
      </c>
      <c r="C3137" t="s">
        <v>27</v>
      </c>
      <c r="D3137" t="s">
        <v>31</v>
      </c>
      <c r="E3137" s="1">
        <v>2025</v>
      </c>
      <c r="F3137" s="11">
        <v>0.26379999999999998</v>
      </c>
      <c r="G3137">
        <v>31.58</v>
      </c>
      <c r="H3137">
        <v>19.2</v>
      </c>
      <c r="I3137" s="2">
        <v>44174.49</v>
      </c>
      <c r="J3137" s="2">
        <v>45284.44</v>
      </c>
      <c r="K3137" s="2">
        <f>Table1[[#This Row],[Salary_after]]-Table1[[#This Row],[Salary_before]]</f>
        <v>1109.9500000000044</v>
      </c>
      <c r="L3137" s="11">
        <v>2.5099999999999997E-2</v>
      </c>
      <c r="M3137" s="11">
        <v>3.6499999999999998E-2</v>
      </c>
      <c r="N3137">
        <v>20.8</v>
      </c>
      <c r="O3137">
        <v>61.59</v>
      </c>
      <c r="P3137">
        <v>4</v>
      </c>
      <c r="Q3137" t="s">
        <v>21</v>
      </c>
      <c r="R3137">
        <v>22.79</v>
      </c>
      <c r="S3137">
        <v>2.5099999999999998</v>
      </c>
      <c r="T3137" s="4">
        <v>17.064999999999898</v>
      </c>
      <c r="U3137" s="4">
        <v>16.247441999999999</v>
      </c>
      <c r="V3137" t="str">
        <f>IF(Table1[[#This Row],[ai_disruption_intensity]]&gt;70,"High",
IF(Table1[[#This Row],[ai_disruption_intensity]]&gt;40,"Medium","Low"))</f>
        <v>Low</v>
      </c>
      <c r="W3137" t="str">
        <f>IF(Table1[[#This Row],[skill_gap_index]]&gt;70,"Large Gap",
IF(Table1[[#This Row],[skill_gap_index]]&gt;40,"Medium Gap","Small Gap"))</f>
        <v>Small Gap</v>
      </c>
      <c r="X3137" s="3" t="str">
        <f>IF(Table1[[#This Row],[automation_risk_percent]]&gt;0.7,"Highly Automatable",
IF(Table1[[#This Row],[automation_risk_percent]]&gt;0.4,"Moderate Risk","Safe Job"))</f>
        <v>Safe Job</v>
      </c>
    </row>
    <row r="3138" spans="1:24" x14ac:dyDescent="0.3">
      <c r="A3138">
        <v>10974</v>
      </c>
      <c r="B3138" t="s">
        <v>44</v>
      </c>
      <c r="C3138" t="s">
        <v>38</v>
      </c>
      <c r="D3138" t="s">
        <v>47</v>
      </c>
      <c r="E3138" s="1">
        <v>2026</v>
      </c>
      <c r="F3138" s="11">
        <v>0.6552</v>
      </c>
      <c r="G3138">
        <v>76.58</v>
      </c>
      <c r="H3138">
        <v>47.8</v>
      </c>
      <c r="I3138" s="2">
        <v>84922.82</v>
      </c>
      <c r="J3138" s="2">
        <v>81055.92</v>
      </c>
      <c r="K3138" s="2">
        <f>Table1[[#This Row],[Salary_after]]-Table1[[#This Row],[Salary_before]]</f>
        <v>-3866.9000000000087</v>
      </c>
      <c r="L3138" s="11">
        <v>-4.5499999999999999E-2</v>
      </c>
      <c r="M3138" s="11">
        <v>9.9000000000000005E-2</v>
      </c>
      <c r="N3138">
        <v>51.59</v>
      </c>
      <c r="O3138">
        <v>63.77</v>
      </c>
      <c r="P3138">
        <v>1</v>
      </c>
      <c r="Q3138" t="s">
        <v>37</v>
      </c>
      <c r="R3138">
        <v>56.66</v>
      </c>
      <c r="S3138">
        <v>4.55</v>
      </c>
      <c r="T3138" s="4">
        <v>41.912999999999997</v>
      </c>
      <c r="U3138" s="4">
        <v>41.782103999999997</v>
      </c>
      <c r="V3138" t="str">
        <f>IF(Table1[[#This Row],[ai_disruption_intensity]]&gt;70,"High",
IF(Table1[[#This Row],[ai_disruption_intensity]]&gt;40,"Medium","Low"))</f>
        <v>Medium</v>
      </c>
      <c r="W3138" t="str">
        <f>IF(Table1[[#This Row],[skill_gap_index]]&gt;70,"Large Gap",
IF(Table1[[#This Row],[skill_gap_index]]&gt;40,"Medium Gap","Small Gap"))</f>
        <v>Medium Gap</v>
      </c>
      <c r="X3138" s="3" t="str">
        <f>IF(Table1[[#This Row],[automation_risk_percent]]&gt;0.7,"Highly Automatable",
IF(Table1[[#This Row],[automation_risk_percent]]&gt;0.4,"Moderate Risk","Safe Job"))</f>
        <v>Moderate Risk</v>
      </c>
    </row>
    <row r="3139" spans="1:24" x14ac:dyDescent="0.3">
      <c r="A3139">
        <v>10976</v>
      </c>
      <c r="B3139" t="s">
        <v>39</v>
      </c>
      <c r="C3139" t="s">
        <v>40</v>
      </c>
      <c r="D3139" t="s">
        <v>28</v>
      </c>
      <c r="E3139" s="1">
        <v>2026</v>
      </c>
      <c r="F3139" s="11">
        <v>0.50880000000000003</v>
      </c>
      <c r="G3139">
        <v>46.21</v>
      </c>
      <c r="H3139">
        <v>74.59</v>
      </c>
      <c r="I3139" s="2">
        <v>128596.93</v>
      </c>
      <c r="J3139" s="2">
        <v>123364.32</v>
      </c>
      <c r="K3139" s="2">
        <f>Table1[[#This Row],[Salary_after]]-Table1[[#This Row],[Salary_before]]</f>
        <v>-5232.609999999986</v>
      </c>
      <c r="L3139" s="11">
        <v>-4.07E-2</v>
      </c>
      <c r="M3139" s="11">
        <v>7.2099999999999997E-2</v>
      </c>
      <c r="N3139">
        <v>35.9</v>
      </c>
      <c r="O3139">
        <v>36.24</v>
      </c>
      <c r="P3139">
        <v>1</v>
      </c>
      <c r="Q3139" t="s">
        <v>25</v>
      </c>
      <c r="R3139">
        <v>62.734999999999999</v>
      </c>
      <c r="S3139">
        <v>4.07</v>
      </c>
      <c r="T3139" s="4">
        <v>43.95</v>
      </c>
      <c r="U3139" s="4">
        <v>18.438911999999998</v>
      </c>
      <c r="V3139" t="str">
        <f>IF(Table1[[#This Row],[ai_disruption_intensity]]&gt;70,"High",
IF(Table1[[#This Row],[ai_disruption_intensity]]&gt;40,"Medium","Low"))</f>
        <v>Low</v>
      </c>
      <c r="W3139" t="str">
        <f>IF(Table1[[#This Row],[skill_gap_index]]&gt;70,"Large Gap",
IF(Table1[[#This Row],[skill_gap_index]]&gt;40,"Medium Gap","Small Gap"))</f>
        <v>Large Gap</v>
      </c>
      <c r="X3139" s="3" t="str">
        <f>IF(Table1[[#This Row],[automation_risk_percent]]&gt;0.7,"Highly Automatable",
IF(Table1[[#This Row],[automation_risk_percent]]&gt;0.4,"Moderate Risk","Safe Job"))</f>
        <v>Moderate Risk</v>
      </c>
    </row>
    <row r="3140" spans="1:24" x14ac:dyDescent="0.3">
      <c r="A3140">
        <v>10979</v>
      </c>
      <c r="B3140" t="s">
        <v>46</v>
      </c>
      <c r="C3140" t="s">
        <v>27</v>
      </c>
      <c r="D3140" t="s">
        <v>35</v>
      </c>
      <c r="E3140" s="1">
        <v>2026</v>
      </c>
      <c r="F3140" s="11">
        <v>0.6099</v>
      </c>
      <c r="G3140">
        <v>51.98</v>
      </c>
      <c r="H3140">
        <v>29.82</v>
      </c>
      <c r="I3140" s="2">
        <v>49759.11</v>
      </c>
      <c r="J3140" s="2">
        <v>47407.91</v>
      </c>
      <c r="K3140" s="2">
        <f>Table1[[#This Row],[Salary_after]]-Table1[[#This Row],[Salary_before]]</f>
        <v>-2351.1999999999971</v>
      </c>
      <c r="L3140" s="11">
        <v>-4.7300000000000002E-2</v>
      </c>
      <c r="M3140" s="11">
        <v>1.54E-2</v>
      </c>
      <c r="N3140">
        <v>67.12</v>
      </c>
      <c r="O3140">
        <v>4.3499999999999996</v>
      </c>
      <c r="P3140">
        <v>1</v>
      </c>
      <c r="Q3140" t="s">
        <v>37</v>
      </c>
      <c r="R3140">
        <v>45.405000000000001</v>
      </c>
      <c r="S3140">
        <v>4.7300000000000004</v>
      </c>
      <c r="T3140" s="4">
        <v>34.760999999999903</v>
      </c>
      <c r="U3140" s="4">
        <v>2.6530649999999998</v>
      </c>
      <c r="V3140" t="str">
        <f>IF(Table1[[#This Row],[ai_disruption_intensity]]&gt;70,"High",
IF(Table1[[#This Row],[ai_disruption_intensity]]&gt;40,"Medium","Low"))</f>
        <v>Low</v>
      </c>
      <c r="W3140" t="str">
        <f>IF(Table1[[#This Row],[skill_gap_index]]&gt;70,"Large Gap",
IF(Table1[[#This Row],[skill_gap_index]]&gt;40,"Medium Gap","Small Gap"))</f>
        <v>Small Gap</v>
      </c>
      <c r="X3140" s="3" t="str">
        <f>IF(Table1[[#This Row],[automation_risk_percent]]&gt;0.7,"Highly Automatable",
IF(Table1[[#This Row],[automation_risk_percent]]&gt;0.4,"Moderate Risk","Safe Job"))</f>
        <v>Moderate Risk</v>
      </c>
    </row>
    <row r="3141" spans="1:24" x14ac:dyDescent="0.3">
      <c r="A3141">
        <v>10983</v>
      </c>
      <c r="B3141" t="s">
        <v>41</v>
      </c>
      <c r="C3141" t="s">
        <v>40</v>
      </c>
      <c r="D3141" t="s">
        <v>28</v>
      </c>
      <c r="E3141" s="1">
        <v>2025</v>
      </c>
      <c r="F3141" s="11">
        <v>0.64370000000000005</v>
      </c>
      <c r="G3141">
        <v>70.400000000000006</v>
      </c>
      <c r="H3141">
        <v>66.900000000000006</v>
      </c>
      <c r="I3141" s="2">
        <v>77837.2</v>
      </c>
      <c r="J3141" s="2">
        <v>90406.19</v>
      </c>
      <c r="K3141" s="2">
        <f>Table1[[#This Row],[Salary_after]]-Table1[[#This Row],[Salary_before]]</f>
        <v>12568.990000000005</v>
      </c>
      <c r="L3141" s="11">
        <v>0.16149999999999998</v>
      </c>
      <c r="M3141" s="11">
        <v>-5.6100000000000004E-2</v>
      </c>
      <c r="N3141">
        <v>38.08</v>
      </c>
      <c r="O3141">
        <v>53.16</v>
      </c>
      <c r="P3141">
        <v>1</v>
      </c>
      <c r="Q3141" t="s">
        <v>37</v>
      </c>
      <c r="R3141">
        <v>65.635000000000005</v>
      </c>
      <c r="S3141">
        <v>16.149999999999999</v>
      </c>
      <c r="T3141" s="4">
        <v>50.662999999999997</v>
      </c>
      <c r="U3141" s="4">
        <v>34.219092000000003</v>
      </c>
      <c r="V3141" t="str">
        <f>IF(Table1[[#This Row],[ai_disruption_intensity]]&gt;70,"High",
IF(Table1[[#This Row],[ai_disruption_intensity]]&gt;40,"Medium","Low"))</f>
        <v>Low</v>
      </c>
      <c r="W3141" t="str">
        <f>IF(Table1[[#This Row],[skill_gap_index]]&gt;70,"Large Gap",
IF(Table1[[#This Row],[skill_gap_index]]&gt;40,"Medium Gap","Small Gap"))</f>
        <v>Medium Gap</v>
      </c>
      <c r="X3141" s="3" t="str">
        <f>IF(Table1[[#This Row],[automation_risk_percent]]&gt;0.7,"Highly Automatable",
IF(Table1[[#This Row],[automation_risk_percent]]&gt;0.4,"Moderate Risk","Safe Job"))</f>
        <v>Moderate Risk</v>
      </c>
    </row>
    <row r="3142" spans="1:24" x14ac:dyDescent="0.3">
      <c r="A3142">
        <v>10984</v>
      </c>
      <c r="B3142" t="s">
        <v>39</v>
      </c>
      <c r="C3142" t="s">
        <v>23</v>
      </c>
      <c r="D3142" t="s">
        <v>32</v>
      </c>
      <c r="E3142" s="1">
        <v>2025</v>
      </c>
      <c r="F3142" s="11">
        <v>0.22289999999999999</v>
      </c>
      <c r="G3142">
        <v>19.34</v>
      </c>
      <c r="H3142">
        <v>74.28</v>
      </c>
      <c r="I3142" s="2">
        <v>82607.460000000006</v>
      </c>
      <c r="J3142" s="2">
        <v>71572.070000000007</v>
      </c>
      <c r="K3142" s="2">
        <f>Table1[[#This Row],[Salary_after]]-Table1[[#This Row],[Salary_before]]</f>
        <v>-11035.39</v>
      </c>
      <c r="L3142" s="11">
        <v>-0.1336</v>
      </c>
      <c r="M3142" s="11">
        <v>2.76E-2</v>
      </c>
      <c r="N3142">
        <v>33.04</v>
      </c>
      <c r="O3142">
        <v>64.010000000000005</v>
      </c>
      <c r="P3142">
        <v>2</v>
      </c>
      <c r="Q3142" t="s">
        <v>21</v>
      </c>
      <c r="R3142">
        <v>48.284999999999997</v>
      </c>
      <c r="S3142">
        <v>13.36</v>
      </c>
      <c r="T3142" s="4">
        <v>35.207999999999998</v>
      </c>
      <c r="U3142" s="4">
        <v>14.267829000000001</v>
      </c>
      <c r="V3142" t="str">
        <f>IF(Table1[[#This Row],[ai_disruption_intensity]]&gt;70,"High",
IF(Table1[[#This Row],[ai_disruption_intensity]]&gt;40,"Medium","Low"))</f>
        <v>Low</v>
      </c>
      <c r="W3142" t="str">
        <f>IF(Table1[[#This Row],[skill_gap_index]]&gt;70,"Large Gap",
IF(Table1[[#This Row],[skill_gap_index]]&gt;40,"Medium Gap","Small Gap"))</f>
        <v>Large Gap</v>
      </c>
      <c r="X3142" s="3" t="str">
        <f>IF(Table1[[#This Row],[automation_risk_percent]]&gt;0.7,"Highly Automatable",
IF(Table1[[#This Row],[automation_risk_percent]]&gt;0.4,"Moderate Risk","Safe Job"))</f>
        <v>Safe Job</v>
      </c>
    </row>
    <row r="3143" spans="1:24" x14ac:dyDescent="0.3">
      <c r="A3143">
        <v>10985</v>
      </c>
      <c r="B3143" t="s">
        <v>41</v>
      </c>
      <c r="C3143" t="s">
        <v>40</v>
      </c>
      <c r="D3143" t="s">
        <v>20</v>
      </c>
      <c r="E3143" s="1">
        <v>2025</v>
      </c>
      <c r="F3143" s="11">
        <v>0.88670000000000004</v>
      </c>
      <c r="G3143">
        <v>75.489999999999995</v>
      </c>
      <c r="H3143">
        <v>12.96</v>
      </c>
      <c r="I3143" s="2">
        <v>144295.74</v>
      </c>
      <c r="J3143" s="2">
        <v>131547.6</v>
      </c>
      <c r="K3143" s="2">
        <f>Table1[[#This Row],[Salary_after]]-Table1[[#This Row],[Salary_before]]</f>
        <v>-12748.139999999985</v>
      </c>
      <c r="L3143" s="11">
        <v>-8.8300000000000003E-2</v>
      </c>
      <c r="M3143" s="11">
        <v>0.16149999999999998</v>
      </c>
      <c r="N3143">
        <v>46.62</v>
      </c>
      <c r="O3143">
        <v>78.89</v>
      </c>
      <c r="P3143">
        <v>2</v>
      </c>
      <c r="Q3143" t="s">
        <v>37</v>
      </c>
      <c r="R3143">
        <v>50.814999999999998</v>
      </c>
      <c r="S3143">
        <v>8.83</v>
      </c>
      <c r="T3143" s="4">
        <v>42.005000000000003</v>
      </c>
      <c r="U3143" s="4">
        <v>69.951763</v>
      </c>
      <c r="V3143" t="str">
        <f>IF(Table1[[#This Row],[ai_disruption_intensity]]&gt;70,"High",
IF(Table1[[#This Row],[ai_disruption_intensity]]&gt;40,"Medium","Low"))</f>
        <v>Medium</v>
      </c>
      <c r="W3143" t="str">
        <f>IF(Table1[[#This Row],[skill_gap_index]]&gt;70,"Large Gap",
IF(Table1[[#This Row],[skill_gap_index]]&gt;40,"Medium Gap","Small Gap"))</f>
        <v>Small Gap</v>
      </c>
      <c r="X3143" s="3" t="str">
        <f>IF(Table1[[#This Row],[automation_risk_percent]]&gt;0.7,"Highly Automatable",
IF(Table1[[#This Row],[automation_risk_percent]]&gt;0.4,"Moderate Risk","Safe Job"))</f>
        <v>Highly Automatable</v>
      </c>
    </row>
    <row r="3144" spans="1:24" x14ac:dyDescent="0.3">
      <c r="A3144">
        <v>10988</v>
      </c>
      <c r="B3144" t="s">
        <v>39</v>
      </c>
      <c r="C3144" t="s">
        <v>38</v>
      </c>
      <c r="D3144" t="s">
        <v>36</v>
      </c>
      <c r="E3144" s="1">
        <v>2025</v>
      </c>
      <c r="F3144" s="11">
        <v>0.4335</v>
      </c>
      <c r="G3144">
        <v>48.85</v>
      </c>
      <c r="H3144">
        <v>62.44</v>
      </c>
      <c r="I3144" s="2">
        <v>37598.76</v>
      </c>
      <c r="J3144" s="2">
        <v>30733.99</v>
      </c>
      <c r="K3144" s="2">
        <f>Table1[[#This Row],[Salary_after]]-Table1[[#This Row],[Salary_before]]</f>
        <v>-6864.77</v>
      </c>
      <c r="L3144" s="11">
        <v>-0.18260000000000001</v>
      </c>
      <c r="M3144" s="11">
        <v>3.0000000000000001E-3</v>
      </c>
      <c r="N3144">
        <v>25.39</v>
      </c>
      <c r="O3144">
        <v>27.6</v>
      </c>
      <c r="P3144">
        <v>3</v>
      </c>
      <c r="Q3144" t="s">
        <v>25</v>
      </c>
      <c r="R3144">
        <v>52.894999999999897</v>
      </c>
      <c r="S3144">
        <v>18.260000000000002</v>
      </c>
      <c r="T3144" s="4">
        <v>41.55</v>
      </c>
      <c r="U3144" s="4">
        <v>11.964600000000001</v>
      </c>
      <c r="V3144" t="str">
        <f>IF(Table1[[#This Row],[ai_disruption_intensity]]&gt;70,"High",
IF(Table1[[#This Row],[ai_disruption_intensity]]&gt;40,"Medium","Low"))</f>
        <v>Low</v>
      </c>
      <c r="W3144" t="str">
        <f>IF(Table1[[#This Row],[skill_gap_index]]&gt;70,"Large Gap",
IF(Table1[[#This Row],[skill_gap_index]]&gt;40,"Medium Gap","Small Gap"))</f>
        <v>Medium Gap</v>
      </c>
      <c r="X3144" s="3" t="str">
        <f>IF(Table1[[#This Row],[automation_risk_percent]]&gt;0.7,"Highly Automatable",
IF(Table1[[#This Row],[automation_risk_percent]]&gt;0.4,"Moderate Risk","Safe Job"))</f>
        <v>Moderate Risk</v>
      </c>
    </row>
    <row r="3145" spans="1:24" x14ac:dyDescent="0.3">
      <c r="A3145">
        <v>10991</v>
      </c>
      <c r="B3145" t="s">
        <v>43</v>
      </c>
      <c r="C3145" t="s">
        <v>40</v>
      </c>
      <c r="D3145" t="s">
        <v>32</v>
      </c>
      <c r="E3145" s="1">
        <v>2025</v>
      </c>
      <c r="F3145" s="11">
        <v>0.55120000000000002</v>
      </c>
      <c r="G3145">
        <v>57.45</v>
      </c>
      <c r="H3145">
        <v>7.45</v>
      </c>
      <c r="I3145" s="2">
        <v>138755.34</v>
      </c>
      <c r="J3145" s="2">
        <v>146118.71</v>
      </c>
      <c r="K3145" s="2">
        <f>Table1[[#This Row],[Salary_after]]-Table1[[#This Row],[Salary_before]]</f>
        <v>7363.3699999999953</v>
      </c>
      <c r="L3145" s="11">
        <v>5.3099999999999994E-2</v>
      </c>
      <c r="M3145" s="11">
        <v>2.0899999999999998E-2</v>
      </c>
      <c r="N3145">
        <v>50.86</v>
      </c>
      <c r="O3145">
        <v>52.88</v>
      </c>
      <c r="P3145">
        <v>4</v>
      </c>
      <c r="Q3145" t="s">
        <v>25</v>
      </c>
      <c r="R3145">
        <v>31.285</v>
      </c>
      <c r="S3145">
        <v>5.31</v>
      </c>
      <c r="T3145" s="4">
        <v>25.876000000000001</v>
      </c>
      <c r="U3145" s="4">
        <v>29.147455999999998</v>
      </c>
      <c r="V3145" t="str">
        <f>IF(Table1[[#This Row],[ai_disruption_intensity]]&gt;70,"High",
IF(Table1[[#This Row],[ai_disruption_intensity]]&gt;40,"Medium","Low"))</f>
        <v>Low</v>
      </c>
      <c r="W3145" t="str">
        <f>IF(Table1[[#This Row],[skill_gap_index]]&gt;70,"Large Gap",
IF(Table1[[#This Row],[skill_gap_index]]&gt;40,"Medium Gap","Small Gap"))</f>
        <v>Small Gap</v>
      </c>
      <c r="X3145" s="3" t="str">
        <f>IF(Table1[[#This Row],[automation_risk_percent]]&gt;0.7,"Highly Automatable",
IF(Table1[[#This Row],[automation_risk_percent]]&gt;0.4,"Moderate Risk","Safe Job"))</f>
        <v>Moderate Risk</v>
      </c>
    </row>
    <row r="3146" spans="1:24" x14ac:dyDescent="0.3">
      <c r="A3146">
        <v>10996</v>
      </c>
      <c r="B3146" t="s">
        <v>26</v>
      </c>
      <c r="C3146" t="s">
        <v>27</v>
      </c>
      <c r="D3146" t="s">
        <v>42</v>
      </c>
      <c r="E3146" s="1">
        <v>2026</v>
      </c>
      <c r="F3146" s="11">
        <v>0.66359999999999997</v>
      </c>
      <c r="G3146">
        <v>71.37</v>
      </c>
      <c r="H3146">
        <v>76.430000000000007</v>
      </c>
      <c r="I3146" s="2">
        <v>129946.85</v>
      </c>
      <c r="J3146" s="2">
        <v>130823.75</v>
      </c>
      <c r="K3146" s="2">
        <f>Table1[[#This Row],[Salary_after]]-Table1[[#This Row],[Salary_before]]</f>
        <v>876.89999999999418</v>
      </c>
      <c r="L3146" s="11">
        <v>6.7000000000000002E-3</v>
      </c>
      <c r="M3146" s="11">
        <v>3.6200000000000003E-2</v>
      </c>
      <c r="N3146">
        <v>42.11</v>
      </c>
      <c r="O3146">
        <v>81.8</v>
      </c>
      <c r="P3146">
        <v>1</v>
      </c>
      <c r="Q3146" t="s">
        <v>37</v>
      </c>
      <c r="R3146">
        <v>71.394999999999996</v>
      </c>
      <c r="S3146">
        <v>0.67</v>
      </c>
      <c r="T3146" s="4">
        <v>49.673999999999999</v>
      </c>
      <c r="U3146" s="4">
        <v>54.2824799999999</v>
      </c>
      <c r="V3146" t="str">
        <f>IF(Table1[[#This Row],[ai_disruption_intensity]]&gt;70,"High",
IF(Table1[[#This Row],[ai_disruption_intensity]]&gt;40,"Medium","Low"))</f>
        <v>Medium</v>
      </c>
      <c r="W3146" t="str">
        <f>IF(Table1[[#This Row],[skill_gap_index]]&gt;70,"Large Gap",
IF(Table1[[#This Row],[skill_gap_index]]&gt;40,"Medium Gap","Small Gap"))</f>
        <v>Large Gap</v>
      </c>
      <c r="X3146" s="3" t="str">
        <f>IF(Table1[[#This Row],[automation_risk_percent]]&gt;0.7,"Highly Automatable",
IF(Table1[[#This Row],[automation_risk_percent]]&gt;0.4,"Moderate Risk","Safe Job"))</f>
        <v>Moderate Risk</v>
      </c>
    </row>
    <row r="3147" spans="1:24" x14ac:dyDescent="0.3">
      <c r="A3147">
        <v>10997</v>
      </c>
      <c r="B3147" t="s">
        <v>22</v>
      </c>
      <c r="C3147" t="s">
        <v>27</v>
      </c>
      <c r="D3147" t="s">
        <v>32</v>
      </c>
      <c r="E3147" s="1">
        <v>2025</v>
      </c>
      <c r="F3147" s="11">
        <v>0.37140000000000001</v>
      </c>
      <c r="G3147">
        <v>41.11</v>
      </c>
      <c r="H3147">
        <v>90.13</v>
      </c>
      <c r="I3147" s="2">
        <v>70714.87</v>
      </c>
      <c r="J3147" s="2">
        <v>87440.98</v>
      </c>
      <c r="K3147" s="2">
        <f>Table1[[#This Row],[Salary_after]]-Table1[[#This Row],[Salary_before]]</f>
        <v>16726.11</v>
      </c>
      <c r="L3147" s="11">
        <v>0.23649999999999999</v>
      </c>
      <c r="M3147" s="11">
        <v>-0.14360000000000001</v>
      </c>
      <c r="N3147">
        <v>71.91</v>
      </c>
      <c r="O3147">
        <v>84.41</v>
      </c>
      <c r="P3147">
        <v>3</v>
      </c>
      <c r="Q3147" t="s">
        <v>25</v>
      </c>
      <c r="R3147">
        <v>63.634999999999998</v>
      </c>
      <c r="S3147">
        <v>23.65</v>
      </c>
      <c r="T3147" s="4">
        <v>48.989999999999903</v>
      </c>
      <c r="U3147" s="4">
        <v>31.349874</v>
      </c>
      <c r="V3147" t="str">
        <f>IF(Table1[[#This Row],[ai_disruption_intensity]]&gt;70,"High",
IF(Table1[[#This Row],[ai_disruption_intensity]]&gt;40,"Medium","Low"))</f>
        <v>Low</v>
      </c>
      <c r="W3147" t="str">
        <f>IF(Table1[[#This Row],[skill_gap_index]]&gt;70,"Large Gap",
IF(Table1[[#This Row],[skill_gap_index]]&gt;40,"Medium Gap","Small Gap"))</f>
        <v>Large Gap</v>
      </c>
      <c r="X3147" s="3" t="str">
        <f>IF(Table1[[#This Row],[automation_risk_percent]]&gt;0.7,"Highly Automatable",
IF(Table1[[#This Row],[automation_risk_percent]]&gt;0.4,"Moderate Risk","Safe Job"))</f>
        <v>Safe Job</v>
      </c>
    </row>
    <row r="3148" spans="1:24" x14ac:dyDescent="0.3">
      <c r="A3148">
        <v>10998</v>
      </c>
      <c r="B3148" t="s">
        <v>18</v>
      </c>
      <c r="C3148" t="s">
        <v>34</v>
      </c>
      <c r="D3148" t="s">
        <v>24</v>
      </c>
      <c r="E3148" s="1">
        <v>2025</v>
      </c>
      <c r="F3148" s="11">
        <v>0.24729999999999999</v>
      </c>
      <c r="G3148">
        <v>29.14</v>
      </c>
      <c r="H3148">
        <v>78.56</v>
      </c>
      <c r="I3148" s="2">
        <v>46744.13</v>
      </c>
      <c r="J3148" s="2">
        <v>41130.589999999997</v>
      </c>
      <c r="K3148" s="2">
        <f>Table1[[#This Row],[Salary_after]]-Table1[[#This Row],[Salary_before]]</f>
        <v>-5613.5400000000009</v>
      </c>
      <c r="L3148" s="11">
        <v>-0.1201</v>
      </c>
      <c r="M3148" s="11">
        <v>-2.9300000000000003E-2</v>
      </c>
      <c r="N3148">
        <v>24.31</v>
      </c>
      <c r="O3148">
        <v>64.47</v>
      </c>
      <c r="P3148">
        <v>2</v>
      </c>
      <c r="Q3148" t="s">
        <v>21</v>
      </c>
      <c r="R3148">
        <v>51.645000000000003</v>
      </c>
      <c r="S3148">
        <v>12.01</v>
      </c>
      <c r="T3148" s="4">
        <v>37.063000000000002</v>
      </c>
      <c r="U3148" s="4">
        <v>15.943431</v>
      </c>
      <c r="V3148" t="str">
        <f>IF(Table1[[#This Row],[ai_disruption_intensity]]&gt;70,"High",
IF(Table1[[#This Row],[ai_disruption_intensity]]&gt;40,"Medium","Low"))</f>
        <v>Low</v>
      </c>
      <c r="W3148" t="str">
        <f>IF(Table1[[#This Row],[skill_gap_index]]&gt;70,"Large Gap",
IF(Table1[[#This Row],[skill_gap_index]]&gt;40,"Medium Gap","Small Gap"))</f>
        <v>Large Gap</v>
      </c>
      <c r="X3148" s="3" t="str">
        <f>IF(Table1[[#This Row],[automation_risk_percent]]&gt;0.7,"Highly Automatable",
IF(Table1[[#This Row],[automation_risk_percent]]&gt;0.4,"Moderate Risk","Safe Job"))</f>
        <v>Safe Job</v>
      </c>
    </row>
    <row r="3149" spans="1:24" x14ac:dyDescent="0.3">
      <c r="A3149">
        <v>11001</v>
      </c>
      <c r="B3149" t="s">
        <v>18</v>
      </c>
      <c r="C3149" t="s">
        <v>40</v>
      </c>
      <c r="D3149" t="s">
        <v>35</v>
      </c>
      <c r="E3149" s="1">
        <v>2025</v>
      </c>
      <c r="F3149" s="11">
        <v>0.54610000000000003</v>
      </c>
      <c r="G3149">
        <v>46.02</v>
      </c>
      <c r="H3149">
        <v>15.53</v>
      </c>
      <c r="I3149" s="2">
        <v>57803.360000000001</v>
      </c>
      <c r="J3149" s="2">
        <v>57087.18</v>
      </c>
      <c r="K3149" s="2">
        <f>Table1[[#This Row],[Salary_after]]-Table1[[#This Row],[Salary_before]]</f>
        <v>-716.18000000000029</v>
      </c>
      <c r="L3149" s="11">
        <v>-1.24E-2</v>
      </c>
      <c r="M3149" s="11">
        <v>-1.01E-2</v>
      </c>
      <c r="N3149">
        <v>95.61</v>
      </c>
      <c r="O3149">
        <v>65.290000000000006</v>
      </c>
      <c r="P3149">
        <v>3</v>
      </c>
      <c r="Q3149" t="s">
        <v>25</v>
      </c>
      <c r="R3149">
        <v>35.07</v>
      </c>
      <c r="S3149">
        <v>1.24</v>
      </c>
      <c r="T3149" s="4">
        <v>26.875</v>
      </c>
      <c r="U3149" s="4">
        <v>35.654868999999998</v>
      </c>
      <c r="V3149" t="str">
        <f>IF(Table1[[#This Row],[ai_disruption_intensity]]&gt;70,"High",
IF(Table1[[#This Row],[ai_disruption_intensity]]&gt;40,"Medium","Low"))</f>
        <v>Low</v>
      </c>
      <c r="W3149" t="str">
        <f>IF(Table1[[#This Row],[skill_gap_index]]&gt;70,"Large Gap",
IF(Table1[[#This Row],[skill_gap_index]]&gt;40,"Medium Gap","Small Gap"))</f>
        <v>Small Gap</v>
      </c>
      <c r="X3149" s="3" t="str">
        <f>IF(Table1[[#This Row],[automation_risk_percent]]&gt;0.7,"Highly Automatable",
IF(Table1[[#This Row],[automation_risk_percent]]&gt;0.4,"Moderate Risk","Safe Job"))</f>
        <v>Moderate Risk</v>
      </c>
    </row>
    <row r="3150" spans="1:24" x14ac:dyDescent="0.3">
      <c r="A3150">
        <v>11003</v>
      </c>
      <c r="B3150" t="s">
        <v>26</v>
      </c>
      <c r="C3150" t="s">
        <v>23</v>
      </c>
      <c r="D3150" t="s">
        <v>31</v>
      </c>
      <c r="E3150" s="1">
        <v>2026</v>
      </c>
      <c r="F3150" s="11">
        <v>0.6462</v>
      </c>
      <c r="G3150">
        <v>56.21</v>
      </c>
      <c r="H3150">
        <v>83.81</v>
      </c>
      <c r="I3150" s="2">
        <v>65798.850000000006</v>
      </c>
      <c r="J3150" s="2">
        <v>60662.98</v>
      </c>
      <c r="K3150" s="2">
        <f>Table1[[#This Row],[Salary_after]]-Table1[[#This Row],[Salary_before]]</f>
        <v>-5135.8700000000026</v>
      </c>
      <c r="L3150" s="11">
        <v>-7.8100000000000003E-2</v>
      </c>
      <c r="M3150" s="11">
        <v>7.0300000000000001E-2</v>
      </c>
      <c r="N3150">
        <v>31.54</v>
      </c>
      <c r="O3150">
        <v>15.81</v>
      </c>
      <c r="P3150">
        <v>1</v>
      </c>
      <c r="Q3150" t="s">
        <v>37</v>
      </c>
      <c r="R3150">
        <v>74.215000000000003</v>
      </c>
      <c r="S3150">
        <v>7.81</v>
      </c>
      <c r="T3150" s="4">
        <v>53.334000000000003</v>
      </c>
      <c r="U3150" s="4">
        <v>10.216422</v>
      </c>
      <c r="V3150" t="str">
        <f>IF(Table1[[#This Row],[ai_disruption_intensity]]&gt;70,"High",
IF(Table1[[#This Row],[ai_disruption_intensity]]&gt;40,"Medium","Low"))</f>
        <v>Low</v>
      </c>
      <c r="W3150" t="str">
        <f>IF(Table1[[#This Row],[skill_gap_index]]&gt;70,"Large Gap",
IF(Table1[[#This Row],[skill_gap_index]]&gt;40,"Medium Gap","Small Gap"))</f>
        <v>Large Gap</v>
      </c>
      <c r="X3150" s="3" t="str">
        <f>IF(Table1[[#This Row],[automation_risk_percent]]&gt;0.7,"Highly Automatable",
IF(Table1[[#This Row],[automation_risk_percent]]&gt;0.4,"Moderate Risk","Safe Job"))</f>
        <v>Moderate Risk</v>
      </c>
    </row>
    <row r="3151" spans="1:24" x14ac:dyDescent="0.3">
      <c r="A3151">
        <v>11008</v>
      </c>
      <c r="B3151" t="s">
        <v>29</v>
      </c>
      <c r="C3151" t="s">
        <v>38</v>
      </c>
      <c r="D3151" t="s">
        <v>32</v>
      </c>
      <c r="E3151" s="1">
        <v>2025</v>
      </c>
      <c r="F3151" s="11">
        <v>0.59670000000000001</v>
      </c>
      <c r="G3151">
        <v>66.37</v>
      </c>
      <c r="H3151">
        <v>86</v>
      </c>
      <c r="I3151" s="2">
        <v>116540.36</v>
      </c>
      <c r="J3151" s="2">
        <v>98452.69</v>
      </c>
      <c r="K3151" s="2">
        <f>Table1[[#This Row],[Salary_after]]-Table1[[#This Row],[Salary_before]]</f>
        <v>-18087.669999999998</v>
      </c>
      <c r="L3151" s="11">
        <v>-0.1552</v>
      </c>
      <c r="M3151" s="11">
        <v>-2.0999999999999999E-3</v>
      </c>
      <c r="N3151">
        <v>45.02</v>
      </c>
      <c r="O3151">
        <v>56.16</v>
      </c>
      <c r="P3151">
        <v>3</v>
      </c>
      <c r="Q3151" t="s">
        <v>25</v>
      </c>
      <c r="R3151">
        <v>72.834999999999994</v>
      </c>
      <c r="S3151">
        <v>15.52</v>
      </c>
      <c r="T3151" s="4">
        <v>54.323999999999998</v>
      </c>
      <c r="U3151" s="4">
        <v>33.510672</v>
      </c>
      <c r="V3151" t="str">
        <f>IF(Table1[[#This Row],[ai_disruption_intensity]]&gt;70,"High",
IF(Table1[[#This Row],[ai_disruption_intensity]]&gt;40,"Medium","Low"))</f>
        <v>Low</v>
      </c>
      <c r="W3151" t="str">
        <f>IF(Table1[[#This Row],[skill_gap_index]]&gt;70,"Large Gap",
IF(Table1[[#This Row],[skill_gap_index]]&gt;40,"Medium Gap","Small Gap"))</f>
        <v>Large Gap</v>
      </c>
      <c r="X3151" s="3" t="str">
        <f>IF(Table1[[#This Row],[automation_risk_percent]]&gt;0.7,"Highly Automatable",
IF(Table1[[#This Row],[automation_risk_percent]]&gt;0.4,"Moderate Risk","Safe Job"))</f>
        <v>Moderate Risk</v>
      </c>
    </row>
    <row r="3152" spans="1:24" x14ac:dyDescent="0.3">
      <c r="A3152">
        <v>11009</v>
      </c>
      <c r="B3152" t="s">
        <v>39</v>
      </c>
      <c r="C3152" t="s">
        <v>19</v>
      </c>
      <c r="D3152" t="s">
        <v>36</v>
      </c>
      <c r="E3152" s="1">
        <v>2025</v>
      </c>
      <c r="F3152" s="11">
        <v>0.1041</v>
      </c>
      <c r="G3152">
        <v>12.12</v>
      </c>
      <c r="H3152">
        <v>34.369999999999997</v>
      </c>
      <c r="I3152" s="2">
        <v>125616.85</v>
      </c>
      <c r="J3152" s="2">
        <v>151434.53</v>
      </c>
      <c r="K3152" s="2">
        <f>Table1[[#This Row],[Salary_after]]-Table1[[#This Row],[Salary_before]]</f>
        <v>25817.679999999993</v>
      </c>
      <c r="L3152" s="11">
        <v>0.20550000000000002</v>
      </c>
      <c r="M3152" s="11">
        <v>9.3699999999999992E-2</v>
      </c>
      <c r="N3152">
        <v>78.349999999999994</v>
      </c>
      <c r="O3152">
        <v>28.79</v>
      </c>
      <c r="P3152">
        <v>5</v>
      </c>
      <c r="Q3152" t="s">
        <v>21</v>
      </c>
      <c r="R3152">
        <v>22.39</v>
      </c>
      <c r="S3152">
        <v>20.55</v>
      </c>
      <c r="T3152" s="4">
        <v>20.639999999999901</v>
      </c>
      <c r="U3152" s="4">
        <v>2.9970389999999898</v>
      </c>
      <c r="V3152" t="str">
        <f>IF(Table1[[#This Row],[ai_disruption_intensity]]&gt;70,"High",
IF(Table1[[#This Row],[ai_disruption_intensity]]&gt;40,"Medium","Low"))</f>
        <v>Low</v>
      </c>
      <c r="W3152" t="str">
        <f>IF(Table1[[#This Row],[skill_gap_index]]&gt;70,"Large Gap",
IF(Table1[[#This Row],[skill_gap_index]]&gt;40,"Medium Gap","Small Gap"))</f>
        <v>Small Gap</v>
      </c>
      <c r="X3152" s="3" t="str">
        <f>IF(Table1[[#This Row],[automation_risk_percent]]&gt;0.7,"Highly Automatable",
IF(Table1[[#This Row],[automation_risk_percent]]&gt;0.4,"Moderate Risk","Safe Job"))</f>
        <v>Safe Job</v>
      </c>
    </row>
    <row r="3153" spans="1:24" x14ac:dyDescent="0.3">
      <c r="A3153">
        <v>11010</v>
      </c>
      <c r="B3153" t="s">
        <v>29</v>
      </c>
      <c r="C3153" t="s">
        <v>40</v>
      </c>
      <c r="D3153" t="s">
        <v>31</v>
      </c>
      <c r="E3153" s="1">
        <v>2026</v>
      </c>
      <c r="F3153" s="11">
        <v>0.67430000000000012</v>
      </c>
      <c r="G3153">
        <v>74.209999999999994</v>
      </c>
      <c r="H3153">
        <v>77.09</v>
      </c>
      <c r="I3153" s="2">
        <v>79920.39</v>
      </c>
      <c r="J3153" s="2">
        <v>72496.490000000005</v>
      </c>
      <c r="K3153" s="2">
        <f>Table1[[#This Row],[Salary_after]]-Table1[[#This Row],[Salary_before]]</f>
        <v>-7423.8999999999942</v>
      </c>
      <c r="L3153" s="11">
        <v>-9.2899999999999996E-2</v>
      </c>
      <c r="M3153" s="11">
        <v>0.15720000000000001</v>
      </c>
      <c r="N3153">
        <v>21.18</v>
      </c>
      <c r="O3153">
        <v>11.29</v>
      </c>
      <c r="P3153">
        <v>3</v>
      </c>
      <c r="Q3153" t="s">
        <v>37</v>
      </c>
      <c r="R3153">
        <v>72.260000000000005</v>
      </c>
      <c r="S3153">
        <v>9.2899999999999991</v>
      </c>
      <c r="T3153" s="4">
        <v>52.886000000000003</v>
      </c>
      <c r="U3153" s="4">
        <v>7.6128470000000004</v>
      </c>
      <c r="V3153" t="str">
        <f>IF(Table1[[#This Row],[ai_disruption_intensity]]&gt;70,"High",
IF(Table1[[#This Row],[ai_disruption_intensity]]&gt;40,"Medium","Low"))</f>
        <v>Low</v>
      </c>
      <c r="W3153" t="str">
        <f>IF(Table1[[#This Row],[skill_gap_index]]&gt;70,"Large Gap",
IF(Table1[[#This Row],[skill_gap_index]]&gt;40,"Medium Gap","Small Gap"))</f>
        <v>Large Gap</v>
      </c>
      <c r="X3153" s="3" t="str">
        <f>IF(Table1[[#This Row],[automation_risk_percent]]&gt;0.7,"Highly Automatable",
IF(Table1[[#This Row],[automation_risk_percent]]&gt;0.4,"Moderate Risk","Safe Job"))</f>
        <v>Moderate Risk</v>
      </c>
    </row>
    <row r="3154" spans="1:24" x14ac:dyDescent="0.3">
      <c r="A3154">
        <v>11011</v>
      </c>
      <c r="B3154" t="s">
        <v>41</v>
      </c>
      <c r="C3154" t="s">
        <v>40</v>
      </c>
      <c r="D3154" t="s">
        <v>47</v>
      </c>
      <c r="E3154" s="1">
        <v>2026</v>
      </c>
      <c r="F3154" s="11">
        <v>0.60399999999999998</v>
      </c>
      <c r="G3154">
        <v>57.58</v>
      </c>
      <c r="H3154">
        <v>23.24</v>
      </c>
      <c r="I3154" s="2">
        <v>76941.42</v>
      </c>
      <c r="J3154" s="2">
        <v>86981.4</v>
      </c>
      <c r="K3154" s="2">
        <f>Table1[[#This Row],[Salary_after]]-Table1[[#This Row],[Salary_before]]</f>
        <v>10039.979999999996</v>
      </c>
      <c r="L3154" s="11">
        <v>0.1305</v>
      </c>
      <c r="M3154" s="11">
        <v>-0.16469999999999999</v>
      </c>
      <c r="N3154">
        <v>15.21</v>
      </c>
      <c r="O3154">
        <v>90.8</v>
      </c>
      <c r="P3154">
        <v>1</v>
      </c>
      <c r="Q3154" t="s">
        <v>37</v>
      </c>
      <c r="R3154">
        <v>41.82</v>
      </c>
      <c r="S3154">
        <v>13.05</v>
      </c>
      <c r="T3154" s="4">
        <v>35.046999999999997</v>
      </c>
      <c r="U3154" s="4">
        <v>54.843199999999896</v>
      </c>
      <c r="V3154" t="str">
        <f>IF(Table1[[#This Row],[ai_disruption_intensity]]&gt;70,"High",
IF(Table1[[#This Row],[ai_disruption_intensity]]&gt;40,"Medium","Low"))</f>
        <v>Medium</v>
      </c>
      <c r="W3154" t="str">
        <f>IF(Table1[[#This Row],[skill_gap_index]]&gt;70,"Large Gap",
IF(Table1[[#This Row],[skill_gap_index]]&gt;40,"Medium Gap","Small Gap"))</f>
        <v>Small Gap</v>
      </c>
      <c r="X3154" s="3" t="str">
        <f>IF(Table1[[#This Row],[automation_risk_percent]]&gt;0.7,"Highly Automatable",
IF(Table1[[#This Row],[automation_risk_percent]]&gt;0.4,"Moderate Risk","Safe Job"))</f>
        <v>Moderate Risk</v>
      </c>
    </row>
    <row r="3155" spans="1:24" x14ac:dyDescent="0.3">
      <c r="A3155">
        <v>11012</v>
      </c>
      <c r="B3155" t="s">
        <v>45</v>
      </c>
      <c r="C3155" t="s">
        <v>33</v>
      </c>
      <c r="D3155" t="s">
        <v>47</v>
      </c>
      <c r="E3155" s="1">
        <v>2025</v>
      </c>
      <c r="F3155" s="11">
        <v>0.36049999999999999</v>
      </c>
      <c r="G3155">
        <v>37.72</v>
      </c>
      <c r="H3155">
        <v>30.64</v>
      </c>
      <c r="I3155" s="2">
        <v>121401.11</v>
      </c>
      <c r="J3155" s="2">
        <v>97682.81</v>
      </c>
      <c r="K3155" s="2">
        <f>Table1[[#This Row],[Salary_after]]-Table1[[#This Row],[Salary_before]]</f>
        <v>-23718.300000000003</v>
      </c>
      <c r="L3155" s="11">
        <v>-0.19539999999999999</v>
      </c>
      <c r="M3155" s="11">
        <v>4.6999999999999993E-3</v>
      </c>
      <c r="N3155">
        <v>96.74</v>
      </c>
      <c r="O3155">
        <v>86.52</v>
      </c>
      <c r="P3155">
        <v>4</v>
      </c>
      <c r="Q3155" t="s">
        <v>25</v>
      </c>
      <c r="R3155">
        <v>33.344999999999999</v>
      </c>
      <c r="S3155">
        <v>19.54</v>
      </c>
      <c r="T3155" s="4">
        <v>29.474</v>
      </c>
      <c r="U3155" s="4">
        <v>31.190459999999899</v>
      </c>
      <c r="V3155" t="str">
        <f>IF(Table1[[#This Row],[ai_disruption_intensity]]&gt;70,"High",
IF(Table1[[#This Row],[ai_disruption_intensity]]&gt;40,"Medium","Low"))</f>
        <v>Low</v>
      </c>
      <c r="W3155" t="str">
        <f>IF(Table1[[#This Row],[skill_gap_index]]&gt;70,"Large Gap",
IF(Table1[[#This Row],[skill_gap_index]]&gt;40,"Medium Gap","Small Gap"))</f>
        <v>Small Gap</v>
      </c>
      <c r="X3155" s="3" t="str">
        <f>IF(Table1[[#This Row],[automation_risk_percent]]&gt;0.7,"Highly Automatable",
IF(Table1[[#This Row],[automation_risk_percent]]&gt;0.4,"Moderate Risk","Safe Job"))</f>
        <v>Safe Job</v>
      </c>
    </row>
    <row r="3156" spans="1:24" x14ac:dyDescent="0.3">
      <c r="A3156">
        <v>11024</v>
      </c>
      <c r="B3156" t="s">
        <v>29</v>
      </c>
      <c r="C3156" t="s">
        <v>30</v>
      </c>
      <c r="D3156" t="s">
        <v>28</v>
      </c>
      <c r="E3156" s="1">
        <v>2026</v>
      </c>
      <c r="F3156" s="11">
        <v>0.55449999999999999</v>
      </c>
      <c r="G3156">
        <v>54.16</v>
      </c>
      <c r="H3156">
        <v>15.78</v>
      </c>
      <c r="I3156" s="2">
        <v>34814.5</v>
      </c>
      <c r="J3156" s="2">
        <v>27239.61</v>
      </c>
      <c r="K3156" s="2">
        <f>Table1[[#This Row],[Salary_after]]-Table1[[#This Row],[Salary_before]]</f>
        <v>-7574.8899999999994</v>
      </c>
      <c r="L3156" s="11">
        <v>-0.21760000000000002</v>
      </c>
      <c r="M3156" s="11">
        <v>5.0000000000000001E-3</v>
      </c>
      <c r="N3156">
        <v>35.64</v>
      </c>
      <c r="O3156">
        <v>27.06</v>
      </c>
      <c r="P3156">
        <v>5</v>
      </c>
      <c r="Q3156" t="s">
        <v>25</v>
      </c>
      <c r="R3156">
        <v>35.615000000000002</v>
      </c>
      <c r="S3156">
        <v>21.76</v>
      </c>
      <c r="T3156" s="4">
        <v>33.442</v>
      </c>
      <c r="U3156" s="4">
        <v>15.004770000000001</v>
      </c>
      <c r="V3156" t="str">
        <f>IF(Table1[[#This Row],[ai_disruption_intensity]]&gt;70,"High",
IF(Table1[[#This Row],[ai_disruption_intensity]]&gt;40,"Medium","Low"))</f>
        <v>Low</v>
      </c>
      <c r="W3156" t="str">
        <f>IF(Table1[[#This Row],[skill_gap_index]]&gt;70,"Large Gap",
IF(Table1[[#This Row],[skill_gap_index]]&gt;40,"Medium Gap","Small Gap"))</f>
        <v>Small Gap</v>
      </c>
      <c r="X3156" s="3" t="str">
        <f>IF(Table1[[#This Row],[automation_risk_percent]]&gt;0.7,"Highly Automatable",
IF(Table1[[#This Row],[automation_risk_percent]]&gt;0.4,"Moderate Risk","Safe Job"))</f>
        <v>Moderate Risk</v>
      </c>
    </row>
    <row r="3157" spans="1:24" x14ac:dyDescent="0.3">
      <c r="A3157">
        <v>11026</v>
      </c>
      <c r="B3157" t="s">
        <v>22</v>
      </c>
      <c r="C3157" t="s">
        <v>30</v>
      </c>
      <c r="D3157" t="s">
        <v>24</v>
      </c>
      <c r="E3157" s="1">
        <v>2026</v>
      </c>
      <c r="F3157" s="11">
        <v>0.371</v>
      </c>
      <c r="G3157">
        <v>41.18</v>
      </c>
      <c r="H3157">
        <v>48.06</v>
      </c>
      <c r="I3157" s="2">
        <v>94966.85</v>
      </c>
      <c r="J3157" s="2">
        <v>84833.42</v>
      </c>
      <c r="K3157" s="2">
        <f>Table1[[#This Row],[Salary_after]]-Table1[[#This Row],[Salary_before]]</f>
        <v>-10133.430000000008</v>
      </c>
      <c r="L3157" s="11">
        <v>-0.1067</v>
      </c>
      <c r="M3157" s="11">
        <v>3.1099999999999999E-2</v>
      </c>
      <c r="N3157">
        <v>25.41</v>
      </c>
      <c r="O3157">
        <v>40.049999999999997</v>
      </c>
      <c r="P3157">
        <v>3</v>
      </c>
      <c r="Q3157" t="s">
        <v>25</v>
      </c>
      <c r="R3157">
        <v>42.58</v>
      </c>
      <c r="S3157">
        <v>10.67</v>
      </c>
      <c r="T3157" s="4">
        <v>32.459000000000003</v>
      </c>
      <c r="U3157" s="4">
        <v>14.858549999999999</v>
      </c>
      <c r="V3157" t="str">
        <f>IF(Table1[[#This Row],[ai_disruption_intensity]]&gt;70,"High",
IF(Table1[[#This Row],[ai_disruption_intensity]]&gt;40,"Medium","Low"))</f>
        <v>Low</v>
      </c>
      <c r="W3157" t="str">
        <f>IF(Table1[[#This Row],[skill_gap_index]]&gt;70,"Large Gap",
IF(Table1[[#This Row],[skill_gap_index]]&gt;40,"Medium Gap","Small Gap"))</f>
        <v>Medium Gap</v>
      </c>
      <c r="X3157" s="3" t="str">
        <f>IF(Table1[[#This Row],[automation_risk_percent]]&gt;0.7,"Highly Automatable",
IF(Table1[[#This Row],[automation_risk_percent]]&gt;0.4,"Moderate Risk","Safe Job"))</f>
        <v>Safe Job</v>
      </c>
    </row>
    <row r="3158" spans="1:24" x14ac:dyDescent="0.3">
      <c r="A3158">
        <v>11027</v>
      </c>
      <c r="B3158" t="s">
        <v>22</v>
      </c>
      <c r="C3158" t="s">
        <v>23</v>
      </c>
      <c r="D3158" t="s">
        <v>47</v>
      </c>
      <c r="E3158" s="1">
        <v>2025</v>
      </c>
      <c r="F3158" s="11">
        <v>0.16920000000000002</v>
      </c>
      <c r="G3158">
        <v>14.48</v>
      </c>
      <c r="H3158">
        <v>62.37</v>
      </c>
      <c r="I3158" s="2">
        <v>105989</v>
      </c>
      <c r="J3158" s="2">
        <v>102381.13</v>
      </c>
      <c r="K3158" s="2">
        <f>Table1[[#This Row],[Salary_after]]-Table1[[#This Row],[Salary_before]]</f>
        <v>-3607.8699999999953</v>
      </c>
      <c r="L3158" s="11">
        <v>-3.4000000000000002E-2</v>
      </c>
      <c r="M3158" s="11">
        <v>0.151</v>
      </c>
      <c r="N3158">
        <v>54.82</v>
      </c>
      <c r="O3158">
        <v>80.150000000000006</v>
      </c>
      <c r="P3158">
        <v>4</v>
      </c>
      <c r="Q3158" t="s">
        <v>21</v>
      </c>
      <c r="R3158">
        <v>39.644999999999897</v>
      </c>
      <c r="S3158">
        <v>3.4</v>
      </c>
      <c r="T3158" s="4">
        <v>26.498999999999999</v>
      </c>
      <c r="U3158" s="4">
        <v>13.56138</v>
      </c>
      <c r="V3158" t="str">
        <f>IF(Table1[[#This Row],[ai_disruption_intensity]]&gt;70,"High",
IF(Table1[[#This Row],[ai_disruption_intensity]]&gt;40,"Medium","Low"))</f>
        <v>Low</v>
      </c>
      <c r="W3158" t="str">
        <f>IF(Table1[[#This Row],[skill_gap_index]]&gt;70,"Large Gap",
IF(Table1[[#This Row],[skill_gap_index]]&gt;40,"Medium Gap","Small Gap"))</f>
        <v>Medium Gap</v>
      </c>
      <c r="X3158" s="3" t="str">
        <f>IF(Table1[[#This Row],[automation_risk_percent]]&gt;0.7,"Highly Automatable",
IF(Table1[[#This Row],[automation_risk_percent]]&gt;0.4,"Moderate Risk","Safe Job"))</f>
        <v>Safe Job</v>
      </c>
    </row>
    <row r="3159" spans="1:24" x14ac:dyDescent="0.3">
      <c r="A3159">
        <v>11028</v>
      </c>
      <c r="B3159" t="s">
        <v>18</v>
      </c>
      <c r="C3159" t="s">
        <v>40</v>
      </c>
      <c r="D3159" t="s">
        <v>20</v>
      </c>
      <c r="E3159" s="1">
        <v>2025</v>
      </c>
      <c r="F3159" s="11">
        <v>0.63390000000000002</v>
      </c>
      <c r="G3159">
        <v>59.91</v>
      </c>
      <c r="H3159">
        <v>31.71</v>
      </c>
      <c r="I3159" s="2">
        <v>109721.07</v>
      </c>
      <c r="J3159" s="2">
        <v>125258.11</v>
      </c>
      <c r="K3159" s="2">
        <f>Table1[[#This Row],[Salary_after]]-Table1[[#This Row],[Salary_before]]</f>
        <v>15537.039999999994</v>
      </c>
      <c r="L3159" s="11">
        <v>0.1416</v>
      </c>
      <c r="M3159" s="11">
        <v>-5.2000000000000005E-2</v>
      </c>
      <c r="N3159">
        <v>21.67</v>
      </c>
      <c r="O3159">
        <v>67.2</v>
      </c>
      <c r="P3159">
        <v>4</v>
      </c>
      <c r="Q3159" t="s">
        <v>37</v>
      </c>
      <c r="R3159">
        <v>47.55</v>
      </c>
      <c r="S3159">
        <v>14.16</v>
      </c>
      <c r="T3159" s="4">
        <v>39.116999999999997</v>
      </c>
      <c r="U3159" s="4">
        <v>42.598080000000003</v>
      </c>
      <c r="V3159" t="str">
        <f>IF(Table1[[#This Row],[ai_disruption_intensity]]&gt;70,"High",
IF(Table1[[#This Row],[ai_disruption_intensity]]&gt;40,"Medium","Low"))</f>
        <v>Medium</v>
      </c>
      <c r="W3159" t="str">
        <f>IF(Table1[[#This Row],[skill_gap_index]]&gt;70,"Large Gap",
IF(Table1[[#This Row],[skill_gap_index]]&gt;40,"Medium Gap","Small Gap"))</f>
        <v>Small Gap</v>
      </c>
      <c r="X3159" s="3" t="str">
        <f>IF(Table1[[#This Row],[automation_risk_percent]]&gt;0.7,"Highly Automatable",
IF(Table1[[#This Row],[automation_risk_percent]]&gt;0.4,"Moderate Risk","Safe Job"))</f>
        <v>Moderate Risk</v>
      </c>
    </row>
    <row r="3160" spans="1:24" x14ac:dyDescent="0.3">
      <c r="A3160">
        <v>11033</v>
      </c>
      <c r="B3160" t="s">
        <v>39</v>
      </c>
      <c r="C3160" t="s">
        <v>27</v>
      </c>
      <c r="D3160" t="s">
        <v>31</v>
      </c>
      <c r="E3160" s="1">
        <v>2025</v>
      </c>
      <c r="F3160" s="11">
        <v>0.2127</v>
      </c>
      <c r="G3160">
        <v>25.39</v>
      </c>
      <c r="H3160">
        <v>23.11</v>
      </c>
      <c r="I3160" s="2">
        <v>133071.54999999999</v>
      </c>
      <c r="J3160" s="2">
        <v>128212.97</v>
      </c>
      <c r="K3160" s="2">
        <f>Table1[[#This Row],[Salary_after]]-Table1[[#This Row],[Salary_before]]</f>
        <v>-4858.5799999999872</v>
      </c>
      <c r="L3160" s="11">
        <v>-3.6499999999999998E-2</v>
      </c>
      <c r="M3160" s="11">
        <v>7.0099999999999996E-2</v>
      </c>
      <c r="N3160">
        <v>76.73</v>
      </c>
      <c r="O3160">
        <v>48.43</v>
      </c>
      <c r="P3160">
        <v>2</v>
      </c>
      <c r="Q3160" t="s">
        <v>21</v>
      </c>
      <c r="R3160">
        <v>22.189999999999898</v>
      </c>
      <c r="S3160">
        <v>3.65</v>
      </c>
      <c r="T3160" s="4">
        <v>16.536000000000001</v>
      </c>
      <c r="U3160" s="4">
        <v>10.301060999999899</v>
      </c>
      <c r="V3160" t="str">
        <f>IF(Table1[[#This Row],[ai_disruption_intensity]]&gt;70,"High",
IF(Table1[[#This Row],[ai_disruption_intensity]]&gt;40,"Medium","Low"))</f>
        <v>Low</v>
      </c>
      <c r="W3160" t="str">
        <f>IF(Table1[[#This Row],[skill_gap_index]]&gt;70,"Large Gap",
IF(Table1[[#This Row],[skill_gap_index]]&gt;40,"Medium Gap","Small Gap"))</f>
        <v>Small Gap</v>
      </c>
      <c r="X3160" s="3" t="str">
        <f>IF(Table1[[#This Row],[automation_risk_percent]]&gt;0.7,"Highly Automatable",
IF(Table1[[#This Row],[automation_risk_percent]]&gt;0.4,"Moderate Risk","Safe Job"))</f>
        <v>Safe Job</v>
      </c>
    </row>
    <row r="3161" spans="1:24" x14ac:dyDescent="0.3">
      <c r="A3161">
        <v>11038</v>
      </c>
      <c r="B3161" t="s">
        <v>43</v>
      </c>
      <c r="C3161" t="s">
        <v>19</v>
      </c>
      <c r="D3161" t="s">
        <v>32</v>
      </c>
      <c r="E3161" s="1">
        <v>2026</v>
      </c>
      <c r="F3161" s="11">
        <v>0.25420000000000004</v>
      </c>
      <c r="G3161">
        <v>29.09</v>
      </c>
      <c r="H3161">
        <v>42.38</v>
      </c>
      <c r="I3161" s="2">
        <v>36898.74</v>
      </c>
      <c r="J3161" s="2">
        <v>37816.69</v>
      </c>
      <c r="K3161" s="2">
        <f>Table1[[#This Row],[Salary_after]]-Table1[[#This Row],[Salary_before]]</f>
        <v>917.95000000000437</v>
      </c>
      <c r="L3161" s="11">
        <v>2.4900000000000002E-2</v>
      </c>
      <c r="M3161" s="11">
        <v>0.18</v>
      </c>
      <c r="N3161">
        <v>38.65</v>
      </c>
      <c r="O3161">
        <v>45.29</v>
      </c>
      <c r="P3161">
        <v>3</v>
      </c>
      <c r="Q3161" t="s">
        <v>21</v>
      </c>
      <c r="R3161">
        <v>33.9</v>
      </c>
      <c r="S3161">
        <v>2.4900000000000002</v>
      </c>
      <c r="T3161" s="4">
        <v>23.629000000000001</v>
      </c>
      <c r="U3161" s="4">
        <v>11.512718</v>
      </c>
      <c r="V3161" t="str">
        <f>IF(Table1[[#This Row],[ai_disruption_intensity]]&gt;70,"High",
IF(Table1[[#This Row],[ai_disruption_intensity]]&gt;40,"Medium","Low"))</f>
        <v>Low</v>
      </c>
      <c r="W3161" t="str">
        <f>IF(Table1[[#This Row],[skill_gap_index]]&gt;70,"Large Gap",
IF(Table1[[#This Row],[skill_gap_index]]&gt;40,"Medium Gap","Small Gap"))</f>
        <v>Medium Gap</v>
      </c>
      <c r="X3161" s="3" t="str">
        <f>IF(Table1[[#This Row],[automation_risk_percent]]&gt;0.7,"Highly Automatable",
IF(Table1[[#This Row],[automation_risk_percent]]&gt;0.4,"Moderate Risk","Safe Job"))</f>
        <v>Safe Job</v>
      </c>
    </row>
    <row r="3162" spans="1:24" x14ac:dyDescent="0.3">
      <c r="A3162">
        <v>11043</v>
      </c>
      <c r="B3162" t="s">
        <v>43</v>
      </c>
      <c r="C3162" t="s">
        <v>23</v>
      </c>
      <c r="D3162" t="s">
        <v>32</v>
      </c>
      <c r="E3162" s="1">
        <v>2025</v>
      </c>
      <c r="F3162" s="11">
        <v>0.22359999999999999</v>
      </c>
      <c r="G3162">
        <v>22.26</v>
      </c>
      <c r="H3162">
        <v>93.75</v>
      </c>
      <c r="I3162" s="2">
        <v>138033.60000000001</v>
      </c>
      <c r="J3162" s="2">
        <v>145912.85</v>
      </c>
      <c r="K3162" s="2">
        <f>Table1[[#This Row],[Salary_after]]-Table1[[#This Row],[Salary_before]]</f>
        <v>7879.25</v>
      </c>
      <c r="L3162" s="11">
        <v>5.7099999999999998E-2</v>
      </c>
      <c r="M3162" s="11">
        <v>-2.1000000000000001E-2</v>
      </c>
      <c r="N3162">
        <v>77.709999999999994</v>
      </c>
      <c r="O3162">
        <v>16.53</v>
      </c>
      <c r="P3162">
        <v>1</v>
      </c>
      <c r="Q3162" t="s">
        <v>21</v>
      </c>
      <c r="R3162">
        <v>58.055</v>
      </c>
      <c r="S3162">
        <v>5.71</v>
      </c>
      <c r="T3162" s="4">
        <v>38.781999999999996</v>
      </c>
      <c r="U3162" s="4">
        <v>3.6961080000000002</v>
      </c>
      <c r="V3162" t="str">
        <f>IF(Table1[[#This Row],[ai_disruption_intensity]]&gt;70,"High",
IF(Table1[[#This Row],[ai_disruption_intensity]]&gt;40,"Medium","Low"))</f>
        <v>Low</v>
      </c>
      <c r="W3162" t="str">
        <f>IF(Table1[[#This Row],[skill_gap_index]]&gt;70,"Large Gap",
IF(Table1[[#This Row],[skill_gap_index]]&gt;40,"Medium Gap","Small Gap"))</f>
        <v>Large Gap</v>
      </c>
      <c r="X3162" s="3" t="str">
        <f>IF(Table1[[#This Row],[automation_risk_percent]]&gt;0.7,"Highly Automatable",
IF(Table1[[#This Row],[automation_risk_percent]]&gt;0.4,"Moderate Risk","Safe Job"))</f>
        <v>Safe Job</v>
      </c>
    </row>
    <row r="3163" spans="1:24" x14ac:dyDescent="0.3">
      <c r="A3163">
        <v>11047</v>
      </c>
      <c r="B3163" t="s">
        <v>29</v>
      </c>
      <c r="C3163" t="s">
        <v>27</v>
      </c>
      <c r="D3163" t="s">
        <v>31</v>
      </c>
      <c r="E3163" s="1">
        <v>2025</v>
      </c>
      <c r="F3163" s="11">
        <v>0.60709999999999997</v>
      </c>
      <c r="G3163">
        <v>51.14</v>
      </c>
      <c r="H3163">
        <v>19.25</v>
      </c>
      <c r="I3163" s="2">
        <v>109440.37</v>
      </c>
      <c r="J3163" s="2">
        <v>102173.9</v>
      </c>
      <c r="K3163" s="2">
        <f>Table1[[#This Row],[Salary_after]]-Table1[[#This Row],[Salary_before]]</f>
        <v>-7266.4700000000012</v>
      </c>
      <c r="L3163" s="11">
        <v>-6.6400000000000001E-2</v>
      </c>
      <c r="M3163" s="11">
        <v>0.1497</v>
      </c>
      <c r="N3163">
        <v>89.52</v>
      </c>
      <c r="O3163">
        <v>88.52</v>
      </c>
      <c r="P3163">
        <v>5</v>
      </c>
      <c r="Q3163" t="s">
        <v>37</v>
      </c>
      <c r="R3163">
        <v>39.979999999999997</v>
      </c>
      <c r="S3163">
        <v>6.64</v>
      </c>
      <c r="T3163" s="4">
        <v>32.051000000000002</v>
      </c>
      <c r="U3163" s="4">
        <v>53.740491999999897</v>
      </c>
      <c r="V3163" t="str">
        <f>IF(Table1[[#This Row],[ai_disruption_intensity]]&gt;70,"High",
IF(Table1[[#This Row],[ai_disruption_intensity]]&gt;40,"Medium","Low"))</f>
        <v>Medium</v>
      </c>
      <c r="W3163" t="str">
        <f>IF(Table1[[#This Row],[skill_gap_index]]&gt;70,"Large Gap",
IF(Table1[[#This Row],[skill_gap_index]]&gt;40,"Medium Gap","Small Gap"))</f>
        <v>Small Gap</v>
      </c>
      <c r="X3163" s="3" t="str">
        <f>IF(Table1[[#This Row],[automation_risk_percent]]&gt;0.7,"Highly Automatable",
IF(Table1[[#This Row],[automation_risk_percent]]&gt;0.4,"Moderate Risk","Safe Job"))</f>
        <v>Moderate Risk</v>
      </c>
    </row>
    <row r="3164" spans="1:24" x14ac:dyDescent="0.3">
      <c r="A3164">
        <v>11048</v>
      </c>
      <c r="B3164" t="s">
        <v>39</v>
      </c>
      <c r="C3164" t="s">
        <v>38</v>
      </c>
      <c r="D3164" t="s">
        <v>24</v>
      </c>
      <c r="E3164" s="1">
        <v>2026</v>
      </c>
      <c r="F3164" s="11">
        <v>0.68650000000000011</v>
      </c>
      <c r="G3164">
        <v>63.37</v>
      </c>
      <c r="H3164">
        <v>65.59</v>
      </c>
      <c r="I3164" s="2">
        <v>84170.75</v>
      </c>
      <c r="J3164" s="2">
        <v>64452.55</v>
      </c>
      <c r="K3164" s="2">
        <f>Table1[[#This Row],[Salary_after]]-Table1[[#This Row],[Salary_before]]</f>
        <v>-19718.199999999997</v>
      </c>
      <c r="L3164" s="11">
        <v>-0.23430000000000001</v>
      </c>
      <c r="M3164" s="11">
        <v>0.15090000000000001</v>
      </c>
      <c r="N3164">
        <v>10.36</v>
      </c>
      <c r="O3164">
        <v>1</v>
      </c>
      <c r="P3164">
        <v>2</v>
      </c>
      <c r="Q3164" t="s">
        <v>37</v>
      </c>
      <c r="R3164">
        <v>67.12</v>
      </c>
      <c r="S3164">
        <v>23.43</v>
      </c>
      <c r="T3164" s="4">
        <v>54.165999999999997</v>
      </c>
      <c r="U3164" s="4">
        <v>0.6865</v>
      </c>
      <c r="V3164" t="str">
        <f>IF(Table1[[#This Row],[ai_disruption_intensity]]&gt;70,"High",
IF(Table1[[#This Row],[ai_disruption_intensity]]&gt;40,"Medium","Low"))</f>
        <v>Low</v>
      </c>
      <c r="W3164" t="str">
        <f>IF(Table1[[#This Row],[skill_gap_index]]&gt;70,"Large Gap",
IF(Table1[[#This Row],[skill_gap_index]]&gt;40,"Medium Gap","Small Gap"))</f>
        <v>Medium Gap</v>
      </c>
      <c r="X3164" s="3" t="str">
        <f>IF(Table1[[#This Row],[automation_risk_percent]]&gt;0.7,"Highly Automatable",
IF(Table1[[#This Row],[automation_risk_percent]]&gt;0.4,"Moderate Risk","Safe Job"))</f>
        <v>Moderate Risk</v>
      </c>
    </row>
    <row r="3165" spans="1:24" x14ac:dyDescent="0.3">
      <c r="A3165">
        <v>11050</v>
      </c>
      <c r="B3165" t="s">
        <v>46</v>
      </c>
      <c r="C3165" t="s">
        <v>38</v>
      </c>
      <c r="D3165" t="s">
        <v>36</v>
      </c>
      <c r="E3165" s="1">
        <v>2025</v>
      </c>
      <c r="F3165" s="11">
        <v>0.3614</v>
      </c>
      <c r="G3165">
        <v>33.369999999999997</v>
      </c>
      <c r="H3165">
        <v>66.36</v>
      </c>
      <c r="I3165" s="2">
        <v>91349.26</v>
      </c>
      <c r="J3165" s="2">
        <v>98913.02</v>
      </c>
      <c r="K3165" s="2">
        <f>Table1[[#This Row],[Salary_after]]-Table1[[#This Row],[Salary_before]]</f>
        <v>7563.7600000000093</v>
      </c>
      <c r="L3165" s="11">
        <v>8.2799999999999999E-2</v>
      </c>
      <c r="M3165" s="11">
        <v>-0.18870000000000001</v>
      </c>
      <c r="N3165">
        <v>95.83</v>
      </c>
      <c r="O3165">
        <v>6.93</v>
      </c>
      <c r="P3165">
        <v>1</v>
      </c>
      <c r="Q3165" t="s">
        <v>25</v>
      </c>
      <c r="R3165">
        <v>51.25</v>
      </c>
      <c r="S3165">
        <v>8.2799999999999994</v>
      </c>
      <c r="T3165" s="4">
        <v>36.847999999999999</v>
      </c>
      <c r="U3165" s="4">
        <v>2.504502</v>
      </c>
      <c r="V3165" t="str">
        <f>IF(Table1[[#This Row],[ai_disruption_intensity]]&gt;70,"High",
IF(Table1[[#This Row],[ai_disruption_intensity]]&gt;40,"Medium","Low"))</f>
        <v>Low</v>
      </c>
      <c r="W3165" t="str">
        <f>IF(Table1[[#This Row],[skill_gap_index]]&gt;70,"Large Gap",
IF(Table1[[#This Row],[skill_gap_index]]&gt;40,"Medium Gap","Small Gap"))</f>
        <v>Medium Gap</v>
      </c>
      <c r="X3165" s="3" t="str">
        <f>IF(Table1[[#This Row],[automation_risk_percent]]&gt;0.7,"Highly Automatable",
IF(Table1[[#This Row],[automation_risk_percent]]&gt;0.4,"Moderate Risk","Safe Job"))</f>
        <v>Safe Job</v>
      </c>
    </row>
    <row r="3166" spans="1:24" x14ac:dyDescent="0.3">
      <c r="A3166">
        <v>11051</v>
      </c>
      <c r="B3166" t="s">
        <v>39</v>
      </c>
      <c r="C3166" t="s">
        <v>19</v>
      </c>
      <c r="D3166" t="s">
        <v>35</v>
      </c>
      <c r="E3166" s="1">
        <v>2025</v>
      </c>
      <c r="F3166" s="11">
        <v>0.74680000000000002</v>
      </c>
      <c r="G3166">
        <v>63.52</v>
      </c>
      <c r="H3166">
        <v>20.64</v>
      </c>
      <c r="I3166" s="2">
        <v>147501.67000000001</v>
      </c>
      <c r="J3166" s="2">
        <v>139708.32</v>
      </c>
      <c r="K3166" s="2">
        <f>Table1[[#This Row],[Salary_after]]-Table1[[#This Row],[Salary_before]]</f>
        <v>-7793.3500000000058</v>
      </c>
      <c r="L3166" s="11">
        <v>-5.28E-2</v>
      </c>
      <c r="M3166" s="11">
        <v>0.1605</v>
      </c>
      <c r="N3166">
        <v>46.42</v>
      </c>
      <c r="O3166">
        <v>29.91</v>
      </c>
      <c r="P3166">
        <v>3</v>
      </c>
      <c r="Q3166" t="s">
        <v>37</v>
      </c>
      <c r="R3166">
        <v>47.66</v>
      </c>
      <c r="S3166">
        <v>5.28</v>
      </c>
      <c r="T3166" s="4">
        <v>37.648000000000003</v>
      </c>
      <c r="U3166" s="4">
        <v>22.336787999999999</v>
      </c>
      <c r="V3166" t="str">
        <f>IF(Table1[[#This Row],[ai_disruption_intensity]]&gt;70,"High",
IF(Table1[[#This Row],[ai_disruption_intensity]]&gt;40,"Medium","Low"))</f>
        <v>Low</v>
      </c>
      <c r="W3166" t="str">
        <f>IF(Table1[[#This Row],[skill_gap_index]]&gt;70,"Large Gap",
IF(Table1[[#This Row],[skill_gap_index]]&gt;40,"Medium Gap","Small Gap"))</f>
        <v>Small Gap</v>
      </c>
      <c r="X3166" s="3" t="str">
        <f>IF(Table1[[#This Row],[automation_risk_percent]]&gt;0.7,"Highly Automatable",
IF(Table1[[#This Row],[automation_risk_percent]]&gt;0.4,"Moderate Risk","Safe Job"))</f>
        <v>Highly Automatable</v>
      </c>
    </row>
    <row r="3167" spans="1:24" x14ac:dyDescent="0.3">
      <c r="A3167">
        <v>11053</v>
      </c>
      <c r="B3167" t="s">
        <v>22</v>
      </c>
      <c r="C3167" t="s">
        <v>30</v>
      </c>
      <c r="D3167" t="s">
        <v>31</v>
      </c>
      <c r="E3167" s="1">
        <v>2025</v>
      </c>
      <c r="F3167" s="11">
        <v>0.74709999999999999</v>
      </c>
      <c r="G3167">
        <v>85.25</v>
      </c>
      <c r="H3167">
        <v>53.46</v>
      </c>
      <c r="I3167" s="2">
        <v>46036.11</v>
      </c>
      <c r="J3167" s="2">
        <v>45666.93</v>
      </c>
      <c r="K3167" s="2">
        <f>Table1[[#This Row],[Salary_after]]-Table1[[#This Row],[Salary_before]]</f>
        <v>-369.18000000000029</v>
      </c>
      <c r="L3167" s="11">
        <v>-8.0000000000000002E-3</v>
      </c>
      <c r="M3167" s="11">
        <v>-7.17E-2</v>
      </c>
      <c r="N3167">
        <v>65.56</v>
      </c>
      <c r="O3167">
        <v>97.86</v>
      </c>
      <c r="P3167">
        <v>1</v>
      </c>
      <c r="Q3167" t="s">
        <v>37</v>
      </c>
      <c r="R3167">
        <v>64.084999999999994</v>
      </c>
      <c r="S3167">
        <v>0.8</v>
      </c>
      <c r="T3167" s="4">
        <v>46.161999999999999</v>
      </c>
      <c r="U3167" s="4">
        <v>73.111205999999996</v>
      </c>
      <c r="V3167" t="str">
        <f>IF(Table1[[#This Row],[ai_disruption_intensity]]&gt;70,"High",
IF(Table1[[#This Row],[ai_disruption_intensity]]&gt;40,"Medium","Low"))</f>
        <v>High</v>
      </c>
      <c r="W3167" t="str">
        <f>IF(Table1[[#This Row],[skill_gap_index]]&gt;70,"Large Gap",
IF(Table1[[#This Row],[skill_gap_index]]&gt;40,"Medium Gap","Small Gap"))</f>
        <v>Medium Gap</v>
      </c>
      <c r="X3167" s="3" t="str">
        <f>IF(Table1[[#This Row],[automation_risk_percent]]&gt;0.7,"Highly Automatable",
IF(Table1[[#This Row],[automation_risk_percent]]&gt;0.4,"Moderate Risk","Safe Job"))</f>
        <v>Highly Automatable</v>
      </c>
    </row>
    <row r="3168" spans="1:24" x14ac:dyDescent="0.3">
      <c r="A3168">
        <v>11055</v>
      </c>
      <c r="B3168" t="s">
        <v>43</v>
      </c>
      <c r="C3168" t="s">
        <v>40</v>
      </c>
      <c r="D3168" t="s">
        <v>36</v>
      </c>
      <c r="E3168" s="1">
        <v>2025</v>
      </c>
      <c r="F3168" s="11">
        <v>0.7863</v>
      </c>
      <c r="G3168">
        <v>85.46</v>
      </c>
      <c r="H3168">
        <v>45.23</v>
      </c>
      <c r="I3168" s="2">
        <v>132945.91</v>
      </c>
      <c r="J3168" s="2">
        <v>127608.35</v>
      </c>
      <c r="K3168" s="2">
        <f>Table1[[#This Row],[Salary_after]]-Table1[[#This Row],[Salary_before]]</f>
        <v>-5337.5599999999977</v>
      </c>
      <c r="L3168" s="11">
        <v>-4.0099999999999997E-2</v>
      </c>
      <c r="M3168" s="11">
        <v>-6.7000000000000004E-2</v>
      </c>
      <c r="N3168">
        <v>36.53</v>
      </c>
      <c r="O3168">
        <v>99.55</v>
      </c>
      <c r="P3168">
        <v>1</v>
      </c>
      <c r="Q3168" t="s">
        <v>37</v>
      </c>
      <c r="R3168">
        <v>61.9299999999999</v>
      </c>
      <c r="S3168">
        <v>4.01</v>
      </c>
      <c r="T3168" s="4">
        <v>46.223999999999997</v>
      </c>
      <c r="U3168" s="4">
        <v>78.276164999999907</v>
      </c>
      <c r="V3168" t="str">
        <f>IF(Table1[[#This Row],[ai_disruption_intensity]]&gt;70,"High",
IF(Table1[[#This Row],[ai_disruption_intensity]]&gt;40,"Medium","Low"))</f>
        <v>High</v>
      </c>
      <c r="W3168" t="str">
        <f>IF(Table1[[#This Row],[skill_gap_index]]&gt;70,"Large Gap",
IF(Table1[[#This Row],[skill_gap_index]]&gt;40,"Medium Gap","Small Gap"))</f>
        <v>Medium Gap</v>
      </c>
      <c r="X3168" s="3" t="str">
        <f>IF(Table1[[#This Row],[automation_risk_percent]]&gt;0.7,"Highly Automatable",
IF(Table1[[#This Row],[automation_risk_percent]]&gt;0.4,"Moderate Risk","Safe Job"))</f>
        <v>Highly Automatable</v>
      </c>
    </row>
    <row r="3169" spans="1:24" x14ac:dyDescent="0.3">
      <c r="A3169">
        <v>11073</v>
      </c>
      <c r="B3169" t="s">
        <v>46</v>
      </c>
      <c r="C3169" t="s">
        <v>38</v>
      </c>
      <c r="D3169" t="s">
        <v>24</v>
      </c>
      <c r="E3169" s="1">
        <v>2025</v>
      </c>
      <c r="F3169" s="11">
        <v>0.58099999999999996</v>
      </c>
      <c r="G3169">
        <v>57.2</v>
      </c>
      <c r="H3169">
        <v>50.99</v>
      </c>
      <c r="I3169" s="2">
        <v>146238.54999999999</v>
      </c>
      <c r="J3169" s="2">
        <v>141610</v>
      </c>
      <c r="K3169" s="2">
        <f>Table1[[#This Row],[Salary_after]]-Table1[[#This Row],[Salary_before]]</f>
        <v>-4628.5499999999884</v>
      </c>
      <c r="L3169" s="11">
        <v>-3.1699999999999999E-2</v>
      </c>
      <c r="M3169" s="11">
        <v>0.1303</v>
      </c>
      <c r="N3169">
        <v>95.45</v>
      </c>
      <c r="O3169">
        <v>10.31</v>
      </c>
      <c r="P3169">
        <v>2</v>
      </c>
      <c r="Q3169" t="s">
        <v>25</v>
      </c>
      <c r="R3169">
        <v>54.545000000000002</v>
      </c>
      <c r="S3169">
        <v>3.17</v>
      </c>
      <c r="T3169" s="4">
        <v>39.488</v>
      </c>
      <c r="U3169" s="4">
        <v>5.9901099999999996</v>
      </c>
      <c r="V3169" t="str">
        <f>IF(Table1[[#This Row],[ai_disruption_intensity]]&gt;70,"High",
IF(Table1[[#This Row],[ai_disruption_intensity]]&gt;40,"Medium","Low"))</f>
        <v>Low</v>
      </c>
      <c r="W3169" t="str">
        <f>IF(Table1[[#This Row],[skill_gap_index]]&gt;70,"Large Gap",
IF(Table1[[#This Row],[skill_gap_index]]&gt;40,"Medium Gap","Small Gap"))</f>
        <v>Medium Gap</v>
      </c>
      <c r="X3169" s="3" t="str">
        <f>IF(Table1[[#This Row],[automation_risk_percent]]&gt;0.7,"Highly Automatable",
IF(Table1[[#This Row],[automation_risk_percent]]&gt;0.4,"Moderate Risk","Safe Job"))</f>
        <v>Moderate Risk</v>
      </c>
    </row>
    <row r="3170" spans="1:24" x14ac:dyDescent="0.3">
      <c r="A3170">
        <v>11074</v>
      </c>
      <c r="B3170" t="s">
        <v>22</v>
      </c>
      <c r="C3170" t="s">
        <v>19</v>
      </c>
      <c r="D3170" t="s">
        <v>28</v>
      </c>
      <c r="E3170" s="1">
        <v>2025</v>
      </c>
      <c r="F3170" s="11">
        <v>0.1183</v>
      </c>
      <c r="G3170">
        <v>11.99</v>
      </c>
      <c r="H3170">
        <v>76.989999999999995</v>
      </c>
      <c r="I3170" s="2">
        <v>56512.81</v>
      </c>
      <c r="J3170" s="2">
        <v>53847.46</v>
      </c>
      <c r="K3170" s="2">
        <f>Table1[[#This Row],[Salary_after]]-Table1[[#This Row],[Salary_before]]</f>
        <v>-2665.3499999999985</v>
      </c>
      <c r="L3170" s="11">
        <v>-4.7199999999999999E-2</v>
      </c>
      <c r="M3170" s="11">
        <v>0.02</v>
      </c>
      <c r="N3170">
        <v>82.8</v>
      </c>
      <c r="O3170">
        <v>65.959999999999994</v>
      </c>
      <c r="P3170">
        <v>5</v>
      </c>
      <c r="Q3170" t="s">
        <v>21</v>
      </c>
      <c r="R3170">
        <v>44.41</v>
      </c>
      <c r="S3170">
        <v>4.72</v>
      </c>
      <c r="T3170" s="4">
        <v>29.244999999999902</v>
      </c>
      <c r="U3170" s="4">
        <v>7.8030679999999997</v>
      </c>
      <c r="V3170" t="str">
        <f>IF(Table1[[#This Row],[ai_disruption_intensity]]&gt;70,"High",
IF(Table1[[#This Row],[ai_disruption_intensity]]&gt;40,"Medium","Low"))</f>
        <v>Low</v>
      </c>
      <c r="W3170" t="str">
        <f>IF(Table1[[#This Row],[skill_gap_index]]&gt;70,"Large Gap",
IF(Table1[[#This Row],[skill_gap_index]]&gt;40,"Medium Gap","Small Gap"))</f>
        <v>Large Gap</v>
      </c>
      <c r="X3170" s="3" t="str">
        <f>IF(Table1[[#This Row],[automation_risk_percent]]&gt;0.7,"Highly Automatable",
IF(Table1[[#This Row],[automation_risk_percent]]&gt;0.4,"Moderate Risk","Safe Job"))</f>
        <v>Safe Job</v>
      </c>
    </row>
    <row r="3171" spans="1:24" x14ac:dyDescent="0.3">
      <c r="A3171">
        <v>11078</v>
      </c>
      <c r="B3171" t="s">
        <v>18</v>
      </c>
      <c r="C3171" t="s">
        <v>34</v>
      </c>
      <c r="D3171" t="s">
        <v>24</v>
      </c>
      <c r="E3171" s="1">
        <v>2025</v>
      </c>
      <c r="F3171" s="11">
        <v>0.59570000000000001</v>
      </c>
      <c r="G3171">
        <v>65.34</v>
      </c>
      <c r="H3171">
        <v>59.48</v>
      </c>
      <c r="I3171" s="2">
        <v>136269.99</v>
      </c>
      <c r="J3171" s="2">
        <v>152159.04000000001</v>
      </c>
      <c r="K3171" s="2">
        <f>Table1[[#This Row],[Salary_after]]-Table1[[#This Row],[Salary_before]]</f>
        <v>15889.050000000017</v>
      </c>
      <c r="L3171" s="11">
        <v>0.1166</v>
      </c>
      <c r="M3171" s="11">
        <v>-6.9800000000000001E-2</v>
      </c>
      <c r="N3171">
        <v>15.82</v>
      </c>
      <c r="O3171">
        <v>13.82</v>
      </c>
      <c r="P3171">
        <v>5</v>
      </c>
      <c r="Q3171" t="s">
        <v>25</v>
      </c>
      <c r="R3171">
        <v>59.524999999999999</v>
      </c>
      <c r="S3171">
        <v>11.66</v>
      </c>
      <c r="T3171" s="4">
        <v>45.169999999999902</v>
      </c>
      <c r="U3171" s="4">
        <v>8.2325739999999996</v>
      </c>
      <c r="V3171" t="str">
        <f>IF(Table1[[#This Row],[ai_disruption_intensity]]&gt;70,"High",
IF(Table1[[#This Row],[ai_disruption_intensity]]&gt;40,"Medium","Low"))</f>
        <v>Low</v>
      </c>
      <c r="W3171" t="str">
        <f>IF(Table1[[#This Row],[skill_gap_index]]&gt;70,"Large Gap",
IF(Table1[[#This Row],[skill_gap_index]]&gt;40,"Medium Gap","Small Gap"))</f>
        <v>Medium Gap</v>
      </c>
      <c r="X3171" s="3" t="str">
        <f>IF(Table1[[#This Row],[automation_risk_percent]]&gt;0.7,"Highly Automatable",
IF(Table1[[#This Row],[automation_risk_percent]]&gt;0.4,"Moderate Risk","Safe Job"))</f>
        <v>Moderate Risk</v>
      </c>
    </row>
    <row r="3172" spans="1:24" x14ac:dyDescent="0.3">
      <c r="A3172">
        <v>11080</v>
      </c>
      <c r="B3172" t="s">
        <v>22</v>
      </c>
      <c r="C3172" t="s">
        <v>38</v>
      </c>
      <c r="D3172" t="s">
        <v>31</v>
      </c>
      <c r="E3172" s="1">
        <v>2025</v>
      </c>
      <c r="F3172" s="11">
        <v>0.64119999999999999</v>
      </c>
      <c r="G3172">
        <v>59.39</v>
      </c>
      <c r="H3172">
        <v>22.22</v>
      </c>
      <c r="I3172" s="2">
        <v>114872.64</v>
      </c>
      <c r="J3172" s="2">
        <v>114795.93</v>
      </c>
      <c r="K3172" s="2">
        <f>Table1[[#This Row],[Salary_after]]-Table1[[#This Row],[Salary_before]]</f>
        <v>-76.710000000006403</v>
      </c>
      <c r="L3172" s="11">
        <v>-7.000000000000001E-4</v>
      </c>
      <c r="M3172" s="11">
        <v>-0.10009999999999999</v>
      </c>
      <c r="N3172">
        <v>38.58</v>
      </c>
      <c r="O3172">
        <v>82.35</v>
      </c>
      <c r="P3172">
        <v>4</v>
      </c>
      <c r="Q3172" t="s">
        <v>37</v>
      </c>
      <c r="R3172">
        <v>43.17</v>
      </c>
      <c r="S3172">
        <v>7.0000000000000007E-2</v>
      </c>
      <c r="T3172" s="4">
        <v>32.335000000000001</v>
      </c>
      <c r="U3172" s="4">
        <v>52.802819999999997</v>
      </c>
      <c r="V3172" t="str">
        <f>IF(Table1[[#This Row],[ai_disruption_intensity]]&gt;70,"High",
IF(Table1[[#This Row],[ai_disruption_intensity]]&gt;40,"Medium","Low"))</f>
        <v>Medium</v>
      </c>
      <c r="W3172" t="str">
        <f>IF(Table1[[#This Row],[skill_gap_index]]&gt;70,"Large Gap",
IF(Table1[[#This Row],[skill_gap_index]]&gt;40,"Medium Gap","Small Gap"))</f>
        <v>Small Gap</v>
      </c>
      <c r="X3172" s="3" t="str">
        <f>IF(Table1[[#This Row],[automation_risk_percent]]&gt;0.7,"Highly Automatable",
IF(Table1[[#This Row],[automation_risk_percent]]&gt;0.4,"Moderate Risk","Safe Job"))</f>
        <v>Moderate Risk</v>
      </c>
    </row>
    <row r="3173" spans="1:24" x14ac:dyDescent="0.3">
      <c r="A3173">
        <v>11087</v>
      </c>
      <c r="B3173" t="s">
        <v>44</v>
      </c>
      <c r="C3173" t="s">
        <v>34</v>
      </c>
      <c r="D3173" t="s">
        <v>42</v>
      </c>
      <c r="E3173" s="1">
        <v>2026</v>
      </c>
      <c r="F3173" s="11">
        <v>0.76329999999999998</v>
      </c>
      <c r="G3173">
        <v>66.400000000000006</v>
      </c>
      <c r="H3173">
        <v>92.54</v>
      </c>
      <c r="I3173" s="2">
        <v>144002.43</v>
      </c>
      <c r="J3173" s="2">
        <v>141903.84</v>
      </c>
      <c r="K3173" s="2">
        <f>Table1[[#This Row],[Salary_after]]-Table1[[#This Row],[Salary_before]]</f>
        <v>-2098.5899999999965</v>
      </c>
      <c r="L3173" s="11">
        <v>-1.46E-2</v>
      </c>
      <c r="M3173" s="11">
        <v>5.9699999999999996E-2</v>
      </c>
      <c r="N3173">
        <v>60.25</v>
      </c>
      <c r="O3173">
        <v>35.43</v>
      </c>
      <c r="P3173">
        <v>2</v>
      </c>
      <c r="Q3173" t="s">
        <v>37</v>
      </c>
      <c r="R3173">
        <v>84.435000000000002</v>
      </c>
      <c r="S3173">
        <v>1.46</v>
      </c>
      <c r="T3173" s="4">
        <v>58.731999999999999</v>
      </c>
      <c r="U3173" s="4">
        <v>27.043718999999999</v>
      </c>
      <c r="V3173" t="str">
        <f>IF(Table1[[#This Row],[ai_disruption_intensity]]&gt;70,"High",
IF(Table1[[#This Row],[ai_disruption_intensity]]&gt;40,"Medium","Low"))</f>
        <v>Low</v>
      </c>
      <c r="W3173" t="str">
        <f>IF(Table1[[#This Row],[skill_gap_index]]&gt;70,"Large Gap",
IF(Table1[[#This Row],[skill_gap_index]]&gt;40,"Medium Gap","Small Gap"))</f>
        <v>Large Gap</v>
      </c>
      <c r="X3173" s="3" t="str">
        <f>IF(Table1[[#This Row],[automation_risk_percent]]&gt;0.7,"Highly Automatable",
IF(Table1[[#This Row],[automation_risk_percent]]&gt;0.4,"Moderate Risk","Safe Job"))</f>
        <v>Highly Automatable</v>
      </c>
    </row>
    <row r="3174" spans="1:24" x14ac:dyDescent="0.3">
      <c r="A3174">
        <v>11088</v>
      </c>
      <c r="B3174" t="s">
        <v>22</v>
      </c>
      <c r="C3174" t="s">
        <v>38</v>
      </c>
      <c r="D3174" t="s">
        <v>35</v>
      </c>
      <c r="E3174" s="1">
        <v>2026</v>
      </c>
      <c r="F3174" s="11">
        <v>0.67409999999999992</v>
      </c>
      <c r="G3174">
        <v>62.08</v>
      </c>
      <c r="H3174">
        <v>45.13</v>
      </c>
      <c r="I3174" s="2">
        <v>98842.98</v>
      </c>
      <c r="J3174" s="2">
        <v>99815.89</v>
      </c>
      <c r="K3174" s="2">
        <f>Table1[[#This Row],[Salary_after]]-Table1[[#This Row],[Salary_before]]</f>
        <v>972.91000000000349</v>
      </c>
      <c r="L3174" s="11">
        <v>9.7999999999999997E-3</v>
      </c>
      <c r="M3174" s="11">
        <v>8.0000000000000002E-3</v>
      </c>
      <c r="N3174">
        <v>40.98</v>
      </c>
      <c r="O3174">
        <v>52.92</v>
      </c>
      <c r="P3174">
        <v>3</v>
      </c>
      <c r="Q3174" t="s">
        <v>37</v>
      </c>
      <c r="R3174">
        <v>56.269999999999897</v>
      </c>
      <c r="S3174">
        <v>0.98</v>
      </c>
      <c r="T3174" s="4">
        <v>40.796999999999997</v>
      </c>
      <c r="U3174" s="4">
        <v>35.673372000000001</v>
      </c>
      <c r="V3174" t="str">
        <f>IF(Table1[[#This Row],[ai_disruption_intensity]]&gt;70,"High",
IF(Table1[[#This Row],[ai_disruption_intensity]]&gt;40,"Medium","Low"))</f>
        <v>Low</v>
      </c>
      <c r="W3174" t="str">
        <f>IF(Table1[[#This Row],[skill_gap_index]]&gt;70,"Large Gap",
IF(Table1[[#This Row],[skill_gap_index]]&gt;40,"Medium Gap","Small Gap"))</f>
        <v>Medium Gap</v>
      </c>
      <c r="X3174" s="3" t="str">
        <f>IF(Table1[[#This Row],[automation_risk_percent]]&gt;0.7,"Highly Automatable",
IF(Table1[[#This Row],[automation_risk_percent]]&gt;0.4,"Moderate Risk","Safe Job"))</f>
        <v>Moderate Risk</v>
      </c>
    </row>
    <row r="3175" spans="1:24" x14ac:dyDescent="0.3">
      <c r="A3175">
        <v>11091</v>
      </c>
      <c r="B3175" t="s">
        <v>43</v>
      </c>
      <c r="C3175" t="s">
        <v>34</v>
      </c>
      <c r="D3175" t="s">
        <v>32</v>
      </c>
      <c r="E3175" s="1">
        <v>2026</v>
      </c>
      <c r="F3175" s="11">
        <v>0.69349999999999989</v>
      </c>
      <c r="G3175">
        <v>59.02</v>
      </c>
      <c r="H3175">
        <v>93.37</v>
      </c>
      <c r="I3175" s="2">
        <v>46640.88</v>
      </c>
      <c r="J3175" s="2">
        <v>47803.39</v>
      </c>
      <c r="K3175" s="2">
        <f>Table1[[#This Row],[Salary_after]]-Table1[[#This Row],[Salary_before]]</f>
        <v>1162.510000000002</v>
      </c>
      <c r="L3175" s="11">
        <v>2.4900000000000002E-2</v>
      </c>
      <c r="M3175" s="11">
        <v>-0.14779999999999999</v>
      </c>
      <c r="N3175">
        <v>94</v>
      </c>
      <c r="O3175">
        <v>62.72</v>
      </c>
      <c r="P3175">
        <v>2</v>
      </c>
      <c r="Q3175" t="s">
        <v>37</v>
      </c>
      <c r="R3175">
        <v>81.36</v>
      </c>
      <c r="S3175">
        <v>2.4900000000000002</v>
      </c>
      <c r="T3175" s="4">
        <v>56.497999999999998</v>
      </c>
      <c r="U3175" s="4">
        <v>43.496319999999997</v>
      </c>
      <c r="V3175" t="str">
        <f>IF(Table1[[#This Row],[ai_disruption_intensity]]&gt;70,"High",
IF(Table1[[#This Row],[ai_disruption_intensity]]&gt;40,"Medium","Low"))</f>
        <v>Medium</v>
      </c>
      <c r="W3175" t="str">
        <f>IF(Table1[[#This Row],[skill_gap_index]]&gt;70,"Large Gap",
IF(Table1[[#This Row],[skill_gap_index]]&gt;40,"Medium Gap","Small Gap"))</f>
        <v>Large Gap</v>
      </c>
      <c r="X3175" s="3" t="str">
        <f>IF(Table1[[#This Row],[automation_risk_percent]]&gt;0.7,"Highly Automatable",
IF(Table1[[#This Row],[automation_risk_percent]]&gt;0.4,"Moderate Risk","Safe Job"))</f>
        <v>Moderate Risk</v>
      </c>
    </row>
    <row r="3176" spans="1:24" x14ac:dyDescent="0.3">
      <c r="A3176">
        <v>11092</v>
      </c>
      <c r="B3176" t="s">
        <v>43</v>
      </c>
      <c r="C3176" t="s">
        <v>40</v>
      </c>
      <c r="D3176" t="s">
        <v>31</v>
      </c>
      <c r="E3176" s="1">
        <v>2026</v>
      </c>
      <c r="F3176" s="11">
        <v>0.71250000000000002</v>
      </c>
      <c r="G3176">
        <v>83.84</v>
      </c>
      <c r="H3176">
        <v>74.849999999999994</v>
      </c>
      <c r="I3176" s="2">
        <v>87828.85</v>
      </c>
      <c r="J3176" s="2">
        <v>74782.77</v>
      </c>
      <c r="K3176" s="2">
        <f>Table1[[#This Row],[Salary_after]]-Table1[[#This Row],[Salary_before]]</f>
        <v>-13046.080000000002</v>
      </c>
      <c r="L3176" s="11">
        <v>-0.14849999999999999</v>
      </c>
      <c r="M3176" s="11">
        <v>-2.4E-2</v>
      </c>
      <c r="N3176">
        <v>55.59</v>
      </c>
      <c r="O3176">
        <v>4.8</v>
      </c>
      <c r="P3176">
        <v>1</v>
      </c>
      <c r="Q3176" t="s">
        <v>37</v>
      </c>
      <c r="R3176">
        <v>73.05</v>
      </c>
      <c r="S3176">
        <v>14.85</v>
      </c>
      <c r="T3176" s="4">
        <v>55.41</v>
      </c>
      <c r="U3176" s="4">
        <v>3.42</v>
      </c>
      <c r="V3176" t="str">
        <f>IF(Table1[[#This Row],[ai_disruption_intensity]]&gt;70,"High",
IF(Table1[[#This Row],[ai_disruption_intensity]]&gt;40,"Medium","Low"))</f>
        <v>Low</v>
      </c>
      <c r="W3176" t="str">
        <f>IF(Table1[[#This Row],[skill_gap_index]]&gt;70,"Large Gap",
IF(Table1[[#This Row],[skill_gap_index]]&gt;40,"Medium Gap","Small Gap"))</f>
        <v>Large Gap</v>
      </c>
      <c r="X3176" s="3" t="str">
        <f>IF(Table1[[#This Row],[automation_risk_percent]]&gt;0.7,"Highly Automatable",
IF(Table1[[#This Row],[automation_risk_percent]]&gt;0.4,"Moderate Risk","Safe Job"))</f>
        <v>Highly Automatable</v>
      </c>
    </row>
    <row r="3177" spans="1:24" x14ac:dyDescent="0.3">
      <c r="A3177">
        <v>11094</v>
      </c>
      <c r="B3177" t="s">
        <v>44</v>
      </c>
      <c r="C3177" t="s">
        <v>23</v>
      </c>
      <c r="D3177" t="s">
        <v>32</v>
      </c>
      <c r="E3177" s="1">
        <v>2025</v>
      </c>
      <c r="F3177" s="11">
        <v>0.188</v>
      </c>
      <c r="G3177">
        <v>17.45</v>
      </c>
      <c r="H3177">
        <v>60.29</v>
      </c>
      <c r="I3177" s="2">
        <v>53521.85</v>
      </c>
      <c r="J3177" s="2">
        <v>46665.09</v>
      </c>
      <c r="K3177" s="2">
        <f>Table1[[#This Row],[Salary_after]]-Table1[[#This Row],[Salary_before]]</f>
        <v>-6856.760000000002</v>
      </c>
      <c r="L3177" s="11">
        <v>-0.12809999999999999</v>
      </c>
      <c r="M3177" s="11">
        <v>0.11630000000000001</v>
      </c>
      <c r="N3177">
        <v>58.84</v>
      </c>
      <c r="O3177">
        <v>70.680000000000007</v>
      </c>
      <c r="P3177">
        <v>4</v>
      </c>
      <c r="Q3177" t="s">
        <v>21</v>
      </c>
      <c r="R3177">
        <v>39.545000000000002</v>
      </c>
      <c r="S3177">
        <v>12.81</v>
      </c>
      <c r="T3177" s="4">
        <v>29.45</v>
      </c>
      <c r="U3177" s="4">
        <v>13.287839999999999</v>
      </c>
      <c r="V3177" t="str">
        <f>IF(Table1[[#This Row],[ai_disruption_intensity]]&gt;70,"High",
IF(Table1[[#This Row],[ai_disruption_intensity]]&gt;40,"Medium","Low"))</f>
        <v>Low</v>
      </c>
      <c r="W3177" t="str">
        <f>IF(Table1[[#This Row],[skill_gap_index]]&gt;70,"Large Gap",
IF(Table1[[#This Row],[skill_gap_index]]&gt;40,"Medium Gap","Small Gap"))</f>
        <v>Medium Gap</v>
      </c>
      <c r="X3177" s="3" t="str">
        <f>IF(Table1[[#This Row],[automation_risk_percent]]&gt;0.7,"Highly Automatable",
IF(Table1[[#This Row],[automation_risk_percent]]&gt;0.4,"Moderate Risk","Safe Job"))</f>
        <v>Safe Job</v>
      </c>
    </row>
    <row r="3178" spans="1:24" x14ac:dyDescent="0.3">
      <c r="A3178">
        <v>11096</v>
      </c>
      <c r="B3178" t="s">
        <v>44</v>
      </c>
      <c r="C3178" t="s">
        <v>27</v>
      </c>
      <c r="D3178" t="s">
        <v>32</v>
      </c>
      <c r="E3178" s="1">
        <v>2026</v>
      </c>
      <c r="F3178" s="11">
        <v>0.5736</v>
      </c>
      <c r="G3178">
        <v>49.74</v>
      </c>
      <c r="H3178">
        <v>99.94</v>
      </c>
      <c r="I3178" s="2">
        <v>95338.17</v>
      </c>
      <c r="J3178" s="2">
        <v>81238.539999999994</v>
      </c>
      <c r="K3178" s="2">
        <f>Table1[[#This Row],[Salary_after]]-Table1[[#This Row],[Salary_before]]</f>
        <v>-14099.630000000005</v>
      </c>
      <c r="L3178" s="11">
        <v>-0.1479</v>
      </c>
      <c r="M3178" s="11">
        <v>0.23710000000000001</v>
      </c>
      <c r="N3178">
        <v>64.53</v>
      </c>
      <c r="O3178">
        <v>66.400000000000006</v>
      </c>
      <c r="P3178">
        <v>5</v>
      </c>
      <c r="Q3178" t="s">
        <v>25</v>
      </c>
      <c r="R3178">
        <v>78.650000000000006</v>
      </c>
      <c r="S3178">
        <v>14.79</v>
      </c>
      <c r="T3178" s="4">
        <v>57.363</v>
      </c>
      <c r="U3178" s="4">
        <v>38.087040000000002</v>
      </c>
      <c r="V3178" t="str">
        <f>IF(Table1[[#This Row],[ai_disruption_intensity]]&gt;70,"High",
IF(Table1[[#This Row],[ai_disruption_intensity]]&gt;40,"Medium","Low"))</f>
        <v>Low</v>
      </c>
      <c r="W3178" t="str">
        <f>IF(Table1[[#This Row],[skill_gap_index]]&gt;70,"Large Gap",
IF(Table1[[#This Row],[skill_gap_index]]&gt;40,"Medium Gap","Small Gap"))</f>
        <v>Large Gap</v>
      </c>
      <c r="X3178" s="3" t="str">
        <f>IF(Table1[[#This Row],[automation_risk_percent]]&gt;0.7,"Highly Automatable",
IF(Table1[[#This Row],[automation_risk_percent]]&gt;0.4,"Moderate Risk","Safe Job"))</f>
        <v>Moderate Risk</v>
      </c>
    </row>
    <row r="3179" spans="1:24" x14ac:dyDescent="0.3">
      <c r="A3179">
        <v>11098</v>
      </c>
      <c r="B3179" t="s">
        <v>26</v>
      </c>
      <c r="C3179" t="s">
        <v>40</v>
      </c>
      <c r="D3179" t="s">
        <v>47</v>
      </c>
      <c r="E3179" s="1">
        <v>2026</v>
      </c>
      <c r="F3179" s="11">
        <v>0.1338</v>
      </c>
      <c r="G3179">
        <v>12.78</v>
      </c>
      <c r="H3179">
        <v>23.42</v>
      </c>
      <c r="I3179" s="2">
        <v>93803.83</v>
      </c>
      <c r="J3179" s="2">
        <v>96440.92</v>
      </c>
      <c r="K3179" s="2">
        <f>Table1[[#This Row],[Salary_after]]-Table1[[#This Row],[Salary_before]]</f>
        <v>2637.0899999999965</v>
      </c>
      <c r="L3179" s="11">
        <v>2.81E-2</v>
      </c>
      <c r="M3179" s="11">
        <v>9.6999999999999989E-2</v>
      </c>
      <c r="N3179">
        <v>33.99</v>
      </c>
      <c r="O3179">
        <v>39.76</v>
      </c>
      <c r="P3179">
        <v>4</v>
      </c>
      <c r="Q3179" t="s">
        <v>21</v>
      </c>
      <c r="R3179">
        <v>18.399999999999999</v>
      </c>
      <c r="S3179">
        <v>2.81</v>
      </c>
      <c r="T3179" s="4">
        <v>13.221</v>
      </c>
      <c r="U3179" s="4">
        <v>5.3198879999999997</v>
      </c>
      <c r="V3179" t="str">
        <f>IF(Table1[[#This Row],[ai_disruption_intensity]]&gt;70,"High",
IF(Table1[[#This Row],[ai_disruption_intensity]]&gt;40,"Medium","Low"))</f>
        <v>Low</v>
      </c>
      <c r="W3179" t="str">
        <f>IF(Table1[[#This Row],[skill_gap_index]]&gt;70,"Large Gap",
IF(Table1[[#This Row],[skill_gap_index]]&gt;40,"Medium Gap","Small Gap"))</f>
        <v>Small Gap</v>
      </c>
      <c r="X3179" s="3" t="str">
        <f>IF(Table1[[#This Row],[automation_risk_percent]]&gt;0.7,"Highly Automatable",
IF(Table1[[#This Row],[automation_risk_percent]]&gt;0.4,"Moderate Risk","Safe Job"))</f>
        <v>Safe Job</v>
      </c>
    </row>
    <row r="3180" spans="1:24" x14ac:dyDescent="0.3">
      <c r="A3180">
        <v>11100</v>
      </c>
      <c r="B3180" t="s">
        <v>41</v>
      </c>
      <c r="C3180" t="s">
        <v>27</v>
      </c>
      <c r="D3180" t="s">
        <v>32</v>
      </c>
      <c r="E3180" s="1">
        <v>2025</v>
      </c>
      <c r="F3180" s="11">
        <v>0.56179999999999997</v>
      </c>
      <c r="G3180">
        <v>59.55</v>
      </c>
      <c r="H3180">
        <v>54.28</v>
      </c>
      <c r="I3180" s="2">
        <v>130873.79</v>
      </c>
      <c r="J3180" s="2">
        <v>132600</v>
      </c>
      <c r="K3180" s="2">
        <f>Table1[[#This Row],[Salary_after]]-Table1[[#This Row],[Salary_before]]</f>
        <v>1726.2100000000064</v>
      </c>
      <c r="L3180" s="11">
        <v>1.32E-2</v>
      </c>
      <c r="M3180" s="11">
        <v>-7.000000000000001E-4</v>
      </c>
      <c r="N3180">
        <v>74.930000000000007</v>
      </c>
      <c r="O3180">
        <v>47.53</v>
      </c>
      <c r="P3180">
        <v>3</v>
      </c>
      <c r="Q3180" t="s">
        <v>25</v>
      </c>
      <c r="R3180">
        <v>55.23</v>
      </c>
      <c r="S3180">
        <v>1.32</v>
      </c>
      <c r="T3180" s="4">
        <v>39.152000000000001</v>
      </c>
      <c r="U3180" s="4">
        <v>26.702354</v>
      </c>
      <c r="V3180" t="str">
        <f>IF(Table1[[#This Row],[ai_disruption_intensity]]&gt;70,"High",
IF(Table1[[#This Row],[ai_disruption_intensity]]&gt;40,"Medium","Low"))</f>
        <v>Low</v>
      </c>
      <c r="W3180" t="str">
        <f>IF(Table1[[#This Row],[skill_gap_index]]&gt;70,"Large Gap",
IF(Table1[[#This Row],[skill_gap_index]]&gt;40,"Medium Gap","Small Gap"))</f>
        <v>Medium Gap</v>
      </c>
      <c r="X3180" s="3" t="str">
        <f>IF(Table1[[#This Row],[automation_risk_percent]]&gt;0.7,"Highly Automatable",
IF(Table1[[#This Row],[automation_risk_percent]]&gt;0.4,"Moderate Risk","Safe Job"))</f>
        <v>Moderate Risk</v>
      </c>
    </row>
    <row r="3181" spans="1:24" x14ac:dyDescent="0.3">
      <c r="A3181">
        <v>11102</v>
      </c>
      <c r="B3181" t="s">
        <v>41</v>
      </c>
      <c r="C3181" t="s">
        <v>34</v>
      </c>
      <c r="D3181" t="s">
        <v>24</v>
      </c>
      <c r="E3181" s="1">
        <v>2025</v>
      </c>
      <c r="F3181" s="11">
        <v>0.52539999999999998</v>
      </c>
      <c r="G3181">
        <v>51.75</v>
      </c>
      <c r="H3181">
        <v>46.13</v>
      </c>
      <c r="I3181" s="2">
        <v>92885.81</v>
      </c>
      <c r="J3181" s="2">
        <v>90643.14</v>
      </c>
      <c r="K3181" s="2">
        <f>Table1[[#This Row],[Salary_after]]-Table1[[#This Row],[Salary_before]]</f>
        <v>-2242.6699999999983</v>
      </c>
      <c r="L3181" s="11">
        <v>-2.41E-2</v>
      </c>
      <c r="M3181" s="11">
        <v>-0.12720000000000001</v>
      </c>
      <c r="N3181">
        <v>18.95</v>
      </c>
      <c r="O3181">
        <v>17.670000000000002</v>
      </c>
      <c r="P3181">
        <v>3</v>
      </c>
      <c r="Q3181" t="s">
        <v>25</v>
      </c>
      <c r="R3181">
        <v>49.335000000000001</v>
      </c>
      <c r="S3181">
        <v>2.41</v>
      </c>
      <c r="T3181" s="4">
        <v>35.578000000000003</v>
      </c>
      <c r="U3181" s="4">
        <v>9.2838180000000001</v>
      </c>
      <c r="V3181" t="str">
        <f>IF(Table1[[#This Row],[ai_disruption_intensity]]&gt;70,"High",
IF(Table1[[#This Row],[ai_disruption_intensity]]&gt;40,"Medium","Low"))</f>
        <v>Low</v>
      </c>
      <c r="W3181" t="str">
        <f>IF(Table1[[#This Row],[skill_gap_index]]&gt;70,"Large Gap",
IF(Table1[[#This Row],[skill_gap_index]]&gt;40,"Medium Gap","Small Gap"))</f>
        <v>Medium Gap</v>
      </c>
      <c r="X3181" s="3" t="str">
        <f>IF(Table1[[#This Row],[automation_risk_percent]]&gt;0.7,"Highly Automatable",
IF(Table1[[#This Row],[automation_risk_percent]]&gt;0.4,"Moderate Risk","Safe Job"))</f>
        <v>Moderate Risk</v>
      </c>
    </row>
    <row r="3182" spans="1:24" x14ac:dyDescent="0.3">
      <c r="A3182">
        <v>11117</v>
      </c>
      <c r="B3182" t="s">
        <v>43</v>
      </c>
      <c r="C3182" t="s">
        <v>27</v>
      </c>
      <c r="D3182" t="s">
        <v>24</v>
      </c>
      <c r="E3182" s="1">
        <v>2025</v>
      </c>
      <c r="F3182" s="11">
        <v>0.23120000000000002</v>
      </c>
      <c r="G3182">
        <v>25</v>
      </c>
      <c r="H3182">
        <v>50.13</v>
      </c>
      <c r="I3182" s="2">
        <v>88859.92</v>
      </c>
      <c r="J3182" s="2">
        <v>84986.81</v>
      </c>
      <c r="K3182" s="2">
        <f>Table1[[#This Row],[Salary_after]]-Table1[[#This Row],[Salary_before]]</f>
        <v>-3873.1100000000006</v>
      </c>
      <c r="L3182" s="11">
        <v>-4.36E-2</v>
      </c>
      <c r="M3182" s="11">
        <v>5.4199999999999998E-2</v>
      </c>
      <c r="N3182">
        <v>10.46</v>
      </c>
      <c r="O3182">
        <v>31.41</v>
      </c>
      <c r="P3182">
        <v>2</v>
      </c>
      <c r="Q3182" t="s">
        <v>21</v>
      </c>
      <c r="R3182">
        <v>36.625</v>
      </c>
      <c r="S3182">
        <v>4.3600000000000003</v>
      </c>
      <c r="T3182" s="4">
        <v>25.594999999999999</v>
      </c>
      <c r="U3182" s="4">
        <v>7.2619920000000002</v>
      </c>
      <c r="V3182" t="str">
        <f>IF(Table1[[#This Row],[ai_disruption_intensity]]&gt;70,"High",
IF(Table1[[#This Row],[ai_disruption_intensity]]&gt;40,"Medium","Low"))</f>
        <v>Low</v>
      </c>
      <c r="W3182" t="str">
        <f>IF(Table1[[#This Row],[skill_gap_index]]&gt;70,"Large Gap",
IF(Table1[[#This Row],[skill_gap_index]]&gt;40,"Medium Gap","Small Gap"))</f>
        <v>Medium Gap</v>
      </c>
      <c r="X3182" s="3" t="str">
        <f>IF(Table1[[#This Row],[automation_risk_percent]]&gt;0.7,"Highly Automatable",
IF(Table1[[#This Row],[automation_risk_percent]]&gt;0.4,"Moderate Risk","Safe Job"))</f>
        <v>Safe Job</v>
      </c>
    </row>
    <row r="3183" spans="1:24" x14ac:dyDescent="0.3">
      <c r="A3183">
        <v>11118</v>
      </c>
      <c r="B3183" t="s">
        <v>43</v>
      </c>
      <c r="C3183" t="s">
        <v>34</v>
      </c>
      <c r="D3183" t="s">
        <v>32</v>
      </c>
      <c r="E3183" s="1">
        <v>2026</v>
      </c>
      <c r="F3183" s="11">
        <v>0.32659999999999995</v>
      </c>
      <c r="G3183">
        <v>35.520000000000003</v>
      </c>
      <c r="H3183">
        <v>32.57</v>
      </c>
      <c r="I3183" s="2">
        <v>73146.36</v>
      </c>
      <c r="J3183" s="2">
        <v>89263.49</v>
      </c>
      <c r="K3183" s="2">
        <f>Table1[[#This Row],[Salary_after]]-Table1[[#This Row],[Salary_before]]</f>
        <v>16117.130000000005</v>
      </c>
      <c r="L3183" s="11">
        <v>0.22030000000000002</v>
      </c>
      <c r="M3183" s="11">
        <v>0.16920000000000002</v>
      </c>
      <c r="N3183">
        <v>40</v>
      </c>
      <c r="O3183">
        <v>55.81</v>
      </c>
      <c r="P3183">
        <v>3</v>
      </c>
      <c r="Q3183" t="s">
        <v>25</v>
      </c>
      <c r="R3183">
        <v>32.614999999999903</v>
      </c>
      <c r="S3183">
        <v>22.03</v>
      </c>
      <c r="T3183" s="4">
        <v>29.443999999999999</v>
      </c>
      <c r="U3183" s="4">
        <v>18.227546</v>
      </c>
      <c r="V3183" t="str">
        <f>IF(Table1[[#This Row],[ai_disruption_intensity]]&gt;70,"High",
IF(Table1[[#This Row],[ai_disruption_intensity]]&gt;40,"Medium","Low"))</f>
        <v>Low</v>
      </c>
      <c r="W3183" t="str">
        <f>IF(Table1[[#This Row],[skill_gap_index]]&gt;70,"Large Gap",
IF(Table1[[#This Row],[skill_gap_index]]&gt;40,"Medium Gap","Small Gap"))</f>
        <v>Small Gap</v>
      </c>
      <c r="X3183" s="3" t="str">
        <f>IF(Table1[[#This Row],[automation_risk_percent]]&gt;0.7,"Highly Automatable",
IF(Table1[[#This Row],[automation_risk_percent]]&gt;0.4,"Moderate Risk","Safe Job"))</f>
        <v>Safe Job</v>
      </c>
    </row>
    <row r="3184" spans="1:24" x14ac:dyDescent="0.3">
      <c r="A3184">
        <v>11119</v>
      </c>
      <c r="B3184" t="s">
        <v>46</v>
      </c>
      <c r="C3184" t="s">
        <v>40</v>
      </c>
      <c r="D3184" t="s">
        <v>32</v>
      </c>
      <c r="E3184" s="1">
        <v>2026</v>
      </c>
      <c r="F3184" s="11">
        <v>0.4325</v>
      </c>
      <c r="G3184">
        <v>39.119999999999997</v>
      </c>
      <c r="H3184">
        <v>23.57</v>
      </c>
      <c r="I3184" s="2">
        <v>136852.1</v>
      </c>
      <c r="J3184" s="2">
        <v>118348.74</v>
      </c>
      <c r="K3184" s="2">
        <f>Table1[[#This Row],[Salary_after]]-Table1[[#This Row],[Salary_before]]</f>
        <v>-18503.36</v>
      </c>
      <c r="L3184" s="11">
        <v>-0.13519999999999999</v>
      </c>
      <c r="M3184" s="11">
        <v>0.1555</v>
      </c>
      <c r="N3184">
        <v>59.57</v>
      </c>
      <c r="O3184">
        <v>70.739999999999995</v>
      </c>
      <c r="P3184">
        <v>5</v>
      </c>
      <c r="Q3184" t="s">
        <v>25</v>
      </c>
      <c r="R3184">
        <v>33.409999999999997</v>
      </c>
      <c r="S3184">
        <v>13.52</v>
      </c>
      <c r="T3184" s="4">
        <v>28.427</v>
      </c>
      <c r="U3184" s="4">
        <v>30.595049999999901</v>
      </c>
      <c r="V3184" t="str">
        <f>IF(Table1[[#This Row],[ai_disruption_intensity]]&gt;70,"High",
IF(Table1[[#This Row],[ai_disruption_intensity]]&gt;40,"Medium","Low"))</f>
        <v>Low</v>
      </c>
      <c r="W3184" t="str">
        <f>IF(Table1[[#This Row],[skill_gap_index]]&gt;70,"Large Gap",
IF(Table1[[#This Row],[skill_gap_index]]&gt;40,"Medium Gap","Small Gap"))</f>
        <v>Small Gap</v>
      </c>
      <c r="X3184" s="3" t="str">
        <f>IF(Table1[[#This Row],[automation_risk_percent]]&gt;0.7,"Highly Automatable",
IF(Table1[[#This Row],[automation_risk_percent]]&gt;0.4,"Moderate Risk","Safe Job"))</f>
        <v>Moderate Risk</v>
      </c>
    </row>
    <row r="3185" spans="1:24" x14ac:dyDescent="0.3">
      <c r="A3185">
        <v>11121</v>
      </c>
      <c r="B3185" t="s">
        <v>26</v>
      </c>
      <c r="C3185" t="s">
        <v>33</v>
      </c>
      <c r="D3185" t="s">
        <v>28</v>
      </c>
      <c r="E3185" s="1">
        <v>2026</v>
      </c>
      <c r="F3185" s="11">
        <v>0.10310000000000001</v>
      </c>
      <c r="G3185">
        <v>9.32</v>
      </c>
      <c r="H3185">
        <v>46.3</v>
      </c>
      <c r="I3185" s="2">
        <v>140260.82999999999</v>
      </c>
      <c r="J3185" s="2">
        <v>145695.45000000001</v>
      </c>
      <c r="K3185" s="2">
        <f>Table1[[#This Row],[Salary_after]]-Table1[[#This Row],[Salary_before]]</f>
        <v>5434.6200000000244</v>
      </c>
      <c r="L3185" s="11">
        <v>3.8699999999999998E-2</v>
      </c>
      <c r="M3185" s="11">
        <v>-5.1799999999999999E-2</v>
      </c>
      <c r="N3185">
        <v>42.97</v>
      </c>
      <c r="O3185">
        <v>14.92</v>
      </c>
      <c r="P3185">
        <v>1</v>
      </c>
      <c r="Q3185" t="s">
        <v>21</v>
      </c>
      <c r="R3185">
        <v>28.305</v>
      </c>
      <c r="S3185">
        <v>3.87</v>
      </c>
      <c r="T3185" s="4">
        <v>19.175000000000001</v>
      </c>
      <c r="U3185" s="4">
        <v>1.538252</v>
      </c>
      <c r="V3185" t="str">
        <f>IF(Table1[[#This Row],[ai_disruption_intensity]]&gt;70,"High",
IF(Table1[[#This Row],[ai_disruption_intensity]]&gt;40,"Medium","Low"))</f>
        <v>Low</v>
      </c>
      <c r="W3185" t="str">
        <f>IF(Table1[[#This Row],[skill_gap_index]]&gt;70,"Large Gap",
IF(Table1[[#This Row],[skill_gap_index]]&gt;40,"Medium Gap","Small Gap"))</f>
        <v>Medium Gap</v>
      </c>
      <c r="X3185" s="3" t="str">
        <f>IF(Table1[[#This Row],[automation_risk_percent]]&gt;0.7,"Highly Automatable",
IF(Table1[[#This Row],[automation_risk_percent]]&gt;0.4,"Moderate Risk","Safe Job"))</f>
        <v>Safe Job</v>
      </c>
    </row>
    <row r="3186" spans="1:24" x14ac:dyDescent="0.3">
      <c r="A3186">
        <v>11123</v>
      </c>
      <c r="B3186" t="s">
        <v>29</v>
      </c>
      <c r="C3186" t="s">
        <v>34</v>
      </c>
      <c r="D3186" t="s">
        <v>36</v>
      </c>
      <c r="E3186" s="1">
        <v>2025</v>
      </c>
      <c r="F3186" s="11">
        <v>0.85849999999999993</v>
      </c>
      <c r="G3186">
        <v>95.3</v>
      </c>
      <c r="H3186">
        <v>41.29</v>
      </c>
      <c r="I3186" s="2">
        <v>147936.54</v>
      </c>
      <c r="J3186" s="2">
        <v>160469.34</v>
      </c>
      <c r="K3186" s="2">
        <f>Table1[[#This Row],[Salary_after]]-Table1[[#This Row],[Salary_before]]</f>
        <v>12532.799999999988</v>
      </c>
      <c r="L3186" s="11">
        <v>8.4700000000000011E-2</v>
      </c>
      <c r="M3186" s="11">
        <v>-7.3599999999999999E-2</v>
      </c>
      <c r="N3186">
        <v>21.76</v>
      </c>
      <c r="O3186">
        <v>60.59</v>
      </c>
      <c r="P3186">
        <v>2</v>
      </c>
      <c r="Q3186" t="s">
        <v>37</v>
      </c>
      <c r="R3186">
        <v>63.569999999999901</v>
      </c>
      <c r="S3186">
        <v>8.4700000000000006</v>
      </c>
      <c r="T3186" s="4">
        <v>49.267999999999901</v>
      </c>
      <c r="U3186" s="4">
        <v>52.016514999999998</v>
      </c>
      <c r="V3186" t="str">
        <f>IF(Table1[[#This Row],[ai_disruption_intensity]]&gt;70,"High",
IF(Table1[[#This Row],[ai_disruption_intensity]]&gt;40,"Medium","Low"))</f>
        <v>Medium</v>
      </c>
      <c r="W3186" t="str">
        <f>IF(Table1[[#This Row],[skill_gap_index]]&gt;70,"Large Gap",
IF(Table1[[#This Row],[skill_gap_index]]&gt;40,"Medium Gap","Small Gap"))</f>
        <v>Medium Gap</v>
      </c>
      <c r="X3186" s="3" t="str">
        <f>IF(Table1[[#This Row],[automation_risk_percent]]&gt;0.7,"Highly Automatable",
IF(Table1[[#This Row],[automation_risk_percent]]&gt;0.4,"Moderate Risk","Safe Job"))</f>
        <v>Highly Automatable</v>
      </c>
    </row>
    <row r="3187" spans="1:24" x14ac:dyDescent="0.3">
      <c r="A3187">
        <v>11124</v>
      </c>
      <c r="B3187" t="s">
        <v>41</v>
      </c>
      <c r="C3187" t="s">
        <v>27</v>
      </c>
      <c r="D3187" t="s">
        <v>35</v>
      </c>
      <c r="E3187" s="1">
        <v>2026</v>
      </c>
      <c r="F3187" s="11">
        <v>0.73290000000000011</v>
      </c>
      <c r="G3187">
        <v>61.28</v>
      </c>
      <c r="H3187">
        <v>29.49</v>
      </c>
      <c r="I3187" s="2">
        <v>106982.96</v>
      </c>
      <c r="J3187" s="2">
        <v>124643.81</v>
      </c>
      <c r="K3187" s="2">
        <f>Table1[[#This Row],[Salary_after]]-Table1[[#This Row],[Salary_before]]</f>
        <v>17660.849999999991</v>
      </c>
      <c r="L3187" s="11">
        <v>0.16510000000000002</v>
      </c>
      <c r="M3187" s="11">
        <v>0.1502</v>
      </c>
      <c r="N3187">
        <v>21.2</v>
      </c>
      <c r="O3187">
        <v>51.53</v>
      </c>
      <c r="P3187">
        <v>3</v>
      </c>
      <c r="Q3187" t="s">
        <v>37</v>
      </c>
      <c r="R3187">
        <v>51.39</v>
      </c>
      <c r="S3187">
        <v>16.510000000000002</v>
      </c>
      <c r="T3187" s="4">
        <v>43.116</v>
      </c>
      <c r="U3187" s="4">
        <v>37.766337</v>
      </c>
      <c r="V3187" t="str">
        <f>IF(Table1[[#This Row],[ai_disruption_intensity]]&gt;70,"High",
IF(Table1[[#This Row],[ai_disruption_intensity]]&gt;40,"Medium","Low"))</f>
        <v>Low</v>
      </c>
      <c r="W3187" t="str">
        <f>IF(Table1[[#This Row],[skill_gap_index]]&gt;70,"Large Gap",
IF(Table1[[#This Row],[skill_gap_index]]&gt;40,"Medium Gap","Small Gap"))</f>
        <v>Small Gap</v>
      </c>
      <c r="X3187" s="3" t="str">
        <f>IF(Table1[[#This Row],[automation_risk_percent]]&gt;0.7,"Highly Automatable",
IF(Table1[[#This Row],[automation_risk_percent]]&gt;0.4,"Moderate Risk","Safe Job"))</f>
        <v>Highly Automatable</v>
      </c>
    </row>
    <row r="3188" spans="1:24" x14ac:dyDescent="0.3">
      <c r="A3188">
        <v>11129</v>
      </c>
      <c r="B3188" t="s">
        <v>44</v>
      </c>
      <c r="C3188" t="s">
        <v>23</v>
      </c>
      <c r="D3188" t="s">
        <v>20</v>
      </c>
      <c r="E3188" s="1">
        <v>2026</v>
      </c>
      <c r="F3188" s="11">
        <v>0.29510000000000003</v>
      </c>
      <c r="G3188">
        <v>34.799999999999997</v>
      </c>
      <c r="H3188">
        <v>2.66</v>
      </c>
      <c r="I3188" s="2">
        <v>88246.69</v>
      </c>
      <c r="J3188" s="2">
        <v>105944.66</v>
      </c>
      <c r="K3188" s="2">
        <f>Table1[[#This Row],[Salary_after]]-Table1[[#This Row],[Salary_before]]</f>
        <v>17697.97</v>
      </c>
      <c r="L3188" s="11">
        <v>0.2006</v>
      </c>
      <c r="M3188" s="11">
        <v>8.2799999999999999E-2</v>
      </c>
      <c r="N3188">
        <v>27.46</v>
      </c>
      <c r="O3188">
        <v>57.14</v>
      </c>
      <c r="P3188">
        <v>1</v>
      </c>
      <c r="Q3188" t="s">
        <v>21</v>
      </c>
      <c r="R3188">
        <v>16.085000000000001</v>
      </c>
      <c r="S3188">
        <v>20.059999999999999</v>
      </c>
      <c r="T3188" s="4">
        <v>18.62</v>
      </c>
      <c r="U3188" s="4">
        <v>16.862013999999999</v>
      </c>
      <c r="V3188" t="str">
        <f>IF(Table1[[#This Row],[ai_disruption_intensity]]&gt;70,"High",
IF(Table1[[#This Row],[ai_disruption_intensity]]&gt;40,"Medium","Low"))</f>
        <v>Low</v>
      </c>
      <c r="W3188" t="str">
        <f>IF(Table1[[#This Row],[skill_gap_index]]&gt;70,"Large Gap",
IF(Table1[[#This Row],[skill_gap_index]]&gt;40,"Medium Gap","Small Gap"))</f>
        <v>Small Gap</v>
      </c>
      <c r="X3188" s="3" t="str">
        <f>IF(Table1[[#This Row],[automation_risk_percent]]&gt;0.7,"Highly Automatable",
IF(Table1[[#This Row],[automation_risk_percent]]&gt;0.4,"Moderate Risk","Safe Job"))</f>
        <v>Safe Job</v>
      </c>
    </row>
    <row r="3189" spans="1:24" x14ac:dyDescent="0.3">
      <c r="A3189">
        <v>11133</v>
      </c>
      <c r="B3189" t="s">
        <v>43</v>
      </c>
      <c r="C3189" t="s">
        <v>27</v>
      </c>
      <c r="D3189" t="s">
        <v>35</v>
      </c>
      <c r="E3189" s="1">
        <v>2026</v>
      </c>
      <c r="F3189" s="11">
        <v>0.1593</v>
      </c>
      <c r="G3189">
        <v>13.05</v>
      </c>
      <c r="H3189">
        <v>69.98</v>
      </c>
      <c r="I3189" s="2">
        <v>96007.55</v>
      </c>
      <c r="J3189" s="2">
        <v>87225.06</v>
      </c>
      <c r="K3189" s="2">
        <f>Table1[[#This Row],[Salary_after]]-Table1[[#This Row],[Salary_before]]</f>
        <v>-8782.4900000000052</v>
      </c>
      <c r="L3189" s="11">
        <v>-9.1499999999999998E-2</v>
      </c>
      <c r="M3189" s="11">
        <v>0.14679999999999999</v>
      </c>
      <c r="N3189">
        <v>19.75</v>
      </c>
      <c r="O3189">
        <v>43</v>
      </c>
      <c r="P3189">
        <v>5</v>
      </c>
      <c r="Q3189" t="s">
        <v>21</v>
      </c>
      <c r="R3189">
        <v>42.954999999999998</v>
      </c>
      <c r="S3189">
        <v>9.15</v>
      </c>
      <c r="T3189" s="4">
        <v>30.111000000000001</v>
      </c>
      <c r="U3189" s="4">
        <v>6.8498999999999999</v>
      </c>
      <c r="V3189" t="str">
        <f>IF(Table1[[#This Row],[ai_disruption_intensity]]&gt;70,"High",
IF(Table1[[#This Row],[ai_disruption_intensity]]&gt;40,"Medium","Low"))</f>
        <v>Low</v>
      </c>
      <c r="W3189" t="str">
        <f>IF(Table1[[#This Row],[skill_gap_index]]&gt;70,"Large Gap",
IF(Table1[[#This Row],[skill_gap_index]]&gt;40,"Medium Gap","Small Gap"))</f>
        <v>Medium Gap</v>
      </c>
      <c r="X3189" s="3" t="str">
        <f>IF(Table1[[#This Row],[automation_risk_percent]]&gt;0.7,"Highly Automatable",
IF(Table1[[#This Row],[automation_risk_percent]]&gt;0.4,"Moderate Risk","Safe Job"))</f>
        <v>Safe Job</v>
      </c>
    </row>
    <row r="3190" spans="1:24" x14ac:dyDescent="0.3">
      <c r="A3190">
        <v>11135</v>
      </c>
      <c r="B3190" t="s">
        <v>43</v>
      </c>
      <c r="C3190" t="s">
        <v>38</v>
      </c>
      <c r="D3190" t="s">
        <v>20</v>
      </c>
      <c r="E3190" s="1">
        <v>2025</v>
      </c>
      <c r="F3190" s="11">
        <v>0.49689999999999995</v>
      </c>
      <c r="G3190">
        <v>41.17</v>
      </c>
      <c r="H3190">
        <v>85.64</v>
      </c>
      <c r="I3190" s="2">
        <v>106167.45</v>
      </c>
      <c r="J3190" s="2">
        <v>99715.82</v>
      </c>
      <c r="K3190" s="2">
        <f>Table1[[#This Row],[Salary_after]]-Table1[[#This Row],[Salary_before]]</f>
        <v>-6451.6299999999901</v>
      </c>
      <c r="L3190" s="11">
        <v>-6.08E-2</v>
      </c>
      <c r="M3190" s="11">
        <v>0.18820000000000001</v>
      </c>
      <c r="N3190">
        <v>31.9</v>
      </c>
      <c r="O3190">
        <v>72.010000000000005</v>
      </c>
      <c r="P3190">
        <v>3</v>
      </c>
      <c r="Q3190" t="s">
        <v>25</v>
      </c>
      <c r="R3190">
        <v>67.664999999999907</v>
      </c>
      <c r="S3190">
        <v>6.08</v>
      </c>
      <c r="T3190" s="4">
        <v>47.391999999999904</v>
      </c>
      <c r="U3190" s="4">
        <v>35.781768999999997</v>
      </c>
      <c r="V3190" t="str">
        <f>IF(Table1[[#This Row],[ai_disruption_intensity]]&gt;70,"High",
IF(Table1[[#This Row],[ai_disruption_intensity]]&gt;40,"Medium","Low"))</f>
        <v>Low</v>
      </c>
      <c r="W3190" t="str">
        <f>IF(Table1[[#This Row],[skill_gap_index]]&gt;70,"Large Gap",
IF(Table1[[#This Row],[skill_gap_index]]&gt;40,"Medium Gap","Small Gap"))</f>
        <v>Large Gap</v>
      </c>
      <c r="X3190" s="3" t="str">
        <f>IF(Table1[[#This Row],[automation_risk_percent]]&gt;0.7,"Highly Automatable",
IF(Table1[[#This Row],[automation_risk_percent]]&gt;0.4,"Moderate Risk","Safe Job"))</f>
        <v>Moderate Risk</v>
      </c>
    </row>
    <row r="3191" spans="1:24" x14ac:dyDescent="0.3">
      <c r="A3191">
        <v>11136</v>
      </c>
      <c r="B3191" t="s">
        <v>41</v>
      </c>
      <c r="C3191" t="s">
        <v>23</v>
      </c>
      <c r="D3191" t="s">
        <v>32</v>
      </c>
      <c r="E3191" s="1">
        <v>2025</v>
      </c>
      <c r="F3191" s="11">
        <v>0.82090000000000007</v>
      </c>
      <c r="G3191">
        <v>92.35</v>
      </c>
      <c r="H3191">
        <v>71.72</v>
      </c>
      <c r="I3191" s="2">
        <v>46673.87</v>
      </c>
      <c r="J3191" s="2">
        <v>46685.120000000003</v>
      </c>
      <c r="K3191" s="2">
        <f>Table1[[#This Row],[Salary_after]]-Table1[[#This Row],[Salary_before]]</f>
        <v>11.25</v>
      </c>
      <c r="L3191" s="11">
        <v>2.0000000000000001E-4</v>
      </c>
      <c r="M3191" s="11">
        <v>-0.10310000000000001</v>
      </c>
      <c r="N3191">
        <v>55.66</v>
      </c>
      <c r="O3191">
        <v>48.85</v>
      </c>
      <c r="P3191">
        <v>5</v>
      </c>
      <c r="Q3191" t="s">
        <v>37</v>
      </c>
      <c r="R3191">
        <v>76.905000000000001</v>
      </c>
      <c r="S3191">
        <v>0.02</v>
      </c>
      <c r="T3191" s="4">
        <v>54.357999999999997</v>
      </c>
      <c r="U3191" s="4">
        <v>40.100965000000002</v>
      </c>
      <c r="V3191" t="str">
        <f>IF(Table1[[#This Row],[ai_disruption_intensity]]&gt;70,"High",
IF(Table1[[#This Row],[ai_disruption_intensity]]&gt;40,"Medium","Low"))</f>
        <v>Medium</v>
      </c>
      <c r="W3191" t="str">
        <f>IF(Table1[[#This Row],[skill_gap_index]]&gt;70,"Large Gap",
IF(Table1[[#This Row],[skill_gap_index]]&gt;40,"Medium Gap","Small Gap"))</f>
        <v>Large Gap</v>
      </c>
      <c r="X3191" s="3" t="str">
        <f>IF(Table1[[#This Row],[automation_risk_percent]]&gt;0.7,"Highly Automatable",
IF(Table1[[#This Row],[automation_risk_percent]]&gt;0.4,"Moderate Risk","Safe Job"))</f>
        <v>Highly Automatable</v>
      </c>
    </row>
    <row r="3192" spans="1:24" x14ac:dyDescent="0.3">
      <c r="A3192">
        <v>11139</v>
      </c>
      <c r="B3192" t="s">
        <v>41</v>
      </c>
      <c r="C3192" t="s">
        <v>27</v>
      </c>
      <c r="D3192" t="s">
        <v>24</v>
      </c>
      <c r="E3192" s="1">
        <v>2025</v>
      </c>
      <c r="F3192" s="11">
        <v>0.78299999999999992</v>
      </c>
      <c r="G3192">
        <v>81.22</v>
      </c>
      <c r="H3192">
        <v>20.329999999999998</v>
      </c>
      <c r="I3192" s="2">
        <v>105276.97</v>
      </c>
      <c r="J3192" s="2">
        <v>98637.15</v>
      </c>
      <c r="K3192" s="2">
        <f>Table1[[#This Row],[Salary_after]]-Table1[[#This Row],[Salary_before]]</f>
        <v>-6639.820000000007</v>
      </c>
      <c r="L3192" s="11">
        <v>-6.3099999999999989E-2</v>
      </c>
      <c r="M3192" s="11">
        <v>0.1273</v>
      </c>
      <c r="N3192">
        <v>13.59</v>
      </c>
      <c r="O3192">
        <v>44.28</v>
      </c>
      <c r="P3192">
        <v>5</v>
      </c>
      <c r="Q3192" t="s">
        <v>37</v>
      </c>
      <c r="R3192">
        <v>49.314999999999998</v>
      </c>
      <c r="S3192">
        <v>6.31</v>
      </c>
      <c r="T3192" s="4">
        <v>39.311999999999998</v>
      </c>
      <c r="U3192" s="4">
        <v>34.671239999999997</v>
      </c>
      <c r="V3192" t="str">
        <f>IF(Table1[[#This Row],[ai_disruption_intensity]]&gt;70,"High",
IF(Table1[[#This Row],[ai_disruption_intensity]]&gt;40,"Medium","Low"))</f>
        <v>Low</v>
      </c>
      <c r="W3192" t="str">
        <f>IF(Table1[[#This Row],[skill_gap_index]]&gt;70,"Large Gap",
IF(Table1[[#This Row],[skill_gap_index]]&gt;40,"Medium Gap","Small Gap"))</f>
        <v>Small Gap</v>
      </c>
      <c r="X3192" s="3" t="str">
        <f>IF(Table1[[#This Row],[automation_risk_percent]]&gt;0.7,"Highly Automatable",
IF(Table1[[#This Row],[automation_risk_percent]]&gt;0.4,"Moderate Risk","Safe Job"))</f>
        <v>Highly Automatable</v>
      </c>
    </row>
    <row r="3193" spans="1:24" x14ac:dyDescent="0.3">
      <c r="A3193">
        <v>11141</v>
      </c>
      <c r="B3193" t="s">
        <v>39</v>
      </c>
      <c r="C3193" t="s">
        <v>23</v>
      </c>
      <c r="D3193" t="s">
        <v>20</v>
      </c>
      <c r="E3193" s="1">
        <v>2026</v>
      </c>
      <c r="F3193" s="11">
        <v>0.75170000000000003</v>
      </c>
      <c r="G3193">
        <v>86.23</v>
      </c>
      <c r="H3193">
        <v>86.98</v>
      </c>
      <c r="I3193" s="2">
        <v>44370.01</v>
      </c>
      <c r="J3193" s="2">
        <v>40723.050000000003</v>
      </c>
      <c r="K3193" s="2">
        <f>Table1[[#This Row],[Salary_after]]-Table1[[#This Row],[Salary_before]]</f>
        <v>-3646.9599999999991</v>
      </c>
      <c r="L3193" s="11">
        <v>-8.2200000000000009E-2</v>
      </c>
      <c r="M3193" s="11">
        <v>0.21160000000000001</v>
      </c>
      <c r="N3193">
        <v>51.32</v>
      </c>
      <c r="O3193">
        <v>27.91</v>
      </c>
      <c r="P3193">
        <v>4</v>
      </c>
      <c r="Q3193" t="s">
        <v>37</v>
      </c>
      <c r="R3193">
        <v>81.075000000000003</v>
      </c>
      <c r="S3193">
        <v>8.2200000000000006</v>
      </c>
      <c r="T3193" s="4">
        <v>58.628</v>
      </c>
      <c r="U3193" s="4">
        <v>20.979946999999999</v>
      </c>
      <c r="V3193" t="str">
        <f>IF(Table1[[#This Row],[ai_disruption_intensity]]&gt;70,"High",
IF(Table1[[#This Row],[ai_disruption_intensity]]&gt;40,"Medium","Low"))</f>
        <v>Low</v>
      </c>
      <c r="W3193" t="str">
        <f>IF(Table1[[#This Row],[skill_gap_index]]&gt;70,"Large Gap",
IF(Table1[[#This Row],[skill_gap_index]]&gt;40,"Medium Gap","Small Gap"))</f>
        <v>Large Gap</v>
      </c>
      <c r="X3193" s="3" t="str">
        <f>IF(Table1[[#This Row],[automation_risk_percent]]&gt;0.7,"Highly Automatable",
IF(Table1[[#This Row],[automation_risk_percent]]&gt;0.4,"Moderate Risk","Safe Job"))</f>
        <v>Highly Automatable</v>
      </c>
    </row>
    <row r="3194" spans="1:24" x14ac:dyDescent="0.3">
      <c r="A3194">
        <v>11143</v>
      </c>
      <c r="B3194" t="s">
        <v>43</v>
      </c>
      <c r="C3194" t="s">
        <v>40</v>
      </c>
      <c r="D3194" t="s">
        <v>36</v>
      </c>
      <c r="E3194" s="1">
        <v>2025</v>
      </c>
      <c r="F3194" s="11">
        <v>0.79359999999999997</v>
      </c>
      <c r="G3194">
        <v>91.51</v>
      </c>
      <c r="H3194">
        <v>26.51</v>
      </c>
      <c r="I3194" s="2">
        <v>49514</v>
      </c>
      <c r="J3194" s="2">
        <v>47849.13</v>
      </c>
      <c r="K3194" s="2">
        <f>Table1[[#This Row],[Salary_after]]-Table1[[#This Row],[Salary_before]]</f>
        <v>-1664.8700000000026</v>
      </c>
      <c r="L3194" s="11">
        <v>-3.3599999999999998E-2</v>
      </c>
      <c r="M3194" s="11">
        <v>2.6000000000000002E-2</v>
      </c>
      <c r="N3194">
        <v>35.909999999999997</v>
      </c>
      <c r="O3194">
        <v>84.1</v>
      </c>
      <c r="P3194">
        <v>3</v>
      </c>
      <c r="Q3194" t="s">
        <v>37</v>
      </c>
      <c r="R3194">
        <v>52.935000000000002</v>
      </c>
      <c r="S3194">
        <v>3.36</v>
      </c>
      <c r="T3194" s="4">
        <v>40.704999999999998</v>
      </c>
      <c r="U3194" s="4">
        <v>66.741759999999999</v>
      </c>
      <c r="V3194" t="str">
        <f>IF(Table1[[#This Row],[ai_disruption_intensity]]&gt;70,"High",
IF(Table1[[#This Row],[ai_disruption_intensity]]&gt;40,"Medium","Low"))</f>
        <v>Medium</v>
      </c>
      <c r="W3194" t="str">
        <f>IF(Table1[[#This Row],[skill_gap_index]]&gt;70,"Large Gap",
IF(Table1[[#This Row],[skill_gap_index]]&gt;40,"Medium Gap","Small Gap"))</f>
        <v>Small Gap</v>
      </c>
      <c r="X3194" s="3" t="str">
        <f>IF(Table1[[#This Row],[automation_risk_percent]]&gt;0.7,"Highly Automatable",
IF(Table1[[#This Row],[automation_risk_percent]]&gt;0.4,"Moderate Risk","Safe Job"))</f>
        <v>Highly Automatable</v>
      </c>
    </row>
    <row r="3195" spans="1:24" x14ac:dyDescent="0.3">
      <c r="A3195">
        <v>11144</v>
      </c>
      <c r="B3195" t="s">
        <v>39</v>
      </c>
      <c r="C3195" t="s">
        <v>30</v>
      </c>
      <c r="D3195" t="s">
        <v>36</v>
      </c>
      <c r="E3195" s="1">
        <v>2026</v>
      </c>
      <c r="F3195" s="11">
        <v>0.49890000000000001</v>
      </c>
      <c r="G3195">
        <v>41.75</v>
      </c>
      <c r="H3195">
        <v>96.74</v>
      </c>
      <c r="I3195" s="2">
        <v>94739.89</v>
      </c>
      <c r="J3195" s="2">
        <v>107896.94</v>
      </c>
      <c r="K3195" s="2">
        <f>Table1[[#This Row],[Salary_after]]-Table1[[#This Row],[Salary_before]]</f>
        <v>13157.050000000003</v>
      </c>
      <c r="L3195" s="11">
        <v>0.1389</v>
      </c>
      <c r="M3195" s="11">
        <v>9.300000000000001E-3</v>
      </c>
      <c r="N3195">
        <v>60.43</v>
      </c>
      <c r="O3195">
        <v>89.58</v>
      </c>
      <c r="P3195">
        <v>4</v>
      </c>
      <c r="Q3195" t="s">
        <v>25</v>
      </c>
      <c r="R3195">
        <v>73.314999999999998</v>
      </c>
      <c r="S3195">
        <v>13.89</v>
      </c>
      <c r="T3195" s="4">
        <v>53.145000000000003</v>
      </c>
      <c r="U3195" s="4">
        <v>44.691462000000001</v>
      </c>
      <c r="V3195" t="str">
        <f>IF(Table1[[#This Row],[ai_disruption_intensity]]&gt;70,"High",
IF(Table1[[#This Row],[ai_disruption_intensity]]&gt;40,"Medium","Low"))</f>
        <v>Medium</v>
      </c>
      <c r="W3195" t="str">
        <f>IF(Table1[[#This Row],[skill_gap_index]]&gt;70,"Large Gap",
IF(Table1[[#This Row],[skill_gap_index]]&gt;40,"Medium Gap","Small Gap"))</f>
        <v>Large Gap</v>
      </c>
      <c r="X3195" s="3" t="str">
        <f>IF(Table1[[#This Row],[automation_risk_percent]]&gt;0.7,"Highly Automatable",
IF(Table1[[#This Row],[automation_risk_percent]]&gt;0.4,"Moderate Risk","Safe Job"))</f>
        <v>Moderate Risk</v>
      </c>
    </row>
    <row r="3196" spans="1:24" x14ac:dyDescent="0.3">
      <c r="A3196">
        <v>11147</v>
      </c>
      <c r="B3196" t="s">
        <v>18</v>
      </c>
      <c r="C3196" t="s">
        <v>23</v>
      </c>
      <c r="D3196" t="s">
        <v>31</v>
      </c>
      <c r="E3196" s="1">
        <v>2026</v>
      </c>
      <c r="F3196" s="11">
        <v>0.41649999999999998</v>
      </c>
      <c r="G3196">
        <v>37.340000000000003</v>
      </c>
      <c r="H3196">
        <v>78.099999999999994</v>
      </c>
      <c r="I3196" s="2">
        <v>93835.19</v>
      </c>
      <c r="J3196" s="2">
        <v>91250.29</v>
      </c>
      <c r="K3196" s="2">
        <f>Table1[[#This Row],[Salary_after]]-Table1[[#This Row],[Salary_before]]</f>
        <v>-2584.9000000000087</v>
      </c>
      <c r="L3196" s="11">
        <v>-2.75E-2</v>
      </c>
      <c r="M3196" s="11">
        <v>1.66E-2</v>
      </c>
      <c r="N3196">
        <v>89.82</v>
      </c>
      <c r="O3196">
        <v>63.16</v>
      </c>
      <c r="P3196">
        <v>3</v>
      </c>
      <c r="Q3196" t="s">
        <v>25</v>
      </c>
      <c r="R3196">
        <v>59.875</v>
      </c>
      <c r="S3196">
        <v>2.75</v>
      </c>
      <c r="T3196" s="4">
        <v>40.914999999999999</v>
      </c>
      <c r="U3196" s="4">
        <v>26.3061399999999</v>
      </c>
      <c r="V3196" t="str">
        <f>IF(Table1[[#This Row],[ai_disruption_intensity]]&gt;70,"High",
IF(Table1[[#This Row],[ai_disruption_intensity]]&gt;40,"Medium","Low"))</f>
        <v>Low</v>
      </c>
      <c r="W3196" t="str">
        <f>IF(Table1[[#This Row],[skill_gap_index]]&gt;70,"Large Gap",
IF(Table1[[#This Row],[skill_gap_index]]&gt;40,"Medium Gap","Small Gap"))</f>
        <v>Large Gap</v>
      </c>
      <c r="X3196" s="3" t="str">
        <f>IF(Table1[[#This Row],[automation_risk_percent]]&gt;0.7,"Highly Automatable",
IF(Table1[[#This Row],[automation_risk_percent]]&gt;0.4,"Moderate Risk","Safe Job"))</f>
        <v>Moderate Risk</v>
      </c>
    </row>
    <row r="3197" spans="1:24" x14ac:dyDescent="0.3">
      <c r="A3197">
        <v>11148</v>
      </c>
      <c r="B3197" t="s">
        <v>29</v>
      </c>
      <c r="C3197" t="s">
        <v>40</v>
      </c>
      <c r="D3197" t="s">
        <v>20</v>
      </c>
      <c r="E3197" s="1">
        <v>2025</v>
      </c>
      <c r="F3197" s="11">
        <v>0.53039999999999998</v>
      </c>
      <c r="G3197">
        <v>57.72</v>
      </c>
      <c r="H3197">
        <v>80.89</v>
      </c>
      <c r="I3197" s="2">
        <v>43730.63</v>
      </c>
      <c r="J3197" s="2">
        <v>42566.3</v>
      </c>
      <c r="K3197" s="2">
        <f>Table1[[#This Row],[Salary_after]]-Table1[[#This Row],[Salary_before]]</f>
        <v>-1164.3299999999945</v>
      </c>
      <c r="L3197" s="11">
        <v>-2.6600000000000002E-2</v>
      </c>
      <c r="M3197" s="11">
        <v>-1.2E-2</v>
      </c>
      <c r="N3197">
        <v>25.11</v>
      </c>
      <c r="O3197">
        <v>43</v>
      </c>
      <c r="P3197">
        <v>3</v>
      </c>
      <c r="Q3197" t="s">
        <v>25</v>
      </c>
      <c r="R3197">
        <v>66.965000000000003</v>
      </c>
      <c r="S3197">
        <v>2.66</v>
      </c>
      <c r="T3197" s="4">
        <v>46.280999999999999</v>
      </c>
      <c r="U3197" s="4">
        <v>22.807199999999899</v>
      </c>
      <c r="V3197" t="str">
        <f>IF(Table1[[#This Row],[ai_disruption_intensity]]&gt;70,"High",
IF(Table1[[#This Row],[ai_disruption_intensity]]&gt;40,"Medium","Low"))</f>
        <v>Low</v>
      </c>
      <c r="W3197" t="str">
        <f>IF(Table1[[#This Row],[skill_gap_index]]&gt;70,"Large Gap",
IF(Table1[[#This Row],[skill_gap_index]]&gt;40,"Medium Gap","Small Gap"))</f>
        <v>Large Gap</v>
      </c>
      <c r="X3197" s="3" t="str">
        <f>IF(Table1[[#This Row],[automation_risk_percent]]&gt;0.7,"Highly Automatable",
IF(Table1[[#This Row],[automation_risk_percent]]&gt;0.4,"Moderate Risk","Safe Job"))</f>
        <v>Moderate Risk</v>
      </c>
    </row>
    <row r="3198" spans="1:24" x14ac:dyDescent="0.3">
      <c r="A3198">
        <v>11153</v>
      </c>
      <c r="B3198" t="s">
        <v>44</v>
      </c>
      <c r="C3198" t="s">
        <v>19</v>
      </c>
      <c r="D3198" t="s">
        <v>32</v>
      </c>
      <c r="E3198" s="1">
        <v>2025</v>
      </c>
      <c r="F3198" s="11">
        <v>0.60909999999999997</v>
      </c>
      <c r="G3198">
        <v>57.79</v>
      </c>
      <c r="H3198">
        <v>50.89</v>
      </c>
      <c r="I3198" s="2">
        <v>54287.57</v>
      </c>
      <c r="J3198" s="2">
        <v>53935.8</v>
      </c>
      <c r="K3198" s="2">
        <f>Table1[[#This Row],[Salary_after]]-Table1[[#This Row],[Salary_before]]</f>
        <v>-351.7699999999968</v>
      </c>
      <c r="L3198" s="11">
        <v>-6.5000000000000006E-3</v>
      </c>
      <c r="M3198" s="11">
        <v>-3.3300000000000003E-2</v>
      </c>
      <c r="N3198">
        <v>99.39</v>
      </c>
      <c r="O3198">
        <v>87.04</v>
      </c>
      <c r="P3198">
        <v>1</v>
      </c>
      <c r="Q3198" t="s">
        <v>37</v>
      </c>
      <c r="R3198">
        <v>55.9</v>
      </c>
      <c r="S3198">
        <v>0.65</v>
      </c>
      <c r="T3198" s="4">
        <v>39.826000000000001</v>
      </c>
      <c r="U3198" s="4">
        <v>53.016064</v>
      </c>
      <c r="V3198" t="str">
        <f>IF(Table1[[#This Row],[ai_disruption_intensity]]&gt;70,"High",
IF(Table1[[#This Row],[ai_disruption_intensity]]&gt;40,"Medium","Low"))</f>
        <v>Medium</v>
      </c>
      <c r="W3198" t="str">
        <f>IF(Table1[[#This Row],[skill_gap_index]]&gt;70,"Large Gap",
IF(Table1[[#This Row],[skill_gap_index]]&gt;40,"Medium Gap","Small Gap"))</f>
        <v>Medium Gap</v>
      </c>
      <c r="X3198" s="3" t="str">
        <f>IF(Table1[[#This Row],[automation_risk_percent]]&gt;0.7,"Highly Automatable",
IF(Table1[[#This Row],[automation_risk_percent]]&gt;0.4,"Moderate Risk","Safe Job"))</f>
        <v>Moderate Risk</v>
      </c>
    </row>
    <row r="3199" spans="1:24" x14ac:dyDescent="0.3">
      <c r="A3199">
        <v>11160</v>
      </c>
      <c r="B3199" t="s">
        <v>22</v>
      </c>
      <c r="C3199" t="s">
        <v>23</v>
      </c>
      <c r="D3199" t="s">
        <v>24</v>
      </c>
      <c r="E3199" s="1">
        <v>2025</v>
      </c>
      <c r="F3199" s="11">
        <v>0.63670000000000004</v>
      </c>
      <c r="G3199">
        <v>56.81</v>
      </c>
      <c r="H3199">
        <v>14.45</v>
      </c>
      <c r="I3199" s="2">
        <v>106529.68</v>
      </c>
      <c r="J3199" s="2">
        <v>119425.55</v>
      </c>
      <c r="K3199" s="2">
        <f>Table1[[#This Row],[Salary_after]]-Table1[[#This Row],[Salary_before]]</f>
        <v>12895.87000000001</v>
      </c>
      <c r="L3199" s="11">
        <v>0.1211</v>
      </c>
      <c r="M3199" s="11">
        <v>0.24199999999999999</v>
      </c>
      <c r="N3199">
        <v>31.89</v>
      </c>
      <c r="O3199">
        <v>20.6</v>
      </c>
      <c r="P3199">
        <v>3</v>
      </c>
      <c r="Q3199" t="s">
        <v>37</v>
      </c>
      <c r="R3199">
        <v>39.06</v>
      </c>
      <c r="S3199">
        <v>12.11</v>
      </c>
      <c r="T3199" s="4">
        <v>33.436</v>
      </c>
      <c r="U3199" s="4">
        <v>13.116020000000001</v>
      </c>
      <c r="V3199" t="str">
        <f>IF(Table1[[#This Row],[ai_disruption_intensity]]&gt;70,"High",
IF(Table1[[#This Row],[ai_disruption_intensity]]&gt;40,"Medium","Low"))</f>
        <v>Low</v>
      </c>
      <c r="W3199" t="str">
        <f>IF(Table1[[#This Row],[skill_gap_index]]&gt;70,"Large Gap",
IF(Table1[[#This Row],[skill_gap_index]]&gt;40,"Medium Gap","Small Gap"))</f>
        <v>Small Gap</v>
      </c>
      <c r="X3199" s="3" t="str">
        <f>IF(Table1[[#This Row],[automation_risk_percent]]&gt;0.7,"Highly Automatable",
IF(Table1[[#This Row],[automation_risk_percent]]&gt;0.4,"Moderate Risk","Safe Job"))</f>
        <v>Moderate Risk</v>
      </c>
    </row>
    <row r="3200" spans="1:24" x14ac:dyDescent="0.3">
      <c r="A3200">
        <v>11161</v>
      </c>
      <c r="B3200" t="s">
        <v>26</v>
      </c>
      <c r="C3200" t="s">
        <v>34</v>
      </c>
      <c r="D3200" t="s">
        <v>47</v>
      </c>
      <c r="E3200" s="1">
        <v>2025</v>
      </c>
      <c r="F3200" s="11">
        <v>0.63869999999999993</v>
      </c>
      <c r="G3200">
        <v>64.709999999999994</v>
      </c>
      <c r="H3200">
        <v>40.65</v>
      </c>
      <c r="I3200" s="2">
        <v>128335.32</v>
      </c>
      <c r="J3200" s="2">
        <v>130104.45</v>
      </c>
      <c r="K3200" s="2">
        <f>Table1[[#This Row],[Salary_after]]-Table1[[#This Row],[Salary_before]]</f>
        <v>1769.1299999999901</v>
      </c>
      <c r="L3200" s="11">
        <v>1.38E-2</v>
      </c>
      <c r="M3200" s="11">
        <v>1.4800000000000001E-2</v>
      </c>
      <c r="N3200">
        <v>23.27</v>
      </c>
      <c r="O3200">
        <v>22.61</v>
      </c>
      <c r="P3200">
        <v>4</v>
      </c>
      <c r="Q3200" t="s">
        <v>37</v>
      </c>
      <c r="R3200">
        <v>52.26</v>
      </c>
      <c r="S3200">
        <v>1.38</v>
      </c>
      <c r="T3200" s="4">
        <v>38.156999999999996</v>
      </c>
      <c r="U3200" s="4">
        <v>14.4410069999999</v>
      </c>
      <c r="V3200" t="str">
        <f>IF(Table1[[#This Row],[ai_disruption_intensity]]&gt;70,"High",
IF(Table1[[#This Row],[ai_disruption_intensity]]&gt;40,"Medium","Low"))</f>
        <v>Low</v>
      </c>
      <c r="W3200" t="str">
        <f>IF(Table1[[#This Row],[skill_gap_index]]&gt;70,"Large Gap",
IF(Table1[[#This Row],[skill_gap_index]]&gt;40,"Medium Gap","Small Gap"))</f>
        <v>Medium Gap</v>
      </c>
      <c r="X3200" s="3" t="str">
        <f>IF(Table1[[#This Row],[automation_risk_percent]]&gt;0.7,"Highly Automatable",
IF(Table1[[#This Row],[automation_risk_percent]]&gt;0.4,"Moderate Risk","Safe Job"))</f>
        <v>Moderate Risk</v>
      </c>
    </row>
    <row r="3201" spans="1:24" x14ac:dyDescent="0.3">
      <c r="A3201">
        <v>11164</v>
      </c>
      <c r="B3201" t="s">
        <v>39</v>
      </c>
      <c r="C3201" t="s">
        <v>19</v>
      </c>
      <c r="D3201" t="s">
        <v>42</v>
      </c>
      <c r="E3201" s="1">
        <v>2025</v>
      </c>
      <c r="F3201" s="11">
        <v>0.17420000000000002</v>
      </c>
      <c r="G3201">
        <v>19.02</v>
      </c>
      <c r="H3201">
        <v>18.34</v>
      </c>
      <c r="I3201" s="2">
        <v>70676.58</v>
      </c>
      <c r="J3201" s="2">
        <v>71860.72</v>
      </c>
      <c r="K3201" s="2">
        <f>Table1[[#This Row],[Salary_after]]-Table1[[#This Row],[Salary_before]]</f>
        <v>1184.1399999999994</v>
      </c>
      <c r="L3201" s="11">
        <v>1.6799999999999999E-2</v>
      </c>
      <c r="M3201" s="11">
        <v>5.4800000000000001E-2</v>
      </c>
      <c r="N3201">
        <v>21.97</v>
      </c>
      <c r="O3201">
        <v>75.739999999999995</v>
      </c>
      <c r="P3201">
        <v>1</v>
      </c>
      <c r="Q3201" t="s">
        <v>21</v>
      </c>
      <c r="R3201">
        <v>17.88</v>
      </c>
      <c r="S3201">
        <v>1.68</v>
      </c>
      <c r="T3201" s="4">
        <v>12.974</v>
      </c>
      <c r="U3201" s="4">
        <v>13.193908</v>
      </c>
      <c r="V3201" t="str">
        <f>IF(Table1[[#This Row],[ai_disruption_intensity]]&gt;70,"High",
IF(Table1[[#This Row],[ai_disruption_intensity]]&gt;40,"Medium","Low"))</f>
        <v>Low</v>
      </c>
      <c r="W3201" t="str">
        <f>IF(Table1[[#This Row],[skill_gap_index]]&gt;70,"Large Gap",
IF(Table1[[#This Row],[skill_gap_index]]&gt;40,"Medium Gap","Small Gap"))</f>
        <v>Small Gap</v>
      </c>
      <c r="X3201" s="3" t="str">
        <f>IF(Table1[[#This Row],[automation_risk_percent]]&gt;0.7,"Highly Automatable",
IF(Table1[[#This Row],[automation_risk_percent]]&gt;0.4,"Moderate Risk","Safe Job"))</f>
        <v>Safe Job</v>
      </c>
    </row>
    <row r="3202" spans="1:24" x14ac:dyDescent="0.3">
      <c r="A3202">
        <v>11171</v>
      </c>
      <c r="B3202" t="s">
        <v>26</v>
      </c>
      <c r="C3202" t="s">
        <v>30</v>
      </c>
      <c r="D3202" t="s">
        <v>36</v>
      </c>
      <c r="E3202" s="1">
        <v>2025</v>
      </c>
      <c r="F3202" s="11">
        <v>5.7300000000000004E-2</v>
      </c>
      <c r="G3202">
        <v>6.63</v>
      </c>
      <c r="H3202">
        <v>24.5</v>
      </c>
      <c r="I3202" s="2">
        <v>89745.35</v>
      </c>
      <c r="J3202" s="2">
        <v>64739.98</v>
      </c>
      <c r="K3202" s="2">
        <f>Table1[[#This Row],[Salary_after]]-Table1[[#This Row],[Salary_before]]</f>
        <v>-25005.370000000003</v>
      </c>
      <c r="L3202" s="11">
        <v>-0.27860000000000001</v>
      </c>
      <c r="M3202" s="11">
        <v>0.1067</v>
      </c>
      <c r="N3202">
        <v>75.38</v>
      </c>
      <c r="O3202">
        <v>85.74</v>
      </c>
      <c r="P3202">
        <v>2</v>
      </c>
      <c r="Q3202" t="s">
        <v>21</v>
      </c>
      <c r="R3202">
        <v>15.115</v>
      </c>
      <c r="S3202">
        <v>27.86</v>
      </c>
      <c r="T3202" s="4">
        <v>18</v>
      </c>
      <c r="U3202" s="4">
        <v>4.9129019999999999</v>
      </c>
      <c r="V3202" t="str">
        <f>IF(Table1[[#This Row],[ai_disruption_intensity]]&gt;70,"High",
IF(Table1[[#This Row],[ai_disruption_intensity]]&gt;40,"Medium","Low"))</f>
        <v>Low</v>
      </c>
      <c r="W3202" t="str">
        <f>IF(Table1[[#This Row],[skill_gap_index]]&gt;70,"Large Gap",
IF(Table1[[#This Row],[skill_gap_index]]&gt;40,"Medium Gap","Small Gap"))</f>
        <v>Small Gap</v>
      </c>
      <c r="X3202" s="3" t="str">
        <f>IF(Table1[[#This Row],[automation_risk_percent]]&gt;0.7,"Highly Automatable",
IF(Table1[[#This Row],[automation_risk_percent]]&gt;0.4,"Moderate Risk","Safe Job"))</f>
        <v>Safe Job</v>
      </c>
    </row>
    <row r="3203" spans="1:24" x14ac:dyDescent="0.3">
      <c r="A3203">
        <v>11175</v>
      </c>
      <c r="B3203" t="s">
        <v>29</v>
      </c>
      <c r="C3203" t="s">
        <v>38</v>
      </c>
      <c r="D3203" t="s">
        <v>42</v>
      </c>
      <c r="E3203" s="1">
        <v>2025</v>
      </c>
      <c r="F3203" s="11">
        <v>0.5645</v>
      </c>
      <c r="G3203">
        <v>48.39</v>
      </c>
      <c r="H3203">
        <v>99.53</v>
      </c>
      <c r="I3203" s="2">
        <v>36975.870000000003</v>
      </c>
      <c r="J3203" s="2">
        <v>33361.019999999997</v>
      </c>
      <c r="K3203" s="2">
        <f>Table1[[#This Row],[Salary_after]]-Table1[[#This Row],[Salary_before]]</f>
        <v>-3614.8500000000058</v>
      </c>
      <c r="L3203" s="11">
        <v>-9.7799999999999998E-2</v>
      </c>
      <c r="M3203" s="11">
        <v>3.5900000000000001E-2</v>
      </c>
      <c r="N3203">
        <v>16.18</v>
      </c>
      <c r="O3203">
        <v>73.5</v>
      </c>
      <c r="P3203">
        <v>3</v>
      </c>
      <c r="Q3203" t="s">
        <v>25</v>
      </c>
      <c r="R3203">
        <v>77.989999999999995</v>
      </c>
      <c r="S3203">
        <v>9.7799999999999994</v>
      </c>
      <c r="T3203" s="4">
        <v>55.372999999999998</v>
      </c>
      <c r="U3203" s="4">
        <v>41.490749999999998</v>
      </c>
      <c r="V3203" t="str">
        <f>IF(Table1[[#This Row],[ai_disruption_intensity]]&gt;70,"High",
IF(Table1[[#This Row],[ai_disruption_intensity]]&gt;40,"Medium","Low"))</f>
        <v>Medium</v>
      </c>
      <c r="W3203" t="str">
        <f>IF(Table1[[#This Row],[skill_gap_index]]&gt;70,"Large Gap",
IF(Table1[[#This Row],[skill_gap_index]]&gt;40,"Medium Gap","Small Gap"))</f>
        <v>Large Gap</v>
      </c>
      <c r="X3203" s="3" t="str">
        <f>IF(Table1[[#This Row],[automation_risk_percent]]&gt;0.7,"Highly Automatable",
IF(Table1[[#This Row],[automation_risk_percent]]&gt;0.4,"Moderate Risk","Safe Job"))</f>
        <v>Moderate Risk</v>
      </c>
    </row>
    <row r="3204" spans="1:24" x14ac:dyDescent="0.3">
      <c r="A3204">
        <v>11178</v>
      </c>
      <c r="B3204" t="s">
        <v>41</v>
      </c>
      <c r="C3204" t="s">
        <v>33</v>
      </c>
      <c r="D3204" t="s">
        <v>42</v>
      </c>
      <c r="E3204" s="1">
        <v>2026</v>
      </c>
      <c r="F3204" s="11">
        <v>0.43579999999999997</v>
      </c>
      <c r="G3204">
        <v>51.53</v>
      </c>
      <c r="H3204">
        <v>83.81</v>
      </c>
      <c r="I3204" s="2">
        <v>68742.289999999994</v>
      </c>
      <c r="J3204" s="2">
        <v>66579.990000000005</v>
      </c>
      <c r="K3204" s="2">
        <f>Table1[[#This Row],[Salary_after]]-Table1[[#This Row],[Salary_before]]</f>
        <v>-2162.2999999999884</v>
      </c>
      <c r="L3204" s="11">
        <v>-3.15E-2</v>
      </c>
      <c r="M3204" s="11">
        <v>6.8199999999999997E-2</v>
      </c>
      <c r="N3204">
        <v>72.819999999999993</v>
      </c>
      <c r="O3204">
        <v>45.26</v>
      </c>
      <c r="P3204">
        <v>2</v>
      </c>
      <c r="Q3204" t="s">
        <v>25</v>
      </c>
      <c r="R3204">
        <v>63.695</v>
      </c>
      <c r="S3204">
        <v>3.15</v>
      </c>
      <c r="T3204" s="4">
        <v>43.52</v>
      </c>
      <c r="U3204" s="4">
        <v>19.724307999999901</v>
      </c>
      <c r="V3204" t="str">
        <f>IF(Table1[[#This Row],[ai_disruption_intensity]]&gt;70,"High",
IF(Table1[[#This Row],[ai_disruption_intensity]]&gt;40,"Medium","Low"))</f>
        <v>Low</v>
      </c>
      <c r="W3204" t="str">
        <f>IF(Table1[[#This Row],[skill_gap_index]]&gt;70,"Large Gap",
IF(Table1[[#This Row],[skill_gap_index]]&gt;40,"Medium Gap","Small Gap"))</f>
        <v>Large Gap</v>
      </c>
      <c r="X3204" s="3" t="str">
        <f>IF(Table1[[#This Row],[automation_risk_percent]]&gt;0.7,"Highly Automatable",
IF(Table1[[#This Row],[automation_risk_percent]]&gt;0.4,"Moderate Risk","Safe Job"))</f>
        <v>Moderate Risk</v>
      </c>
    </row>
    <row r="3205" spans="1:24" x14ac:dyDescent="0.3">
      <c r="A3205">
        <v>11182</v>
      </c>
      <c r="B3205" t="s">
        <v>41</v>
      </c>
      <c r="C3205" t="s">
        <v>19</v>
      </c>
      <c r="D3205" t="s">
        <v>20</v>
      </c>
      <c r="E3205" s="1">
        <v>2025</v>
      </c>
      <c r="F3205" s="11">
        <v>0.6764</v>
      </c>
      <c r="G3205">
        <v>65.97</v>
      </c>
      <c r="H3205">
        <v>95.55</v>
      </c>
      <c r="I3205" s="2">
        <v>100034.17</v>
      </c>
      <c r="J3205" s="2">
        <v>100915.33</v>
      </c>
      <c r="K3205" s="2">
        <f>Table1[[#This Row],[Salary_after]]-Table1[[#This Row],[Salary_before]]</f>
        <v>881.16000000000349</v>
      </c>
      <c r="L3205" s="11">
        <v>8.8000000000000005E-3</v>
      </c>
      <c r="M3205" s="11">
        <v>0.14429999999999998</v>
      </c>
      <c r="N3205">
        <v>29.27</v>
      </c>
      <c r="O3205">
        <v>39.020000000000003</v>
      </c>
      <c r="P3205">
        <v>4</v>
      </c>
      <c r="Q3205" t="s">
        <v>37</v>
      </c>
      <c r="R3205">
        <v>81.594999999999999</v>
      </c>
      <c r="S3205">
        <v>0.88</v>
      </c>
      <c r="T3205" s="4">
        <v>55.984999999999999</v>
      </c>
      <c r="U3205" s="4">
        <v>26.393128000000001</v>
      </c>
      <c r="V3205" t="str">
        <f>IF(Table1[[#This Row],[ai_disruption_intensity]]&gt;70,"High",
IF(Table1[[#This Row],[ai_disruption_intensity]]&gt;40,"Medium","Low"))</f>
        <v>Low</v>
      </c>
      <c r="W3205" t="str">
        <f>IF(Table1[[#This Row],[skill_gap_index]]&gt;70,"Large Gap",
IF(Table1[[#This Row],[skill_gap_index]]&gt;40,"Medium Gap","Small Gap"))</f>
        <v>Large Gap</v>
      </c>
      <c r="X3205" s="3" t="str">
        <f>IF(Table1[[#This Row],[automation_risk_percent]]&gt;0.7,"Highly Automatable",
IF(Table1[[#This Row],[automation_risk_percent]]&gt;0.4,"Moderate Risk","Safe Job"))</f>
        <v>Moderate Risk</v>
      </c>
    </row>
    <row r="3206" spans="1:24" x14ac:dyDescent="0.3">
      <c r="A3206">
        <v>11188</v>
      </c>
      <c r="B3206" t="s">
        <v>41</v>
      </c>
      <c r="C3206" t="s">
        <v>19</v>
      </c>
      <c r="D3206" t="s">
        <v>20</v>
      </c>
      <c r="E3206" s="1">
        <v>2026</v>
      </c>
      <c r="F3206" s="11">
        <v>0.72260000000000002</v>
      </c>
      <c r="G3206">
        <v>58.6</v>
      </c>
      <c r="H3206">
        <v>12.62</v>
      </c>
      <c r="I3206" s="2">
        <v>135919.4</v>
      </c>
      <c r="J3206" s="2">
        <v>120021.46</v>
      </c>
      <c r="K3206" s="2">
        <f>Table1[[#This Row],[Salary_after]]-Table1[[#This Row],[Salary_before]]</f>
        <v>-15897.939999999988</v>
      </c>
      <c r="L3206" s="11">
        <v>-0.11699999999999999</v>
      </c>
      <c r="M3206" s="11">
        <v>8.3900000000000002E-2</v>
      </c>
      <c r="N3206">
        <v>92.79</v>
      </c>
      <c r="O3206">
        <v>12.24</v>
      </c>
      <c r="P3206">
        <v>1</v>
      </c>
      <c r="Q3206" t="s">
        <v>37</v>
      </c>
      <c r="R3206">
        <v>42.44</v>
      </c>
      <c r="S3206">
        <v>11.7</v>
      </c>
      <c r="T3206" s="4">
        <v>36.200000000000003</v>
      </c>
      <c r="U3206" s="4">
        <v>8.8446239999999996</v>
      </c>
      <c r="V3206" t="str">
        <f>IF(Table1[[#This Row],[ai_disruption_intensity]]&gt;70,"High",
IF(Table1[[#This Row],[ai_disruption_intensity]]&gt;40,"Medium","Low"))</f>
        <v>Low</v>
      </c>
      <c r="W3206" t="str">
        <f>IF(Table1[[#This Row],[skill_gap_index]]&gt;70,"Large Gap",
IF(Table1[[#This Row],[skill_gap_index]]&gt;40,"Medium Gap","Small Gap"))</f>
        <v>Small Gap</v>
      </c>
      <c r="X3206" s="3" t="str">
        <f>IF(Table1[[#This Row],[automation_risk_percent]]&gt;0.7,"Highly Automatable",
IF(Table1[[#This Row],[automation_risk_percent]]&gt;0.4,"Moderate Risk","Safe Job"))</f>
        <v>Highly Automatable</v>
      </c>
    </row>
    <row r="3207" spans="1:24" x14ac:dyDescent="0.3">
      <c r="A3207">
        <v>11192</v>
      </c>
      <c r="B3207" t="s">
        <v>22</v>
      </c>
      <c r="C3207" t="s">
        <v>34</v>
      </c>
      <c r="D3207" t="s">
        <v>28</v>
      </c>
      <c r="E3207" s="1">
        <v>2026</v>
      </c>
      <c r="F3207" s="11">
        <v>0.53880000000000006</v>
      </c>
      <c r="G3207">
        <v>44.13</v>
      </c>
      <c r="H3207">
        <v>46.87</v>
      </c>
      <c r="I3207" s="2">
        <v>55786.83</v>
      </c>
      <c r="J3207" s="2">
        <v>49206</v>
      </c>
      <c r="K3207" s="2">
        <f>Table1[[#This Row],[Salary_after]]-Table1[[#This Row],[Salary_before]]</f>
        <v>-6580.8300000000017</v>
      </c>
      <c r="L3207" s="11">
        <v>-0.11800000000000001</v>
      </c>
      <c r="M3207" s="11">
        <v>9.5799999999999996E-2</v>
      </c>
      <c r="N3207">
        <v>68.05</v>
      </c>
      <c r="O3207">
        <v>88.33</v>
      </c>
      <c r="P3207">
        <v>3</v>
      </c>
      <c r="Q3207" t="s">
        <v>25</v>
      </c>
      <c r="R3207">
        <v>50.375</v>
      </c>
      <c r="S3207">
        <v>11.8</v>
      </c>
      <c r="T3207" s="4">
        <v>39.152999999999999</v>
      </c>
      <c r="U3207" s="4">
        <v>47.592204000000002</v>
      </c>
      <c r="V3207" t="str">
        <f>IF(Table1[[#This Row],[ai_disruption_intensity]]&gt;70,"High",
IF(Table1[[#This Row],[ai_disruption_intensity]]&gt;40,"Medium","Low"))</f>
        <v>Medium</v>
      </c>
      <c r="W3207" t="str">
        <f>IF(Table1[[#This Row],[skill_gap_index]]&gt;70,"Large Gap",
IF(Table1[[#This Row],[skill_gap_index]]&gt;40,"Medium Gap","Small Gap"))</f>
        <v>Medium Gap</v>
      </c>
      <c r="X3207" s="3" t="str">
        <f>IF(Table1[[#This Row],[automation_risk_percent]]&gt;0.7,"Highly Automatable",
IF(Table1[[#This Row],[automation_risk_percent]]&gt;0.4,"Moderate Risk","Safe Job"))</f>
        <v>Moderate Risk</v>
      </c>
    </row>
    <row r="3208" spans="1:24" x14ac:dyDescent="0.3">
      <c r="A3208">
        <v>11197</v>
      </c>
      <c r="B3208" t="s">
        <v>43</v>
      </c>
      <c r="C3208" t="s">
        <v>34</v>
      </c>
      <c r="D3208" t="s">
        <v>36</v>
      </c>
      <c r="E3208" s="1">
        <v>2025</v>
      </c>
      <c r="F3208" s="11">
        <v>0.20559999999999998</v>
      </c>
      <c r="G3208">
        <v>19.8</v>
      </c>
      <c r="H3208">
        <v>17.600000000000001</v>
      </c>
      <c r="I3208" s="2">
        <v>55878.87</v>
      </c>
      <c r="J3208" s="2">
        <v>56235.91</v>
      </c>
      <c r="K3208" s="2">
        <f>Table1[[#This Row],[Salary_after]]-Table1[[#This Row],[Salary_before]]</f>
        <v>357.04000000000087</v>
      </c>
      <c r="L3208" s="11">
        <v>6.4000000000000003E-3</v>
      </c>
      <c r="M3208" s="11">
        <v>0.08</v>
      </c>
      <c r="N3208">
        <v>45.05</v>
      </c>
      <c r="O3208">
        <v>52.13</v>
      </c>
      <c r="P3208">
        <v>1</v>
      </c>
      <c r="Q3208" t="s">
        <v>21</v>
      </c>
      <c r="R3208">
        <v>19.079999999999998</v>
      </c>
      <c r="S3208">
        <v>0.64</v>
      </c>
      <c r="T3208" s="4">
        <v>13.696</v>
      </c>
      <c r="U3208" s="4">
        <v>10.717927999999899</v>
      </c>
      <c r="V3208" t="str">
        <f>IF(Table1[[#This Row],[ai_disruption_intensity]]&gt;70,"High",
IF(Table1[[#This Row],[ai_disruption_intensity]]&gt;40,"Medium","Low"))</f>
        <v>Low</v>
      </c>
      <c r="W3208" t="str">
        <f>IF(Table1[[#This Row],[skill_gap_index]]&gt;70,"Large Gap",
IF(Table1[[#This Row],[skill_gap_index]]&gt;40,"Medium Gap","Small Gap"))</f>
        <v>Small Gap</v>
      </c>
      <c r="X3208" s="3" t="str">
        <f>IF(Table1[[#This Row],[automation_risk_percent]]&gt;0.7,"Highly Automatable",
IF(Table1[[#This Row],[automation_risk_percent]]&gt;0.4,"Moderate Risk","Safe Job"))</f>
        <v>Safe Job</v>
      </c>
    </row>
    <row r="3209" spans="1:24" x14ac:dyDescent="0.3">
      <c r="A3209">
        <v>11202</v>
      </c>
      <c r="B3209" t="s">
        <v>18</v>
      </c>
      <c r="C3209" t="s">
        <v>30</v>
      </c>
      <c r="D3209" t="s">
        <v>42</v>
      </c>
      <c r="E3209" s="1">
        <v>2026</v>
      </c>
      <c r="F3209" s="11">
        <v>0.60530000000000006</v>
      </c>
      <c r="G3209">
        <v>48.85</v>
      </c>
      <c r="H3209">
        <v>26.81</v>
      </c>
      <c r="I3209" s="2">
        <v>116611.85</v>
      </c>
      <c r="J3209" s="2">
        <v>131835.10999999999</v>
      </c>
      <c r="K3209" s="2">
        <f>Table1[[#This Row],[Salary_after]]-Table1[[#This Row],[Salary_before]]</f>
        <v>15223.25999999998</v>
      </c>
      <c r="L3209" s="11">
        <v>0.1305</v>
      </c>
      <c r="M3209" s="11">
        <v>0.1744</v>
      </c>
      <c r="N3209">
        <v>72.680000000000007</v>
      </c>
      <c r="O3209">
        <v>42.93</v>
      </c>
      <c r="P3209">
        <v>4</v>
      </c>
      <c r="Q3209" t="s">
        <v>37</v>
      </c>
      <c r="R3209">
        <v>43.67</v>
      </c>
      <c r="S3209">
        <v>13.05</v>
      </c>
      <c r="T3209" s="4">
        <v>36.17</v>
      </c>
      <c r="U3209" s="4">
        <v>25.985529</v>
      </c>
      <c r="V3209" t="str">
        <f>IF(Table1[[#This Row],[ai_disruption_intensity]]&gt;70,"High",
IF(Table1[[#This Row],[ai_disruption_intensity]]&gt;40,"Medium","Low"))</f>
        <v>Low</v>
      </c>
      <c r="W3209" t="str">
        <f>IF(Table1[[#This Row],[skill_gap_index]]&gt;70,"Large Gap",
IF(Table1[[#This Row],[skill_gap_index]]&gt;40,"Medium Gap","Small Gap"))</f>
        <v>Small Gap</v>
      </c>
      <c r="X3209" s="3" t="str">
        <f>IF(Table1[[#This Row],[automation_risk_percent]]&gt;0.7,"Highly Automatable",
IF(Table1[[#This Row],[automation_risk_percent]]&gt;0.4,"Moderate Risk","Safe Job"))</f>
        <v>Moderate Risk</v>
      </c>
    </row>
    <row r="3210" spans="1:24" x14ac:dyDescent="0.3">
      <c r="A3210">
        <v>11207</v>
      </c>
      <c r="B3210" t="s">
        <v>26</v>
      </c>
      <c r="C3210" t="s">
        <v>40</v>
      </c>
      <c r="D3210" t="s">
        <v>31</v>
      </c>
      <c r="E3210" s="1">
        <v>2026</v>
      </c>
      <c r="F3210" s="11">
        <v>0.63060000000000005</v>
      </c>
      <c r="G3210">
        <v>52.68</v>
      </c>
      <c r="H3210">
        <v>89.93</v>
      </c>
      <c r="I3210" s="2">
        <v>44131.05</v>
      </c>
      <c r="J3210" s="2">
        <v>44147.32</v>
      </c>
      <c r="K3210" s="2">
        <f>Table1[[#This Row],[Salary_after]]-Table1[[#This Row],[Salary_before]]</f>
        <v>16.269999999996799</v>
      </c>
      <c r="L3210" s="11">
        <v>4.0000000000000002E-4</v>
      </c>
      <c r="M3210" s="11">
        <v>6.5599999999999992E-2</v>
      </c>
      <c r="N3210">
        <v>75.7</v>
      </c>
      <c r="O3210">
        <v>6.28</v>
      </c>
      <c r="P3210">
        <v>4</v>
      </c>
      <c r="Q3210" t="s">
        <v>37</v>
      </c>
      <c r="R3210">
        <v>76.495000000000005</v>
      </c>
      <c r="S3210">
        <v>0.04</v>
      </c>
      <c r="T3210" s="4">
        <v>52.215000000000003</v>
      </c>
      <c r="U3210" s="4">
        <v>3.9601679999999999</v>
      </c>
      <c r="V3210" t="str">
        <f>IF(Table1[[#This Row],[ai_disruption_intensity]]&gt;70,"High",
IF(Table1[[#This Row],[ai_disruption_intensity]]&gt;40,"Medium","Low"))</f>
        <v>Low</v>
      </c>
      <c r="W3210" t="str">
        <f>IF(Table1[[#This Row],[skill_gap_index]]&gt;70,"Large Gap",
IF(Table1[[#This Row],[skill_gap_index]]&gt;40,"Medium Gap","Small Gap"))</f>
        <v>Large Gap</v>
      </c>
      <c r="X3210" s="3" t="str">
        <f>IF(Table1[[#This Row],[automation_risk_percent]]&gt;0.7,"Highly Automatable",
IF(Table1[[#This Row],[automation_risk_percent]]&gt;0.4,"Moderate Risk","Safe Job"))</f>
        <v>Moderate Risk</v>
      </c>
    </row>
    <row r="3211" spans="1:24" x14ac:dyDescent="0.3">
      <c r="A3211">
        <v>11210</v>
      </c>
      <c r="B3211" t="s">
        <v>43</v>
      </c>
      <c r="C3211" t="s">
        <v>23</v>
      </c>
      <c r="D3211" t="s">
        <v>28</v>
      </c>
      <c r="E3211" s="1">
        <v>2026</v>
      </c>
      <c r="F3211" s="11">
        <v>0.55889999999999995</v>
      </c>
      <c r="G3211">
        <v>64.34</v>
      </c>
      <c r="H3211">
        <v>57.77</v>
      </c>
      <c r="I3211" s="2">
        <v>35468.71</v>
      </c>
      <c r="J3211" s="2">
        <v>36013.07</v>
      </c>
      <c r="K3211" s="2">
        <f>Table1[[#This Row],[Salary_after]]-Table1[[#This Row],[Salary_before]]</f>
        <v>544.36000000000058</v>
      </c>
      <c r="L3211" s="11">
        <v>1.5300000000000001E-2</v>
      </c>
      <c r="M3211" s="11">
        <v>6.9900000000000004E-2</v>
      </c>
      <c r="N3211">
        <v>43.66</v>
      </c>
      <c r="O3211">
        <v>66.209999999999994</v>
      </c>
      <c r="P3211">
        <v>2</v>
      </c>
      <c r="Q3211" t="s">
        <v>25</v>
      </c>
      <c r="R3211">
        <v>56.83</v>
      </c>
      <c r="S3211">
        <v>1.53</v>
      </c>
      <c r="T3211" s="4">
        <v>40.146000000000001</v>
      </c>
      <c r="U3211" s="4">
        <v>37.004768999999897</v>
      </c>
      <c r="V3211" t="str">
        <f>IF(Table1[[#This Row],[ai_disruption_intensity]]&gt;70,"High",
IF(Table1[[#This Row],[ai_disruption_intensity]]&gt;40,"Medium","Low"))</f>
        <v>Low</v>
      </c>
      <c r="W3211" t="str">
        <f>IF(Table1[[#This Row],[skill_gap_index]]&gt;70,"Large Gap",
IF(Table1[[#This Row],[skill_gap_index]]&gt;40,"Medium Gap","Small Gap"))</f>
        <v>Medium Gap</v>
      </c>
      <c r="X3211" s="3" t="str">
        <f>IF(Table1[[#This Row],[automation_risk_percent]]&gt;0.7,"Highly Automatable",
IF(Table1[[#This Row],[automation_risk_percent]]&gt;0.4,"Moderate Risk","Safe Job"))</f>
        <v>Moderate Risk</v>
      </c>
    </row>
    <row r="3212" spans="1:24" x14ac:dyDescent="0.3">
      <c r="A3212">
        <v>11216</v>
      </c>
      <c r="B3212" t="s">
        <v>39</v>
      </c>
      <c r="C3212" t="s">
        <v>19</v>
      </c>
      <c r="D3212" t="s">
        <v>35</v>
      </c>
      <c r="E3212" s="1">
        <v>2025</v>
      </c>
      <c r="F3212" s="11">
        <v>0.1066</v>
      </c>
      <c r="G3212">
        <v>12.21</v>
      </c>
      <c r="H3212">
        <v>64.08</v>
      </c>
      <c r="I3212" s="2">
        <v>147512.59</v>
      </c>
      <c r="J3212" s="2">
        <v>155231.82</v>
      </c>
      <c r="K3212" s="2">
        <f>Table1[[#This Row],[Salary_after]]-Table1[[#This Row],[Salary_before]]</f>
        <v>7719.2300000000105</v>
      </c>
      <c r="L3212" s="11">
        <v>5.2300000000000006E-2</v>
      </c>
      <c r="M3212" s="11">
        <v>-5.5099999999999996E-2</v>
      </c>
      <c r="N3212">
        <v>26.91</v>
      </c>
      <c r="O3212">
        <v>63.9</v>
      </c>
      <c r="P3212">
        <v>1</v>
      </c>
      <c r="Q3212" t="s">
        <v>21</v>
      </c>
      <c r="R3212">
        <v>37.369999999999997</v>
      </c>
      <c r="S3212">
        <v>5.23</v>
      </c>
      <c r="T3212" s="4">
        <v>25.056999999999999</v>
      </c>
      <c r="U3212" s="4">
        <v>6.8117399999999897</v>
      </c>
      <c r="V3212" t="str">
        <f>IF(Table1[[#This Row],[ai_disruption_intensity]]&gt;70,"High",
IF(Table1[[#This Row],[ai_disruption_intensity]]&gt;40,"Medium","Low"))</f>
        <v>Low</v>
      </c>
      <c r="W3212" t="str">
        <f>IF(Table1[[#This Row],[skill_gap_index]]&gt;70,"Large Gap",
IF(Table1[[#This Row],[skill_gap_index]]&gt;40,"Medium Gap","Small Gap"))</f>
        <v>Medium Gap</v>
      </c>
      <c r="X3212" s="3" t="str">
        <f>IF(Table1[[#This Row],[automation_risk_percent]]&gt;0.7,"Highly Automatable",
IF(Table1[[#This Row],[automation_risk_percent]]&gt;0.4,"Moderate Risk","Safe Job"))</f>
        <v>Safe Job</v>
      </c>
    </row>
    <row r="3213" spans="1:24" x14ac:dyDescent="0.3">
      <c r="A3213">
        <v>11217</v>
      </c>
      <c r="B3213" t="s">
        <v>18</v>
      </c>
      <c r="C3213" t="s">
        <v>38</v>
      </c>
      <c r="D3213" t="s">
        <v>42</v>
      </c>
      <c r="E3213" s="1">
        <v>2026</v>
      </c>
      <c r="F3213" s="11">
        <v>0.44420000000000004</v>
      </c>
      <c r="G3213">
        <v>47.35</v>
      </c>
      <c r="H3213">
        <v>72.53</v>
      </c>
      <c r="I3213" s="2">
        <v>92739.66</v>
      </c>
      <c r="J3213" s="2">
        <v>85555.98</v>
      </c>
      <c r="K3213" s="2">
        <f>Table1[[#This Row],[Salary_after]]-Table1[[#This Row],[Salary_before]]</f>
        <v>-7183.6800000000076</v>
      </c>
      <c r="L3213" s="11">
        <v>-7.7499999999999999E-2</v>
      </c>
      <c r="M3213" s="11">
        <v>4.8899999999999999E-2</v>
      </c>
      <c r="N3213">
        <v>42.74</v>
      </c>
      <c r="O3213">
        <v>30.2</v>
      </c>
      <c r="P3213">
        <v>4</v>
      </c>
      <c r="Q3213" t="s">
        <v>25</v>
      </c>
      <c r="R3213">
        <v>58.475000000000001</v>
      </c>
      <c r="S3213">
        <v>7.75</v>
      </c>
      <c r="T3213" s="4">
        <v>41.851999999999997</v>
      </c>
      <c r="U3213" s="4">
        <v>13.41484</v>
      </c>
      <c r="V3213" t="str">
        <f>IF(Table1[[#This Row],[ai_disruption_intensity]]&gt;70,"High",
IF(Table1[[#This Row],[ai_disruption_intensity]]&gt;40,"Medium","Low"))</f>
        <v>Low</v>
      </c>
      <c r="W3213" t="str">
        <f>IF(Table1[[#This Row],[skill_gap_index]]&gt;70,"Large Gap",
IF(Table1[[#This Row],[skill_gap_index]]&gt;40,"Medium Gap","Small Gap"))</f>
        <v>Large Gap</v>
      </c>
      <c r="X3213" s="3" t="str">
        <f>IF(Table1[[#This Row],[automation_risk_percent]]&gt;0.7,"Highly Automatable",
IF(Table1[[#This Row],[automation_risk_percent]]&gt;0.4,"Moderate Risk","Safe Job"))</f>
        <v>Moderate Risk</v>
      </c>
    </row>
    <row r="3214" spans="1:24" x14ac:dyDescent="0.3">
      <c r="A3214">
        <v>11220</v>
      </c>
      <c r="B3214" t="s">
        <v>39</v>
      </c>
      <c r="C3214" t="s">
        <v>27</v>
      </c>
      <c r="D3214" t="s">
        <v>42</v>
      </c>
      <c r="E3214" s="1">
        <v>2025</v>
      </c>
      <c r="F3214" s="11">
        <v>0.1192</v>
      </c>
      <c r="G3214">
        <v>13.32</v>
      </c>
      <c r="H3214">
        <v>90.31</v>
      </c>
      <c r="I3214" s="2">
        <v>118030.96</v>
      </c>
      <c r="J3214" s="2">
        <v>127576.77</v>
      </c>
      <c r="K3214" s="2">
        <f>Table1[[#This Row],[Salary_after]]-Table1[[#This Row],[Salary_before]]</f>
        <v>9545.8099999999977</v>
      </c>
      <c r="L3214" s="11">
        <v>8.09E-2</v>
      </c>
      <c r="M3214" s="11">
        <v>-8.1000000000000013E-3</v>
      </c>
      <c r="N3214">
        <v>65.16</v>
      </c>
      <c r="O3214">
        <v>68.290000000000006</v>
      </c>
      <c r="P3214">
        <v>4</v>
      </c>
      <c r="Q3214" t="s">
        <v>21</v>
      </c>
      <c r="R3214">
        <v>51.115000000000002</v>
      </c>
      <c r="S3214">
        <v>8.09</v>
      </c>
      <c r="T3214" s="4">
        <v>34.287999999999997</v>
      </c>
      <c r="U3214" s="4">
        <v>8.1401679999999992</v>
      </c>
      <c r="V3214" t="str">
        <f>IF(Table1[[#This Row],[ai_disruption_intensity]]&gt;70,"High",
IF(Table1[[#This Row],[ai_disruption_intensity]]&gt;40,"Medium","Low"))</f>
        <v>Low</v>
      </c>
      <c r="W3214" t="str">
        <f>IF(Table1[[#This Row],[skill_gap_index]]&gt;70,"Large Gap",
IF(Table1[[#This Row],[skill_gap_index]]&gt;40,"Medium Gap","Small Gap"))</f>
        <v>Large Gap</v>
      </c>
      <c r="X3214" s="3" t="str">
        <f>IF(Table1[[#This Row],[automation_risk_percent]]&gt;0.7,"Highly Automatable",
IF(Table1[[#This Row],[automation_risk_percent]]&gt;0.4,"Moderate Risk","Safe Job"))</f>
        <v>Safe Job</v>
      </c>
    </row>
    <row r="3215" spans="1:24" x14ac:dyDescent="0.3">
      <c r="A3215">
        <v>11224</v>
      </c>
      <c r="B3215" t="s">
        <v>18</v>
      </c>
      <c r="C3215" t="s">
        <v>33</v>
      </c>
      <c r="D3215" t="s">
        <v>36</v>
      </c>
      <c r="E3215" s="1">
        <v>2025</v>
      </c>
      <c r="F3215" s="11">
        <v>0.1769</v>
      </c>
      <c r="G3215">
        <v>16.13</v>
      </c>
      <c r="H3215">
        <v>83.35</v>
      </c>
      <c r="I3215" s="2">
        <v>32656.46</v>
      </c>
      <c r="J3215" s="2">
        <v>33072.47</v>
      </c>
      <c r="K3215" s="2">
        <f>Table1[[#This Row],[Salary_after]]-Table1[[#This Row],[Salary_before]]</f>
        <v>416.01000000000204</v>
      </c>
      <c r="L3215" s="11">
        <v>1.2699999999999999E-2</v>
      </c>
      <c r="M3215" s="11">
        <v>1.9400000000000001E-2</v>
      </c>
      <c r="N3215">
        <v>44.75</v>
      </c>
      <c r="O3215">
        <v>77.3</v>
      </c>
      <c r="P3215">
        <v>3</v>
      </c>
      <c r="Q3215" t="s">
        <v>21</v>
      </c>
      <c r="R3215">
        <v>50.519999999999897</v>
      </c>
      <c r="S3215">
        <v>1.27</v>
      </c>
      <c r="T3215" s="4">
        <v>32.462000000000003</v>
      </c>
      <c r="U3215" s="4">
        <v>13.67437</v>
      </c>
      <c r="V3215" t="str">
        <f>IF(Table1[[#This Row],[ai_disruption_intensity]]&gt;70,"High",
IF(Table1[[#This Row],[ai_disruption_intensity]]&gt;40,"Medium","Low"))</f>
        <v>Low</v>
      </c>
      <c r="W3215" t="str">
        <f>IF(Table1[[#This Row],[skill_gap_index]]&gt;70,"Large Gap",
IF(Table1[[#This Row],[skill_gap_index]]&gt;40,"Medium Gap","Small Gap"))</f>
        <v>Large Gap</v>
      </c>
      <c r="X3215" s="3" t="str">
        <f>IF(Table1[[#This Row],[automation_risk_percent]]&gt;0.7,"Highly Automatable",
IF(Table1[[#This Row],[automation_risk_percent]]&gt;0.4,"Moderate Risk","Safe Job"))</f>
        <v>Safe Job</v>
      </c>
    </row>
    <row r="3216" spans="1:24" x14ac:dyDescent="0.3">
      <c r="A3216">
        <v>11227</v>
      </c>
      <c r="B3216" t="s">
        <v>46</v>
      </c>
      <c r="C3216" t="s">
        <v>19</v>
      </c>
      <c r="D3216" t="s">
        <v>31</v>
      </c>
      <c r="E3216" s="1">
        <v>2025</v>
      </c>
      <c r="F3216" s="11">
        <v>0.44700000000000001</v>
      </c>
      <c r="G3216">
        <v>41.98</v>
      </c>
      <c r="H3216">
        <v>38.75</v>
      </c>
      <c r="I3216" s="2">
        <v>97875.61</v>
      </c>
      <c r="J3216" s="2">
        <v>111334.75</v>
      </c>
      <c r="K3216" s="2">
        <f>Table1[[#This Row],[Salary_after]]-Table1[[#This Row],[Salary_before]]</f>
        <v>13459.14</v>
      </c>
      <c r="L3216" s="11">
        <v>0.13750000000000001</v>
      </c>
      <c r="M3216" s="11">
        <v>8.5500000000000007E-2</v>
      </c>
      <c r="N3216">
        <v>17.64</v>
      </c>
      <c r="O3216">
        <v>56.66</v>
      </c>
      <c r="P3216">
        <v>1</v>
      </c>
      <c r="Q3216" t="s">
        <v>25</v>
      </c>
      <c r="R3216">
        <v>41.725000000000001</v>
      </c>
      <c r="S3216">
        <v>13.75</v>
      </c>
      <c r="T3216" s="4">
        <v>33.630000000000003</v>
      </c>
      <c r="U3216" s="4">
        <v>25.327020000000001</v>
      </c>
      <c r="V3216" t="str">
        <f>IF(Table1[[#This Row],[ai_disruption_intensity]]&gt;70,"High",
IF(Table1[[#This Row],[ai_disruption_intensity]]&gt;40,"Medium","Low"))</f>
        <v>Low</v>
      </c>
      <c r="W3216" t="str">
        <f>IF(Table1[[#This Row],[skill_gap_index]]&gt;70,"Large Gap",
IF(Table1[[#This Row],[skill_gap_index]]&gt;40,"Medium Gap","Small Gap"))</f>
        <v>Small Gap</v>
      </c>
      <c r="X3216" s="3" t="str">
        <f>IF(Table1[[#This Row],[automation_risk_percent]]&gt;0.7,"Highly Automatable",
IF(Table1[[#This Row],[automation_risk_percent]]&gt;0.4,"Moderate Risk","Safe Job"))</f>
        <v>Moderate Risk</v>
      </c>
    </row>
    <row r="3217" spans="1:24" x14ac:dyDescent="0.3">
      <c r="A3217">
        <v>11238</v>
      </c>
      <c r="B3217" t="s">
        <v>29</v>
      </c>
      <c r="C3217" t="s">
        <v>34</v>
      </c>
      <c r="D3217" t="s">
        <v>24</v>
      </c>
      <c r="E3217" s="1">
        <v>2026</v>
      </c>
      <c r="F3217" s="11">
        <v>0.84699999999999998</v>
      </c>
      <c r="G3217">
        <v>93.48</v>
      </c>
      <c r="H3217">
        <v>2.54</v>
      </c>
      <c r="I3217" s="2">
        <v>127323.01</v>
      </c>
      <c r="J3217" s="2">
        <v>150552.43</v>
      </c>
      <c r="K3217" s="2">
        <f>Table1[[#This Row],[Salary_after]]-Table1[[#This Row],[Salary_before]]</f>
        <v>23229.42</v>
      </c>
      <c r="L3217" s="11">
        <v>0.18239999999999998</v>
      </c>
      <c r="M3217" s="11">
        <v>0.1482</v>
      </c>
      <c r="N3217">
        <v>89.64</v>
      </c>
      <c r="O3217">
        <v>1.04</v>
      </c>
      <c r="P3217">
        <v>2</v>
      </c>
      <c r="Q3217" t="s">
        <v>37</v>
      </c>
      <c r="R3217">
        <v>43.62</v>
      </c>
      <c r="S3217">
        <v>18.239999999999998</v>
      </c>
      <c r="T3217" s="4">
        <v>40.113999999999997</v>
      </c>
      <c r="U3217" s="4">
        <v>0.88088</v>
      </c>
      <c r="V3217" t="str">
        <f>IF(Table1[[#This Row],[ai_disruption_intensity]]&gt;70,"High",
IF(Table1[[#This Row],[ai_disruption_intensity]]&gt;40,"Medium","Low"))</f>
        <v>Low</v>
      </c>
      <c r="W3217" t="str">
        <f>IF(Table1[[#This Row],[skill_gap_index]]&gt;70,"Large Gap",
IF(Table1[[#This Row],[skill_gap_index]]&gt;40,"Medium Gap","Small Gap"))</f>
        <v>Small Gap</v>
      </c>
      <c r="X3217" s="3" t="str">
        <f>IF(Table1[[#This Row],[automation_risk_percent]]&gt;0.7,"Highly Automatable",
IF(Table1[[#This Row],[automation_risk_percent]]&gt;0.4,"Moderate Risk","Safe Job"))</f>
        <v>Highly Automatable</v>
      </c>
    </row>
    <row r="3218" spans="1:24" x14ac:dyDescent="0.3">
      <c r="A3218">
        <v>11240</v>
      </c>
      <c r="B3218" t="s">
        <v>18</v>
      </c>
      <c r="C3218" t="s">
        <v>33</v>
      </c>
      <c r="D3218" t="s">
        <v>24</v>
      </c>
      <c r="E3218" s="1">
        <v>2025</v>
      </c>
      <c r="F3218" s="11">
        <v>0.42080000000000001</v>
      </c>
      <c r="G3218">
        <v>42.94</v>
      </c>
      <c r="H3218">
        <v>5.0599999999999996</v>
      </c>
      <c r="I3218" s="2">
        <v>110851.37</v>
      </c>
      <c r="J3218" s="2">
        <v>111054.69</v>
      </c>
      <c r="K3218" s="2">
        <f>Table1[[#This Row],[Salary_after]]-Table1[[#This Row],[Salary_before]]</f>
        <v>203.32000000000698</v>
      </c>
      <c r="L3218" s="11">
        <v>1.8E-3</v>
      </c>
      <c r="M3218" s="11">
        <v>1.7899999999999999E-2</v>
      </c>
      <c r="N3218">
        <v>33.9</v>
      </c>
      <c r="O3218">
        <v>31.31</v>
      </c>
      <c r="P3218">
        <v>3</v>
      </c>
      <c r="Q3218" t="s">
        <v>25</v>
      </c>
      <c r="R3218">
        <v>23.57</v>
      </c>
      <c r="S3218">
        <v>0.18</v>
      </c>
      <c r="T3218" s="4">
        <v>18.404</v>
      </c>
      <c r="U3218" s="4">
        <v>13.175248</v>
      </c>
      <c r="V3218" t="str">
        <f>IF(Table1[[#This Row],[ai_disruption_intensity]]&gt;70,"High",
IF(Table1[[#This Row],[ai_disruption_intensity]]&gt;40,"Medium","Low"))</f>
        <v>Low</v>
      </c>
      <c r="W3218" t="str">
        <f>IF(Table1[[#This Row],[skill_gap_index]]&gt;70,"Large Gap",
IF(Table1[[#This Row],[skill_gap_index]]&gt;40,"Medium Gap","Small Gap"))</f>
        <v>Small Gap</v>
      </c>
      <c r="X3218" s="3" t="str">
        <f>IF(Table1[[#This Row],[automation_risk_percent]]&gt;0.7,"Highly Automatable",
IF(Table1[[#This Row],[automation_risk_percent]]&gt;0.4,"Moderate Risk","Safe Job"))</f>
        <v>Moderate Risk</v>
      </c>
    </row>
    <row r="3219" spans="1:24" x14ac:dyDescent="0.3">
      <c r="A3219">
        <v>11243</v>
      </c>
      <c r="B3219" t="s">
        <v>43</v>
      </c>
      <c r="C3219" t="s">
        <v>33</v>
      </c>
      <c r="D3219" t="s">
        <v>36</v>
      </c>
      <c r="E3219" s="1">
        <v>2025</v>
      </c>
      <c r="F3219" s="11">
        <v>0.3765</v>
      </c>
      <c r="G3219">
        <v>41.53</v>
      </c>
      <c r="H3219">
        <v>45.97</v>
      </c>
      <c r="I3219" s="2">
        <v>38696.660000000003</v>
      </c>
      <c r="J3219" s="2">
        <v>40347.74</v>
      </c>
      <c r="K3219" s="2">
        <f>Table1[[#This Row],[Salary_after]]-Table1[[#This Row],[Salary_before]]</f>
        <v>1651.0799999999945</v>
      </c>
      <c r="L3219" s="11">
        <v>4.2699999999999995E-2</v>
      </c>
      <c r="M3219" s="11">
        <v>2.2599999999999999E-2</v>
      </c>
      <c r="N3219">
        <v>63.28</v>
      </c>
      <c r="O3219">
        <v>86.22</v>
      </c>
      <c r="P3219">
        <v>3</v>
      </c>
      <c r="Q3219" t="s">
        <v>25</v>
      </c>
      <c r="R3219">
        <v>41.81</v>
      </c>
      <c r="S3219">
        <v>4.2699999999999996</v>
      </c>
      <c r="T3219" s="4">
        <v>30.131999999999898</v>
      </c>
      <c r="U3219" s="4">
        <v>32.461829999999999</v>
      </c>
      <c r="V3219" t="str">
        <f>IF(Table1[[#This Row],[ai_disruption_intensity]]&gt;70,"High",
IF(Table1[[#This Row],[ai_disruption_intensity]]&gt;40,"Medium","Low"))</f>
        <v>Low</v>
      </c>
      <c r="W3219" t="str">
        <f>IF(Table1[[#This Row],[skill_gap_index]]&gt;70,"Large Gap",
IF(Table1[[#This Row],[skill_gap_index]]&gt;40,"Medium Gap","Small Gap"))</f>
        <v>Medium Gap</v>
      </c>
      <c r="X3219" s="3" t="str">
        <f>IF(Table1[[#This Row],[automation_risk_percent]]&gt;0.7,"Highly Automatable",
IF(Table1[[#This Row],[automation_risk_percent]]&gt;0.4,"Moderate Risk","Safe Job"))</f>
        <v>Safe Job</v>
      </c>
    </row>
    <row r="3220" spans="1:24" x14ac:dyDescent="0.3">
      <c r="A3220">
        <v>11246</v>
      </c>
      <c r="B3220" t="s">
        <v>29</v>
      </c>
      <c r="C3220" t="s">
        <v>34</v>
      </c>
      <c r="D3220" t="s">
        <v>35</v>
      </c>
      <c r="E3220" s="1">
        <v>2025</v>
      </c>
      <c r="F3220" s="11">
        <v>0.59340000000000004</v>
      </c>
      <c r="G3220">
        <v>47.68</v>
      </c>
      <c r="H3220">
        <v>86.7</v>
      </c>
      <c r="I3220" s="2">
        <v>36972.42</v>
      </c>
      <c r="J3220" s="2">
        <v>43905.37</v>
      </c>
      <c r="K3220" s="2">
        <f>Table1[[#This Row],[Salary_after]]-Table1[[#This Row],[Salary_before]]</f>
        <v>6932.9500000000044</v>
      </c>
      <c r="L3220" s="11">
        <v>0.1875</v>
      </c>
      <c r="M3220" s="11">
        <v>-3.1600000000000003E-2</v>
      </c>
      <c r="N3220">
        <v>68.599999999999994</v>
      </c>
      <c r="O3220">
        <v>29.82</v>
      </c>
      <c r="P3220">
        <v>2</v>
      </c>
      <c r="Q3220" t="s">
        <v>25</v>
      </c>
      <c r="R3220">
        <v>73.02</v>
      </c>
      <c r="S3220">
        <v>18.75</v>
      </c>
      <c r="T3220" s="4">
        <v>55.371000000000002</v>
      </c>
      <c r="U3220" s="4">
        <v>17.695188000000002</v>
      </c>
      <c r="V3220" t="str">
        <f>IF(Table1[[#This Row],[ai_disruption_intensity]]&gt;70,"High",
IF(Table1[[#This Row],[ai_disruption_intensity]]&gt;40,"Medium","Low"))</f>
        <v>Low</v>
      </c>
      <c r="W3220" t="str">
        <f>IF(Table1[[#This Row],[skill_gap_index]]&gt;70,"Large Gap",
IF(Table1[[#This Row],[skill_gap_index]]&gt;40,"Medium Gap","Small Gap"))</f>
        <v>Large Gap</v>
      </c>
      <c r="X3220" s="3" t="str">
        <f>IF(Table1[[#This Row],[automation_risk_percent]]&gt;0.7,"Highly Automatable",
IF(Table1[[#This Row],[automation_risk_percent]]&gt;0.4,"Moderate Risk","Safe Job"))</f>
        <v>Moderate Risk</v>
      </c>
    </row>
    <row r="3221" spans="1:24" x14ac:dyDescent="0.3">
      <c r="A3221">
        <v>11248</v>
      </c>
      <c r="B3221" t="s">
        <v>26</v>
      </c>
      <c r="C3221" t="s">
        <v>27</v>
      </c>
      <c r="D3221" t="s">
        <v>31</v>
      </c>
      <c r="E3221" s="1">
        <v>2026</v>
      </c>
      <c r="F3221" s="11">
        <v>0.39990000000000003</v>
      </c>
      <c r="G3221">
        <v>36.78</v>
      </c>
      <c r="H3221">
        <v>20.71</v>
      </c>
      <c r="I3221" s="2">
        <v>113379.25</v>
      </c>
      <c r="J3221" s="2">
        <v>107243.18</v>
      </c>
      <c r="K3221" s="2">
        <f>Table1[[#This Row],[Salary_after]]-Table1[[#This Row],[Salary_before]]</f>
        <v>-6136.070000000007</v>
      </c>
      <c r="L3221" s="11">
        <v>-5.4100000000000002E-2</v>
      </c>
      <c r="M3221" s="11">
        <v>0.23559999999999998</v>
      </c>
      <c r="N3221">
        <v>55.02</v>
      </c>
      <c r="O3221">
        <v>97.55</v>
      </c>
      <c r="P3221">
        <v>4</v>
      </c>
      <c r="Q3221" t="s">
        <v>25</v>
      </c>
      <c r="R3221">
        <v>30.35</v>
      </c>
      <c r="S3221">
        <v>5.41</v>
      </c>
      <c r="T3221" s="4">
        <v>23.832000000000001</v>
      </c>
      <c r="U3221" s="4">
        <v>39.010244999999998</v>
      </c>
      <c r="V3221" t="str">
        <f>IF(Table1[[#This Row],[ai_disruption_intensity]]&gt;70,"High",
IF(Table1[[#This Row],[ai_disruption_intensity]]&gt;40,"Medium","Low"))</f>
        <v>Low</v>
      </c>
      <c r="W3221" t="str">
        <f>IF(Table1[[#This Row],[skill_gap_index]]&gt;70,"Large Gap",
IF(Table1[[#This Row],[skill_gap_index]]&gt;40,"Medium Gap","Small Gap"))</f>
        <v>Small Gap</v>
      </c>
      <c r="X3221" s="3" t="str">
        <f>IF(Table1[[#This Row],[automation_risk_percent]]&gt;0.7,"Highly Automatable",
IF(Table1[[#This Row],[automation_risk_percent]]&gt;0.4,"Moderate Risk","Safe Job"))</f>
        <v>Safe Job</v>
      </c>
    </row>
    <row r="3222" spans="1:24" x14ac:dyDescent="0.3">
      <c r="A3222">
        <v>11251</v>
      </c>
      <c r="B3222" t="s">
        <v>45</v>
      </c>
      <c r="C3222" t="s">
        <v>30</v>
      </c>
      <c r="D3222" t="s">
        <v>31</v>
      </c>
      <c r="E3222" s="1">
        <v>2025</v>
      </c>
      <c r="F3222" s="11">
        <v>0.71920000000000006</v>
      </c>
      <c r="G3222">
        <v>74.349999999999994</v>
      </c>
      <c r="H3222">
        <v>89.03</v>
      </c>
      <c r="I3222" s="2">
        <v>60854.57</v>
      </c>
      <c r="J3222" s="2">
        <v>53311.48</v>
      </c>
      <c r="K3222" s="2">
        <f>Table1[[#This Row],[Salary_after]]-Table1[[#This Row],[Salary_before]]</f>
        <v>-7543.0899999999965</v>
      </c>
      <c r="L3222" s="11">
        <v>-0.124</v>
      </c>
      <c r="M3222" s="11">
        <v>0.10890000000000001</v>
      </c>
      <c r="N3222">
        <v>36.01</v>
      </c>
      <c r="O3222">
        <v>36.11</v>
      </c>
      <c r="P3222">
        <v>1</v>
      </c>
      <c r="Q3222" t="s">
        <v>37</v>
      </c>
      <c r="R3222">
        <v>80.474999999999994</v>
      </c>
      <c r="S3222">
        <v>12.4</v>
      </c>
      <c r="T3222" s="4">
        <v>59.197000000000003</v>
      </c>
      <c r="U3222" s="4">
        <v>25.970312</v>
      </c>
      <c r="V3222" t="str">
        <f>IF(Table1[[#This Row],[ai_disruption_intensity]]&gt;70,"High",
IF(Table1[[#This Row],[ai_disruption_intensity]]&gt;40,"Medium","Low"))</f>
        <v>Low</v>
      </c>
      <c r="W3222" t="str">
        <f>IF(Table1[[#This Row],[skill_gap_index]]&gt;70,"Large Gap",
IF(Table1[[#This Row],[skill_gap_index]]&gt;40,"Medium Gap","Small Gap"))</f>
        <v>Large Gap</v>
      </c>
      <c r="X3222" s="3" t="str">
        <f>IF(Table1[[#This Row],[automation_risk_percent]]&gt;0.7,"Highly Automatable",
IF(Table1[[#This Row],[automation_risk_percent]]&gt;0.4,"Moderate Risk","Safe Job"))</f>
        <v>Highly Automatable</v>
      </c>
    </row>
    <row r="3223" spans="1:24" x14ac:dyDescent="0.3">
      <c r="A3223">
        <v>11252</v>
      </c>
      <c r="B3223" t="s">
        <v>45</v>
      </c>
      <c r="C3223" t="s">
        <v>33</v>
      </c>
      <c r="D3223" t="s">
        <v>32</v>
      </c>
      <c r="E3223" s="1">
        <v>2026</v>
      </c>
      <c r="F3223" s="11">
        <v>0.48460000000000003</v>
      </c>
      <c r="G3223">
        <v>49.54</v>
      </c>
      <c r="H3223">
        <v>20.03</v>
      </c>
      <c r="I3223" s="2">
        <v>35528.43</v>
      </c>
      <c r="J3223" s="2">
        <v>36054.699999999997</v>
      </c>
      <c r="K3223" s="2">
        <f>Table1[[#This Row],[Salary_after]]-Table1[[#This Row],[Salary_before]]</f>
        <v>526.2699999999968</v>
      </c>
      <c r="L3223" s="11">
        <v>1.4800000000000001E-2</v>
      </c>
      <c r="M3223" s="11">
        <v>0.20469999999999999</v>
      </c>
      <c r="N3223">
        <v>38.19</v>
      </c>
      <c r="O3223">
        <v>5.28</v>
      </c>
      <c r="P3223">
        <v>2</v>
      </c>
      <c r="Q3223" t="s">
        <v>25</v>
      </c>
      <c r="R3223">
        <v>34.244999999999997</v>
      </c>
      <c r="S3223">
        <v>1.48</v>
      </c>
      <c r="T3223" s="4">
        <v>25.837</v>
      </c>
      <c r="U3223" s="4">
        <v>2.5586880000000001</v>
      </c>
      <c r="V3223" t="str">
        <f>IF(Table1[[#This Row],[ai_disruption_intensity]]&gt;70,"High",
IF(Table1[[#This Row],[ai_disruption_intensity]]&gt;40,"Medium","Low"))</f>
        <v>Low</v>
      </c>
      <c r="W3223" t="str">
        <f>IF(Table1[[#This Row],[skill_gap_index]]&gt;70,"Large Gap",
IF(Table1[[#This Row],[skill_gap_index]]&gt;40,"Medium Gap","Small Gap"))</f>
        <v>Small Gap</v>
      </c>
      <c r="X3223" s="3" t="str">
        <f>IF(Table1[[#This Row],[automation_risk_percent]]&gt;0.7,"Highly Automatable",
IF(Table1[[#This Row],[automation_risk_percent]]&gt;0.4,"Moderate Risk","Safe Job"))</f>
        <v>Moderate Risk</v>
      </c>
    </row>
    <row r="3224" spans="1:24" x14ac:dyDescent="0.3">
      <c r="A3224">
        <v>11257</v>
      </c>
      <c r="B3224" t="s">
        <v>39</v>
      </c>
      <c r="C3224" t="s">
        <v>19</v>
      </c>
      <c r="D3224" t="s">
        <v>42</v>
      </c>
      <c r="E3224" s="1">
        <v>2025</v>
      </c>
      <c r="F3224" s="11">
        <v>0.55349999999999999</v>
      </c>
      <c r="G3224">
        <v>53.09</v>
      </c>
      <c r="H3224">
        <v>7.97</v>
      </c>
      <c r="I3224" s="2">
        <v>63439.56</v>
      </c>
      <c r="J3224" s="2">
        <v>72885.84</v>
      </c>
      <c r="K3224" s="2">
        <f>Table1[[#This Row],[Salary_after]]-Table1[[#This Row],[Salary_before]]</f>
        <v>9446.2799999999988</v>
      </c>
      <c r="L3224" s="11">
        <v>0.1489</v>
      </c>
      <c r="M3224" s="11">
        <v>3.3599999999999998E-2</v>
      </c>
      <c r="N3224">
        <v>38.33</v>
      </c>
      <c r="O3224">
        <v>65.62</v>
      </c>
      <c r="P3224">
        <v>2</v>
      </c>
      <c r="Q3224" t="s">
        <v>25</v>
      </c>
      <c r="R3224">
        <v>31.66</v>
      </c>
      <c r="S3224">
        <v>14.89</v>
      </c>
      <c r="T3224" s="4">
        <v>28.997999999999902</v>
      </c>
      <c r="U3224" s="4">
        <v>36.32067</v>
      </c>
      <c r="V3224" t="str">
        <f>IF(Table1[[#This Row],[ai_disruption_intensity]]&gt;70,"High",
IF(Table1[[#This Row],[ai_disruption_intensity]]&gt;40,"Medium","Low"))</f>
        <v>Low</v>
      </c>
      <c r="W3224" t="str">
        <f>IF(Table1[[#This Row],[skill_gap_index]]&gt;70,"Large Gap",
IF(Table1[[#This Row],[skill_gap_index]]&gt;40,"Medium Gap","Small Gap"))</f>
        <v>Small Gap</v>
      </c>
      <c r="X3224" s="3" t="str">
        <f>IF(Table1[[#This Row],[automation_risk_percent]]&gt;0.7,"Highly Automatable",
IF(Table1[[#This Row],[automation_risk_percent]]&gt;0.4,"Moderate Risk","Safe Job"))</f>
        <v>Moderate Risk</v>
      </c>
    </row>
    <row r="3225" spans="1:24" x14ac:dyDescent="0.3">
      <c r="A3225">
        <v>11259</v>
      </c>
      <c r="B3225" t="s">
        <v>43</v>
      </c>
      <c r="C3225" t="s">
        <v>27</v>
      </c>
      <c r="D3225" t="s">
        <v>35</v>
      </c>
      <c r="E3225" s="1">
        <v>2026</v>
      </c>
      <c r="F3225" s="11">
        <v>0.62869999999999993</v>
      </c>
      <c r="G3225">
        <v>55.14</v>
      </c>
      <c r="H3225">
        <v>15.4</v>
      </c>
      <c r="I3225" s="2">
        <v>115502.17</v>
      </c>
      <c r="J3225" s="2">
        <v>116922.98</v>
      </c>
      <c r="K3225" s="2">
        <f>Table1[[#This Row],[Salary_after]]-Table1[[#This Row],[Salary_before]]</f>
        <v>1420.8099999999977</v>
      </c>
      <c r="L3225" s="11">
        <v>1.23E-2</v>
      </c>
      <c r="M3225" s="11">
        <v>0.12710000000000002</v>
      </c>
      <c r="N3225">
        <v>58.11</v>
      </c>
      <c r="O3225">
        <v>57.11</v>
      </c>
      <c r="P3225">
        <v>1</v>
      </c>
      <c r="Q3225" t="s">
        <v>37</v>
      </c>
      <c r="R3225">
        <v>39.134999999999998</v>
      </c>
      <c r="S3225">
        <v>1.23</v>
      </c>
      <c r="T3225" s="4">
        <v>30.137</v>
      </c>
      <c r="U3225" s="4">
        <v>35.905056999999999</v>
      </c>
      <c r="V3225" t="str">
        <f>IF(Table1[[#This Row],[ai_disruption_intensity]]&gt;70,"High",
IF(Table1[[#This Row],[ai_disruption_intensity]]&gt;40,"Medium","Low"))</f>
        <v>Low</v>
      </c>
      <c r="W3225" t="str">
        <f>IF(Table1[[#This Row],[skill_gap_index]]&gt;70,"Large Gap",
IF(Table1[[#This Row],[skill_gap_index]]&gt;40,"Medium Gap","Small Gap"))</f>
        <v>Small Gap</v>
      </c>
      <c r="X3225" s="3" t="str">
        <f>IF(Table1[[#This Row],[automation_risk_percent]]&gt;0.7,"Highly Automatable",
IF(Table1[[#This Row],[automation_risk_percent]]&gt;0.4,"Moderate Risk","Safe Job"))</f>
        <v>Moderate Risk</v>
      </c>
    </row>
    <row r="3226" spans="1:24" x14ac:dyDescent="0.3">
      <c r="A3226">
        <v>11260</v>
      </c>
      <c r="B3226" t="s">
        <v>44</v>
      </c>
      <c r="C3226" t="s">
        <v>34</v>
      </c>
      <c r="D3226" t="s">
        <v>28</v>
      </c>
      <c r="E3226" s="1">
        <v>2025</v>
      </c>
      <c r="F3226" s="11">
        <v>0.71569999999999989</v>
      </c>
      <c r="G3226">
        <v>80.16</v>
      </c>
      <c r="H3226">
        <v>80.17</v>
      </c>
      <c r="I3226" s="2">
        <v>42780.38</v>
      </c>
      <c r="J3226" s="2">
        <v>46101.45</v>
      </c>
      <c r="K3226" s="2">
        <f>Table1[[#This Row],[Salary_after]]-Table1[[#This Row],[Salary_before]]</f>
        <v>3321.0699999999997</v>
      </c>
      <c r="L3226" s="11">
        <v>7.7600000000000002E-2</v>
      </c>
      <c r="M3226" s="11">
        <v>0.12520000000000001</v>
      </c>
      <c r="N3226">
        <v>21.89</v>
      </c>
      <c r="O3226">
        <v>47.15</v>
      </c>
      <c r="P3226">
        <v>3</v>
      </c>
      <c r="Q3226" t="s">
        <v>37</v>
      </c>
      <c r="R3226">
        <v>75.87</v>
      </c>
      <c r="S3226">
        <v>7.76</v>
      </c>
      <c r="T3226" s="4">
        <v>55.006999999999998</v>
      </c>
      <c r="U3226" s="4">
        <v>33.745255</v>
      </c>
      <c r="V3226" t="str">
        <f>IF(Table1[[#This Row],[ai_disruption_intensity]]&gt;70,"High",
IF(Table1[[#This Row],[ai_disruption_intensity]]&gt;40,"Medium","Low"))</f>
        <v>Low</v>
      </c>
      <c r="W3226" t="str">
        <f>IF(Table1[[#This Row],[skill_gap_index]]&gt;70,"Large Gap",
IF(Table1[[#This Row],[skill_gap_index]]&gt;40,"Medium Gap","Small Gap"))</f>
        <v>Large Gap</v>
      </c>
      <c r="X3226" s="3" t="str">
        <f>IF(Table1[[#This Row],[automation_risk_percent]]&gt;0.7,"Highly Automatable",
IF(Table1[[#This Row],[automation_risk_percent]]&gt;0.4,"Moderate Risk","Safe Job"))</f>
        <v>Highly Automatable</v>
      </c>
    </row>
    <row r="3227" spans="1:24" x14ac:dyDescent="0.3">
      <c r="A3227">
        <v>11263</v>
      </c>
      <c r="B3227" t="s">
        <v>46</v>
      </c>
      <c r="C3227" t="s">
        <v>33</v>
      </c>
      <c r="D3227" t="s">
        <v>20</v>
      </c>
      <c r="E3227" s="1">
        <v>2025</v>
      </c>
      <c r="F3227" s="11">
        <v>0.37170000000000003</v>
      </c>
      <c r="G3227">
        <v>41.98</v>
      </c>
      <c r="H3227">
        <v>9.8800000000000008</v>
      </c>
      <c r="I3227" s="2">
        <v>88056.16</v>
      </c>
      <c r="J3227" s="2">
        <v>80032.84</v>
      </c>
      <c r="K3227" s="2">
        <f>Table1[[#This Row],[Salary_after]]-Table1[[#This Row],[Salary_before]]</f>
        <v>-8023.320000000007</v>
      </c>
      <c r="L3227" s="11">
        <v>-9.11E-2</v>
      </c>
      <c r="M3227" s="11">
        <v>7.7199999999999991E-2</v>
      </c>
      <c r="N3227">
        <v>62.29</v>
      </c>
      <c r="O3227">
        <v>50.92</v>
      </c>
      <c r="P3227">
        <v>2</v>
      </c>
      <c r="Q3227" t="s">
        <v>25</v>
      </c>
      <c r="R3227">
        <v>23.524999999999999</v>
      </c>
      <c r="S3227">
        <v>9.11</v>
      </c>
      <c r="T3227" s="4">
        <v>20.565000000000001</v>
      </c>
      <c r="U3227" s="4">
        <v>18.926964000000002</v>
      </c>
      <c r="V3227" t="str">
        <f>IF(Table1[[#This Row],[ai_disruption_intensity]]&gt;70,"High",
IF(Table1[[#This Row],[ai_disruption_intensity]]&gt;40,"Medium","Low"))</f>
        <v>Low</v>
      </c>
      <c r="W3227" t="str">
        <f>IF(Table1[[#This Row],[skill_gap_index]]&gt;70,"Large Gap",
IF(Table1[[#This Row],[skill_gap_index]]&gt;40,"Medium Gap","Small Gap"))</f>
        <v>Small Gap</v>
      </c>
      <c r="X3227" s="3" t="str">
        <f>IF(Table1[[#This Row],[automation_risk_percent]]&gt;0.7,"Highly Automatable",
IF(Table1[[#This Row],[automation_risk_percent]]&gt;0.4,"Moderate Risk","Safe Job"))</f>
        <v>Safe Job</v>
      </c>
    </row>
    <row r="3228" spans="1:24" x14ac:dyDescent="0.3">
      <c r="A3228">
        <v>11266</v>
      </c>
      <c r="B3228" t="s">
        <v>26</v>
      </c>
      <c r="C3228" t="s">
        <v>33</v>
      </c>
      <c r="D3228" t="s">
        <v>36</v>
      </c>
      <c r="E3228" s="1">
        <v>2026</v>
      </c>
      <c r="F3228" s="11">
        <v>0.60919999999999996</v>
      </c>
      <c r="G3228">
        <v>57.15</v>
      </c>
      <c r="H3228">
        <v>78.680000000000007</v>
      </c>
      <c r="I3228" s="2">
        <v>101080.25</v>
      </c>
      <c r="J3228" s="2">
        <v>110033.98</v>
      </c>
      <c r="K3228" s="2">
        <f>Table1[[#This Row],[Salary_after]]-Table1[[#This Row],[Salary_before]]</f>
        <v>8953.7299999999959</v>
      </c>
      <c r="L3228" s="11">
        <v>8.8599999999999998E-2</v>
      </c>
      <c r="M3228" s="11">
        <v>0.1666</v>
      </c>
      <c r="N3228">
        <v>21.49</v>
      </c>
      <c r="O3228">
        <v>35.75</v>
      </c>
      <c r="P3228">
        <v>4</v>
      </c>
      <c r="Q3228" t="s">
        <v>37</v>
      </c>
      <c r="R3228">
        <v>69.8</v>
      </c>
      <c r="S3228">
        <v>8.86</v>
      </c>
      <c r="T3228" s="4">
        <v>50.63</v>
      </c>
      <c r="U3228" s="4">
        <v>21.7789</v>
      </c>
      <c r="V3228" t="str">
        <f>IF(Table1[[#This Row],[ai_disruption_intensity]]&gt;70,"High",
IF(Table1[[#This Row],[ai_disruption_intensity]]&gt;40,"Medium","Low"))</f>
        <v>Low</v>
      </c>
      <c r="W3228" t="str">
        <f>IF(Table1[[#This Row],[skill_gap_index]]&gt;70,"Large Gap",
IF(Table1[[#This Row],[skill_gap_index]]&gt;40,"Medium Gap","Small Gap"))</f>
        <v>Large Gap</v>
      </c>
      <c r="X3228" s="3" t="str">
        <f>IF(Table1[[#This Row],[automation_risk_percent]]&gt;0.7,"Highly Automatable",
IF(Table1[[#This Row],[automation_risk_percent]]&gt;0.4,"Moderate Risk","Safe Job"))</f>
        <v>Moderate Risk</v>
      </c>
    </row>
    <row r="3229" spans="1:24" x14ac:dyDescent="0.3">
      <c r="A3229">
        <v>11268</v>
      </c>
      <c r="B3229" t="s">
        <v>41</v>
      </c>
      <c r="C3229" t="s">
        <v>38</v>
      </c>
      <c r="D3229" t="s">
        <v>47</v>
      </c>
      <c r="E3229" s="1">
        <v>2026</v>
      </c>
      <c r="F3229" s="11">
        <v>0.47720000000000001</v>
      </c>
      <c r="G3229">
        <v>50.65</v>
      </c>
      <c r="H3229">
        <v>78.14</v>
      </c>
      <c r="I3229" s="2">
        <v>103637.38</v>
      </c>
      <c r="J3229" s="2">
        <v>117865.28</v>
      </c>
      <c r="K3229" s="2">
        <f>Table1[[#This Row],[Salary_after]]-Table1[[#This Row],[Salary_before]]</f>
        <v>14227.899999999994</v>
      </c>
      <c r="L3229" s="11">
        <v>0.13730000000000001</v>
      </c>
      <c r="M3229" s="11">
        <v>-0.13739999999999999</v>
      </c>
      <c r="N3229">
        <v>10.34</v>
      </c>
      <c r="O3229">
        <v>73.56</v>
      </c>
      <c r="P3229">
        <v>2</v>
      </c>
      <c r="Q3229" t="s">
        <v>25</v>
      </c>
      <c r="R3229">
        <v>62.93</v>
      </c>
      <c r="S3229">
        <v>13.73</v>
      </c>
      <c r="T3229" s="4">
        <v>46.649000000000001</v>
      </c>
      <c r="U3229" s="4">
        <v>35.102831999999999</v>
      </c>
      <c r="V3229" t="str">
        <f>IF(Table1[[#This Row],[ai_disruption_intensity]]&gt;70,"High",
IF(Table1[[#This Row],[ai_disruption_intensity]]&gt;40,"Medium","Low"))</f>
        <v>Low</v>
      </c>
      <c r="W3229" t="str">
        <f>IF(Table1[[#This Row],[skill_gap_index]]&gt;70,"Large Gap",
IF(Table1[[#This Row],[skill_gap_index]]&gt;40,"Medium Gap","Small Gap"))</f>
        <v>Large Gap</v>
      </c>
      <c r="X3229" s="3" t="str">
        <f>IF(Table1[[#This Row],[automation_risk_percent]]&gt;0.7,"Highly Automatable",
IF(Table1[[#This Row],[automation_risk_percent]]&gt;0.4,"Moderate Risk","Safe Job"))</f>
        <v>Moderate Risk</v>
      </c>
    </row>
    <row r="3230" spans="1:24" x14ac:dyDescent="0.3">
      <c r="A3230">
        <v>11269</v>
      </c>
      <c r="B3230" t="s">
        <v>22</v>
      </c>
      <c r="C3230" t="s">
        <v>33</v>
      </c>
      <c r="D3230" t="s">
        <v>32</v>
      </c>
      <c r="E3230" s="1">
        <v>2025</v>
      </c>
      <c r="F3230" s="11">
        <v>0.69079999999999997</v>
      </c>
      <c r="G3230">
        <v>56.54</v>
      </c>
      <c r="H3230">
        <v>39.950000000000003</v>
      </c>
      <c r="I3230" s="2">
        <v>131850.76</v>
      </c>
      <c r="J3230" s="2">
        <v>126186.1</v>
      </c>
      <c r="K3230" s="2">
        <f>Table1[[#This Row],[Salary_after]]-Table1[[#This Row],[Salary_before]]</f>
        <v>-5664.6600000000035</v>
      </c>
      <c r="L3230" s="11">
        <v>-4.2999999999999997E-2</v>
      </c>
      <c r="M3230" s="11">
        <v>0.30120000000000002</v>
      </c>
      <c r="N3230">
        <v>17.84</v>
      </c>
      <c r="O3230">
        <v>73.72</v>
      </c>
      <c r="P3230">
        <v>3</v>
      </c>
      <c r="Q3230" t="s">
        <v>37</v>
      </c>
      <c r="R3230">
        <v>54.515000000000001</v>
      </c>
      <c r="S3230">
        <v>4.3</v>
      </c>
      <c r="T3230" s="4">
        <v>40.906999999999996</v>
      </c>
      <c r="U3230" s="4">
        <v>50.925775999999999</v>
      </c>
      <c r="V3230" t="str">
        <f>IF(Table1[[#This Row],[ai_disruption_intensity]]&gt;70,"High",
IF(Table1[[#This Row],[ai_disruption_intensity]]&gt;40,"Medium","Low"))</f>
        <v>Medium</v>
      </c>
      <c r="W3230" t="str">
        <f>IF(Table1[[#This Row],[skill_gap_index]]&gt;70,"Large Gap",
IF(Table1[[#This Row],[skill_gap_index]]&gt;40,"Medium Gap","Small Gap"))</f>
        <v>Small Gap</v>
      </c>
      <c r="X3230" s="3" t="str">
        <f>IF(Table1[[#This Row],[automation_risk_percent]]&gt;0.7,"Highly Automatable",
IF(Table1[[#This Row],[automation_risk_percent]]&gt;0.4,"Moderate Risk","Safe Job"))</f>
        <v>Moderate Risk</v>
      </c>
    </row>
    <row r="3231" spans="1:24" x14ac:dyDescent="0.3">
      <c r="A3231">
        <v>11272</v>
      </c>
      <c r="B3231" t="s">
        <v>45</v>
      </c>
      <c r="C3231" t="s">
        <v>23</v>
      </c>
      <c r="D3231" t="s">
        <v>47</v>
      </c>
      <c r="E3231" s="1">
        <v>2025</v>
      </c>
      <c r="F3231" s="11">
        <v>0.60240000000000005</v>
      </c>
      <c r="G3231">
        <v>59.79</v>
      </c>
      <c r="H3231">
        <v>90.61</v>
      </c>
      <c r="I3231" s="2">
        <v>33663.69</v>
      </c>
      <c r="J3231" s="2">
        <v>33561.22</v>
      </c>
      <c r="K3231" s="2">
        <f>Table1[[#This Row],[Salary_after]]-Table1[[#This Row],[Salary_before]]</f>
        <v>-102.47000000000116</v>
      </c>
      <c r="L3231" s="11">
        <v>-3.0000000000000001E-3</v>
      </c>
      <c r="M3231" s="11">
        <v>0.23190000000000002</v>
      </c>
      <c r="N3231">
        <v>15.5</v>
      </c>
      <c r="O3231">
        <v>74.569999999999993</v>
      </c>
      <c r="P3231">
        <v>2</v>
      </c>
      <c r="Q3231" t="s">
        <v>37</v>
      </c>
      <c r="R3231">
        <v>75.424999999999997</v>
      </c>
      <c r="S3231">
        <v>0.3</v>
      </c>
      <c r="T3231" s="4">
        <v>51.369</v>
      </c>
      <c r="U3231" s="4">
        <v>44.920967999999903</v>
      </c>
      <c r="V3231" t="str">
        <f>IF(Table1[[#This Row],[ai_disruption_intensity]]&gt;70,"High",
IF(Table1[[#This Row],[ai_disruption_intensity]]&gt;40,"Medium","Low"))</f>
        <v>Medium</v>
      </c>
      <c r="W3231" t="str">
        <f>IF(Table1[[#This Row],[skill_gap_index]]&gt;70,"Large Gap",
IF(Table1[[#This Row],[skill_gap_index]]&gt;40,"Medium Gap","Small Gap"))</f>
        <v>Large Gap</v>
      </c>
      <c r="X3231" s="3" t="str">
        <f>IF(Table1[[#This Row],[automation_risk_percent]]&gt;0.7,"Highly Automatable",
IF(Table1[[#This Row],[automation_risk_percent]]&gt;0.4,"Moderate Risk","Safe Job"))</f>
        <v>Moderate Risk</v>
      </c>
    </row>
    <row r="3232" spans="1:24" x14ac:dyDescent="0.3">
      <c r="A3232">
        <v>11273</v>
      </c>
      <c r="B3232" t="s">
        <v>46</v>
      </c>
      <c r="C3232" t="s">
        <v>30</v>
      </c>
      <c r="D3232" t="s">
        <v>20</v>
      </c>
      <c r="E3232" s="1">
        <v>2025</v>
      </c>
      <c r="F3232" s="11">
        <v>0.27500000000000002</v>
      </c>
      <c r="G3232">
        <v>27.8</v>
      </c>
      <c r="H3232">
        <v>71.28</v>
      </c>
      <c r="I3232" s="2">
        <v>60248.34</v>
      </c>
      <c r="J3232" s="2">
        <v>54714.57</v>
      </c>
      <c r="K3232" s="2">
        <f>Table1[[#This Row],[Salary_after]]-Table1[[#This Row],[Salary_before]]</f>
        <v>-5533.7699999999968</v>
      </c>
      <c r="L3232" s="11">
        <v>-9.1799999999999993E-2</v>
      </c>
      <c r="M3232" s="11">
        <v>-8.5600000000000009E-2</v>
      </c>
      <c r="N3232">
        <v>77.290000000000006</v>
      </c>
      <c r="O3232">
        <v>98.18</v>
      </c>
      <c r="P3232">
        <v>1</v>
      </c>
      <c r="Q3232" t="s">
        <v>21</v>
      </c>
      <c r="R3232">
        <v>49.39</v>
      </c>
      <c r="S3232">
        <v>9.18</v>
      </c>
      <c r="T3232" s="4">
        <v>35.137999999999998</v>
      </c>
      <c r="U3232" s="4">
        <v>26.999500000000001</v>
      </c>
      <c r="V3232" t="str">
        <f>IF(Table1[[#This Row],[ai_disruption_intensity]]&gt;70,"High",
IF(Table1[[#This Row],[ai_disruption_intensity]]&gt;40,"Medium","Low"))</f>
        <v>Low</v>
      </c>
      <c r="W3232" t="str">
        <f>IF(Table1[[#This Row],[skill_gap_index]]&gt;70,"Large Gap",
IF(Table1[[#This Row],[skill_gap_index]]&gt;40,"Medium Gap","Small Gap"))</f>
        <v>Large Gap</v>
      </c>
      <c r="X3232" s="3" t="str">
        <f>IF(Table1[[#This Row],[automation_risk_percent]]&gt;0.7,"Highly Automatable",
IF(Table1[[#This Row],[automation_risk_percent]]&gt;0.4,"Moderate Risk","Safe Job"))</f>
        <v>Safe Job</v>
      </c>
    </row>
    <row r="3233" spans="1:24" x14ac:dyDescent="0.3">
      <c r="A3233">
        <v>11274</v>
      </c>
      <c r="B3233" t="s">
        <v>39</v>
      </c>
      <c r="C3233" t="s">
        <v>19</v>
      </c>
      <c r="D3233" t="s">
        <v>35</v>
      </c>
      <c r="E3233" s="1">
        <v>2026</v>
      </c>
      <c r="F3233" s="11">
        <v>0.35409999999999997</v>
      </c>
      <c r="G3233">
        <v>36.979999999999997</v>
      </c>
      <c r="H3233">
        <v>32.409999999999997</v>
      </c>
      <c r="I3233" s="2">
        <v>135214.09</v>
      </c>
      <c r="J3233" s="2">
        <v>144710.26</v>
      </c>
      <c r="K3233" s="2">
        <f>Table1[[#This Row],[Salary_after]]-Table1[[#This Row],[Salary_before]]</f>
        <v>9496.1700000000128</v>
      </c>
      <c r="L3233" s="11">
        <v>7.0199999999999999E-2</v>
      </c>
      <c r="M3233" s="11">
        <v>7.6700000000000004E-2</v>
      </c>
      <c r="N3233">
        <v>52.75</v>
      </c>
      <c r="O3233">
        <v>33.53</v>
      </c>
      <c r="P3233">
        <v>3</v>
      </c>
      <c r="Q3233" t="s">
        <v>25</v>
      </c>
      <c r="R3233">
        <v>33.909999999999997</v>
      </c>
      <c r="S3233">
        <v>7.02</v>
      </c>
      <c r="T3233" s="4">
        <v>25.992999999999999</v>
      </c>
      <c r="U3233" s="4">
        <v>11.872973</v>
      </c>
      <c r="V3233" t="str">
        <f>IF(Table1[[#This Row],[ai_disruption_intensity]]&gt;70,"High",
IF(Table1[[#This Row],[ai_disruption_intensity]]&gt;40,"Medium","Low"))</f>
        <v>Low</v>
      </c>
      <c r="W3233" t="str">
        <f>IF(Table1[[#This Row],[skill_gap_index]]&gt;70,"Large Gap",
IF(Table1[[#This Row],[skill_gap_index]]&gt;40,"Medium Gap","Small Gap"))</f>
        <v>Small Gap</v>
      </c>
      <c r="X3233" s="3" t="str">
        <f>IF(Table1[[#This Row],[automation_risk_percent]]&gt;0.7,"Highly Automatable",
IF(Table1[[#This Row],[automation_risk_percent]]&gt;0.4,"Moderate Risk","Safe Job"))</f>
        <v>Safe Job</v>
      </c>
    </row>
    <row r="3234" spans="1:24" x14ac:dyDescent="0.3">
      <c r="A3234">
        <v>11286</v>
      </c>
      <c r="B3234" t="s">
        <v>46</v>
      </c>
      <c r="C3234" t="s">
        <v>40</v>
      </c>
      <c r="D3234" t="s">
        <v>36</v>
      </c>
      <c r="E3234" s="1">
        <v>2026</v>
      </c>
      <c r="F3234" s="11">
        <v>0.24350000000000002</v>
      </c>
      <c r="G3234">
        <v>20.29</v>
      </c>
      <c r="H3234">
        <v>52.01</v>
      </c>
      <c r="I3234" s="2">
        <v>59293.13</v>
      </c>
      <c r="J3234" s="2">
        <v>62323.9</v>
      </c>
      <c r="K3234" s="2">
        <f>Table1[[#This Row],[Salary_after]]-Table1[[#This Row],[Salary_before]]</f>
        <v>3030.7700000000041</v>
      </c>
      <c r="L3234" s="11">
        <v>5.1100000000000007E-2</v>
      </c>
      <c r="M3234" s="11">
        <v>0.25920000000000004</v>
      </c>
      <c r="N3234">
        <v>63.15</v>
      </c>
      <c r="O3234">
        <v>60.17</v>
      </c>
      <c r="P3234">
        <v>2</v>
      </c>
      <c r="Q3234" t="s">
        <v>21</v>
      </c>
      <c r="R3234">
        <v>38.18</v>
      </c>
      <c r="S3234">
        <v>5.1100000000000003</v>
      </c>
      <c r="T3234" s="4">
        <v>26.876000000000001</v>
      </c>
      <c r="U3234" s="4">
        <v>14.651395000000001</v>
      </c>
      <c r="V3234" t="str">
        <f>IF(Table1[[#This Row],[ai_disruption_intensity]]&gt;70,"High",
IF(Table1[[#This Row],[ai_disruption_intensity]]&gt;40,"Medium","Low"))</f>
        <v>Low</v>
      </c>
      <c r="W3234" t="str">
        <f>IF(Table1[[#This Row],[skill_gap_index]]&gt;70,"Large Gap",
IF(Table1[[#This Row],[skill_gap_index]]&gt;40,"Medium Gap","Small Gap"))</f>
        <v>Medium Gap</v>
      </c>
      <c r="X3234" s="3" t="str">
        <f>IF(Table1[[#This Row],[automation_risk_percent]]&gt;0.7,"Highly Automatable",
IF(Table1[[#This Row],[automation_risk_percent]]&gt;0.4,"Moderate Risk","Safe Job"))</f>
        <v>Safe Job</v>
      </c>
    </row>
    <row r="3235" spans="1:24" x14ac:dyDescent="0.3">
      <c r="A3235">
        <v>11295</v>
      </c>
      <c r="B3235" t="s">
        <v>22</v>
      </c>
      <c r="C3235" t="s">
        <v>19</v>
      </c>
      <c r="D3235" t="s">
        <v>31</v>
      </c>
      <c r="E3235" s="1">
        <v>2026</v>
      </c>
      <c r="F3235" s="11">
        <v>0.74390000000000001</v>
      </c>
      <c r="G3235">
        <v>70.16</v>
      </c>
      <c r="H3235">
        <v>83.59</v>
      </c>
      <c r="I3235" s="2">
        <v>76754.33</v>
      </c>
      <c r="J3235" s="2">
        <v>76853.73</v>
      </c>
      <c r="K3235" s="2">
        <f>Table1[[#This Row],[Salary_after]]-Table1[[#This Row],[Salary_before]]</f>
        <v>99.399999999994179</v>
      </c>
      <c r="L3235" s="11">
        <v>1.2999999999999999E-3</v>
      </c>
      <c r="M3235" s="11">
        <v>-7.0699999999999999E-2</v>
      </c>
      <c r="N3235">
        <v>33.450000000000003</v>
      </c>
      <c r="O3235">
        <v>32.299999999999997</v>
      </c>
      <c r="P3235">
        <v>3</v>
      </c>
      <c r="Q3235" t="s">
        <v>37</v>
      </c>
      <c r="R3235">
        <v>78.989999999999995</v>
      </c>
      <c r="S3235">
        <v>0.13</v>
      </c>
      <c r="T3235" s="4">
        <v>54.872</v>
      </c>
      <c r="U3235" s="4">
        <v>24.02797</v>
      </c>
      <c r="V3235" t="str">
        <f>IF(Table1[[#This Row],[ai_disruption_intensity]]&gt;70,"High",
IF(Table1[[#This Row],[ai_disruption_intensity]]&gt;40,"Medium","Low"))</f>
        <v>Low</v>
      </c>
      <c r="W3235" t="str">
        <f>IF(Table1[[#This Row],[skill_gap_index]]&gt;70,"Large Gap",
IF(Table1[[#This Row],[skill_gap_index]]&gt;40,"Medium Gap","Small Gap"))</f>
        <v>Large Gap</v>
      </c>
      <c r="X3235" s="3" t="str">
        <f>IF(Table1[[#This Row],[automation_risk_percent]]&gt;0.7,"Highly Automatable",
IF(Table1[[#This Row],[automation_risk_percent]]&gt;0.4,"Moderate Risk","Safe Job"))</f>
        <v>Highly Automatable</v>
      </c>
    </row>
    <row r="3236" spans="1:24" x14ac:dyDescent="0.3">
      <c r="A3236">
        <v>11296</v>
      </c>
      <c r="B3236" t="s">
        <v>41</v>
      </c>
      <c r="C3236" t="s">
        <v>23</v>
      </c>
      <c r="D3236" t="s">
        <v>24</v>
      </c>
      <c r="E3236" s="1">
        <v>2026</v>
      </c>
      <c r="F3236" s="11">
        <v>0.47130000000000005</v>
      </c>
      <c r="G3236">
        <v>44.22</v>
      </c>
      <c r="H3236">
        <v>49.81</v>
      </c>
      <c r="I3236" s="2">
        <v>45322.71</v>
      </c>
      <c r="J3236" s="2">
        <v>48669.64</v>
      </c>
      <c r="K3236" s="2">
        <f>Table1[[#This Row],[Salary_after]]-Table1[[#This Row],[Salary_before]]</f>
        <v>3346.9300000000003</v>
      </c>
      <c r="L3236" s="11">
        <v>7.3800000000000004E-2</v>
      </c>
      <c r="M3236" s="11">
        <v>-8.5299999999999987E-2</v>
      </c>
      <c r="N3236">
        <v>78.010000000000005</v>
      </c>
      <c r="O3236">
        <v>24.38</v>
      </c>
      <c r="P3236">
        <v>4</v>
      </c>
      <c r="Q3236" t="s">
        <v>25</v>
      </c>
      <c r="R3236">
        <v>48.47</v>
      </c>
      <c r="S3236">
        <v>7.38</v>
      </c>
      <c r="T3236" s="4">
        <v>36.009</v>
      </c>
      <c r="U3236" s="4">
        <v>11.490294</v>
      </c>
      <c r="V3236" t="str">
        <f>IF(Table1[[#This Row],[ai_disruption_intensity]]&gt;70,"High",
IF(Table1[[#This Row],[ai_disruption_intensity]]&gt;40,"Medium","Low"))</f>
        <v>Low</v>
      </c>
      <c r="W3236" t="str">
        <f>IF(Table1[[#This Row],[skill_gap_index]]&gt;70,"Large Gap",
IF(Table1[[#This Row],[skill_gap_index]]&gt;40,"Medium Gap","Small Gap"))</f>
        <v>Medium Gap</v>
      </c>
      <c r="X3236" s="3" t="str">
        <f>IF(Table1[[#This Row],[automation_risk_percent]]&gt;0.7,"Highly Automatable",
IF(Table1[[#This Row],[automation_risk_percent]]&gt;0.4,"Moderate Risk","Safe Job"))</f>
        <v>Moderate Risk</v>
      </c>
    </row>
    <row r="3237" spans="1:24" x14ac:dyDescent="0.3">
      <c r="A3237">
        <v>11297</v>
      </c>
      <c r="B3237" t="s">
        <v>43</v>
      </c>
      <c r="C3237" t="s">
        <v>34</v>
      </c>
      <c r="D3237" t="s">
        <v>42</v>
      </c>
      <c r="E3237" s="1">
        <v>2026</v>
      </c>
      <c r="F3237" s="11">
        <v>0.28339999999999999</v>
      </c>
      <c r="G3237">
        <v>28.09</v>
      </c>
      <c r="H3237">
        <v>98.11</v>
      </c>
      <c r="I3237" s="2">
        <v>96023.7</v>
      </c>
      <c r="J3237" s="2">
        <v>99041.67</v>
      </c>
      <c r="K3237" s="2">
        <f>Table1[[#This Row],[Salary_after]]-Table1[[#This Row],[Salary_before]]</f>
        <v>3017.9700000000012</v>
      </c>
      <c r="L3237" s="11">
        <v>3.1400000000000004E-2</v>
      </c>
      <c r="M3237" s="11">
        <v>0.27460000000000001</v>
      </c>
      <c r="N3237">
        <v>78.81</v>
      </c>
      <c r="O3237">
        <v>31.89</v>
      </c>
      <c r="P3237">
        <v>5</v>
      </c>
      <c r="Q3237" t="s">
        <v>21</v>
      </c>
      <c r="R3237">
        <v>63.225000000000001</v>
      </c>
      <c r="S3237">
        <v>3.14</v>
      </c>
      <c r="T3237" s="4">
        <v>41.710999999999999</v>
      </c>
      <c r="U3237" s="4">
        <v>9.0376259999999995</v>
      </c>
      <c r="V3237" t="str">
        <f>IF(Table1[[#This Row],[ai_disruption_intensity]]&gt;70,"High",
IF(Table1[[#This Row],[ai_disruption_intensity]]&gt;40,"Medium","Low"))</f>
        <v>Low</v>
      </c>
      <c r="W3237" t="str">
        <f>IF(Table1[[#This Row],[skill_gap_index]]&gt;70,"Large Gap",
IF(Table1[[#This Row],[skill_gap_index]]&gt;40,"Medium Gap","Small Gap"))</f>
        <v>Large Gap</v>
      </c>
      <c r="X3237" s="3" t="str">
        <f>IF(Table1[[#This Row],[automation_risk_percent]]&gt;0.7,"Highly Automatable",
IF(Table1[[#This Row],[automation_risk_percent]]&gt;0.4,"Moderate Risk","Safe Job"))</f>
        <v>Safe Job</v>
      </c>
    </row>
    <row r="3238" spans="1:24" x14ac:dyDescent="0.3">
      <c r="A3238">
        <v>11300</v>
      </c>
      <c r="B3238" t="s">
        <v>43</v>
      </c>
      <c r="C3238" t="s">
        <v>23</v>
      </c>
      <c r="D3238" t="s">
        <v>47</v>
      </c>
      <c r="E3238" s="1">
        <v>2025</v>
      </c>
      <c r="F3238" s="11">
        <v>0.3926</v>
      </c>
      <c r="G3238">
        <v>37.51</v>
      </c>
      <c r="H3238">
        <v>61.49</v>
      </c>
      <c r="I3238" s="2">
        <v>75822</v>
      </c>
      <c r="J3238" s="2">
        <v>85667.6</v>
      </c>
      <c r="K3238" s="2">
        <f>Table1[[#This Row],[Salary_after]]-Table1[[#This Row],[Salary_before]]</f>
        <v>9845.6000000000058</v>
      </c>
      <c r="L3238" s="11">
        <v>0.12990000000000002</v>
      </c>
      <c r="M3238" s="11">
        <v>0.24280000000000002</v>
      </c>
      <c r="N3238">
        <v>79.75</v>
      </c>
      <c r="O3238">
        <v>98.99</v>
      </c>
      <c r="P3238">
        <v>4</v>
      </c>
      <c r="Q3238" t="s">
        <v>25</v>
      </c>
      <c r="R3238">
        <v>50.375</v>
      </c>
      <c r="S3238">
        <v>12.99</v>
      </c>
      <c r="T3238" s="4">
        <v>38.047999999999902</v>
      </c>
      <c r="U3238" s="4">
        <v>38.863473999999997</v>
      </c>
      <c r="V3238" t="str">
        <f>IF(Table1[[#This Row],[ai_disruption_intensity]]&gt;70,"High",
IF(Table1[[#This Row],[ai_disruption_intensity]]&gt;40,"Medium","Low"))</f>
        <v>Low</v>
      </c>
      <c r="W3238" t="str">
        <f>IF(Table1[[#This Row],[skill_gap_index]]&gt;70,"Large Gap",
IF(Table1[[#This Row],[skill_gap_index]]&gt;40,"Medium Gap","Small Gap"))</f>
        <v>Medium Gap</v>
      </c>
      <c r="X3238" s="3" t="str">
        <f>IF(Table1[[#This Row],[automation_risk_percent]]&gt;0.7,"Highly Automatable",
IF(Table1[[#This Row],[automation_risk_percent]]&gt;0.4,"Moderate Risk","Safe Job"))</f>
        <v>Safe Job</v>
      </c>
    </row>
    <row r="3239" spans="1:24" x14ac:dyDescent="0.3">
      <c r="A3239">
        <v>11303</v>
      </c>
      <c r="B3239" t="s">
        <v>18</v>
      </c>
      <c r="C3239" t="s">
        <v>38</v>
      </c>
      <c r="D3239" t="s">
        <v>35</v>
      </c>
      <c r="E3239" s="1">
        <v>2026</v>
      </c>
      <c r="F3239" s="11">
        <v>0.31379999999999997</v>
      </c>
      <c r="G3239">
        <v>28.07</v>
      </c>
      <c r="H3239">
        <v>73.02</v>
      </c>
      <c r="I3239" s="2">
        <v>48080.25</v>
      </c>
      <c r="J3239" s="2">
        <v>52206.73</v>
      </c>
      <c r="K3239" s="2">
        <f>Table1[[#This Row],[Salary_after]]-Table1[[#This Row],[Salary_before]]</f>
        <v>4126.4800000000032</v>
      </c>
      <c r="L3239" s="11">
        <v>8.5800000000000001E-2</v>
      </c>
      <c r="M3239" s="11">
        <v>0.23379999999999998</v>
      </c>
      <c r="N3239">
        <v>70.819999999999993</v>
      </c>
      <c r="O3239">
        <v>87.66</v>
      </c>
      <c r="P3239">
        <v>3</v>
      </c>
      <c r="Q3239" t="s">
        <v>25</v>
      </c>
      <c r="R3239">
        <v>52.199999999999903</v>
      </c>
      <c r="S3239">
        <v>8.58</v>
      </c>
      <c r="T3239" s="4">
        <v>37.031999999999996</v>
      </c>
      <c r="U3239" s="4">
        <v>27.507707999999901</v>
      </c>
      <c r="V3239" t="str">
        <f>IF(Table1[[#This Row],[ai_disruption_intensity]]&gt;70,"High",
IF(Table1[[#This Row],[ai_disruption_intensity]]&gt;40,"Medium","Low"))</f>
        <v>Low</v>
      </c>
      <c r="W3239" t="str">
        <f>IF(Table1[[#This Row],[skill_gap_index]]&gt;70,"Large Gap",
IF(Table1[[#This Row],[skill_gap_index]]&gt;40,"Medium Gap","Small Gap"))</f>
        <v>Large Gap</v>
      </c>
      <c r="X3239" s="3" t="str">
        <f>IF(Table1[[#This Row],[automation_risk_percent]]&gt;0.7,"Highly Automatable",
IF(Table1[[#This Row],[automation_risk_percent]]&gt;0.4,"Moderate Risk","Safe Job"))</f>
        <v>Safe Job</v>
      </c>
    </row>
    <row r="3240" spans="1:24" x14ac:dyDescent="0.3">
      <c r="A3240">
        <v>11306</v>
      </c>
      <c r="B3240" t="s">
        <v>41</v>
      </c>
      <c r="C3240" t="s">
        <v>33</v>
      </c>
      <c r="D3240" t="s">
        <v>35</v>
      </c>
      <c r="E3240" s="1">
        <v>2026</v>
      </c>
      <c r="F3240" s="11">
        <v>0.8418000000000001</v>
      </c>
      <c r="G3240">
        <v>71.62</v>
      </c>
      <c r="H3240">
        <v>0.32</v>
      </c>
      <c r="I3240" s="2">
        <v>149247.66</v>
      </c>
      <c r="J3240" s="2">
        <v>138125.01</v>
      </c>
      <c r="K3240" s="2">
        <f>Table1[[#This Row],[Salary_after]]-Table1[[#This Row],[Salary_before]]</f>
        <v>-11122.649999999994</v>
      </c>
      <c r="L3240" s="11">
        <v>-7.4499999999999997E-2</v>
      </c>
      <c r="M3240" s="11">
        <v>4.1399999999999999E-2</v>
      </c>
      <c r="N3240">
        <v>62.96</v>
      </c>
      <c r="O3240">
        <v>75.319999999999993</v>
      </c>
      <c r="P3240">
        <v>2</v>
      </c>
      <c r="Q3240" t="s">
        <v>37</v>
      </c>
      <c r="R3240">
        <v>42.25</v>
      </c>
      <c r="S3240">
        <v>7.45</v>
      </c>
      <c r="T3240" s="4">
        <v>36.003</v>
      </c>
      <c r="U3240" s="4">
        <v>63.404375999999999</v>
      </c>
      <c r="V3240" t="str">
        <f>IF(Table1[[#This Row],[ai_disruption_intensity]]&gt;70,"High",
IF(Table1[[#This Row],[ai_disruption_intensity]]&gt;40,"Medium","Low"))</f>
        <v>Medium</v>
      </c>
      <c r="W3240" t="str">
        <f>IF(Table1[[#This Row],[skill_gap_index]]&gt;70,"Large Gap",
IF(Table1[[#This Row],[skill_gap_index]]&gt;40,"Medium Gap","Small Gap"))</f>
        <v>Small Gap</v>
      </c>
      <c r="X3240" s="3" t="str">
        <f>IF(Table1[[#This Row],[automation_risk_percent]]&gt;0.7,"Highly Automatable",
IF(Table1[[#This Row],[automation_risk_percent]]&gt;0.4,"Moderate Risk","Safe Job"))</f>
        <v>Highly Automatable</v>
      </c>
    </row>
    <row r="3241" spans="1:24" x14ac:dyDescent="0.3">
      <c r="A3241">
        <v>11308</v>
      </c>
      <c r="B3241" t="s">
        <v>18</v>
      </c>
      <c r="C3241" t="s">
        <v>23</v>
      </c>
      <c r="D3241" t="s">
        <v>20</v>
      </c>
      <c r="E3241" s="1">
        <v>2026</v>
      </c>
      <c r="F3241" s="11">
        <v>0.50869999999999993</v>
      </c>
      <c r="G3241">
        <v>47.73</v>
      </c>
      <c r="H3241">
        <v>32.42</v>
      </c>
      <c r="I3241" s="2">
        <v>140939.35999999999</v>
      </c>
      <c r="J3241" s="2">
        <v>133822.09</v>
      </c>
      <c r="K3241" s="2">
        <f>Table1[[#This Row],[Salary_after]]-Table1[[#This Row],[Salary_before]]</f>
        <v>-7117.2699999999895</v>
      </c>
      <c r="L3241" s="11">
        <v>-5.0499999999999996E-2</v>
      </c>
      <c r="M3241" s="11">
        <v>0.25129999999999997</v>
      </c>
      <c r="N3241">
        <v>69.94</v>
      </c>
      <c r="O3241">
        <v>12.09</v>
      </c>
      <c r="P3241">
        <v>5</v>
      </c>
      <c r="Q3241" t="s">
        <v>25</v>
      </c>
      <c r="R3241">
        <v>41.644999999999897</v>
      </c>
      <c r="S3241">
        <v>5.05</v>
      </c>
      <c r="T3241" s="4">
        <v>31.588999999999999</v>
      </c>
      <c r="U3241" s="4">
        <v>6.1501829999999904</v>
      </c>
      <c r="V3241" t="str">
        <f>IF(Table1[[#This Row],[ai_disruption_intensity]]&gt;70,"High",
IF(Table1[[#This Row],[ai_disruption_intensity]]&gt;40,"Medium","Low"))</f>
        <v>Low</v>
      </c>
      <c r="W3241" t="str">
        <f>IF(Table1[[#This Row],[skill_gap_index]]&gt;70,"Large Gap",
IF(Table1[[#This Row],[skill_gap_index]]&gt;40,"Medium Gap","Small Gap"))</f>
        <v>Small Gap</v>
      </c>
      <c r="X3241" s="3" t="str">
        <f>IF(Table1[[#This Row],[automation_risk_percent]]&gt;0.7,"Highly Automatable",
IF(Table1[[#This Row],[automation_risk_percent]]&gt;0.4,"Moderate Risk","Safe Job"))</f>
        <v>Moderate Risk</v>
      </c>
    </row>
    <row r="3242" spans="1:24" x14ac:dyDescent="0.3">
      <c r="A3242">
        <v>11310</v>
      </c>
      <c r="B3242" t="s">
        <v>43</v>
      </c>
      <c r="C3242" t="s">
        <v>34</v>
      </c>
      <c r="D3242" t="s">
        <v>28</v>
      </c>
      <c r="E3242" s="1">
        <v>2025</v>
      </c>
      <c r="F3242" s="11">
        <v>0.58210000000000006</v>
      </c>
      <c r="G3242">
        <v>50.84</v>
      </c>
      <c r="H3242">
        <v>93.51</v>
      </c>
      <c r="I3242" s="2">
        <v>79717.78</v>
      </c>
      <c r="J3242" s="2">
        <v>85651.6</v>
      </c>
      <c r="K3242" s="2">
        <f>Table1[[#This Row],[Salary_after]]-Table1[[#This Row],[Salary_before]]</f>
        <v>5933.820000000007</v>
      </c>
      <c r="L3242" s="11">
        <v>7.4400000000000008E-2</v>
      </c>
      <c r="M3242" s="11">
        <v>7.2499999999999995E-2</v>
      </c>
      <c r="N3242">
        <v>62.05</v>
      </c>
      <c r="O3242">
        <v>68.349999999999994</v>
      </c>
      <c r="P3242">
        <v>2</v>
      </c>
      <c r="Q3242" t="s">
        <v>25</v>
      </c>
      <c r="R3242">
        <v>75.86</v>
      </c>
      <c r="S3242">
        <v>7.44</v>
      </c>
      <c r="T3242" s="4">
        <v>53.569000000000003</v>
      </c>
      <c r="U3242" s="4">
        <v>39.786535000000001</v>
      </c>
      <c r="V3242" t="str">
        <f>IF(Table1[[#This Row],[ai_disruption_intensity]]&gt;70,"High",
IF(Table1[[#This Row],[ai_disruption_intensity]]&gt;40,"Medium","Low"))</f>
        <v>Low</v>
      </c>
      <c r="W3242" t="str">
        <f>IF(Table1[[#This Row],[skill_gap_index]]&gt;70,"Large Gap",
IF(Table1[[#This Row],[skill_gap_index]]&gt;40,"Medium Gap","Small Gap"))</f>
        <v>Large Gap</v>
      </c>
      <c r="X3242" s="3" t="str">
        <f>IF(Table1[[#This Row],[automation_risk_percent]]&gt;0.7,"Highly Automatable",
IF(Table1[[#This Row],[automation_risk_percent]]&gt;0.4,"Moderate Risk","Safe Job"))</f>
        <v>Moderate Risk</v>
      </c>
    </row>
    <row r="3243" spans="1:24" x14ac:dyDescent="0.3">
      <c r="A3243">
        <v>11311</v>
      </c>
      <c r="B3243" t="s">
        <v>45</v>
      </c>
      <c r="C3243" t="s">
        <v>23</v>
      </c>
      <c r="D3243" t="s">
        <v>20</v>
      </c>
      <c r="E3243" s="1">
        <v>2025</v>
      </c>
      <c r="F3243" s="11">
        <v>0.54320000000000002</v>
      </c>
      <c r="G3243">
        <v>48.85</v>
      </c>
      <c r="H3243">
        <v>96.29</v>
      </c>
      <c r="I3243" s="2">
        <v>86689.91</v>
      </c>
      <c r="J3243" s="2">
        <v>96816.26</v>
      </c>
      <c r="K3243" s="2">
        <f>Table1[[#This Row],[Salary_after]]-Table1[[#This Row],[Salary_before]]</f>
        <v>10126.349999999991</v>
      </c>
      <c r="L3243" s="11">
        <v>0.1168</v>
      </c>
      <c r="M3243" s="11">
        <v>0.21149999999999999</v>
      </c>
      <c r="N3243">
        <v>92.49</v>
      </c>
      <c r="O3243">
        <v>54.19</v>
      </c>
      <c r="P3243">
        <v>3</v>
      </c>
      <c r="Q3243" t="s">
        <v>25</v>
      </c>
      <c r="R3243">
        <v>75.305000000000007</v>
      </c>
      <c r="S3243">
        <v>11.68</v>
      </c>
      <c r="T3243" s="4">
        <v>54.119</v>
      </c>
      <c r="U3243" s="4">
        <v>29.436007999999902</v>
      </c>
      <c r="V3243" t="str">
        <f>IF(Table1[[#This Row],[ai_disruption_intensity]]&gt;70,"High",
IF(Table1[[#This Row],[ai_disruption_intensity]]&gt;40,"Medium","Low"))</f>
        <v>Low</v>
      </c>
      <c r="W3243" t="str">
        <f>IF(Table1[[#This Row],[skill_gap_index]]&gt;70,"Large Gap",
IF(Table1[[#This Row],[skill_gap_index]]&gt;40,"Medium Gap","Small Gap"))</f>
        <v>Large Gap</v>
      </c>
      <c r="X3243" s="3" t="str">
        <f>IF(Table1[[#This Row],[automation_risk_percent]]&gt;0.7,"Highly Automatable",
IF(Table1[[#This Row],[automation_risk_percent]]&gt;0.4,"Moderate Risk","Safe Job"))</f>
        <v>Moderate Risk</v>
      </c>
    </row>
    <row r="3244" spans="1:24" x14ac:dyDescent="0.3">
      <c r="A3244">
        <v>11312</v>
      </c>
      <c r="B3244" t="s">
        <v>26</v>
      </c>
      <c r="C3244" t="s">
        <v>38</v>
      </c>
      <c r="D3244" t="s">
        <v>32</v>
      </c>
      <c r="E3244" s="1">
        <v>2026</v>
      </c>
      <c r="F3244" s="11">
        <v>0.25230000000000002</v>
      </c>
      <c r="G3244">
        <v>21.95</v>
      </c>
      <c r="H3244">
        <v>81.06</v>
      </c>
      <c r="I3244" s="2">
        <v>69720.81</v>
      </c>
      <c r="J3244" s="2">
        <v>81763.320000000007</v>
      </c>
      <c r="K3244" s="2">
        <f>Table1[[#This Row],[Salary_after]]-Table1[[#This Row],[Salary_before]]</f>
        <v>12042.510000000009</v>
      </c>
      <c r="L3244" s="11">
        <v>0.17269999999999999</v>
      </c>
      <c r="M3244" s="11">
        <v>0.36890000000000001</v>
      </c>
      <c r="N3244">
        <v>76.64</v>
      </c>
      <c r="O3244">
        <v>68.42</v>
      </c>
      <c r="P3244">
        <v>4</v>
      </c>
      <c r="Q3244" t="s">
        <v>21</v>
      </c>
      <c r="R3244">
        <v>53.145000000000003</v>
      </c>
      <c r="S3244">
        <v>17.27</v>
      </c>
      <c r="T3244" s="4">
        <v>39.591000000000001</v>
      </c>
      <c r="U3244" s="4">
        <v>17.262366</v>
      </c>
      <c r="V3244" t="str">
        <f>IF(Table1[[#This Row],[ai_disruption_intensity]]&gt;70,"High",
IF(Table1[[#This Row],[ai_disruption_intensity]]&gt;40,"Medium","Low"))</f>
        <v>Low</v>
      </c>
      <c r="W3244" t="str">
        <f>IF(Table1[[#This Row],[skill_gap_index]]&gt;70,"Large Gap",
IF(Table1[[#This Row],[skill_gap_index]]&gt;40,"Medium Gap","Small Gap"))</f>
        <v>Large Gap</v>
      </c>
      <c r="X3244" s="3" t="str">
        <f>IF(Table1[[#This Row],[automation_risk_percent]]&gt;0.7,"Highly Automatable",
IF(Table1[[#This Row],[automation_risk_percent]]&gt;0.4,"Moderate Risk","Safe Job"))</f>
        <v>Safe Job</v>
      </c>
    </row>
    <row r="3245" spans="1:24" x14ac:dyDescent="0.3">
      <c r="A3245">
        <v>11316</v>
      </c>
      <c r="B3245" t="s">
        <v>18</v>
      </c>
      <c r="C3245" t="s">
        <v>19</v>
      </c>
      <c r="D3245" t="s">
        <v>35</v>
      </c>
      <c r="E3245" s="1">
        <v>2025</v>
      </c>
      <c r="F3245" s="11">
        <v>0.77010000000000001</v>
      </c>
      <c r="G3245">
        <v>66.83</v>
      </c>
      <c r="H3245">
        <v>95.14</v>
      </c>
      <c r="I3245" s="2">
        <v>50657.02</v>
      </c>
      <c r="J3245" s="2">
        <v>52817.66</v>
      </c>
      <c r="K3245" s="2">
        <f>Table1[[#This Row],[Salary_after]]-Table1[[#This Row],[Salary_before]]</f>
        <v>2160.6400000000067</v>
      </c>
      <c r="L3245" s="11">
        <v>4.2699999999999995E-2</v>
      </c>
      <c r="M3245" s="11">
        <v>0.1007</v>
      </c>
      <c r="N3245">
        <v>69.95</v>
      </c>
      <c r="O3245">
        <v>70.62</v>
      </c>
      <c r="P3245">
        <v>4</v>
      </c>
      <c r="Q3245" t="s">
        <v>37</v>
      </c>
      <c r="R3245">
        <v>86.075000000000003</v>
      </c>
      <c r="S3245">
        <v>4.2699999999999996</v>
      </c>
      <c r="T3245" s="4">
        <v>60.627000000000002</v>
      </c>
      <c r="U3245" s="4">
        <v>54.384461999999999</v>
      </c>
      <c r="V3245" t="str">
        <f>IF(Table1[[#This Row],[ai_disruption_intensity]]&gt;70,"High",
IF(Table1[[#This Row],[ai_disruption_intensity]]&gt;40,"Medium","Low"))</f>
        <v>Medium</v>
      </c>
      <c r="W3245" t="str">
        <f>IF(Table1[[#This Row],[skill_gap_index]]&gt;70,"Large Gap",
IF(Table1[[#This Row],[skill_gap_index]]&gt;40,"Medium Gap","Small Gap"))</f>
        <v>Large Gap</v>
      </c>
      <c r="X3245" s="3" t="str">
        <f>IF(Table1[[#This Row],[automation_risk_percent]]&gt;0.7,"Highly Automatable",
IF(Table1[[#This Row],[automation_risk_percent]]&gt;0.4,"Moderate Risk","Safe Job"))</f>
        <v>Highly Automatable</v>
      </c>
    </row>
    <row r="3246" spans="1:24" x14ac:dyDescent="0.3">
      <c r="A3246">
        <v>11322</v>
      </c>
      <c r="B3246" t="s">
        <v>29</v>
      </c>
      <c r="C3246" t="s">
        <v>23</v>
      </c>
      <c r="D3246" t="s">
        <v>28</v>
      </c>
      <c r="E3246" s="1">
        <v>2026</v>
      </c>
      <c r="F3246" s="11">
        <v>0.49049999999999999</v>
      </c>
      <c r="G3246">
        <v>51.33</v>
      </c>
      <c r="H3246">
        <v>59.95</v>
      </c>
      <c r="I3246" s="2">
        <v>101315.77</v>
      </c>
      <c r="J3246" s="2">
        <v>100144.25</v>
      </c>
      <c r="K3246" s="2">
        <f>Table1[[#This Row],[Salary_after]]-Table1[[#This Row],[Salary_before]]</f>
        <v>-1171.5200000000041</v>
      </c>
      <c r="L3246" s="11">
        <v>-1.1599999999999999E-2</v>
      </c>
      <c r="M3246" s="11">
        <v>1.0700000000000001E-2</v>
      </c>
      <c r="N3246">
        <v>49.57</v>
      </c>
      <c r="O3246">
        <v>80.72</v>
      </c>
      <c r="P3246">
        <v>3</v>
      </c>
      <c r="Q3246" t="s">
        <v>25</v>
      </c>
      <c r="R3246">
        <v>54.5</v>
      </c>
      <c r="S3246">
        <v>1.1599999999999999</v>
      </c>
      <c r="T3246" s="4">
        <v>37.953000000000003</v>
      </c>
      <c r="U3246" s="4">
        <v>39.593159999999997</v>
      </c>
      <c r="V3246" t="str">
        <f>IF(Table1[[#This Row],[ai_disruption_intensity]]&gt;70,"High",
IF(Table1[[#This Row],[ai_disruption_intensity]]&gt;40,"Medium","Low"))</f>
        <v>Low</v>
      </c>
      <c r="W3246" t="str">
        <f>IF(Table1[[#This Row],[skill_gap_index]]&gt;70,"Large Gap",
IF(Table1[[#This Row],[skill_gap_index]]&gt;40,"Medium Gap","Small Gap"))</f>
        <v>Medium Gap</v>
      </c>
      <c r="X3246" s="3" t="str">
        <f>IF(Table1[[#This Row],[automation_risk_percent]]&gt;0.7,"Highly Automatable",
IF(Table1[[#This Row],[automation_risk_percent]]&gt;0.4,"Moderate Risk","Safe Job"))</f>
        <v>Moderate Risk</v>
      </c>
    </row>
    <row r="3247" spans="1:24" x14ac:dyDescent="0.3">
      <c r="A3247">
        <v>11329</v>
      </c>
      <c r="B3247" t="s">
        <v>29</v>
      </c>
      <c r="C3247" t="s">
        <v>34</v>
      </c>
      <c r="D3247" t="s">
        <v>36</v>
      </c>
      <c r="E3247" s="1">
        <v>2026</v>
      </c>
      <c r="F3247" s="11">
        <v>0.8034</v>
      </c>
      <c r="G3247">
        <v>83.06</v>
      </c>
      <c r="H3247">
        <v>35.18</v>
      </c>
      <c r="I3247" s="2">
        <v>58347.07</v>
      </c>
      <c r="J3247" s="2">
        <v>54537.52</v>
      </c>
      <c r="K3247" s="2">
        <f>Table1[[#This Row],[Salary_after]]-Table1[[#This Row],[Salary_before]]</f>
        <v>-3809.5500000000029</v>
      </c>
      <c r="L3247" s="11">
        <v>-6.5299999999999997E-2</v>
      </c>
      <c r="M3247" s="11">
        <v>8.1099999999999992E-2</v>
      </c>
      <c r="N3247">
        <v>39.03</v>
      </c>
      <c r="O3247">
        <v>58.54</v>
      </c>
      <c r="P3247">
        <v>1</v>
      </c>
      <c r="Q3247" t="s">
        <v>37</v>
      </c>
      <c r="R3247">
        <v>57.76</v>
      </c>
      <c r="S3247">
        <v>6.53</v>
      </c>
      <c r="T3247" s="4">
        <v>44.649000000000001</v>
      </c>
      <c r="U3247" s="4">
        <v>47.031036</v>
      </c>
      <c r="V3247" t="str">
        <f>IF(Table1[[#This Row],[ai_disruption_intensity]]&gt;70,"High",
IF(Table1[[#This Row],[ai_disruption_intensity]]&gt;40,"Medium","Low"))</f>
        <v>Medium</v>
      </c>
      <c r="W3247" t="str">
        <f>IF(Table1[[#This Row],[skill_gap_index]]&gt;70,"Large Gap",
IF(Table1[[#This Row],[skill_gap_index]]&gt;40,"Medium Gap","Small Gap"))</f>
        <v>Small Gap</v>
      </c>
      <c r="X3247" s="3" t="str">
        <f>IF(Table1[[#This Row],[automation_risk_percent]]&gt;0.7,"Highly Automatable",
IF(Table1[[#This Row],[automation_risk_percent]]&gt;0.4,"Moderate Risk","Safe Job"))</f>
        <v>Highly Automatable</v>
      </c>
    </row>
    <row r="3248" spans="1:24" x14ac:dyDescent="0.3">
      <c r="A3248">
        <v>11331</v>
      </c>
      <c r="B3248" t="s">
        <v>22</v>
      </c>
      <c r="C3248" t="s">
        <v>23</v>
      </c>
      <c r="D3248" t="s">
        <v>36</v>
      </c>
      <c r="E3248" s="1">
        <v>2025</v>
      </c>
      <c r="F3248" s="11">
        <v>0.48719999999999997</v>
      </c>
      <c r="G3248">
        <v>49.56</v>
      </c>
      <c r="H3248">
        <v>36.950000000000003</v>
      </c>
      <c r="I3248" s="2">
        <v>137855.35</v>
      </c>
      <c r="J3248" s="2">
        <v>144619.56</v>
      </c>
      <c r="K3248" s="2">
        <f>Table1[[#This Row],[Salary_after]]-Table1[[#This Row],[Salary_before]]</f>
        <v>6764.2099999999919</v>
      </c>
      <c r="L3248" s="11">
        <v>4.9100000000000005E-2</v>
      </c>
      <c r="M3248" s="11">
        <v>0.1081</v>
      </c>
      <c r="N3248">
        <v>80.06</v>
      </c>
      <c r="O3248">
        <v>84.89</v>
      </c>
      <c r="P3248">
        <v>1</v>
      </c>
      <c r="Q3248" t="s">
        <v>25</v>
      </c>
      <c r="R3248">
        <v>42.835000000000001</v>
      </c>
      <c r="S3248">
        <v>4.91</v>
      </c>
      <c r="T3248" s="4">
        <v>32.045999999999999</v>
      </c>
      <c r="U3248" s="4">
        <v>41.358407999999997</v>
      </c>
      <c r="V3248" t="str">
        <f>IF(Table1[[#This Row],[ai_disruption_intensity]]&gt;70,"High",
IF(Table1[[#This Row],[ai_disruption_intensity]]&gt;40,"Medium","Low"))</f>
        <v>Medium</v>
      </c>
      <c r="W3248" t="str">
        <f>IF(Table1[[#This Row],[skill_gap_index]]&gt;70,"Large Gap",
IF(Table1[[#This Row],[skill_gap_index]]&gt;40,"Medium Gap","Small Gap"))</f>
        <v>Small Gap</v>
      </c>
      <c r="X3248" s="3" t="str">
        <f>IF(Table1[[#This Row],[automation_risk_percent]]&gt;0.7,"Highly Automatable",
IF(Table1[[#This Row],[automation_risk_percent]]&gt;0.4,"Moderate Risk","Safe Job"))</f>
        <v>Moderate Risk</v>
      </c>
    </row>
    <row r="3249" spans="1:24" x14ac:dyDescent="0.3">
      <c r="A3249">
        <v>11333</v>
      </c>
      <c r="B3249" t="s">
        <v>39</v>
      </c>
      <c r="C3249" t="s">
        <v>40</v>
      </c>
      <c r="D3249" t="s">
        <v>47</v>
      </c>
      <c r="E3249" s="1">
        <v>2026</v>
      </c>
      <c r="F3249" s="11">
        <v>0.28620000000000001</v>
      </c>
      <c r="G3249">
        <v>27.05</v>
      </c>
      <c r="H3249">
        <v>55.72</v>
      </c>
      <c r="I3249" s="2">
        <v>148194.07</v>
      </c>
      <c r="J3249" s="2">
        <v>132208.17000000001</v>
      </c>
      <c r="K3249" s="2">
        <f>Table1[[#This Row],[Salary_after]]-Table1[[#This Row],[Salary_before]]</f>
        <v>-15985.899999999994</v>
      </c>
      <c r="L3249" s="11">
        <v>-0.1079</v>
      </c>
      <c r="M3249" s="11">
        <v>4.6900000000000004E-2</v>
      </c>
      <c r="N3249">
        <v>70.67</v>
      </c>
      <c r="O3249">
        <v>61.63</v>
      </c>
      <c r="P3249">
        <v>5</v>
      </c>
      <c r="Q3249" t="s">
        <v>21</v>
      </c>
      <c r="R3249">
        <v>42.17</v>
      </c>
      <c r="S3249">
        <v>10.79</v>
      </c>
      <c r="T3249" s="4">
        <v>31.4009999999999</v>
      </c>
      <c r="U3249" s="4">
        <v>17.638506</v>
      </c>
      <c r="V3249" t="str">
        <f>IF(Table1[[#This Row],[ai_disruption_intensity]]&gt;70,"High",
IF(Table1[[#This Row],[ai_disruption_intensity]]&gt;40,"Medium","Low"))</f>
        <v>Low</v>
      </c>
      <c r="W3249" t="str">
        <f>IF(Table1[[#This Row],[skill_gap_index]]&gt;70,"Large Gap",
IF(Table1[[#This Row],[skill_gap_index]]&gt;40,"Medium Gap","Small Gap"))</f>
        <v>Medium Gap</v>
      </c>
      <c r="X3249" s="3" t="str">
        <f>IF(Table1[[#This Row],[automation_risk_percent]]&gt;0.7,"Highly Automatable",
IF(Table1[[#This Row],[automation_risk_percent]]&gt;0.4,"Moderate Risk","Safe Job"))</f>
        <v>Safe Job</v>
      </c>
    </row>
    <row r="3250" spans="1:24" x14ac:dyDescent="0.3">
      <c r="A3250">
        <v>11337</v>
      </c>
      <c r="B3250" t="s">
        <v>45</v>
      </c>
      <c r="C3250" t="s">
        <v>27</v>
      </c>
      <c r="D3250" t="s">
        <v>28</v>
      </c>
      <c r="E3250" s="1">
        <v>2025</v>
      </c>
      <c r="F3250" s="11">
        <v>0.79879999999999995</v>
      </c>
      <c r="G3250">
        <v>83.61</v>
      </c>
      <c r="H3250">
        <v>18.86</v>
      </c>
      <c r="I3250" s="2">
        <v>129801.75</v>
      </c>
      <c r="J3250" s="2">
        <v>118910.17</v>
      </c>
      <c r="K3250" s="2">
        <f>Table1[[#This Row],[Salary_after]]-Table1[[#This Row],[Salary_before]]</f>
        <v>-10891.580000000002</v>
      </c>
      <c r="L3250" s="11">
        <v>-8.3900000000000002E-2</v>
      </c>
      <c r="M3250" s="11">
        <v>0.26519999999999999</v>
      </c>
      <c r="N3250">
        <v>23.5</v>
      </c>
      <c r="O3250">
        <v>23.98</v>
      </c>
      <c r="P3250">
        <v>4</v>
      </c>
      <c r="Q3250" t="s">
        <v>37</v>
      </c>
      <c r="R3250">
        <v>49.37</v>
      </c>
      <c r="S3250">
        <v>8.39</v>
      </c>
      <c r="T3250" s="4">
        <v>40.127000000000002</v>
      </c>
      <c r="U3250" s="4">
        <v>19.155223999999901</v>
      </c>
      <c r="V3250" t="str">
        <f>IF(Table1[[#This Row],[ai_disruption_intensity]]&gt;70,"High",
IF(Table1[[#This Row],[ai_disruption_intensity]]&gt;40,"Medium","Low"))</f>
        <v>Low</v>
      </c>
      <c r="W3250" t="str">
        <f>IF(Table1[[#This Row],[skill_gap_index]]&gt;70,"Large Gap",
IF(Table1[[#This Row],[skill_gap_index]]&gt;40,"Medium Gap","Small Gap"))</f>
        <v>Small Gap</v>
      </c>
      <c r="X3250" s="3" t="str">
        <f>IF(Table1[[#This Row],[automation_risk_percent]]&gt;0.7,"Highly Automatable",
IF(Table1[[#This Row],[automation_risk_percent]]&gt;0.4,"Moderate Risk","Safe Job"))</f>
        <v>Highly Automatable</v>
      </c>
    </row>
    <row r="3251" spans="1:24" x14ac:dyDescent="0.3">
      <c r="A3251">
        <v>11338</v>
      </c>
      <c r="B3251" t="s">
        <v>39</v>
      </c>
      <c r="C3251" t="s">
        <v>19</v>
      </c>
      <c r="D3251" t="s">
        <v>20</v>
      </c>
      <c r="E3251" s="1">
        <v>2026</v>
      </c>
      <c r="F3251" s="11">
        <v>0.50509999999999999</v>
      </c>
      <c r="G3251">
        <v>45.67</v>
      </c>
      <c r="H3251">
        <v>47.79</v>
      </c>
      <c r="I3251" s="2">
        <v>115869.81</v>
      </c>
      <c r="J3251" s="2">
        <v>111849.68</v>
      </c>
      <c r="K3251" s="2">
        <f>Table1[[#This Row],[Salary_after]]-Table1[[#This Row],[Salary_before]]</f>
        <v>-4020.1300000000047</v>
      </c>
      <c r="L3251" s="11">
        <v>-3.4700000000000002E-2</v>
      </c>
      <c r="M3251" s="11">
        <v>7.7699999999999991E-2</v>
      </c>
      <c r="N3251">
        <v>94.92</v>
      </c>
      <c r="O3251">
        <v>77</v>
      </c>
      <c r="P3251">
        <v>4</v>
      </c>
      <c r="Q3251" t="s">
        <v>25</v>
      </c>
      <c r="R3251">
        <v>49.15</v>
      </c>
      <c r="S3251">
        <v>3.47</v>
      </c>
      <c r="T3251" s="4">
        <v>35.581999999999901</v>
      </c>
      <c r="U3251" s="4">
        <v>38.892699999999998</v>
      </c>
      <c r="V3251" t="str">
        <f>IF(Table1[[#This Row],[ai_disruption_intensity]]&gt;70,"High",
IF(Table1[[#This Row],[ai_disruption_intensity]]&gt;40,"Medium","Low"))</f>
        <v>Low</v>
      </c>
      <c r="W3251" t="str">
        <f>IF(Table1[[#This Row],[skill_gap_index]]&gt;70,"Large Gap",
IF(Table1[[#This Row],[skill_gap_index]]&gt;40,"Medium Gap","Small Gap"))</f>
        <v>Medium Gap</v>
      </c>
      <c r="X3251" s="3" t="str">
        <f>IF(Table1[[#This Row],[automation_risk_percent]]&gt;0.7,"Highly Automatable",
IF(Table1[[#This Row],[automation_risk_percent]]&gt;0.4,"Moderate Risk","Safe Job"))</f>
        <v>Moderate Risk</v>
      </c>
    </row>
    <row r="3252" spans="1:24" x14ac:dyDescent="0.3">
      <c r="A3252">
        <v>11342</v>
      </c>
      <c r="B3252" t="s">
        <v>41</v>
      </c>
      <c r="C3252" t="s">
        <v>40</v>
      </c>
      <c r="D3252" t="s">
        <v>20</v>
      </c>
      <c r="E3252" s="1">
        <v>2026</v>
      </c>
      <c r="F3252" s="11">
        <v>0.49359999999999998</v>
      </c>
      <c r="G3252">
        <v>55.16</v>
      </c>
      <c r="H3252">
        <v>49.28</v>
      </c>
      <c r="I3252" s="2">
        <v>113324.58</v>
      </c>
      <c r="J3252" s="2">
        <v>119137.87</v>
      </c>
      <c r="K3252" s="2">
        <f>Table1[[#This Row],[Salary_after]]-Table1[[#This Row],[Salary_before]]</f>
        <v>5813.2899999999936</v>
      </c>
      <c r="L3252" s="11">
        <v>5.1299999999999998E-2</v>
      </c>
      <c r="M3252" s="11">
        <v>6.6299999999999998E-2</v>
      </c>
      <c r="N3252">
        <v>87.23</v>
      </c>
      <c r="O3252">
        <v>34.380000000000003</v>
      </c>
      <c r="P3252">
        <v>4</v>
      </c>
      <c r="Q3252" t="s">
        <v>25</v>
      </c>
      <c r="R3252">
        <v>49.32</v>
      </c>
      <c r="S3252">
        <v>5.13</v>
      </c>
      <c r="T3252" s="4">
        <v>36.067</v>
      </c>
      <c r="U3252" s="4">
        <v>16.969968000000001</v>
      </c>
      <c r="V3252" t="str">
        <f>IF(Table1[[#This Row],[ai_disruption_intensity]]&gt;70,"High",
IF(Table1[[#This Row],[ai_disruption_intensity]]&gt;40,"Medium","Low"))</f>
        <v>Low</v>
      </c>
      <c r="W3252" t="str">
        <f>IF(Table1[[#This Row],[skill_gap_index]]&gt;70,"Large Gap",
IF(Table1[[#This Row],[skill_gap_index]]&gt;40,"Medium Gap","Small Gap"))</f>
        <v>Medium Gap</v>
      </c>
      <c r="X3252" s="3" t="str">
        <f>IF(Table1[[#This Row],[automation_risk_percent]]&gt;0.7,"Highly Automatable",
IF(Table1[[#This Row],[automation_risk_percent]]&gt;0.4,"Moderate Risk","Safe Job"))</f>
        <v>Moderate Risk</v>
      </c>
    </row>
    <row r="3253" spans="1:24" x14ac:dyDescent="0.3">
      <c r="A3253">
        <v>11343</v>
      </c>
      <c r="B3253" t="s">
        <v>18</v>
      </c>
      <c r="C3253" t="s">
        <v>38</v>
      </c>
      <c r="D3253" t="s">
        <v>20</v>
      </c>
      <c r="E3253" s="1">
        <v>2026</v>
      </c>
      <c r="F3253" s="11">
        <v>0.44840000000000002</v>
      </c>
      <c r="G3253">
        <v>44.42</v>
      </c>
      <c r="H3253">
        <v>27.89</v>
      </c>
      <c r="I3253" s="2">
        <v>104529.81</v>
      </c>
      <c r="J3253" s="2">
        <v>97203.64</v>
      </c>
      <c r="K3253" s="2">
        <f>Table1[[#This Row],[Salary_after]]-Table1[[#This Row],[Salary_before]]</f>
        <v>-7326.1699999999983</v>
      </c>
      <c r="L3253" s="11">
        <v>-7.0099999999999996E-2</v>
      </c>
      <c r="M3253" s="11">
        <v>7.000000000000001E-4</v>
      </c>
      <c r="N3253">
        <v>19.93</v>
      </c>
      <c r="O3253">
        <v>28.65</v>
      </c>
      <c r="P3253">
        <v>4</v>
      </c>
      <c r="Q3253" t="s">
        <v>25</v>
      </c>
      <c r="R3253">
        <v>36.365000000000002</v>
      </c>
      <c r="S3253">
        <v>7.01</v>
      </c>
      <c r="T3253" s="4">
        <v>28.405999999999999</v>
      </c>
      <c r="U3253" s="4">
        <v>12.84666</v>
      </c>
      <c r="V3253" t="str">
        <f>IF(Table1[[#This Row],[ai_disruption_intensity]]&gt;70,"High",
IF(Table1[[#This Row],[ai_disruption_intensity]]&gt;40,"Medium","Low"))</f>
        <v>Low</v>
      </c>
      <c r="W3253" t="str">
        <f>IF(Table1[[#This Row],[skill_gap_index]]&gt;70,"Large Gap",
IF(Table1[[#This Row],[skill_gap_index]]&gt;40,"Medium Gap","Small Gap"))</f>
        <v>Small Gap</v>
      </c>
      <c r="X3253" s="3" t="str">
        <f>IF(Table1[[#This Row],[automation_risk_percent]]&gt;0.7,"Highly Automatable",
IF(Table1[[#This Row],[automation_risk_percent]]&gt;0.4,"Moderate Risk","Safe Job"))</f>
        <v>Moderate Risk</v>
      </c>
    </row>
    <row r="3254" spans="1:24" x14ac:dyDescent="0.3">
      <c r="A3254">
        <v>11345</v>
      </c>
      <c r="B3254" t="s">
        <v>39</v>
      </c>
      <c r="C3254" t="s">
        <v>30</v>
      </c>
      <c r="D3254" t="s">
        <v>32</v>
      </c>
      <c r="E3254" s="1">
        <v>2026</v>
      </c>
      <c r="F3254" s="11">
        <v>0.66969999999999996</v>
      </c>
      <c r="G3254">
        <v>79.69</v>
      </c>
      <c r="H3254">
        <v>34.06</v>
      </c>
      <c r="I3254" s="2">
        <v>108877.36</v>
      </c>
      <c r="J3254" s="2">
        <v>123153.75</v>
      </c>
      <c r="K3254" s="2">
        <f>Table1[[#This Row],[Salary_after]]-Table1[[#This Row],[Salary_before]]</f>
        <v>14276.39</v>
      </c>
      <c r="L3254" s="11">
        <v>0.13109999999999999</v>
      </c>
      <c r="M3254" s="11">
        <v>0.15920000000000001</v>
      </c>
      <c r="N3254">
        <v>61.5</v>
      </c>
      <c r="O3254">
        <v>25.64</v>
      </c>
      <c r="P3254">
        <v>5</v>
      </c>
      <c r="Q3254" t="s">
        <v>37</v>
      </c>
      <c r="R3254">
        <v>50.515000000000001</v>
      </c>
      <c r="S3254">
        <v>13.11</v>
      </c>
      <c r="T3254" s="4">
        <v>40.939</v>
      </c>
      <c r="U3254" s="4">
        <v>17.171108</v>
      </c>
      <c r="V3254" t="str">
        <f>IF(Table1[[#This Row],[ai_disruption_intensity]]&gt;70,"High",
IF(Table1[[#This Row],[ai_disruption_intensity]]&gt;40,"Medium","Low"))</f>
        <v>Low</v>
      </c>
      <c r="W3254" t="str">
        <f>IF(Table1[[#This Row],[skill_gap_index]]&gt;70,"Large Gap",
IF(Table1[[#This Row],[skill_gap_index]]&gt;40,"Medium Gap","Small Gap"))</f>
        <v>Small Gap</v>
      </c>
      <c r="X3254" s="3" t="str">
        <f>IF(Table1[[#This Row],[automation_risk_percent]]&gt;0.7,"Highly Automatable",
IF(Table1[[#This Row],[automation_risk_percent]]&gt;0.4,"Moderate Risk","Safe Job"))</f>
        <v>Moderate Risk</v>
      </c>
    </row>
    <row r="3255" spans="1:24" x14ac:dyDescent="0.3">
      <c r="A3255">
        <v>11346</v>
      </c>
      <c r="B3255" t="s">
        <v>22</v>
      </c>
      <c r="C3255" t="s">
        <v>34</v>
      </c>
      <c r="D3255" t="s">
        <v>36</v>
      </c>
      <c r="E3255" s="1">
        <v>2026</v>
      </c>
      <c r="F3255" s="11">
        <v>0.15659999999999999</v>
      </c>
      <c r="G3255">
        <v>12.61</v>
      </c>
      <c r="H3255">
        <v>18.03</v>
      </c>
      <c r="I3255" s="2">
        <v>44397.72</v>
      </c>
      <c r="J3255" s="2">
        <v>44690.86</v>
      </c>
      <c r="K3255" s="2">
        <f>Table1[[#This Row],[Salary_after]]-Table1[[#This Row],[Salary_before]]</f>
        <v>293.13999999999942</v>
      </c>
      <c r="L3255" s="11">
        <v>6.6E-3</v>
      </c>
      <c r="M3255" s="11">
        <v>-1.1899999999999999E-2</v>
      </c>
      <c r="N3255">
        <v>15.14</v>
      </c>
      <c r="O3255">
        <v>99.62</v>
      </c>
      <c r="P3255">
        <v>5</v>
      </c>
      <c r="Q3255" t="s">
        <v>21</v>
      </c>
      <c r="R3255">
        <v>16.844999999999999</v>
      </c>
      <c r="S3255">
        <v>0.66</v>
      </c>
      <c r="T3255" s="4">
        <v>11.871</v>
      </c>
      <c r="U3255" s="4">
        <v>15.600491999999999</v>
      </c>
      <c r="V3255" t="str">
        <f>IF(Table1[[#This Row],[ai_disruption_intensity]]&gt;70,"High",
IF(Table1[[#This Row],[ai_disruption_intensity]]&gt;40,"Medium","Low"))</f>
        <v>Low</v>
      </c>
      <c r="W3255" t="str">
        <f>IF(Table1[[#This Row],[skill_gap_index]]&gt;70,"Large Gap",
IF(Table1[[#This Row],[skill_gap_index]]&gt;40,"Medium Gap","Small Gap"))</f>
        <v>Small Gap</v>
      </c>
      <c r="X3255" s="3" t="str">
        <f>IF(Table1[[#This Row],[automation_risk_percent]]&gt;0.7,"Highly Automatable",
IF(Table1[[#This Row],[automation_risk_percent]]&gt;0.4,"Moderate Risk","Safe Job"))</f>
        <v>Safe Job</v>
      </c>
    </row>
    <row r="3256" spans="1:24" x14ac:dyDescent="0.3">
      <c r="A3256">
        <v>11348</v>
      </c>
      <c r="B3256" t="s">
        <v>41</v>
      </c>
      <c r="C3256" t="s">
        <v>40</v>
      </c>
      <c r="D3256" t="s">
        <v>20</v>
      </c>
      <c r="E3256" s="1">
        <v>2025</v>
      </c>
      <c r="F3256" s="11">
        <v>0.66959999999999997</v>
      </c>
      <c r="G3256">
        <v>65.209999999999994</v>
      </c>
      <c r="H3256">
        <v>16.16</v>
      </c>
      <c r="I3256" s="2">
        <v>93958.83</v>
      </c>
      <c r="J3256" s="2">
        <v>92061.73</v>
      </c>
      <c r="K3256" s="2">
        <f>Table1[[#This Row],[Salary_after]]-Table1[[#This Row],[Salary_before]]</f>
        <v>-1897.1000000000058</v>
      </c>
      <c r="L3256" s="11">
        <v>-2.0199999999999999E-2</v>
      </c>
      <c r="M3256" s="11">
        <v>1.7000000000000001E-3</v>
      </c>
      <c r="N3256">
        <v>72.319999999999993</v>
      </c>
      <c r="O3256">
        <v>14.01</v>
      </c>
      <c r="P3256">
        <v>4</v>
      </c>
      <c r="Q3256" t="s">
        <v>37</v>
      </c>
      <c r="R3256">
        <v>41.559999999999903</v>
      </c>
      <c r="S3256">
        <v>2.02</v>
      </c>
      <c r="T3256" s="4">
        <v>32.238</v>
      </c>
      <c r="U3256" s="4">
        <v>9.3810959999999994</v>
      </c>
      <c r="V3256" t="str">
        <f>IF(Table1[[#This Row],[ai_disruption_intensity]]&gt;70,"High",
IF(Table1[[#This Row],[ai_disruption_intensity]]&gt;40,"Medium","Low"))</f>
        <v>Low</v>
      </c>
      <c r="W3256" t="str">
        <f>IF(Table1[[#This Row],[skill_gap_index]]&gt;70,"Large Gap",
IF(Table1[[#This Row],[skill_gap_index]]&gt;40,"Medium Gap","Small Gap"))</f>
        <v>Small Gap</v>
      </c>
      <c r="X3256" s="3" t="str">
        <f>IF(Table1[[#This Row],[automation_risk_percent]]&gt;0.7,"Highly Automatable",
IF(Table1[[#This Row],[automation_risk_percent]]&gt;0.4,"Moderate Risk","Safe Job"))</f>
        <v>Moderate Risk</v>
      </c>
    </row>
    <row r="3257" spans="1:24" x14ac:dyDescent="0.3">
      <c r="A3257">
        <v>11355</v>
      </c>
      <c r="B3257" t="s">
        <v>43</v>
      </c>
      <c r="C3257" t="s">
        <v>30</v>
      </c>
      <c r="D3257" t="s">
        <v>47</v>
      </c>
      <c r="E3257" s="1">
        <v>2026</v>
      </c>
      <c r="F3257" s="11">
        <v>0.19989999999999999</v>
      </c>
      <c r="G3257">
        <v>23.58</v>
      </c>
      <c r="H3257">
        <v>22.55</v>
      </c>
      <c r="I3257" s="2">
        <v>98694.03</v>
      </c>
      <c r="J3257" s="2">
        <v>106855.84</v>
      </c>
      <c r="K3257" s="2">
        <f>Table1[[#This Row],[Salary_after]]-Table1[[#This Row],[Salary_before]]</f>
        <v>8161.8099999999977</v>
      </c>
      <c r="L3257" s="11">
        <v>8.2699999999999996E-2</v>
      </c>
      <c r="M3257" s="11">
        <v>8.3599999999999994E-2</v>
      </c>
      <c r="N3257">
        <v>82.33</v>
      </c>
      <c r="O3257">
        <v>93.45</v>
      </c>
      <c r="P3257">
        <v>4</v>
      </c>
      <c r="Q3257" t="s">
        <v>21</v>
      </c>
      <c r="R3257">
        <v>21.27</v>
      </c>
      <c r="S3257">
        <v>8.27</v>
      </c>
      <c r="T3257" s="4">
        <v>17.241999999999901</v>
      </c>
      <c r="U3257" s="4">
        <v>18.680654999999899</v>
      </c>
      <c r="V3257" t="str">
        <f>IF(Table1[[#This Row],[ai_disruption_intensity]]&gt;70,"High",
IF(Table1[[#This Row],[ai_disruption_intensity]]&gt;40,"Medium","Low"))</f>
        <v>Low</v>
      </c>
      <c r="W3257" t="str">
        <f>IF(Table1[[#This Row],[skill_gap_index]]&gt;70,"Large Gap",
IF(Table1[[#This Row],[skill_gap_index]]&gt;40,"Medium Gap","Small Gap"))</f>
        <v>Small Gap</v>
      </c>
      <c r="X3257" s="3" t="str">
        <f>IF(Table1[[#This Row],[automation_risk_percent]]&gt;0.7,"Highly Automatable",
IF(Table1[[#This Row],[automation_risk_percent]]&gt;0.4,"Moderate Risk","Safe Job"))</f>
        <v>Safe Job</v>
      </c>
    </row>
    <row r="3258" spans="1:24" x14ac:dyDescent="0.3">
      <c r="A3258">
        <v>11361</v>
      </c>
      <c r="B3258" t="s">
        <v>29</v>
      </c>
      <c r="C3258" t="s">
        <v>40</v>
      </c>
      <c r="D3258" t="s">
        <v>47</v>
      </c>
      <c r="E3258" s="1">
        <v>2025</v>
      </c>
      <c r="F3258" s="11">
        <v>0.58789999999999998</v>
      </c>
      <c r="G3258">
        <v>54.72</v>
      </c>
      <c r="H3258">
        <v>43.21</v>
      </c>
      <c r="I3258" s="2">
        <v>74458.84</v>
      </c>
      <c r="J3258" s="2">
        <v>61808.25</v>
      </c>
      <c r="K3258" s="2">
        <f>Table1[[#This Row],[Salary_after]]-Table1[[#This Row],[Salary_before]]</f>
        <v>-12650.589999999997</v>
      </c>
      <c r="L3258" s="11">
        <v>-0.1699</v>
      </c>
      <c r="M3258" s="11">
        <v>-2.5399999999999999E-2</v>
      </c>
      <c r="N3258">
        <v>25.45</v>
      </c>
      <c r="O3258">
        <v>29.95</v>
      </c>
      <c r="P3258">
        <v>2</v>
      </c>
      <c r="Q3258" t="s">
        <v>25</v>
      </c>
      <c r="R3258">
        <v>51</v>
      </c>
      <c r="S3258">
        <v>16.989999999999998</v>
      </c>
      <c r="T3258" s="4">
        <v>41.576000000000001</v>
      </c>
      <c r="U3258" s="4">
        <v>17.607605</v>
      </c>
      <c r="V3258" t="str">
        <f>IF(Table1[[#This Row],[ai_disruption_intensity]]&gt;70,"High",
IF(Table1[[#This Row],[ai_disruption_intensity]]&gt;40,"Medium","Low"))</f>
        <v>Low</v>
      </c>
      <c r="W3258" t="str">
        <f>IF(Table1[[#This Row],[skill_gap_index]]&gt;70,"Large Gap",
IF(Table1[[#This Row],[skill_gap_index]]&gt;40,"Medium Gap","Small Gap"))</f>
        <v>Medium Gap</v>
      </c>
      <c r="X3258" s="3" t="str">
        <f>IF(Table1[[#This Row],[automation_risk_percent]]&gt;0.7,"Highly Automatable",
IF(Table1[[#This Row],[automation_risk_percent]]&gt;0.4,"Moderate Risk","Safe Job"))</f>
        <v>Moderate Risk</v>
      </c>
    </row>
    <row r="3259" spans="1:24" x14ac:dyDescent="0.3">
      <c r="A3259">
        <v>11363</v>
      </c>
      <c r="B3259" t="s">
        <v>44</v>
      </c>
      <c r="C3259" t="s">
        <v>19</v>
      </c>
      <c r="D3259" t="s">
        <v>31</v>
      </c>
      <c r="E3259" s="1">
        <v>2025</v>
      </c>
      <c r="F3259" s="11">
        <v>0.24530000000000002</v>
      </c>
      <c r="G3259">
        <v>21.72</v>
      </c>
      <c r="H3259">
        <v>9.52</v>
      </c>
      <c r="I3259" s="2">
        <v>93995.39</v>
      </c>
      <c r="J3259" s="2">
        <v>102800.26</v>
      </c>
      <c r="K3259" s="2">
        <f>Table1[[#This Row],[Salary_after]]-Table1[[#This Row],[Salary_before]]</f>
        <v>8804.8699999999953</v>
      </c>
      <c r="L3259" s="11">
        <v>9.3699999999999992E-2</v>
      </c>
      <c r="M3259" s="11">
        <v>0.1575</v>
      </c>
      <c r="N3259">
        <v>76.849999999999994</v>
      </c>
      <c r="O3259">
        <v>16.96</v>
      </c>
      <c r="P3259">
        <v>4</v>
      </c>
      <c r="Q3259" t="s">
        <v>21</v>
      </c>
      <c r="R3259">
        <v>17.024999999999999</v>
      </c>
      <c r="S3259">
        <v>9.3699999999999992</v>
      </c>
      <c r="T3259" s="4">
        <v>15.478999999999999</v>
      </c>
      <c r="U3259" s="4">
        <v>4.1602880000000004</v>
      </c>
      <c r="V3259" t="str">
        <f>IF(Table1[[#This Row],[ai_disruption_intensity]]&gt;70,"High",
IF(Table1[[#This Row],[ai_disruption_intensity]]&gt;40,"Medium","Low"))</f>
        <v>Low</v>
      </c>
      <c r="W3259" t="str">
        <f>IF(Table1[[#This Row],[skill_gap_index]]&gt;70,"Large Gap",
IF(Table1[[#This Row],[skill_gap_index]]&gt;40,"Medium Gap","Small Gap"))</f>
        <v>Small Gap</v>
      </c>
      <c r="X3259" s="3" t="str">
        <f>IF(Table1[[#This Row],[automation_risk_percent]]&gt;0.7,"Highly Automatable",
IF(Table1[[#This Row],[automation_risk_percent]]&gt;0.4,"Moderate Risk","Safe Job"))</f>
        <v>Safe Job</v>
      </c>
    </row>
    <row r="3260" spans="1:24" x14ac:dyDescent="0.3">
      <c r="A3260">
        <v>11366</v>
      </c>
      <c r="B3260" t="s">
        <v>45</v>
      </c>
      <c r="C3260" t="s">
        <v>40</v>
      </c>
      <c r="D3260" t="s">
        <v>20</v>
      </c>
      <c r="E3260" s="1">
        <v>2026</v>
      </c>
      <c r="F3260" s="11">
        <v>0.75590000000000002</v>
      </c>
      <c r="G3260">
        <v>76.069999999999993</v>
      </c>
      <c r="H3260">
        <v>98.83</v>
      </c>
      <c r="I3260" s="2">
        <v>65691.649999999994</v>
      </c>
      <c r="J3260" s="2">
        <v>57542.2</v>
      </c>
      <c r="K3260" s="2">
        <f>Table1[[#This Row],[Salary_after]]-Table1[[#This Row],[Salary_before]]</f>
        <v>-8149.4499999999971</v>
      </c>
      <c r="L3260" s="11">
        <v>-0.1241</v>
      </c>
      <c r="M3260" s="11">
        <v>2.2099999999999998E-2</v>
      </c>
      <c r="N3260">
        <v>51.77</v>
      </c>
      <c r="O3260">
        <v>18.5</v>
      </c>
      <c r="P3260">
        <v>5</v>
      </c>
      <c r="Q3260" t="s">
        <v>37</v>
      </c>
      <c r="R3260">
        <v>87.21</v>
      </c>
      <c r="S3260">
        <v>12.41</v>
      </c>
      <c r="T3260" s="4">
        <v>63.607999999999997</v>
      </c>
      <c r="U3260" s="4">
        <v>13.98415</v>
      </c>
      <c r="V3260" t="str">
        <f>IF(Table1[[#This Row],[ai_disruption_intensity]]&gt;70,"High",
IF(Table1[[#This Row],[ai_disruption_intensity]]&gt;40,"Medium","Low"))</f>
        <v>Low</v>
      </c>
      <c r="W3260" t="str">
        <f>IF(Table1[[#This Row],[skill_gap_index]]&gt;70,"Large Gap",
IF(Table1[[#This Row],[skill_gap_index]]&gt;40,"Medium Gap","Small Gap"))</f>
        <v>Large Gap</v>
      </c>
      <c r="X3260" s="3" t="str">
        <f>IF(Table1[[#This Row],[automation_risk_percent]]&gt;0.7,"Highly Automatable",
IF(Table1[[#This Row],[automation_risk_percent]]&gt;0.4,"Moderate Risk","Safe Job"))</f>
        <v>Highly Automatable</v>
      </c>
    </row>
    <row r="3261" spans="1:24" x14ac:dyDescent="0.3">
      <c r="A3261">
        <v>11369</v>
      </c>
      <c r="B3261" t="s">
        <v>22</v>
      </c>
      <c r="C3261" t="s">
        <v>19</v>
      </c>
      <c r="D3261" t="s">
        <v>24</v>
      </c>
      <c r="E3261" s="1">
        <v>2026</v>
      </c>
      <c r="F3261" s="11">
        <v>0.4042</v>
      </c>
      <c r="G3261">
        <v>47.48</v>
      </c>
      <c r="H3261">
        <v>7.63</v>
      </c>
      <c r="I3261" s="2">
        <v>46584.2</v>
      </c>
      <c r="J3261" s="2">
        <v>43384.24</v>
      </c>
      <c r="K3261" s="2">
        <f>Table1[[#This Row],[Salary_after]]-Table1[[#This Row],[Salary_before]]</f>
        <v>-3199.9599999999991</v>
      </c>
      <c r="L3261" s="11">
        <v>-6.8699999999999997E-2</v>
      </c>
      <c r="M3261" s="11">
        <v>8.2500000000000004E-2</v>
      </c>
      <c r="N3261">
        <v>22.16</v>
      </c>
      <c r="O3261">
        <v>87.19</v>
      </c>
      <c r="P3261">
        <v>3</v>
      </c>
      <c r="Q3261" t="s">
        <v>25</v>
      </c>
      <c r="R3261">
        <v>24.024999999999999</v>
      </c>
      <c r="S3261">
        <v>6.87</v>
      </c>
      <c r="T3261" s="4">
        <v>20.518000000000001</v>
      </c>
      <c r="U3261" s="4">
        <v>35.242198000000002</v>
      </c>
      <c r="V3261" t="str">
        <f>IF(Table1[[#This Row],[ai_disruption_intensity]]&gt;70,"High",
IF(Table1[[#This Row],[ai_disruption_intensity]]&gt;40,"Medium","Low"))</f>
        <v>Low</v>
      </c>
      <c r="W3261" t="str">
        <f>IF(Table1[[#This Row],[skill_gap_index]]&gt;70,"Large Gap",
IF(Table1[[#This Row],[skill_gap_index]]&gt;40,"Medium Gap","Small Gap"))</f>
        <v>Small Gap</v>
      </c>
      <c r="X3261" s="3" t="str">
        <f>IF(Table1[[#This Row],[automation_risk_percent]]&gt;0.7,"Highly Automatable",
IF(Table1[[#This Row],[automation_risk_percent]]&gt;0.4,"Moderate Risk","Safe Job"))</f>
        <v>Moderate Risk</v>
      </c>
    </row>
    <row r="3262" spans="1:24" x14ac:dyDescent="0.3">
      <c r="A3262">
        <v>11370</v>
      </c>
      <c r="B3262" t="s">
        <v>26</v>
      </c>
      <c r="C3262" t="s">
        <v>40</v>
      </c>
      <c r="D3262" t="s">
        <v>28</v>
      </c>
      <c r="E3262" s="1">
        <v>2026</v>
      </c>
      <c r="F3262" s="11">
        <v>0.14710000000000001</v>
      </c>
      <c r="G3262">
        <v>15.43</v>
      </c>
      <c r="H3262">
        <v>39.68</v>
      </c>
      <c r="I3262" s="2">
        <v>46407.03</v>
      </c>
      <c r="J3262" s="2">
        <v>40227.81</v>
      </c>
      <c r="K3262" s="2">
        <f>Table1[[#This Row],[Salary_after]]-Table1[[#This Row],[Salary_before]]</f>
        <v>-6179.2200000000012</v>
      </c>
      <c r="L3262" s="11">
        <v>-0.13320000000000001</v>
      </c>
      <c r="M3262" s="11">
        <v>-0.13109999999999999</v>
      </c>
      <c r="N3262">
        <v>66.58</v>
      </c>
      <c r="O3262">
        <v>15.35</v>
      </c>
      <c r="P3262">
        <v>5</v>
      </c>
      <c r="Q3262" t="s">
        <v>21</v>
      </c>
      <c r="R3262">
        <v>27.195</v>
      </c>
      <c r="S3262">
        <v>13.32</v>
      </c>
      <c r="T3262" s="4">
        <v>21.783999999999999</v>
      </c>
      <c r="U3262" s="4">
        <v>2.2579850000000001</v>
      </c>
      <c r="V3262" t="str">
        <f>IF(Table1[[#This Row],[ai_disruption_intensity]]&gt;70,"High",
IF(Table1[[#This Row],[ai_disruption_intensity]]&gt;40,"Medium","Low"))</f>
        <v>Low</v>
      </c>
      <c r="W3262" t="str">
        <f>IF(Table1[[#This Row],[skill_gap_index]]&gt;70,"Large Gap",
IF(Table1[[#This Row],[skill_gap_index]]&gt;40,"Medium Gap","Small Gap"))</f>
        <v>Small Gap</v>
      </c>
      <c r="X3262" s="3" t="str">
        <f>IF(Table1[[#This Row],[automation_risk_percent]]&gt;0.7,"Highly Automatable",
IF(Table1[[#This Row],[automation_risk_percent]]&gt;0.4,"Moderate Risk","Safe Job"))</f>
        <v>Safe Job</v>
      </c>
    </row>
    <row r="3263" spans="1:24" x14ac:dyDescent="0.3">
      <c r="A3263">
        <v>11372</v>
      </c>
      <c r="B3263" t="s">
        <v>41</v>
      </c>
      <c r="C3263" t="s">
        <v>30</v>
      </c>
      <c r="D3263" t="s">
        <v>20</v>
      </c>
      <c r="E3263" s="1">
        <v>2026</v>
      </c>
      <c r="F3263" s="11">
        <v>0.58069999999999999</v>
      </c>
      <c r="G3263">
        <v>57.15</v>
      </c>
      <c r="H3263">
        <v>67.09</v>
      </c>
      <c r="I3263" s="2">
        <v>130641.91</v>
      </c>
      <c r="J3263" s="2">
        <v>142845.82999999999</v>
      </c>
      <c r="K3263" s="2">
        <f>Table1[[#This Row],[Salary_after]]-Table1[[#This Row],[Salary_before]]</f>
        <v>12203.919999999984</v>
      </c>
      <c r="L3263" s="11">
        <v>9.3399999999999997E-2</v>
      </c>
      <c r="M3263" s="11">
        <v>-3.9199999999999999E-2</v>
      </c>
      <c r="N3263">
        <v>27.44</v>
      </c>
      <c r="O3263">
        <v>40.67</v>
      </c>
      <c r="P3263">
        <v>3</v>
      </c>
      <c r="Q3263" t="s">
        <v>25</v>
      </c>
      <c r="R3263">
        <v>62.58</v>
      </c>
      <c r="S3263">
        <v>9.34</v>
      </c>
      <c r="T3263" s="4">
        <v>46.156999999999996</v>
      </c>
      <c r="U3263" s="4">
        <v>23.617069000000001</v>
      </c>
      <c r="V3263" t="str">
        <f>IF(Table1[[#This Row],[ai_disruption_intensity]]&gt;70,"High",
IF(Table1[[#This Row],[ai_disruption_intensity]]&gt;40,"Medium","Low"))</f>
        <v>Low</v>
      </c>
      <c r="W3263" t="str">
        <f>IF(Table1[[#This Row],[skill_gap_index]]&gt;70,"Large Gap",
IF(Table1[[#This Row],[skill_gap_index]]&gt;40,"Medium Gap","Small Gap"))</f>
        <v>Medium Gap</v>
      </c>
      <c r="X3263" s="3" t="str">
        <f>IF(Table1[[#This Row],[automation_risk_percent]]&gt;0.7,"Highly Automatable",
IF(Table1[[#This Row],[automation_risk_percent]]&gt;0.4,"Moderate Risk","Safe Job"))</f>
        <v>Moderate Risk</v>
      </c>
    </row>
    <row r="3264" spans="1:24" x14ac:dyDescent="0.3">
      <c r="A3264">
        <v>11375</v>
      </c>
      <c r="B3264" t="s">
        <v>26</v>
      </c>
      <c r="C3264" t="s">
        <v>40</v>
      </c>
      <c r="D3264" t="s">
        <v>20</v>
      </c>
      <c r="E3264" s="1">
        <v>2025</v>
      </c>
      <c r="F3264" s="11">
        <v>0.35200000000000004</v>
      </c>
      <c r="G3264">
        <v>36.659999999999997</v>
      </c>
      <c r="H3264">
        <v>19.43</v>
      </c>
      <c r="I3264" s="2">
        <v>43435.56</v>
      </c>
      <c r="J3264" s="2">
        <v>40490.46</v>
      </c>
      <c r="K3264" s="2">
        <f>Table1[[#This Row],[Salary_after]]-Table1[[#This Row],[Salary_before]]</f>
        <v>-2945.0999999999985</v>
      </c>
      <c r="L3264" s="11">
        <v>-6.7799999999999999E-2</v>
      </c>
      <c r="M3264" s="11">
        <v>4.2699999999999995E-2</v>
      </c>
      <c r="N3264">
        <v>58.5</v>
      </c>
      <c r="O3264">
        <v>68.290000000000006</v>
      </c>
      <c r="P3264">
        <v>1</v>
      </c>
      <c r="Q3264" t="s">
        <v>25</v>
      </c>
      <c r="R3264">
        <v>27.315000000000001</v>
      </c>
      <c r="S3264">
        <v>6.78</v>
      </c>
      <c r="T3264" s="4">
        <v>21.943000000000001</v>
      </c>
      <c r="U3264" s="4">
        <v>24.038080000000001</v>
      </c>
      <c r="V3264" t="str">
        <f>IF(Table1[[#This Row],[ai_disruption_intensity]]&gt;70,"High",
IF(Table1[[#This Row],[ai_disruption_intensity]]&gt;40,"Medium","Low"))</f>
        <v>Low</v>
      </c>
      <c r="W3264" t="str">
        <f>IF(Table1[[#This Row],[skill_gap_index]]&gt;70,"Large Gap",
IF(Table1[[#This Row],[skill_gap_index]]&gt;40,"Medium Gap","Small Gap"))</f>
        <v>Small Gap</v>
      </c>
      <c r="X3264" s="3" t="str">
        <f>IF(Table1[[#This Row],[automation_risk_percent]]&gt;0.7,"Highly Automatable",
IF(Table1[[#This Row],[automation_risk_percent]]&gt;0.4,"Moderate Risk","Safe Job"))</f>
        <v>Safe Job</v>
      </c>
    </row>
    <row r="3265" spans="1:24" x14ac:dyDescent="0.3">
      <c r="A3265">
        <v>11378</v>
      </c>
      <c r="B3265" t="s">
        <v>29</v>
      </c>
      <c r="C3265" t="s">
        <v>33</v>
      </c>
      <c r="D3265" t="s">
        <v>47</v>
      </c>
      <c r="E3265" s="1">
        <v>2025</v>
      </c>
      <c r="F3265" s="11">
        <v>0.27100000000000002</v>
      </c>
      <c r="G3265">
        <v>25.76</v>
      </c>
      <c r="H3265">
        <v>9.67</v>
      </c>
      <c r="I3265" s="2">
        <v>76991.89</v>
      </c>
      <c r="J3265" s="2">
        <v>76626.490000000005</v>
      </c>
      <c r="K3265" s="2">
        <f>Table1[[#This Row],[Salary_after]]-Table1[[#This Row],[Salary_before]]</f>
        <v>-365.39999999999418</v>
      </c>
      <c r="L3265" s="11">
        <v>-4.6999999999999993E-3</v>
      </c>
      <c r="M3265" s="11">
        <v>9.9399999999999988E-2</v>
      </c>
      <c r="N3265">
        <v>65.23</v>
      </c>
      <c r="O3265">
        <v>40.840000000000003</v>
      </c>
      <c r="P3265">
        <v>4</v>
      </c>
      <c r="Q3265" t="s">
        <v>21</v>
      </c>
      <c r="R3265">
        <v>18.385000000000002</v>
      </c>
      <c r="S3265">
        <v>0.47</v>
      </c>
      <c r="T3265" s="4">
        <v>13.882</v>
      </c>
      <c r="U3265" s="4">
        <v>11.067640000000001</v>
      </c>
      <c r="V3265" t="str">
        <f>IF(Table1[[#This Row],[ai_disruption_intensity]]&gt;70,"High",
IF(Table1[[#This Row],[ai_disruption_intensity]]&gt;40,"Medium","Low"))</f>
        <v>Low</v>
      </c>
      <c r="W3265" t="str">
        <f>IF(Table1[[#This Row],[skill_gap_index]]&gt;70,"Large Gap",
IF(Table1[[#This Row],[skill_gap_index]]&gt;40,"Medium Gap","Small Gap"))</f>
        <v>Small Gap</v>
      </c>
      <c r="X3265" s="3" t="str">
        <f>IF(Table1[[#This Row],[automation_risk_percent]]&gt;0.7,"Highly Automatable",
IF(Table1[[#This Row],[automation_risk_percent]]&gt;0.4,"Moderate Risk","Safe Job"))</f>
        <v>Safe Job</v>
      </c>
    </row>
    <row r="3266" spans="1:24" x14ac:dyDescent="0.3">
      <c r="A3266">
        <v>11379</v>
      </c>
      <c r="B3266" t="s">
        <v>18</v>
      </c>
      <c r="C3266" t="s">
        <v>27</v>
      </c>
      <c r="D3266" t="s">
        <v>47</v>
      </c>
      <c r="E3266" s="1">
        <v>2025</v>
      </c>
      <c r="F3266" s="11">
        <v>0.32049999999999995</v>
      </c>
      <c r="G3266">
        <v>33.47</v>
      </c>
      <c r="H3266">
        <v>62.07</v>
      </c>
      <c r="I3266" s="2">
        <v>103839.97</v>
      </c>
      <c r="J3266" s="2">
        <v>98618.84</v>
      </c>
      <c r="K3266" s="2">
        <f>Table1[[#This Row],[Salary_after]]-Table1[[#This Row],[Salary_before]]</f>
        <v>-5221.1300000000047</v>
      </c>
      <c r="L3266" s="11">
        <v>-5.0300000000000004E-2</v>
      </c>
      <c r="M3266" s="11">
        <v>7.0599999999999996E-2</v>
      </c>
      <c r="N3266">
        <v>27.11</v>
      </c>
      <c r="O3266">
        <v>52.04</v>
      </c>
      <c r="P3266">
        <v>1</v>
      </c>
      <c r="Q3266" t="s">
        <v>25</v>
      </c>
      <c r="R3266">
        <v>47.06</v>
      </c>
      <c r="S3266">
        <v>5.03</v>
      </c>
      <c r="T3266" s="4">
        <v>32.949999999999903</v>
      </c>
      <c r="U3266" s="4">
        <v>16.678819999999899</v>
      </c>
      <c r="V3266" t="str">
        <f>IF(Table1[[#This Row],[ai_disruption_intensity]]&gt;70,"High",
IF(Table1[[#This Row],[ai_disruption_intensity]]&gt;40,"Medium","Low"))</f>
        <v>Low</v>
      </c>
      <c r="W3266" t="str">
        <f>IF(Table1[[#This Row],[skill_gap_index]]&gt;70,"Large Gap",
IF(Table1[[#This Row],[skill_gap_index]]&gt;40,"Medium Gap","Small Gap"))</f>
        <v>Medium Gap</v>
      </c>
      <c r="X3266" s="3" t="str">
        <f>IF(Table1[[#This Row],[automation_risk_percent]]&gt;0.7,"Highly Automatable",
IF(Table1[[#This Row],[automation_risk_percent]]&gt;0.4,"Moderate Risk","Safe Job"))</f>
        <v>Safe Job</v>
      </c>
    </row>
    <row r="3267" spans="1:24" x14ac:dyDescent="0.3">
      <c r="A3267">
        <v>11385</v>
      </c>
      <c r="B3267" t="s">
        <v>43</v>
      </c>
      <c r="C3267" t="s">
        <v>40</v>
      </c>
      <c r="D3267" t="s">
        <v>20</v>
      </c>
      <c r="E3267" s="1">
        <v>2025</v>
      </c>
      <c r="F3267" s="11">
        <v>0.13339999999999999</v>
      </c>
      <c r="G3267">
        <v>14.08</v>
      </c>
      <c r="H3267">
        <v>75.75</v>
      </c>
      <c r="I3267" s="2">
        <v>51377.53</v>
      </c>
      <c r="J3267" s="2">
        <v>49285.55</v>
      </c>
      <c r="K3267" s="2">
        <f>Table1[[#This Row],[Salary_after]]-Table1[[#This Row],[Salary_before]]</f>
        <v>-2091.9799999999959</v>
      </c>
      <c r="L3267" s="11">
        <v>-4.07E-2</v>
      </c>
      <c r="M3267" s="11">
        <v>1.77E-2</v>
      </c>
      <c r="N3267">
        <v>60.61</v>
      </c>
      <c r="O3267">
        <v>48.93</v>
      </c>
      <c r="P3267">
        <v>1</v>
      </c>
      <c r="Q3267" t="s">
        <v>21</v>
      </c>
      <c r="R3267">
        <v>44.545000000000002</v>
      </c>
      <c r="S3267">
        <v>4.07</v>
      </c>
      <c r="T3267" s="4">
        <v>29.282</v>
      </c>
      <c r="U3267" s="4">
        <v>6.5272619999999897</v>
      </c>
      <c r="V3267" t="str">
        <f>IF(Table1[[#This Row],[ai_disruption_intensity]]&gt;70,"High",
IF(Table1[[#This Row],[ai_disruption_intensity]]&gt;40,"Medium","Low"))</f>
        <v>Low</v>
      </c>
      <c r="W3267" t="str">
        <f>IF(Table1[[#This Row],[skill_gap_index]]&gt;70,"Large Gap",
IF(Table1[[#This Row],[skill_gap_index]]&gt;40,"Medium Gap","Small Gap"))</f>
        <v>Large Gap</v>
      </c>
      <c r="X3267" s="3" t="str">
        <f>IF(Table1[[#This Row],[automation_risk_percent]]&gt;0.7,"Highly Automatable",
IF(Table1[[#This Row],[automation_risk_percent]]&gt;0.4,"Moderate Risk","Safe Job"))</f>
        <v>Safe Job</v>
      </c>
    </row>
    <row r="3268" spans="1:24" x14ac:dyDescent="0.3">
      <c r="A3268">
        <v>11388</v>
      </c>
      <c r="B3268" t="s">
        <v>43</v>
      </c>
      <c r="C3268" t="s">
        <v>38</v>
      </c>
      <c r="D3268" t="s">
        <v>35</v>
      </c>
      <c r="E3268" s="1">
        <v>2025</v>
      </c>
      <c r="F3268" s="11">
        <v>0.22829999999999998</v>
      </c>
      <c r="G3268">
        <v>20.38</v>
      </c>
      <c r="H3268">
        <v>84.78</v>
      </c>
      <c r="I3268" s="2">
        <v>144860.68</v>
      </c>
      <c r="J3268" s="2">
        <v>155146.43</v>
      </c>
      <c r="K3268" s="2">
        <f>Table1[[#This Row],[Salary_after]]-Table1[[#This Row],[Salary_before]]</f>
        <v>10285.75</v>
      </c>
      <c r="L3268" s="11">
        <v>7.0999999999999994E-2</v>
      </c>
      <c r="M3268" s="11">
        <v>0.18030000000000002</v>
      </c>
      <c r="N3268">
        <v>82.85</v>
      </c>
      <c r="O3268">
        <v>4.16</v>
      </c>
      <c r="P3268">
        <v>3</v>
      </c>
      <c r="Q3268" t="s">
        <v>21</v>
      </c>
      <c r="R3268">
        <v>53.805</v>
      </c>
      <c r="S3268">
        <v>7.1</v>
      </c>
      <c r="T3268" s="4">
        <v>36.695999999999998</v>
      </c>
      <c r="U3268" s="4">
        <v>0.94972799999999902</v>
      </c>
      <c r="V3268" t="str">
        <f>IF(Table1[[#This Row],[ai_disruption_intensity]]&gt;70,"High",
IF(Table1[[#This Row],[ai_disruption_intensity]]&gt;40,"Medium","Low"))</f>
        <v>Low</v>
      </c>
      <c r="W3268" t="str">
        <f>IF(Table1[[#This Row],[skill_gap_index]]&gt;70,"Large Gap",
IF(Table1[[#This Row],[skill_gap_index]]&gt;40,"Medium Gap","Small Gap"))</f>
        <v>Large Gap</v>
      </c>
      <c r="X3268" s="3" t="str">
        <f>IF(Table1[[#This Row],[automation_risk_percent]]&gt;0.7,"Highly Automatable",
IF(Table1[[#This Row],[automation_risk_percent]]&gt;0.4,"Moderate Risk","Safe Job"))</f>
        <v>Safe Job</v>
      </c>
    </row>
    <row r="3269" spans="1:24" x14ac:dyDescent="0.3">
      <c r="A3269">
        <v>11389</v>
      </c>
      <c r="B3269" t="s">
        <v>29</v>
      </c>
      <c r="C3269" t="s">
        <v>38</v>
      </c>
      <c r="D3269" t="s">
        <v>32</v>
      </c>
      <c r="E3269" s="1">
        <v>2026</v>
      </c>
      <c r="F3269" s="11">
        <v>0.84799999999999998</v>
      </c>
      <c r="G3269">
        <v>77.38</v>
      </c>
      <c r="H3269">
        <v>5.67</v>
      </c>
      <c r="I3269" s="2">
        <v>111791.76</v>
      </c>
      <c r="J3269" s="2">
        <v>119373.44</v>
      </c>
      <c r="K3269" s="2">
        <f>Table1[[#This Row],[Salary_after]]-Table1[[#This Row],[Salary_before]]</f>
        <v>7581.6800000000076</v>
      </c>
      <c r="L3269" s="11">
        <v>6.7799999999999999E-2</v>
      </c>
      <c r="M3269" s="11">
        <v>0.18479999999999999</v>
      </c>
      <c r="N3269">
        <v>41.51</v>
      </c>
      <c r="O3269">
        <v>11.72</v>
      </c>
      <c r="P3269">
        <v>5</v>
      </c>
      <c r="Q3269" t="s">
        <v>37</v>
      </c>
      <c r="R3269">
        <v>45.234999999999999</v>
      </c>
      <c r="S3269">
        <v>6.78</v>
      </c>
      <c r="T3269" s="4">
        <v>37.655000000000001</v>
      </c>
      <c r="U3269" s="4">
        <v>9.9385600000000007</v>
      </c>
      <c r="V3269" t="str">
        <f>IF(Table1[[#This Row],[ai_disruption_intensity]]&gt;70,"High",
IF(Table1[[#This Row],[ai_disruption_intensity]]&gt;40,"Medium","Low"))</f>
        <v>Low</v>
      </c>
      <c r="W3269" t="str">
        <f>IF(Table1[[#This Row],[skill_gap_index]]&gt;70,"Large Gap",
IF(Table1[[#This Row],[skill_gap_index]]&gt;40,"Medium Gap","Small Gap"))</f>
        <v>Small Gap</v>
      </c>
      <c r="X3269" s="3" t="str">
        <f>IF(Table1[[#This Row],[automation_risk_percent]]&gt;0.7,"Highly Automatable",
IF(Table1[[#This Row],[automation_risk_percent]]&gt;0.4,"Moderate Risk","Safe Job"))</f>
        <v>Highly Automatable</v>
      </c>
    </row>
    <row r="3270" spans="1:24" x14ac:dyDescent="0.3">
      <c r="A3270">
        <v>11390</v>
      </c>
      <c r="B3270" t="s">
        <v>44</v>
      </c>
      <c r="C3270" t="s">
        <v>30</v>
      </c>
      <c r="D3270" t="s">
        <v>24</v>
      </c>
      <c r="E3270" s="1">
        <v>2025</v>
      </c>
      <c r="F3270" s="11">
        <v>0.63829999999999998</v>
      </c>
      <c r="G3270">
        <v>52.27</v>
      </c>
      <c r="H3270">
        <v>75.97</v>
      </c>
      <c r="I3270" s="2">
        <v>144893.94</v>
      </c>
      <c r="J3270" s="2">
        <v>166145.91</v>
      </c>
      <c r="K3270" s="2">
        <f>Table1[[#This Row],[Salary_after]]-Table1[[#This Row],[Salary_before]]</f>
        <v>21251.97</v>
      </c>
      <c r="L3270" s="11">
        <v>0.1467</v>
      </c>
      <c r="M3270" s="11">
        <v>4.5700000000000005E-2</v>
      </c>
      <c r="N3270">
        <v>14.31</v>
      </c>
      <c r="O3270">
        <v>16.829999999999998</v>
      </c>
      <c r="P3270">
        <v>3</v>
      </c>
      <c r="Q3270" t="s">
        <v>37</v>
      </c>
      <c r="R3270">
        <v>69.900000000000006</v>
      </c>
      <c r="S3270">
        <v>14.67</v>
      </c>
      <c r="T3270" s="4">
        <v>52.723999999999997</v>
      </c>
      <c r="U3270" s="4">
        <v>10.742588999999899</v>
      </c>
      <c r="V3270" t="str">
        <f>IF(Table1[[#This Row],[ai_disruption_intensity]]&gt;70,"High",
IF(Table1[[#This Row],[ai_disruption_intensity]]&gt;40,"Medium","Low"))</f>
        <v>Low</v>
      </c>
      <c r="W3270" t="str">
        <f>IF(Table1[[#This Row],[skill_gap_index]]&gt;70,"Large Gap",
IF(Table1[[#This Row],[skill_gap_index]]&gt;40,"Medium Gap","Small Gap"))</f>
        <v>Large Gap</v>
      </c>
      <c r="X3270" s="3" t="str">
        <f>IF(Table1[[#This Row],[automation_risk_percent]]&gt;0.7,"Highly Automatable",
IF(Table1[[#This Row],[automation_risk_percent]]&gt;0.4,"Moderate Risk","Safe Job"))</f>
        <v>Moderate Risk</v>
      </c>
    </row>
    <row r="3271" spans="1:24" x14ac:dyDescent="0.3">
      <c r="A3271">
        <v>11392</v>
      </c>
      <c r="B3271" t="s">
        <v>22</v>
      </c>
      <c r="C3271" t="s">
        <v>38</v>
      </c>
      <c r="D3271" t="s">
        <v>28</v>
      </c>
      <c r="E3271" s="1">
        <v>2025</v>
      </c>
      <c r="F3271" s="11">
        <v>0.58930000000000005</v>
      </c>
      <c r="G3271">
        <v>47.62</v>
      </c>
      <c r="H3271">
        <v>97.4</v>
      </c>
      <c r="I3271" s="2">
        <v>72390.5</v>
      </c>
      <c r="J3271" s="2">
        <v>83369.14</v>
      </c>
      <c r="K3271" s="2">
        <f>Table1[[#This Row],[Salary_after]]-Table1[[#This Row],[Salary_before]]</f>
        <v>10978.64</v>
      </c>
      <c r="L3271" s="11">
        <v>0.1517</v>
      </c>
      <c r="M3271" s="11">
        <v>0.1225</v>
      </c>
      <c r="N3271">
        <v>96.09</v>
      </c>
      <c r="O3271">
        <v>89.04</v>
      </c>
      <c r="P3271">
        <v>5</v>
      </c>
      <c r="Q3271" t="s">
        <v>25</v>
      </c>
      <c r="R3271">
        <v>78.165000000000006</v>
      </c>
      <c r="S3271">
        <v>15.17</v>
      </c>
      <c r="T3271" s="4">
        <v>57.343000000000004</v>
      </c>
      <c r="U3271" s="4">
        <v>52.471271999999999</v>
      </c>
      <c r="V3271" t="str">
        <f>IF(Table1[[#This Row],[ai_disruption_intensity]]&gt;70,"High",
IF(Table1[[#This Row],[ai_disruption_intensity]]&gt;40,"Medium","Low"))</f>
        <v>Medium</v>
      </c>
      <c r="W3271" t="str">
        <f>IF(Table1[[#This Row],[skill_gap_index]]&gt;70,"Large Gap",
IF(Table1[[#This Row],[skill_gap_index]]&gt;40,"Medium Gap","Small Gap"))</f>
        <v>Large Gap</v>
      </c>
      <c r="X3271" s="3" t="str">
        <f>IF(Table1[[#This Row],[automation_risk_percent]]&gt;0.7,"Highly Automatable",
IF(Table1[[#This Row],[automation_risk_percent]]&gt;0.4,"Moderate Risk","Safe Job"))</f>
        <v>Moderate Risk</v>
      </c>
    </row>
    <row r="3272" spans="1:24" x14ac:dyDescent="0.3">
      <c r="A3272">
        <v>11393</v>
      </c>
      <c r="B3272" t="s">
        <v>39</v>
      </c>
      <c r="C3272" t="s">
        <v>33</v>
      </c>
      <c r="D3272" t="s">
        <v>32</v>
      </c>
      <c r="E3272" s="1">
        <v>2026</v>
      </c>
      <c r="F3272" s="11">
        <v>0.51819999999999999</v>
      </c>
      <c r="G3272">
        <v>44.34</v>
      </c>
      <c r="H3272">
        <v>84.5</v>
      </c>
      <c r="I3272" s="2">
        <v>128010.33</v>
      </c>
      <c r="J3272" s="2">
        <v>109067</v>
      </c>
      <c r="K3272" s="2">
        <f>Table1[[#This Row],[Salary_after]]-Table1[[#This Row],[Salary_before]]</f>
        <v>-18943.330000000002</v>
      </c>
      <c r="L3272" s="11">
        <v>-0.14800000000000002</v>
      </c>
      <c r="M3272" s="11">
        <v>6.4600000000000005E-2</v>
      </c>
      <c r="N3272">
        <v>32.840000000000003</v>
      </c>
      <c r="O3272">
        <v>40.659999999999997</v>
      </c>
      <c r="P3272">
        <v>5</v>
      </c>
      <c r="Q3272" t="s">
        <v>25</v>
      </c>
      <c r="R3272">
        <v>68.16</v>
      </c>
      <c r="S3272">
        <v>14.8</v>
      </c>
      <c r="T3272" s="4">
        <v>50.518000000000001</v>
      </c>
      <c r="U3272" s="4">
        <v>21.070011999999998</v>
      </c>
      <c r="V3272" t="str">
        <f>IF(Table1[[#This Row],[ai_disruption_intensity]]&gt;70,"High",
IF(Table1[[#This Row],[ai_disruption_intensity]]&gt;40,"Medium","Low"))</f>
        <v>Low</v>
      </c>
      <c r="W3272" t="str">
        <f>IF(Table1[[#This Row],[skill_gap_index]]&gt;70,"Large Gap",
IF(Table1[[#This Row],[skill_gap_index]]&gt;40,"Medium Gap","Small Gap"))</f>
        <v>Large Gap</v>
      </c>
      <c r="X3272" s="3" t="str">
        <f>IF(Table1[[#This Row],[automation_risk_percent]]&gt;0.7,"Highly Automatable",
IF(Table1[[#This Row],[automation_risk_percent]]&gt;0.4,"Moderate Risk","Safe Job"))</f>
        <v>Moderate Risk</v>
      </c>
    </row>
    <row r="3273" spans="1:24" x14ac:dyDescent="0.3">
      <c r="A3273">
        <v>11395</v>
      </c>
      <c r="B3273" t="s">
        <v>22</v>
      </c>
      <c r="C3273" t="s">
        <v>23</v>
      </c>
      <c r="D3273" t="s">
        <v>35</v>
      </c>
      <c r="E3273" s="1">
        <v>2025</v>
      </c>
      <c r="F3273" s="11">
        <v>0.59889999999999999</v>
      </c>
      <c r="G3273">
        <v>56.19</v>
      </c>
      <c r="H3273">
        <v>2.31</v>
      </c>
      <c r="I3273" s="2">
        <v>36655.699999999997</v>
      </c>
      <c r="J3273" s="2">
        <v>36822.339999999997</v>
      </c>
      <c r="K3273" s="2">
        <f>Table1[[#This Row],[Salary_after]]-Table1[[#This Row],[Salary_before]]</f>
        <v>166.63999999999942</v>
      </c>
      <c r="L3273" s="11">
        <v>4.5000000000000005E-3</v>
      </c>
      <c r="M3273" s="11">
        <v>0.14699999999999999</v>
      </c>
      <c r="N3273">
        <v>23.71</v>
      </c>
      <c r="O3273">
        <v>90.21</v>
      </c>
      <c r="P3273">
        <v>5</v>
      </c>
      <c r="Q3273" t="s">
        <v>25</v>
      </c>
      <c r="R3273">
        <v>31.1</v>
      </c>
      <c r="S3273">
        <v>0.45</v>
      </c>
      <c r="T3273" s="4">
        <v>24.783999999999999</v>
      </c>
      <c r="U3273" s="4">
        <v>54.026768999999902</v>
      </c>
      <c r="V3273" t="str">
        <f>IF(Table1[[#This Row],[ai_disruption_intensity]]&gt;70,"High",
IF(Table1[[#This Row],[ai_disruption_intensity]]&gt;40,"Medium","Low"))</f>
        <v>Medium</v>
      </c>
      <c r="W3273" t="str">
        <f>IF(Table1[[#This Row],[skill_gap_index]]&gt;70,"Large Gap",
IF(Table1[[#This Row],[skill_gap_index]]&gt;40,"Medium Gap","Small Gap"))</f>
        <v>Small Gap</v>
      </c>
      <c r="X3273" s="3" t="str">
        <f>IF(Table1[[#This Row],[automation_risk_percent]]&gt;0.7,"Highly Automatable",
IF(Table1[[#This Row],[automation_risk_percent]]&gt;0.4,"Moderate Risk","Safe Job"))</f>
        <v>Moderate Risk</v>
      </c>
    </row>
    <row r="3274" spans="1:24" x14ac:dyDescent="0.3">
      <c r="A3274">
        <v>11398</v>
      </c>
      <c r="B3274" t="s">
        <v>22</v>
      </c>
      <c r="C3274" t="s">
        <v>19</v>
      </c>
      <c r="D3274" t="s">
        <v>32</v>
      </c>
      <c r="E3274" s="1">
        <v>2025</v>
      </c>
      <c r="F3274" s="11">
        <v>0.13269999999999998</v>
      </c>
      <c r="G3274">
        <v>12.39</v>
      </c>
      <c r="H3274">
        <v>19.8</v>
      </c>
      <c r="I3274" s="2">
        <v>78060.42</v>
      </c>
      <c r="J3274" s="2">
        <v>67931.12</v>
      </c>
      <c r="K3274" s="2">
        <f>Table1[[#This Row],[Salary_after]]-Table1[[#This Row],[Salary_before]]</f>
        <v>-10129.300000000003</v>
      </c>
      <c r="L3274" s="11">
        <v>-0.1298</v>
      </c>
      <c r="M3274" s="11">
        <v>8.6400000000000005E-2</v>
      </c>
      <c r="N3274">
        <v>48.38</v>
      </c>
      <c r="O3274">
        <v>82.79</v>
      </c>
      <c r="P3274">
        <v>1</v>
      </c>
      <c r="Q3274" t="s">
        <v>21</v>
      </c>
      <c r="R3274">
        <v>16.535</v>
      </c>
      <c r="S3274">
        <v>12.98</v>
      </c>
      <c r="T3274" s="4">
        <v>15.141999999999999</v>
      </c>
      <c r="U3274" s="4">
        <v>10.986233</v>
      </c>
      <c r="V3274" t="str">
        <f>IF(Table1[[#This Row],[ai_disruption_intensity]]&gt;70,"High",
IF(Table1[[#This Row],[ai_disruption_intensity]]&gt;40,"Medium","Low"))</f>
        <v>Low</v>
      </c>
      <c r="W3274" t="str">
        <f>IF(Table1[[#This Row],[skill_gap_index]]&gt;70,"Large Gap",
IF(Table1[[#This Row],[skill_gap_index]]&gt;40,"Medium Gap","Small Gap"))</f>
        <v>Small Gap</v>
      </c>
      <c r="X3274" s="3" t="str">
        <f>IF(Table1[[#This Row],[automation_risk_percent]]&gt;0.7,"Highly Automatable",
IF(Table1[[#This Row],[automation_risk_percent]]&gt;0.4,"Moderate Risk","Safe Job"))</f>
        <v>Safe Job</v>
      </c>
    </row>
    <row r="3275" spans="1:24" x14ac:dyDescent="0.3">
      <c r="A3275">
        <v>11400</v>
      </c>
      <c r="B3275" t="s">
        <v>22</v>
      </c>
      <c r="C3275" t="s">
        <v>33</v>
      </c>
      <c r="D3275" t="s">
        <v>35</v>
      </c>
      <c r="E3275" s="1">
        <v>2026</v>
      </c>
      <c r="F3275" s="11">
        <v>0.27239999999999998</v>
      </c>
      <c r="G3275">
        <v>30.75</v>
      </c>
      <c r="H3275">
        <v>56.4</v>
      </c>
      <c r="I3275" s="2">
        <v>104929.54</v>
      </c>
      <c r="J3275" s="2">
        <v>89477.67</v>
      </c>
      <c r="K3275" s="2">
        <f>Table1[[#This Row],[Salary_after]]-Table1[[#This Row],[Salary_before]]</f>
        <v>-15451.869999999995</v>
      </c>
      <c r="L3275" s="11">
        <v>-0.14730000000000001</v>
      </c>
      <c r="M3275" s="11">
        <v>3.0499999999999999E-2</v>
      </c>
      <c r="N3275">
        <v>40.380000000000003</v>
      </c>
      <c r="O3275">
        <v>12.87</v>
      </c>
      <c r="P3275">
        <v>4</v>
      </c>
      <c r="Q3275" t="s">
        <v>21</v>
      </c>
      <c r="R3275">
        <v>41.82</v>
      </c>
      <c r="S3275">
        <v>14.73</v>
      </c>
      <c r="T3275" s="4">
        <v>32.234999999999999</v>
      </c>
      <c r="U3275" s="4">
        <v>3.5057879999999901</v>
      </c>
      <c r="V3275" t="str">
        <f>IF(Table1[[#This Row],[ai_disruption_intensity]]&gt;70,"High",
IF(Table1[[#This Row],[ai_disruption_intensity]]&gt;40,"Medium","Low"))</f>
        <v>Low</v>
      </c>
      <c r="W3275" t="str">
        <f>IF(Table1[[#This Row],[skill_gap_index]]&gt;70,"Large Gap",
IF(Table1[[#This Row],[skill_gap_index]]&gt;40,"Medium Gap","Small Gap"))</f>
        <v>Medium Gap</v>
      </c>
      <c r="X3275" s="3" t="str">
        <f>IF(Table1[[#This Row],[automation_risk_percent]]&gt;0.7,"Highly Automatable",
IF(Table1[[#This Row],[automation_risk_percent]]&gt;0.4,"Moderate Risk","Safe Job"))</f>
        <v>Safe Job</v>
      </c>
    </row>
    <row r="3276" spans="1:24" x14ac:dyDescent="0.3">
      <c r="A3276">
        <v>11403</v>
      </c>
      <c r="B3276" t="s">
        <v>45</v>
      </c>
      <c r="C3276" t="s">
        <v>30</v>
      </c>
      <c r="D3276" t="s">
        <v>35</v>
      </c>
      <c r="E3276" s="1">
        <v>2025</v>
      </c>
      <c r="F3276" s="11">
        <v>0.62039999999999995</v>
      </c>
      <c r="G3276">
        <v>55.23</v>
      </c>
      <c r="H3276">
        <v>92.17</v>
      </c>
      <c r="I3276" s="2">
        <v>147357.64000000001</v>
      </c>
      <c r="J3276" s="2">
        <v>159597.23000000001</v>
      </c>
      <c r="K3276" s="2">
        <f>Table1[[#This Row],[Salary_after]]-Table1[[#This Row],[Salary_before]]</f>
        <v>12239.589999999997</v>
      </c>
      <c r="L3276" s="11">
        <v>8.3100000000000007E-2</v>
      </c>
      <c r="M3276" s="11">
        <v>-0.21460000000000001</v>
      </c>
      <c r="N3276">
        <v>41.14</v>
      </c>
      <c r="O3276">
        <v>85.2</v>
      </c>
      <c r="P3276">
        <v>3</v>
      </c>
      <c r="Q3276" t="s">
        <v>37</v>
      </c>
      <c r="R3276">
        <v>77.105000000000004</v>
      </c>
      <c r="S3276">
        <v>8.31</v>
      </c>
      <c r="T3276" s="4">
        <v>54.96</v>
      </c>
      <c r="U3276" s="4">
        <v>52.858080000000001</v>
      </c>
      <c r="V3276" t="str">
        <f>IF(Table1[[#This Row],[ai_disruption_intensity]]&gt;70,"High",
IF(Table1[[#This Row],[ai_disruption_intensity]]&gt;40,"Medium","Low"))</f>
        <v>Medium</v>
      </c>
      <c r="W3276" t="str">
        <f>IF(Table1[[#This Row],[skill_gap_index]]&gt;70,"Large Gap",
IF(Table1[[#This Row],[skill_gap_index]]&gt;40,"Medium Gap","Small Gap"))</f>
        <v>Large Gap</v>
      </c>
      <c r="X3276" s="3" t="str">
        <f>IF(Table1[[#This Row],[automation_risk_percent]]&gt;0.7,"Highly Automatable",
IF(Table1[[#This Row],[automation_risk_percent]]&gt;0.4,"Moderate Risk","Safe Job"))</f>
        <v>Moderate Risk</v>
      </c>
    </row>
    <row r="3277" spans="1:24" x14ac:dyDescent="0.3">
      <c r="A3277">
        <v>11404</v>
      </c>
      <c r="B3277" t="s">
        <v>44</v>
      </c>
      <c r="C3277" t="s">
        <v>23</v>
      </c>
      <c r="D3277" t="s">
        <v>32</v>
      </c>
      <c r="E3277" s="1">
        <v>2025</v>
      </c>
      <c r="F3277" s="11">
        <v>0.30840000000000001</v>
      </c>
      <c r="G3277">
        <v>26.01</v>
      </c>
      <c r="H3277">
        <v>45.6</v>
      </c>
      <c r="I3277" s="2">
        <v>50343.839999999997</v>
      </c>
      <c r="J3277" s="2">
        <v>59984.23</v>
      </c>
      <c r="K3277" s="2">
        <f>Table1[[#This Row],[Salary_after]]-Table1[[#This Row],[Salary_before]]</f>
        <v>9640.3900000000067</v>
      </c>
      <c r="L3277" s="11">
        <v>0.19149999999999998</v>
      </c>
      <c r="M3277" s="11">
        <v>-0.1048</v>
      </c>
      <c r="N3277">
        <v>82.23</v>
      </c>
      <c r="O3277">
        <v>69.2</v>
      </c>
      <c r="P3277">
        <v>5</v>
      </c>
      <c r="Q3277" t="s">
        <v>25</v>
      </c>
      <c r="R3277">
        <v>38.22</v>
      </c>
      <c r="S3277">
        <v>19.149999999999999</v>
      </c>
      <c r="T3277" s="4">
        <v>31.7609999999999</v>
      </c>
      <c r="U3277" s="4">
        <v>21.341280000000001</v>
      </c>
      <c r="V3277" t="str">
        <f>IF(Table1[[#This Row],[ai_disruption_intensity]]&gt;70,"High",
IF(Table1[[#This Row],[ai_disruption_intensity]]&gt;40,"Medium","Low"))</f>
        <v>Low</v>
      </c>
      <c r="W3277" t="str">
        <f>IF(Table1[[#This Row],[skill_gap_index]]&gt;70,"Large Gap",
IF(Table1[[#This Row],[skill_gap_index]]&gt;40,"Medium Gap","Small Gap"))</f>
        <v>Medium Gap</v>
      </c>
      <c r="X3277" s="3" t="str">
        <f>IF(Table1[[#This Row],[automation_risk_percent]]&gt;0.7,"Highly Automatable",
IF(Table1[[#This Row],[automation_risk_percent]]&gt;0.4,"Moderate Risk","Safe Job"))</f>
        <v>Safe Job</v>
      </c>
    </row>
    <row r="3278" spans="1:24" x14ac:dyDescent="0.3">
      <c r="A3278">
        <v>11413</v>
      </c>
      <c r="B3278" t="s">
        <v>39</v>
      </c>
      <c r="C3278" t="s">
        <v>33</v>
      </c>
      <c r="D3278" t="s">
        <v>24</v>
      </c>
      <c r="E3278" s="1">
        <v>2026</v>
      </c>
      <c r="F3278" s="11">
        <v>0.40810000000000002</v>
      </c>
      <c r="G3278">
        <v>35.799999999999997</v>
      </c>
      <c r="H3278">
        <v>31.05</v>
      </c>
      <c r="I3278" s="2">
        <v>76940.039999999994</v>
      </c>
      <c r="J3278" s="2">
        <v>65650.820000000007</v>
      </c>
      <c r="K3278" s="2">
        <f>Table1[[#This Row],[Salary_after]]-Table1[[#This Row],[Salary_before]]</f>
        <v>-11289.219999999987</v>
      </c>
      <c r="L3278" s="11">
        <v>-0.1467</v>
      </c>
      <c r="M3278" s="11">
        <v>0.1036</v>
      </c>
      <c r="N3278">
        <v>30.92</v>
      </c>
      <c r="O3278">
        <v>44.05</v>
      </c>
      <c r="P3278">
        <v>5</v>
      </c>
      <c r="Q3278" t="s">
        <v>25</v>
      </c>
      <c r="R3278">
        <v>35.93</v>
      </c>
      <c r="S3278">
        <v>14.67</v>
      </c>
      <c r="T3278" s="4">
        <v>30.04</v>
      </c>
      <c r="U3278" s="4">
        <v>17.976804999999999</v>
      </c>
      <c r="V3278" t="str">
        <f>IF(Table1[[#This Row],[ai_disruption_intensity]]&gt;70,"High",
IF(Table1[[#This Row],[ai_disruption_intensity]]&gt;40,"Medium","Low"))</f>
        <v>Low</v>
      </c>
      <c r="W3278" t="str">
        <f>IF(Table1[[#This Row],[skill_gap_index]]&gt;70,"Large Gap",
IF(Table1[[#This Row],[skill_gap_index]]&gt;40,"Medium Gap","Small Gap"))</f>
        <v>Small Gap</v>
      </c>
      <c r="X3278" s="3" t="str">
        <f>IF(Table1[[#This Row],[automation_risk_percent]]&gt;0.7,"Highly Automatable",
IF(Table1[[#This Row],[automation_risk_percent]]&gt;0.4,"Moderate Risk","Safe Job"))</f>
        <v>Moderate Risk</v>
      </c>
    </row>
    <row r="3279" spans="1:24" x14ac:dyDescent="0.3">
      <c r="A3279">
        <v>11429</v>
      </c>
      <c r="B3279" t="s">
        <v>39</v>
      </c>
      <c r="C3279" t="s">
        <v>23</v>
      </c>
      <c r="D3279" t="s">
        <v>24</v>
      </c>
      <c r="E3279" s="1">
        <v>2026</v>
      </c>
      <c r="F3279" s="11">
        <v>0.1394</v>
      </c>
      <c r="G3279">
        <v>14.51</v>
      </c>
      <c r="H3279">
        <v>7.71</v>
      </c>
      <c r="I3279" s="2">
        <v>125855.98</v>
      </c>
      <c r="J3279" s="2">
        <v>108543.05</v>
      </c>
      <c r="K3279" s="2">
        <f>Table1[[#This Row],[Salary_after]]-Table1[[#This Row],[Salary_before]]</f>
        <v>-17312.929999999993</v>
      </c>
      <c r="L3279" s="11">
        <v>-0.1376</v>
      </c>
      <c r="M3279" s="11">
        <v>-5.0700000000000002E-2</v>
      </c>
      <c r="N3279">
        <v>66.23</v>
      </c>
      <c r="O3279">
        <v>55.66</v>
      </c>
      <c r="P3279">
        <v>3</v>
      </c>
      <c r="Q3279" t="s">
        <v>21</v>
      </c>
      <c r="R3279">
        <v>10.824999999999999</v>
      </c>
      <c r="S3279">
        <v>13.76</v>
      </c>
      <c r="T3279" s="4">
        <v>12.016999999999999</v>
      </c>
      <c r="U3279" s="4">
        <v>7.7590039999999902</v>
      </c>
      <c r="V3279" t="str">
        <f>IF(Table1[[#This Row],[ai_disruption_intensity]]&gt;70,"High",
IF(Table1[[#This Row],[ai_disruption_intensity]]&gt;40,"Medium","Low"))</f>
        <v>Low</v>
      </c>
      <c r="W3279" t="str">
        <f>IF(Table1[[#This Row],[skill_gap_index]]&gt;70,"Large Gap",
IF(Table1[[#This Row],[skill_gap_index]]&gt;40,"Medium Gap","Small Gap"))</f>
        <v>Small Gap</v>
      </c>
      <c r="X3279" s="3" t="str">
        <f>IF(Table1[[#This Row],[automation_risk_percent]]&gt;0.7,"Highly Automatable",
IF(Table1[[#This Row],[automation_risk_percent]]&gt;0.4,"Moderate Risk","Safe Job"))</f>
        <v>Safe Job</v>
      </c>
    </row>
    <row r="3280" spans="1:24" x14ac:dyDescent="0.3">
      <c r="A3280">
        <v>11431</v>
      </c>
      <c r="B3280" t="s">
        <v>26</v>
      </c>
      <c r="C3280" t="s">
        <v>40</v>
      </c>
      <c r="D3280" t="s">
        <v>32</v>
      </c>
      <c r="E3280" s="1">
        <v>2025</v>
      </c>
      <c r="F3280" s="11">
        <v>0.05</v>
      </c>
      <c r="G3280">
        <v>5.68</v>
      </c>
      <c r="H3280">
        <v>67.94</v>
      </c>
      <c r="I3280" s="2">
        <v>143686</v>
      </c>
      <c r="J3280" s="2">
        <v>137856.17000000001</v>
      </c>
      <c r="K3280" s="2">
        <f>Table1[[#This Row],[Salary_after]]-Table1[[#This Row],[Salary_before]]</f>
        <v>-5829.8299999999872</v>
      </c>
      <c r="L3280" s="11">
        <v>-4.0599999999999997E-2</v>
      </c>
      <c r="M3280" s="11">
        <v>0.1026</v>
      </c>
      <c r="N3280">
        <v>21.17</v>
      </c>
      <c r="O3280">
        <v>62.86</v>
      </c>
      <c r="P3280">
        <v>1</v>
      </c>
      <c r="Q3280" t="s">
        <v>21</v>
      </c>
      <c r="R3280">
        <v>36.47</v>
      </c>
      <c r="S3280">
        <v>4.0599999999999996</v>
      </c>
      <c r="T3280" s="4">
        <v>23.599999999999898</v>
      </c>
      <c r="U3280" s="4">
        <v>3.1429999999999998</v>
      </c>
      <c r="V3280" t="str">
        <f>IF(Table1[[#This Row],[ai_disruption_intensity]]&gt;70,"High",
IF(Table1[[#This Row],[ai_disruption_intensity]]&gt;40,"Medium","Low"))</f>
        <v>Low</v>
      </c>
      <c r="W3280" t="str">
        <f>IF(Table1[[#This Row],[skill_gap_index]]&gt;70,"Large Gap",
IF(Table1[[#This Row],[skill_gap_index]]&gt;40,"Medium Gap","Small Gap"))</f>
        <v>Medium Gap</v>
      </c>
      <c r="X3280" s="3" t="str">
        <f>IF(Table1[[#This Row],[automation_risk_percent]]&gt;0.7,"Highly Automatable",
IF(Table1[[#This Row],[automation_risk_percent]]&gt;0.4,"Moderate Risk","Safe Job"))</f>
        <v>Safe Job</v>
      </c>
    </row>
    <row r="3281" spans="1:24" x14ac:dyDescent="0.3">
      <c r="A3281">
        <v>11433</v>
      </c>
      <c r="B3281" t="s">
        <v>44</v>
      </c>
      <c r="C3281" t="s">
        <v>19</v>
      </c>
      <c r="D3281" t="s">
        <v>24</v>
      </c>
      <c r="E3281" s="1">
        <v>2026</v>
      </c>
      <c r="F3281" s="11">
        <v>0.44469999999999998</v>
      </c>
      <c r="G3281">
        <v>50.44</v>
      </c>
      <c r="H3281">
        <v>97.08</v>
      </c>
      <c r="I3281" s="2">
        <v>50531.92</v>
      </c>
      <c r="J3281" s="2">
        <v>48660.34</v>
      </c>
      <c r="K3281" s="2">
        <f>Table1[[#This Row],[Salary_after]]-Table1[[#This Row],[Salary_before]]</f>
        <v>-1871.5800000000017</v>
      </c>
      <c r="L3281" s="11">
        <v>-3.7000000000000005E-2</v>
      </c>
      <c r="M3281" s="11">
        <v>-1.6E-2</v>
      </c>
      <c r="N3281">
        <v>91.38</v>
      </c>
      <c r="O3281">
        <v>52.81</v>
      </c>
      <c r="P3281">
        <v>1</v>
      </c>
      <c r="Q3281" t="s">
        <v>25</v>
      </c>
      <c r="R3281">
        <v>70.775000000000006</v>
      </c>
      <c r="S3281">
        <v>3.7</v>
      </c>
      <c r="T3281" s="4">
        <v>48.021999999999998</v>
      </c>
      <c r="U3281" s="4">
        <v>23.484607</v>
      </c>
      <c r="V3281" t="str">
        <f>IF(Table1[[#This Row],[ai_disruption_intensity]]&gt;70,"High",
IF(Table1[[#This Row],[ai_disruption_intensity]]&gt;40,"Medium","Low"))</f>
        <v>Low</v>
      </c>
      <c r="W3281" t="str">
        <f>IF(Table1[[#This Row],[skill_gap_index]]&gt;70,"Large Gap",
IF(Table1[[#This Row],[skill_gap_index]]&gt;40,"Medium Gap","Small Gap"))</f>
        <v>Large Gap</v>
      </c>
      <c r="X3281" s="3" t="str">
        <f>IF(Table1[[#This Row],[automation_risk_percent]]&gt;0.7,"Highly Automatable",
IF(Table1[[#This Row],[automation_risk_percent]]&gt;0.4,"Moderate Risk","Safe Job"))</f>
        <v>Moderate Risk</v>
      </c>
    </row>
    <row r="3282" spans="1:24" x14ac:dyDescent="0.3">
      <c r="A3282">
        <v>11436</v>
      </c>
      <c r="B3282" t="s">
        <v>29</v>
      </c>
      <c r="C3282" t="s">
        <v>33</v>
      </c>
      <c r="D3282" t="s">
        <v>28</v>
      </c>
      <c r="E3282" s="1">
        <v>2025</v>
      </c>
      <c r="F3282" s="11">
        <v>0.70150000000000001</v>
      </c>
      <c r="G3282">
        <v>56.53</v>
      </c>
      <c r="H3282">
        <v>44.26</v>
      </c>
      <c r="I3282" s="2">
        <v>141930.56</v>
      </c>
      <c r="J3282" s="2">
        <v>154200.91</v>
      </c>
      <c r="K3282" s="2">
        <f>Table1[[#This Row],[Salary_after]]-Table1[[#This Row],[Salary_before]]</f>
        <v>12270.350000000006</v>
      </c>
      <c r="L3282" s="11">
        <v>8.6500000000000007E-2</v>
      </c>
      <c r="M3282" s="11">
        <v>-4.8999999999999998E-3</v>
      </c>
      <c r="N3282">
        <v>70.510000000000005</v>
      </c>
      <c r="O3282">
        <v>89.37</v>
      </c>
      <c r="P3282">
        <v>4</v>
      </c>
      <c r="Q3282" t="s">
        <v>37</v>
      </c>
      <c r="R3282">
        <v>57.204999999999998</v>
      </c>
      <c r="S3282">
        <v>8.65</v>
      </c>
      <c r="T3282" s="4">
        <v>43.933</v>
      </c>
      <c r="U3282" s="4">
        <v>62.693055000000001</v>
      </c>
      <c r="V3282" t="str">
        <f>IF(Table1[[#This Row],[ai_disruption_intensity]]&gt;70,"High",
IF(Table1[[#This Row],[ai_disruption_intensity]]&gt;40,"Medium","Low"))</f>
        <v>Medium</v>
      </c>
      <c r="W3282" t="str">
        <f>IF(Table1[[#This Row],[skill_gap_index]]&gt;70,"Large Gap",
IF(Table1[[#This Row],[skill_gap_index]]&gt;40,"Medium Gap","Small Gap"))</f>
        <v>Medium Gap</v>
      </c>
      <c r="X3282" s="3" t="str">
        <f>IF(Table1[[#This Row],[automation_risk_percent]]&gt;0.7,"Highly Automatable",
IF(Table1[[#This Row],[automation_risk_percent]]&gt;0.4,"Moderate Risk","Safe Job"))</f>
        <v>Highly Automatable</v>
      </c>
    </row>
    <row r="3283" spans="1:24" x14ac:dyDescent="0.3">
      <c r="A3283">
        <v>11441</v>
      </c>
      <c r="B3283" t="s">
        <v>22</v>
      </c>
      <c r="C3283" t="s">
        <v>30</v>
      </c>
      <c r="D3283" t="s">
        <v>28</v>
      </c>
      <c r="E3283" s="1">
        <v>2026</v>
      </c>
      <c r="F3283" s="11">
        <v>0.2883</v>
      </c>
      <c r="G3283">
        <v>26.44</v>
      </c>
      <c r="H3283">
        <v>65.08</v>
      </c>
      <c r="I3283" s="2">
        <v>81167.56</v>
      </c>
      <c r="J3283" s="2">
        <v>88218</v>
      </c>
      <c r="K3283" s="2">
        <f>Table1[[#This Row],[Salary_after]]-Table1[[#This Row],[Salary_before]]</f>
        <v>7050.4400000000023</v>
      </c>
      <c r="L3283" s="11">
        <v>8.6899999999999991E-2</v>
      </c>
      <c r="M3283" s="11">
        <v>-3.1600000000000003E-2</v>
      </c>
      <c r="N3283">
        <v>69.83</v>
      </c>
      <c r="O3283">
        <v>9.76</v>
      </c>
      <c r="P3283">
        <v>2</v>
      </c>
      <c r="Q3283" t="s">
        <v>21</v>
      </c>
      <c r="R3283">
        <v>46.954999999999998</v>
      </c>
      <c r="S3283">
        <v>8.69</v>
      </c>
      <c r="T3283" s="4">
        <v>33.662999999999997</v>
      </c>
      <c r="U3283" s="4">
        <v>2.8138079999999999</v>
      </c>
      <c r="V3283" t="str">
        <f>IF(Table1[[#This Row],[ai_disruption_intensity]]&gt;70,"High",
IF(Table1[[#This Row],[ai_disruption_intensity]]&gt;40,"Medium","Low"))</f>
        <v>Low</v>
      </c>
      <c r="W3283" t="str">
        <f>IF(Table1[[#This Row],[skill_gap_index]]&gt;70,"Large Gap",
IF(Table1[[#This Row],[skill_gap_index]]&gt;40,"Medium Gap","Small Gap"))</f>
        <v>Medium Gap</v>
      </c>
      <c r="X3283" s="3" t="str">
        <f>IF(Table1[[#This Row],[automation_risk_percent]]&gt;0.7,"Highly Automatable",
IF(Table1[[#This Row],[automation_risk_percent]]&gt;0.4,"Moderate Risk","Safe Job"))</f>
        <v>Safe Job</v>
      </c>
    </row>
    <row r="3284" spans="1:24" x14ac:dyDescent="0.3">
      <c r="A3284">
        <v>11445</v>
      </c>
      <c r="B3284" t="s">
        <v>29</v>
      </c>
      <c r="C3284" t="s">
        <v>30</v>
      </c>
      <c r="D3284" t="s">
        <v>31</v>
      </c>
      <c r="E3284" s="1">
        <v>2026</v>
      </c>
      <c r="F3284" s="11">
        <v>0.91790000000000005</v>
      </c>
      <c r="G3284">
        <v>104.17</v>
      </c>
      <c r="H3284">
        <v>14.44</v>
      </c>
      <c r="I3284" s="2">
        <v>146877.01999999999</v>
      </c>
      <c r="J3284" s="2">
        <v>141138.37</v>
      </c>
      <c r="K3284" s="2">
        <f>Table1[[#This Row],[Salary_after]]-Table1[[#This Row],[Salary_before]]</f>
        <v>-5738.6499999999942</v>
      </c>
      <c r="L3284" s="11">
        <v>-3.9100000000000003E-2</v>
      </c>
      <c r="M3284" s="11">
        <v>2.06E-2</v>
      </c>
      <c r="N3284">
        <v>36</v>
      </c>
      <c r="O3284">
        <v>14.11</v>
      </c>
      <c r="P3284">
        <v>5</v>
      </c>
      <c r="Q3284" t="s">
        <v>37</v>
      </c>
      <c r="R3284">
        <v>53.115000000000002</v>
      </c>
      <c r="S3284">
        <v>3.91</v>
      </c>
      <c r="T3284" s="4">
        <v>42.220999999999997</v>
      </c>
      <c r="U3284" s="4">
        <v>12.951568999999999</v>
      </c>
      <c r="V3284" t="str">
        <f>IF(Table1[[#This Row],[ai_disruption_intensity]]&gt;70,"High",
IF(Table1[[#This Row],[ai_disruption_intensity]]&gt;40,"Medium","Low"))</f>
        <v>Low</v>
      </c>
      <c r="W3284" t="str">
        <f>IF(Table1[[#This Row],[skill_gap_index]]&gt;70,"Large Gap",
IF(Table1[[#This Row],[skill_gap_index]]&gt;40,"Medium Gap","Small Gap"))</f>
        <v>Small Gap</v>
      </c>
      <c r="X3284" s="3" t="str">
        <f>IF(Table1[[#This Row],[automation_risk_percent]]&gt;0.7,"Highly Automatable",
IF(Table1[[#This Row],[automation_risk_percent]]&gt;0.4,"Moderate Risk","Safe Job"))</f>
        <v>Highly Automatable</v>
      </c>
    </row>
    <row r="3285" spans="1:24" x14ac:dyDescent="0.3">
      <c r="A3285">
        <v>11450</v>
      </c>
      <c r="B3285" t="s">
        <v>43</v>
      </c>
      <c r="C3285" t="s">
        <v>33</v>
      </c>
      <c r="D3285" t="s">
        <v>31</v>
      </c>
      <c r="E3285" s="1">
        <v>2025</v>
      </c>
      <c r="F3285" s="11">
        <v>0.7359</v>
      </c>
      <c r="G3285">
        <v>62.24</v>
      </c>
      <c r="H3285">
        <v>28.75</v>
      </c>
      <c r="I3285" s="2">
        <v>56369.8</v>
      </c>
      <c r="J3285" s="2">
        <v>57143.839999999997</v>
      </c>
      <c r="K3285" s="2">
        <f>Table1[[#This Row],[Salary_after]]-Table1[[#This Row],[Salary_before]]</f>
        <v>774.0399999999936</v>
      </c>
      <c r="L3285" s="11">
        <v>1.37E-2</v>
      </c>
      <c r="M3285" s="11">
        <v>0.1139</v>
      </c>
      <c r="N3285">
        <v>22.86</v>
      </c>
      <c r="O3285">
        <v>39.79</v>
      </c>
      <c r="P3285">
        <v>2</v>
      </c>
      <c r="Q3285" t="s">
        <v>37</v>
      </c>
      <c r="R3285">
        <v>51.17</v>
      </c>
      <c r="S3285">
        <v>1.37</v>
      </c>
      <c r="T3285" s="4">
        <v>38.472000000000001</v>
      </c>
      <c r="U3285" s="4">
        <v>29.281461</v>
      </c>
      <c r="V3285" t="str">
        <f>IF(Table1[[#This Row],[ai_disruption_intensity]]&gt;70,"High",
IF(Table1[[#This Row],[ai_disruption_intensity]]&gt;40,"Medium","Low"))</f>
        <v>Low</v>
      </c>
      <c r="W3285" t="str">
        <f>IF(Table1[[#This Row],[skill_gap_index]]&gt;70,"Large Gap",
IF(Table1[[#This Row],[skill_gap_index]]&gt;40,"Medium Gap","Small Gap"))</f>
        <v>Small Gap</v>
      </c>
      <c r="X3285" s="3" t="str">
        <f>IF(Table1[[#This Row],[automation_risk_percent]]&gt;0.7,"Highly Automatable",
IF(Table1[[#This Row],[automation_risk_percent]]&gt;0.4,"Moderate Risk","Safe Job"))</f>
        <v>Highly Automatable</v>
      </c>
    </row>
    <row r="3286" spans="1:24" x14ac:dyDescent="0.3">
      <c r="A3286">
        <v>11453</v>
      </c>
      <c r="B3286" t="s">
        <v>46</v>
      </c>
      <c r="C3286" t="s">
        <v>34</v>
      </c>
      <c r="D3286" t="s">
        <v>36</v>
      </c>
      <c r="E3286" s="1">
        <v>2026</v>
      </c>
      <c r="F3286" s="11">
        <v>0.21809999999999999</v>
      </c>
      <c r="G3286">
        <v>21.36</v>
      </c>
      <c r="H3286">
        <v>20.25</v>
      </c>
      <c r="I3286" s="2">
        <v>37281.839999999997</v>
      </c>
      <c r="J3286" s="2">
        <v>34600.6</v>
      </c>
      <c r="K3286" s="2">
        <f>Table1[[#This Row],[Salary_after]]-Table1[[#This Row],[Salary_before]]</f>
        <v>-2681.239999999998</v>
      </c>
      <c r="L3286" s="11">
        <v>-7.1900000000000006E-2</v>
      </c>
      <c r="M3286" s="11">
        <v>8.8200000000000001E-2</v>
      </c>
      <c r="N3286">
        <v>84.01</v>
      </c>
      <c r="O3286">
        <v>36.39</v>
      </c>
      <c r="P3286">
        <v>4</v>
      </c>
      <c r="Q3286" t="s">
        <v>21</v>
      </c>
      <c r="R3286">
        <v>21.03</v>
      </c>
      <c r="S3286">
        <v>7.19</v>
      </c>
      <c r="T3286" s="4">
        <v>16.956</v>
      </c>
      <c r="U3286" s="4">
        <v>7.9366589999999997</v>
      </c>
      <c r="V3286" t="str">
        <f>IF(Table1[[#This Row],[ai_disruption_intensity]]&gt;70,"High",
IF(Table1[[#This Row],[ai_disruption_intensity]]&gt;40,"Medium","Low"))</f>
        <v>Low</v>
      </c>
      <c r="W3286" t="str">
        <f>IF(Table1[[#This Row],[skill_gap_index]]&gt;70,"Large Gap",
IF(Table1[[#This Row],[skill_gap_index]]&gt;40,"Medium Gap","Small Gap"))</f>
        <v>Small Gap</v>
      </c>
      <c r="X3286" s="3" t="str">
        <f>IF(Table1[[#This Row],[automation_risk_percent]]&gt;0.7,"Highly Automatable",
IF(Table1[[#This Row],[automation_risk_percent]]&gt;0.4,"Moderate Risk","Safe Job"))</f>
        <v>Safe Job</v>
      </c>
    </row>
    <row r="3287" spans="1:24" x14ac:dyDescent="0.3">
      <c r="A3287">
        <v>11454</v>
      </c>
      <c r="B3287" t="s">
        <v>45</v>
      </c>
      <c r="C3287" t="s">
        <v>23</v>
      </c>
      <c r="D3287" t="s">
        <v>42</v>
      </c>
      <c r="E3287" s="1">
        <v>2026</v>
      </c>
      <c r="F3287" s="11">
        <v>0.2742</v>
      </c>
      <c r="G3287">
        <v>26.43</v>
      </c>
      <c r="H3287">
        <v>14.96</v>
      </c>
      <c r="I3287" s="2">
        <v>131881.35</v>
      </c>
      <c r="J3287" s="2">
        <v>131570.06</v>
      </c>
      <c r="K3287" s="2">
        <f>Table1[[#This Row],[Salary_after]]-Table1[[#This Row],[Salary_before]]</f>
        <v>-311.29000000000815</v>
      </c>
      <c r="L3287" s="11">
        <v>-2.3999999999999998E-3</v>
      </c>
      <c r="M3287" s="11">
        <v>-7.7300000000000008E-2</v>
      </c>
      <c r="N3287">
        <v>24.58</v>
      </c>
      <c r="O3287">
        <v>4.57</v>
      </c>
      <c r="P3287">
        <v>3</v>
      </c>
      <c r="Q3287" t="s">
        <v>21</v>
      </c>
      <c r="R3287">
        <v>21.19</v>
      </c>
      <c r="S3287">
        <v>0.24</v>
      </c>
      <c r="T3287" s="4">
        <v>15.528</v>
      </c>
      <c r="U3287" s="4">
        <v>1.2530939999999999</v>
      </c>
      <c r="V3287" t="str">
        <f>IF(Table1[[#This Row],[ai_disruption_intensity]]&gt;70,"High",
IF(Table1[[#This Row],[ai_disruption_intensity]]&gt;40,"Medium","Low"))</f>
        <v>Low</v>
      </c>
      <c r="W3287" t="str">
        <f>IF(Table1[[#This Row],[skill_gap_index]]&gt;70,"Large Gap",
IF(Table1[[#This Row],[skill_gap_index]]&gt;40,"Medium Gap","Small Gap"))</f>
        <v>Small Gap</v>
      </c>
      <c r="X3287" s="3" t="str">
        <f>IF(Table1[[#This Row],[automation_risk_percent]]&gt;0.7,"Highly Automatable",
IF(Table1[[#This Row],[automation_risk_percent]]&gt;0.4,"Moderate Risk","Safe Job"))</f>
        <v>Safe Job</v>
      </c>
    </row>
    <row r="3288" spans="1:24" x14ac:dyDescent="0.3">
      <c r="A3288">
        <v>11460</v>
      </c>
      <c r="B3288" t="s">
        <v>41</v>
      </c>
      <c r="C3288" t="s">
        <v>27</v>
      </c>
      <c r="D3288" t="s">
        <v>47</v>
      </c>
      <c r="E3288" s="1">
        <v>2026</v>
      </c>
      <c r="F3288" s="11">
        <v>0.94750000000000001</v>
      </c>
      <c r="G3288">
        <v>109.72</v>
      </c>
      <c r="H3288">
        <v>40.049999999999997</v>
      </c>
      <c r="I3288" s="2">
        <v>137435.71</v>
      </c>
      <c r="J3288" s="2">
        <v>124031.13</v>
      </c>
      <c r="K3288" s="2">
        <f>Table1[[#This Row],[Salary_after]]-Table1[[#This Row],[Salary_before]]</f>
        <v>-13404.579999999987</v>
      </c>
      <c r="L3288" s="11">
        <v>-9.7500000000000003E-2</v>
      </c>
      <c r="M3288" s="11">
        <v>3.9300000000000002E-2</v>
      </c>
      <c r="N3288">
        <v>26.91</v>
      </c>
      <c r="O3288">
        <v>24.3</v>
      </c>
      <c r="P3288">
        <v>1</v>
      </c>
      <c r="Q3288" t="s">
        <v>37</v>
      </c>
      <c r="R3288">
        <v>67.400000000000006</v>
      </c>
      <c r="S3288">
        <v>9.75</v>
      </c>
      <c r="T3288" s="4">
        <v>52.839999999999897</v>
      </c>
      <c r="U3288" s="4">
        <v>23.024249999999999</v>
      </c>
      <c r="V3288" t="str">
        <f>IF(Table1[[#This Row],[ai_disruption_intensity]]&gt;70,"High",
IF(Table1[[#This Row],[ai_disruption_intensity]]&gt;40,"Medium","Low"))</f>
        <v>Low</v>
      </c>
      <c r="W3288" t="str">
        <f>IF(Table1[[#This Row],[skill_gap_index]]&gt;70,"Large Gap",
IF(Table1[[#This Row],[skill_gap_index]]&gt;40,"Medium Gap","Small Gap"))</f>
        <v>Medium Gap</v>
      </c>
      <c r="X3288" s="3" t="str">
        <f>IF(Table1[[#This Row],[automation_risk_percent]]&gt;0.7,"Highly Automatable",
IF(Table1[[#This Row],[automation_risk_percent]]&gt;0.4,"Moderate Risk","Safe Job"))</f>
        <v>Highly Automatable</v>
      </c>
    </row>
    <row r="3289" spans="1:24" x14ac:dyDescent="0.3">
      <c r="A3289">
        <v>11467</v>
      </c>
      <c r="B3289" t="s">
        <v>41</v>
      </c>
      <c r="C3289" t="s">
        <v>38</v>
      </c>
      <c r="D3289" t="s">
        <v>24</v>
      </c>
      <c r="E3289" s="1">
        <v>2026</v>
      </c>
      <c r="F3289" s="11">
        <v>0.42979999999999996</v>
      </c>
      <c r="G3289">
        <v>36.17</v>
      </c>
      <c r="H3289">
        <v>11.44</v>
      </c>
      <c r="I3289" s="2">
        <v>57004.72</v>
      </c>
      <c r="J3289" s="2">
        <v>53497.42</v>
      </c>
      <c r="K3289" s="2">
        <f>Table1[[#This Row],[Salary_after]]-Table1[[#This Row],[Salary_before]]</f>
        <v>-3507.3000000000029</v>
      </c>
      <c r="L3289" s="11">
        <v>-6.1500000000000006E-2</v>
      </c>
      <c r="M3289" s="11">
        <v>-8.4100000000000008E-2</v>
      </c>
      <c r="N3289">
        <v>60.77</v>
      </c>
      <c r="O3289">
        <v>24.92</v>
      </c>
      <c r="P3289">
        <v>1</v>
      </c>
      <c r="Q3289" t="s">
        <v>25</v>
      </c>
      <c r="R3289">
        <v>27.209999999999901</v>
      </c>
      <c r="S3289">
        <v>6.15</v>
      </c>
      <c r="T3289" s="4">
        <v>22.468999999999902</v>
      </c>
      <c r="U3289" s="4">
        <v>10.710616</v>
      </c>
      <c r="V3289" t="str">
        <f>IF(Table1[[#This Row],[ai_disruption_intensity]]&gt;70,"High",
IF(Table1[[#This Row],[ai_disruption_intensity]]&gt;40,"Medium","Low"))</f>
        <v>Low</v>
      </c>
      <c r="W3289" t="str">
        <f>IF(Table1[[#This Row],[skill_gap_index]]&gt;70,"Large Gap",
IF(Table1[[#This Row],[skill_gap_index]]&gt;40,"Medium Gap","Small Gap"))</f>
        <v>Small Gap</v>
      </c>
      <c r="X3289" s="3" t="str">
        <f>IF(Table1[[#This Row],[automation_risk_percent]]&gt;0.7,"Highly Automatable",
IF(Table1[[#This Row],[automation_risk_percent]]&gt;0.4,"Moderate Risk","Safe Job"))</f>
        <v>Moderate Risk</v>
      </c>
    </row>
    <row r="3290" spans="1:24" x14ac:dyDescent="0.3">
      <c r="A3290">
        <v>11474</v>
      </c>
      <c r="B3290" t="s">
        <v>41</v>
      </c>
      <c r="C3290" t="s">
        <v>33</v>
      </c>
      <c r="D3290" t="s">
        <v>35</v>
      </c>
      <c r="E3290" s="1">
        <v>2026</v>
      </c>
      <c r="F3290" s="11">
        <v>0.48880000000000001</v>
      </c>
      <c r="G3290">
        <v>49.77</v>
      </c>
      <c r="H3290">
        <v>10.17</v>
      </c>
      <c r="I3290" s="2">
        <v>58144.95</v>
      </c>
      <c r="J3290" s="2">
        <v>57516.28</v>
      </c>
      <c r="K3290" s="2">
        <f>Table1[[#This Row],[Salary_after]]-Table1[[#This Row],[Salary_before]]</f>
        <v>-628.66999999999825</v>
      </c>
      <c r="L3290" s="11">
        <v>-1.0800000000000001E-2</v>
      </c>
      <c r="M3290" s="11">
        <v>-1.9599999999999999E-2</v>
      </c>
      <c r="N3290">
        <v>16.64</v>
      </c>
      <c r="O3290">
        <v>1.36</v>
      </c>
      <c r="P3290">
        <v>3</v>
      </c>
      <c r="Q3290" t="s">
        <v>25</v>
      </c>
      <c r="R3290">
        <v>29.524999999999999</v>
      </c>
      <c r="S3290">
        <v>1.08</v>
      </c>
      <c r="T3290" s="4">
        <v>22.927</v>
      </c>
      <c r="U3290" s="4">
        <v>0.66476800000000003</v>
      </c>
      <c r="V3290" t="str">
        <f>IF(Table1[[#This Row],[ai_disruption_intensity]]&gt;70,"High",
IF(Table1[[#This Row],[ai_disruption_intensity]]&gt;40,"Medium","Low"))</f>
        <v>Low</v>
      </c>
      <c r="W3290" t="str">
        <f>IF(Table1[[#This Row],[skill_gap_index]]&gt;70,"Large Gap",
IF(Table1[[#This Row],[skill_gap_index]]&gt;40,"Medium Gap","Small Gap"))</f>
        <v>Small Gap</v>
      </c>
      <c r="X3290" s="3" t="str">
        <f>IF(Table1[[#This Row],[automation_risk_percent]]&gt;0.7,"Highly Automatable",
IF(Table1[[#This Row],[automation_risk_percent]]&gt;0.4,"Moderate Risk","Safe Job"))</f>
        <v>Moderate Risk</v>
      </c>
    </row>
    <row r="3291" spans="1:24" x14ac:dyDescent="0.3">
      <c r="A3291">
        <v>11479</v>
      </c>
      <c r="B3291" t="s">
        <v>18</v>
      </c>
      <c r="C3291" t="s">
        <v>38</v>
      </c>
      <c r="D3291" t="s">
        <v>20</v>
      </c>
      <c r="E3291" s="1">
        <v>2025</v>
      </c>
      <c r="F3291" s="11">
        <v>0.4803</v>
      </c>
      <c r="G3291">
        <v>53.45</v>
      </c>
      <c r="H3291">
        <v>73.650000000000006</v>
      </c>
      <c r="I3291" s="2">
        <v>59642.58</v>
      </c>
      <c r="J3291" s="2">
        <v>71211.149999999994</v>
      </c>
      <c r="K3291" s="2">
        <f>Table1[[#This Row],[Salary_after]]-Table1[[#This Row],[Salary_before]]</f>
        <v>11568.569999999992</v>
      </c>
      <c r="L3291" s="11">
        <v>0.19399999999999998</v>
      </c>
      <c r="M3291" s="11">
        <v>9.7000000000000003E-3</v>
      </c>
      <c r="N3291">
        <v>21.6</v>
      </c>
      <c r="O3291">
        <v>88.4</v>
      </c>
      <c r="P3291">
        <v>2</v>
      </c>
      <c r="Q3291" t="s">
        <v>25</v>
      </c>
      <c r="R3291">
        <v>60.84</v>
      </c>
      <c r="S3291">
        <v>19.399999999999999</v>
      </c>
      <c r="T3291" s="4">
        <v>47.127000000000002</v>
      </c>
      <c r="U3291" s="4">
        <v>42.45852</v>
      </c>
      <c r="V3291" t="str">
        <f>IF(Table1[[#This Row],[ai_disruption_intensity]]&gt;70,"High",
IF(Table1[[#This Row],[ai_disruption_intensity]]&gt;40,"Medium","Low"))</f>
        <v>Medium</v>
      </c>
      <c r="W3291" t="str">
        <f>IF(Table1[[#This Row],[skill_gap_index]]&gt;70,"Large Gap",
IF(Table1[[#This Row],[skill_gap_index]]&gt;40,"Medium Gap","Small Gap"))</f>
        <v>Large Gap</v>
      </c>
      <c r="X3291" s="3" t="str">
        <f>IF(Table1[[#This Row],[automation_risk_percent]]&gt;0.7,"Highly Automatable",
IF(Table1[[#This Row],[automation_risk_percent]]&gt;0.4,"Moderate Risk","Safe Job"))</f>
        <v>Moderate Risk</v>
      </c>
    </row>
    <row r="3292" spans="1:24" x14ac:dyDescent="0.3">
      <c r="A3292">
        <v>11483</v>
      </c>
      <c r="B3292" t="s">
        <v>26</v>
      </c>
      <c r="C3292" t="s">
        <v>23</v>
      </c>
      <c r="D3292" t="s">
        <v>35</v>
      </c>
      <c r="E3292" s="1">
        <v>2026</v>
      </c>
      <c r="F3292" s="11">
        <v>0.1709</v>
      </c>
      <c r="G3292">
        <v>16.2</v>
      </c>
      <c r="H3292">
        <v>90.15</v>
      </c>
      <c r="I3292" s="2">
        <v>115051.94</v>
      </c>
      <c r="J3292" s="2">
        <v>113467.1</v>
      </c>
      <c r="K3292" s="2">
        <f>Table1[[#This Row],[Salary_after]]-Table1[[#This Row],[Salary_before]]</f>
        <v>-1584.8399999999965</v>
      </c>
      <c r="L3292" s="11">
        <v>-1.38E-2</v>
      </c>
      <c r="M3292" s="11">
        <v>6.7699999999999996E-2</v>
      </c>
      <c r="N3292">
        <v>86.42</v>
      </c>
      <c r="O3292">
        <v>42.99</v>
      </c>
      <c r="P3292">
        <v>2</v>
      </c>
      <c r="Q3292" t="s">
        <v>21</v>
      </c>
      <c r="R3292">
        <v>53.62</v>
      </c>
      <c r="S3292">
        <v>1.38</v>
      </c>
      <c r="T3292" s="4">
        <v>34.295000000000002</v>
      </c>
      <c r="U3292" s="4">
        <v>7.346991</v>
      </c>
      <c r="V3292" t="str">
        <f>IF(Table1[[#This Row],[ai_disruption_intensity]]&gt;70,"High",
IF(Table1[[#This Row],[ai_disruption_intensity]]&gt;40,"Medium","Low"))</f>
        <v>Low</v>
      </c>
      <c r="W3292" t="str">
        <f>IF(Table1[[#This Row],[skill_gap_index]]&gt;70,"Large Gap",
IF(Table1[[#This Row],[skill_gap_index]]&gt;40,"Medium Gap","Small Gap"))</f>
        <v>Large Gap</v>
      </c>
      <c r="X3292" s="3" t="str">
        <f>IF(Table1[[#This Row],[automation_risk_percent]]&gt;0.7,"Highly Automatable",
IF(Table1[[#This Row],[automation_risk_percent]]&gt;0.4,"Moderate Risk","Safe Job"))</f>
        <v>Safe Job</v>
      </c>
    </row>
    <row r="3293" spans="1:24" x14ac:dyDescent="0.3">
      <c r="A3293">
        <v>11489</v>
      </c>
      <c r="B3293" t="s">
        <v>22</v>
      </c>
      <c r="C3293" t="s">
        <v>40</v>
      </c>
      <c r="D3293" t="s">
        <v>47</v>
      </c>
      <c r="E3293" s="1">
        <v>2026</v>
      </c>
      <c r="F3293" s="11">
        <v>0.66980000000000006</v>
      </c>
      <c r="G3293">
        <v>71.02</v>
      </c>
      <c r="H3293">
        <v>9.11</v>
      </c>
      <c r="I3293" s="2">
        <v>130754.3</v>
      </c>
      <c r="J3293" s="2">
        <v>141434.95000000001</v>
      </c>
      <c r="K3293" s="2">
        <f>Table1[[#This Row],[Salary_after]]-Table1[[#This Row],[Salary_before]]</f>
        <v>10680.650000000009</v>
      </c>
      <c r="L3293" s="11">
        <v>8.1699999999999995E-2</v>
      </c>
      <c r="M3293" s="11">
        <v>-8.8599999999999998E-2</v>
      </c>
      <c r="N3293">
        <v>79.790000000000006</v>
      </c>
      <c r="O3293">
        <v>89.76</v>
      </c>
      <c r="P3293">
        <v>5</v>
      </c>
      <c r="Q3293" t="s">
        <v>37</v>
      </c>
      <c r="R3293">
        <v>38.045000000000002</v>
      </c>
      <c r="S3293">
        <v>8.17</v>
      </c>
      <c r="T3293" s="4">
        <v>31.975999999999999</v>
      </c>
      <c r="U3293" s="4">
        <v>60.121248000000001</v>
      </c>
      <c r="V3293" t="str">
        <f>IF(Table1[[#This Row],[ai_disruption_intensity]]&gt;70,"High",
IF(Table1[[#This Row],[ai_disruption_intensity]]&gt;40,"Medium","Low"))</f>
        <v>Medium</v>
      </c>
      <c r="W3293" t="str">
        <f>IF(Table1[[#This Row],[skill_gap_index]]&gt;70,"Large Gap",
IF(Table1[[#This Row],[skill_gap_index]]&gt;40,"Medium Gap","Small Gap"))</f>
        <v>Small Gap</v>
      </c>
      <c r="X3293" s="3" t="str">
        <f>IF(Table1[[#This Row],[automation_risk_percent]]&gt;0.7,"Highly Automatable",
IF(Table1[[#This Row],[automation_risk_percent]]&gt;0.4,"Moderate Risk","Safe Job"))</f>
        <v>Moderate Risk</v>
      </c>
    </row>
    <row r="3294" spans="1:24" x14ac:dyDescent="0.3">
      <c r="A3294">
        <v>11491</v>
      </c>
      <c r="B3294" t="s">
        <v>22</v>
      </c>
      <c r="C3294" t="s">
        <v>27</v>
      </c>
      <c r="D3294" t="s">
        <v>20</v>
      </c>
      <c r="E3294" s="1">
        <v>2025</v>
      </c>
      <c r="F3294" s="11">
        <v>0.18600000000000003</v>
      </c>
      <c r="G3294">
        <v>18.37</v>
      </c>
      <c r="H3294">
        <v>91.29</v>
      </c>
      <c r="I3294" s="2">
        <v>36375.839999999997</v>
      </c>
      <c r="J3294" s="2">
        <v>33843.129999999997</v>
      </c>
      <c r="K3294" s="2">
        <f>Table1[[#This Row],[Salary_after]]-Table1[[#This Row],[Salary_before]]</f>
        <v>-2532.7099999999991</v>
      </c>
      <c r="L3294" s="11">
        <v>-6.9599999999999995E-2</v>
      </c>
      <c r="M3294" s="11">
        <v>4.41E-2</v>
      </c>
      <c r="N3294">
        <v>32.51</v>
      </c>
      <c r="O3294">
        <v>95.38</v>
      </c>
      <c r="P3294">
        <v>3</v>
      </c>
      <c r="Q3294" t="s">
        <v>21</v>
      </c>
      <c r="R3294">
        <v>54.945</v>
      </c>
      <c r="S3294">
        <v>6.96</v>
      </c>
      <c r="T3294" s="4">
        <v>36.914999999999999</v>
      </c>
      <c r="U3294" s="4">
        <v>17.740680000000001</v>
      </c>
      <c r="V3294" t="str">
        <f>IF(Table1[[#This Row],[ai_disruption_intensity]]&gt;70,"High",
IF(Table1[[#This Row],[ai_disruption_intensity]]&gt;40,"Medium","Low"))</f>
        <v>Low</v>
      </c>
      <c r="W3294" t="str">
        <f>IF(Table1[[#This Row],[skill_gap_index]]&gt;70,"Large Gap",
IF(Table1[[#This Row],[skill_gap_index]]&gt;40,"Medium Gap","Small Gap"))</f>
        <v>Large Gap</v>
      </c>
      <c r="X3294" s="3" t="str">
        <f>IF(Table1[[#This Row],[automation_risk_percent]]&gt;0.7,"Highly Automatable",
IF(Table1[[#This Row],[automation_risk_percent]]&gt;0.4,"Moderate Risk","Safe Job"))</f>
        <v>Safe Job</v>
      </c>
    </row>
    <row r="3295" spans="1:24" x14ac:dyDescent="0.3">
      <c r="A3295">
        <v>11494</v>
      </c>
      <c r="B3295" t="s">
        <v>41</v>
      </c>
      <c r="C3295" t="s">
        <v>23</v>
      </c>
      <c r="D3295" t="s">
        <v>20</v>
      </c>
      <c r="E3295" s="1">
        <v>2026</v>
      </c>
      <c r="F3295" s="11">
        <v>0.71849999999999992</v>
      </c>
      <c r="G3295">
        <v>66.86</v>
      </c>
      <c r="H3295">
        <v>14.83</v>
      </c>
      <c r="I3295" s="2">
        <v>146980.39000000001</v>
      </c>
      <c r="J3295" s="2">
        <v>163906.42000000001</v>
      </c>
      <c r="K3295" s="2">
        <f>Table1[[#This Row],[Salary_after]]-Table1[[#This Row],[Salary_before]]</f>
        <v>16926.03</v>
      </c>
      <c r="L3295" s="11">
        <v>0.1152</v>
      </c>
      <c r="M3295" s="11">
        <v>7.9899999999999999E-2</v>
      </c>
      <c r="N3295">
        <v>32.520000000000003</v>
      </c>
      <c r="O3295">
        <v>39.32</v>
      </c>
      <c r="P3295">
        <v>4</v>
      </c>
      <c r="Q3295" t="s">
        <v>37</v>
      </c>
      <c r="R3295">
        <v>43.339999999999897</v>
      </c>
      <c r="S3295">
        <v>11.52</v>
      </c>
      <c r="T3295" s="4">
        <v>36.645000000000003</v>
      </c>
      <c r="U3295" s="4">
        <v>28.25142</v>
      </c>
      <c r="V3295" t="str">
        <f>IF(Table1[[#This Row],[ai_disruption_intensity]]&gt;70,"High",
IF(Table1[[#This Row],[ai_disruption_intensity]]&gt;40,"Medium","Low"))</f>
        <v>Low</v>
      </c>
      <c r="W3295" t="str">
        <f>IF(Table1[[#This Row],[skill_gap_index]]&gt;70,"Large Gap",
IF(Table1[[#This Row],[skill_gap_index]]&gt;40,"Medium Gap","Small Gap"))</f>
        <v>Small Gap</v>
      </c>
      <c r="X3295" s="3" t="str">
        <f>IF(Table1[[#This Row],[automation_risk_percent]]&gt;0.7,"Highly Automatable",
IF(Table1[[#This Row],[automation_risk_percent]]&gt;0.4,"Moderate Risk","Safe Job"))</f>
        <v>Highly Automatable</v>
      </c>
    </row>
    <row r="3296" spans="1:24" x14ac:dyDescent="0.3">
      <c r="A3296">
        <v>11497</v>
      </c>
      <c r="B3296" t="s">
        <v>45</v>
      </c>
      <c r="C3296" t="s">
        <v>33</v>
      </c>
      <c r="D3296" t="s">
        <v>28</v>
      </c>
      <c r="E3296" s="1">
        <v>2026</v>
      </c>
      <c r="F3296" s="11">
        <v>0.34770000000000001</v>
      </c>
      <c r="G3296">
        <v>29.7</v>
      </c>
      <c r="H3296">
        <v>25.35</v>
      </c>
      <c r="I3296" s="2">
        <v>76878.95</v>
      </c>
      <c r="J3296" s="2">
        <v>69843.56</v>
      </c>
      <c r="K3296" s="2">
        <f>Table1[[#This Row],[Salary_after]]-Table1[[#This Row],[Salary_before]]</f>
        <v>-7035.3899999999994</v>
      </c>
      <c r="L3296" s="11">
        <v>-9.1499999999999998E-2</v>
      </c>
      <c r="M3296" s="11">
        <v>-2.7200000000000002E-2</v>
      </c>
      <c r="N3296">
        <v>40.92</v>
      </c>
      <c r="O3296">
        <v>36.78</v>
      </c>
      <c r="P3296">
        <v>4</v>
      </c>
      <c r="Q3296" t="s">
        <v>25</v>
      </c>
      <c r="R3296">
        <v>30.06</v>
      </c>
      <c r="S3296">
        <v>9.15</v>
      </c>
      <c r="T3296" s="4">
        <v>24.257999999999999</v>
      </c>
      <c r="U3296" s="4">
        <v>12.788406</v>
      </c>
      <c r="V3296" t="str">
        <f>IF(Table1[[#This Row],[ai_disruption_intensity]]&gt;70,"High",
IF(Table1[[#This Row],[ai_disruption_intensity]]&gt;40,"Medium","Low"))</f>
        <v>Low</v>
      </c>
      <c r="W3296" t="str">
        <f>IF(Table1[[#This Row],[skill_gap_index]]&gt;70,"Large Gap",
IF(Table1[[#This Row],[skill_gap_index]]&gt;40,"Medium Gap","Small Gap"))</f>
        <v>Small Gap</v>
      </c>
      <c r="X3296" s="3" t="str">
        <f>IF(Table1[[#This Row],[automation_risk_percent]]&gt;0.7,"Highly Automatable",
IF(Table1[[#This Row],[automation_risk_percent]]&gt;0.4,"Moderate Risk","Safe Job"))</f>
        <v>Safe Job</v>
      </c>
    </row>
    <row r="3297" spans="1:24" x14ac:dyDescent="0.3">
      <c r="A3297">
        <v>11499</v>
      </c>
      <c r="B3297" t="s">
        <v>18</v>
      </c>
      <c r="C3297" t="s">
        <v>34</v>
      </c>
      <c r="D3297" t="s">
        <v>32</v>
      </c>
      <c r="E3297" s="1">
        <v>2026</v>
      </c>
      <c r="F3297" s="11">
        <v>0.13819999999999999</v>
      </c>
      <c r="G3297">
        <v>15.59</v>
      </c>
      <c r="H3297">
        <v>24.04</v>
      </c>
      <c r="I3297" s="2">
        <v>41016.79</v>
      </c>
      <c r="J3297" s="2">
        <v>36337.199999999997</v>
      </c>
      <c r="K3297" s="2">
        <f>Table1[[#This Row],[Salary_after]]-Table1[[#This Row],[Salary_before]]</f>
        <v>-4679.5900000000038</v>
      </c>
      <c r="L3297" s="11">
        <v>-0.11410000000000001</v>
      </c>
      <c r="M3297" s="11">
        <v>0.1152</v>
      </c>
      <c r="N3297">
        <v>46.59</v>
      </c>
      <c r="O3297">
        <v>70.790000000000006</v>
      </c>
      <c r="P3297">
        <v>3</v>
      </c>
      <c r="Q3297" t="s">
        <v>21</v>
      </c>
      <c r="R3297">
        <v>18.93</v>
      </c>
      <c r="S3297">
        <v>11.41</v>
      </c>
      <c r="T3297" s="4">
        <v>16.163</v>
      </c>
      <c r="U3297" s="4">
        <v>9.7831779999999995</v>
      </c>
      <c r="V3297" t="str">
        <f>IF(Table1[[#This Row],[ai_disruption_intensity]]&gt;70,"High",
IF(Table1[[#This Row],[ai_disruption_intensity]]&gt;40,"Medium","Low"))</f>
        <v>Low</v>
      </c>
      <c r="W3297" t="str">
        <f>IF(Table1[[#This Row],[skill_gap_index]]&gt;70,"Large Gap",
IF(Table1[[#This Row],[skill_gap_index]]&gt;40,"Medium Gap","Small Gap"))</f>
        <v>Small Gap</v>
      </c>
      <c r="X3297" s="3" t="str">
        <f>IF(Table1[[#This Row],[automation_risk_percent]]&gt;0.7,"Highly Automatable",
IF(Table1[[#This Row],[automation_risk_percent]]&gt;0.4,"Moderate Risk","Safe Job"))</f>
        <v>Safe Job</v>
      </c>
    </row>
    <row r="3298" spans="1:24" x14ac:dyDescent="0.3">
      <c r="A3298">
        <v>11500</v>
      </c>
      <c r="B3298" t="s">
        <v>43</v>
      </c>
      <c r="C3298" t="s">
        <v>40</v>
      </c>
      <c r="D3298" t="s">
        <v>31</v>
      </c>
      <c r="E3298" s="1">
        <v>2025</v>
      </c>
      <c r="F3298" s="11">
        <v>0.17190000000000003</v>
      </c>
      <c r="G3298">
        <v>14.63</v>
      </c>
      <c r="H3298">
        <v>66.489999999999995</v>
      </c>
      <c r="I3298" s="2">
        <v>83954.39</v>
      </c>
      <c r="J3298" s="2">
        <v>84679.02</v>
      </c>
      <c r="K3298" s="2">
        <f>Table1[[#This Row],[Salary_after]]-Table1[[#This Row],[Salary_before]]</f>
        <v>724.63000000000466</v>
      </c>
      <c r="L3298" s="11">
        <v>8.6E-3</v>
      </c>
      <c r="M3298" s="11">
        <v>-0.1024</v>
      </c>
      <c r="N3298">
        <v>65.680000000000007</v>
      </c>
      <c r="O3298">
        <v>40.51</v>
      </c>
      <c r="P3298">
        <v>5</v>
      </c>
      <c r="Q3298" t="s">
        <v>21</v>
      </c>
      <c r="R3298">
        <v>41.839999999999897</v>
      </c>
      <c r="S3298">
        <v>0.86</v>
      </c>
      <c r="T3298" s="4">
        <v>27.081</v>
      </c>
      <c r="U3298" s="4">
        <v>6.9636689999999897</v>
      </c>
      <c r="V3298" t="str">
        <f>IF(Table1[[#This Row],[ai_disruption_intensity]]&gt;70,"High",
IF(Table1[[#This Row],[ai_disruption_intensity]]&gt;40,"Medium","Low"))</f>
        <v>Low</v>
      </c>
      <c r="W3298" t="str">
        <f>IF(Table1[[#This Row],[skill_gap_index]]&gt;70,"Large Gap",
IF(Table1[[#This Row],[skill_gap_index]]&gt;40,"Medium Gap","Small Gap"))</f>
        <v>Medium Gap</v>
      </c>
      <c r="X3298" s="3" t="str">
        <f>IF(Table1[[#This Row],[automation_risk_percent]]&gt;0.7,"Highly Automatable",
IF(Table1[[#This Row],[automation_risk_percent]]&gt;0.4,"Moderate Risk","Safe Job"))</f>
        <v>Safe Job</v>
      </c>
    </row>
    <row r="3299" spans="1:24" x14ac:dyDescent="0.3">
      <c r="A3299">
        <v>11507</v>
      </c>
      <c r="B3299" t="s">
        <v>26</v>
      </c>
      <c r="C3299" t="s">
        <v>19</v>
      </c>
      <c r="D3299" t="s">
        <v>35</v>
      </c>
      <c r="E3299" s="1">
        <v>2026</v>
      </c>
      <c r="F3299" s="11">
        <v>0.05</v>
      </c>
      <c r="G3299">
        <v>4.0199999999999996</v>
      </c>
      <c r="H3299">
        <v>78.83</v>
      </c>
      <c r="I3299" s="2">
        <v>78574.98</v>
      </c>
      <c r="J3299" s="2">
        <v>74339.600000000006</v>
      </c>
      <c r="K3299" s="2">
        <f>Table1[[#This Row],[Salary_after]]-Table1[[#This Row],[Salary_before]]</f>
        <v>-4235.3799999999901</v>
      </c>
      <c r="L3299" s="11">
        <v>-5.3899999999999997E-2</v>
      </c>
      <c r="M3299" s="11">
        <v>0.15429999999999999</v>
      </c>
      <c r="N3299">
        <v>68.3</v>
      </c>
      <c r="O3299">
        <v>9.43</v>
      </c>
      <c r="P3299">
        <v>4</v>
      </c>
      <c r="Q3299" t="s">
        <v>21</v>
      </c>
      <c r="R3299">
        <v>41.914999999999999</v>
      </c>
      <c r="S3299">
        <v>5.39</v>
      </c>
      <c r="T3299" s="4">
        <v>27.265999999999998</v>
      </c>
      <c r="U3299" s="4">
        <v>0.47149999999999997</v>
      </c>
      <c r="V3299" t="str">
        <f>IF(Table1[[#This Row],[ai_disruption_intensity]]&gt;70,"High",
IF(Table1[[#This Row],[ai_disruption_intensity]]&gt;40,"Medium","Low"))</f>
        <v>Low</v>
      </c>
      <c r="W3299" t="str">
        <f>IF(Table1[[#This Row],[skill_gap_index]]&gt;70,"Large Gap",
IF(Table1[[#This Row],[skill_gap_index]]&gt;40,"Medium Gap","Small Gap"))</f>
        <v>Large Gap</v>
      </c>
      <c r="X3299" s="3" t="str">
        <f>IF(Table1[[#This Row],[automation_risk_percent]]&gt;0.7,"Highly Automatable",
IF(Table1[[#This Row],[automation_risk_percent]]&gt;0.4,"Moderate Risk","Safe Job"))</f>
        <v>Safe Job</v>
      </c>
    </row>
    <row r="3300" spans="1:24" x14ac:dyDescent="0.3">
      <c r="A3300">
        <v>11511</v>
      </c>
      <c r="B3300" t="s">
        <v>18</v>
      </c>
      <c r="C3300" t="s">
        <v>34</v>
      </c>
      <c r="D3300" t="s">
        <v>32</v>
      </c>
      <c r="E3300" s="1">
        <v>2025</v>
      </c>
      <c r="F3300" s="11">
        <v>0.2989</v>
      </c>
      <c r="G3300">
        <v>34</v>
      </c>
      <c r="H3300">
        <v>10.210000000000001</v>
      </c>
      <c r="I3300" s="2">
        <v>50829.95</v>
      </c>
      <c r="J3300" s="2">
        <v>52655.79</v>
      </c>
      <c r="K3300" s="2">
        <f>Table1[[#This Row],[Salary_after]]-Table1[[#This Row],[Salary_before]]</f>
        <v>1825.8400000000038</v>
      </c>
      <c r="L3300" s="11">
        <v>3.5900000000000001E-2</v>
      </c>
      <c r="M3300" s="11">
        <v>-5.8700000000000002E-2</v>
      </c>
      <c r="N3300">
        <v>44.98</v>
      </c>
      <c r="O3300">
        <v>86.35</v>
      </c>
      <c r="P3300">
        <v>5</v>
      </c>
      <c r="Q3300" t="s">
        <v>21</v>
      </c>
      <c r="R3300">
        <v>20.05</v>
      </c>
      <c r="S3300">
        <v>3.59</v>
      </c>
      <c r="T3300" s="4">
        <v>16.096</v>
      </c>
      <c r="U3300" s="4">
        <v>25.810015</v>
      </c>
      <c r="V3300" t="str">
        <f>IF(Table1[[#This Row],[ai_disruption_intensity]]&gt;70,"High",
IF(Table1[[#This Row],[ai_disruption_intensity]]&gt;40,"Medium","Low"))</f>
        <v>Low</v>
      </c>
      <c r="W3300" t="str">
        <f>IF(Table1[[#This Row],[skill_gap_index]]&gt;70,"Large Gap",
IF(Table1[[#This Row],[skill_gap_index]]&gt;40,"Medium Gap","Small Gap"))</f>
        <v>Small Gap</v>
      </c>
      <c r="X3300" s="3" t="str">
        <f>IF(Table1[[#This Row],[automation_risk_percent]]&gt;0.7,"Highly Automatable",
IF(Table1[[#This Row],[automation_risk_percent]]&gt;0.4,"Moderate Risk","Safe Job"))</f>
        <v>Safe Job</v>
      </c>
    </row>
    <row r="3301" spans="1:24" x14ac:dyDescent="0.3">
      <c r="A3301">
        <v>11516</v>
      </c>
      <c r="B3301" t="s">
        <v>45</v>
      </c>
      <c r="C3301" t="s">
        <v>40</v>
      </c>
      <c r="D3301" t="s">
        <v>42</v>
      </c>
      <c r="E3301" s="1">
        <v>2026</v>
      </c>
      <c r="F3301" s="11">
        <v>0.28399999999999997</v>
      </c>
      <c r="G3301">
        <v>28.44</v>
      </c>
      <c r="H3301">
        <v>35.159999999999997</v>
      </c>
      <c r="I3301" s="2">
        <v>59959.57</v>
      </c>
      <c r="J3301" s="2">
        <v>70400.44</v>
      </c>
      <c r="K3301" s="2">
        <f>Table1[[#This Row],[Salary_after]]-Table1[[#This Row],[Salary_before]]</f>
        <v>10440.870000000003</v>
      </c>
      <c r="L3301" s="11">
        <v>0.1741</v>
      </c>
      <c r="M3301" s="11">
        <v>0.16690000000000002</v>
      </c>
      <c r="N3301">
        <v>22.64</v>
      </c>
      <c r="O3301">
        <v>92.92</v>
      </c>
      <c r="P3301">
        <v>2</v>
      </c>
      <c r="Q3301" t="s">
        <v>21</v>
      </c>
      <c r="R3301">
        <v>31.779999999999902</v>
      </c>
      <c r="S3301">
        <v>17.41</v>
      </c>
      <c r="T3301" s="4">
        <v>27.130999999999901</v>
      </c>
      <c r="U3301" s="4">
        <v>26.389279999999999</v>
      </c>
      <c r="V3301" t="str">
        <f>IF(Table1[[#This Row],[ai_disruption_intensity]]&gt;70,"High",
IF(Table1[[#This Row],[ai_disruption_intensity]]&gt;40,"Medium","Low"))</f>
        <v>Low</v>
      </c>
      <c r="W3301" t="str">
        <f>IF(Table1[[#This Row],[skill_gap_index]]&gt;70,"Large Gap",
IF(Table1[[#This Row],[skill_gap_index]]&gt;40,"Medium Gap","Small Gap"))</f>
        <v>Small Gap</v>
      </c>
      <c r="X3301" s="3" t="str">
        <f>IF(Table1[[#This Row],[automation_risk_percent]]&gt;0.7,"Highly Automatable",
IF(Table1[[#This Row],[automation_risk_percent]]&gt;0.4,"Moderate Risk","Safe Job"))</f>
        <v>Safe Job</v>
      </c>
    </row>
    <row r="3302" spans="1:24" x14ac:dyDescent="0.3">
      <c r="A3302">
        <v>11520</v>
      </c>
      <c r="B3302" t="s">
        <v>46</v>
      </c>
      <c r="C3302" t="s">
        <v>33</v>
      </c>
      <c r="D3302" t="s">
        <v>36</v>
      </c>
      <c r="E3302" s="1">
        <v>2025</v>
      </c>
      <c r="F3302" s="11">
        <v>0.51619999999999999</v>
      </c>
      <c r="G3302">
        <v>45.08</v>
      </c>
      <c r="H3302">
        <v>15.3</v>
      </c>
      <c r="I3302" s="2">
        <v>72821.06</v>
      </c>
      <c r="J3302" s="2">
        <v>82900.460000000006</v>
      </c>
      <c r="K3302" s="2">
        <f>Table1[[#This Row],[Salary_after]]-Table1[[#This Row],[Salary_before]]</f>
        <v>10079.400000000009</v>
      </c>
      <c r="L3302" s="11">
        <v>0.1384</v>
      </c>
      <c r="M3302" s="11">
        <v>0.16329999999999997</v>
      </c>
      <c r="N3302">
        <v>64.790000000000006</v>
      </c>
      <c r="O3302">
        <v>84.95</v>
      </c>
      <c r="P3302">
        <v>5</v>
      </c>
      <c r="Q3302" t="s">
        <v>25</v>
      </c>
      <c r="R3302">
        <v>33.46</v>
      </c>
      <c r="S3302">
        <v>13.84</v>
      </c>
      <c r="T3302" s="4">
        <v>29.39</v>
      </c>
      <c r="U3302" s="4">
        <v>43.851189999999903</v>
      </c>
      <c r="V3302" t="str">
        <f>IF(Table1[[#This Row],[ai_disruption_intensity]]&gt;70,"High",
IF(Table1[[#This Row],[ai_disruption_intensity]]&gt;40,"Medium","Low"))</f>
        <v>Medium</v>
      </c>
      <c r="W3302" t="str">
        <f>IF(Table1[[#This Row],[skill_gap_index]]&gt;70,"Large Gap",
IF(Table1[[#This Row],[skill_gap_index]]&gt;40,"Medium Gap","Small Gap"))</f>
        <v>Small Gap</v>
      </c>
      <c r="X3302" s="3" t="str">
        <f>IF(Table1[[#This Row],[automation_risk_percent]]&gt;0.7,"Highly Automatable",
IF(Table1[[#This Row],[automation_risk_percent]]&gt;0.4,"Moderate Risk","Safe Job"))</f>
        <v>Moderate Risk</v>
      </c>
    </row>
    <row r="3303" spans="1:24" x14ac:dyDescent="0.3">
      <c r="A3303">
        <v>11523</v>
      </c>
      <c r="B3303" t="s">
        <v>29</v>
      </c>
      <c r="C3303" t="s">
        <v>27</v>
      </c>
      <c r="D3303" t="s">
        <v>47</v>
      </c>
      <c r="E3303" s="1">
        <v>2025</v>
      </c>
      <c r="F3303" s="11">
        <v>0.40439999999999998</v>
      </c>
      <c r="G3303">
        <v>47.26</v>
      </c>
      <c r="H3303">
        <v>60.05</v>
      </c>
      <c r="I3303" s="2">
        <v>128422.53</v>
      </c>
      <c r="J3303" s="2">
        <v>137149.79</v>
      </c>
      <c r="K3303" s="2">
        <f>Table1[[#This Row],[Salary_after]]-Table1[[#This Row],[Salary_before]]</f>
        <v>8727.2600000000093</v>
      </c>
      <c r="L3303" s="11">
        <v>6.8000000000000005E-2</v>
      </c>
      <c r="M3303" s="11">
        <v>3.7400000000000003E-2</v>
      </c>
      <c r="N3303">
        <v>20.18</v>
      </c>
      <c r="O3303">
        <v>78.86</v>
      </c>
      <c r="P3303">
        <v>4</v>
      </c>
      <c r="Q3303" t="s">
        <v>25</v>
      </c>
      <c r="R3303">
        <v>50.244999999999997</v>
      </c>
      <c r="S3303">
        <v>6.8</v>
      </c>
      <c r="T3303" s="4">
        <v>36.230999999999902</v>
      </c>
      <c r="U3303" s="4">
        <v>31.890984</v>
      </c>
      <c r="V3303" t="str">
        <f>IF(Table1[[#This Row],[ai_disruption_intensity]]&gt;70,"High",
IF(Table1[[#This Row],[ai_disruption_intensity]]&gt;40,"Medium","Low"))</f>
        <v>Low</v>
      </c>
      <c r="W3303" t="str">
        <f>IF(Table1[[#This Row],[skill_gap_index]]&gt;70,"Large Gap",
IF(Table1[[#This Row],[skill_gap_index]]&gt;40,"Medium Gap","Small Gap"))</f>
        <v>Medium Gap</v>
      </c>
      <c r="X3303" s="3" t="str">
        <f>IF(Table1[[#This Row],[automation_risk_percent]]&gt;0.7,"Highly Automatable",
IF(Table1[[#This Row],[automation_risk_percent]]&gt;0.4,"Moderate Risk","Safe Job"))</f>
        <v>Moderate Risk</v>
      </c>
    </row>
    <row r="3304" spans="1:24" x14ac:dyDescent="0.3">
      <c r="A3304">
        <v>11528</v>
      </c>
      <c r="B3304" t="s">
        <v>44</v>
      </c>
      <c r="C3304" t="s">
        <v>30</v>
      </c>
      <c r="D3304" t="s">
        <v>32</v>
      </c>
      <c r="E3304" s="1">
        <v>2025</v>
      </c>
      <c r="F3304" s="11">
        <v>0.16969999999999999</v>
      </c>
      <c r="G3304">
        <v>14.53</v>
      </c>
      <c r="H3304">
        <v>82.84</v>
      </c>
      <c r="I3304" s="2">
        <v>97864.55</v>
      </c>
      <c r="J3304" s="2">
        <v>102064.48</v>
      </c>
      <c r="K3304" s="2">
        <f>Table1[[#This Row],[Salary_after]]-Table1[[#This Row],[Salary_before]]</f>
        <v>4199.929999999993</v>
      </c>
      <c r="L3304" s="11">
        <v>4.2900000000000001E-2</v>
      </c>
      <c r="M3304" s="11">
        <v>-8.9999999999999998E-4</v>
      </c>
      <c r="N3304">
        <v>62.78</v>
      </c>
      <c r="O3304">
        <v>16.739999999999998</v>
      </c>
      <c r="P3304">
        <v>4</v>
      </c>
      <c r="Q3304" t="s">
        <v>21</v>
      </c>
      <c r="R3304">
        <v>49.905000000000001</v>
      </c>
      <c r="S3304">
        <v>4.29</v>
      </c>
      <c r="T3304" s="4">
        <v>32.927</v>
      </c>
      <c r="U3304" s="4">
        <v>2.8407779999999998</v>
      </c>
      <c r="V3304" t="str">
        <f>IF(Table1[[#This Row],[ai_disruption_intensity]]&gt;70,"High",
IF(Table1[[#This Row],[ai_disruption_intensity]]&gt;40,"Medium","Low"))</f>
        <v>Low</v>
      </c>
      <c r="W3304" t="str">
        <f>IF(Table1[[#This Row],[skill_gap_index]]&gt;70,"Large Gap",
IF(Table1[[#This Row],[skill_gap_index]]&gt;40,"Medium Gap","Small Gap"))</f>
        <v>Large Gap</v>
      </c>
      <c r="X3304" s="3" t="str">
        <f>IF(Table1[[#This Row],[automation_risk_percent]]&gt;0.7,"Highly Automatable",
IF(Table1[[#This Row],[automation_risk_percent]]&gt;0.4,"Moderate Risk","Safe Job"))</f>
        <v>Safe Job</v>
      </c>
    </row>
    <row r="3305" spans="1:24" x14ac:dyDescent="0.3">
      <c r="A3305">
        <v>11530</v>
      </c>
      <c r="B3305" t="s">
        <v>46</v>
      </c>
      <c r="C3305" t="s">
        <v>30</v>
      </c>
      <c r="D3305" t="s">
        <v>31</v>
      </c>
      <c r="E3305" s="1">
        <v>2026</v>
      </c>
      <c r="F3305" s="11">
        <v>0.05</v>
      </c>
      <c r="G3305">
        <v>4.26</v>
      </c>
      <c r="H3305">
        <v>44.62</v>
      </c>
      <c r="I3305" s="2">
        <v>38097.550000000003</v>
      </c>
      <c r="J3305" s="2">
        <v>31639.27</v>
      </c>
      <c r="K3305" s="2">
        <f>Table1[[#This Row],[Salary_after]]-Table1[[#This Row],[Salary_before]]</f>
        <v>-6458.2800000000025</v>
      </c>
      <c r="L3305" s="11">
        <v>-0.16949999999999998</v>
      </c>
      <c r="M3305" s="11">
        <v>9.2399999999999996E-2</v>
      </c>
      <c r="N3305">
        <v>43.74</v>
      </c>
      <c r="O3305">
        <v>15.61</v>
      </c>
      <c r="P3305">
        <v>5</v>
      </c>
      <c r="Q3305" t="s">
        <v>21</v>
      </c>
      <c r="R3305">
        <v>24.81</v>
      </c>
      <c r="S3305">
        <v>16.95</v>
      </c>
      <c r="T3305" s="4">
        <v>20.471</v>
      </c>
      <c r="U3305" s="4">
        <v>0.78049999999999997</v>
      </c>
      <c r="V3305" t="str">
        <f>IF(Table1[[#This Row],[ai_disruption_intensity]]&gt;70,"High",
IF(Table1[[#This Row],[ai_disruption_intensity]]&gt;40,"Medium","Low"))</f>
        <v>Low</v>
      </c>
      <c r="W3305" t="str">
        <f>IF(Table1[[#This Row],[skill_gap_index]]&gt;70,"Large Gap",
IF(Table1[[#This Row],[skill_gap_index]]&gt;40,"Medium Gap","Small Gap"))</f>
        <v>Medium Gap</v>
      </c>
      <c r="X3305" s="3" t="str">
        <f>IF(Table1[[#This Row],[automation_risk_percent]]&gt;0.7,"Highly Automatable",
IF(Table1[[#This Row],[automation_risk_percent]]&gt;0.4,"Moderate Risk","Safe Job"))</f>
        <v>Safe Job</v>
      </c>
    </row>
    <row r="3306" spans="1:24" x14ac:dyDescent="0.3">
      <c r="A3306">
        <v>11531</v>
      </c>
      <c r="B3306" t="s">
        <v>26</v>
      </c>
      <c r="C3306" t="s">
        <v>38</v>
      </c>
      <c r="D3306" t="s">
        <v>24</v>
      </c>
      <c r="E3306" s="1">
        <v>2026</v>
      </c>
      <c r="F3306" s="11">
        <v>0.52200000000000002</v>
      </c>
      <c r="G3306">
        <v>49.72</v>
      </c>
      <c r="H3306">
        <v>11.51</v>
      </c>
      <c r="I3306" s="2">
        <v>73385.58</v>
      </c>
      <c r="J3306" s="2">
        <v>88726.2</v>
      </c>
      <c r="K3306" s="2">
        <f>Table1[[#This Row],[Salary_after]]-Table1[[#This Row],[Salary_before]]</f>
        <v>15340.619999999995</v>
      </c>
      <c r="L3306" s="11">
        <v>0.20899999999999999</v>
      </c>
      <c r="M3306" s="11">
        <v>0.22949999999999998</v>
      </c>
      <c r="N3306">
        <v>91.6</v>
      </c>
      <c r="O3306">
        <v>87.33</v>
      </c>
      <c r="P3306">
        <v>3</v>
      </c>
      <c r="Q3306" t="s">
        <v>25</v>
      </c>
      <c r="R3306">
        <v>31.855</v>
      </c>
      <c r="S3306">
        <v>20.9</v>
      </c>
      <c r="T3306" s="4">
        <v>30.603000000000002</v>
      </c>
      <c r="U3306" s="4">
        <v>45.586260000000003</v>
      </c>
      <c r="V3306" t="str">
        <f>IF(Table1[[#This Row],[ai_disruption_intensity]]&gt;70,"High",
IF(Table1[[#This Row],[ai_disruption_intensity]]&gt;40,"Medium","Low"))</f>
        <v>Medium</v>
      </c>
      <c r="W3306" t="str">
        <f>IF(Table1[[#This Row],[skill_gap_index]]&gt;70,"Large Gap",
IF(Table1[[#This Row],[skill_gap_index]]&gt;40,"Medium Gap","Small Gap"))</f>
        <v>Small Gap</v>
      </c>
      <c r="X3306" s="3" t="str">
        <f>IF(Table1[[#This Row],[automation_risk_percent]]&gt;0.7,"Highly Automatable",
IF(Table1[[#This Row],[automation_risk_percent]]&gt;0.4,"Moderate Risk","Safe Job"))</f>
        <v>Moderate Risk</v>
      </c>
    </row>
    <row r="3307" spans="1:24" x14ac:dyDescent="0.3">
      <c r="A3307">
        <v>11532</v>
      </c>
      <c r="B3307" t="s">
        <v>18</v>
      </c>
      <c r="C3307" t="s">
        <v>30</v>
      </c>
      <c r="D3307" t="s">
        <v>20</v>
      </c>
      <c r="E3307" s="1">
        <v>2026</v>
      </c>
      <c r="F3307" s="11">
        <v>0.60150000000000003</v>
      </c>
      <c r="G3307">
        <v>67.89</v>
      </c>
      <c r="H3307">
        <v>74.14</v>
      </c>
      <c r="I3307" s="2">
        <v>66940.210000000006</v>
      </c>
      <c r="J3307" s="2">
        <v>69381.86</v>
      </c>
      <c r="K3307" s="2">
        <f>Table1[[#This Row],[Salary_after]]-Table1[[#This Row],[Salary_before]]</f>
        <v>2441.6499999999942</v>
      </c>
      <c r="L3307" s="11">
        <v>3.6499999999999998E-2</v>
      </c>
      <c r="M3307" s="11">
        <v>-1.37E-2</v>
      </c>
      <c r="N3307">
        <v>91.51</v>
      </c>
      <c r="O3307">
        <v>97.85</v>
      </c>
      <c r="P3307">
        <v>4</v>
      </c>
      <c r="Q3307" t="s">
        <v>37</v>
      </c>
      <c r="R3307">
        <v>67.144999999999996</v>
      </c>
      <c r="S3307">
        <v>3.65</v>
      </c>
      <c r="T3307" s="4">
        <v>47.396999999999998</v>
      </c>
      <c r="U3307" s="4">
        <v>58.856774999999999</v>
      </c>
      <c r="V3307" t="str">
        <f>IF(Table1[[#This Row],[ai_disruption_intensity]]&gt;70,"High",
IF(Table1[[#This Row],[ai_disruption_intensity]]&gt;40,"Medium","Low"))</f>
        <v>Medium</v>
      </c>
      <c r="W3307" t="str">
        <f>IF(Table1[[#This Row],[skill_gap_index]]&gt;70,"Large Gap",
IF(Table1[[#This Row],[skill_gap_index]]&gt;40,"Medium Gap","Small Gap"))</f>
        <v>Large Gap</v>
      </c>
      <c r="X3307" s="3" t="str">
        <f>IF(Table1[[#This Row],[automation_risk_percent]]&gt;0.7,"Highly Automatable",
IF(Table1[[#This Row],[automation_risk_percent]]&gt;0.4,"Moderate Risk","Safe Job"))</f>
        <v>Moderate Risk</v>
      </c>
    </row>
    <row r="3308" spans="1:24" x14ac:dyDescent="0.3">
      <c r="A3308">
        <v>11537</v>
      </c>
      <c r="B3308" t="s">
        <v>18</v>
      </c>
      <c r="C3308" t="s">
        <v>38</v>
      </c>
      <c r="D3308" t="s">
        <v>35</v>
      </c>
      <c r="E3308" s="1">
        <v>2026</v>
      </c>
      <c r="F3308" s="11">
        <v>0.70889999999999997</v>
      </c>
      <c r="G3308">
        <v>71</v>
      </c>
      <c r="H3308">
        <v>37.42</v>
      </c>
      <c r="I3308" s="2">
        <v>105807.26</v>
      </c>
      <c r="J3308" s="2">
        <v>114073.27</v>
      </c>
      <c r="K3308" s="2">
        <f>Table1[[#This Row],[Salary_after]]-Table1[[#This Row],[Salary_before]]</f>
        <v>8266.0100000000093</v>
      </c>
      <c r="L3308" s="11">
        <v>7.8100000000000003E-2</v>
      </c>
      <c r="M3308" s="11">
        <v>0.17550000000000002</v>
      </c>
      <c r="N3308">
        <v>84.6</v>
      </c>
      <c r="O3308">
        <v>59.44</v>
      </c>
      <c r="P3308">
        <v>2</v>
      </c>
      <c r="Q3308" t="s">
        <v>37</v>
      </c>
      <c r="R3308">
        <v>54.155000000000001</v>
      </c>
      <c r="S3308">
        <v>7.81</v>
      </c>
      <c r="T3308" s="4">
        <v>41.924999999999997</v>
      </c>
      <c r="U3308" s="4">
        <v>42.137016000000003</v>
      </c>
      <c r="V3308" t="str">
        <f>IF(Table1[[#This Row],[ai_disruption_intensity]]&gt;70,"High",
IF(Table1[[#This Row],[ai_disruption_intensity]]&gt;40,"Medium","Low"))</f>
        <v>Medium</v>
      </c>
      <c r="W3308" t="str">
        <f>IF(Table1[[#This Row],[skill_gap_index]]&gt;70,"Large Gap",
IF(Table1[[#This Row],[skill_gap_index]]&gt;40,"Medium Gap","Small Gap"))</f>
        <v>Small Gap</v>
      </c>
      <c r="X3308" s="3" t="str">
        <f>IF(Table1[[#This Row],[automation_risk_percent]]&gt;0.7,"Highly Automatable",
IF(Table1[[#This Row],[automation_risk_percent]]&gt;0.4,"Moderate Risk","Safe Job"))</f>
        <v>Highly Automatable</v>
      </c>
    </row>
    <row r="3309" spans="1:24" x14ac:dyDescent="0.3">
      <c r="A3309">
        <v>11538</v>
      </c>
      <c r="B3309" t="s">
        <v>18</v>
      </c>
      <c r="C3309" t="s">
        <v>23</v>
      </c>
      <c r="D3309" t="s">
        <v>28</v>
      </c>
      <c r="E3309" s="1">
        <v>2025</v>
      </c>
      <c r="F3309" s="11">
        <v>0.10210000000000001</v>
      </c>
      <c r="G3309">
        <v>8.73</v>
      </c>
      <c r="H3309">
        <v>86.72</v>
      </c>
      <c r="I3309" s="2">
        <v>45338.83</v>
      </c>
      <c r="J3309" s="2">
        <v>39676.410000000003</v>
      </c>
      <c r="K3309" s="2">
        <f>Table1[[#This Row],[Salary_after]]-Table1[[#This Row],[Salary_before]]</f>
        <v>-5662.4199999999983</v>
      </c>
      <c r="L3309" s="11">
        <v>-0.1249</v>
      </c>
      <c r="M3309" s="11">
        <v>0.1008</v>
      </c>
      <c r="N3309">
        <v>96.44</v>
      </c>
      <c r="O3309">
        <v>22.54</v>
      </c>
      <c r="P3309">
        <v>4</v>
      </c>
      <c r="Q3309" t="s">
        <v>21</v>
      </c>
      <c r="R3309">
        <v>48.465000000000003</v>
      </c>
      <c r="S3309">
        <v>12.49</v>
      </c>
      <c r="T3309" s="4">
        <v>33.846999999999902</v>
      </c>
      <c r="U3309" s="4">
        <v>2.3013340000000002</v>
      </c>
      <c r="V3309" t="str">
        <f>IF(Table1[[#This Row],[ai_disruption_intensity]]&gt;70,"High",
IF(Table1[[#This Row],[ai_disruption_intensity]]&gt;40,"Medium","Low"))</f>
        <v>Low</v>
      </c>
      <c r="W3309" t="str">
        <f>IF(Table1[[#This Row],[skill_gap_index]]&gt;70,"Large Gap",
IF(Table1[[#This Row],[skill_gap_index]]&gt;40,"Medium Gap","Small Gap"))</f>
        <v>Large Gap</v>
      </c>
      <c r="X3309" s="3" t="str">
        <f>IF(Table1[[#This Row],[automation_risk_percent]]&gt;0.7,"Highly Automatable",
IF(Table1[[#This Row],[automation_risk_percent]]&gt;0.4,"Moderate Risk","Safe Job"))</f>
        <v>Safe Job</v>
      </c>
    </row>
    <row r="3310" spans="1:24" x14ac:dyDescent="0.3">
      <c r="A3310">
        <v>11540</v>
      </c>
      <c r="B3310" t="s">
        <v>26</v>
      </c>
      <c r="C3310" t="s">
        <v>40</v>
      </c>
      <c r="D3310" t="s">
        <v>20</v>
      </c>
      <c r="E3310" s="1">
        <v>2026</v>
      </c>
      <c r="F3310" s="11">
        <v>0.2218</v>
      </c>
      <c r="G3310">
        <v>21.55</v>
      </c>
      <c r="H3310">
        <v>78.97</v>
      </c>
      <c r="I3310" s="2">
        <v>72837.45</v>
      </c>
      <c r="J3310" s="2">
        <v>75329.7</v>
      </c>
      <c r="K3310" s="2">
        <f>Table1[[#This Row],[Salary_after]]-Table1[[#This Row],[Salary_before]]</f>
        <v>2492.25</v>
      </c>
      <c r="L3310" s="11">
        <v>3.4200000000000001E-2</v>
      </c>
      <c r="M3310" s="11">
        <v>-0.1137</v>
      </c>
      <c r="N3310">
        <v>88.45</v>
      </c>
      <c r="O3310">
        <v>69.95</v>
      </c>
      <c r="P3310">
        <v>2</v>
      </c>
      <c r="Q3310" t="s">
        <v>21</v>
      </c>
      <c r="R3310">
        <v>50.575000000000003</v>
      </c>
      <c r="S3310">
        <v>3.42</v>
      </c>
      <c r="T3310" s="4">
        <v>33.588999999999999</v>
      </c>
      <c r="U3310" s="4">
        <v>15.51491</v>
      </c>
      <c r="V3310" t="str">
        <f>IF(Table1[[#This Row],[ai_disruption_intensity]]&gt;70,"High",
IF(Table1[[#This Row],[ai_disruption_intensity]]&gt;40,"Medium","Low"))</f>
        <v>Low</v>
      </c>
      <c r="W3310" t="str">
        <f>IF(Table1[[#This Row],[skill_gap_index]]&gt;70,"Large Gap",
IF(Table1[[#This Row],[skill_gap_index]]&gt;40,"Medium Gap","Small Gap"))</f>
        <v>Large Gap</v>
      </c>
      <c r="X3310" s="3" t="str">
        <f>IF(Table1[[#This Row],[automation_risk_percent]]&gt;0.7,"Highly Automatable",
IF(Table1[[#This Row],[automation_risk_percent]]&gt;0.4,"Moderate Risk","Safe Job"))</f>
        <v>Safe Job</v>
      </c>
    </row>
    <row r="3311" spans="1:24" x14ac:dyDescent="0.3">
      <c r="A3311">
        <v>11541</v>
      </c>
      <c r="B3311" t="s">
        <v>39</v>
      </c>
      <c r="C3311" t="s">
        <v>19</v>
      </c>
      <c r="D3311" t="s">
        <v>35</v>
      </c>
      <c r="E3311" s="1">
        <v>2026</v>
      </c>
      <c r="F3311" s="11">
        <v>0.33810000000000001</v>
      </c>
      <c r="G3311">
        <v>40.19</v>
      </c>
      <c r="H3311">
        <v>69.08</v>
      </c>
      <c r="I3311" s="2">
        <v>46591.98</v>
      </c>
      <c r="J3311" s="2">
        <v>49318.06</v>
      </c>
      <c r="K3311" s="2">
        <f>Table1[[#This Row],[Salary_after]]-Table1[[#This Row],[Salary_before]]</f>
        <v>2726.0799999999945</v>
      </c>
      <c r="L3311" s="11">
        <v>5.8499999999999996E-2</v>
      </c>
      <c r="M3311" s="11">
        <v>7.8100000000000003E-2</v>
      </c>
      <c r="N3311">
        <v>52.57</v>
      </c>
      <c r="O3311">
        <v>72.94</v>
      </c>
      <c r="P3311">
        <v>5</v>
      </c>
      <c r="Q3311" t="s">
        <v>25</v>
      </c>
      <c r="R3311">
        <v>51.445</v>
      </c>
      <c r="S3311">
        <v>5.85</v>
      </c>
      <c r="T3311" s="4">
        <v>36.003</v>
      </c>
      <c r="U3311" s="4">
        <v>24.661014000000002</v>
      </c>
      <c r="V3311" t="str">
        <f>IF(Table1[[#This Row],[ai_disruption_intensity]]&gt;70,"High",
IF(Table1[[#This Row],[ai_disruption_intensity]]&gt;40,"Medium","Low"))</f>
        <v>Low</v>
      </c>
      <c r="W3311" t="str">
        <f>IF(Table1[[#This Row],[skill_gap_index]]&gt;70,"Large Gap",
IF(Table1[[#This Row],[skill_gap_index]]&gt;40,"Medium Gap","Small Gap"))</f>
        <v>Medium Gap</v>
      </c>
      <c r="X3311" s="3" t="str">
        <f>IF(Table1[[#This Row],[automation_risk_percent]]&gt;0.7,"Highly Automatable",
IF(Table1[[#This Row],[automation_risk_percent]]&gt;0.4,"Moderate Risk","Safe Job"))</f>
        <v>Safe Job</v>
      </c>
    </row>
    <row r="3312" spans="1:24" x14ac:dyDescent="0.3">
      <c r="A3312">
        <v>11543</v>
      </c>
      <c r="B3312" t="s">
        <v>22</v>
      </c>
      <c r="C3312" t="s">
        <v>27</v>
      </c>
      <c r="D3312" t="s">
        <v>31</v>
      </c>
      <c r="E3312" s="1">
        <v>2026</v>
      </c>
      <c r="F3312" s="11">
        <v>0.17559999999999998</v>
      </c>
      <c r="G3312">
        <v>17.170000000000002</v>
      </c>
      <c r="H3312">
        <v>45.31</v>
      </c>
      <c r="I3312" s="2">
        <v>134569.97</v>
      </c>
      <c r="J3312" s="2">
        <v>150972.85</v>
      </c>
      <c r="K3312" s="2">
        <f>Table1[[#This Row],[Salary_after]]-Table1[[#This Row],[Salary_before]]</f>
        <v>16402.880000000005</v>
      </c>
      <c r="L3312" s="11">
        <v>0.12189999999999999</v>
      </c>
      <c r="M3312" s="11">
        <v>-6.6900000000000001E-2</v>
      </c>
      <c r="N3312">
        <v>37.28</v>
      </c>
      <c r="O3312">
        <v>30.79</v>
      </c>
      <c r="P3312">
        <v>5</v>
      </c>
      <c r="Q3312" t="s">
        <v>21</v>
      </c>
      <c r="R3312">
        <v>31.434999999999999</v>
      </c>
      <c r="S3312">
        <v>12.19</v>
      </c>
      <c r="T3312" s="4">
        <v>24.274000000000001</v>
      </c>
      <c r="U3312" s="4">
        <v>5.4067239999999996</v>
      </c>
      <c r="V3312" t="str">
        <f>IF(Table1[[#This Row],[ai_disruption_intensity]]&gt;70,"High",
IF(Table1[[#This Row],[ai_disruption_intensity]]&gt;40,"Medium","Low"))</f>
        <v>Low</v>
      </c>
      <c r="W3312" t="str">
        <f>IF(Table1[[#This Row],[skill_gap_index]]&gt;70,"Large Gap",
IF(Table1[[#This Row],[skill_gap_index]]&gt;40,"Medium Gap","Small Gap"))</f>
        <v>Medium Gap</v>
      </c>
      <c r="X3312" s="3" t="str">
        <f>IF(Table1[[#This Row],[automation_risk_percent]]&gt;0.7,"Highly Automatable",
IF(Table1[[#This Row],[automation_risk_percent]]&gt;0.4,"Moderate Risk","Safe Job"))</f>
        <v>Safe Job</v>
      </c>
    </row>
    <row r="3313" spans="1:24" x14ac:dyDescent="0.3">
      <c r="A3313">
        <v>11544</v>
      </c>
      <c r="B3313" t="s">
        <v>44</v>
      </c>
      <c r="C3313" t="s">
        <v>23</v>
      </c>
      <c r="D3313" t="s">
        <v>35</v>
      </c>
      <c r="E3313" s="1">
        <v>2025</v>
      </c>
      <c r="F3313" s="11">
        <v>0.59619999999999995</v>
      </c>
      <c r="G3313">
        <v>61.1</v>
      </c>
      <c r="H3313">
        <v>37.29</v>
      </c>
      <c r="I3313" s="2">
        <v>87997.22</v>
      </c>
      <c r="J3313" s="2">
        <v>92173.18</v>
      </c>
      <c r="K3313" s="2">
        <f>Table1[[#This Row],[Salary_after]]-Table1[[#This Row],[Salary_before]]</f>
        <v>4175.9599999999919</v>
      </c>
      <c r="L3313" s="11">
        <v>4.7500000000000001E-2</v>
      </c>
      <c r="M3313" s="11">
        <v>0.11650000000000001</v>
      </c>
      <c r="N3313">
        <v>94.12</v>
      </c>
      <c r="O3313">
        <v>87.69</v>
      </c>
      <c r="P3313">
        <v>5</v>
      </c>
      <c r="Q3313" t="s">
        <v>25</v>
      </c>
      <c r="R3313">
        <v>48.454999999999998</v>
      </c>
      <c r="S3313">
        <v>4.75</v>
      </c>
      <c r="T3313" s="4">
        <v>36.459999999999901</v>
      </c>
      <c r="U3313" s="4">
        <v>52.280777999999998</v>
      </c>
      <c r="V3313" t="str">
        <f>IF(Table1[[#This Row],[ai_disruption_intensity]]&gt;70,"High",
IF(Table1[[#This Row],[ai_disruption_intensity]]&gt;40,"Medium","Low"))</f>
        <v>Medium</v>
      </c>
      <c r="W3313" t="str">
        <f>IF(Table1[[#This Row],[skill_gap_index]]&gt;70,"Large Gap",
IF(Table1[[#This Row],[skill_gap_index]]&gt;40,"Medium Gap","Small Gap"))</f>
        <v>Small Gap</v>
      </c>
      <c r="X3313" s="3" t="str">
        <f>IF(Table1[[#This Row],[automation_risk_percent]]&gt;0.7,"Highly Automatable",
IF(Table1[[#This Row],[automation_risk_percent]]&gt;0.4,"Moderate Risk","Safe Job"))</f>
        <v>Moderate Risk</v>
      </c>
    </row>
    <row r="3314" spans="1:24" x14ac:dyDescent="0.3">
      <c r="A3314">
        <v>11551</v>
      </c>
      <c r="B3314" t="s">
        <v>46</v>
      </c>
      <c r="C3314" t="s">
        <v>38</v>
      </c>
      <c r="D3314" t="s">
        <v>31</v>
      </c>
      <c r="E3314" s="1">
        <v>2025</v>
      </c>
      <c r="F3314" s="11">
        <v>0.64439999999999997</v>
      </c>
      <c r="G3314">
        <v>68.37</v>
      </c>
      <c r="H3314">
        <v>62.31</v>
      </c>
      <c r="I3314" s="2">
        <v>130845.1</v>
      </c>
      <c r="J3314" s="2">
        <v>126026.33</v>
      </c>
      <c r="K3314" s="2">
        <f>Table1[[#This Row],[Salary_after]]-Table1[[#This Row],[Salary_before]]</f>
        <v>-4818.7700000000041</v>
      </c>
      <c r="L3314" s="11">
        <v>-3.6799999999999999E-2</v>
      </c>
      <c r="M3314" s="11">
        <v>0.06</v>
      </c>
      <c r="N3314">
        <v>91.48</v>
      </c>
      <c r="O3314">
        <v>87.32</v>
      </c>
      <c r="P3314">
        <v>2</v>
      </c>
      <c r="Q3314" t="s">
        <v>37</v>
      </c>
      <c r="R3314">
        <v>63.375</v>
      </c>
      <c r="S3314">
        <v>3.68</v>
      </c>
      <c r="T3314" s="4">
        <v>45.573</v>
      </c>
      <c r="U3314" s="4">
        <v>56.2690079999999</v>
      </c>
      <c r="V3314" t="str">
        <f>IF(Table1[[#This Row],[ai_disruption_intensity]]&gt;70,"High",
IF(Table1[[#This Row],[ai_disruption_intensity]]&gt;40,"Medium","Low"))</f>
        <v>Medium</v>
      </c>
      <c r="W3314" t="str">
        <f>IF(Table1[[#This Row],[skill_gap_index]]&gt;70,"Large Gap",
IF(Table1[[#This Row],[skill_gap_index]]&gt;40,"Medium Gap","Small Gap"))</f>
        <v>Medium Gap</v>
      </c>
      <c r="X3314" s="3" t="str">
        <f>IF(Table1[[#This Row],[automation_risk_percent]]&gt;0.7,"Highly Automatable",
IF(Table1[[#This Row],[automation_risk_percent]]&gt;0.4,"Moderate Risk","Safe Job"))</f>
        <v>Moderate Risk</v>
      </c>
    </row>
    <row r="3315" spans="1:24" x14ac:dyDescent="0.3">
      <c r="A3315">
        <v>11556</v>
      </c>
      <c r="B3315" t="s">
        <v>29</v>
      </c>
      <c r="C3315" t="s">
        <v>33</v>
      </c>
      <c r="D3315" t="s">
        <v>20</v>
      </c>
      <c r="E3315" s="1">
        <v>2026</v>
      </c>
      <c r="F3315" s="11">
        <v>0.35369999999999996</v>
      </c>
      <c r="G3315">
        <v>35.49</v>
      </c>
      <c r="H3315">
        <v>58.96</v>
      </c>
      <c r="I3315" s="2">
        <v>114394.65</v>
      </c>
      <c r="J3315" s="2">
        <v>126886.11</v>
      </c>
      <c r="K3315" s="2">
        <f>Table1[[#This Row],[Salary_after]]-Table1[[#This Row],[Salary_before]]</f>
        <v>12491.460000000006</v>
      </c>
      <c r="L3315" s="11">
        <v>0.10920000000000001</v>
      </c>
      <c r="M3315" s="11">
        <v>3.39E-2</v>
      </c>
      <c r="N3315">
        <v>16.170000000000002</v>
      </c>
      <c r="O3315">
        <v>12.14</v>
      </c>
      <c r="P3315">
        <v>3</v>
      </c>
      <c r="Q3315" t="s">
        <v>25</v>
      </c>
      <c r="R3315">
        <v>47.164999999999999</v>
      </c>
      <c r="S3315">
        <v>10.92</v>
      </c>
      <c r="T3315" s="4">
        <v>35.111999999999902</v>
      </c>
      <c r="U3315" s="4">
        <v>4.2939179999999997</v>
      </c>
      <c r="V3315" t="str">
        <f>IF(Table1[[#This Row],[ai_disruption_intensity]]&gt;70,"High",
IF(Table1[[#This Row],[ai_disruption_intensity]]&gt;40,"Medium","Low"))</f>
        <v>Low</v>
      </c>
      <c r="W3315" t="str">
        <f>IF(Table1[[#This Row],[skill_gap_index]]&gt;70,"Large Gap",
IF(Table1[[#This Row],[skill_gap_index]]&gt;40,"Medium Gap","Small Gap"))</f>
        <v>Medium Gap</v>
      </c>
      <c r="X3315" s="3" t="str">
        <f>IF(Table1[[#This Row],[automation_risk_percent]]&gt;0.7,"Highly Automatable",
IF(Table1[[#This Row],[automation_risk_percent]]&gt;0.4,"Moderate Risk","Safe Job"))</f>
        <v>Safe Job</v>
      </c>
    </row>
    <row r="3316" spans="1:24" x14ac:dyDescent="0.3">
      <c r="A3316">
        <v>11558</v>
      </c>
      <c r="B3316" t="s">
        <v>43</v>
      </c>
      <c r="C3316" t="s">
        <v>38</v>
      </c>
      <c r="D3316" t="s">
        <v>36</v>
      </c>
      <c r="E3316" s="1">
        <v>2026</v>
      </c>
      <c r="F3316" s="11">
        <v>0.41520000000000001</v>
      </c>
      <c r="G3316">
        <v>44.77</v>
      </c>
      <c r="H3316">
        <v>52.96</v>
      </c>
      <c r="I3316" s="2">
        <v>78428.27</v>
      </c>
      <c r="J3316" s="2">
        <v>81776.039999999994</v>
      </c>
      <c r="K3316" s="2">
        <f>Table1[[#This Row],[Salary_after]]-Table1[[#This Row],[Salary_before]]</f>
        <v>3347.7699999999895</v>
      </c>
      <c r="L3316" s="11">
        <v>4.2699999999999995E-2</v>
      </c>
      <c r="M3316" s="11">
        <v>6.0899999999999996E-2</v>
      </c>
      <c r="N3316">
        <v>82.73</v>
      </c>
      <c r="O3316">
        <v>44.71</v>
      </c>
      <c r="P3316">
        <v>4</v>
      </c>
      <c r="Q3316" t="s">
        <v>25</v>
      </c>
      <c r="R3316">
        <v>47.24</v>
      </c>
      <c r="S3316">
        <v>4.2699999999999996</v>
      </c>
      <c r="T3316" s="4">
        <v>33.777000000000001</v>
      </c>
      <c r="U3316" s="4">
        <v>18.563592</v>
      </c>
      <c r="V3316" t="str">
        <f>IF(Table1[[#This Row],[ai_disruption_intensity]]&gt;70,"High",
IF(Table1[[#This Row],[ai_disruption_intensity]]&gt;40,"Medium","Low"))</f>
        <v>Low</v>
      </c>
      <c r="W3316" t="str">
        <f>IF(Table1[[#This Row],[skill_gap_index]]&gt;70,"Large Gap",
IF(Table1[[#This Row],[skill_gap_index]]&gt;40,"Medium Gap","Small Gap"))</f>
        <v>Medium Gap</v>
      </c>
      <c r="X3316" s="3" t="str">
        <f>IF(Table1[[#This Row],[automation_risk_percent]]&gt;0.7,"Highly Automatable",
IF(Table1[[#This Row],[automation_risk_percent]]&gt;0.4,"Moderate Risk","Safe Job"))</f>
        <v>Moderate Risk</v>
      </c>
    </row>
    <row r="3317" spans="1:24" x14ac:dyDescent="0.3">
      <c r="A3317">
        <v>11560</v>
      </c>
      <c r="B3317" t="s">
        <v>18</v>
      </c>
      <c r="C3317" t="s">
        <v>38</v>
      </c>
      <c r="D3317" t="s">
        <v>35</v>
      </c>
      <c r="E3317" s="1">
        <v>2026</v>
      </c>
      <c r="F3317" s="11">
        <v>0.2747</v>
      </c>
      <c r="G3317">
        <v>29.16</v>
      </c>
      <c r="H3317">
        <v>46.19</v>
      </c>
      <c r="I3317" s="2">
        <v>59389.89</v>
      </c>
      <c r="J3317" s="2">
        <v>59860.25</v>
      </c>
      <c r="K3317" s="2">
        <f>Table1[[#This Row],[Salary_after]]-Table1[[#This Row],[Salary_before]]</f>
        <v>470.36000000000058</v>
      </c>
      <c r="L3317" s="11">
        <v>7.9000000000000008E-3</v>
      </c>
      <c r="M3317" s="11">
        <v>0.1515</v>
      </c>
      <c r="N3317">
        <v>87.62</v>
      </c>
      <c r="O3317">
        <v>41.8</v>
      </c>
      <c r="P3317">
        <v>5</v>
      </c>
      <c r="Q3317" t="s">
        <v>21</v>
      </c>
      <c r="R3317">
        <v>36.83</v>
      </c>
      <c r="S3317">
        <v>0.79</v>
      </c>
      <c r="T3317" s="4">
        <v>25.081999999999901</v>
      </c>
      <c r="U3317" s="4">
        <v>11.4824599999999</v>
      </c>
      <c r="V3317" t="str">
        <f>IF(Table1[[#This Row],[ai_disruption_intensity]]&gt;70,"High",
IF(Table1[[#This Row],[ai_disruption_intensity]]&gt;40,"Medium","Low"))</f>
        <v>Low</v>
      </c>
      <c r="W3317" t="str">
        <f>IF(Table1[[#This Row],[skill_gap_index]]&gt;70,"Large Gap",
IF(Table1[[#This Row],[skill_gap_index]]&gt;40,"Medium Gap","Small Gap"))</f>
        <v>Medium Gap</v>
      </c>
      <c r="X3317" s="3" t="str">
        <f>IF(Table1[[#This Row],[automation_risk_percent]]&gt;0.7,"Highly Automatable",
IF(Table1[[#This Row],[automation_risk_percent]]&gt;0.4,"Moderate Risk","Safe Job"))</f>
        <v>Safe Job</v>
      </c>
    </row>
    <row r="3318" spans="1:24" x14ac:dyDescent="0.3">
      <c r="A3318">
        <v>11562</v>
      </c>
      <c r="B3318" t="s">
        <v>26</v>
      </c>
      <c r="C3318" t="s">
        <v>38</v>
      </c>
      <c r="D3318" t="s">
        <v>35</v>
      </c>
      <c r="E3318" s="1">
        <v>2026</v>
      </c>
      <c r="F3318" s="11">
        <v>0.66739999999999999</v>
      </c>
      <c r="G3318">
        <v>74.87</v>
      </c>
      <c r="H3318">
        <v>23.05</v>
      </c>
      <c r="I3318" s="2">
        <v>148384.01999999999</v>
      </c>
      <c r="J3318" s="2">
        <v>161183.75</v>
      </c>
      <c r="K3318" s="2">
        <f>Table1[[#This Row],[Salary_after]]-Table1[[#This Row],[Salary_before]]</f>
        <v>12799.73000000001</v>
      </c>
      <c r="L3318" s="11">
        <v>8.6300000000000002E-2</v>
      </c>
      <c r="M3318" s="11">
        <v>-0.153</v>
      </c>
      <c r="N3318">
        <v>16.62</v>
      </c>
      <c r="O3318">
        <v>4.16</v>
      </c>
      <c r="P3318">
        <v>5</v>
      </c>
      <c r="Q3318" t="s">
        <v>37</v>
      </c>
      <c r="R3318">
        <v>44.894999999999897</v>
      </c>
      <c r="S3318">
        <v>8.6300000000000008</v>
      </c>
      <c r="T3318" s="4">
        <v>36.199999999999903</v>
      </c>
      <c r="U3318" s="4">
        <v>2.77638399999999</v>
      </c>
      <c r="V3318" t="str">
        <f>IF(Table1[[#This Row],[ai_disruption_intensity]]&gt;70,"High",
IF(Table1[[#This Row],[ai_disruption_intensity]]&gt;40,"Medium","Low"))</f>
        <v>Low</v>
      </c>
      <c r="W3318" t="str">
        <f>IF(Table1[[#This Row],[skill_gap_index]]&gt;70,"Large Gap",
IF(Table1[[#This Row],[skill_gap_index]]&gt;40,"Medium Gap","Small Gap"))</f>
        <v>Small Gap</v>
      </c>
      <c r="X3318" s="3" t="str">
        <f>IF(Table1[[#This Row],[automation_risk_percent]]&gt;0.7,"Highly Automatable",
IF(Table1[[#This Row],[automation_risk_percent]]&gt;0.4,"Moderate Risk","Safe Job"))</f>
        <v>Moderate Risk</v>
      </c>
    </row>
    <row r="3319" spans="1:24" x14ac:dyDescent="0.3">
      <c r="A3319">
        <v>11563</v>
      </c>
      <c r="B3319" t="s">
        <v>39</v>
      </c>
      <c r="C3319" t="s">
        <v>19</v>
      </c>
      <c r="D3319" t="s">
        <v>47</v>
      </c>
      <c r="E3319" s="1">
        <v>2025</v>
      </c>
      <c r="F3319" s="11">
        <v>0.30690000000000001</v>
      </c>
      <c r="G3319">
        <v>24.7</v>
      </c>
      <c r="H3319">
        <v>27.76</v>
      </c>
      <c r="I3319" s="2">
        <v>92672.37</v>
      </c>
      <c r="J3319" s="2">
        <v>82627.399999999994</v>
      </c>
      <c r="K3319" s="2">
        <f>Table1[[#This Row],[Salary_after]]-Table1[[#This Row],[Salary_before]]</f>
        <v>-10044.970000000001</v>
      </c>
      <c r="L3319" s="11">
        <v>-0.1084</v>
      </c>
      <c r="M3319" s="11">
        <v>0.13320000000000001</v>
      </c>
      <c r="N3319">
        <v>46.66</v>
      </c>
      <c r="O3319">
        <v>38.29</v>
      </c>
      <c r="P3319">
        <v>5</v>
      </c>
      <c r="Q3319" t="s">
        <v>25</v>
      </c>
      <c r="R3319">
        <v>29.225000000000001</v>
      </c>
      <c r="S3319">
        <v>10.84</v>
      </c>
      <c r="T3319" s="4">
        <v>23.855999999999899</v>
      </c>
      <c r="U3319" s="4">
        <v>11.751201</v>
      </c>
      <c r="V3319" t="str">
        <f>IF(Table1[[#This Row],[ai_disruption_intensity]]&gt;70,"High",
IF(Table1[[#This Row],[ai_disruption_intensity]]&gt;40,"Medium","Low"))</f>
        <v>Low</v>
      </c>
      <c r="W3319" t="str">
        <f>IF(Table1[[#This Row],[skill_gap_index]]&gt;70,"Large Gap",
IF(Table1[[#This Row],[skill_gap_index]]&gt;40,"Medium Gap","Small Gap"))</f>
        <v>Small Gap</v>
      </c>
      <c r="X3319" s="3" t="str">
        <f>IF(Table1[[#This Row],[automation_risk_percent]]&gt;0.7,"Highly Automatable",
IF(Table1[[#This Row],[automation_risk_percent]]&gt;0.4,"Moderate Risk","Safe Job"))</f>
        <v>Safe Job</v>
      </c>
    </row>
    <row r="3320" spans="1:24" x14ac:dyDescent="0.3">
      <c r="A3320">
        <v>11565</v>
      </c>
      <c r="B3320" t="s">
        <v>41</v>
      </c>
      <c r="C3320" t="s">
        <v>30</v>
      </c>
      <c r="D3320" t="s">
        <v>24</v>
      </c>
      <c r="E3320" s="1">
        <v>2025</v>
      </c>
      <c r="F3320" s="11">
        <v>0.90379999999999994</v>
      </c>
      <c r="G3320">
        <v>90.57</v>
      </c>
      <c r="H3320">
        <v>98.26</v>
      </c>
      <c r="I3320" s="2">
        <v>57025.120000000003</v>
      </c>
      <c r="J3320" s="2">
        <v>62324.63</v>
      </c>
      <c r="K3320" s="2">
        <f>Table1[[#This Row],[Salary_after]]-Table1[[#This Row],[Salary_before]]</f>
        <v>5299.5099999999948</v>
      </c>
      <c r="L3320" s="11">
        <v>9.2899999999999996E-2</v>
      </c>
      <c r="M3320" s="11">
        <v>-8.7599999999999997E-2</v>
      </c>
      <c r="N3320">
        <v>41.98</v>
      </c>
      <c r="O3320">
        <v>36.119999999999997</v>
      </c>
      <c r="P3320">
        <v>4</v>
      </c>
      <c r="Q3320" t="s">
        <v>37</v>
      </c>
      <c r="R3320">
        <v>94.32</v>
      </c>
      <c r="S3320">
        <v>9.2899999999999991</v>
      </c>
      <c r="T3320" s="4">
        <v>68.417000000000002</v>
      </c>
      <c r="U3320" s="4">
        <v>32.645255999999897</v>
      </c>
      <c r="V3320" t="str">
        <f>IF(Table1[[#This Row],[ai_disruption_intensity]]&gt;70,"High",
IF(Table1[[#This Row],[ai_disruption_intensity]]&gt;40,"Medium","Low"))</f>
        <v>Low</v>
      </c>
      <c r="W3320" t="str">
        <f>IF(Table1[[#This Row],[skill_gap_index]]&gt;70,"Large Gap",
IF(Table1[[#This Row],[skill_gap_index]]&gt;40,"Medium Gap","Small Gap"))</f>
        <v>Large Gap</v>
      </c>
      <c r="X3320" s="3" t="str">
        <f>IF(Table1[[#This Row],[automation_risk_percent]]&gt;0.7,"Highly Automatable",
IF(Table1[[#This Row],[automation_risk_percent]]&gt;0.4,"Moderate Risk","Safe Job"))</f>
        <v>Highly Automatable</v>
      </c>
    </row>
    <row r="3321" spans="1:24" x14ac:dyDescent="0.3">
      <c r="A3321">
        <v>11568</v>
      </c>
      <c r="B3321" t="s">
        <v>29</v>
      </c>
      <c r="C3321" t="s">
        <v>27</v>
      </c>
      <c r="D3321" t="s">
        <v>32</v>
      </c>
      <c r="E3321" s="1">
        <v>2026</v>
      </c>
      <c r="F3321" s="11">
        <v>0.34149999999999997</v>
      </c>
      <c r="G3321">
        <v>35.49</v>
      </c>
      <c r="H3321">
        <v>94.44</v>
      </c>
      <c r="I3321" s="2">
        <v>55843.9</v>
      </c>
      <c r="J3321" s="2">
        <v>56418.49</v>
      </c>
      <c r="K3321" s="2">
        <f>Table1[[#This Row],[Salary_after]]-Table1[[#This Row],[Salary_before]]</f>
        <v>574.58999999999651</v>
      </c>
      <c r="L3321" s="11">
        <v>1.03E-2</v>
      </c>
      <c r="M3321" s="11">
        <v>-5.8099999999999999E-2</v>
      </c>
      <c r="N3321">
        <v>26.3</v>
      </c>
      <c r="O3321">
        <v>54.16</v>
      </c>
      <c r="P3321">
        <v>4</v>
      </c>
      <c r="Q3321" t="s">
        <v>25</v>
      </c>
      <c r="R3321">
        <v>64.295000000000002</v>
      </c>
      <c r="S3321">
        <v>1.03</v>
      </c>
      <c r="T3321" s="4">
        <v>42.300999999999902</v>
      </c>
      <c r="U3321" s="4">
        <v>18.495639999999899</v>
      </c>
      <c r="V3321" t="str">
        <f>IF(Table1[[#This Row],[ai_disruption_intensity]]&gt;70,"High",
IF(Table1[[#This Row],[ai_disruption_intensity]]&gt;40,"Medium","Low"))</f>
        <v>Low</v>
      </c>
      <c r="W3321" t="str">
        <f>IF(Table1[[#This Row],[skill_gap_index]]&gt;70,"Large Gap",
IF(Table1[[#This Row],[skill_gap_index]]&gt;40,"Medium Gap","Small Gap"))</f>
        <v>Large Gap</v>
      </c>
      <c r="X3321" s="3" t="str">
        <f>IF(Table1[[#This Row],[automation_risk_percent]]&gt;0.7,"Highly Automatable",
IF(Table1[[#This Row],[automation_risk_percent]]&gt;0.4,"Moderate Risk","Safe Job"))</f>
        <v>Safe Job</v>
      </c>
    </row>
    <row r="3322" spans="1:24" x14ac:dyDescent="0.3">
      <c r="A3322">
        <v>11570</v>
      </c>
      <c r="B3322" t="s">
        <v>22</v>
      </c>
      <c r="C3322" t="s">
        <v>27</v>
      </c>
      <c r="D3322" t="s">
        <v>42</v>
      </c>
      <c r="E3322" s="1">
        <v>2026</v>
      </c>
      <c r="F3322" s="11">
        <v>0.45750000000000002</v>
      </c>
      <c r="G3322">
        <v>43.22</v>
      </c>
      <c r="H3322">
        <v>91.75</v>
      </c>
      <c r="I3322" s="2">
        <v>54172.98</v>
      </c>
      <c r="J3322" s="2">
        <v>49675.43</v>
      </c>
      <c r="K3322" s="2">
        <f>Table1[[#This Row],[Salary_after]]-Table1[[#This Row],[Salary_before]]</f>
        <v>-4497.5500000000029</v>
      </c>
      <c r="L3322" s="11">
        <v>-8.3000000000000004E-2</v>
      </c>
      <c r="M3322" s="11">
        <v>0.1091</v>
      </c>
      <c r="N3322">
        <v>88.45</v>
      </c>
      <c r="O3322">
        <v>51.05</v>
      </c>
      <c r="P3322">
        <v>3</v>
      </c>
      <c r="Q3322" t="s">
        <v>25</v>
      </c>
      <c r="R3322">
        <v>68.75</v>
      </c>
      <c r="S3322">
        <v>8.3000000000000007</v>
      </c>
      <c r="T3322" s="4">
        <v>48.314999999999998</v>
      </c>
      <c r="U3322" s="4">
        <v>23.355374999999999</v>
      </c>
      <c r="V3322" t="str">
        <f>IF(Table1[[#This Row],[ai_disruption_intensity]]&gt;70,"High",
IF(Table1[[#This Row],[ai_disruption_intensity]]&gt;40,"Medium","Low"))</f>
        <v>Low</v>
      </c>
      <c r="W3322" t="str">
        <f>IF(Table1[[#This Row],[skill_gap_index]]&gt;70,"Large Gap",
IF(Table1[[#This Row],[skill_gap_index]]&gt;40,"Medium Gap","Small Gap"))</f>
        <v>Large Gap</v>
      </c>
      <c r="X3322" s="3" t="str">
        <f>IF(Table1[[#This Row],[automation_risk_percent]]&gt;0.7,"Highly Automatable",
IF(Table1[[#This Row],[automation_risk_percent]]&gt;0.4,"Moderate Risk","Safe Job"))</f>
        <v>Moderate Risk</v>
      </c>
    </row>
    <row r="3323" spans="1:24" x14ac:dyDescent="0.3">
      <c r="A3323">
        <v>11571</v>
      </c>
      <c r="B3323" t="s">
        <v>18</v>
      </c>
      <c r="C3323" t="s">
        <v>19</v>
      </c>
      <c r="D3323" t="s">
        <v>36</v>
      </c>
      <c r="E3323" s="1">
        <v>2025</v>
      </c>
      <c r="F3323" s="11">
        <v>0.68180000000000007</v>
      </c>
      <c r="G3323">
        <v>66.48</v>
      </c>
      <c r="H3323">
        <v>17.53</v>
      </c>
      <c r="I3323" s="2">
        <v>94719.66</v>
      </c>
      <c r="J3323" s="2">
        <v>87015.16</v>
      </c>
      <c r="K3323" s="2">
        <f>Table1[[#This Row],[Salary_after]]-Table1[[#This Row],[Salary_before]]</f>
        <v>-7704.5</v>
      </c>
      <c r="L3323" s="11">
        <v>-8.1300000000000011E-2</v>
      </c>
      <c r="M3323" s="11">
        <v>-8.6999999999999994E-3</v>
      </c>
      <c r="N3323">
        <v>91.34</v>
      </c>
      <c r="O3323">
        <v>55.14</v>
      </c>
      <c r="P3323">
        <v>3</v>
      </c>
      <c r="Q3323" t="s">
        <v>37</v>
      </c>
      <c r="R3323">
        <v>42.854999999999997</v>
      </c>
      <c r="S3323">
        <v>8.1300000000000008</v>
      </c>
      <c r="T3323" s="4">
        <v>34.97</v>
      </c>
      <c r="U3323" s="4">
        <v>37.594451999999997</v>
      </c>
      <c r="V3323" t="str">
        <f>IF(Table1[[#This Row],[ai_disruption_intensity]]&gt;70,"High",
IF(Table1[[#This Row],[ai_disruption_intensity]]&gt;40,"Medium","Low"))</f>
        <v>Low</v>
      </c>
      <c r="W3323" t="str">
        <f>IF(Table1[[#This Row],[skill_gap_index]]&gt;70,"Large Gap",
IF(Table1[[#This Row],[skill_gap_index]]&gt;40,"Medium Gap","Small Gap"))</f>
        <v>Small Gap</v>
      </c>
      <c r="X3323" s="3" t="str">
        <f>IF(Table1[[#This Row],[automation_risk_percent]]&gt;0.7,"Highly Automatable",
IF(Table1[[#This Row],[automation_risk_percent]]&gt;0.4,"Moderate Risk","Safe Job"))</f>
        <v>Moderate Risk</v>
      </c>
    </row>
    <row r="3324" spans="1:24" x14ac:dyDescent="0.3">
      <c r="A3324">
        <v>11573</v>
      </c>
      <c r="B3324" t="s">
        <v>46</v>
      </c>
      <c r="C3324" t="s">
        <v>27</v>
      </c>
      <c r="D3324" t="s">
        <v>31</v>
      </c>
      <c r="E3324" s="1">
        <v>2026</v>
      </c>
      <c r="F3324" s="11">
        <v>6.4699999999999994E-2</v>
      </c>
      <c r="G3324">
        <v>5.68</v>
      </c>
      <c r="H3324">
        <v>0.35</v>
      </c>
      <c r="I3324" s="2">
        <v>67899.67</v>
      </c>
      <c r="J3324" s="2">
        <v>68605.59</v>
      </c>
      <c r="K3324" s="2">
        <f>Table1[[#This Row],[Salary_after]]-Table1[[#This Row],[Salary_before]]</f>
        <v>705.91999999999825</v>
      </c>
      <c r="L3324" s="11">
        <v>1.04E-2</v>
      </c>
      <c r="M3324" s="11">
        <v>0.1295</v>
      </c>
      <c r="N3324">
        <v>62.25</v>
      </c>
      <c r="O3324">
        <v>23.68</v>
      </c>
      <c r="P3324">
        <v>3</v>
      </c>
      <c r="Q3324" t="s">
        <v>21</v>
      </c>
      <c r="R3324">
        <v>3.4099999999999899</v>
      </c>
      <c r="S3324">
        <v>1.04</v>
      </c>
      <c r="T3324" s="4">
        <v>3.0049999999999999</v>
      </c>
      <c r="U3324" s="4">
        <v>1.5320959999999999</v>
      </c>
      <c r="V3324" t="str">
        <f>IF(Table1[[#This Row],[ai_disruption_intensity]]&gt;70,"High",
IF(Table1[[#This Row],[ai_disruption_intensity]]&gt;40,"Medium","Low"))</f>
        <v>Low</v>
      </c>
      <c r="W3324" t="str">
        <f>IF(Table1[[#This Row],[skill_gap_index]]&gt;70,"Large Gap",
IF(Table1[[#This Row],[skill_gap_index]]&gt;40,"Medium Gap","Small Gap"))</f>
        <v>Small Gap</v>
      </c>
      <c r="X3324" s="3" t="str">
        <f>IF(Table1[[#This Row],[automation_risk_percent]]&gt;0.7,"Highly Automatable",
IF(Table1[[#This Row],[automation_risk_percent]]&gt;0.4,"Moderate Risk","Safe Job"))</f>
        <v>Safe Job</v>
      </c>
    </row>
    <row r="3325" spans="1:24" x14ac:dyDescent="0.3">
      <c r="A3325">
        <v>11578</v>
      </c>
      <c r="B3325" t="s">
        <v>43</v>
      </c>
      <c r="C3325" t="s">
        <v>27</v>
      </c>
      <c r="D3325" t="s">
        <v>32</v>
      </c>
      <c r="E3325" s="1">
        <v>2026</v>
      </c>
      <c r="F3325" s="11">
        <v>0.45200000000000001</v>
      </c>
      <c r="G3325">
        <v>42.66</v>
      </c>
      <c r="H3325">
        <v>89.92</v>
      </c>
      <c r="I3325" s="2">
        <v>56401.88</v>
      </c>
      <c r="J3325" s="2">
        <v>60149.05</v>
      </c>
      <c r="K3325" s="2">
        <f>Table1[[#This Row],[Salary_after]]-Table1[[#This Row],[Salary_before]]</f>
        <v>3747.1700000000055</v>
      </c>
      <c r="L3325" s="11">
        <v>6.6400000000000001E-2</v>
      </c>
      <c r="M3325" s="11">
        <v>-0.1477</v>
      </c>
      <c r="N3325">
        <v>32.07</v>
      </c>
      <c r="O3325">
        <v>15.02</v>
      </c>
      <c r="P3325">
        <v>5</v>
      </c>
      <c r="Q3325" t="s">
        <v>25</v>
      </c>
      <c r="R3325">
        <v>67.56</v>
      </c>
      <c r="S3325">
        <v>6.64</v>
      </c>
      <c r="T3325" s="4">
        <v>47.047999999999902</v>
      </c>
      <c r="U3325" s="4">
        <v>6.78904</v>
      </c>
      <c r="V3325" t="str">
        <f>IF(Table1[[#This Row],[ai_disruption_intensity]]&gt;70,"High",
IF(Table1[[#This Row],[ai_disruption_intensity]]&gt;40,"Medium","Low"))</f>
        <v>Low</v>
      </c>
      <c r="W3325" t="str">
        <f>IF(Table1[[#This Row],[skill_gap_index]]&gt;70,"Large Gap",
IF(Table1[[#This Row],[skill_gap_index]]&gt;40,"Medium Gap","Small Gap"))</f>
        <v>Large Gap</v>
      </c>
      <c r="X3325" s="3" t="str">
        <f>IF(Table1[[#This Row],[automation_risk_percent]]&gt;0.7,"Highly Automatable",
IF(Table1[[#This Row],[automation_risk_percent]]&gt;0.4,"Moderate Risk","Safe Job"))</f>
        <v>Moderate Risk</v>
      </c>
    </row>
    <row r="3326" spans="1:24" x14ac:dyDescent="0.3">
      <c r="A3326">
        <v>11579</v>
      </c>
      <c r="B3326" t="s">
        <v>18</v>
      </c>
      <c r="C3326" t="s">
        <v>38</v>
      </c>
      <c r="D3326" t="s">
        <v>47</v>
      </c>
      <c r="E3326" s="1">
        <v>2026</v>
      </c>
      <c r="F3326" s="11">
        <v>0.10439999999999999</v>
      </c>
      <c r="G3326">
        <v>12.3</v>
      </c>
      <c r="H3326">
        <v>78.42</v>
      </c>
      <c r="I3326" s="2">
        <v>136662.32</v>
      </c>
      <c r="J3326" s="2">
        <v>131126.97</v>
      </c>
      <c r="K3326" s="2">
        <f>Table1[[#This Row],[Salary_after]]-Table1[[#This Row],[Salary_before]]</f>
        <v>-5535.3500000000058</v>
      </c>
      <c r="L3326" s="11">
        <v>-4.0500000000000001E-2</v>
      </c>
      <c r="M3326" s="11">
        <v>5.4400000000000004E-2</v>
      </c>
      <c r="N3326">
        <v>34.43</v>
      </c>
      <c r="O3326">
        <v>97.26</v>
      </c>
      <c r="P3326">
        <v>4</v>
      </c>
      <c r="Q3326" t="s">
        <v>21</v>
      </c>
      <c r="R3326">
        <v>44.43</v>
      </c>
      <c r="S3326">
        <v>4.05</v>
      </c>
      <c r="T3326" s="4">
        <v>28.916999999999899</v>
      </c>
      <c r="U3326" s="4">
        <v>10.153943999999999</v>
      </c>
      <c r="V3326" t="str">
        <f>IF(Table1[[#This Row],[ai_disruption_intensity]]&gt;70,"High",
IF(Table1[[#This Row],[ai_disruption_intensity]]&gt;40,"Medium","Low"))</f>
        <v>Low</v>
      </c>
      <c r="W3326" t="str">
        <f>IF(Table1[[#This Row],[skill_gap_index]]&gt;70,"Large Gap",
IF(Table1[[#This Row],[skill_gap_index]]&gt;40,"Medium Gap","Small Gap"))</f>
        <v>Large Gap</v>
      </c>
      <c r="X3326" s="3" t="str">
        <f>IF(Table1[[#This Row],[automation_risk_percent]]&gt;0.7,"Highly Automatable",
IF(Table1[[#This Row],[automation_risk_percent]]&gt;0.4,"Moderate Risk","Safe Job"))</f>
        <v>Safe Job</v>
      </c>
    </row>
    <row r="3327" spans="1:24" x14ac:dyDescent="0.3">
      <c r="A3327">
        <v>11580</v>
      </c>
      <c r="B3327" t="s">
        <v>39</v>
      </c>
      <c r="C3327" t="s">
        <v>19</v>
      </c>
      <c r="D3327" t="s">
        <v>32</v>
      </c>
      <c r="E3327" s="1">
        <v>2025</v>
      </c>
      <c r="F3327" s="11">
        <v>0.35020000000000001</v>
      </c>
      <c r="G3327">
        <v>41.74</v>
      </c>
      <c r="H3327">
        <v>11.85</v>
      </c>
      <c r="I3327" s="2">
        <v>76213.919999999998</v>
      </c>
      <c r="J3327" s="2">
        <v>76624.94</v>
      </c>
      <c r="K3327" s="2">
        <f>Table1[[#This Row],[Salary_after]]-Table1[[#This Row],[Salary_before]]</f>
        <v>411.02000000000407</v>
      </c>
      <c r="L3327" s="11">
        <v>5.4000000000000003E-3</v>
      </c>
      <c r="M3327" s="11">
        <v>-0.16440000000000002</v>
      </c>
      <c r="N3327">
        <v>81.52</v>
      </c>
      <c r="O3327">
        <v>55.12</v>
      </c>
      <c r="P3327">
        <v>1</v>
      </c>
      <c r="Q3327" t="s">
        <v>25</v>
      </c>
      <c r="R3327">
        <v>23.434999999999999</v>
      </c>
      <c r="S3327">
        <v>0.54</v>
      </c>
      <c r="T3327" s="4">
        <v>17.725000000000001</v>
      </c>
      <c r="U3327" s="4">
        <v>19.303024000000001</v>
      </c>
      <c r="V3327" t="str">
        <f>IF(Table1[[#This Row],[ai_disruption_intensity]]&gt;70,"High",
IF(Table1[[#This Row],[ai_disruption_intensity]]&gt;40,"Medium","Low"))</f>
        <v>Low</v>
      </c>
      <c r="W3327" t="str">
        <f>IF(Table1[[#This Row],[skill_gap_index]]&gt;70,"Large Gap",
IF(Table1[[#This Row],[skill_gap_index]]&gt;40,"Medium Gap","Small Gap"))</f>
        <v>Small Gap</v>
      </c>
      <c r="X3327" s="3" t="str">
        <f>IF(Table1[[#This Row],[automation_risk_percent]]&gt;0.7,"Highly Automatable",
IF(Table1[[#This Row],[automation_risk_percent]]&gt;0.4,"Moderate Risk","Safe Job"))</f>
        <v>Safe Job</v>
      </c>
    </row>
    <row r="3328" spans="1:24" x14ac:dyDescent="0.3">
      <c r="A3328">
        <v>11582</v>
      </c>
      <c r="B3328" t="s">
        <v>41</v>
      </c>
      <c r="C3328" t="s">
        <v>38</v>
      </c>
      <c r="D3328" t="s">
        <v>31</v>
      </c>
      <c r="E3328" s="1">
        <v>2026</v>
      </c>
      <c r="F3328" s="11">
        <v>0.86250000000000004</v>
      </c>
      <c r="G3328">
        <v>98.63</v>
      </c>
      <c r="H3328">
        <v>47.71</v>
      </c>
      <c r="I3328" s="2">
        <v>67653.5</v>
      </c>
      <c r="J3328" s="2">
        <v>63576</v>
      </c>
      <c r="K3328" s="2">
        <f>Table1[[#This Row],[Salary_after]]-Table1[[#This Row],[Salary_before]]</f>
        <v>-4077.5</v>
      </c>
      <c r="L3328" s="11">
        <v>-6.0299999999999999E-2</v>
      </c>
      <c r="M3328" s="11">
        <v>-7.0999999999999995E-3</v>
      </c>
      <c r="N3328">
        <v>22.95</v>
      </c>
      <c r="O3328">
        <v>99.96</v>
      </c>
      <c r="P3328">
        <v>5</v>
      </c>
      <c r="Q3328" t="s">
        <v>37</v>
      </c>
      <c r="R3328">
        <v>66.98</v>
      </c>
      <c r="S3328">
        <v>6.03</v>
      </c>
      <c r="T3328" s="4">
        <v>50.622</v>
      </c>
      <c r="U3328" s="4">
        <v>86.215499999999906</v>
      </c>
      <c r="V3328" t="str">
        <f>IF(Table1[[#This Row],[ai_disruption_intensity]]&gt;70,"High",
IF(Table1[[#This Row],[ai_disruption_intensity]]&gt;40,"Medium","Low"))</f>
        <v>High</v>
      </c>
      <c r="W3328" t="str">
        <f>IF(Table1[[#This Row],[skill_gap_index]]&gt;70,"Large Gap",
IF(Table1[[#This Row],[skill_gap_index]]&gt;40,"Medium Gap","Small Gap"))</f>
        <v>Medium Gap</v>
      </c>
      <c r="X3328" s="3" t="str">
        <f>IF(Table1[[#This Row],[automation_risk_percent]]&gt;0.7,"Highly Automatable",
IF(Table1[[#This Row],[automation_risk_percent]]&gt;0.4,"Moderate Risk","Safe Job"))</f>
        <v>Highly Automatable</v>
      </c>
    </row>
    <row r="3329" spans="1:24" x14ac:dyDescent="0.3">
      <c r="A3329">
        <v>11585</v>
      </c>
      <c r="B3329" t="s">
        <v>39</v>
      </c>
      <c r="C3329" t="s">
        <v>30</v>
      </c>
      <c r="D3329" t="s">
        <v>36</v>
      </c>
      <c r="E3329" s="1">
        <v>2026</v>
      </c>
      <c r="F3329" s="11">
        <v>0.75170000000000003</v>
      </c>
      <c r="G3329">
        <v>77.36</v>
      </c>
      <c r="H3329">
        <v>24.44</v>
      </c>
      <c r="I3329" s="2">
        <v>85234.63</v>
      </c>
      <c r="J3329" s="2">
        <v>76520.27</v>
      </c>
      <c r="K3329" s="2">
        <f>Table1[[#This Row],[Salary_after]]-Table1[[#This Row],[Salary_before]]</f>
        <v>-8714.36</v>
      </c>
      <c r="L3329" s="11">
        <v>-0.10220000000000001</v>
      </c>
      <c r="M3329" s="11">
        <v>3.9000000000000003E-3</v>
      </c>
      <c r="N3329">
        <v>29.27</v>
      </c>
      <c r="O3329">
        <v>6.11</v>
      </c>
      <c r="P3329">
        <v>2</v>
      </c>
      <c r="Q3329" t="s">
        <v>37</v>
      </c>
      <c r="R3329">
        <v>49.805</v>
      </c>
      <c r="S3329">
        <v>10.220000000000001</v>
      </c>
      <c r="T3329" s="4">
        <v>40.466000000000001</v>
      </c>
      <c r="U3329" s="4">
        <v>4.5928870000000002</v>
      </c>
      <c r="V3329" t="str">
        <f>IF(Table1[[#This Row],[ai_disruption_intensity]]&gt;70,"High",
IF(Table1[[#This Row],[ai_disruption_intensity]]&gt;40,"Medium","Low"))</f>
        <v>Low</v>
      </c>
      <c r="W3329" t="str">
        <f>IF(Table1[[#This Row],[skill_gap_index]]&gt;70,"Large Gap",
IF(Table1[[#This Row],[skill_gap_index]]&gt;40,"Medium Gap","Small Gap"))</f>
        <v>Small Gap</v>
      </c>
      <c r="X3329" s="3" t="str">
        <f>IF(Table1[[#This Row],[automation_risk_percent]]&gt;0.7,"Highly Automatable",
IF(Table1[[#This Row],[automation_risk_percent]]&gt;0.4,"Moderate Risk","Safe Job"))</f>
        <v>Highly Automatable</v>
      </c>
    </row>
    <row r="3330" spans="1:24" x14ac:dyDescent="0.3">
      <c r="A3330">
        <v>11591</v>
      </c>
      <c r="B3330" t="s">
        <v>18</v>
      </c>
      <c r="C3330" t="s">
        <v>27</v>
      </c>
      <c r="D3330" t="s">
        <v>31</v>
      </c>
      <c r="E3330" s="1">
        <v>2026</v>
      </c>
      <c r="F3330" s="11">
        <v>0.2802</v>
      </c>
      <c r="G3330">
        <v>27.27</v>
      </c>
      <c r="H3330">
        <v>69.02</v>
      </c>
      <c r="I3330" s="2">
        <v>36111.129999999997</v>
      </c>
      <c r="J3330" s="2">
        <v>36373.56</v>
      </c>
      <c r="K3330" s="2">
        <f>Table1[[#This Row],[Salary_after]]-Table1[[#This Row],[Salary_before]]</f>
        <v>262.43000000000029</v>
      </c>
      <c r="L3330" s="11">
        <v>7.3000000000000001E-3</v>
      </c>
      <c r="M3330" s="11">
        <v>9.6000000000000002E-2</v>
      </c>
      <c r="N3330">
        <v>83.83</v>
      </c>
      <c r="O3330">
        <v>26.67</v>
      </c>
      <c r="P3330">
        <v>3</v>
      </c>
      <c r="Q3330" t="s">
        <v>21</v>
      </c>
      <c r="R3330">
        <v>48.519999999999897</v>
      </c>
      <c r="S3330">
        <v>0.73</v>
      </c>
      <c r="T3330" s="4">
        <v>32.133000000000003</v>
      </c>
      <c r="U3330" s="4">
        <v>7.4729340000000004</v>
      </c>
      <c r="V3330" t="str">
        <f>IF(Table1[[#This Row],[ai_disruption_intensity]]&gt;70,"High",
IF(Table1[[#This Row],[ai_disruption_intensity]]&gt;40,"Medium","Low"))</f>
        <v>Low</v>
      </c>
      <c r="W3330" t="str">
        <f>IF(Table1[[#This Row],[skill_gap_index]]&gt;70,"Large Gap",
IF(Table1[[#This Row],[skill_gap_index]]&gt;40,"Medium Gap","Small Gap"))</f>
        <v>Medium Gap</v>
      </c>
      <c r="X3330" s="3" t="str">
        <f>IF(Table1[[#This Row],[automation_risk_percent]]&gt;0.7,"Highly Automatable",
IF(Table1[[#This Row],[automation_risk_percent]]&gt;0.4,"Moderate Risk","Safe Job"))</f>
        <v>Safe Job</v>
      </c>
    </row>
    <row r="3331" spans="1:24" x14ac:dyDescent="0.3">
      <c r="A3331">
        <v>11592</v>
      </c>
      <c r="B3331" t="s">
        <v>26</v>
      </c>
      <c r="C3331" t="s">
        <v>33</v>
      </c>
      <c r="D3331" t="s">
        <v>28</v>
      </c>
      <c r="E3331" s="1">
        <v>2026</v>
      </c>
      <c r="F3331" s="11">
        <v>0.62680000000000002</v>
      </c>
      <c r="G3331">
        <v>65.91</v>
      </c>
      <c r="H3331">
        <v>40.6</v>
      </c>
      <c r="I3331" s="2">
        <v>102067.55</v>
      </c>
      <c r="J3331" s="2">
        <v>98162.17</v>
      </c>
      <c r="K3331" s="2">
        <f>Table1[[#This Row],[Salary_after]]-Table1[[#This Row],[Salary_before]]</f>
        <v>-3905.3800000000047</v>
      </c>
      <c r="L3331" s="11">
        <v>-3.8300000000000001E-2</v>
      </c>
      <c r="M3331" s="11">
        <v>-2.63E-2</v>
      </c>
      <c r="N3331">
        <v>58.53</v>
      </c>
      <c r="O3331">
        <v>64.040000000000006</v>
      </c>
      <c r="P3331">
        <v>1</v>
      </c>
      <c r="Q3331" t="s">
        <v>37</v>
      </c>
      <c r="R3331">
        <v>51.64</v>
      </c>
      <c r="S3331">
        <v>3.83</v>
      </c>
      <c r="T3331" s="4">
        <v>38.401000000000003</v>
      </c>
      <c r="U3331" s="4">
        <v>40.140272000000003</v>
      </c>
      <c r="V3331" t="str">
        <f>IF(Table1[[#This Row],[ai_disruption_intensity]]&gt;70,"High",
IF(Table1[[#This Row],[ai_disruption_intensity]]&gt;40,"Medium","Low"))</f>
        <v>Medium</v>
      </c>
      <c r="W3331" t="str">
        <f>IF(Table1[[#This Row],[skill_gap_index]]&gt;70,"Large Gap",
IF(Table1[[#This Row],[skill_gap_index]]&gt;40,"Medium Gap","Small Gap"))</f>
        <v>Medium Gap</v>
      </c>
      <c r="X3331" s="3" t="str">
        <f>IF(Table1[[#This Row],[automation_risk_percent]]&gt;0.7,"Highly Automatable",
IF(Table1[[#This Row],[automation_risk_percent]]&gt;0.4,"Moderate Risk","Safe Job"))</f>
        <v>Moderate Risk</v>
      </c>
    </row>
    <row r="3332" spans="1:24" x14ac:dyDescent="0.3">
      <c r="A3332">
        <v>11595</v>
      </c>
      <c r="B3332" t="s">
        <v>29</v>
      </c>
      <c r="C3332" t="s">
        <v>27</v>
      </c>
      <c r="D3332" t="s">
        <v>20</v>
      </c>
      <c r="E3332" s="1">
        <v>2025</v>
      </c>
      <c r="F3332" s="11">
        <v>0.93900000000000006</v>
      </c>
      <c r="G3332">
        <v>76.17</v>
      </c>
      <c r="H3332">
        <v>12.39</v>
      </c>
      <c r="I3332" s="2">
        <v>101848.7</v>
      </c>
      <c r="J3332" s="2">
        <v>84129.36</v>
      </c>
      <c r="K3332" s="2">
        <f>Table1[[#This Row],[Salary_after]]-Table1[[#This Row],[Salary_before]]</f>
        <v>-17719.339999999997</v>
      </c>
      <c r="L3332" s="11">
        <v>-0.17399999999999999</v>
      </c>
      <c r="M3332" s="11">
        <v>4.2900000000000001E-2</v>
      </c>
      <c r="N3332">
        <v>87.7</v>
      </c>
      <c r="O3332">
        <v>44.06</v>
      </c>
      <c r="P3332">
        <v>4</v>
      </c>
      <c r="Q3332" t="s">
        <v>37</v>
      </c>
      <c r="R3332">
        <v>53.145000000000003</v>
      </c>
      <c r="S3332">
        <v>17.399999999999999</v>
      </c>
      <c r="T3332" s="4">
        <v>46.497</v>
      </c>
      <c r="U3332" s="4">
        <v>41.372340000000001</v>
      </c>
      <c r="V3332" t="str">
        <f>IF(Table1[[#This Row],[ai_disruption_intensity]]&gt;70,"High",
IF(Table1[[#This Row],[ai_disruption_intensity]]&gt;40,"Medium","Low"))</f>
        <v>Medium</v>
      </c>
      <c r="W3332" t="str">
        <f>IF(Table1[[#This Row],[skill_gap_index]]&gt;70,"Large Gap",
IF(Table1[[#This Row],[skill_gap_index]]&gt;40,"Medium Gap","Small Gap"))</f>
        <v>Small Gap</v>
      </c>
      <c r="X3332" s="3" t="str">
        <f>IF(Table1[[#This Row],[automation_risk_percent]]&gt;0.7,"Highly Automatable",
IF(Table1[[#This Row],[automation_risk_percent]]&gt;0.4,"Moderate Risk","Safe Job"))</f>
        <v>Highly Automatable</v>
      </c>
    </row>
    <row r="3333" spans="1:24" x14ac:dyDescent="0.3">
      <c r="A3333">
        <v>11599</v>
      </c>
      <c r="B3333" t="s">
        <v>41</v>
      </c>
      <c r="C3333" t="s">
        <v>38</v>
      </c>
      <c r="D3333" t="s">
        <v>24</v>
      </c>
      <c r="E3333" s="1">
        <v>2025</v>
      </c>
      <c r="F3333" s="11">
        <v>0.61950000000000005</v>
      </c>
      <c r="G3333">
        <v>73.53</v>
      </c>
      <c r="H3333">
        <v>58.48</v>
      </c>
      <c r="I3333" s="2">
        <v>111140.88</v>
      </c>
      <c r="J3333" s="2">
        <v>122210.34</v>
      </c>
      <c r="K3333" s="2">
        <f>Table1[[#This Row],[Salary_after]]-Table1[[#This Row],[Salary_before]]</f>
        <v>11069.459999999992</v>
      </c>
      <c r="L3333" s="11">
        <v>9.9600000000000008E-2</v>
      </c>
      <c r="M3333" s="11">
        <v>0.13250000000000001</v>
      </c>
      <c r="N3333">
        <v>82.01</v>
      </c>
      <c r="O3333">
        <v>7.48</v>
      </c>
      <c r="P3333">
        <v>1</v>
      </c>
      <c r="Q3333" t="s">
        <v>37</v>
      </c>
      <c r="R3333">
        <v>60.215000000000003</v>
      </c>
      <c r="S3333">
        <v>9.9600000000000009</v>
      </c>
      <c r="T3333" s="4">
        <v>45.311999999999998</v>
      </c>
      <c r="U3333" s="4">
        <v>4.6338600000000003</v>
      </c>
      <c r="V3333" t="str">
        <f>IF(Table1[[#This Row],[ai_disruption_intensity]]&gt;70,"High",
IF(Table1[[#This Row],[ai_disruption_intensity]]&gt;40,"Medium","Low"))</f>
        <v>Low</v>
      </c>
      <c r="W3333" t="str">
        <f>IF(Table1[[#This Row],[skill_gap_index]]&gt;70,"Large Gap",
IF(Table1[[#This Row],[skill_gap_index]]&gt;40,"Medium Gap","Small Gap"))</f>
        <v>Medium Gap</v>
      </c>
      <c r="X3333" s="3" t="str">
        <f>IF(Table1[[#This Row],[automation_risk_percent]]&gt;0.7,"Highly Automatable",
IF(Table1[[#This Row],[automation_risk_percent]]&gt;0.4,"Moderate Risk","Safe Job"))</f>
        <v>Moderate Risk</v>
      </c>
    </row>
    <row r="3334" spans="1:24" x14ac:dyDescent="0.3">
      <c r="A3334">
        <v>11601</v>
      </c>
      <c r="B3334" t="s">
        <v>41</v>
      </c>
      <c r="C3334" t="s">
        <v>23</v>
      </c>
      <c r="D3334" t="s">
        <v>24</v>
      </c>
      <c r="E3334" s="1">
        <v>2026</v>
      </c>
      <c r="F3334" s="11">
        <v>0.55310000000000004</v>
      </c>
      <c r="G3334">
        <v>48.37</v>
      </c>
      <c r="H3334">
        <v>90.89</v>
      </c>
      <c r="I3334" s="2">
        <v>120396.91</v>
      </c>
      <c r="J3334" s="2">
        <v>135934</v>
      </c>
      <c r="K3334" s="2">
        <f>Table1[[#This Row],[Salary_after]]-Table1[[#This Row],[Salary_before]]</f>
        <v>15537.089999999997</v>
      </c>
      <c r="L3334" s="11">
        <v>0.129</v>
      </c>
      <c r="M3334" s="11">
        <v>-5.6999999999999993E-3</v>
      </c>
      <c r="N3334">
        <v>34.840000000000003</v>
      </c>
      <c r="O3334">
        <v>99.08</v>
      </c>
      <c r="P3334">
        <v>5</v>
      </c>
      <c r="Q3334" t="s">
        <v>25</v>
      </c>
      <c r="R3334">
        <v>73.099999999999994</v>
      </c>
      <c r="S3334">
        <v>12.9</v>
      </c>
      <c r="T3334" s="4">
        <v>53.261000000000003</v>
      </c>
      <c r="U3334" s="4">
        <v>54.801147999999998</v>
      </c>
      <c r="V3334" t="str">
        <f>IF(Table1[[#This Row],[ai_disruption_intensity]]&gt;70,"High",
IF(Table1[[#This Row],[ai_disruption_intensity]]&gt;40,"Medium","Low"))</f>
        <v>Medium</v>
      </c>
      <c r="W3334" t="str">
        <f>IF(Table1[[#This Row],[skill_gap_index]]&gt;70,"Large Gap",
IF(Table1[[#This Row],[skill_gap_index]]&gt;40,"Medium Gap","Small Gap"))</f>
        <v>Large Gap</v>
      </c>
      <c r="X3334" s="3" t="str">
        <f>IF(Table1[[#This Row],[automation_risk_percent]]&gt;0.7,"Highly Automatable",
IF(Table1[[#This Row],[automation_risk_percent]]&gt;0.4,"Moderate Risk","Safe Job"))</f>
        <v>Moderate Risk</v>
      </c>
    </row>
    <row r="3335" spans="1:24" x14ac:dyDescent="0.3">
      <c r="A3335">
        <v>11603</v>
      </c>
      <c r="B3335" t="s">
        <v>22</v>
      </c>
      <c r="C3335" t="s">
        <v>27</v>
      </c>
      <c r="D3335" t="s">
        <v>36</v>
      </c>
      <c r="E3335" s="1">
        <v>2025</v>
      </c>
      <c r="F3335" s="11">
        <v>0.47009999999999996</v>
      </c>
      <c r="G3335">
        <v>47.79</v>
      </c>
      <c r="H3335">
        <v>19.14</v>
      </c>
      <c r="I3335" s="2">
        <v>95177.09</v>
      </c>
      <c r="J3335" s="2">
        <v>101082.9</v>
      </c>
      <c r="K3335" s="2">
        <f>Table1[[#This Row],[Salary_after]]-Table1[[#This Row],[Salary_before]]</f>
        <v>5905.8099999999977</v>
      </c>
      <c r="L3335" s="11">
        <v>6.2100000000000002E-2</v>
      </c>
      <c r="M3335" s="11">
        <v>-9.0000000000000011E-3</v>
      </c>
      <c r="N3335">
        <v>64.319999999999993</v>
      </c>
      <c r="O3335">
        <v>89.43</v>
      </c>
      <c r="P3335">
        <v>3</v>
      </c>
      <c r="Q3335" t="s">
        <v>25</v>
      </c>
      <c r="R3335">
        <v>33.075000000000003</v>
      </c>
      <c r="S3335">
        <v>6.21</v>
      </c>
      <c r="T3335" s="4">
        <v>26.408999999999999</v>
      </c>
      <c r="U3335" s="4">
        <v>42.041043000000002</v>
      </c>
      <c r="V3335" t="str">
        <f>IF(Table1[[#This Row],[ai_disruption_intensity]]&gt;70,"High",
IF(Table1[[#This Row],[ai_disruption_intensity]]&gt;40,"Medium","Low"))</f>
        <v>Medium</v>
      </c>
      <c r="W3335" t="str">
        <f>IF(Table1[[#This Row],[skill_gap_index]]&gt;70,"Large Gap",
IF(Table1[[#This Row],[skill_gap_index]]&gt;40,"Medium Gap","Small Gap"))</f>
        <v>Small Gap</v>
      </c>
      <c r="X3335" s="3" t="str">
        <f>IF(Table1[[#This Row],[automation_risk_percent]]&gt;0.7,"Highly Automatable",
IF(Table1[[#This Row],[automation_risk_percent]]&gt;0.4,"Moderate Risk","Safe Job"))</f>
        <v>Moderate Risk</v>
      </c>
    </row>
    <row r="3336" spans="1:24" x14ac:dyDescent="0.3">
      <c r="A3336">
        <v>11604</v>
      </c>
      <c r="B3336" t="s">
        <v>44</v>
      </c>
      <c r="C3336" t="s">
        <v>34</v>
      </c>
      <c r="D3336" t="s">
        <v>20</v>
      </c>
      <c r="E3336" s="1">
        <v>2026</v>
      </c>
      <c r="F3336" s="11">
        <v>0.37229999999999996</v>
      </c>
      <c r="G3336">
        <v>34.99</v>
      </c>
      <c r="H3336">
        <v>70</v>
      </c>
      <c r="I3336" s="2">
        <v>78849.570000000007</v>
      </c>
      <c r="J3336" s="2">
        <v>73724.87</v>
      </c>
      <c r="K3336" s="2">
        <f>Table1[[#This Row],[Salary_after]]-Table1[[#This Row],[Salary_before]]</f>
        <v>-5124.7000000000116</v>
      </c>
      <c r="L3336" s="11">
        <v>-6.5000000000000002E-2</v>
      </c>
      <c r="M3336" s="11">
        <v>-0.17739999999999997</v>
      </c>
      <c r="N3336">
        <v>20.329999999999998</v>
      </c>
      <c r="O3336">
        <v>20.28</v>
      </c>
      <c r="P3336">
        <v>4</v>
      </c>
      <c r="Q3336" t="s">
        <v>25</v>
      </c>
      <c r="R3336">
        <v>53.614999999999903</v>
      </c>
      <c r="S3336">
        <v>6.5</v>
      </c>
      <c r="T3336" s="4">
        <v>37.841999999999999</v>
      </c>
      <c r="U3336" s="4">
        <v>7.5502440000000002</v>
      </c>
      <c r="V3336" t="str">
        <f>IF(Table1[[#This Row],[ai_disruption_intensity]]&gt;70,"High",
IF(Table1[[#This Row],[ai_disruption_intensity]]&gt;40,"Medium","Low"))</f>
        <v>Low</v>
      </c>
      <c r="W3336" t="str">
        <f>IF(Table1[[#This Row],[skill_gap_index]]&gt;70,"Large Gap",
IF(Table1[[#This Row],[skill_gap_index]]&gt;40,"Medium Gap","Small Gap"))</f>
        <v>Medium Gap</v>
      </c>
      <c r="X3336" s="3" t="str">
        <f>IF(Table1[[#This Row],[automation_risk_percent]]&gt;0.7,"Highly Automatable",
IF(Table1[[#This Row],[automation_risk_percent]]&gt;0.4,"Moderate Risk","Safe Job"))</f>
        <v>Safe Job</v>
      </c>
    </row>
    <row r="3337" spans="1:24" x14ac:dyDescent="0.3">
      <c r="A3337">
        <v>11606</v>
      </c>
      <c r="B3337" t="s">
        <v>45</v>
      </c>
      <c r="C3337" t="s">
        <v>34</v>
      </c>
      <c r="D3337" t="s">
        <v>28</v>
      </c>
      <c r="E3337" s="1">
        <v>2026</v>
      </c>
      <c r="F3337" s="11">
        <v>0.73060000000000003</v>
      </c>
      <c r="G3337">
        <v>78.17</v>
      </c>
      <c r="H3337">
        <v>41.23</v>
      </c>
      <c r="I3337" s="2">
        <v>123170.33</v>
      </c>
      <c r="J3337" s="2">
        <v>132976.23000000001</v>
      </c>
      <c r="K3337" s="2">
        <f>Table1[[#This Row],[Salary_after]]-Table1[[#This Row],[Salary_before]]</f>
        <v>9805.9000000000087</v>
      </c>
      <c r="L3337" s="11">
        <v>7.9600000000000004E-2</v>
      </c>
      <c r="M3337" s="11">
        <v>5.6000000000000008E-3</v>
      </c>
      <c r="N3337">
        <v>39.659999999999997</v>
      </c>
      <c r="O3337">
        <v>79.459999999999994</v>
      </c>
      <c r="P3337">
        <v>1</v>
      </c>
      <c r="Q3337" t="s">
        <v>37</v>
      </c>
      <c r="R3337">
        <v>57.144999999999897</v>
      </c>
      <c r="S3337">
        <v>7.96</v>
      </c>
      <c r="T3337" s="4">
        <v>43.981000000000002</v>
      </c>
      <c r="U3337" s="4">
        <v>58.053476000000003</v>
      </c>
      <c r="V3337" t="str">
        <f>IF(Table1[[#This Row],[ai_disruption_intensity]]&gt;70,"High",
IF(Table1[[#This Row],[ai_disruption_intensity]]&gt;40,"Medium","Low"))</f>
        <v>Medium</v>
      </c>
      <c r="W3337" t="str">
        <f>IF(Table1[[#This Row],[skill_gap_index]]&gt;70,"Large Gap",
IF(Table1[[#This Row],[skill_gap_index]]&gt;40,"Medium Gap","Small Gap"))</f>
        <v>Medium Gap</v>
      </c>
      <c r="X3337" s="3" t="str">
        <f>IF(Table1[[#This Row],[automation_risk_percent]]&gt;0.7,"Highly Automatable",
IF(Table1[[#This Row],[automation_risk_percent]]&gt;0.4,"Moderate Risk","Safe Job"))</f>
        <v>Highly Automatable</v>
      </c>
    </row>
    <row r="3338" spans="1:24" x14ac:dyDescent="0.3">
      <c r="A3338">
        <v>11607</v>
      </c>
      <c r="B3338" t="s">
        <v>43</v>
      </c>
      <c r="C3338" t="s">
        <v>40</v>
      </c>
      <c r="D3338" t="s">
        <v>35</v>
      </c>
      <c r="E3338" s="1">
        <v>2025</v>
      </c>
      <c r="F3338" s="11">
        <v>0.2969</v>
      </c>
      <c r="G3338">
        <v>34.64</v>
      </c>
      <c r="H3338">
        <v>18.48</v>
      </c>
      <c r="I3338" s="2">
        <v>116279.35</v>
      </c>
      <c r="J3338" s="2">
        <v>113051.93</v>
      </c>
      <c r="K3338" s="2">
        <f>Table1[[#This Row],[Salary_after]]-Table1[[#This Row],[Salary_before]]</f>
        <v>-3227.4200000000128</v>
      </c>
      <c r="L3338" s="11">
        <v>-2.7799999999999998E-2</v>
      </c>
      <c r="M3338" s="11">
        <v>4.4699999999999997E-2</v>
      </c>
      <c r="N3338">
        <v>39.869999999999997</v>
      </c>
      <c r="O3338">
        <v>20.260000000000002</v>
      </c>
      <c r="P3338">
        <v>2</v>
      </c>
      <c r="Q3338" t="s">
        <v>21</v>
      </c>
      <c r="R3338">
        <v>24.085000000000001</v>
      </c>
      <c r="S3338">
        <v>2.78</v>
      </c>
      <c r="T3338" s="4">
        <v>18.254000000000001</v>
      </c>
      <c r="U3338" s="4">
        <v>6.0151940000000002</v>
      </c>
      <c r="V3338" t="str">
        <f>IF(Table1[[#This Row],[ai_disruption_intensity]]&gt;70,"High",
IF(Table1[[#This Row],[ai_disruption_intensity]]&gt;40,"Medium","Low"))</f>
        <v>Low</v>
      </c>
      <c r="W3338" t="str">
        <f>IF(Table1[[#This Row],[skill_gap_index]]&gt;70,"Large Gap",
IF(Table1[[#This Row],[skill_gap_index]]&gt;40,"Medium Gap","Small Gap"))</f>
        <v>Small Gap</v>
      </c>
      <c r="X3338" s="3" t="str">
        <f>IF(Table1[[#This Row],[automation_risk_percent]]&gt;0.7,"Highly Automatable",
IF(Table1[[#This Row],[automation_risk_percent]]&gt;0.4,"Moderate Risk","Safe Job"))</f>
        <v>Safe Job</v>
      </c>
    </row>
    <row r="3339" spans="1:24" x14ac:dyDescent="0.3">
      <c r="A3339">
        <v>11608</v>
      </c>
      <c r="B3339" t="s">
        <v>45</v>
      </c>
      <c r="C3339" t="s">
        <v>23</v>
      </c>
      <c r="D3339" t="s">
        <v>35</v>
      </c>
      <c r="E3339" s="1">
        <v>2026</v>
      </c>
      <c r="F3339" s="11">
        <v>0.48869999999999997</v>
      </c>
      <c r="G3339">
        <v>44.17</v>
      </c>
      <c r="H3339">
        <v>7.26</v>
      </c>
      <c r="I3339" s="2">
        <v>144370.70000000001</v>
      </c>
      <c r="J3339" s="2">
        <v>155836.70000000001</v>
      </c>
      <c r="K3339" s="2">
        <f>Table1[[#This Row],[Salary_after]]-Table1[[#This Row],[Salary_before]]</f>
        <v>11466</v>
      </c>
      <c r="L3339" s="11">
        <v>7.9399999999999998E-2</v>
      </c>
      <c r="M3339" s="11">
        <v>-8.9099999999999999E-2</v>
      </c>
      <c r="N3339">
        <v>38.92</v>
      </c>
      <c r="O3339">
        <v>28.18</v>
      </c>
      <c r="P3339">
        <v>1</v>
      </c>
      <c r="Q3339" t="s">
        <v>25</v>
      </c>
      <c r="R3339">
        <v>28.064999999999898</v>
      </c>
      <c r="S3339">
        <v>7.94</v>
      </c>
      <c r="T3339" s="4">
        <v>24.108000000000001</v>
      </c>
      <c r="U3339" s="4">
        <v>13.771566</v>
      </c>
      <c r="V3339" t="str">
        <f>IF(Table1[[#This Row],[ai_disruption_intensity]]&gt;70,"High",
IF(Table1[[#This Row],[ai_disruption_intensity]]&gt;40,"Medium","Low"))</f>
        <v>Low</v>
      </c>
      <c r="W3339" t="str">
        <f>IF(Table1[[#This Row],[skill_gap_index]]&gt;70,"Large Gap",
IF(Table1[[#This Row],[skill_gap_index]]&gt;40,"Medium Gap","Small Gap"))</f>
        <v>Small Gap</v>
      </c>
      <c r="X3339" s="3" t="str">
        <f>IF(Table1[[#This Row],[automation_risk_percent]]&gt;0.7,"Highly Automatable",
IF(Table1[[#This Row],[automation_risk_percent]]&gt;0.4,"Moderate Risk","Safe Job"))</f>
        <v>Moderate Risk</v>
      </c>
    </row>
    <row r="3340" spans="1:24" x14ac:dyDescent="0.3">
      <c r="A3340">
        <v>11611</v>
      </c>
      <c r="B3340" t="s">
        <v>45</v>
      </c>
      <c r="C3340" t="s">
        <v>40</v>
      </c>
      <c r="D3340" t="s">
        <v>32</v>
      </c>
      <c r="E3340" s="1">
        <v>2025</v>
      </c>
      <c r="F3340" s="11">
        <v>0.43479999999999996</v>
      </c>
      <c r="G3340">
        <v>48.79</v>
      </c>
      <c r="H3340">
        <v>55.34</v>
      </c>
      <c r="I3340" s="2">
        <v>120203.71</v>
      </c>
      <c r="J3340" s="2">
        <v>136030.46</v>
      </c>
      <c r="K3340" s="2">
        <f>Table1[[#This Row],[Salary_after]]-Table1[[#This Row],[Salary_before]]</f>
        <v>15826.749999999985</v>
      </c>
      <c r="L3340" s="11">
        <v>0.13170000000000001</v>
      </c>
      <c r="M3340" s="11">
        <v>0.1522</v>
      </c>
      <c r="N3340">
        <v>49.56</v>
      </c>
      <c r="O3340">
        <v>83.31</v>
      </c>
      <c r="P3340">
        <v>3</v>
      </c>
      <c r="Q3340" t="s">
        <v>25</v>
      </c>
      <c r="R3340">
        <v>49.41</v>
      </c>
      <c r="S3340">
        <v>13.17</v>
      </c>
      <c r="T3340" s="4">
        <v>37.945</v>
      </c>
      <c r="U3340" s="4">
        <v>36.223188</v>
      </c>
      <c r="V3340" t="str">
        <f>IF(Table1[[#This Row],[ai_disruption_intensity]]&gt;70,"High",
IF(Table1[[#This Row],[ai_disruption_intensity]]&gt;40,"Medium","Low"))</f>
        <v>Low</v>
      </c>
      <c r="W3340" t="str">
        <f>IF(Table1[[#This Row],[skill_gap_index]]&gt;70,"Large Gap",
IF(Table1[[#This Row],[skill_gap_index]]&gt;40,"Medium Gap","Small Gap"))</f>
        <v>Medium Gap</v>
      </c>
      <c r="X3340" s="3" t="str">
        <f>IF(Table1[[#This Row],[automation_risk_percent]]&gt;0.7,"Highly Automatable",
IF(Table1[[#This Row],[automation_risk_percent]]&gt;0.4,"Moderate Risk","Safe Job"))</f>
        <v>Moderate Risk</v>
      </c>
    </row>
    <row r="3341" spans="1:24" x14ac:dyDescent="0.3">
      <c r="A3341">
        <v>11623</v>
      </c>
      <c r="B3341" t="s">
        <v>44</v>
      </c>
      <c r="C3341" t="s">
        <v>23</v>
      </c>
      <c r="D3341" t="s">
        <v>36</v>
      </c>
      <c r="E3341" s="1">
        <v>2025</v>
      </c>
      <c r="F3341" s="11">
        <v>0.314</v>
      </c>
      <c r="G3341">
        <v>29.62</v>
      </c>
      <c r="H3341">
        <v>21.6</v>
      </c>
      <c r="I3341" s="2">
        <v>78375.45</v>
      </c>
      <c r="J3341" s="2">
        <v>72805.259999999995</v>
      </c>
      <c r="K3341" s="2">
        <f>Table1[[#This Row],[Salary_after]]-Table1[[#This Row],[Salary_before]]</f>
        <v>-5570.1900000000023</v>
      </c>
      <c r="L3341" s="11">
        <v>-7.1099999999999997E-2</v>
      </c>
      <c r="M3341" s="11">
        <v>-6.8199999999999997E-2</v>
      </c>
      <c r="N3341">
        <v>72.13</v>
      </c>
      <c r="O3341">
        <v>43.01</v>
      </c>
      <c r="P3341">
        <v>2</v>
      </c>
      <c r="Q3341" t="s">
        <v>25</v>
      </c>
      <c r="R3341">
        <v>26.5</v>
      </c>
      <c r="S3341">
        <v>7.11</v>
      </c>
      <c r="T3341" s="4">
        <v>21.172999999999998</v>
      </c>
      <c r="U3341" s="4">
        <v>13.5051399999999</v>
      </c>
      <c r="V3341" t="str">
        <f>IF(Table1[[#This Row],[ai_disruption_intensity]]&gt;70,"High",
IF(Table1[[#This Row],[ai_disruption_intensity]]&gt;40,"Medium","Low"))</f>
        <v>Low</v>
      </c>
      <c r="W3341" t="str">
        <f>IF(Table1[[#This Row],[skill_gap_index]]&gt;70,"Large Gap",
IF(Table1[[#This Row],[skill_gap_index]]&gt;40,"Medium Gap","Small Gap"))</f>
        <v>Small Gap</v>
      </c>
      <c r="X3341" s="3" t="str">
        <f>IF(Table1[[#This Row],[automation_risk_percent]]&gt;0.7,"Highly Automatable",
IF(Table1[[#This Row],[automation_risk_percent]]&gt;0.4,"Moderate Risk","Safe Job"))</f>
        <v>Safe Job</v>
      </c>
    </row>
    <row r="3342" spans="1:24" x14ac:dyDescent="0.3">
      <c r="A3342">
        <v>11636</v>
      </c>
      <c r="B3342" t="s">
        <v>41</v>
      </c>
      <c r="C3342" t="s">
        <v>34</v>
      </c>
      <c r="D3342" t="s">
        <v>36</v>
      </c>
      <c r="E3342" s="1">
        <v>2026</v>
      </c>
      <c r="F3342" s="11">
        <v>0.79459999999999997</v>
      </c>
      <c r="G3342">
        <v>82.37</v>
      </c>
      <c r="H3342">
        <v>75.849999999999994</v>
      </c>
      <c r="I3342" s="2">
        <v>145432.1</v>
      </c>
      <c r="J3342" s="2">
        <v>154414.57999999999</v>
      </c>
      <c r="K3342" s="2">
        <f>Table1[[#This Row],[Salary_after]]-Table1[[#This Row],[Salary_before]]</f>
        <v>8982.4799999999814</v>
      </c>
      <c r="L3342" s="11">
        <v>6.1799999999999994E-2</v>
      </c>
      <c r="M3342" s="11">
        <v>-3.6400000000000002E-2</v>
      </c>
      <c r="N3342">
        <v>80.5</v>
      </c>
      <c r="O3342">
        <v>81.11</v>
      </c>
      <c r="P3342">
        <v>3</v>
      </c>
      <c r="Q3342" t="s">
        <v>37</v>
      </c>
      <c r="R3342">
        <v>77.655000000000001</v>
      </c>
      <c r="S3342">
        <v>6.18</v>
      </c>
      <c r="T3342" s="4">
        <v>56.393000000000001</v>
      </c>
      <c r="U3342" s="4">
        <v>64.450005999999902</v>
      </c>
      <c r="V3342" t="str">
        <f>IF(Table1[[#This Row],[ai_disruption_intensity]]&gt;70,"High",
IF(Table1[[#This Row],[ai_disruption_intensity]]&gt;40,"Medium","Low"))</f>
        <v>Medium</v>
      </c>
      <c r="W3342" t="str">
        <f>IF(Table1[[#This Row],[skill_gap_index]]&gt;70,"Large Gap",
IF(Table1[[#This Row],[skill_gap_index]]&gt;40,"Medium Gap","Small Gap"))</f>
        <v>Large Gap</v>
      </c>
      <c r="X3342" s="3" t="str">
        <f>IF(Table1[[#This Row],[automation_risk_percent]]&gt;0.7,"Highly Automatable",
IF(Table1[[#This Row],[automation_risk_percent]]&gt;0.4,"Moderate Risk","Safe Job"))</f>
        <v>Highly Automatable</v>
      </c>
    </row>
    <row r="3343" spans="1:24" x14ac:dyDescent="0.3">
      <c r="A3343">
        <v>11641</v>
      </c>
      <c r="B3343" t="s">
        <v>29</v>
      </c>
      <c r="C3343" t="s">
        <v>38</v>
      </c>
      <c r="D3343" t="s">
        <v>42</v>
      </c>
      <c r="E3343" s="1">
        <v>2026</v>
      </c>
      <c r="F3343" s="11">
        <v>0.91590000000000005</v>
      </c>
      <c r="G3343">
        <v>100.12</v>
      </c>
      <c r="H3343">
        <v>23.15</v>
      </c>
      <c r="I3343" s="2">
        <v>149497.57999999999</v>
      </c>
      <c r="J3343" s="2">
        <v>149781.79</v>
      </c>
      <c r="K3343" s="2">
        <f>Table1[[#This Row],[Salary_after]]-Table1[[#This Row],[Salary_before]]</f>
        <v>284.21000000002095</v>
      </c>
      <c r="L3343" s="11">
        <v>1.9E-3</v>
      </c>
      <c r="M3343" s="11">
        <v>5.79E-2</v>
      </c>
      <c r="N3343">
        <v>26.67</v>
      </c>
      <c r="O3343">
        <v>97.82</v>
      </c>
      <c r="P3343">
        <v>2</v>
      </c>
      <c r="Q3343" t="s">
        <v>37</v>
      </c>
      <c r="R3343">
        <v>57.37</v>
      </c>
      <c r="S3343">
        <v>0.19</v>
      </c>
      <c r="T3343" s="4">
        <v>43.637999999999998</v>
      </c>
      <c r="U3343" s="4">
        <v>89.593338000000003</v>
      </c>
      <c r="V3343" t="str">
        <f>IF(Table1[[#This Row],[ai_disruption_intensity]]&gt;70,"High",
IF(Table1[[#This Row],[ai_disruption_intensity]]&gt;40,"Medium","Low"))</f>
        <v>High</v>
      </c>
      <c r="W3343" t="str">
        <f>IF(Table1[[#This Row],[skill_gap_index]]&gt;70,"Large Gap",
IF(Table1[[#This Row],[skill_gap_index]]&gt;40,"Medium Gap","Small Gap"))</f>
        <v>Small Gap</v>
      </c>
      <c r="X3343" s="3" t="str">
        <f>IF(Table1[[#This Row],[automation_risk_percent]]&gt;0.7,"Highly Automatable",
IF(Table1[[#This Row],[automation_risk_percent]]&gt;0.4,"Moderate Risk","Safe Job"))</f>
        <v>Highly Automatable</v>
      </c>
    </row>
    <row r="3344" spans="1:24" x14ac:dyDescent="0.3">
      <c r="A3344">
        <v>11643</v>
      </c>
      <c r="B3344" t="s">
        <v>43</v>
      </c>
      <c r="C3344" t="s">
        <v>30</v>
      </c>
      <c r="D3344" t="s">
        <v>32</v>
      </c>
      <c r="E3344" s="1">
        <v>2025</v>
      </c>
      <c r="F3344" s="11">
        <v>0.75659999999999994</v>
      </c>
      <c r="G3344">
        <v>87.3</v>
      </c>
      <c r="H3344">
        <v>65.92</v>
      </c>
      <c r="I3344" s="2">
        <v>137809.01999999999</v>
      </c>
      <c r="J3344" s="2">
        <v>150641.95000000001</v>
      </c>
      <c r="K3344" s="2">
        <f>Table1[[#This Row],[Salary_after]]-Table1[[#This Row],[Salary_before]]</f>
        <v>12832.930000000022</v>
      </c>
      <c r="L3344" s="11">
        <v>9.3100000000000002E-2</v>
      </c>
      <c r="M3344" s="11">
        <v>-2.0999999999999999E-3</v>
      </c>
      <c r="N3344">
        <v>71.650000000000006</v>
      </c>
      <c r="O3344">
        <v>73.400000000000006</v>
      </c>
      <c r="P3344">
        <v>5</v>
      </c>
      <c r="Q3344" t="s">
        <v>37</v>
      </c>
      <c r="R3344">
        <v>70.789999999999907</v>
      </c>
      <c r="S3344">
        <v>9.31</v>
      </c>
      <c r="T3344" s="4">
        <v>52.832999999999998</v>
      </c>
      <c r="U3344" s="4">
        <v>55.534439999999996</v>
      </c>
      <c r="V3344" t="str">
        <f>IF(Table1[[#This Row],[ai_disruption_intensity]]&gt;70,"High",
IF(Table1[[#This Row],[ai_disruption_intensity]]&gt;40,"Medium","Low"))</f>
        <v>Medium</v>
      </c>
      <c r="W3344" t="str">
        <f>IF(Table1[[#This Row],[skill_gap_index]]&gt;70,"Large Gap",
IF(Table1[[#This Row],[skill_gap_index]]&gt;40,"Medium Gap","Small Gap"))</f>
        <v>Medium Gap</v>
      </c>
      <c r="X3344" s="3" t="str">
        <f>IF(Table1[[#This Row],[automation_risk_percent]]&gt;0.7,"Highly Automatable",
IF(Table1[[#This Row],[automation_risk_percent]]&gt;0.4,"Moderate Risk","Safe Job"))</f>
        <v>Highly Automatable</v>
      </c>
    </row>
    <row r="3345" spans="1:24" x14ac:dyDescent="0.3">
      <c r="A3345">
        <v>11647</v>
      </c>
      <c r="B3345" t="s">
        <v>26</v>
      </c>
      <c r="C3345" t="s">
        <v>23</v>
      </c>
      <c r="D3345" t="s">
        <v>36</v>
      </c>
      <c r="E3345" s="1">
        <v>2026</v>
      </c>
      <c r="F3345" s="11">
        <v>0.2361</v>
      </c>
      <c r="G3345">
        <v>24.64</v>
      </c>
      <c r="H3345">
        <v>12.17</v>
      </c>
      <c r="I3345" s="2">
        <v>81038.679999999993</v>
      </c>
      <c r="J3345" s="2">
        <v>76829.919999999998</v>
      </c>
      <c r="K3345" s="2">
        <f>Table1[[#This Row],[Salary_after]]-Table1[[#This Row],[Salary_before]]</f>
        <v>-4208.7599999999948</v>
      </c>
      <c r="L3345" s="11">
        <v>-5.1900000000000002E-2</v>
      </c>
      <c r="M3345" s="11">
        <v>-2.6699999999999998E-2</v>
      </c>
      <c r="N3345">
        <v>67.69</v>
      </c>
      <c r="O3345">
        <v>75.36</v>
      </c>
      <c r="P3345">
        <v>5</v>
      </c>
      <c r="Q3345" t="s">
        <v>21</v>
      </c>
      <c r="R3345">
        <v>17.89</v>
      </c>
      <c r="S3345">
        <v>5.19</v>
      </c>
      <c r="T3345" s="4">
        <v>14.651999999999999</v>
      </c>
      <c r="U3345" s="4">
        <v>17.792496</v>
      </c>
      <c r="V3345" t="str">
        <f>IF(Table1[[#This Row],[ai_disruption_intensity]]&gt;70,"High",
IF(Table1[[#This Row],[ai_disruption_intensity]]&gt;40,"Medium","Low"))</f>
        <v>Low</v>
      </c>
      <c r="W3345" t="str">
        <f>IF(Table1[[#This Row],[skill_gap_index]]&gt;70,"Large Gap",
IF(Table1[[#This Row],[skill_gap_index]]&gt;40,"Medium Gap","Small Gap"))</f>
        <v>Small Gap</v>
      </c>
      <c r="X3345" s="3" t="str">
        <f>IF(Table1[[#This Row],[automation_risk_percent]]&gt;0.7,"Highly Automatable",
IF(Table1[[#This Row],[automation_risk_percent]]&gt;0.4,"Moderate Risk","Safe Job"))</f>
        <v>Safe Job</v>
      </c>
    </row>
    <row r="3346" spans="1:24" x14ac:dyDescent="0.3">
      <c r="A3346">
        <v>11653</v>
      </c>
      <c r="B3346" t="s">
        <v>43</v>
      </c>
      <c r="C3346" t="s">
        <v>30</v>
      </c>
      <c r="D3346" t="s">
        <v>24</v>
      </c>
      <c r="E3346" s="1">
        <v>2025</v>
      </c>
      <c r="F3346" s="11">
        <v>0.48509999999999998</v>
      </c>
      <c r="G3346">
        <v>44.41</v>
      </c>
      <c r="H3346">
        <v>39.56</v>
      </c>
      <c r="I3346" s="2">
        <v>40551.230000000003</v>
      </c>
      <c r="J3346" s="2">
        <v>42487.07</v>
      </c>
      <c r="K3346" s="2">
        <f>Table1[[#This Row],[Salary_after]]-Table1[[#This Row],[Salary_before]]</f>
        <v>1935.8399999999965</v>
      </c>
      <c r="L3346" s="11">
        <v>4.7699999999999992E-2</v>
      </c>
      <c r="M3346" s="11">
        <v>-0.1116</v>
      </c>
      <c r="N3346">
        <v>74.92</v>
      </c>
      <c r="O3346">
        <v>91.03</v>
      </c>
      <c r="P3346">
        <v>1</v>
      </c>
      <c r="Q3346" t="s">
        <v>25</v>
      </c>
      <c r="R3346">
        <v>44.034999999999997</v>
      </c>
      <c r="S3346">
        <v>4.7699999999999996</v>
      </c>
      <c r="T3346" s="4">
        <v>32.702999999999903</v>
      </c>
      <c r="U3346" s="4">
        <v>44.158652999999902</v>
      </c>
      <c r="V3346" t="str">
        <f>IF(Table1[[#This Row],[ai_disruption_intensity]]&gt;70,"High",
IF(Table1[[#This Row],[ai_disruption_intensity]]&gt;40,"Medium","Low"))</f>
        <v>Medium</v>
      </c>
      <c r="W3346" t="str">
        <f>IF(Table1[[#This Row],[skill_gap_index]]&gt;70,"Large Gap",
IF(Table1[[#This Row],[skill_gap_index]]&gt;40,"Medium Gap","Small Gap"))</f>
        <v>Small Gap</v>
      </c>
      <c r="X3346" s="3" t="str">
        <f>IF(Table1[[#This Row],[automation_risk_percent]]&gt;0.7,"Highly Automatable",
IF(Table1[[#This Row],[automation_risk_percent]]&gt;0.4,"Moderate Risk","Safe Job"))</f>
        <v>Moderate Risk</v>
      </c>
    </row>
    <row r="3347" spans="1:24" x14ac:dyDescent="0.3">
      <c r="A3347">
        <v>11658</v>
      </c>
      <c r="B3347" t="s">
        <v>26</v>
      </c>
      <c r="C3347" t="s">
        <v>19</v>
      </c>
      <c r="D3347" t="s">
        <v>36</v>
      </c>
      <c r="E3347" s="1">
        <v>2026</v>
      </c>
      <c r="F3347" s="11">
        <v>0.3967</v>
      </c>
      <c r="G3347">
        <v>39.5</v>
      </c>
      <c r="H3347">
        <v>95.26</v>
      </c>
      <c r="I3347" s="2">
        <v>68394.429999999993</v>
      </c>
      <c r="J3347" s="2">
        <v>69541.16</v>
      </c>
      <c r="K3347" s="2">
        <f>Table1[[#This Row],[Salary_after]]-Table1[[#This Row],[Salary_before]]</f>
        <v>1146.7300000000105</v>
      </c>
      <c r="L3347" s="11">
        <v>1.6799999999999999E-2</v>
      </c>
      <c r="M3347" s="11">
        <v>-7.5300000000000006E-2</v>
      </c>
      <c r="N3347">
        <v>29.34</v>
      </c>
      <c r="O3347">
        <v>53.94</v>
      </c>
      <c r="P3347">
        <v>3</v>
      </c>
      <c r="Q3347" t="s">
        <v>25</v>
      </c>
      <c r="R3347">
        <v>67.465000000000003</v>
      </c>
      <c r="S3347">
        <v>1.68</v>
      </c>
      <c r="T3347" s="4">
        <v>44.949999999999903</v>
      </c>
      <c r="U3347" s="4">
        <v>21.397997999999902</v>
      </c>
      <c r="V3347" t="str">
        <f>IF(Table1[[#This Row],[ai_disruption_intensity]]&gt;70,"High",
IF(Table1[[#This Row],[ai_disruption_intensity]]&gt;40,"Medium","Low"))</f>
        <v>Low</v>
      </c>
      <c r="W3347" t="str">
        <f>IF(Table1[[#This Row],[skill_gap_index]]&gt;70,"Large Gap",
IF(Table1[[#This Row],[skill_gap_index]]&gt;40,"Medium Gap","Small Gap"))</f>
        <v>Large Gap</v>
      </c>
      <c r="X3347" s="3" t="str">
        <f>IF(Table1[[#This Row],[automation_risk_percent]]&gt;0.7,"Highly Automatable",
IF(Table1[[#This Row],[automation_risk_percent]]&gt;0.4,"Moderate Risk","Safe Job"))</f>
        <v>Safe Job</v>
      </c>
    </row>
    <row r="3348" spans="1:24" x14ac:dyDescent="0.3">
      <c r="A3348">
        <v>11662</v>
      </c>
      <c r="B3348" t="s">
        <v>39</v>
      </c>
      <c r="C3348" t="s">
        <v>40</v>
      </c>
      <c r="D3348" t="s">
        <v>28</v>
      </c>
      <c r="E3348" s="1">
        <v>2026</v>
      </c>
      <c r="F3348" s="11">
        <v>0.30820000000000003</v>
      </c>
      <c r="G3348">
        <v>30.65</v>
      </c>
      <c r="H3348">
        <v>3.35</v>
      </c>
      <c r="I3348" s="2">
        <v>108174.26</v>
      </c>
      <c r="J3348" s="2">
        <v>114364.6</v>
      </c>
      <c r="K3348" s="2">
        <f>Table1[[#This Row],[Salary_after]]-Table1[[#This Row],[Salary_before]]</f>
        <v>6190.3400000000111</v>
      </c>
      <c r="L3348" s="11">
        <v>5.7200000000000001E-2</v>
      </c>
      <c r="M3348" s="11">
        <v>0.115</v>
      </c>
      <c r="N3348">
        <v>42.11</v>
      </c>
      <c r="O3348">
        <v>19.04</v>
      </c>
      <c r="P3348">
        <v>4</v>
      </c>
      <c r="Q3348" t="s">
        <v>25</v>
      </c>
      <c r="R3348">
        <v>17.085000000000001</v>
      </c>
      <c r="S3348">
        <v>5.72</v>
      </c>
      <c r="T3348" s="4">
        <v>15.048999999999999</v>
      </c>
      <c r="U3348" s="4">
        <v>5.8681279999999996</v>
      </c>
      <c r="V3348" t="str">
        <f>IF(Table1[[#This Row],[ai_disruption_intensity]]&gt;70,"High",
IF(Table1[[#This Row],[ai_disruption_intensity]]&gt;40,"Medium","Low"))</f>
        <v>Low</v>
      </c>
      <c r="W3348" t="str">
        <f>IF(Table1[[#This Row],[skill_gap_index]]&gt;70,"Large Gap",
IF(Table1[[#This Row],[skill_gap_index]]&gt;40,"Medium Gap","Small Gap"))</f>
        <v>Small Gap</v>
      </c>
      <c r="X3348" s="3" t="str">
        <f>IF(Table1[[#This Row],[automation_risk_percent]]&gt;0.7,"Highly Automatable",
IF(Table1[[#This Row],[automation_risk_percent]]&gt;0.4,"Moderate Risk","Safe Job"))</f>
        <v>Safe Job</v>
      </c>
    </row>
    <row r="3349" spans="1:24" x14ac:dyDescent="0.3">
      <c r="A3349">
        <v>11664</v>
      </c>
      <c r="B3349" t="s">
        <v>39</v>
      </c>
      <c r="C3349" t="s">
        <v>33</v>
      </c>
      <c r="D3349" t="s">
        <v>42</v>
      </c>
      <c r="E3349" s="1">
        <v>2025</v>
      </c>
      <c r="F3349" s="11">
        <v>0.65920000000000001</v>
      </c>
      <c r="G3349">
        <v>67.400000000000006</v>
      </c>
      <c r="H3349">
        <v>12.33</v>
      </c>
      <c r="I3349" s="2">
        <v>70360.479999999996</v>
      </c>
      <c r="J3349" s="2">
        <v>71373.8</v>
      </c>
      <c r="K3349" s="2">
        <f>Table1[[#This Row],[Salary_after]]-Table1[[#This Row],[Salary_before]]</f>
        <v>1013.320000000007</v>
      </c>
      <c r="L3349" s="11">
        <v>1.44E-2</v>
      </c>
      <c r="M3349" s="11">
        <v>-0.11070000000000001</v>
      </c>
      <c r="N3349">
        <v>94.77</v>
      </c>
      <c r="O3349">
        <v>62.31</v>
      </c>
      <c r="P3349">
        <v>4</v>
      </c>
      <c r="Q3349" t="s">
        <v>37</v>
      </c>
      <c r="R3349">
        <v>39.125</v>
      </c>
      <c r="S3349">
        <v>1.44</v>
      </c>
      <c r="T3349" s="4">
        <v>30.498999999999999</v>
      </c>
      <c r="U3349" s="4">
        <v>41.074751999999997</v>
      </c>
      <c r="V3349" t="str">
        <f>IF(Table1[[#This Row],[ai_disruption_intensity]]&gt;70,"High",
IF(Table1[[#This Row],[ai_disruption_intensity]]&gt;40,"Medium","Low"))</f>
        <v>Medium</v>
      </c>
      <c r="W3349" t="str">
        <f>IF(Table1[[#This Row],[skill_gap_index]]&gt;70,"Large Gap",
IF(Table1[[#This Row],[skill_gap_index]]&gt;40,"Medium Gap","Small Gap"))</f>
        <v>Small Gap</v>
      </c>
      <c r="X3349" s="3" t="str">
        <f>IF(Table1[[#This Row],[automation_risk_percent]]&gt;0.7,"Highly Automatable",
IF(Table1[[#This Row],[automation_risk_percent]]&gt;0.4,"Moderate Risk","Safe Job"))</f>
        <v>Moderate Risk</v>
      </c>
    </row>
    <row r="3350" spans="1:24" x14ac:dyDescent="0.3">
      <c r="A3350">
        <v>11672</v>
      </c>
      <c r="B3350" t="s">
        <v>45</v>
      </c>
      <c r="C3350" t="s">
        <v>19</v>
      </c>
      <c r="D3350" t="s">
        <v>28</v>
      </c>
      <c r="E3350" s="1">
        <v>2026</v>
      </c>
      <c r="F3350" s="11">
        <v>0.66949999999999998</v>
      </c>
      <c r="G3350">
        <v>54.54</v>
      </c>
      <c r="H3350">
        <v>53.66</v>
      </c>
      <c r="I3350" s="2">
        <v>60882.76</v>
      </c>
      <c r="J3350" s="2">
        <v>66073.08</v>
      </c>
      <c r="K3350" s="2">
        <f>Table1[[#This Row],[Salary_after]]-Table1[[#This Row],[Salary_before]]</f>
        <v>5190.32</v>
      </c>
      <c r="L3350" s="11">
        <v>8.5299999999999987E-2</v>
      </c>
      <c r="M3350" s="11">
        <v>-0.19879999999999998</v>
      </c>
      <c r="N3350">
        <v>76.17</v>
      </c>
      <c r="O3350">
        <v>3.98</v>
      </c>
      <c r="P3350">
        <v>2</v>
      </c>
      <c r="Q3350" t="s">
        <v>37</v>
      </c>
      <c r="R3350">
        <v>60.305</v>
      </c>
      <c r="S3350">
        <v>8.5299999999999994</v>
      </c>
      <c r="T3350" s="4">
        <v>45.436999999999998</v>
      </c>
      <c r="U3350" s="4">
        <v>2.6646100000000001</v>
      </c>
      <c r="V3350" t="str">
        <f>IF(Table1[[#This Row],[ai_disruption_intensity]]&gt;70,"High",
IF(Table1[[#This Row],[ai_disruption_intensity]]&gt;40,"Medium","Low"))</f>
        <v>Low</v>
      </c>
      <c r="W3350" t="str">
        <f>IF(Table1[[#This Row],[skill_gap_index]]&gt;70,"Large Gap",
IF(Table1[[#This Row],[skill_gap_index]]&gt;40,"Medium Gap","Small Gap"))</f>
        <v>Medium Gap</v>
      </c>
      <c r="X3350" s="3" t="str">
        <f>IF(Table1[[#This Row],[automation_risk_percent]]&gt;0.7,"Highly Automatable",
IF(Table1[[#This Row],[automation_risk_percent]]&gt;0.4,"Moderate Risk","Safe Job"))</f>
        <v>Moderate Risk</v>
      </c>
    </row>
    <row r="3351" spans="1:24" x14ac:dyDescent="0.3">
      <c r="A3351">
        <v>11680</v>
      </c>
      <c r="B3351" t="s">
        <v>26</v>
      </c>
      <c r="C3351" t="s">
        <v>30</v>
      </c>
      <c r="D3351" t="s">
        <v>42</v>
      </c>
      <c r="E3351" s="1">
        <v>2025</v>
      </c>
      <c r="F3351" s="11">
        <v>0.2225</v>
      </c>
      <c r="G3351">
        <v>23.34</v>
      </c>
      <c r="H3351">
        <v>26.03</v>
      </c>
      <c r="I3351" s="2">
        <v>47811.61</v>
      </c>
      <c r="J3351" s="2">
        <v>49003.59</v>
      </c>
      <c r="K3351" s="2">
        <f>Table1[[#This Row],[Salary_after]]-Table1[[#This Row],[Salary_before]]</f>
        <v>1191.9799999999959</v>
      </c>
      <c r="L3351" s="11">
        <v>2.4900000000000002E-2</v>
      </c>
      <c r="M3351" s="11">
        <v>0.21199999999999999</v>
      </c>
      <c r="N3351">
        <v>38.57</v>
      </c>
      <c r="O3351">
        <v>62.79</v>
      </c>
      <c r="P3351">
        <v>3</v>
      </c>
      <c r="Q3351" t="s">
        <v>21</v>
      </c>
      <c r="R3351">
        <v>24.14</v>
      </c>
      <c r="S3351">
        <v>2.4900000000000002</v>
      </c>
      <c r="T3351" s="4">
        <v>17.456</v>
      </c>
      <c r="U3351" s="4">
        <v>13.9707749999999</v>
      </c>
      <c r="V3351" t="str">
        <f>IF(Table1[[#This Row],[ai_disruption_intensity]]&gt;70,"High",
IF(Table1[[#This Row],[ai_disruption_intensity]]&gt;40,"Medium","Low"))</f>
        <v>Low</v>
      </c>
      <c r="W3351" t="str">
        <f>IF(Table1[[#This Row],[skill_gap_index]]&gt;70,"Large Gap",
IF(Table1[[#This Row],[skill_gap_index]]&gt;40,"Medium Gap","Small Gap"))</f>
        <v>Small Gap</v>
      </c>
      <c r="X3351" s="3" t="str">
        <f>IF(Table1[[#This Row],[automation_risk_percent]]&gt;0.7,"Highly Automatable",
IF(Table1[[#This Row],[automation_risk_percent]]&gt;0.4,"Moderate Risk","Safe Job"))</f>
        <v>Safe Job</v>
      </c>
    </row>
    <row r="3352" spans="1:24" x14ac:dyDescent="0.3">
      <c r="A3352">
        <v>11682</v>
      </c>
      <c r="B3352" t="s">
        <v>46</v>
      </c>
      <c r="C3352" t="s">
        <v>38</v>
      </c>
      <c r="D3352" t="s">
        <v>42</v>
      </c>
      <c r="E3352" s="1">
        <v>2025</v>
      </c>
      <c r="F3352" s="11">
        <v>0.65720000000000001</v>
      </c>
      <c r="G3352">
        <v>59.88</v>
      </c>
      <c r="H3352">
        <v>46.99</v>
      </c>
      <c r="I3352" s="2">
        <v>42077.599999999999</v>
      </c>
      <c r="J3352" s="2">
        <v>43116.07</v>
      </c>
      <c r="K3352" s="2">
        <f>Table1[[#This Row],[Salary_after]]-Table1[[#This Row],[Salary_before]]</f>
        <v>1038.4700000000012</v>
      </c>
      <c r="L3352" s="11">
        <v>2.4700000000000003E-2</v>
      </c>
      <c r="M3352" s="11">
        <v>0.2959</v>
      </c>
      <c r="N3352">
        <v>71.099999999999994</v>
      </c>
      <c r="O3352">
        <v>60.04</v>
      </c>
      <c r="P3352">
        <v>3</v>
      </c>
      <c r="Q3352" t="s">
        <v>37</v>
      </c>
      <c r="R3352">
        <v>56.354999999999997</v>
      </c>
      <c r="S3352">
        <v>2.4700000000000002</v>
      </c>
      <c r="T3352" s="4">
        <v>41.125999999999998</v>
      </c>
      <c r="U3352" s="4">
        <v>39.458287999999897</v>
      </c>
      <c r="V3352" t="str">
        <f>IF(Table1[[#This Row],[ai_disruption_intensity]]&gt;70,"High",
IF(Table1[[#This Row],[ai_disruption_intensity]]&gt;40,"Medium","Low"))</f>
        <v>Low</v>
      </c>
      <c r="W3352" t="str">
        <f>IF(Table1[[#This Row],[skill_gap_index]]&gt;70,"Large Gap",
IF(Table1[[#This Row],[skill_gap_index]]&gt;40,"Medium Gap","Small Gap"))</f>
        <v>Medium Gap</v>
      </c>
      <c r="X3352" s="3" t="str">
        <f>IF(Table1[[#This Row],[automation_risk_percent]]&gt;0.7,"Highly Automatable",
IF(Table1[[#This Row],[automation_risk_percent]]&gt;0.4,"Moderate Risk","Safe Job"))</f>
        <v>Moderate Risk</v>
      </c>
    </row>
    <row r="3353" spans="1:24" x14ac:dyDescent="0.3">
      <c r="A3353">
        <v>11686</v>
      </c>
      <c r="B3353" t="s">
        <v>43</v>
      </c>
      <c r="C3353" t="s">
        <v>38</v>
      </c>
      <c r="D3353" t="s">
        <v>47</v>
      </c>
      <c r="E3353" s="1">
        <v>2026</v>
      </c>
      <c r="F3353" s="11">
        <v>0.10220000000000001</v>
      </c>
      <c r="G3353">
        <v>8.85</v>
      </c>
      <c r="H3353">
        <v>32.590000000000003</v>
      </c>
      <c r="I3353" s="2">
        <v>37385.14</v>
      </c>
      <c r="J3353" s="2">
        <v>38558.9</v>
      </c>
      <c r="K3353" s="2">
        <f>Table1[[#This Row],[Salary_after]]-Table1[[#This Row],[Salary_before]]</f>
        <v>1173.760000000002</v>
      </c>
      <c r="L3353" s="11">
        <v>3.1400000000000004E-2</v>
      </c>
      <c r="M3353" s="11">
        <v>-7.4099999999999999E-2</v>
      </c>
      <c r="N3353">
        <v>51.13</v>
      </c>
      <c r="O3353">
        <v>86.06</v>
      </c>
      <c r="P3353">
        <v>1</v>
      </c>
      <c r="Q3353" t="s">
        <v>21</v>
      </c>
      <c r="R3353">
        <v>21.405000000000001</v>
      </c>
      <c r="S3353">
        <v>3.14</v>
      </c>
      <c r="T3353" s="4">
        <v>14.807</v>
      </c>
      <c r="U3353" s="4">
        <v>8.7953320000000001</v>
      </c>
      <c r="V3353" t="str">
        <f>IF(Table1[[#This Row],[ai_disruption_intensity]]&gt;70,"High",
IF(Table1[[#This Row],[ai_disruption_intensity]]&gt;40,"Medium","Low"))</f>
        <v>Low</v>
      </c>
      <c r="W3353" t="str">
        <f>IF(Table1[[#This Row],[skill_gap_index]]&gt;70,"Large Gap",
IF(Table1[[#This Row],[skill_gap_index]]&gt;40,"Medium Gap","Small Gap"))</f>
        <v>Small Gap</v>
      </c>
      <c r="X3353" s="3" t="str">
        <f>IF(Table1[[#This Row],[automation_risk_percent]]&gt;0.7,"Highly Automatable",
IF(Table1[[#This Row],[automation_risk_percent]]&gt;0.4,"Moderate Risk","Safe Job"))</f>
        <v>Safe Job</v>
      </c>
    </row>
    <row r="3354" spans="1:24" x14ac:dyDescent="0.3">
      <c r="A3354">
        <v>11691</v>
      </c>
      <c r="B3354" t="s">
        <v>29</v>
      </c>
      <c r="C3354" t="s">
        <v>40</v>
      </c>
      <c r="D3354" t="s">
        <v>36</v>
      </c>
      <c r="E3354" s="1">
        <v>2025</v>
      </c>
      <c r="F3354" s="11">
        <v>0.85709999999999997</v>
      </c>
      <c r="G3354">
        <v>75.930000000000007</v>
      </c>
      <c r="H3354">
        <v>31.22</v>
      </c>
      <c r="I3354" s="2">
        <v>51799.81</v>
      </c>
      <c r="J3354" s="2">
        <v>57829.32</v>
      </c>
      <c r="K3354" s="2">
        <f>Table1[[#This Row],[Salary_after]]-Table1[[#This Row],[Salary_before]]</f>
        <v>6029.510000000002</v>
      </c>
      <c r="L3354" s="11">
        <v>0.1164</v>
      </c>
      <c r="M3354" s="11">
        <v>0.16250000000000001</v>
      </c>
      <c r="N3354">
        <v>10.36</v>
      </c>
      <c r="O3354">
        <v>16.48</v>
      </c>
      <c r="P3354">
        <v>3</v>
      </c>
      <c r="Q3354" t="s">
        <v>37</v>
      </c>
      <c r="R3354">
        <v>58.464999999999897</v>
      </c>
      <c r="S3354">
        <v>11.64</v>
      </c>
      <c r="T3354" s="4">
        <v>47.141999999999904</v>
      </c>
      <c r="U3354" s="4">
        <v>14.125007999999999</v>
      </c>
      <c r="V3354" t="str">
        <f>IF(Table1[[#This Row],[ai_disruption_intensity]]&gt;70,"High",
IF(Table1[[#This Row],[ai_disruption_intensity]]&gt;40,"Medium","Low"))</f>
        <v>Low</v>
      </c>
      <c r="W3354" t="str">
        <f>IF(Table1[[#This Row],[skill_gap_index]]&gt;70,"Large Gap",
IF(Table1[[#This Row],[skill_gap_index]]&gt;40,"Medium Gap","Small Gap"))</f>
        <v>Small Gap</v>
      </c>
      <c r="X3354" s="3" t="str">
        <f>IF(Table1[[#This Row],[automation_risk_percent]]&gt;0.7,"Highly Automatable",
IF(Table1[[#This Row],[automation_risk_percent]]&gt;0.4,"Moderate Risk","Safe Job"))</f>
        <v>Highly Automatable</v>
      </c>
    </row>
    <row r="3355" spans="1:24" x14ac:dyDescent="0.3">
      <c r="A3355">
        <v>11697</v>
      </c>
      <c r="B3355" t="s">
        <v>22</v>
      </c>
      <c r="C3355" t="s">
        <v>30</v>
      </c>
      <c r="D3355" t="s">
        <v>24</v>
      </c>
      <c r="E3355" s="1">
        <v>2026</v>
      </c>
      <c r="F3355" s="11">
        <v>0.19289999999999999</v>
      </c>
      <c r="G3355">
        <v>20.239999999999998</v>
      </c>
      <c r="H3355">
        <v>17.79</v>
      </c>
      <c r="I3355" s="2">
        <v>67091.009999999995</v>
      </c>
      <c r="J3355" s="2">
        <v>75676.59</v>
      </c>
      <c r="K3355" s="2">
        <f>Table1[[#This Row],[Salary_after]]-Table1[[#This Row],[Salary_before]]</f>
        <v>8585.5800000000017</v>
      </c>
      <c r="L3355" s="11">
        <v>0.128</v>
      </c>
      <c r="M3355" s="11">
        <v>-1.67E-2</v>
      </c>
      <c r="N3355">
        <v>30.35</v>
      </c>
      <c r="O3355">
        <v>26.37</v>
      </c>
      <c r="P3355">
        <v>3</v>
      </c>
      <c r="Q3355" t="s">
        <v>21</v>
      </c>
      <c r="R3355">
        <v>18.54</v>
      </c>
      <c r="S3355">
        <v>12.8</v>
      </c>
      <c r="T3355" s="4">
        <v>16.893000000000001</v>
      </c>
      <c r="U3355" s="4">
        <v>5.086773</v>
      </c>
      <c r="V3355" t="str">
        <f>IF(Table1[[#This Row],[ai_disruption_intensity]]&gt;70,"High",
IF(Table1[[#This Row],[ai_disruption_intensity]]&gt;40,"Medium","Low"))</f>
        <v>Low</v>
      </c>
      <c r="W3355" t="str">
        <f>IF(Table1[[#This Row],[skill_gap_index]]&gt;70,"Large Gap",
IF(Table1[[#This Row],[skill_gap_index]]&gt;40,"Medium Gap","Small Gap"))</f>
        <v>Small Gap</v>
      </c>
      <c r="X3355" s="3" t="str">
        <f>IF(Table1[[#This Row],[automation_risk_percent]]&gt;0.7,"Highly Automatable",
IF(Table1[[#This Row],[automation_risk_percent]]&gt;0.4,"Moderate Risk","Safe Job"))</f>
        <v>Safe Job</v>
      </c>
    </row>
    <row r="3356" spans="1:24" x14ac:dyDescent="0.3">
      <c r="A3356">
        <v>11703</v>
      </c>
      <c r="B3356" t="s">
        <v>29</v>
      </c>
      <c r="C3356" t="s">
        <v>27</v>
      </c>
      <c r="D3356" t="s">
        <v>31</v>
      </c>
      <c r="E3356" s="1">
        <v>2026</v>
      </c>
      <c r="F3356" s="11">
        <v>0.56369999999999998</v>
      </c>
      <c r="G3356">
        <v>52.79</v>
      </c>
      <c r="H3356">
        <v>49.23</v>
      </c>
      <c r="I3356" s="2">
        <v>101587.81</v>
      </c>
      <c r="J3356" s="2">
        <v>113156.3</v>
      </c>
      <c r="K3356" s="2">
        <f>Table1[[#This Row],[Salary_after]]-Table1[[#This Row],[Salary_before]]</f>
        <v>11568.490000000005</v>
      </c>
      <c r="L3356" s="11">
        <v>0.1139</v>
      </c>
      <c r="M3356" s="11">
        <v>4.7199999999999999E-2</v>
      </c>
      <c r="N3356">
        <v>88.21</v>
      </c>
      <c r="O3356">
        <v>36.96</v>
      </c>
      <c r="P3356">
        <v>2</v>
      </c>
      <c r="Q3356" t="s">
        <v>25</v>
      </c>
      <c r="R3356">
        <v>52.8</v>
      </c>
      <c r="S3356">
        <v>11.39</v>
      </c>
      <c r="T3356" s="4">
        <v>40.734000000000002</v>
      </c>
      <c r="U3356" s="4">
        <v>20.834351999999999</v>
      </c>
      <c r="V3356" t="str">
        <f>IF(Table1[[#This Row],[ai_disruption_intensity]]&gt;70,"High",
IF(Table1[[#This Row],[ai_disruption_intensity]]&gt;40,"Medium","Low"))</f>
        <v>Low</v>
      </c>
      <c r="W3356" t="str">
        <f>IF(Table1[[#This Row],[skill_gap_index]]&gt;70,"Large Gap",
IF(Table1[[#This Row],[skill_gap_index]]&gt;40,"Medium Gap","Small Gap"))</f>
        <v>Medium Gap</v>
      </c>
      <c r="X3356" s="3" t="str">
        <f>IF(Table1[[#This Row],[automation_risk_percent]]&gt;0.7,"Highly Automatable",
IF(Table1[[#This Row],[automation_risk_percent]]&gt;0.4,"Moderate Risk","Safe Job"))</f>
        <v>Moderate Risk</v>
      </c>
    </row>
    <row r="3357" spans="1:24" x14ac:dyDescent="0.3">
      <c r="A3357">
        <v>11705</v>
      </c>
      <c r="B3357" t="s">
        <v>41</v>
      </c>
      <c r="C3357" t="s">
        <v>19</v>
      </c>
      <c r="D3357" t="s">
        <v>20</v>
      </c>
      <c r="E3357" s="1">
        <v>2026</v>
      </c>
      <c r="F3357" s="11">
        <v>0.84640000000000004</v>
      </c>
      <c r="G3357">
        <v>84.95</v>
      </c>
      <c r="H3357">
        <v>29.27</v>
      </c>
      <c r="I3357" s="2">
        <v>64363.39</v>
      </c>
      <c r="J3357" s="2">
        <v>61837.57</v>
      </c>
      <c r="K3357" s="2">
        <f>Table1[[#This Row],[Salary_after]]-Table1[[#This Row],[Salary_before]]</f>
        <v>-2525.8199999999997</v>
      </c>
      <c r="L3357" s="11">
        <v>-3.9199999999999999E-2</v>
      </c>
      <c r="M3357" s="11">
        <v>7.9699999999999993E-2</v>
      </c>
      <c r="N3357">
        <v>93.87</v>
      </c>
      <c r="O3357">
        <v>41.34</v>
      </c>
      <c r="P3357">
        <v>3</v>
      </c>
      <c r="Q3357" t="s">
        <v>37</v>
      </c>
      <c r="R3357">
        <v>56.954999999999998</v>
      </c>
      <c r="S3357">
        <v>3.92</v>
      </c>
      <c r="T3357" s="4">
        <v>43.813000000000002</v>
      </c>
      <c r="U3357" s="4">
        <v>34.990175999999998</v>
      </c>
      <c r="V3357" t="str">
        <f>IF(Table1[[#This Row],[ai_disruption_intensity]]&gt;70,"High",
IF(Table1[[#This Row],[ai_disruption_intensity]]&gt;40,"Medium","Low"))</f>
        <v>Low</v>
      </c>
      <c r="W3357" t="str">
        <f>IF(Table1[[#This Row],[skill_gap_index]]&gt;70,"Large Gap",
IF(Table1[[#This Row],[skill_gap_index]]&gt;40,"Medium Gap","Small Gap"))</f>
        <v>Small Gap</v>
      </c>
      <c r="X3357" s="3" t="str">
        <f>IF(Table1[[#This Row],[automation_risk_percent]]&gt;0.7,"Highly Automatable",
IF(Table1[[#This Row],[automation_risk_percent]]&gt;0.4,"Moderate Risk","Safe Job"))</f>
        <v>Highly Automatable</v>
      </c>
    </row>
    <row r="3358" spans="1:24" x14ac:dyDescent="0.3">
      <c r="A3358">
        <v>11708</v>
      </c>
      <c r="B3358" t="s">
        <v>45</v>
      </c>
      <c r="C3358" t="s">
        <v>38</v>
      </c>
      <c r="D3358" t="s">
        <v>47</v>
      </c>
      <c r="E3358" s="1">
        <v>2025</v>
      </c>
      <c r="F3358" s="11">
        <v>0.1075</v>
      </c>
      <c r="G3358">
        <v>12.34</v>
      </c>
      <c r="H3358">
        <v>24.54</v>
      </c>
      <c r="I3358" s="2">
        <v>82930.98</v>
      </c>
      <c r="J3358" s="2">
        <v>86693.83</v>
      </c>
      <c r="K3358" s="2">
        <f>Table1[[#This Row],[Salary_after]]-Table1[[#This Row],[Salary_before]]</f>
        <v>3762.8500000000058</v>
      </c>
      <c r="L3358" s="11">
        <v>4.5400000000000003E-2</v>
      </c>
      <c r="M3358" s="11">
        <v>-3.85E-2</v>
      </c>
      <c r="N3358">
        <v>59.08</v>
      </c>
      <c r="O3358">
        <v>36.479999999999997</v>
      </c>
      <c r="P3358">
        <v>4</v>
      </c>
      <c r="Q3358" t="s">
        <v>21</v>
      </c>
      <c r="R3358">
        <v>17.645</v>
      </c>
      <c r="S3358">
        <v>4.54</v>
      </c>
      <c r="T3358" s="4">
        <v>13.023999999999999</v>
      </c>
      <c r="U3358" s="4">
        <v>3.92159999999999</v>
      </c>
      <c r="V3358" t="str">
        <f>IF(Table1[[#This Row],[ai_disruption_intensity]]&gt;70,"High",
IF(Table1[[#This Row],[ai_disruption_intensity]]&gt;40,"Medium","Low"))</f>
        <v>Low</v>
      </c>
      <c r="W3358" t="str">
        <f>IF(Table1[[#This Row],[skill_gap_index]]&gt;70,"Large Gap",
IF(Table1[[#This Row],[skill_gap_index]]&gt;40,"Medium Gap","Small Gap"))</f>
        <v>Small Gap</v>
      </c>
      <c r="X3358" s="3" t="str">
        <f>IF(Table1[[#This Row],[automation_risk_percent]]&gt;0.7,"Highly Automatable",
IF(Table1[[#This Row],[automation_risk_percent]]&gt;0.4,"Moderate Risk","Safe Job"))</f>
        <v>Safe Job</v>
      </c>
    </row>
    <row r="3359" spans="1:24" x14ac:dyDescent="0.3">
      <c r="A3359">
        <v>11712</v>
      </c>
      <c r="B3359" t="s">
        <v>29</v>
      </c>
      <c r="C3359" t="s">
        <v>34</v>
      </c>
      <c r="D3359" t="s">
        <v>35</v>
      </c>
      <c r="E3359" s="1">
        <v>2026</v>
      </c>
      <c r="F3359" s="11">
        <v>0.7944</v>
      </c>
      <c r="G3359">
        <v>88.04</v>
      </c>
      <c r="H3359">
        <v>22.04</v>
      </c>
      <c r="I3359" s="2">
        <v>76067.3</v>
      </c>
      <c r="J3359" s="2">
        <v>75527.25</v>
      </c>
      <c r="K3359" s="2">
        <f>Table1[[#This Row],[Salary_after]]-Table1[[#This Row],[Salary_before]]</f>
        <v>-540.05000000000291</v>
      </c>
      <c r="L3359" s="11">
        <v>-7.0999999999999995E-3</v>
      </c>
      <c r="M3359" s="11">
        <v>6.6E-3</v>
      </c>
      <c r="N3359">
        <v>15.76</v>
      </c>
      <c r="O3359">
        <v>84.74</v>
      </c>
      <c r="P3359">
        <v>1</v>
      </c>
      <c r="Q3359" t="s">
        <v>37</v>
      </c>
      <c r="R3359">
        <v>50.739999999999903</v>
      </c>
      <c r="S3359">
        <v>0.71</v>
      </c>
      <c r="T3359" s="4">
        <v>38.600999999999999</v>
      </c>
      <c r="U3359" s="4">
        <v>67.317455999999893</v>
      </c>
      <c r="V3359" t="str">
        <f>IF(Table1[[#This Row],[ai_disruption_intensity]]&gt;70,"High",
IF(Table1[[#This Row],[ai_disruption_intensity]]&gt;40,"Medium","Low"))</f>
        <v>Medium</v>
      </c>
      <c r="W3359" t="str">
        <f>IF(Table1[[#This Row],[skill_gap_index]]&gt;70,"Large Gap",
IF(Table1[[#This Row],[skill_gap_index]]&gt;40,"Medium Gap","Small Gap"))</f>
        <v>Small Gap</v>
      </c>
      <c r="X3359" s="3" t="str">
        <f>IF(Table1[[#This Row],[automation_risk_percent]]&gt;0.7,"Highly Automatable",
IF(Table1[[#This Row],[automation_risk_percent]]&gt;0.4,"Moderate Risk","Safe Job"))</f>
        <v>Highly Automatable</v>
      </c>
    </row>
    <row r="3360" spans="1:24" x14ac:dyDescent="0.3">
      <c r="A3360">
        <v>11713</v>
      </c>
      <c r="B3360" t="s">
        <v>46</v>
      </c>
      <c r="C3360" t="s">
        <v>38</v>
      </c>
      <c r="D3360" t="s">
        <v>47</v>
      </c>
      <c r="E3360" s="1">
        <v>2026</v>
      </c>
      <c r="F3360" s="11">
        <v>0.4985</v>
      </c>
      <c r="G3360">
        <v>55.5</v>
      </c>
      <c r="H3360">
        <v>61.75</v>
      </c>
      <c r="I3360" s="2">
        <v>109665.28</v>
      </c>
      <c r="J3360" s="2">
        <v>106659.31</v>
      </c>
      <c r="K3360" s="2">
        <f>Table1[[#This Row],[Salary_after]]-Table1[[#This Row],[Salary_before]]</f>
        <v>-3005.9700000000012</v>
      </c>
      <c r="L3360" s="11">
        <v>-2.7400000000000001E-2</v>
      </c>
      <c r="M3360" s="11">
        <v>8.4900000000000003E-2</v>
      </c>
      <c r="N3360">
        <v>52.03</v>
      </c>
      <c r="O3360">
        <v>66.75</v>
      </c>
      <c r="P3360">
        <v>4</v>
      </c>
      <c r="Q3360" t="s">
        <v>25</v>
      </c>
      <c r="R3360">
        <v>55.8</v>
      </c>
      <c r="S3360">
        <v>2.74</v>
      </c>
      <c r="T3360" s="4">
        <v>39.286999999999999</v>
      </c>
      <c r="U3360" s="4">
        <v>33.274875000000002</v>
      </c>
      <c r="V3360" t="str">
        <f>IF(Table1[[#This Row],[ai_disruption_intensity]]&gt;70,"High",
IF(Table1[[#This Row],[ai_disruption_intensity]]&gt;40,"Medium","Low"))</f>
        <v>Low</v>
      </c>
      <c r="W3360" t="str">
        <f>IF(Table1[[#This Row],[skill_gap_index]]&gt;70,"Large Gap",
IF(Table1[[#This Row],[skill_gap_index]]&gt;40,"Medium Gap","Small Gap"))</f>
        <v>Medium Gap</v>
      </c>
      <c r="X3360" s="3" t="str">
        <f>IF(Table1[[#This Row],[automation_risk_percent]]&gt;0.7,"Highly Automatable",
IF(Table1[[#This Row],[automation_risk_percent]]&gt;0.4,"Moderate Risk","Safe Job"))</f>
        <v>Moderate Risk</v>
      </c>
    </row>
    <row r="3361" spans="1:24" x14ac:dyDescent="0.3">
      <c r="A3361">
        <v>11714</v>
      </c>
      <c r="B3361" t="s">
        <v>44</v>
      </c>
      <c r="C3361" t="s">
        <v>40</v>
      </c>
      <c r="D3361" t="s">
        <v>36</v>
      </c>
      <c r="E3361" s="1">
        <v>2026</v>
      </c>
      <c r="F3361" s="11">
        <v>0.77610000000000001</v>
      </c>
      <c r="G3361">
        <v>62.53</v>
      </c>
      <c r="H3361">
        <v>48.76</v>
      </c>
      <c r="I3361" s="2">
        <v>149523.82</v>
      </c>
      <c r="J3361" s="2">
        <v>149772.07999999999</v>
      </c>
      <c r="K3361" s="2">
        <f>Table1[[#This Row],[Salary_after]]-Table1[[#This Row],[Salary_before]]</f>
        <v>248.25999999998021</v>
      </c>
      <c r="L3361" s="11">
        <v>1.7000000000000001E-3</v>
      </c>
      <c r="M3361" s="11">
        <v>-3.7400000000000003E-2</v>
      </c>
      <c r="N3361">
        <v>41.36</v>
      </c>
      <c r="O3361">
        <v>71.63</v>
      </c>
      <c r="P3361">
        <v>4</v>
      </c>
      <c r="Q3361" t="s">
        <v>37</v>
      </c>
      <c r="R3361">
        <v>63.185000000000002</v>
      </c>
      <c r="S3361">
        <v>0.17</v>
      </c>
      <c r="T3361" s="4">
        <v>45.722999999999999</v>
      </c>
      <c r="U3361" s="4">
        <v>55.592042999999997</v>
      </c>
      <c r="V3361" t="str">
        <f>IF(Table1[[#This Row],[ai_disruption_intensity]]&gt;70,"High",
IF(Table1[[#This Row],[ai_disruption_intensity]]&gt;40,"Medium","Low"))</f>
        <v>Medium</v>
      </c>
      <c r="W3361" t="str">
        <f>IF(Table1[[#This Row],[skill_gap_index]]&gt;70,"Large Gap",
IF(Table1[[#This Row],[skill_gap_index]]&gt;40,"Medium Gap","Small Gap"))</f>
        <v>Medium Gap</v>
      </c>
      <c r="X3361" s="3" t="str">
        <f>IF(Table1[[#This Row],[automation_risk_percent]]&gt;0.7,"Highly Automatable",
IF(Table1[[#This Row],[automation_risk_percent]]&gt;0.4,"Moderate Risk","Safe Job"))</f>
        <v>Highly Automatable</v>
      </c>
    </row>
    <row r="3362" spans="1:24" x14ac:dyDescent="0.3">
      <c r="A3362">
        <v>11715</v>
      </c>
      <c r="B3362" t="s">
        <v>39</v>
      </c>
      <c r="C3362" t="s">
        <v>38</v>
      </c>
      <c r="D3362" t="s">
        <v>32</v>
      </c>
      <c r="E3362" s="1">
        <v>2025</v>
      </c>
      <c r="F3362" s="11">
        <v>0.49990000000000001</v>
      </c>
      <c r="G3362">
        <v>51.61</v>
      </c>
      <c r="H3362">
        <v>51.11</v>
      </c>
      <c r="I3362" s="2">
        <v>149047.79</v>
      </c>
      <c r="J3362" s="2">
        <v>137467.12</v>
      </c>
      <c r="K3362" s="2">
        <f>Table1[[#This Row],[Salary_after]]-Table1[[#This Row],[Salary_before]]</f>
        <v>-11580.670000000013</v>
      </c>
      <c r="L3362" s="11">
        <v>-7.7699999999999991E-2</v>
      </c>
      <c r="M3362" s="11">
        <v>5.7099999999999998E-2</v>
      </c>
      <c r="N3362">
        <v>39</v>
      </c>
      <c r="O3362">
        <v>78.069999999999993</v>
      </c>
      <c r="P3362">
        <v>1</v>
      </c>
      <c r="Q3362" t="s">
        <v>25</v>
      </c>
      <c r="R3362">
        <v>50.55</v>
      </c>
      <c r="S3362">
        <v>7.77</v>
      </c>
      <c r="T3362" s="4">
        <v>37.659999999999997</v>
      </c>
      <c r="U3362" s="4">
        <v>39.027192999999997</v>
      </c>
      <c r="V3362" t="str">
        <f>IF(Table1[[#This Row],[ai_disruption_intensity]]&gt;70,"High",
IF(Table1[[#This Row],[ai_disruption_intensity]]&gt;40,"Medium","Low"))</f>
        <v>Low</v>
      </c>
      <c r="W3362" t="str">
        <f>IF(Table1[[#This Row],[skill_gap_index]]&gt;70,"Large Gap",
IF(Table1[[#This Row],[skill_gap_index]]&gt;40,"Medium Gap","Small Gap"))</f>
        <v>Medium Gap</v>
      </c>
      <c r="X3362" s="3" t="str">
        <f>IF(Table1[[#This Row],[automation_risk_percent]]&gt;0.7,"Highly Automatable",
IF(Table1[[#This Row],[automation_risk_percent]]&gt;0.4,"Moderate Risk","Safe Job"))</f>
        <v>Moderate Risk</v>
      </c>
    </row>
    <row r="3363" spans="1:24" x14ac:dyDescent="0.3">
      <c r="A3363">
        <v>11716</v>
      </c>
      <c r="B3363" t="s">
        <v>43</v>
      </c>
      <c r="C3363" t="s">
        <v>40</v>
      </c>
      <c r="D3363" t="s">
        <v>20</v>
      </c>
      <c r="E3363" s="1">
        <v>2026</v>
      </c>
      <c r="F3363" s="11">
        <v>0.53990000000000005</v>
      </c>
      <c r="G3363">
        <v>57.96</v>
      </c>
      <c r="H3363">
        <v>92.18</v>
      </c>
      <c r="I3363" s="2">
        <v>83253.63</v>
      </c>
      <c r="J3363" s="2">
        <v>75655.97</v>
      </c>
      <c r="K3363" s="2">
        <f>Table1[[#This Row],[Salary_after]]-Table1[[#This Row],[Salary_before]]</f>
        <v>-7597.6600000000035</v>
      </c>
      <c r="L3363" s="11">
        <v>-9.1300000000000006E-2</v>
      </c>
      <c r="M3363" s="11">
        <v>3.9699999999999999E-2</v>
      </c>
      <c r="N3363">
        <v>59.37</v>
      </c>
      <c r="O3363">
        <v>59.02</v>
      </c>
      <c r="P3363">
        <v>2</v>
      </c>
      <c r="Q3363" t="s">
        <v>25</v>
      </c>
      <c r="R3363">
        <v>73.084999999999994</v>
      </c>
      <c r="S3363">
        <v>9.1300000000000008</v>
      </c>
      <c r="T3363" s="4">
        <v>51.988999999999997</v>
      </c>
      <c r="U3363" s="4">
        <v>31.864898</v>
      </c>
      <c r="V3363" t="str">
        <f>IF(Table1[[#This Row],[ai_disruption_intensity]]&gt;70,"High",
IF(Table1[[#This Row],[ai_disruption_intensity]]&gt;40,"Medium","Low"))</f>
        <v>Low</v>
      </c>
      <c r="W3363" t="str">
        <f>IF(Table1[[#This Row],[skill_gap_index]]&gt;70,"Large Gap",
IF(Table1[[#This Row],[skill_gap_index]]&gt;40,"Medium Gap","Small Gap"))</f>
        <v>Large Gap</v>
      </c>
      <c r="X3363" s="3" t="str">
        <f>IF(Table1[[#This Row],[automation_risk_percent]]&gt;0.7,"Highly Automatable",
IF(Table1[[#This Row],[automation_risk_percent]]&gt;0.4,"Moderate Risk","Safe Job"))</f>
        <v>Moderate Risk</v>
      </c>
    </row>
    <row r="3364" spans="1:24" x14ac:dyDescent="0.3">
      <c r="A3364">
        <v>11723</v>
      </c>
      <c r="B3364" t="s">
        <v>26</v>
      </c>
      <c r="C3364" t="s">
        <v>40</v>
      </c>
      <c r="D3364" t="s">
        <v>24</v>
      </c>
      <c r="E3364" s="1">
        <v>2025</v>
      </c>
      <c r="F3364" s="11">
        <v>0.15060000000000001</v>
      </c>
      <c r="G3364">
        <v>16.079999999999998</v>
      </c>
      <c r="H3364">
        <v>10.1</v>
      </c>
      <c r="I3364" s="2">
        <v>89424.98</v>
      </c>
      <c r="J3364" s="2">
        <v>70535.19</v>
      </c>
      <c r="K3364" s="2">
        <f>Table1[[#This Row],[Salary_after]]-Table1[[#This Row],[Salary_before]]</f>
        <v>-18889.789999999994</v>
      </c>
      <c r="L3364" s="11">
        <v>-0.2112</v>
      </c>
      <c r="M3364" s="11">
        <v>0.31940000000000002</v>
      </c>
      <c r="N3364">
        <v>78.11</v>
      </c>
      <c r="O3364">
        <v>75.45</v>
      </c>
      <c r="P3364">
        <v>2</v>
      </c>
      <c r="Q3364" t="s">
        <v>21</v>
      </c>
      <c r="R3364">
        <v>12.58</v>
      </c>
      <c r="S3364">
        <v>21.12</v>
      </c>
      <c r="T3364" s="4">
        <v>15.39</v>
      </c>
      <c r="U3364" s="4">
        <v>11.362769999999999</v>
      </c>
      <c r="V3364" t="str">
        <f>IF(Table1[[#This Row],[ai_disruption_intensity]]&gt;70,"High",
IF(Table1[[#This Row],[ai_disruption_intensity]]&gt;40,"Medium","Low"))</f>
        <v>Low</v>
      </c>
      <c r="W3364" t="str">
        <f>IF(Table1[[#This Row],[skill_gap_index]]&gt;70,"Large Gap",
IF(Table1[[#This Row],[skill_gap_index]]&gt;40,"Medium Gap","Small Gap"))</f>
        <v>Small Gap</v>
      </c>
      <c r="X3364" s="3" t="str">
        <f>IF(Table1[[#This Row],[automation_risk_percent]]&gt;0.7,"Highly Automatable",
IF(Table1[[#This Row],[automation_risk_percent]]&gt;0.4,"Moderate Risk","Safe Job"))</f>
        <v>Safe Job</v>
      </c>
    </row>
    <row r="3365" spans="1:24" x14ac:dyDescent="0.3">
      <c r="A3365">
        <v>11724</v>
      </c>
      <c r="B3365" t="s">
        <v>46</v>
      </c>
      <c r="C3365" t="s">
        <v>34</v>
      </c>
      <c r="D3365" t="s">
        <v>31</v>
      </c>
      <c r="E3365" s="1">
        <v>2025</v>
      </c>
      <c r="F3365" s="11">
        <v>0.49450000000000005</v>
      </c>
      <c r="G3365">
        <v>52.05</v>
      </c>
      <c r="H3365">
        <v>90.44</v>
      </c>
      <c r="I3365" s="2">
        <v>99076.66</v>
      </c>
      <c r="J3365" s="2">
        <v>94117.759999999995</v>
      </c>
      <c r="K3365" s="2">
        <f>Table1[[#This Row],[Salary_after]]-Table1[[#This Row],[Salary_before]]</f>
        <v>-4958.9000000000087</v>
      </c>
      <c r="L3365" s="11">
        <v>-5.0099999999999999E-2</v>
      </c>
      <c r="M3365" s="11">
        <v>3.2799999999999996E-2</v>
      </c>
      <c r="N3365">
        <v>58.22</v>
      </c>
      <c r="O3365">
        <v>22.77</v>
      </c>
      <c r="P3365">
        <v>1</v>
      </c>
      <c r="Q3365" t="s">
        <v>25</v>
      </c>
      <c r="R3365">
        <v>69.944999999999993</v>
      </c>
      <c r="S3365">
        <v>5.01</v>
      </c>
      <c r="T3365" s="4">
        <v>48.414999999999999</v>
      </c>
      <c r="U3365" s="4">
        <v>11.259765</v>
      </c>
      <c r="V3365" t="str">
        <f>IF(Table1[[#This Row],[ai_disruption_intensity]]&gt;70,"High",
IF(Table1[[#This Row],[ai_disruption_intensity]]&gt;40,"Medium","Low"))</f>
        <v>Low</v>
      </c>
      <c r="W3365" t="str">
        <f>IF(Table1[[#This Row],[skill_gap_index]]&gt;70,"Large Gap",
IF(Table1[[#This Row],[skill_gap_index]]&gt;40,"Medium Gap","Small Gap"))</f>
        <v>Large Gap</v>
      </c>
      <c r="X3365" s="3" t="str">
        <f>IF(Table1[[#This Row],[automation_risk_percent]]&gt;0.7,"Highly Automatable",
IF(Table1[[#This Row],[automation_risk_percent]]&gt;0.4,"Moderate Risk","Safe Job"))</f>
        <v>Moderate Risk</v>
      </c>
    </row>
    <row r="3366" spans="1:24" x14ac:dyDescent="0.3">
      <c r="A3366">
        <v>11728</v>
      </c>
      <c r="B3366" t="s">
        <v>45</v>
      </c>
      <c r="C3366" t="s">
        <v>19</v>
      </c>
      <c r="D3366" t="s">
        <v>47</v>
      </c>
      <c r="E3366" s="1">
        <v>2026</v>
      </c>
      <c r="F3366" s="11">
        <v>0.73970000000000002</v>
      </c>
      <c r="G3366">
        <v>85.36</v>
      </c>
      <c r="H3366">
        <v>68.540000000000006</v>
      </c>
      <c r="I3366" s="2">
        <v>89010.65</v>
      </c>
      <c r="J3366" s="2">
        <v>102892.08</v>
      </c>
      <c r="K3366" s="2">
        <f>Table1[[#This Row],[Salary_after]]-Table1[[#This Row],[Salary_before]]</f>
        <v>13881.430000000008</v>
      </c>
      <c r="L3366" s="11">
        <v>0.156</v>
      </c>
      <c r="M3366" s="11">
        <v>4.2800000000000005E-2</v>
      </c>
      <c r="N3366">
        <v>93.16</v>
      </c>
      <c r="O3366">
        <v>8.81</v>
      </c>
      <c r="P3366">
        <v>5</v>
      </c>
      <c r="Q3366" t="s">
        <v>37</v>
      </c>
      <c r="R3366">
        <v>71.254999999999995</v>
      </c>
      <c r="S3366">
        <v>15.6</v>
      </c>
      <c r="T3366" s="4">
        <v>54.83</v>
      </c>
      <c r="U3366" s="4">
        <v>6.5167570000000001</v>
      </c>
      <c r="V3366" t="str">
        <f>IF(Table1[[#This Row],[ai_disruption_intensity]]&gt;70,"High",
IF(Table1[[#This Row],[ai_disruption_intensity]]&gt;40,"Medium","Low"))</f>
        <v>Low</v>
      </c>
      <c r="W3366" t="str">
        <f>IF(Table1[[#This Row],[skill_gap_index]]&gt;70,"Large Gap",
IF(Table1[[#This Row],[skill_gap_index]]&gt;40,"Medium Gap","Small Gap"))</f>
        <v>Medium Gap</v>
      </c>
      <c r="X3366" s="3" t="str">
        <f>IF(Table1[[#This Row],[automation_risk_percent]]&gt;0.7,"Highly Automatable",
IF(Table1[[#This Row],[automation_risk_percent]]&gt;0.4,"Moderate Risk","Safe Job"))</f>
        <v>Highly Automatable</v>
      </c>
    </row>
    <row r="3367" spans="1:24" x14ac:dyDescent="0.3">
      <c r="A3367">
        <v>11729</v>
      </c>
      <c r="B3367" t="s">
        <v>41</v>
      </c>
      <c r="C3367" t="s">
        <v>23</v>
      </c>
      <c r="D3367" t="s">
        <v>42</v>
      </c>
      <c r="E3367" s="1">
        <v>2025</v>
      </c>
      <c r="F3367" s="11">
        <v>0.8637999999999999</v>
      </c>
      <c r="G3367">
        <v>98.46</v>
      </c>
      <c r="H3367">
        <v>8.76</v>
      </c>
      <c r="I3367" s="2">
        <v>108785.66</v>
      </c>
      <c r="J3367" s="2">
        <v>107744.27</v>
      </c>
      <c r="K3367" s="2">
        <f>Table1[[#This Row],[Salary_after]]-Table1[[#This Row],[Salary_before]]</f>
        <v>-1041.3899999999994</v>
      </c>
      <c r="L3367" s="11">
        <v>-9.5999999999999992E-3</v>
      </c>
      <c r="M3367" s="11">
        <v>-0.10539999999999999</v>
      </c>
      <c r="N3367">
        <v>83.37</v>
      </c>
      <c r="O3367">
        <v>26.71</v>
      </c>
      <c r="P3367">
        <v>5</v>
      </c>
      <c r="Q3367" t="s">
        <v>37</v>
      </c>
      <c r="R3367">
        <v>47.57</v>
      </c>
      <c r="S3367">
        <v>0.96</v>
      </c>
      <c r="T3367" s="4">
        <v>37.467999999999897</v>
      </c>
      <c r="U3367" s="4">
        <v>23.072098</v>
      </c>
      <c r="V3367" t="str">
        <f>IF(Table1[[#This Row],[ai_disruption_intensity]]&gt;70,"High",
IF(Table1[[#This Row],[ai_disruption_intensity]]&gt;40,"Medium","Low"))</f>
        <v>Low</v>
      </c>
      <c r="W3367" t="str">
        <f>IF(Table1[[#This Row],[skill_gap_index]]&gt;70,"Large Gap",
IF(Table1[[#This Row],[skill_gap_index]]&gt;40,"Medium Gap","Small Gap"))</f>
        <v>Small Gap</v>
      </c>
      <c r="X3367" s="3" t="str">
        <f>IF(Table1[[#This Row],[automation_risk_percent]]&gt;0.7,"Highly Automatable",
IF(Table1[[#This Row],[automation_risk_percent]]&gt;0.4,"Moderate Risk","Safe Job"))</f>
        <v>Highly Automatable</v>
      </c>
    </row>
    <row r="3368" spans="1:24" x14ac:dyDescent="0.3">
      <c r="A3368">
        <v>11734</v>
      </c>
      <c r="B3368" t="s">
        <v>29</v>
      </c>
      <c r="C3368" t="s">
        <v>27</v>
      </c>
      <c r="D3368" t="s">
        <v>42</v>
      </c>
      <c r="E3368" s="1">
        <v>2025</v>
      </c>
      <c r="F3368" s="11">
        <v>0.7298</v>
      </c>
      <c r="G3368">
        <v>59.61</v>
      </c>
      <c r="H3368">
        <v>88.77</v>
      </c>
      <c r="I3368" s="2">
        <v>137583.12</v>
      </c>
      <c r="J3368" s="2">
        <v>142250.98000000001</v>
      </c>
      <c r="K3368" s="2">
        <f>Table1[[#This Row],[Salary_after]]-Table1[[#This Row],[Salary_before]]</f>
        <v>4667.8600000000151</v>
      </c>
      <c r="L3368" s="11">
        <v>3.39E-2</v>
      </c>
      <c r="M3368" s="11">
        <v>-2.2799999999999997E-2</v>
      </c>
      <c r="N3368">
        <v>70.13</v>
      </c>
      <c r="O3368">
        <v>49.81</v>
      </c>
      <c r="P3368">
        <v>5</v>
      </c>
      <c r="Q3368" t="s">
        <v>37</v>
      </c>
      <c r="R3368">
        <v>80.875</v>
      </c>
      <c r="S3368">
        <v>3.39</v>
      </c>
      <c r="T3368" s="4">
        <v>56.84</v>
      </c>
      <c r="U3368" s="4">
        <v>36.351337999999998</v>
      </c>
      <c r="V3368" t="str">
        <f>IF(Table1[[#This Row],[ai_disruption_intensity]]&gt;70,"High",
IF(Table1[[#This Row],[ai_disruption_intensity]]&gt;40,"Medium","Low"))</f>
        <v>Low</v>
      </c>
      <c r="W3368" t="str">
        <f>IF(Table1[[#This Row],[skill_gap_index]]&gt;70,"Large Gap",
IF(Table1[[#This Row],[skill_gap_index]]&gt;40,"Medium Gap","Small Gap"))</f>
        <v>Large Gap</v>
      </c>
      <c r="X3368" s="3" t="str">
        <f>IF(Table1[[#This Row],[automation_risk_percent]]&gt;0.7,"Highly Automatable",
IF(Table1[[#This Row],[automation_risk_percent]]&gt;0.4,"Moderate Risk","Safe Job"))</f>
        <v>Highly Automatable</v>
      </c>
    </row>
    <row r="3369" spans="1:24" x14ac:dyDescent="0.3">
      <c r="A3369">
        <v>11735</v>
      </c>
      <c r="B3369" t="s">
        <v>43</v>
      </c>
      <c r="C3369" t="s">
        <v>38</v>
      </c>
      <c r="D3369" t="s">
        <v>28</v>
      </c>
      <c r="E3369" s="1">
        <v>2026</v>
      </c>
      <c r="F3369" s="11">
        <v>0.11749999999999999</v>
      </c>
      <c r="G3369">
        <v>9.94</v>
      </c>
      <c r="H3369">
        <v>65.930000000000007</v>
      </c>
      <c r="I3369" s="2">
        <v>93554.15</v>
      </c>
      <c r="J3369" s="2">
        <v>93778.68</v>
      </c>
      <c r="K3369" s="2">
        <f>Table1[[#This Row],[Salary_after]]-Table1[[#This Row],[Salary_before]]</f>
        <v>224.52999999999884</v>
      </c>
      <c r="L3369" s="11">
        <v>2.3999999999999998E-3</v>
      </c>
      <c r="M3369" s="11">
        <v>-1.2E-2</v>
      </c>
      <c r="N3369">
        <v>86.43</v>
      </c>
      <c r="O3369">
        <v>89.05</v>
      </c>
      <c r="P3369">
        <v>4</v>
      </c>
      <c r="Q3369" t="s">
        <v>21</v>
      </c>
      <c r="R3369">
        <v>38.840000000000003</v>
      </c>
      <c r="S3369">
        <v>0.24</v>
      </c>
      <c r="T3369" s="4">
        <v>24.550999999999998</v>
      </c>
      <c r="U3369" s="4">
        <v>10.463374999999999</v>
      </c>
      <c r="V3369" t="str">
        <f>IF(Table1[[#This Row],[ai_disruption_intensity]]&gt;70,"High",
IF(Table1[[#This Row],[ai_disruption_intensity]]&gt;40,"Medium","Low"))</f>
        <v>Low</v>
      </c>
      <c r="W3369" t="str">
        <f>IF(Table1[[#This Row],[skill_gap_index]]&gt;70,"Large Gap",
IF(Table1[[#This Row],[skill_gap_index]]&gt;40,"Medium Gap","Small Gap"))</f>
        <v>Medium Gap</v>
      </c>
      <c r="X3369" s="3" t="str">
        <f>IF(Table1[[#This Row],[automation_risk_percent]]&gt;0.7,"Highly Automatable",
IF(Table1[[#This Row],[automation_risk_percent]]&gt;0.4,"Moderate Risk","Safe Job"))</f>
        <v>Safe Job</v>
      </c>
    </row>
    <row r="3370" spans="1:24" x14ac:dyDescent="0.3">
      <c r="A3370">
        <v>11737</v>
      </c>
      <c r="B3370" t="s">
        <v>29</v>
      </c>
      <c r="C3370" t="s">
        <v>27</v>
      </c>
      <c r="D3370" t="s">
        <v>36</v>
      </c>
      <c r="E3370" s="1">
        <v>2026</v>
      </c>
      <c r="F3370" s="11">
        <v>0.7248</v>
      </c>
      <c r="G3370">
        <v>79.47</v>
      </c>
      <c r="H3370">
        <v>27.08</v>
      </c>
      <c r="I3370" s="2">
        <v>67552.45</v>
      </c>
      <c r="J3370" s="2">
        <v>61650.45</v>
      </c>
      <c r="K3370" s="2">
        <f>Table1[[#This Row],[Salary_after]]-Table1[[#This Row],[Salary_before]]</f>
        <v>-5902</v>
      </c>
      <c r="L3370" s="11">
        <v>-8.7400000000000005E-2</v>
      </c>
      <c r="M3370" s="11">
        <v>-4.58E-2</v>
      </c>
      <c r="N3370">
        <v>42.82</v>
      </c>
      <c r="O3370">
        <v>44.11</v>
      </c>
      <c r="P3370">
        <v>3</v>
      </c>
      <c r="Q3370" t="s">
        <v>37</v>
      </c>
      <c r="R3370">
        <v>49.78</v>
      </c>
      <c r="S3370">
        <v>8.74</v>
      </c>
      <c r="T3370" s="4">
        <v>39.738</v>
      </c>
      <c r="U3370" s="4">
        <v>31.970928000000001</v>
      </c>
      <c r="V3370" t="str">
        <f>IF(Table1[[#This Row],[ai_disruption_intensity]]&gt;70,"High",
IF(Table1[[#This Row],[ai_disruption_intensity]]&gt;40,"Medium","Low"))</f>
        <v>Low</v>
      </c>
      <c r="W3370" t="str">
        <f>IF(Table1[[#This Row],[skill_gap_index]]&gt;70,"Large Gap",
IF(Table1[[#This Row],[skill_gap_index]]&gt;40,"Medium Gap","Small Gap"))</f>
        <v>Small Gap</v>
      </c>
      <c r="X3370" s="3" t="str">
        <f>IF(Table1[[#This Row],[automation_risk_percent]]&gt;0.7,"Highly Automatable",
IF(Table1[[#This Row],[automation_risk_percent]]&gt;0.4,"Moderate Risk","Safe Job"))</f>
        <v>Highly Automatable</v>
      </c>
    </row>
    <row r="3371" spans="1:24" x14ac:dyDescent="0.3">
      <c r="A3371">
        <v>11749</v>
      </c>
      <c r="B3371" t="s">
        <v>43</v>
      </c>
      <c r="C3371" t="s">
        <v>30</v>
      </c>
      <c r="D3371" t="s">
        <v>35</v>
      </c>
      <c r="E3371" s="1">
        <v>2025</v>
      </c>
      <c r="F3371" s="11">
        <v>0.41770000000000002</v>
      </c>
      <c r="G3371">
        <v>45.82</v>
      </c>
      <c r="H3371">
        <v>52.81</v>
      </c>
      <c r="I3371" s="2">
        <v>134577</v>
      </c>
      <c r="J3371" s="2">
        <v>115841.58</v>
      </c>
      <c r="K3371" s="2">
        <f>Table1[[#This Row],[Salary_after]]-Table1[[#This Row],[Salary_before]]</f>
        <v>-18735.419999999998</v>
      </c>
      <c r="L3371" s="11">
        <v>-0.13919999999999999</v>
      </c>
      <c r="M3371" s="11">
        <v>6.2E-2</v>
      </c>
      <c r="N3371">
        <v>90.74</v>
      </c>
      <c r="O3371">
        <v>41.79</v>
      </c>
      <c r="P3371">
        <v>2</v>
      </c>
      <c r="Q3371" t="s">
        <v>25</v>
      </c>
      <c r="R3371">
        <v>47.29</v>
      </c>
      <c r="S3371">
        <v>13.92</v>
      </c>
      <c r="T3371" s="4">
        <v>36.726999999999997</v>
      </c>
      <c r="U3371" s="4">
        <v>17.455683000000001</v>
      </c>
      <c r="V3371" t="str">
        <f>IF(Table1[[#This Row],[ai_disruption_intensity]]&gt;70,"High",
IF(Table1[[#This Row],[ai_disruption_intensity]]&gt;40,"Medium","Low"))</f>
        <v>Low</v>
      </c>
      <c r="W3371" t="str">
        <f>IF(Table1[[#This Row],[skill_gap_index]]&gt;70,"Large Gap",
IF(Table1[[#This Row],[skill_gap_index]]&gt;40,"Medium Gap","Small Gap"))</f>
        <v>Medium Gap</v>
      </c>
      <c r="X3371" s="3" t="str">
        <f>IF(Table1[[#This Row],[automation_risk_percent]]&gt;0.7,"Highly Automatable",
IF(Table1[[#This Row],[automation_risk_percent]]&gt;0.4,"Moderate Risk","Safe Job"))</f>
        <v>Moderate Risk</v>
      </c>
    </row>
    <row r="3372" spans="1:24" x14ac:dyDescent="0.3">
      <c r="A3372">
        <v>11750</v>
      </c>
      <c r="B3372" t="s">
        <v>26</v>
      </c>
      <c r="C3372" t="s">
        <v>23</v>
      </c>
      <c r="D3372" t="s">
        <v>24</v>
      </c>
      <c r="E3372" s="1">
        <v>2025</v>
      </c>
      <c r="F3372" s="11">
        <v>0.60719999999999996</v>
      </c>
      <c r="G3372">
        <v>54.22</v>
      </c>
      <c r="H3372">
        <v>63.62</v>
      </c>
      <c r="I3372" s="2">
        <v>49833.13</v>
      </c>
      <c r="J3372" s="2">
        <v>49951.58</v>
      </c>
      <c r="K3372" s="2">
        <f>Table1[[#This Row],[Salary_after]]-Table1[[#This Row],[Salary_before]]</f>
        <v>118.45000000000437</v>
      </c>
      <c r="L3372" s="11">
        <v>2.3999999999999998E-3</v>
      </c>
      <c r="M3372" s="11">
        <v>3.7200000000000004E-2</v>
      </c>
      <c r="N3372">
        <v>11.21</v>
      </c>
      <c r="O3372">
        <v>55.17</v>
      </c>
      <c r="P3372">
        <v>5</v>
      </c>
      <c r="Q3372" t="s">
        <v>37</v>
      </c>
      <c r="R3372">
        <v>62.17</v>
      </c>
      <c r="S3372">
        <v>0.24</v>
      </c>
      <c r="T3372" s="4">
        <v>43.445999999999998</v>
      </c>
      <c r="U3372" s="4">
        <v>33.499223999999998</v>
      </c>
      <c r="V3372" t="str">
        <f>IF(Table1[[#This Row],[ai_disruption_intensity]]&gt;70,"High",
IF(Table1[[#This Row],[ai_disruption_intensity]]&gt;40,"Medium","Low"))</f>
        <v>Low</v>
      </c>
      <c r="W3372" t="str">
        <f>IF(Table1[[#This Row],[skill_gap_index]]&gt;70,"Large Gap",
IF(Table1[[#This Row],[skill_gap_index]]&gt;40,"Medium Gap","Small Gap"))</f>
        <v>Medium Gap</v>
      </c>
      <c r="X3372" s="3" t="str">
        <f>IF(Table1[[#This Row],[automation_risk_percent]]&gt;0.7,"Highly Automatable",
IF(Table1[[#This Row],[automation_risk_percent]]&gt;0.4,"Moderate Risk","Safe Job"))</f>
        <v>Moderate Risk</v>
      </c>
    </row>
    <row r="3373" spans="1:24" x14ac:dyDescent="0.3">
      <c r="A3373">
        <v>11751</v>
      </c>
      <c r="B3373" t="s">
        <v>29</v>
      </c>
      <c r="C3373" t="s">
        <v>19</v>
      </c>
      <c r="D3373" t="s">
        <v>28</v>
      </c>
      <c r="E3373" s="1">
        <v>2026</v>
      </c>
      <c r="F3373" s="11">
        <v>0.31989999999999996</v>
      </c>
      <c r="G3373">
        <v>35.67</v>
      </c>
      <c r="H3373">
        <v>29.27</v>
      </c>
      <c r="I3373" s="2">
        <v>71321.08</v>
      </c>
      <c r="J3373" s="2">
        <v>67795.600000000006</v>
      </c>
      <c r="K3373" s="2">
        <f>Table1[[#This Row],[Salary_after]]-Table1[[#This Row],[Salary_before]]</f>
        <v>-3525.4799999999959</v>
      </c>
      <c r="L3373" s="11">
        <v>-4.9400000000000006E-2</v>
      </c>
      <c r="M3373" s="11">
        <v>1.83E-2</v>
      </c>
      <c r="N3373">
        <v>55.03</v>
      </c>
      <c r="O3373">
        <v>44.77</v>
      </c>
      <c r="P3373">
        <v>5</v>
      </c>
      <c r="Q3373" t="s">
        <v>25</v>
      </c>
      <c r="R3373">
        <v>30.63</v>
      </c>
      <c r="S3373">
        <v>4.9400000000000004</v>
      </c>
      <c r="T3373" s="4">
        <v>23.058999999999902</v>
      </c>
      <c r="U3373" s="4">
        <v>14.321923</v>
      </c>
      <c r="V3373" t="str">
        <f>IF(Table1[[#This Row],[ai_disruption_intensity]]&gt;70,"High",
IF(Table1[[#This Row],[ai_disruption_intensity]]&gt;40,"Medium","Low"))</f>
        <v>Low</v>
      </c>
      <c r="W3373" t="str">
        <f>IF(Table1[[#This Row],[skill_gap_index]]&gt;70,"Large Gap",
IF(Table1[[#This Row],[skill_gap_index]]&gt;40,"Medium Gap","Small Gap"))</f>
        <v>Small Gap</v>
      </c>
      <c r="X3373" s="3" t="str">
        <f>IF(Table1[[#This Row],[automation_risk_percent]]&gt;0.7,"Highly Automatable",
IF(Table1[[#This Row],[automation_risk_percent]]&gt;0.4,"Moderate Risk","Safe Job"))</f>
        <v>Safe Job</v>
      </c>
    </row>
    <row r="3374" spans="1:24" x14ac:dyDescent="0.3">
      <c r="A3374">
        <v>11753</v>
      </c>
      <c r="B3374" t="s">
        <v>46</v>
      </c>
      <c r="C3374" t="s">
        <v>33</v>
      </c>
      <c r="D3374" t="s">
        <v>28</v>
      </c>
      <c r="E3374" s="1">
        <v>2026</v>
      </c>
      <c r="F3374" s="11">
        <v>0.50290000000000001</v>
      </c>
      <c r="G3374">
        <v>55.33</v>
      </c>
      <c r="H3374">
        <v>32.56</v>
      </c>
      <c r="I3374" s="2">
        <v>41875.949999999997</v>
      </c>
      <c r="J3374" s="2">
        <v>42922.17</v>
      </c>
      <c r="K3374" s="2">
        <f>Table1[[#This Row],[Salary_after]]-Table1[[#This Row],[Salary_before]]</f>
        <v>1046.2200000000012</v>
      </c>
      <c r="L3374" s="11">
        <v>2.5000000000000001E-2</v>
      </c>
      <c r="M3374" s="11">
        <v>0.10529999999999999</v>
      </c>
      <c r="N3374">
        <v>95.36</v>
      </c>
      <c r="O3374">
        <v>14.56</v>
      </c>
      <c r="P3374">
        <v>3</v>
      </c>
      <c r="Q3374" t="s">
        <v>25</v>
      </c>
      <c r="R3374">
        <v>41.424999999999997</v>
      </c>
      <c r="S3374">
        <v>2.5</v>
      </c>
      <c r="T3374" s="4">
        <v>30.634</v>
      </c>
      <c r="U3374" s="4">
        <v>7.3222240000000003</v>
      </c>
      <c r="V3374" t="str">
        <f>IF(Table1[[#This Row],[ai_disruption_intensity]]&gt;70,"High",
IF(Table1[[#This Row],[ai_disruption_intensity]]&gt;40,"Medium","Low"))</f>
        <v>Low</v>
      </c>
      <c r="W3374" t="str">
        <f>IF(Table1[[#This Row],[skill_gap_index]]&gt;70,"Large Gap",
IF(Table1[[#This Row],[skill_gap_index]]&gt;40,"Medium Gap","Small Gap"))</f>
        <v>Small Gap</v>
      </c>
      <c r="X3374" s="3" t="str">
        <f>IF(Table1[[#This Row],[automation_risk_percent]]&gt;0.7,"Highly Automatable",
IF(Table1[[#This Row],[automation_risk_percent]]&gt;0.4,"Moderate Risk","Safe Job"))</f>
        <v>Moderate Risk</v>
      </c>
    </row>
    <row r="3375" spans="1:24" x14ac:dyDescent="0.3">
      <c r="A3375">
        <v>11755</v>
      </c>
      <c r="B3375" t="s">
        <v>44</v>
      </c>
      <c r="C3375" t="s">
        <v>19</v>
      </c>
      <c r="D3375" t="s">
        <v>31</v>
      </c>
      <c r="E3375" s="1">
        <v>2025</v>
      </c>
      <c r="F3375" s="11">
        <v>0.20100000000000001</v>
      </c>
      <c r="G3375">
        <v>19</v>
      </c>
      <c r="H3375">
        <v>19.48</v>
      </c>
      <c r="I3375" s="2">
        <v>54157.3</v>
      </c>
      <c r="J3375" s="2">
        <v>47318.45</v>
      </c>
      <c r="K3375" s="2">
        <f>Table1[[#This Row],[Salary_after]]-Table1[[#This Row],[Salary_before]]</f>
        <v>-6838.8500000000058</v>
      </c>
      <c r="L3375" s="11">
        <v>-0.1263</v>
      </c>
      <c r="M3375" s="11">
        <v>0.14529999999999998</v>
      </c>
      <c r="N3375">
        <v>32.590000000000003</v>
      </c>
      <c r="O3375">
        <v>80.8</v>
      </c>
      <c r="P3375">
        <v>4</v>
      </c>
      <c r="Q3375" t="s">
        <v>21</v>
      </c>
      <c r="R3375">
        <v>19.79</v>
      </c>
      <c r="S3375">
        <v>12.63</v>
      </c>
      <c r="T3375" s="4">
        <v>17.672999999999998</v>
      </c>
      <c r="U3375" s="4">
        <v>16.2408</v>
      </c>
      <c r="V3375" t="str">
        <f>IF(Table1[[#This Row],[ai_disruption_intensity]]&gt;70,"High",
IF(Table1[[#This Row],[ai_disruption_intensity]]&gt;40,"Medium","Low"))</f>
        <v>Low</v>
      </c>
      <c r="W3375" t="str">
        <f>IF(Table1[[#This Row],[skill_gap_index]]&gt;70,"Large Gap",
IF(Table1[[#This Row],[skill_gap_index]]&gt;40,"Medium Gap","Small Gap"))</f>
        <v>Small Gap</v>
      </c>
      <c r="X3375" s="3" t="str">
        <f>IF(Table1[[#This Row],[automation_risk_percent]]&gt;0.7,"Highly Automatable",
IF(Table1[[#This Row],[automation_risk_percent]]&gt;0.4,"Moderate Risk","Safe Job"))</f>
        <v>Safe Job</v>
      </c>
    </row>
    <row r="3376" spans="1:24" x14ac:dyDescent="0.3">
      <c r="A3376">
        <v>11756</v>
      </c>
      <c r="B3376" t="s">
        <v>46</v>
      </c>
      <c r="C3376" t="s">
        <v>34</v>
      </c>
      <c r="D3376" t="s">
        <v>36</v>
      </c>
      <c r="E3376" s="1">
        <v>2025</v>
      </c>
      <c r="F3376" s="11">
        <v>0.33169999999999999</v>
      </c>
      <c r="G3376">
        <v>31.58</v>
      </c>
      <c r="H3376">
        <v>81.52</v>
      </c>
      <c r="I3376" s="2">
        <v>88645.02</v>
      </c>
      <c r="J3376" s="2">
        <v>83646.23</v>
      </c>
      <c r="K3376" s="2">
        <f>Table1[[#This Row],[Salary_after]]-Table1[[#This Row],[Salary_before]]</f>
        <v>-4998.7900000000081</v>
      </c>
      <c r="L3376" s="11">
        <v>-5.6399999999999999E-2</v>
      </c>
      <c r="M3376" s="11">
        <v>0.14779999999999999</v>
      </c>
      <c r="N3376">
        <v>96.57</v>
      </c>
      <c r="O3376">
        <v>92.37</v>
      </c>
      <c r="P3376">
        <v>3</v>
      </c>
      <c r="Q3376" t="s">
        <v>25</v>
      </c>
      <c r="R3376">
        <v>57.344999999999999</v>
      </c>
      <c r="S3376">
        <v>5.64</v>
      </c>
      <c r="T3376" s="4">
        <v>39.415999999999997</v>
      </c>
      <c r="U3376" s="4">
        <v>30.639129000000001</v>
      </c>
      <c r="V3376" t="str">
        <f>IF(Table1[[#This Row],[ai_disruption_intensity]]&gt;70,"High",
IF(Table1[[#This Row],[ai_disruption_intensity]]&gt;40,"Medium","Low"))</f>
        <v>Low</v>
      </c>
      <c r="W3376" t="str">
        <f>IF(Table1[[#This Row],[skill_gap_index]]&gt;70,"Large Gap",
IF(Table1[[#This Row],[skill_gap_index]]&gt;40,"Medium Gap","Small Gap"))</f>
        <v>Large Gap</v>
      </c>
      <c r="X3376" s="3" t="str">
        <f>IF(Table1[[#This Row],[automation_risk_percent]]&gt;0.7,"Highly Automatable",
IF(Table1[[#This Row],[automation_risk_percent]]&gt;0.4,"Moderate Risk","Safe Job"))</f>
        <v>Safe Job</v>
      </c>
    </row>
    <row r="3377" spans="1:24" x14ac:dyDescent="0.3">
      <c r="A3377">
        <v>11757</v>
      </c>
      <c r="B3377" t="s">
        <v>44</v>
      </c>
      <c r="C3377" t="s">
        <v>34</v>
      </c>
      <c r="D3377" t="s">
        <v>42</v>
      </c>
      <c r="E3377" s="1">
        <v>2025</v>
      </c>
      <c r="F3377" s="11">
        <v>0.6765000000000001</v>
      </c>
      <c r="G3377">
        <v>59.88</v>
      </c>
      <c r="H3377">
        <v>72.75</v>
      </c>
      <c r="I3377" s="2">
        <v>128113.17</v>
      </c>
      <c r="J3377" s="2">
        <v>115851.11</v>
      </c>
      <c r="K3377" s="2">
        <f>Table1[[#This Row],[Salary_after]]-Table1[[#This Row],[Salary_before]]</f>
        <v>-12262.059999999998</v>
      </c>
      <c r="L3377" s="11">
        <v>-9.5700000000000007E-2</v>
      </c>
      <c r="M3377" s="11">
        <v>1.3600000000000001E-2</v>
      </c>
      <c r="N3377">
        <v>34.270000000000003</v>
      </c>
      <c r="O3377">
        <v>58.56</v>
      </c>
      <c r="P3377">
        <v>2</v>
      </c>
      <c r="Q3377" t="s">
        <v>37</v>
      </c>
      <c r="R3377">
        <v>70.2</v>
      </c>
      <c r="S3377">
        <v>9.57</v>
      </c>
      <c r="T3377" s="4">
        <v>51.756</v>
      </c>
      <c r="U3377" s="4">
        <v>39.615839999999999</v>
      </c>
      <c r="V3377" t="str">
        <f>IF(Table1[[#This Row],[ai_disruption_intensity]]&gt;70,"High",
IF(Table1[[#This Row],[ai_disruption_intensity]]&gt;40,"Medium","Low"))</f>
        <v>Low</v>
      </c>
      <c r="W3377" t="str">
        <f>IF(Table1[[#This Row],[skill_gap_index]]&gt;70,"Large Gap",
IF(Table1[[#This Row],[skill_gap_index]]&gt;40,"Medium Gap","Small Gap"))</f>
        <v>Large Gap</v>
      </c>
      <c r="X3377" s="3" t="str">
        <f>IF(Table1[[#This Row],[automation_risk_percent]]&gt;0.7,"Highly Automatable",
IF(Table1[[#This Row],[automation_risk_percent]]&gt;0.4,"Moderate Risk","Safe Job"))</f>
        <v>Moderate Risk</v>
      </c>
    </row>
    <row r="3378" spans="1:24" x14ac:dyDescent="0.3">
      <c r="A3378">
        <v>11759</v>
      </c>
      <c r="B3378" t="s">
        <v>22</v>
      </c>
      <c r="C3378" t="s">
        <v>30</v>
      </c>
      <c r="D3378" t="s">
        <v>35</v>
      </c>
      <c r="E3378" s="1">
        <v>2025</v>
      </c>
      <c r="F3378" s="11">
        <v>0.59799999999999998</v>
      </c>
      <c r="G3378">
        <v>55.69</v>
      </c>
      <c r="H3378">
        <v>90.13</v>
      </c>
      <c r="I3378" s="2">
        <v>93341.38</v>
      </c>
      <c r="J3378" s="2">
        <v>71933.039999999994</v>
      </c>
      <c r="K3378" s="2">
        <f>Table1[[#This Row],[Salary_after]]-Table1[[#This Row],[Salary_before]]</f>
        <v>-21408.340000000011</v>
      </c>
      <c r="L3378" s="11">
        <v>-0.22940000000000002</v>
      </c>
      <c r="M3378" s="11">
        <v>0.10349999999999999</v>
      </c>
      <c r="N3378">
        <v>14.7</v>
      </c>
      <c r="O3378">
        <v>27</v>
      </c>
      <c r="P3378">
        <v>4</v>
      </c>
      <c r="Q3378" t="s">
        <v>25</v>
      </c>
      <c r="R3378">
        <v>74.965000000000003</v>
      </c>
      <c r="S3378">
        <v>22.94</v>
      </c>
      <c r="T3378" s="4">
        <v>57.841000000000001</v>
      </c>
      <c r="U3378" s="4">
        <v>16.146000000000001</v>
      </c>
      <c r="V3378" t="str">
        <f>IF(Table1[[#This Row],[ai_disruption_intensity]]&gt;70,"High",
IF(Table1[[#This Row],[ai_disruption_intensity]]&gt;40,"Medium","Low"))</f>
        <v>Low</v>
      </c>
      <c r="W3378" t="str">
        <f>IF(Table1[[#This Row],[skill_gap_index]]&gt;70,"Large Gap",
IF(Table1[[#This Row],[skill_gap_index]]&gt;40,"Medium Gap","Small Gap"))</f>
        <v>Large Gap</v>
      </c>
      <c r="X3378" s="3" t="str">
        <f>IF(Table1[[#This Row],[automation_risk_percent]]&gt;0.7,"Highly Automatable",
IF(Table1[[#This Row],[automation_risk_percent]]&gt;0.4,"Moderate Risk","Safe Job"))</f>
        <v>Moderate Risk</v>
      </c>
    </row>
    <row r="3379" spans="1:24" x14ac:dyDescent="0.3">
      <c r="A3379">
        <v>11761</v>
      </c>
      <c r="B3379" t="s">
        <v>41</v>
      </c>
      <c r="C3379" t="s">
        <v>40</v>
      </c>
      <c r="D3379" t="s">
        <v>35</v>
      </c>
      <c r="E3379" s="1">
        <v>2025</v>
      </c>
      <c r="F3379" s="11">
        <v>0.6522</v>
      </c>
      <c r="G3379">
        <v>61.29</v>
      </c>
      <c r="H3379">
        <v>55.43</v>
      </c>
      <c r="I3379" s="2">
        <v>95618.84</v>
      </c>
      <c r="J3379" s="2">
        <v>98493.15</v>
      </c>
      <c r="K3379" s="2">
        <f>Table1[[#This Row],[Salary_after]]-Table1[[#This Row],[Salary_before]]</f>
        <v>2874.3099999999977</v>
      </c>
      <c r="L3379" s="11">
        <v>3.0099999999999998E-2</v>
      </c>
      <c r="M3379" s="11">
        <v>-9.4399999999999998E-2</v>
      </c>
      <c r="N3379">
        <v>90.58</v>
      </c>
      <c r="O3379">
        <v>19.23</v>
      </c>
      <c r="P3379">
        <v>2</v>
      </c>
      <c r="Q3379" t="s">
        <v>37</v>
      </c>
      <c r="R3379">
        <v>60.325000000000003</v>
      </c>
      <c r="S3379">
        <v>3.01</v>
      </c>
      <c r="T3379" s="4">
        <v>43.62</v>
      </c>
      <c r="U3379" s="4">
        <v>12.541805999999999</v>
      </c>
      <c r="V3379" t="str">
        <f>IF(Table1[[#This Row],[ai_disruption_intensity]]&gt;70,"High",
IF(Table1[[#This Row],[ai_disruption_intensity]]&gt;40,"Medium","Low"))</f>
        <v>Low</v>
      </c>
      <c r="W3379" t="str">
        <f>IF(Table1[[#This Row],[skill_gap_index]]&gt;70,"Large Gap",
IF(Table1[[#This Row],[skill_gap_index]]&gt;40,"Medium Gap","Small Gap"))</f>
        <v>Medium Gap</v>
      </c>
      <c r="X3379" s="3" t="str">
        <f>IF(Table1[[#This Row],[automation_risk_percent]]&gt;0.7,"Highly Automatable",
IF(Table1[[#This Row],[automation_risk_percent]]&gt;0.4,"Moderate Risk","Safe Job"))</f>
        <v>Moderate Risk</v>
      </c>
    </row>
    <row r="3380" spans="1:24" x14ac:dyDescent="0.3">
      <c r="A3380">
        <v>11765</v>
      </c>
      <c r="B3380" t="s">
        <v>39</v>
      </c>
      <c r="C3380" t="s">
        <v>33</v>
      </c>
      <c r="D3380" t="s">
        <v>42</v>
      </c>
      <c r="E3380" s="1">
        <v>2025</v>
      </c>
      <c r="F3380" s="11">
        <v>0.44530000000000003</v>
      </c>
      <c r="G3380">
        <v>42.01</v>
      </c>
      <c r="H3380">
        <v>32.9</v>
      </c>
      <c r="I3380" s="2">
        <v>44799.72</v>
      </c>
      <c r="J3380" s="2">
        <v>49327.5</v>
      </c>
      <c r="K3380" s="2">
        <f>Table1[[#This Row],[Salary_after]]-Table1[[#This Row],[Salary_before]]</f>
        <v>4527.7799999999988</v>
      </c>
      <c r="L3380" s="11">
        <v>0.1011</v>
      </c>
      <c r="M3380" s="11">
        <v>-0.11</v>
      </c>
      <c r="N3380">
        <v>17.600000000000001</v>
      </c>
      <c r="O3380">
        <v>18.600000000000001</v>
      </c>
      <c r="P3380">
        <v>5</v>
      </c>
      <c r="Q3380" t="s">
        <v>25</v>
      </c>
      <c r="R3380">
        <v>38.715000000000003</v>
      </c>
      <c r="S3380">
        <v>10.11</v>
      </c>
      <c r="T3380" s="4">
        <v>30.715</v>
      </c>
      <c r="U3380" s="4">
        <v>8.2825799999999994</v>
      </c>
      <c r="V3380" t="str">
        <f>IF(Table1[[#This Row],[ai_disruption_intensity]]&gt;70,"High",
IF(Table1[[#This Row],[ai_disruption_intensity]]&gt;40,"Medium","Low"))</f>
        <v>Low</v>
      </c>
      <c r="W3380" t="str">
        <f>IF(Table1[[#This Row],[skill_gap_index]]&gt;70,"Large Gap",
IF(Table1[[#This Row],[skill_gap_index]]&gt;40,"Medium Gap","Small Gap"))</f>
        <v>Small Gap</v>
      </c>
      <c r="X3380" s="3" t="str">
        <f>IF(Table1[[#This Row],[automation_risk_percent]]&gt;0.7,"Highly Automatable",
IF(Table1[[#This Row],[automation_risk_percent]]&gt;0.4,"Moderate Risk","Safe Job"))</f>
        <v>Moderate Risk</v>
      </c>
    </row>
    <row r="3381" spans="1:24" x14ac:dyDescent="0.3">
      <c r="A3381">
        <v>11775</v>
      </c>
      <c r="B3381" t="s">
        <v>41</v>
      </c>
      <c r="C3381" t="s">
        <v>33</v>
      </c>
      <c r="D3381" t="s">
        <v>42</v>
      </c>
      <c r="E3381" s="1">
        <v>2025</v>
      </c>
      <c r="F3381" s="11">
        <v>0.6462</v>
      </c>
      <c r="G3381">
        <v>69.55</v>
      </c>
      <c r="H3381">
        <v>48.36</v>
      </c>
      <c r="I3381" s="2">
        <v>85347.19</v>
      </c>
      <c r="J3381" s="2">
        <v>69632.67</v>
      </c>
      <c r="K3381" s="2">
        <f>Table1[[#This Row],[Salary_after]]-Table1[[#This Row],[Salary_before]]</f>
        <v>-15714.520000000004</v>
      </c>
      <c r="L3381" s="11">
        <v>-0.18410000000000001</v>
      </c>
      <c r="M3381" s="11">
        <v>-3.3399999999999999E-2</v>
      </c>
      <c r="N3381">
        <v>62.95</v>
      </c>
      <c r="O3381">
        <v>0.61</v>
      </c>
      <c r="P3381">
        <v>1</v>
      </c>
      <c r="Q3381" t="s">
        <v>37</v>
      </c>
      <c r="R3381">
        <v>56.49</v>
      </c>
      <c r="S3381">
        <v>18.41</v>
      </c>
      <c r="T3381" s="4">
        <v>45.878999999999998</v>
      </c>
      <c r="U3381" s="4">
        <v>0.39418199999999998</v>
      </c>
      <c r="V3381" t="str">
        <f>IF(Table1[[#This Row],[ai_disruption_intensity]]&gt;70,"High",
IF(Table1[[#This Row],[ai_disruption_intensity]]&gt;40,"Medium","Low"))</f>
        <v>Low</v>
      </c>
      <c r="W3381" t="str">
        <f>IF(Table1[[#This Row],[skill_gap_index]]&gt;70,"Large Gap",
IF(Table1[[#This Row],[skill_gap_index]]&gt;40,"Medium Gap","Small Gap"))</f>
        <v>Medium Gap</v>
      </c>
      <c r="X3381" s="3" t="str">
        <f>IF(Table1[[#This Row],[automation_risk_percent]]&gt;0.7,"Highly Automatable",
IF(Table1[[#This Row],[automation_risk_percent]]&gt;0.4,"Moderate Risk","Safe Job"))</f>
        <v>Moderate Risk</v>
      </c>
    </row>
    <row r="3382" spans="1:24" x14ac:dyDescent="0.3">
      <c r="A3382">
        <v>11776</v>
      </c>
      <c r="B3382" t="s">
        <v>46</v>
      </c>
      <c r="C3382" t="s">
        <v>27</v>
      </c>
      <c r="D3382" t="s">
        <v>32</v>
      </c>
      <c r="E3382" s="1">
        <v>2025</v>
      </c>
      <c r="F3382" s="11">
        <v>0.4168</v>
      </c>
      <c r="G3382">
        <v>41.51</v>
      </c>
      <c r="H3382">
        <v>62.55</v>
      </c>
      <c r="I3382" s="2">
        <v>132531.67000000001</v>
      </c>
      <c r="J3382" s="2">
        <v>138413.99</v>
      </c>
      <c r="K3382" s="2">
        <f>Table1[[#This Row],[Salary_after]]-Table1[[#This Row],[Salary_before]]</f>
        <v>5882.3199999999779</v>
      </c>
      <c r="L3382" s="11">
        <v>4.4400000000000002E-2</v>
      </c>
      <c r="M3382" s="11">
        <v>9.7500000000000003E-2</v>
      </c>
      <c r="N3382">
        <v>47.03</v>
      </c>
      <c r="O3382">
        <v>39</v>
      </c>
      <c r="P3382">
        <v>4</v>
      </c>
      <c r="Q3382" t="s">
        <v>25</v>
      </c>
      <c r="R3382">
        <v>52.114999999999903</v>
      </c>
      <c r="S3382">
        <v>4.4400000000000004</v>
      </c>
      <c r="T3382" s="4">
        <v>36.768999999999998</v>
      </c>
      <c r="U3382" s="4">
        <v>16.255199999999999</v>
      </c>
      <c r="V3382" t="str">
        <f>IF(Table1[[#This Row],[ai_disruption_intensity]]&gt;70,"High",
IF(Table1[[#This Row],[ai_disruption_intensity]]&gt;40,"Medium","Low"))</f>
        <v>Low</v>
      </c>
      <c r="W3382" t="str">
        <f>IF(Table1[[#This Row],[skill_gap_index]]&gt;70,"Large Gap",
IF(Table1[[#This Row],[skill_gap_index]]&gt;40,"Medium Gap","Small Gap"))</f>
        <v>Medium Gap</v>
      </c>
      <c r="X3382" s="3" t="str">
        <f>IF(Table1[[#This Row],[automation_risk_percent]]&gt;0.7,"Highly Automatable",
IF(Table1[[#This Row],[automation_risk_percent]]&gt;0.4,"Moderate Risk","Safe Job"))</f>
        <v>Moderate Risk</v>
      </c>
    </row>
    <row r="3383" spans="1:24" x14ac:dyDescent="0.3">
      <c r="A3383">
        <v>11777</v>
      </c>
      <c r="B3383" t="s">
        <v>18</v>
      </c>
      <c r="C3383" t="s">
        <v>38</v>
      </c>
      <c r="D3383" t="s">
        <v>32</v>
      </c>
      <c r="E3383" s="1">
        <v>2025</v>
      </c>
      <c r="F3383" s="11">
        <v>0.24480000000000002</v>
      </c>
      <c r="G3383">
        <v>19.89</v>
      </c>
      <c r="H3383">
        <v>50.52</v>
      </c>
      <c r="I3383" s="2">
        <v>146965.78</v>
      </c>
      <c r="J3383" s="2">
        <v>151407.79999999999</v>
      </c>
      <c r="K3383" s="2">
        <f>Table1[[#This Row],[Salary_after]]-Table1[[#This Row],[Salary_before]]</f>
        <v>4442.0199999999895</v>
      </c>
      <c r="L3383" s="11">
        <v>3.0200000000000001E-2</v>
      </c>
      <c r="M3383" s="11">
        <v>0.21050000000000002</v>
      </c>
      <c r="N3383">
        <v>36.82</v>
      </c>
      <c r="O3383">
        <v>12.19</v>
      </c>
      <c r="P3383">
        <v>3</v>
      </c>
      <c r="Q3383" t="s">
        <v>21</v>
      </c>
      <c r="R3383">
        <v>37.5</v>
      </c>
      <c r="S3383">
        <v>3.02</v>
      </c>
      <c r="T3383" s="4">
        <v>25.853999999999999</v>
      </c>
      <c r="U3383" s="4">
        <v>2.9841120000000001</v>
      </c>
      <c r="V3383" t="str">
        <f>IF(Table1[[#This Row],[ai_disruption_intensity]]&gt;70,"High",
IF(Table1[[#This Row],[ai_disruption_intensity]]&gt;40,"Medium","Low"))</f>
        <v>Low</v>
      </c>
      <c r="W3383" t="str">
        <f>IF(Table1[[#This Row],[skill_gap_index]]&gt;70,"Large Gap",
IF(Table1[[#This Row],[skill_gap_index]]&gt;40,"Medium Gap","Small Gap"))</f>
        <v>Medium Gap</v>
      </c>
      <c r="X3383" s="3" t="str">
        <f>IF(Table1[[#This Row],[automation_risk_percent]]&gt;0.7,"Highly Automatable",
IF(Table1[[#This Row],[automation_risk_percent]]&gt;0.4,"Moderate Risk","Safe Job"))</f>
        <v>Safe Job</v>
      </c>
    </row>
    <row r="3384" spans="1:24" x14ac:dyDescent="0.3">
      <c r="A3384">
        <v>11779</v>
      </c>
      <c r="B3384" t="s">
        <v>22</v>
      </c>
      <c r="C3384" t="s">
        <v>34</v>
      </c>
      <c r="D3384" t="s">
        <v>20</v>
      </c>
      <c r="E3384" s="1">
        <v>2025</v>
      </c>
      <c r="F3384" s="11">
        <v>0.17230000000000001</v>
      </c>
      <c r="G3384">
        <v>15.77</v>
      </c>
      <c r="H3384">
        <v>34.36</v>
      </c>
      <c r="I3384" s="2">
        <v>93267.25</v>
      </c>
      <c r="J3384" s="2">
        <v>85794.98</v>
      </c>
      <c r="K3384" s="2">
        <f>Table1[[#This Row],[Salary_after]]-Table1[[#This Row],[Salary_before]]</f>
        <v>-7472.2700000000041</v>
      </c>
      <c r="L3384" s="11">
        <v>-8.0100000000000005E-2</v>
      </c>
      <c r="M3384" s="11">
        <v>3.9000000000000003E-3</v>
      </c>
      <c r="N3384">
        <v>12.29</v>
      </c>
      <c r="O3384">
        <v>17.3</v>
      </c>
      <c r="P3384">
        <v>1</v>
      </c>
      <c r="Q3384" t="s">
        <v>21</v>
      </c>
      <c r="R3384">
        <v>25.795000000000002</v>
      </c>
      <c r="S3384">
        <v>8.01</v>
      </c>
      <c r="T3384" s="4">
        <v>19.602999999999899</v>
      </c>
      <c r="U3384" s="4">
        <v>2.9807899999999998</v>
      </c>
      <c r="V3384" t="str">
        <f>IF(Table1[[#This Row],[ai_disruption_intensity]]&gt;70,"High",
IF(Table1[[#This Row],[ai_disruption_intensity]]&gt;40,"Medium","Low"))</f>
        <v>Low</v>
      </c>
      <c r="W3384" t="str">
        <f>IF(Table1[[#This Row],[skill_gap_index]]&gt;70,"Large Gap",
IF(Table1[[#This Row],[skill_gap_index]]&gt;40,"Medium Gap","Small Gap"))</f>
        <v>Small Gap</v>
      </c>
      <c r="X3384" s="3" t="str">
        <f>IF(Table1[[#This Row],[automation_risk_percent]]&gt;0.7,"Highly Automatable",
IF(Table1[[#This Row],[automation_risk_percent]]&gt;0.4,"Moderate Risk","Safe Job"))</f>
        <v>Safe Job</v>
      </c>
    </row>
    <row r="3385" spans="1:24" x14ac:dyDescent="0.3">
      <c r="A3385">
        <v>11780</v>
      </c>
      <c r="B3385" t="s">
        <v>29</v>
      </c>
      <c r="C3385" t="s">
        <v>40</v>
      </c>
      <c r="D3385" t="s">
        <v>28</v>
      </c>
      <c r="E3385" s="1">
        <v>2025</v>
      </c>
      <c r="F3385" s="11">
        <v>0.82730000000000004</v>
      </c>
      <c r="G3385">
        <v>77.78</v>
      </c>
      <c r="H3385">
        <v>53.9</v>
      </c>
      <c r="I3385" s="2">
        <v>88802.79</v>
      </c>
      <c r="J3385" s="2">
        <v>95435.86</v>
      </c>
      <c r="K3385" s="2">
        <f>Table1[[#This Row],[Salary_after]]-Table1[[#This Row],[Salary_before]]</f>
        <v>6633.070000000007</v>
      </c>
      <c r="L3385" s="11">
        <v>7.4700000000000003E-2</v>
      </c>
      <c r="M3385" s="11">
        <v>1.2999999999999999E-3</v>
      </c>
      <c r="N3385">
        <v>94.48</v>
      </c>
      <c r="O3385">
        <v>21.24</v>
      </c>
      <c r="P3385">
        <v>1</v>
      </c>
      <c r="Q3385" t="s">
        <v>37</v>
      </c>
      <c r="R3385">
        <v>68.314999999999998</v>
      </c>
      <c r="S3385">
        <v>7.47</v>
      </c>
      <c r="T3385" s="4">
        <v>51.503</v>
      </c>
      <c r="U3385" s="4">
        <v>17.571852</v>
      </c>
      <c r="V3385" t="str">
        <f>IF(Table1[[#This Row],[ai_disruption_intensity]]&gt;70,"High",
IF(Table1[[#This Row],[ai_disruption_intensity]]&gt;40,"Medium","Low"))</f>
        <v>Low</v>
      </c>
      <c r="W3385" t="str">
        <f>IF(Table1[[#This Row],[skill_gap_index]]&gt;70,"Large Gap",
IF(Table1[[#This Row],[skill_gap_index]]&gt;40,"Medium Gap","Small Gap"))</f>
        <v>Medium Gap</v>
      </c>
      <c r="X3385" s="3" t="str">
        <f>IF(Table1[[#This Row],[automation_risk_percent]]&gt;0.7,"Highly Automatable",
IF(Table1[[#This Row],[automation_risk_percent]]&gt;0.4,"Moderate Risk","Safe Job"))</f>
        <v>Highly Automatable</v>
      </c>
    </row>
    <row r="3386" spans="1:24" x14ac:dyDescent="0.3">
      <c r="A3386">
        <v>11784</v>
      </c>
      <c r="B3386" t="s">
        <v>44</v>
      </c>
      <c r="C3386" t="s">
        <v>33</v>
      </c>
      <c r="D3386" t="s">
        <v>24</v>
      </c>
      <c r="E3386" s="1">
        <v>2025</v>
      </c>
      <c r="F3386" s="11">
        <v>0.78420000000000001</v>
      </c>
      <c r="G3386">
        <v>74.75</v>
      </c>
      <c r="H3386">
        <v>78.31</v>
      </c>
      <c r="I3386" s="2">
        <v>59469.53</v>
      </c>
      <c r="J3386" s="2">
        <v>66743.570000000007</v>
      </c>
      <c r="K3386" s="2">
        <f>Table1[[#This Row],[Salary_after]]-Table1[[#This Row],[Salary_before]]</f>
        <v>7274.0400000000081</v>
      </c>
      <c r="L3386" s="11">
        <v>0.12230000000000001</v>
      </c>
      <c r="M3386" s="11">
        <v>-4.2800000000000005E-2</v>
      </c>
      <c r="N3386">
        <v>15.13</v>
      </c>
      <c r="O3386">
        <v>9.3800000000000008</v>
      </c>
      <c r="P3386">
        <v>5</v>
      </c>
      <c r="Q3386" t="s">
        <v>37</v>
      </c>
      <c r="R3386">
        <v>78.364999999999995</v>
      </c>
      <c r="S3386">
        <v>12.23</v>
      </c>
      <c r="T3386" s="4">
        <v>58.53</v>
      </c>
      <c r="U3386" s="4">
        <v>7.3557959999999998</v>
      </c>
      <c r="V3386" t="str">
        <f>IF(Table1[[#This Row],[ai_disruption_intensity]]&gt;70,"High",
IF(Table1[[#This Row],[ai_disruption_intensity]]&gt;40,"Medium","Low"))</f>
        <v>Low</v>
      </c>
      <c r="W3386" t="str">
        <f>IF(Table1[[#This Row],[skill_gap_index]]&gt;70,"Large Gap",
IF(Table1[[#This Row],[skill_gap_index]]&gt;40,"Medium Gap","Small Gap"))</f>
        <v>Large Gap</v>
      </c>
      <c r="X3386" s="3" t="str">
        <f>IF(Table1[[#This Row],[automation_risk_percent]]&gt;0.7,"Highly Automatable",
IF(Table1[[#This Row],[automation_risk_percent]]&gt;0.4,"Moderate Risk","Safe Job"))</f>
        <v>Highly Automatable</v>
      </c>
    </row>
    <row r="3387" spans="1:24" x14ac:dyDescent="0.3">
      <c r="A3387">
        <v>11786</v>
      </c>
      <c r="B3387" t="s">
        <v>45</v>
      </c>
      <c r="C3387" t="s">
        <v>40</v>
      </c>
      <c r="D3387" t="s">
        <v>20</v>
      </c>
      <c r="E3387" s="1">
        <v>2025</v>
      </c>
      <c r="F3387" s="11">
        <v>0.19829999999999998</v>
      </c>
      <c r="G3387">
        <v>18.829999999999998</v>
      </c>
      <c r="H3387">
        <v>43.17</v>
      </c>
      <c r="I3387" s="2">
        <v>116077.65</v>
      </c>
      <c r="J3387" s="2">
        <v>135384.13</v>
      </c>
      <c r="K3387" s="2">
        <f>Table1[[#This Row],[Salary_after]]-Table1[[#This Row],[Salary_before]]</f>
        <v>19306.48000000001</v>
      </c>
      <c r="L3387" s="11">
        <v>0.1663</v>
      </c>
      <c r="M3387" s="11">
        <v>4.7300000000000002E-2</v>
      </c>
      <c r="N3387">
        <v>85.71</v>
      </c>
      <c r="O3387">
        <v>28.92</v>
      </c>
      <c r="P3387">
        <v>2</v>
      </c>
      <c r="Q3387" t="s">
        <v>21</v>
      </c>
      <c r="R3387">
        <v>31.5</v>
      </c>
      <c r="S3387">
        <v>16.63</v>
      </c>
      <c r="T3387" s="4">
        <v>25.872</v>
      </c>
      <c r="U3387" s="4">
        <v>5.7348359999999996</v>
      </c>
      <c r="V3387" t="str">
        <f>IF(Table1[[#This Row],[ai_disruption_intensity]]&gt;70,"High",
IF(Table1[[#This Row],[ai_disruption_intensity]]&gt;40,"Medium","Low"))</f>
        <v>Low</v>
      </c>
      <c r="W3387" t="str">
        <f>IF(Table1[[#This Row],[skill_gap_index]]&gt;70,"Large Gap",
IF(Table1[[#This Row],[skill_gap_index]]&gt;40,"Medium Gap","Small Gap"))</f>
        <v>Medium Gap</v>
      </c>
      <c r="X3387" s="3" t="str">
        <f>IF(Table1[[#This Row],[automation_risk_percent]]&gt;0.7,"Highly Automatable",
IF(Table1[[#This Row],[automation_risk_percent]]&gt;0.4,"Moderate Risk","Safe Job"))</f>
        <v>Safe Job</v>
      </c>
    </row>
    <row r="3388" spans="1:24" x14ac:dyDescent="0.3">
      <c r="A3388">
        <v>11787</v>
      </c>
      <c r="B3388" t="s">
        <v>41</v>
      </c>
      <c r="C3388" t="s">
        <v>23</v>
      </c>
      <c r="D3388" t="s">
        <v>47</v>
      </c>
      <c r="E3388" s="1">
        <v>2025</v>
      </c>
      <c r="F3388" s="11">
        <v>0.81269999999999998</v>
      </c>
      <c r="G3388">
        <v>81</v>
      </c>
      <c r="H3388">
        <v>7.65</v>
      </c>
      <c r="I3388" s="2">
        <v>65643.179999999993</v>
      </c>
      <c r="J3388" s="2">
        <v>62651.55</v>
      </c>
      <c r="K3388" s="2">
        <f>Table1[[#This Row],[Salary_after]]-Table1[[#This Row],[Salary_before]]</f>
        <v>-2991.6299999999901</v>
      </c>
      <c r="L3388" s="11">
        <v>-4.5599999999999995E-2</v>
      </c>
      <c r="M3388" s="11">
        <v>0.17430000000000001</v>
      </c>
      <c r="N3388">
        <v>18.39</v>
      </c>
      <c r="O3388">
        <v>63.84</v>
      </c>
      <c r="P3388">
        <v>4</v>
      </c>
      <c r="Q3388" t="s">
        <v>37</v>
      </c>
      <c r="R3388">
        <v>44.46</v>
      </c>
      <c r="S3388">
        <v>4.5599999999999996</v>
      </c>
      <c r="T3388" s="4">
        <v>36.170999999999999</v>
      </c>
      <c r="U3388" s="4">
        <v>51.882767999999999</v>
      </c>
      <c r="V3388" t="str">
        <f>IF(Table1[[#This Row],[ai_disruption_intensity]]&gt;70,"High",
IF(Table1[[#This Row],[ai_disruption_intensity]]&gt;40,"Medium","Low"))</f>
        <v>Medium</v>
      </c>
      <c r="W3388" t="str">
        <f>IF(Table1[[#This Row],[skill_gap_index]]&gt;70,"Large Gap",
IF(Table1[[#This Row],[skill_gap_index]]&gt;40,"Medium Gap","Small Gap"))</f>
        <v>Small Gap</v>
      </c>
      <c r="X3388" s="3" t="str">
        <f>IF(Table1[[#This Row],[automation_risk_percent]]&gt;0.7,"Highly Automatable",
IF(Table1[[#This Row],[automation_risk_percent]]&gt;0.4,"Moderate Risk","Safe Job"))</f>
        <v>Highly Automatable</v>
      </c>
    </row>
    <row r="3389" spans="1:24" x14ac:dyDescent="0.3">
      <c r="A3389">
        <v>11794</v>
      </c>
      <c r="B3389" t="s">
        <v>43</v>
      </c>
      <c r="C3389" t="s">
        <v>19</v>
      </c>
      <c r="D3389" t="s">
        <v>24</v>
      </c>
      <c r="E3389" s="1">
        <v>2025</v>
      </c>
      <c r="F3389" s="11">
        <v>0.20329999999999998</v>
      </c>
      <c r="G3389">
        <v>22.33</v>
      </c>
      <c r="H3389">
        <v>98.33</v>
      </c>
      <c r="I3389" s="2">
        <v>38136.550000000003</v>
      </c>
      <c r="J3389" s="2">
        <v>35719.160000000003</v>
      </c>
      <c r="K3389" s="2">
        <f>Table1[[#This Row],[Salary_after]]-Table1[[#This Row],[Salary_before]]</f>
        <v>-2417.3899999999994</v>
      </c>
      <c r="L3389" s="11">
        <v>-6.3399999999999998E-2</v>
      </c>
      <c r="M3389" s="11">
        <v>-5.3600000000000002E-2</v>
      </c>
      <c r="N3389">
        <v>93.12</v>
      </c>
      <c r="O3389">
        <v>68.31</v>
      </c>
      <c r="P3389">
        <v>3</v>
      </c>
      <c r="Q3389" t="s">
        <v>21</v>
      </c>
      <c r="R3389">
        <v>59.33</v>
      </c>
      <c r="S3389">
        <v>6.34</v>
      </c>
      <c r="T3389" s="4">
        <v>39.533000000000001</v>
      </c>
      <c r="U3389" s="4">
        <v>13.887422999999901</v>
      </c>
      <c r="V3389" t="str">
        <f>IF(Table1[[#This Row],[ai_disruption_intensity]]&gt;70,"High",
IF(Table1[[#This Row],[ai_disruption_intensity]]&gt;40,"Medium","Low"))</f>
        <v>Low</v>
      </c>
      <c r="W3389" t="str">
        <f>IF(Table1[[#This Row],[skill_gap_index]]&gt;70,"Large Gap",
IF(Table1[[#This Row],[skill_gap_index]]&gt;40,"Medium Gap","Small Gap"))</f>
        <v>Large Gap</v>
      </c>
      <c r="X3389" s="3" t="str">
        <f>IF(Table1[[#This Row],[automation_risk_percent]]&gt;0.7,"Highly Automatable",
IF(Table1[[#This Row],[automation_risk_percent]]&gt;0.4,"Moderate Risk","Safe Job"))</f>
        <v>Safe Job</v>
      </c>
    </row>
    <row r="3390" spans="1:24" x14ac:dyDescent="0.3">
      <c r="A3390">
        <v>11796</v>
      </c>
      <c r="B3390" t="s">
        <v>29</v>
      </c>
      <c r="C3390" t="s">
        <v>30</v>
      </c>
      <c r="D3390" t="s">
        <v>35</v>
      </c>
      <c r="E3390" s="1">
        <v>2026</v>
      </c>
      <c r="F3390" s="11">
        <v>0.74609999999999999</v>
      </c>
      <c r="G3390">
        <v>69.08</v>
      </c>
      <c r="H3390">
        <v>46.5</v>
      </c>
      <c r="I3390" s="2">
        <v>61619.65</v>
      </c>
      <c r="J3390" s="2">
        <v>65726.899999999994</v>
      </c>
      <c r="K3390" s="2">
        <f>Table1[[#This Row],[Salary_after]]-Table1[[#This Row],[Salary_before]]</f>
        <v>4107.2499999999927</v>
      </c>
      <c r="L3390" s="11">
        <v>6.6699999999999995E-2</v>
      </c>
      <c r="M3390" s="11">
        <v>5.1200000000000002E-2</v>
      </c>
      <c r="N3390">
        <v>36.06</v>
      </c>
      <c r="O3390">
        <v>81.64</v>
      </c>
      <c r="P3390">
        <v>5</v>
      </c>
      <c r="Q3390" t="s">
        <v>37</v>
      </c>
      <c r="R3390">
        <v>60.555</v>
      </c>
      <c r="S3390">
        <v>6.67</v>
      </c>
      <c r="T3390" s="4">
        <v>45.794999999999902</v>
      </c>
      <c r="U3390" s="4">
        <v>60.911603999999997</v>
      </c>
      <c r="V3390" t="str">
        <f>IF(Table1[[#This Row],[ai_disruption_intensity]]&gt;70,"High",
IF(Table1[[#This Row],[ai_disruption_intensity]]&gt;40,"Medium","Low"))</f>
        <v>Medium</v>
      </c>
      <c r="W3390" t="str">
        <f>IF(Table1[[#This Row],[skill_gap_index]]&gt;70,"Large Gap",
IF(Table1[[#This Row],[skill_gap_index]]&gt;40,"Medium Gap","Small Gap"))</f>
        <v>Medium Gap</v>
      </c>
      <c r="X3390" s="3" t="str">
        <f>IF(Table1[[#This Row],[automation_risk_percent]]&gt;0.7,"Highly Automatable",
IF(Table1[[#This Row],[automation_risk_percent]]&gt;0.4,"Moderate Risk","Safe Job"))</f>
        <v>Highly Automatable</v>
      </c>
    </row>
    <row r="3391" spans="1:24" x14ac:dyDescent="0.3">
      <c r="A3391">
        <v>11803</v>
      </c>
      <c r="B3391" t="s">
        <v>18</v>
      </c>
      <c r="C3391" t="s">
        <v>34</v>
      </c>
      <c r="D3391" t="s">
        <v>24</v>
      </c>
      <c r="E3391" s="1">
        <v>2026</v>
      </c>
      <c r="F3391" s="11">
        <v>0.52939999999999998</v>
      </c>
      <c r="G3391">
        <v>42.6</v>
      </c>
      <c r="H3391">
        <v>33.47</v>
      </c>
      <c r="I3391" s="2">
        <v>124160.8</v>
      </c>
      <c r="J3391" s="2">
        <v>133899.31</v>
      </c>
      <c r="K3391" s="2">
        <f>Table1[[#This Row],[Salary_after]]-Table1[[#This Row],[Salary_before]]</f>
        <v>9738.5099999999948</v>
      </c>
      <c r="L3391" s="11">
        <v>7.8399999999999997E-2</v>
      </c>
      <c r="M3391" s="11">
        <v>0.11720000000000001</v>
      </c>
      <c r="N3391">
        <v>62.88</v>
      </c>
      <c r="O3391">
        <v>57.33</v>
      </c>
      <c r="P3391">
        <v>5</v>
      </c>
      <c r="Q3391" t="s">
        <v>25</v>
      </c>
      <c r="R3391">
        <v>43.204999999999998</v>
      </c>
      <c r="S3391">
        <v>7.84</v>
      </c>
      <c r="T3391" s="4">
        <v>33.568999999999903</v>
      </c>
      <c r="U3391" s="4">
        <v>30.350501999999899</v>
      </c>
      <c r="V3391" t="str">
        <f>IF(Table1[[#This Row],[ai_disruption_intensity]]&gt;70,"High",
IF(Table1[[#This Row],[ai_disruption_intensity]]&gt;40,"Medium","Low"))</f>
        <v>Low</v>
      </c>
      <c r="W3391" t="str">
        <f>IF(Table1[[#This Row],[skill_gap_index]]&gt;70,"Large Gap",
IF(Table1[[#This Row],[skill_gap_index]]&gt;40,"Medium Gap","Small Gap"))</f>
        <v>Small Gap</v>
      </c>
      <c r="X3391" s="3" t="str">
        <f>IF(Table1[[#This Row],[automation_risk_percent]]&gt;0.7,"Highly Automatable",
IF(Table1[[#This Row],[automation_risk_percent]]&gt;0.4,"Moderate Risk","Safe Job"))</f>
        <v>Moderate Risk</v>
      </c>
    </row>
    <row r="3392" spans="1:24" x14ac:dyDescent="0.3">
      <c r="A3392">
        <v>11813</v>
      </c>
      <c r="B3392" t="s">
        <v>18</v>
      </c>
      <c r="C3392" t="s">
        <v>38</v>
      </c>
      <c r="D3392" t="s">
        <v>20</v>
      </c>
      <c r="E3392" s="1">
        <v>2025</v>
      </c>
      <c r="F3392" s="11">
        <v>0.25340000000000001</v>
      </c>
      <c r="G3392">
        <v>20.85</v>
      </c>
      <c r="H3392">
        <v>91.97</v>
      </c>
      <c r="I3392" s="2">
        <v>87736.66</v>
      </c>
      <c r="J3392" s="2">
        <v>102484.78</v>
      </c>
      <c r="K3392" s="2">
        <f>Table1[[#This Row],[Salary_after]]-Table1[[#This Row],[Salary_before]]</f>
        <v>14748.119999999995</v>
      </c>
      <c r="L3392" s="11">
        <v>0.1681</v>
      </c>
      <c r="M3392" s="11">
        <v>3.6400000000000002E-2</v>
      </c>
      <c r="N3392">
        <v>60.4</v>
      </c>
      <c r="O3392">
        <v>45.43</v>
      </c>
      <c r="P3392">
        <v>2</v>
      </c>
      <c r="Q3392" t="s">
        <v>21</v>
      </c>
      <c r="R3392">
        <v>58.655000000000001</v>
      </c>
      <c r="S3392">
        <v>16.809999999999999</v>
      </c>
      <c r="T3392" s="4">
        <v>42.769999999999897</v>
      </c>
      <c r="U3392" s="4">
        <v>11.511962</v>
      </c>
      <c r="V3392" t="str">
        <f>IF(Table1[[#This Row],[ai_disruption_intensity]]&gt;70,"High",
IF(Table1[[#This Row],[ai_disruption_intensity]]&gt;40,"Medium","Low"))</f>
        <v>Low</v>
      </c>
      <c r="W3392" t="str">
        <f>IF(Table1[[#This Row],[skill_gap_index]]&gt;70,"Large Gap",
IF(Table1[[#This Row],[skill_gap_index]]&gt;40,"Medium Gap","Small Gap"))</f>
        <v>Large Gap</v>
      </c>
      <c r="X3392" s="3" t="str">
        <f>IF(Table1[[#This Row],[automation_risk_percent]]&gt;0.7,"Highly Automatable",
IF(Table1[[#This Row],[automation_risk_percent]]&gt;0.4,"Moderate Risk","Safe Job"))</f>
        <v>Safe Job</v>
      </c>
    </row>
    <row r="3393" spans="1:24" x14ac:dyDescent="0.3">
      <c r="A3393">
        <v>11816</v>
      </c>
      <c r="B3393" t="s">
        <v>44</v>
      </c>
      <c r="C3393" t="s">
        <v>27</v>
      </c>
      <c r="D3393" t="s">
        <v>36</v>
      </c>
      <c r="E3393" s="1">
        <v>2025</v>
      </c>
      <c r="F3393" s="11">
        <v>0.55620000000000003</v>
      </c>
      <c r="G3393">
        <v>53.83</v>
      </c>
      <c r="H3393">
        <v>49.56</v>
      </c>
      <c r="I3393" s="2">
        <v>62767.51</v>
      </c>
      <c r="J3393" s="2">
        <v>63725.37</v>
      </c>
      <c r="K3393" s="2">
        <f>Table1[[#This Row],[Salary_after]]-Table1[[#This Row],[Salary_before]]</f>
        <v>957.86000000000058</v>
      </c>
      <c r="L3393" s="11">
        <v>1.5300000000000001E-2</v>
      </c>
      <c r="M3393" s="11">
        <v>2.5000000000000001E-2</v>
      </c>
      <c r="N3393">
        <v>44.05</v>
      </c>
      <c r="O3393">
        <v>88.66</v>
      </c>
      <c r="P3393">
        <v>4</v>
      </c>
      <c r="Q3393" t="s">
        <v>25</v>
      </c>
      <c r="R3393">
        <v>52.59</v>
      </c>
      <c r="S3393">
        <v>1.53</v>
      </c>
      <c r="T3393" s="4">
        <v>37.575000000000003</v>
      </c>
      <c r="U3393" s="4">
        <v>49.312691999999998</v>
      </c>
      <c r="V3393" t="str">
        <f>IF(Table1[[#This Row],[ai_disruption_intensity]]&gt;70,"High",
IF(Table1[[#This Row],[ai_disruption_intensity]]&gt;40,"Medium","Low"))</f>
        <v>Medium</v>
      </c>
      <c r="W3393" t="str">
        <f>IF(Table1[[#This Row],[skill_gap_index]]&gt;70,"Large Gap",
IF(Table1[[#This Row],[skill_gap_index]]&gt;40,"Medium Gap","Small Gap"))</f>
        <v>Medium Gap</v>
      </c>
      <c r="X3393" s="3" t="str">
        <f>IF(Table1[[#This Row],[automation_risk_percent]]&gt;0.7,"Highly Automatable",
IF(Table1[[#This Row],[automation_risk_percent]]&gt;0.4,"Moderate Risk","Safe Job"))</f>
        <v>Moderate Risk</v>
      </c>
    </row>
    <row r="3394" spans="1:24" x14ac:dyDescent="0.3">
      <c r="A3394">
        <v>11818</v>
      </c>
      <c r="B3394" t="s">
        <v>41</v>
      </c>
      <c r="C3394" t="s">
        <v>40</v>
      </c>
      <c r="D3394" t="s">
        <v>42</v>
      </c>
      <c r="E3394" s="1">
        <v>2026</v>
      </c>
      <c r="F3394" s="11">
        <v>0.43130000000000002</v>
      </c>
      <c r="G3394">
        <v>49.96</v>
      </c>
      <c r="H3394">
        <v>4.9000000000000004</v>
      </c>
      <c r="I3394" s="2">
        <v>43520.92</v>
      </c>
      <c r="J3394" s="2">
        <v>50609.06</v>
      </c>
      <c r="K3394" s="2">
        <f>Table1[[#This Row],[Salary_after]]-Table1[[#This Row],[Salary_before]]</f>
        <v>7088.1399999999994</v>
      </c>
      <c r="L3394" s="11">
        <v>0.16289999999999999</v>
      </c>
      <c r="M3394" s="11">
        <v>0.15960000000000002</v>
      </c>
      <c r="N3394">
        <v>76.239999999999995</v>
      </c>
      <c r="O3394">
        <v>27.56</v>
      </c>
      <c r="P3394">
        <v>5</v>
      </c>
      <c r="Q3394" t="s">
        <v>25</v>
      </c>
      <c r="R3394">
        <v>24.015000000000001</v>
      </c>
      <c r="S3394">
        <v>16.29</v>
      </c>
      <c r="T3394" s="4">
        <v>23.609000000000002</v>
      </c>
      <c r="U3394" s="4">
        <v>11.886628</v>
      </c>
      <c r="V3394" t="str">
        <f>IF(Table1[[#This Row],[ai_disruption_intensity]]&gt;70,"High",
IF(Table1[[#This Row],[ai_disruption_intensity]]&gt;40,"Medium","Low"))</f>
        <v>Low</v>
      </c>
      <c r="W3394" t="str">
        <f>IF(Table1[[#This Row],[skill_gap_index]]&gt;70,"Large Gap",
IF(Table1[[#This Row],[skill_gap_index]]&gt;40,"Medium Gap","Small Gap"))</f>
        <v>Small Gap</v>
      </c>
      <c r="X3394" s="3" t="str">
        <f>IF(Table1[[#This Row],[automation_risk_percent]]&gt;0.7,"Highly Automatable",
IF(Table1[[#This Row],[automation_risk_percent]]&gt;0.4,"Moderate Risk","Safe Job"))</f>
        <v>Moderate Risk</v>
      </c>
    </row>
    <row r="3395" spans="1:24" x14ac:dyDescent="0.3">
      <c r="A3395">
        <v>11819</v>
      </c>
      <c r="B3395" t="s">
        <v>43</v>
      </c>
      <c r="C3395" t="s">
        <v>40</v>
      </c>
      <c r="D3395" t="s">
        <v>24</v>
      </c>
      <c r="E3395" s="1">
        <v>2025</v>
      </c>
      <c r="F3395" s="11">
        <v>0.30609999999999998</v>
      </c>
      <c r="G3395">
        <v>29.55</v>
      </c>
      <c r="H3395">
        <v>23.45</v>
      </c>
      <c r="I3395" s="2">
        <v>75267.210000000006</v>
      </c>
      <c r="J3395" s="2">
        <v>75164.460000000006</v>
      </c>
      <c r="K3395" s="2">
        <f>Table1[[#This Row],[Salary_after]]-Table1[[#This Row],[Salary_before]]</f>
        <v>-102.75</v>
      </c>
      <c r="L3395" s="11">
        <v>-1.4000000000000002E-3</v>
      </c>
      <c r="M3395" s="11">
        <v>0.24309999999999998</v>
      </c>
      <c r="N3395">
        <v>96.99</v>
      </c>
      <c r="O3395">
        <v>57.96</v>
      </c>
      <c r="P3395">
        <v>5</v>
      </c>
      <c r="Q3395" t="s">
        <v>25</v>
      </c>
      <c r="R3395">
        <v>27.03</v>
      </c>
      <c r="S3395">
        <v>0.14000000000000001</v>
      </c>
      <c r="T3395" s="4">
        <v>19.321000000000002</v>
      </c>
      <c r="U3395" s="4">
        <v>17.741555999999999</v>
      </c>
      <c r="V3395" t="str">
        <f>IF(Table1[[#This Row],[ai_disruption_intensity]]&gt;70,"High",
IF(Table1[[#This Row],[ai_disruption_intensity]]&gt;40,"Medium","Low"))</f>
        <v>Low</v>
      </c>
      <c r="W3395" t="str">
        <f>IF(Table1[[#This Row],[skill_gap_index]]&gt;70,"Large Gap",
IF(Table1[[#This Row],[skill_gap_index]]&gt;40,"Medium Gap","Small Gap"))</f>
        <v>Small Gap</v>
      </c>
      <c r="X3395" s="3" t="str">
        <f>IF(Table1[[#This Row],[automation_risk_percent]]&gt;0.7,"Highly Automatable",
IF(Table1[[#This Row],[automation_risk_percent]]&gt;0.4,"Moderate Risk","Safe Job"))</f>
        <v>Safe Job</v>
      </c>
    </row>
    <row r="3396" spans="1:24" x14ac:dyDescent="0.3">
      <c r="A3396">
        <v>11828</v>
      </c>
      <c r="B3396" t="s">
        <v>18</v>
      </c>
      <c r="C3396" t="s">
        <v>30</v>
      </c>
      <c r="D3396" t="s">
        <v>28</v>
      </c>
      <c r="E3396" s="1">
        <v>2026</v>
      </c>
      <c r="F3396" s="11">
        <v>0.21859999999999999</v>
      </c>
      <c r="G3396">
        <v>21.55</v>
      </c>
      <c r="H3396">
        <v>6.53</v>
      </c>
      <c r="I3396" s="2">
        <v>47986.02</v>
      </c>
      <c r="J3396" s="2">
        <v>56932.22</v>
      </c>
      <c r="K3396" s="2">
        <f>Table1[[#This Row],[Salary_after]]-Table1[[#This Row],[Salary_before]]</f>
        <v>8946.2000000000044</v>
      </c>
      <c r="L3396" s="11">
        <v>0.18640000000000001</v>
      </c>
      <c r="M3396" s="11">
        <v>9.1499999999999998E-2</v>
      </c>
      <c r="N3396">
        <v>42.35</v>
      </c>
      <c r="O3396">
        <v>86.59</v>
      </c>
      <c r="P3396">
        <v>4</v>
      </c>
      <c r="Q3396" t="s">
        <v>21</v>
      </c>
      <c r="R3396">
        <v>14.195</v>
      </c>
      <c r="S3396">
        <v>18.64</v>
      </c>
      <c r="T3396" s="4">
        <v>16.294999999999899</v>
      </c>
      <c r="U3396" s="4">
        <v>18.928574000000001</v>
      </c>
      <c r="V3396" t="str">
        <f>IF(Table1[[#This Row],[ai_disruption_intensity]]&gt;70,"High",
IF(Table1[[#This Row],[ai_disruption_intensity]]&gt;40,"Medium","Low"))</f>
        <v>Low</v>
      </c>
      <c r="W3396" t="str">
        <f>IF(Table1[[#This Row],[skill_gap_index]]&gt;70,"Large Gap",
IF(Table1[[#This Row],[skill_gap_index]]&gt;40,"Medium Gap","Small Gap"))</f>
        <v>Small Gap</v>
      </c>
      <c r="X3396" s="3" t="str">
        <f>IF(Table1[[#This Row],[automation_risk_percent]]&gt;0.7,"Highly Automatable",
IF(Table1[[#This Row],[automation_risk_percent]]&gt;0.4,"Moderate Risk","Safe Job"))</f>
        <v>Safe Job</v>
      </c>
    </row>
    <row r="3397" spans="1:24" x14ac:dyDescent="0.3">
      <c r="A3397">
        <v>11832</v>
      </c>
      <c r="B3397" t="s">
        <v>29</v>
      </c>
      <c r="C3397" t="s">
        <v>23</v>
      </c>
      <c r="D3397" t="s">
        <v>42</v>
      </c>
      <c r="E3397" s="1">
        <v>2026</v>
      </c>
      <c r="F3397" s="11">
        <v>0.58260000000000001</v>
      </c>
      <c r="G3397">
        <v>50.96</v>
      </c>
      <c r="H3397">
        <v>72.510000000000005</v>
      </c>
      <c r="I3397" s="2">
        <v>90263.83</v>
      </c>
      <c r="J3397" s="2">
        <v>81028.69</v>
      </c>
      <c r="K3397" s="2">
        <f>Table1[[#This Row],[Salary_after]]-Table1[[#This Row],[Salary_before]]</f>
        <v>-9235.14</v>
      </c>
      <c r="L3397" s="11">
        <v>-0.1023</v>
      </c>
      <c r="M3397" s="11">
        <v>0.1668</v>
      </c>
      <c r="N3397">
        <v>43.91</v>
      </c>
      <c r="O3397">
        <v>89.65</v>
      </c>
      <c r="P3397">
        <v>2</v>
      </c>
      <c r="Q3397" t="s">
        <v>25</v>
      </c>
      <c r="R3397">
        <v>65.385000000000005</v>
      </c>
      <c r="S3397">
        <v>10.23</v>
      </c>
      <c r="T3397" s="4">
        <v>48.125999999999998</v>
      </c>
      <c r="U3397" s="4">
        <v>52.230089999999997</v>
      </c>
      <c r="V3397" t="str">
        <f>IF(Table1[[#This Row],[ai_disruption_intensity]]&gt;70,"High",
IF(Table1[[#This Row],[ai_disruption_intensity]]&gt;40,"Medium","Low"))</f>
        <v>Medium</v>
      </c>
      <c r="W3397" t="str">
        <f>IF(Table1[[#This Row],[skill_gap_index]]&gt;70,"Large Gap",
IF(Table1[[#This Row],[skill_gap_index]]&gt;40,"Medium Gap","Small Gap"))</f>
        <v>Large Gap</v>
      </c>
      <c r="X3397" s="3" t="str">
        <f>IF(Table1[[#This Row],[automation_risk_percent]]&gt;0.7,"Highly Automatable",
IF(Table1[[#This Row],[automation_risk_percent]]&gt;0.4,"Moderate Risk","Safe Job"))</f>
        <v>Moderate Risk</v>
      </c>
    </row>
    <row r="3398" spans="1:24" x14ac:dyDescent="0.3">
      <c r="A3398">
        <v>11836</v>
      </c>
      <c r="B3398" t="s">
        <v>18</v>
      </c>
      <c r="C3398" t="s">
        <v>38</v>
      </c>
      <c r="D3398" t="s">
        <v>36</v>
      </c>
      <c r="E3398" s="1">
        <v>2025</v>
      </c>
      <c r="F3398" s="11">
        <v>0.15109999999999998</v>
      </c>
      <c r="G3398">
        <v>12.8</v>
      </c>
      <c r="H3398">
        <v>65.66</v>
      </c>
      <c r="I3398" s="2">
        <v>47999.8</v>
      </c>
      <c r="J3398" s="2">
        <v>49285.01</v>
      </c>
      <c r="K3398" s="2">
        <f>Table1[[#This Row],[Salary_after]]-Table1[[#This Row],[Salary_before]]</f>
        <v>1285.2099999999991</v>
      </c>
      <c r="L3398" s="11">
        <v>2.6800000000000001E-2</v>
      </c>
      <c r="M3398" s="11">
        <v>8.5699999999999998E-2</v>
      </c>
      <c r="N3398">
        <v>83.56</v>
      </c>
      <c r="O3398">
        <v>35.21</v>
      </c>
      <c r="P3398">
        <v>5</v>
      </c>
      <c r="Q3398" t="s">
        <v>21</v>
      </c>
      <c r="R3398">
        <v>40.384999999999998</v>
      </c>
      <c r="S3398">
        <v>2.68</v>
      </c>
      <c r="T3398" s="4">
        <v>26.5459999999999</v>
      </c>
      <c r="U3398" s="4">
        <v>5.3202309999999997</v>
      </c>
      <c r="V3398" t="str">
        <f>IF(Table1[[#This Row],[ai_disruption_intensity]]&gt;70,"High",
IF(Table1[[#This Row],[ai_disruption_intensity]]&gt;40,"Medium","Low"))</f>
        <v>Low</v>
      </c>
      <c r="W3398" t="str">
        <f>IF(Table1[[#This Row],[skill_gap_index]]&gt;70,"Large Gap",
IF(Table1[[#This Row],[skill_gap_index]]&gt;40,"Medium Gap","Small Gap"))</f>
        <v>Medium Gap</v>
      </c>
      <c r="X3398" s="3" t="str">
        <f>IF(Table1[[#This Row],[automation_risk_percent]]&gt;0.7,"Highly Automatable",
IF(Table1[[#This Row],[automation_risk_percent]]&gt;0.4,"Moderate Risk","Safe Job"))</f>
        <v>Safe Job</v>
      </c>
    </row>
    <row r="3399" spans="1:24" x14ac:dyDescent="0.3">
      <c r="A3399">
        <v>11837</v>
      </c>
      <c r="B3399" t="s">
        <v>44</v>
      </c>
      <c r="C3399" t="s">
        <v>19</v>
      </c>
      <c r="D3399" t="s">
        <v>47</v>
      </c>
      <c r="E3399" s="1">
        <v>2025</v>
      </c>
      <c r="F3399" s="11">
        <v>0.1404</v>
      </c>
      <c r="G3399">
        <v>11.66</v>
      </c>
      <c r="H3399">
        <v>68.97</v>
      </c>
      <c r="I3399" s="2">
        <v>140777.82</v>
      </c>
      <c r="J3399" s="2">
        <v>144055.26</v>
      </c>
      <c r="K3399" s="2">
        <f>Table1[[#This Row],[Salary_after]]-Table1[[#This Row],[Salary_before]]</f>
        <v>3277.4400000000023</v>
      </c>
      <c r="L3399" s="11">
        <v>2.3300000000000001E-2</v>
      </c>
      <c r="M3399" s="11">
        <v>2.92E-2</v>
      </c>
      <c r="N3399">
        <v>68.77</v>
      </c>
      <c r="O3399">
        <v>67.67</v>
      </c>
      <c r="P3399">
        <v>1</v>
      </c>
      <c r="Q3399" t="s">
        <v>21</v>
      </c>
      <c r="R3399">
        <v>41.504999999999903</v>
      </c>
      <c r="S3399">
        <v>2.33</v>
      </c>
      <c r="T3399" s="4">
        <v>27.006</v>
      </c>
      <c r="U3399" s="4">
        <v>9.5008679999999899</v>
      </c>
      <c r="V3399" t="str">
        <f>IF(Table1[[#This Row],[ai_disruption_intensity]]&gt;70,"High",
IF(Table1[[#This Row],[ai_disruption_intensity]]&gt;40,"Medium","Low"))</f>
        <v>Low</v>
      </c>
      <c r="W3399" t="str">
        <f>IF(Table1[[#This Row],[skill_gap_index]]&gt;70,"Large Gap",
IF(Table1[[#This Row],[skill_gap_index]]&gt;40,"Medium Gap","Small Gap"))</f>
        <v>Medium Gap</v>
      </c>
      <c r="X3399" s="3" t="str">
        <f>IF(Table1[[#This Row],[automation_risk_percent]]&gt;0.7,"Highly Automatable",
IF(Table1[[#This Row],[automation_risk_percent]]&gt;0.4,"Moderate Risk","Safe Job"))</f>
        <v>Safe Job</v>
      </c>
    </row>
    <row r="3400" spans="1:24" x14ac:dyDescent="0.3">
      <c r="A3400">
        <v>11841</v>
      </c>
      <c r="B3400" t="s">
        <v>39</v>
      </c>
      <c r="C3400" t="s">
        <v>34</v>
      </c>
      <c r="D3400" t="s">
        <v>36</v>
      </c>
      <c r="E3400" s="1">
        <v>2026</v>
      </c>
      <c r="F3400" s="11">
        <v>0.30790000000000001</v>
      </c>
      <c r="G3400">
        <v>24.93</v>
      </c>
      <c r="H3400">
        <v>87.55</v>
      </c>
      <c r="I3400" s="2">
        <v>99287.02</v>
      </c>
      <c r="J3400" s="2">
        <v>99286.64</v>
      </c>
      <c r="K3400" s="2">
        <f>Table1[[#This Row],[Salary_after]]-Table1[[#This Row],[Salary_before]]</f>
        <v>-0.38000000000465661</v>
      </c>
      <c r="L3400" s="11">
        <v>0</v>
      </c>
      <c r="M3400" s="11">
        <v>2.8399999999999998E-2</v>
      </c>
      <c r="N3400">
        <v>18.71</v>
      </c>
      <c r="O3400">
        <v>67.39</v>
      </c>
      <c r="P3400">
        <v>3</v>
      </c>
      <c r="Q3400" t="s">
        <v>25</v>
      </c>
      <c r="R3400">
        <v>59.17</v>
      </c>
      <c r="S3400">
        <v>0</v>
      </c>
      <c r="T3400" s="4">
        <v>38.580999999999896</v>
      </c>
      <c r="U3400" s="4">
        <v>20.749381</v>
      </c>
      <c r="V3400" t="str">
        <f>IF(Table1[[#This Row],[ai_disruption_intensity]]&gt;70,"High",
IF(Table1[[#This Row],[ai_disruption_intensity]]&gt;40,"Medium","Low"))</f>
        <v>Low</v>
      </c>
      <c r="W3400" t="str">
        <f>IF(Table1[[#This Row],[skill_gap_index]]&gt;70,"Large Gap",
IF(Table1[[#This Row],[skill_gap_index]]&gt;40,"Medium Gap","Small Gap"))</f>
        <v>Large Gap</v>
      </c>
      <c r="X3400" s="3" t="str">
        <f>IF(Table1[[#This Row],[automation_risk_percent]]&gt;0.7,"Highly Automatable",
IF(Table1[[#This Row],[automation_risk_percent]]&gt;0.4,"Moderate Risk","Safe Job"))</f>
        <v>Safe Job</v>
      </c>
    </row>
    <row r="3401" spans="1:24" x14ac:dyDescent="0.3">
      <c r="A3401">
        <v>11842</v>
      </c>
      <c r="B3401" t="s">
        <v>18</v>
      </c>
      <c r="C3401" t="s">
        <v>38</v>
      </c>
      <c r="D3401" t="s">
        <v>31</v>
      </c>
      <c r="E3401" s="1">
        <v>2025</v>
      </c>
      <c r="F3401" s="11">
        <v>0.47369999999999995</v>
      </c>
      <c r="G3401">
        <v>55.2</v>
      </c>
      <c r="H3401">
        <v>39.51</v>
      </c>
      <c r="I3401" s="2">
        <v>140836.79</v>
      </c>
      <c r="J3401" s="2">
        <v>147864.29</v>
      </c>
      <c r="K3401" s="2">
        <f>Table1[[#This Row],[Salary_after]]-Table1[[#This Row],[Salary_before]]</f>
        <v>7027.5</v>
      </c>
      <c r="L3401" s="11">
        <v>4.99E-2</v>
      </c>
      <c r="M3401" s="11">
        <v>0.11650000000000001</v>
      </c>
      <c r="N3401">
        <v>49.42</v>
      </c>
      <c r="O3401">
        <v>41.43</v>
      </c>
      <c r="P3401">
        <v>1</v>
      </c>
      <c r="Q3401" t="s">
        <v>25</v>
      </c>
      <c r="R3401">
        <v>43.44</v>
      </c>
      <c r="S3401">
        <v>4.99</v>
      </c>
      <c r="T3401" s="4">
        <v>32.298000000000002</v>
      </c>
      <c r="U3401" s="4">
        <v>19.625391</v>
      </c>
      <c r="V3401" t="str">
        <f>IF(Table1[[#This Row],[ai_disruption_intensity]]&gt;70,"High",
IF(Table1[[#This Row],[ai_disruption_intensity]]&gt;40,"Medium","Low"))</f>
        <v>Low</v>
      </c>
      <c r="W3401" t="str">
        <f>IF(Table1[[#This Row],[skill_gap_index]]&gt;70,"Large Gap",
IF(Table1[[#This Row],[skill_gap_index]]&gt;40,"Medium Gap","Small Gap"))</f>
        <v>Small Gap</v>
      </c>
      <c r="X3401" s="3" t="str">
        <f>IF(Table1[[#This Row],[automation_risk_percent]]&gt;0.7,"Highly Automatable",
IF(Table1[[#This Row],[automation_risk_percent]]&gt;0.4,"Moderate Risk","Safe Job"))</f>
        <v>Moderate Risk</v>
      </c>
    </row>
    <row r="3402" spans="1:24" x14ac:dyDescent="0.3">
      <c r="A3402">
        <v>11844</v>
      </c>
      <c r="B3402" t="s">
        <v>44</v>
      </c>
      <c r="C3402" t="s">
        <v>27</v>
      </c>
      <c r="D3402" t="s">
        <v>32</v>
      </c>
      <c r="E3402" s="1">
        <v>2025</v>
      </c>
      <c r="F3402" s="11">
        <v>0.47020000000000001</v>
      </c>
      <c r="G3402">
        <v>53.41</v>
      </c>
      <c r="H3402">
        <v>27.34</v>
      </c>
      <c r="I3402" s="2">
        <v>42250.64</v>
      </c>
      <c r="J3402" s="2">
        <v>39607.879999999997</v>
      </c>
      <c r="K3402" s="2">
        <f>Table1[[#This Row],[Salary_after]]-Table1[[#This Row],[Salary_before]]</f>
        <v>-2642.760000000002</v>
      </c>
      <c r="L3402" s="11">
        <v>-6.25E-2</v>
      </c>
      <c r="M3402" s="11">
        <v>6.4100000000000004E-2</v>
      </c>
      <c r="N3402">
        <v>85.59</v>
      </c>
      <c r="O3402">
        <v>47.72</v>
      </c>
      <c r="P3402">
        <v>4</v>
      </c>
      <c r="Q3402" t="s">
        <v>25</v>
      </c>
      <c r="R3402">
        <v>37.18</v>
      </c>
      <c r="S3402">
        <v>6.25</v>
      </c>
      <c r="T3402" s="4">
        <v>28.885000000000002</v>
      </c>
      <c r="U3402" s="4">
        <v>22.437944000000002</v>
      </c>
      <c r="V3402" t="str">
        <f>IF(Table1[[#This Row],[ai_disruption_intensity]]&gt;70,"High",
IF(Table1[[#This Row],[ai_disruption_intensity]]&gt;40,"Medium","Low"))</f>
        <v>Low</v>
      </c>
      <c r="W3402" t="str">
        <f>IF(Table1[[#This Row],[skill_gap_index]]&gt;70,"Large Gap",
IF(Table1[[#This Row],[skill_gap_index]]&gt;40,"Medium Gap","Small Gap"))</f>
        <v>Small Gap</v>
      </c>
      <c r="X3402" s="3" t="str">
        <f>IF(Table1[[#This Row],[automation_risk_percent]]&gt;0.7,"Highly Automatable",
IF(Table1[[#This Row],[automation_risk_percent]]&gt;0.4,"Moderate Risk","Safe Job"))</f>
        <v>Moderate Risk</v>
      </c>
    </row>
    <row r="3403" spans="1:24" x14ac:dyDescent="0.3">
      <c r="A3403">
        <v>11845</v>
      </c>
      <c r="B3403" t="s">
        <v>22</v>
      </c>
      <c r="C3403" t="s">
        <v>38</v>
      </c>
      <c r="D3403" t="s">
        <v>31</v>
      </c>
      <c r="E3403" s="1">
        <v>2026</v>
      </c>
      <c r="F3403" s="11">
        <v>0.4229</v>
      </c>
      <c r="G3403">
        <v>45.41</v>
      </c>
      <c r="H3403">
        <v>63.47</v>
      </c>
      <c r="I3403" s="2">
        <v>58647.09</v>
      </c>
      <c r="J3403" s="2">
        <v>64170.39</v>
      </c>
      <c r="K3403" s="2">
        <f>Table1[[#This Row],[Salary_after]]-Table1[[#This Row],[Salary_before]]</f>
        <v>5523.3000000000029</v>
      </c>
      <c r="L3403" s="11">
        <v>9.4200000000000006E-2</v>
      </c>
      <c r="M3403" s="11">
        <v>8.8000000000000009E-2</v>
      </c>
      <c r="N3403">
        <v>45.26</v>
      </c>
      <c r="O3403">
        <v>28.98</v>
      </c>
      <c r="P3403">
        <v>3</v>
      </c>
      <c r="Q3403" t="s">
        <v>25</v>
      </c>
      <c r="R3403">
        <v>52.879999999999903</v>
      </c>
      <c r="S3403">
        <v>9.42</v>
      </c>
      <c r="T3403" s="4">
        <v>38.783000000000001</v>
      </c>
      <c r="U3403" s="4">
        <v>12.255642</v>
      </c>
      <c r="V3403" t="str">
        <f>IF(Table1[[#This Row],[ai_disruption_intensity]]&gt;70,"High",
IF(Table1[[#This Row],[ai_disruption_intensity]]&gt;40,"Medium","Low"))</f>
        <v>Low</v>
      </c>
      <c r="W3403" t="str">
        <f>IF(Table1[[#This Row],[skill_gap_index]]&gt;70,"Large Gap",
IF(Table1[[#This Row],[skill_gap_index]]&gt;40,"Medium Gap","Small Gap"))</f>
        <v>Medium Gap</v>
      </c>
      <c r="X3403" s="3" t="str">
        <f>IF(Table1[[#This Row],[automation_risk_percent]]&gt;0.7,"Highly Automatable",
IF(Table1[[#This Row],[automation_risk_percent]]&gt;0.4,"Moderate Risk","Safe Job"))</f>
        <v>Moderate Risk</v>
      </c>
    </row>
    <row r="3404" spans="1:24" x14ac:dyDescent="0.3">
      <c r="A3404">
        <v>11848</v>
      </c>
      <c r="B3404" t="s">
        <v>46</v>
      </c>
      <c r="C3404" t="s">
        <v>40</v>
      </c>
      <c r="D3404" t="s">
        <v>36</v>
      </c>
      <c r="E3404" s="1">
        <v>2026</v>
      </c>
      <c r="F3404" s="11">
        <v>0.40020000000000006</v>
      </c>
      <c r="G3404">
        <v>38.729999999999997</v>
      </c>
      <c r="H3404">
        <v>92.59</v>
      </c>
      <c r="I3404" s="2">
        <v>146675.91</v>
      </c>
      <c r="J3404" s="2">
        <v>148376.9</v>
      </c>
      <c r="K3404" s="2">
        <f>Table1[[#This Row],[Salary_after]]-Table1[[#This Row],[Salary_before]]</f>
        <v>1700.9899999999907</v>
      </c>
      <c r="L3404" s="11">
        <v>1.1599999999999999E-2</v>
      </c>
      <c r="M3404" s="11">
        <v>-4.4199999999999996E-2</v>
      </c>
      <c r="N3404">
        <v>57.78</v>
      </c>
      <c r="O3404">
        <v>86.87</v>
      </c>
      <c r="P3404">
        <v>5</v>
      </c>
      <c r="Q3404" t="s">
        <v>25</v>
      </c>
      <c r="R3404">
        <v>66.305000000000007</v>
      </c>
      <c r="S3404">
        <v>1.1599999999999999</v>
      </c>
      <c r="T3404" s="4">
        <v>44.133000000000003</v>
      </c>
      <c r="U3404" s="4">
        <v>34.765374000000001</v>
      </c>
      <c r="V3404" t="str">
        <f>IF(Table1[[#This Row],[ai_disruption_intensity]]&gt;70,"High",
IF(Table1[[#This Row],[ai_disruption_intensity]]&gt;40,"Medium","Low"))</f>
        <v>Low</v>
      </c>
      <c r="W3404" t="str">
        <f>IF(Table1[[#This Row],[skill_gap_index]]&gt;70,"Large Gap",
IF(Table1[[#This Row],[skill_gap_index]]&gt;40,"Medium Gap","Small Gap"))</f>
        <v>Large Gap</v>
      </c>
      <c r="X3404" s="3" t="str">
        <f>IF(Table1[[#This Row],[automation_risk_percent]]&gt;0.7,"Highly Automatable",
IF(Table1[[#This Row],[automation_risk_percent]]&gt;0.4,"Moderate Risk","Safe Job"))</f>
        <v>Moderate Risk</v>
      </c>
    </row>
    <row r="3405" spans="1:24" x14ac:dyDescent="0.3">
      <c r="A3405">
        <v>11849</v>
      </c>
      <c r="B3405" t="s">
        <v>41</v>
      </c>
      <c r="C3405" t="s">
        <v>38</v>
      </c>
      <c r="D3405" t="s">
        <v>24</v>
      </c>
      <c r="E3405" s="1">
        <v>2026</v>
      </c>
      <c r="F3405" s="11">
        <v>0.79540000000000011</v>
      </c>
      <c r="G3405">
        <v>72.760000000000005</v>
      </c>
      <c r="H3405">
        <v>52.2</v>
      </c>
      <c r="I3405" s="2">
        <v>75380.92</v>
      </c>
      <c r="J3405" s="2">
        <v>85257.89</v>
      </c>
      <c r="K3405" s="2">
        <f>Table1[[#This Row],[Salary_after]]-Table1[[#This Row],[Salary_before]]</f>
        <v>9876.9700000000012</v>
      </c>
      <c r="L3405" s="11">
        <v>0.13100000000000001</v>
      </c>
      <c r="M3405" s="11">
        <v>-3.3300000000000003E-2</v>
      </c>
      <c r="N3405">
        <v>63.95</v>
      </c>
      <c r="O3405">
        <v>19.89</v>
      </c>
      <c r="P3405">
        <v>5</v>
      </c>
      <c r="Q3405" t="s">
        <v>37</v>
      </c>
      <c r="R3405">
        <v>65.87</v>
      </c>
      <c r="S3405">
        <v>13.1</v>
      </c>
      <c r="T3405" s="4">
        <v>51.405999999999999</v>
      </c>
      <c r="U3405" s="4">
        <v>15.820506</v>
      </c>
      <c r="V3405" t="str">
        <f>IF(Table1[[#This Row],[ai_disruption_intensity]]&gt;70,"High",
IF(Table1[[#This Row],[ai_disruption_intensity]]&gt;40,"Medium","Low"))</f>
        <v>Low</v>
      </c>
      <c r="W3405" t="str">
        <f>IF(Table1[[#This Row],[skill_gap_index]]&gt;70,"Large Gap",
IF(Table1[[#This Row],[skill_gap_index]]&gt;40,"Medium Gap","Small Gap"))</f>
        <v>Medium Gap</v>
      </c>
      <c r="X3405" s="3" t="str">
        <f>IF(Table1[[#This Row],[automation_risk_percent]]&gt;0.7,"Highly Automatable",
IF(Table1[[#This Row],[automation_risk_percent]]&gt;0.4,"Moderate Risk","Safe Job"))</f>
        <v>Highly Automatable</v>
      </c>
    </row>
    <row r="3406" spans="1:24" x14ac:dyDescent="0.3">
      <c r="A3406">
        <v>11852</v>
      </c>
      <c r="B3406" t="s">
        <v>45</v>
      </c>
      <c r="C3406" t="s">
        <v>30</v>
      </c>
      <c r="D3406" t="s">
        <v>32</v>
      </c>
      <c r="E3406" s="1">
        <v>2026</v>
      </c>
      <c r="F3406" s="11">
        <v>0.51560000000000006</v>
      </c>
      <c r="G3406">
        <v>50.04</v>
      </c>
      <c r="H3406">
        <v>97.31</v>
      </c>
      <c r="I3406" s="2">
        <v>30091.25</v>
      </c>
      <c r="J3406" s="2">
        <v>33495.519999999997</v>
      </c>
      <c r="K3406" s="2">
        <f>Table1[[#This Row],[Salary_after]]-Table1[[#This Row],[Salary_before]]</f>
        <v>3404.2699999999968</v>
      </c>
      <c r="L3406" s="11">
        <v>0.11310000000000001</v>
      </c>
      <c r="M3406" s="11">
        <v>8.0000000000000004E-4</v>
      </c>
      <c r="N3406">
        <v>45.24</v>
      </c>
      <c r="O3406">
        <v>21.75</v>
      </c>
      <c r="P3406">
        <v>1</v>
      </c>
      <c r="Q3406" t="s">
        <v>25</v>
      </c>
      <c r="R3406">
        <v>74.435000000000002</v>
      </c>
      <c r="S3406">
        <v>11.31</v>
      </c>
      <c r="T3406" s="4">
        <v>53.21</v>
      </c>
      <c r="U3406" s="4">
        <v>11.2143</v>
      </c>
      <c r="V3406" t="str">
        <f>IF(Table1[[#This Row],[ai_disruption_intensity]]&gt;70,"High",
IF(Table1[[#This Row],[ai_disruption_intensity]]&gt;40,"Medium","Low"))</f>
        <v>Low</v>
      </c>
      <c r="W3406" t="str">
        <f>IF(Table1[[#This Row],[skill_gap_index]]&gt;70,"Large Gap",
IF(Table1[[#This Row],[skill_gap_index]]&gt;40,"Medium Gap","Small Gap"))</f>
        <v>Large Gap</v>
      </c>
      <c r="X3406" s="3" t="str">
        <f>IF(Table1[[#This Row],[automation_risk_percent]]&gt;0.7,"Highly Automatable",
IF(Table1[[#This Row],[automation_risk_percent]]&gt;0.4,"Moderate Risk","Safe Job"))</f>
        <v>Moderate Risk</v>
      </c>
    </row>
    <row r="3407" spans="1:24" x14ac:dyDescent="0.3">
      <c r="A3407">
        <v>11855</v>
      </c>
      <c r="B3407" t="s">
        <v>39</v>
      </c>
      <c r="C3407" t="s">
        <v>34</v>
      </c>
      <c r="D3407" t="s">
        <v>32</v>
      </c>
      <c r="E3407" s="1">
        <v>2026</v>
      </c>
      <c r="F3407" s="11">
        <v>0.25600000000000001</v>
      </c>
      <c r="G3407">
        <v>28.68</v>
      </c>
      <c r="H3407">
        <v>31.92</v>
      </c>
      <c r="I3407" s="2">
        <v>109883.37</v>
      </c>
      <c r="J3407" s="2">
        <v>111477.51</v>
      </c>
      <c r="K3407" s="2">
        <f>Table1[[#This Row],[Salary_after]]-Table1[[#This Row],[Salary_before]]</f>
        <v>1594.1399999999994</v>
      </c>
      <c r="L3407" s="11">
        <v>1.4499999999999999E-2</v>
      </c>
      <c r="M3407" s="11">
        <v>7.9600000000000004E-2</v>
      </c>
      <c r="N3407">
        <v>16.23</v>
      </c>
      <c r="O3407">
        <v>37.64</v>
      </c>
      <c r="P3407">
        <v>2</v>
      </c>
      <c r="Q3407" t="s">
        <v>21</v>
      </c>
      <c r="R3407">
        <v>28.76</v>
      </c>
      <c r="S3407">
        <v>1.45</v>
      </c>
      <c r="T3407" s="4">
        <v>20.251000000000001</v>
      </c>
      <c r="U3407" s="4">
        <v>9.63584</v>
      </c>
      <c r="V3407" t="str">
        <f>IF(Table1[[#This Row],[ai_disruption_intensity]]&gt;70,"High",
IF(Table1[[#This Row],[ai_disruption_intensity]]&gt;40,"Medium","Low"))</f>
        <v>Low</v>
      </c>
      <c r="W3407" t="str">
        <f>IF(Table1[[#This Row],[skill_gap_index]]&gt;70,"Large Gap",
IF(Table1[[#This Row],[skill_gap_index]]&gt;40,"Medium Gap","Small Gap"))</f>
        <v>Small Gap</v>
      </c>
      <c r="X3407" s="3" t="str">
        <f>IF(Table1[[#This Row],[automation_risk_percent]]&gt;0.7,"Highly Automatable",
IF(Table1[[#This Row],[automation_risk_percent]]&gt;0.4,"Moderate Risk","Safe Job"))</f>
        <v>Safe Job</v>
      </c>
    </row>
    <row r="3408" spans="1:24" x14ac:dyDescent="0.3">
      <c r="A3408">
        <v>11865</v>
      </c>
      <c r="B3408" t="s">
        <v>29</v>
      </c>
      <c r="C3408" t="s">
        <v>38</v>
      </c>
      <c r="D3408" t="s">
        <v>31</v>
      </c>
      <c r="E3408" s="1">
        <v>2025</v>
      </c>
      <c r="F3408" s="11">
        <v>0.4133</v>
      </c>
      <c r="G3408">
        <v>37.22</v>
      </c>
      <c r="H3408">
        <v>79.13</v>
      </c>
      <c r="I3408" s="2">
        <v>146846.04999999999</v>
      </c>
      <c r="J3408" s="2">
        <v>151458.17000000001</v>
      </c>
      <c r="K3408" s="2">
        <f>Table1[[#This Row],[Salary_after]]-Table1[[#This Row],[Salary_before]]</f>
        <v>4612.1200000000244</v>
      </c>
      <c r="L3408" s="11">
        <v>3.1400000000000004E-2</v>
      </c>
      <c r="M3408" s="11">
        <v>-4.1599999999999998E-2</v>
      </c>
      <c r="N3408">
        <v>70.849999999999994</v>
      </c>
      <c r="O3408">
        <v>44.93</v>
      </c>
      <c r="P3408">
        <v>1</v>
      </c>
      <c r="Q3408" t="s">
        <v>25</v>
      </c>
      <c r="R3408">
        <v>60.23</v>
      </c>
      <c r="S3408">
        <v>3.14</v>
      </c>
      <c r="T3408" s="4">
        <v>41.213000000000001</v>
      </c>
      <c r="U3408" s="4">
        <v>18.569568999999898</v>
      </c>
      <c r="V3408" t="str">
        <f>IF(Table1[[#This Row],[ai_disruption_intensity]]&gt;70,"High",
IF(Table1[[#This Row],[ai_disruption_intensity]]&gt;40,"Medium","Low"))</f>
        <v>Low</v>
      </c>
      <c r="W3408" t="str">
        <f>IF(Table1[[#This Row],[skill_gap_index]]&gt;70,"Large Gap",
IF(Table1[[#This Row],[skill_gap_index]]&gt;40,"Medium Gap","Small Gap"))</f>
        <v>Large Gap</v>
      </c>
      <c r="X3408" s="3" t="str">
        <f>IF(Table1[[#This Row],[automation_risk_percent]]&gt;0.7,"Highly Automatable",
IF(Table1[[#This Row],[automation_risk_percent]]&gt;0.4,"Moderate Risk","Safe Job"))</f>
        <v>Moderate Risk</v>
      </c>
    </row>
    <row r="3409" spans="1:24" x14ac:dyDescent="0.3">
      <c r="A3409">
        <v>11867</v>
      </c>
      <c r="B3409" t="s">
        <v>26</v>
      </c>
      <c r="C3409" t="s">
        <v>30</v>
      </c>
      <c r="D3409" t="s">
        <v>42</v>
      </c>
      <c r="E3409" s="1">
        <v>2026</v>
      </c>
      <c r="F3409" s="11">
        <v>6.2400000000000004E-2</v>
      </c>
      <c r="G3409">
        <v>5.12</v>
      </c>
      <c r="H3409">
        <v>67.5</v>
      </c>
      <c r="I3409" s="2">
        <v>35720.58</v>
      </c>
      <c r="J3409" s="2">
        <v>35082.29</v>
      </c>
      <c r="K3409" s="2">
        <f>Table1[[#This Row],[Salary_after]]-Table1[[#This Row],[Salary_before]]</f>
        <v>-638.29000000000087</v>
      </c>
      <c r="L3409" s="11">
        <v>-1.7899999999999999E-2</v>
      </c>
      <c r="M3409" s="11">
        <v>-4.1100000000000005E-2</v>
      </c>
      <c r="N3409">
        <v>26.4</v>
      </c>
      <c r="O3409">
        <v>89.88</v>
      </c>
      <c r="P3409">
        <v>2</v>
      </c>
      <c r="Q3409" t="s">
        <v>21</v>
      </c>
      <c r="R3409">
        <v>36.869999999999997</v>
      </c>
      <c r="S3409">
        <v>1.79</v>
      </c>
      <c r="T3409" s="4">
        <v>23.283000000000001</v>
      </c>
      <c r="U3409" s="4">
        <v>5.6085119999999904</v>
      </c>
      <c r="V3409" t="str">
        <f>IF(Table1[[#This Row],[ai_disruption_intensity]]&gt;70,"High",
IF(Table1[[#This Row],[ai_disruption_intensity]]&gt;40,"Medium","Low"))</f>
        <v>Low</v>
      </c>
      <c r="W3409" t="str">
        <f>IF(Table1[[#This Row],[skill_gap_index]]&gt;70,"Large Gap",
IF(Table1[[#This Row],[skill_gap_index]]&gt;40,"Medium Gap","Small Gap"))</f>
        <v>Medium Gap</v>
      </c>
      <c r="X3409" s="3" t="str">
        <f>IF(Table1[[#This Row],[automation_risk_percent]]&gt;0.7,"Highly Automatable",
IF(Table1[[#This Row],[automation_risk_percent]]&gt;0.4,"Moderate Risk","Safe Job"))</f>
        <v>Safe Job</v>
      </c>
    </row>
    <row r="3410" spans="1:24" x14ac:dyDescent="0.3">
      <c r="A3410">
        <v>11868</v>
      </c>
      <c r="B3410" t="s">
        <v>46</v>
      </c>
      <c r="C3410" t="s">
        <v>38</v>
      </c>
      <c r="D3410" t="s">
        <v>24</v>
      </c>
      <c r="E3410" s="1">
        <v>2026</v>
      </c>
      <c r="F3410" s="11">
        <v>0.2321</v>
      </c>
      <c r="G3410">
        <v>23.93</v>
      </c>
      <c r="H3410">
        <v>0.98</v>
      </c>
      <c r="I3410" s="2">
        <v>91611.11</v>
      </c>
      <c r="J3410" s="2">
        <v>82118.600000000006</v>
      </c>
      <c r="K3410" s="2">
        <f>Table1[[#This Row],[Salary_after]]-Table1[[#This Row],[Salary_before]]</f>
        <v>-9492.5099999999948</v>
      </c>
      <c r="L3410" s="11">
        <v>-0.1036</v>
      </c>
      <c r="M3410" s="11">
        <v>0.11230000000000001</v>
      </c>
      <c r="N3410">
        <v>42.67</v>
      </c>
      <c r="O3410">
        <v>15.69</v>
      </c>
      <c r="P3410">
        <v>5</v>
      </c>
      <c r="Q3410" t="s">
        <v>21</v>
      </c>
      <c r="R3410">
        <v>12.095000000000001</v>
      </c>
      <c r="S3410">
        <v>10.36</v>
      </c>
      <c r="T3410" s="4">
        <v>12.686</v>
      </c>
      <c r="U3410" s="4">
        <v>3.6416489999999899</v>
      </c>
      <c r="V3410" t="str">
        <f>IF(Table1[[#This Row],[ai_disruption_intensity]]&gt;70,"High",
IF(Table1[[#This Row],[ai_disruption_intensity]]&gt;40,"Medium","Low"))</f>
        <v>Low</v>
      </c>
      <c r="W3410" t="str">
        <f>IF(Table1[[#This Row],[skill_gap_index]]&gt;70,"Large Gap",
IF(Table1[[#This Row],[skill_gap_index]]&gt;40,"Medium Gap","Small Gap"))</f>
        <v>Small Gap</v>
      </c>
      <c r="X3410" s="3" t="str">
        <f>IF(Table1[[#This Row],[automation_risk_percent]]&gt;0.7,"Highly Automatable",
IF(Table1[[#This Row],[automation_risk_percent]]&gt;0.4,"Moderate Risk","Safe Job"))</f>
        <v>Safe Job</v>
      </c>
    </row>
    <row r="3411" spans="1:24" x14ac:dyDescent="0.3">
      <c r="A3411">
        <v>11879</v>
      </c>
      <c r="B3411" t="s">
        <v>46</v>
      </c>
      <c r="C3411" t="s">
        <v>34</v>
      </c>
      <c r="D3411" t="s">
        <v>28</v>
      </c>
      <c r="E3411" s="1">
        <v>2026</v>
      </c>
      <c r="F3411" s="11">
        <v>0.24030000000000001</v>
      </c>
      <c r="G3411">
        <v>24.15</v>
      </c>
      <c r="H3411">
        <v>85.68</v>
      </c>
      <c r="I3411" s="2">
        <v>110628.01</v>
      </c>
      <c r="J3411" s="2">
        <v>117486.47</v>
      </c>
      <c r="K3411" s="2">
        <f>Table1[[#This Row],[Salary_after]]-Table1[[#This Row],[Salary_before]]</f>
        <v>6858.4600000000064</v>
      </c>
      <c r="L3411" s="11">
        <v>6.2E-2</v>
      </c>
      <c r="M3411" s="11">
        <v>-1.11E-2</v>
      </c>
      <c r="N3411">
        <v>59.34</v>
      </c>
      <c r="O3411">
        <v>34.97</v>
      </c>
      <c r="P3411">
        <v>4</v>
      </c>
      <c r="Q3411" t="s">
        <v>21</v>
      </c>
      <c r="R3411">
        <v>54.854999999999997</v>
      </c>
      <c r="S3411">
        <v>6.2</v>
      </c>
      <c r="T3411" s="4">
        <v>37.176000000000002</v>
      </c>
      <c r="U3411" s="4">
        <v>8.4032909999999994</v>
      </c>
      <c r="V3411" t="str">
        <f>IF(Table1[[#This Row],[ai_disruption_intensity]]&gt;70,"High",
IF(Table1[[#This Row],[ai_disruption_intensity]]&gt;40,"Medium","Low"))</f>
        <v>Low</v>
      </c>
      <c r="W3411" t="str">
        <f>IF(Table1[[#This Row],[skill_gap_index]]&gt;70,"Large Gap",
IF(Table1[[#This Row],[skill_gap_index]]&gt;40,"Medium Gap","Small Gap"))</f>
        <v>Large Gap</v>
      </c>
      <c r="X3411" s="3" t="str">
        <f>IF(Table1[[#This Row],[automation_risk_percent]]&gt;0.7,"Highly Automatable",
IF(Table1[[#This Row],[automation_risk_percent]]&gt;0.4,"Moderate Risk","Safe Job"))</f>
        <v>Safe Job</v>
      </c>
    </row>
    <row r="3412" spans="1:24" x14ac:dyDescent="0.3">
      <c r="A3412">
        <v>11881</v>
      </c>
      <c r="B3412" t="s">
        <v>44</v>
      </c>
      <c r="C3412" t="s">
        <v>40</v>
      </c>
      <c r="D3412" t="s">
        <v>20</v>
      </c>
      <c r="E3412" s="1">
        <v>2025</v>
      </c>
      <c r="F3412" s="11">
        <v>0.25019999999999998</v>
      </c>
      <c r="G3412">
        <v>23.23</v>
      </c>
      <c r="H3412">
        <v>74.73</v>
      </c>
      <c r="I3412" s="2">
        <v>136038.82</v>
      </c>
      <c r="J3412" s="2">
        <v>113492.27</v>
      </c>
      <c r="K3412" s="2">
        <f>Table1[[#This Row],[Salary_after]]-Table1[[#This Row],[Salary_before]]</f>
        <v>-22546.550000000003</v>
      </c>
      <c r="L3412" s="11">
        <v>-0.16570000000000001</v>
      </c>
      <c r="M3412" s="11">
        <v>5.5300000000000002E-2</v>
      </c>
      <c r="N3412">
        <v>69.91</v>
      </c>
      <c r="O3412">
        <v>63.94</v>
      </c>
      <c r="P3412">
        <v>3</v>
      </c>
      <c r="Q3412" t="s">
        <v>21</v>
      </c>
      <c r="R3412">
        <v>49.875</v>
      </c>
      <c r="S3412">
        <v>16.57</v>
      </c>
      <c r="T3412" s="4">
        <v>37.397999999999897</v>
      </c>
      <c r="U3412" s="4">
        <v>15.9977879999999</v>
      </c>
      <c r="V3412" t="str">
        <f>IF(Table1[[#This Row],[ai_disruption_intensity]]&gt;70,"High",
IF(Table1[[#This Row],[ai_disruption_intensity]]&gt;40,"Medium","Low"))</f>
        <v>Low</v>
      </c>
      <c r="W3412" t="str">
        <f>IF(Table1[[#This Row],[skill_gap_index]]&gt;70,"Large Gap",
IF(Table1[[#This Row],[skill_gap_index]]&gt;40,"Medium Gap","Small Gap"))</f>
        <v>Large Gap</v>
      </c>
      <c r="X3412" s="3" t="str">
        <f>IF(Table1[[#This Row],[automation_risk_percent]]&gt;0.7,"Highly Automatable",
IF(Table1[[#This Row],[automation_risk_percent]]&gt;0.4,"Moderate Risk","Safe Job"))</f>
        <v>Safe Job</v>
      </c>
    </row>
    <row r="3413" spans="1:24" x14ac:dyDescent="0.3">
      <c r="A3413">
        <v>11884</v>
      </c>
      <c r="B3413" t="s">
        <v>29</v>
      </c>
      <c r="C3413" t="s">
        <v>33</v>
      </c>
      <c r="D3413" t="s">
        <v>20</v>
      </c>
      <c r="E3413" s="1">
        <v>2026</v>
      </c>
      <c r="F3413" s="11">
        <v>0.52369999999999994</v>
      </c>
      <c r="G3413">
        <v>58.75</v>
      </c>
      <c r="H3413">
        <v>78.27</v>
      </c>
      <c r="I3413" s="2">
        <v>146839.96</v>
      </c>
      <c r="J3413" s="2">
        <v>120925.02</v>
      </c>
      <c r="K3413" s="2">
        <f>Table1[[#This Row],[Salary_after]]-Table1[[#This Row],[Salary_before]]</f>
        <v>-25914.939999999988</v>
      </c>
      <c r="L3413" s="11">
        <v>-0.17649999999999999</v>
      </c>
      <c r="M3413" s="11">
        <v>0.14429999999999998</v>
      </c>
      <c r="N3413">
        <v>57.02</v>
      </c>
      <c r="O3413">
        <v>77.12</v>
      </c>
      <c r="P3413">
        <v>3</v>
      </c>
      <c r="Q3413" t="s">
        <v>25</v>
      </c>
      <c r="R3413">
        <v>65.319999999999993</v>
      </c>
      <c r="S3413">
        <v>17.649999999999999</v>
      </c>
      <c r="T3413" s="4">
        <v>49.723999999999997</v>
      </c>
      <c r="U3413" s="4">
        <v>40.387743999999998</v>
      </c>
      <c r="V3413" t="str">
        <f>IF(Table1[[#This Row],[ai_disruption_intensity]]&gt;70,"High",
IF(Table1[[#This Row],[ai_disruption_intensity]]&gt;40,"Medium","Low"))</f>
        <v>Medium</v>
      </c>
      <c r="W3413" t="str">
        <f>IF(Table1[[#This Row],[skill_gap_index]]&gt;70,"Large Gap",
IF(Table1[[#This Row],[skill_gap_index]]&gt;40,"Medium Gap","Small Gap"))</f>
        <v>Large Gap</v>
      </c>
      <c r="X3413" s="3" t="str">
        <f>IF(Table1[[#This Row],[automation_risk_percent]]&gt;0.7,"Highly Automatable",
IF(Table1[[#This Row],[automation_risk_percent]]&gt;0.4,"Moderate Risk","Safe Job"))</f>
        <v>Moderate Risk</v>
      </c>
    </row>
    <row r="3414" spans="1:24" x14ac:dyDescent="0.3">
      <c r="A3414">
        <v>11886</v>
      </c>
      <c r="B3414" t="s">
        <v>26</v>
      </c>
      <c r="C3414" t="s">
        <v>23</v>
      </c>
      <c r="D3414" t="s">
        <v>20</v>
      </c>
      <c r="E3414" s="1">
        <v>2026</v>
      </c>
      <c r="F3414" s="11">
        <v>0.35149999999999998</v>
      </c>
      <c r="G3414">
        <v>34.56</v>
      </c>
      <c r="H3414">
        <v>60.26</v>
      </c>
      <c r="I3414" s="2">
        <v>55644.19</v>
      </c>
      <c r="J3414" s="2">
        <v>61528.52</v>
      </c>
      <c r="K3414" s="2">
        <f>Table1[[#This Row],[Salary_after]]-Table1[[#This Row],[Salary_before]]</f>
        <v>5884.3299999999945</v>
      </c>
      <c r="L3414" s="11">
        <v>0.1057</v>
      </c>
      <c r="M3414" s="11">
        <v>0.106</v>
      </c>
      <c r="N3414">
        <v>39.01</v>
      </c>
      <c r="O3414">
        <v>25.55</v>
      </c>
      <c r="P3414">
        <v>1</v>
      </c>
      <c r="Q3414" t="s">
        <v>25</v>
      </c>
      <c r="R3414">
        <v>47.704999999999998</v>
      </c>
      <c r="S3414">
        <v>10.57</v>
      </c>
      <c r="T3414" s="4">
        <v>35.308999999999997</v>
      </c>
      <c r="U3414" s="4">
        <v>8.9808249999999994</v>
      </c>
      <c r="V3414" t="str">
        <f>IF(Table1[[#This Row],[ai_disruption_intensity]]&gt;70,"High",
IF(Table1[[#This Row],[ai_disruption_intensity]]&gt;40,"Medium","Low"))</f>
        <v>Low</v>
      </c>
      <c r="W3414" t="str">
        <f>IF(Table1[[#This Row],[skill_gap_index]]&gt;70,"Large Gap",
IF(Table1[[#This Row],[skill_gap_index]]&gt;40,"Medium Gap","Small Gap"))</f>
        <v>Medium Gap</v>
      </c>
      <c r="X3414" s="3" t="str">
        <f>IF(Table1[[#This Row],[automation_risk_percent]]&gt;0.7,"Highly Automatable",
IF(Table1[[#This Row],[automation_risk_percent]]&gt;0.4,"Moderate Risk","Safe Job"))</f>
        <v>Safe Job</v>
      </c>
    </row>
    <row r="3415" spans="1:24" x14ac:dyDescent="0.3">
      <c r="A3415">
        <v>11890</v>
      </c>
      <c r="B3415" t="s">
        <v>45</v>
      </c>
      <c r="C3415" t="s">
        <v>23</v>
      </c>
      <c r="D3415" t="s">
        <v>47</v>
      </c>
      <c r="E3415" s="1">
        <v>2025</v>
      </c>
      <c r="F3415" s="11">
        <v>0.45829999999999999</v>
      </c>
      <c r="G3415">
        <v>52.42</v>
      </c>
      <c r="H3415">
        <v>73.66</v>
      </c>
      <c r="I3415" s="2">
        <v>72065.820000000007</v>
      </c>
      <c r="J3415" s="2">
        <v>72010.320000000007</v>
      </c>
      <c r="K3415" s="2">
        <f>Table1[[#This Row],[Salary_after]]-Table1[[#This Row],[Salary_before]]</f>
        <v>-55.5</v>
      </c>
      <c r="L3415" s="11">
        <v>-8.0000000000000004E-4</v>
      </c>
      <c r="M3415" s="11">
        <v>5.0099999999999999E-2</v>
      </c>
      <c r="N3415">
        <v>14.26</v>
      </c>
      <c r="O3415">
        <v>11.34</v>
      </c>
      <c r="P3415">
        <v>4</v>
      </c>
      <c r="Q3415" t="s">
        <v>25</v>
      </c>
      <c r="R3415">
        <v>59.744999999999997</v>
      </c>
      <c r="S3415">
        <v>0.08</v>
      </c>
      <c r="T3415" s="4">
        <v>40.454000000000001</v>
      </c>
      <c r="U3415" s="4">
        <v>5.1971219999999896</v>
      </c>
      <c r="V3415" t="str">
        <f>IF(Table1[[#This Row],[ai_disruption_intensity]]&gt;70,"High",
IF(Table1[[#This Row],[ai_disruption_intensity]]&gt;40,"Medium","Low"))</f>
        <v>Low</v>
      </c>
      <c r="W3415" t="str">
        <f>IF(Table1[[#This Row],[skill_gap_index]]&gt;70,"Large Gap",
IF(Table1[[#This Row],[skill_gap_index]]&gt;40,"Medium Gap","Small Gap"))</f>
        <v>Large Gap</v>
      </c>
      <c r="X3415" s="3" t="str">
        <f>IF(Table1[[#This Row],[automation_risk_percent]]&gt;0.7,"Highly Automatable",
IF(Table1[[#This Row],[automation_risk_percent]]&gt;0.4,"Moderate Risk","Safe Job"))</f>
        <v>Moderate Risk</v>
      </c>
    </row>
    <row r="3416" spans="1:24" x14ac:dyDescent="0.3">
      <c r="A3416">
        <v>11894</v>
      </c>
      <c r="B3416" t="s">
        <v>41</v>
      </c>
      <c r="C3416" t="s">
        <v>27</v>
      </c>
      <c r="D3416" t="s">
        <v>20</v>
      </c>
      <c r="E3416" s="1">
        <v>2025</v>
      </c>
      <c r="F3416" s="11">
        <v>0.90239999999999998</v>
      </c>
      <c r="G3416">
        <v>96.14</v>
      </c>
      <c r="H3416">
        <v>20.85</v>
      </c>
      <c r="I3416" s="2">
        <v>97020.49</v>
      </c>
      <c r="J3416" s="2">
        <v>104448.03</v>
      </c>
      <c r="K3416" s="2">
        <f>Table1[[#This Row],[Salary_after]]-Table1[[#This Row],[Salary_before]]</f>
        <v>7427.5399999999936</v>
      </c>
      <c r="L3416" s="11">
        <v>7.6600000000000001E-2</v>
      </c>
      <c r="M3416" s="11">
        <v>0.1678</v>
      </c>
      <c r="N3416">
        <v>17.5</v>
      </c>
      <c r="O3416">
        <v>23.7</v>
      </c>
      <c r="P3416">
        <v>2</v>
      </c>
      <c r="Q3416" t="s">
        <v>37</v>
      </c>
      <c r="R3416">
        <v>55.545000000000002</v>
      </c>
      <c r="S3416">
        <v>7.66</v>
      </c>
      <c r="T3416" s="4">
        <v>44.649000000000001</v>
      </c>
      <c r="U3416" s="4">
        <v>21.386879999999898</v>
      </c>
      <c r="V3416" t="str">
        <f>IF(Table1[[#This Row],[ai_disruption_intensity]]&gt;70,"High",
IF(Table1[[#This Row],[ai_disruption_intensity]]&gt;40,"Medium","Low"))</f>
        <v>Low</v>
      </c>
      <c r="W3416" t="str">
        <f>IF(Table1[[#This Row],[skill_gap_index]]&gt;70,"Large Gap",
IF(Table1[[#This Row],[skill_gap_index]]&gt;40,"Medium Gap","Small Gap"))</f>
        <v>Small Gap</v>
      </c>
      <c r="X3416" s="3" t="str">
        <f>IF(Table1[[#This Row],[automation_risk_percent]]&gt;0.7,"Highly Automatable",
IF(Table1[[#This Row],[automation_risk_percent]]&gt;0.4,"Moderate Risk","Safe Job"))</f>
        <v>Highly Automatable</v>
      </c>
    </row>
    <row r="3417" spans="1:24" x14ac:dyDescent="0.3">
      <c r="A3417">
        <v>11895</v>
      </c>
      <c r="B3417" t="s">
        <v>39</v>
      </c>
      <c r="C3417" t="s">
        <v>27</v>
      </c>
      <c r="D3417" t="s">
        <v>31</v>
      </c>
      <c r="E3417" s="1">
        <v>2025</v>
      </c>
      <c r="F3417" s="11">
        <v>0.58150000000000002</v>
      </c>
      <c r="G3417">
        <v>58.8</v>
      </c>
      <c r="H3417">
        <v>3.09</v>
      </c>
      <c r="I3417" s="2">
        <v>118602.47</v>
      </c>
      <c r="J3417" s="2">
        <v>115227.3</v>
      </c>
      <c r="K3417" s="2">
        <f>Table1[[#This Row],[Salary_after]]-Table1[[#This Row],[Salary_before]]</f>
        <v>-3375.1699999999983</v>
      </c>
      <c r="L3417" s="11">
        <v>-2.8500000000000001E-2</v>
      </c>
      <c r="M3417" s="11">
        <v>0.11220000000000001</v>
      </c>
      <c r="N3417">
        <v>13.09</v>
      </c>
      <c r="O3417">
        <v>1.74</v>
      </c>
      <c r="P3417">
        <v>5</v>
      </c>
      <c r="Q3417" t="s">
        <v>25</v>
      </c>
      <c r="R3417">
        <v>30.619999999999902</v>
      </c>
      <c r="S3417">
        <v>2.85</v>
      </c>
      <c r="T3417" s="4">
        <v>25.042000000000002</v>
      </c>
      <c r="U3417" s="4">
        <v>1.0118099999999901</v>
      </c>
      <c r="V3417" t="str">
        <f>IF(Table1[[#This Row],[ai_disruption_intensity]]&gt;70,"High",
IF(Table1[[#This Row],[ai_disruption_intensity]]&gt;40,"Medium","Low"))</f>
        <v>Low</v>
      </c>
      <c r="W3417" t="str">
        <f>IF(Table1[[#This Row],[skill_gap_index]]&gt;70,"Large Gap",
IF(Table1[[#This Row],[skill_gap_index]]&gt;40,"Medium Gap","Small Gap"))</f>
        <v>Small Gap</v>
      </c>
      <c r="X3417" s="3" t="str">
        <f>IF(Table1[[#This Row],[automation_risk_percent]]&gt;0.7,"Highly Automatable",
IF(Table1[[#This Row],[automation_risk_percent]]&gt;0.4,"Moderate Risk","Safe Job"))</f>
        <v>Moderate Risk</v>
      </c>
    </row>
    <row r="3418" spans="1:24" x14ac:dyDescent="0.3">
      <c r="A3418">
        <v>11898</v>
      </c>
      <c r="B3418" t="s">
        <v>22</v>
      </c>
      <c r="C3418" t="s">
        <v>27</v>
      </c>
      <c r="D3418" t="s">
        <v>35</v>
      </c>
      <c r="E3418" s="1">
        <v>2025</v>
      </c>
      <c r="F3418" s="11">
        <v>0.316</v>
      </c>
      <c r="G3418">
        <v>31.78</v>
      </c>
      <c r="H3418">
        <v>17.440000000000001</v>
      </c>
      <c r="I3418" s="2">
        <v>143283.84</v>
      </c>
      <c r="J3418" s="2">
        <v>139982.26999999999</v>
      </c>
      <c r="K3418" s="2">
        <f>Table1[[#This Row],[Salary_after]]-Table1[[#This Row],[Salary_before]]</f>
        <v>-3301.570000000007</v>
      </c>
      <c r="L3418" s="11">
        <v>-2.3E-2</v>
      </c>
      <c r="M3418" s="11">
        <v>7.0999999999999994E-2</v>
      </c>
      <c r="N3418">
        <v>70.38</v>
      </c>
      <c r="O3418">
        <v>41.02</v>
      </c>
      <c r="P3418">
        <v>2</v>
      </c>
      <c r="Q3418" t="s">
        <v>25</v>
      </c>
      <c r="R3418">
        <v>24.52</v>
      </c>
      <c r="S3418">
        <v>2.2999999999999998</v>
      </c>
      <c r="T3418" s="4">
        <v>18.562000000000001</v>
      </c>
      <c r="U3418" s="4">
        <v>12.96232</v>
      </c>
      <c r="V3418" t="str">
        <f>IF(Table1[[#This Row],[ai_disruption_intensity]]&gt;70,"High",
IF(Table1[[#This Row],[ai_disruption_intensity]]&gt;40,"Medium","Low"))</f>
        <v>Low</v>
      </c>
      <c r="W3418" t="str">
        <f>IF(Table1[[#This Row],[skill_gap_index]]&gt;70,"Large Gap",
IF(Table1[[#This Row],[skill_gap_index]]&gt;40,"Medium Gap","Small Gap"))</f>
        <v>Small Gap</v>
      </c>
      <c r="X3418" s="3" t="str">
        <f>IF(Table1[[#This Row],[automation_risk_percent]]&gt;0.7,"Highly Automatable",
IF(Table1[[#This Row],[automation_risk_percent]]&gt;0.4,"Moderate Risk","Safe Job"))</f>
        <v>Safe Job</v>
      </c>
    </row>
    <row r="3419" spans="1:24" x14ac:dyDescent="0.3">
      <c r="A3419">
        <v>11900</v>
      </c>
      <c r="B3419" t="s">
        <v>46</v>
      </c>
      <c r="C3419" t="s">
        <v>27</v>
      </c>
      <c r="D3419" t="s">
        <v>36</v>
      </c>
      <c r="E3419" s="1">
        <v>2025</v>
      </c>
      <c r="F3419" s="11">
        <v>0.30829999999999996</v>
      </c>
      <c r="G3419">
        <v>28.32</v>
      </c>
      <c r="H3419">
        <v>8.1199999999999992</v>
      </c>
      <c r="I3419" s="2">
        <v>53091.37</v>
      </c>
      <c r="J3419" s="2">
        <v>61874.39</v>
      </c>
      <c r="K3419" s="2">
        <f>Table1[[#This Row],[Salary_after]]-Table1[[#This Row],[Salary_before]]</f>
        <v>8783.0199999999968</v>
      </c>
      <c r="L3419" s="11">
        <v>0.16539999999999999</v>
      </c>
      <c r="M3419" s="11">
        <v>9.8000000000000004E-2</v>
      </c>
      <c r="N3419">
        <v>13.31</v>
      </c>
      <c r="O3419">
        <v>37.92</v>
      </c>
      <c r="P3419">
        <v>4</v>
      </c>
      <c r="Q3419" t="s">
        <v>25</v>
      </c>
      <c r="R3419">
        <v>19.474999999999898</v>
      </c>
      <c r="S3419">
        <v>16.54</v>
      </c>
      <c r="T3419" s="4">
        <v>19.73</v>
      </c>
      <c r="U3419" s="4">
        <v>11.690735999999999</v>
      </c>
      <c r="V3419" t="str">
        <f>IF(Table1[[#This Row],[ai_disruption_intensity]]&gt;70,"High",
IF(Table1[[#This Row],[ai_disruption_intensity]]&gt;40,"Medium","Low"))</f>
        <v>Low</v>
      </c>
      <c r="W3419" t="str">
        <f>IF(Table1[[#This Row],[skill_gap_index]]&gt;70,"Large Gap",
IF(Table1[[#This Row],[skill_gap_index]]&gt;40,"Medium Gap","Small Gap"))</f>
        <v>Small Gap</v>
      </c>
      <c r="X3419" s="3" t="str">
        <f>IF(Table1[[#This Row],[automation_risk_percent]]&gt;0.7,"Highly Automatable",
IF(Table1[[#This Row],[automation_risk_percent]]&gt;0.4,"Moderate Risk","Safe Job"))</f>
        <v>Safe Job</v>
      </c>
    </row>
    <row r="3420" spans="1:24" x14ac:dyDescent="0.3">
      <c r="A3420">
        <v>11902</v>
      </c>
      <c r="B3420" t="s">
        <v>45</v>
      </c>
      <c r="C3420" t="s">
        <v>30</v>
      </c>
      <c r="D3420" t="s">
        <v>24</v>
      </c>
      <c r="E3420" s="1">
        <v>2026</v>
      </c>
      <c r="F3420" s="11">
        <v>0.2167</v>
      </c>
      <c r="G3420">
        <v>19.02</v>
      </c>
      <c r="H3420">
        <v>10.93</v>
      </c>
      <c r="I3420" s="2">
        <v>89842.26</v>
      </c>
      <c r="J3420" s="2">
        <v>95807.8</v>
      </c>
      <c r="K3420" s="2">
        <f>Table1[[#This Row],[Salary_after]]-Table1[[#This Row],[Salary_before]]</f>
        <v>5965.5400000000081</v>
      </c>
      <c r="L3420" s="11">
        <v>6.6400000000000001E-2</v>
      </c>
      <c r="M3420" s="11">
        <v>2.0400000000000001E-2</v>
      </c>
      <c r="N3420">
        <v>13.3</v>
      </c>
      <c r="O3420">
        <v>32.409999999999997</v>
      </c>
      <c r="P3420">
        <v>2</v>
      </c>
      <c r="Q3420" t="s">
        <v>21</v>
      </c>
      <c r="R3420">
        <v>16.3</v>
      </c>
      <c r="S3420">
        <v>6.64</v>
      </c>
      <c r="T3420" s="4">
        <v>13.939</v>
      </c>
      <c r="U3420" s="4">
        <v>7.0232469999999996</v>
      </c>
      <c r="V3420" t="str">
        <f>IF(Table1[[#This Row],[ai_disruption_intensity]]&gt;70,"High",
IF(Table1[[#This Row],[ai_disruption_intensity]]&gt;40,"Medium","Low"))</f>
        <v>Low</v>
      </c>
      <c r="W3420" t="str">
        <f>IF(Table1[[#This Row],[skill_gap_index]]&gt;70,"Large Gap",
IF(Table1[[#This Row],[skill_gap_index]]&gt;40,"Medium Gap","Small Gap"))</f>
        <v>Small Gap</v>
      </c>
      <c r="X3420" s="3" t="str">
        <f>IF(Table1[[#This Row],[automation_risk_percent]]&gt;0.7,"Highly Automatable",
IF(Table1[[#This Row],[automation_risk_percent]]&gt;0.4,"Moderate Risk","Safe Job"))</f>
        <v>Safe Job</v>
      </c>
    </row>
    <row r="3421" spans="1:24" x14ac:dyDescent="0.3">
      <c r="A3421">
        <v>11906</v>
      </c>
      <c r="B3421" t="s">
        <v>44</v>
      </c>
      <c r="C3421" t="s">
        <v>40</v>
      </c>
      <c r="D3421" t="s">
        <v>35</v>
      </c>
      <c r="E3421" s="1">
        <v>2025</v>
      </c>
      <c r="F3421" s="11">
        <v>0.20569999999999999</v>
      </c>
      <c r="G3421">
        <v>24.32</v>
      </c>
      <c r="H3421">
        <v>17.149999999999999</v>
      </c>
      <c r="I3421" s="2">
        <v>52331.15</v>
      </c>
      <c r="J3421" s="2">
        <v>45879.43</v>
      </c>
      <c r="K3421" s="2">
        <f>Table1[[#This Row],[Salary_after]]-Table1[[#This Row],[Salary_before]]</f>
        <v>-6451.7200000000012</v>
      </c>
      <c r="L3421" s="11">
        <v>-0.12330000000000001</v>
      </c>
      <c r="M3421" s="11">
        <v>-6.3E-3</v>
      </c>
      <c r="N3421">
        <v>38.159999999999997</v>
      </c>
      <c r="O3421">
        <v>3.99</v>
      </c>
      <c r="P3421">
        <v>2</v>
      </c>
      <c r="Q3421" t="s">
        <v>21</v>
      </c>
      <c r="R3421">
        <v>18.86</v>
      </c>
      <c r="S3421">
        <v>12.33</v>
      </c>
      <c r="T3421" s="4">
        <v>17.071999999999999</v>
      </c>
      <c r="U3421" s="4">
        <v>0.820743</v>
      </c>
      <c r="V3421" t="str">
        <f>IF(Table1[[#This Row],[ai_disruption_intensity]]&gt;70,"High",
IF(Table1[[#This Row],[ai_disruption_intensity]]&gt;40,"Medium","Low"))</f>
        <v>Low</v>
      </c>
      <c r="W3421" t="str">
        <f>IF(Table1[[#This Row],[skill_gap_index]]&gt;70,"Large Gap",
IF(Table1[[#This Row],[skill_gap_index]]&gt;40,"Medium Gap","Small Gap"))</f>
        <v>Small Gap</v>
      </c>
      <c r="X3421" s="3" t="str">
        <f>IF(Table1[[#This Row],[automation_risk_percent]]&gt;0.7,"Highly Automatable",
IF(Table1[[#This Row],[automation_risk_percent]]&gt;0.4,"Moderate Risk","Safe Job"))</f>
        <v>Safe Job</v>
      </c>
    </row>
    <row r="3422" spans="1:24" x14ac:dyDescent="0.3">
      <c r="A3422">
        <v>11911</v>
      </c>
      <c r="B3422" t="s">
        <v>39</v>
      </c>
      <c r="C3422" t="s">
        <v>40</v>
      </c>
      <c r="D3422" t="s">
        <v>47</v>
      </c>
      <c r="E3422" s="1">
        <v>2026</v>
      </c>
      <c r="F3422" s="11">
        <v>0.10769999999999999</v>
      </c>
      <c r="G3422">
        <v>12.52</v>
      </c>
      <c r="H3422">
        <v>44.15</v>
      </c>
      <c r="I3422" s="2">
        <v>57728.19</v>
      </c>
      <c r="J3422" s="2">
        <v>58962.06</v>
      </c>
      <c r="K3422" s="2">
        <f>Table1[[#This Row],[Salary_after]]-Table1[[#This Row],[Salary_before]]</f>
        <v>1233.8699999999953</v>
      </c>
      <c r="L3422" s="11">
        <v>2.1400000000000002E-2</v>
      </c>
      <c r="M3422" s="11">
        <v>-0.156</v>
      </c>
      <c r="N3422">
        <v>95.18</v>
      </c>
      <c r="O3422">
        <v>72.099999999999994</v>
      </c>
      <c r="P3422">
        <v>1</v>
      </c>
      <c r="Q3422" t="s">
        <v>21</v>
      </c>
      <c r="R3422">
        <v>27.46</v>
      </c>
      <c r="S3422">
        <v>2.14</v>
      </c>
      <c r="T3422" s="4">
        <v>18.194999999999901</v>
      </c>
      <c r="U3422" s="4">
        <v>7.7651699999999897</v>
      </c>
      <c r="V3422" t="str">
        <f>IF(Table1[[#This Row],[ai_disruption_intensity]]&gt;70,"High",
IF(Table1[[#This Row],[ai_disruption_intensity]]&gt;40,"Medium","Low"))</f>
        <v>Low</v>
      </c>
      <c r="W3422" t="str">
        <f>IF(Table1[[#This Row],[skill_gap_index]]&gt;70,"Large Gap",
IF(Table1[[#This Row],[skill_gap_index]]&gt;40,"Medium Gap","Small Gap"))</f>
        <v>Medium Gap</v>
      </c>
      <c r="X3422" s="3" t="str">
        <f>IF(Table1[[#This Row],[automation_risk_percent]]&gt;0.7,"Highly Automatable",
IF(Table1[[#This Row],[automation_risk_percent]]&gt;0.4,"Moderate Risk","Safe Job"))</f>
        <v>Safe Job</v>
      </c>
    </row>
    <row r="3423" spans="1:24" x14ac:dyDescent="0.3">
      <c r="A3423">
        <v>11921</v>
      </c>
      <c r="B3423" t="s">
        <v>45</v>
      </c>
      <c r="C3423" t="s">
        <v>23</v>
      </c>
      <c r="D3423" t="s">
        <v>35</v>
      </c>
      <c r="E3423" s="1">
        <v>2026</v>
      </c>
      <c r="F3423" s="11">
        <v>0.49590000000000001</v>
      </c>
      <c r="G3423">
        <v>56.73</v>
      </c>
      <c r="H3423">
        <v>47.7</v>
      </c>
      <c r="I3423" s="2">
        <v>47817.85</v>
      </c>
      <c r="J3423" s="2">
        <v>44833.69</v>
      </c>
      <c r="K3423" s="2">
        <f>Table1[[#This Row],[Salary_after]]-Table1[[#This Row],[Salary_before]]</f>
        <v>-2984.1599999999962</v>
      </c>
      <c r="L3423" s="11">
        <v>-6.2400000000000004E-2</v>
      </c>
      <c r="M3423" s="11">
        <v>0.19889999999999999</v>
      </c>
      <c r="N3423">
        <v>92.62</v>
      </c>
      <c r="O3423">
        <v>31.01</v>
      </c>
      <c r="P3423">
        <v>3</v>
      </c>
      <c r="Q3423" t="s">
        <v>25</v>
      </c>
      <c r="R3423">
        <v>48.645000000000003</v>
      </c>
      <c r="S3423">
        <v>6.24</v>
      </c>
      <c r="T3423" s="4">
        <v>36.018000000000001</v>
      </c>
      <c r="U3423" s="4">
        <v>15.377859000000001</v>
      </c>
      <c r="V3423" t="str">
        <f>IF(Table1[[#This Row],[ai_disruption_intensity]]&gt;70,"High",
IF(Table1[[#This Row],[ai_disruption_intensity]]&gt;40,"Medium","Low"))</f>
        <v>Low</v>
      </c>
      <c r="W3423" t="str">
        <f>IF(Table1[[#This Row],[skill_gap_index]]&gt;70,"Large Gap",
IF(Table1[[#This Row],[skill_gap_index]]&gt;40,"Medium Gap","Small Gap"))</f>
        <v>Medium Gap</v>
      </c>
      <c r="X3423" s="3" t="str">
        <f>IF(Table1[[#This Row],[automation_risk_percent]]&gt;0.7,"Highly Automatable",
IF(Table1[[#This Row],[automation_risk_percent]]&gt;0.4,"Moderate Risk","Safe Job"))</f>
        <v>Moderate Risk</v>
      </c>
    </row>
    <row r="3424" spans="1:24" x14ac:dyDescent="0.3">
      <c r="A3424">
        <v>11927</v>
      </c>
      <c r="B3424" t="s">
        <v>43</v>
      </c>
      <c r="C3424" t="s">
        <v>19</v>
      </c>
      <c r="D3424" t="s">
        <v>28</v>
      </c>
      <c r="E3424" s="1">
        <v>2026</v>
      </c>
      <c r="F3424" s="11">
        <v>0.63659999999999994</v>
      </c>
      <c r="G3424">
        <v>72.03</v>
      </c>
      <c r="H3424">
        <v>59.64</v>
      </c>
      <c r="I3424" s="2">
        <v>135866.31</v>
      </c>
      <c r="J3424" s="2">
        <v>130448.49</v>
      </c>
      <c r="K3424" s="2">
        <f>Table1[[#This Row],[Salary_after]]-Table1[[#This Row],[Salary_before]]</f>
        <v>-5417.8199999999924</v>
      </c>
      <c r="L3424" s="11">
        <v>-3.9900000000000005E-2</v>
      </c>
      <c r="M3424" s="11">
        <v>5.4699999999999999E-2</v>
      </c>
      <c r="N3424">
        <v>51.28</v>
      </c>
      <c r="O3424">
        <v>16.12</v>
      </c>
      <c r="P3424">
        <v>3</v>
      </c>
      <c r="Q3424" t="s">
        <v>37</v>
      </c>
      <c r="R3424">
        <v>61.65</v>
      </c>
      <c r="S3424">
        <v>3.99</v>
      </c>
      <c r="T3424" s="4">
        <v>44.552999999999997</v>
      </c>
      <c r="U3424" s="4">
        <v>10.261991999999999</v>
      </c>
      <c r="V3424" t="str">
        <f>IF(Table1[[#This Row],[ai_disruption_intensity]]&gt;70,"High",
IF(Table1[[#This Row],[ai_disruption_intensity]]&gt;40,"Medium","Low"))</f>
        <v>Low</v>
      </c>
      <c r="W3424" t="str">
        <f>IF(Table1[[#This Row],[skill_gap_index]]&gt;70,"Large Gap",
IF(Table1[[#This Row],[skill_gap_index]]&gt;40,"Medium Gap","Small Gap"))</f>
        <v>Medium Gap</v>
      </c>
      <c r="X3424" s="3" t="str">
        <f>IF(Table1[[#This Row],[automation_risk_percent]]&gt;0.7,"Highly Automatable",
IF(Table1[[#This Row],[automation_risk_percent]]&gt;0.4,"Moderate Risk","Safe Job"))</f>
        <v>Moderate Risk</v>
      </c>
    </row>
    <row r="3425" spans="1:24" x14ac:dyDescent="0.3">
      <c r="A3425">
        <v>11928</v>
      </c>
      <c r="B3425" t="s">
        <v>18</v>
      </c>
      <c r="C3425" t="s">
        <v>30</v>
      </c>
      <c r="D3425" t="s">
        <v>28</v>
      </c>
      <c r="E3425" s="1">
        <v>2025</v>
      </c>
      <c r="F3425" s="11">
        <v>0.50190000000000001</v>
      </c>
      <c r="G3425">
        <v>53.82</v>
      </c>
      <c r="H3425">
        <v>68.099999999999994</v>
      </c>
      <c r="I3425" s="2">
        <v>88852.24</v>
      </c>
      <c r="J3425" s="2">
        <v>83437.279999999999</v>
      </c>
      <c r="K3425" s="2">
        <f>Table1[[#This Row],[Salary_after]]-Table1[[#This Row],[Salary_before]]</f>
        <v>-5414.9600000000064</v>
      </c>
      <c r="L3425" s="11">
        <v>-6.0899999999999996E-2</v>
      </c>
      <c r="M3425" s="11">
        <v>8.43E-2</v>
      </c>
      <c r="N3425">
        <v>95.3</v>
      </c>
      <c r="O3425">
        <v>84.32</v>
      </c>
      <c r="P3425">
        <v>4</v>
      </c>
      <c r="Q3425" t="s">
        <v>25</v>
      </c>
      <c r="R3425">
        <v>59.144999999999897</v>
      </c>
      <c r="S3425">
        <v>6.09</v>
      </c>
      <c r="T3425" s="4">
        <v>42.332999999999998</v>
      </c>
      <c r="U3425" s="4">
        <v>42.320207999999901</v>
      </c>
      <c r="V3425" t="str">
        <f>IF(Table1[[#This Row],[ai_disruption_intensity]]&gt;70,"High",
IF(Table1[[#This Row],[ai_disruption_intensity]]&gt;40,"Medium","Low"))</f>
        <v>Medium</v>
      </c>
      <c r="W3425" t="str">
        <f>IF(Table1[[#This Row],[skill_gap_index]]&gt;70,"Large Gap",
IF(Table1[[#This Row],[skill_gap_index]]&gt;40,"Medium Gap","Small Gap"))</f>
        <v>Medium Gap</v>
      </c>
      <c r="X3425" s="3" t="str">
        <f>IF(Table1[[#This Row],[automation_risk_percent]]&gt;0.7,"Highly Automatable",
IF(Table1[[#This Row],[automation_risk_percent]]&gt;0.4,"Moderate Risk","Safe Job"))</f>
        <v>Moderate Risk</v>
      </c>
    </row>
    <row r="3426" spans="1:24" x14ac:dyDescent="0.3">
      <c r="A3426">
        <v>11931</v>
      </c>
      <c r="B3426" t="s">
        <v>45</v>
      </c>
      <c r="C3426" t="s">
        <v>33</v>
      </c>
      <c r="D3426" t="s">
        <v>47</v>
      </c>
      <c r="E3426" s="1">
        <v>2026</v>
      </c>
      <c r="F3426" s="11">
        <v>0.22500000000000001</v>
      </c>
      <c r="G3426">
        <v>25.64</v>
      </c>
      <c r="H3426">
        <v>77.319999999999993</v>
      </c>
      <c r="I3426" s="2">
        <v>147708.81</v>
      </c>
      <c r="J3426" s="2">
        <v>156181.47</v>
      </c>
      <c r="K3426" s="2">
        <f>Table1[[#This Row],[Salary_after]]-Table1[[#This Row],[Salary_before]]</f>
        <v>8472.6600000000035</v>
      </c>
      <c r="L3426" s="11">
        <v>5.74E-2</v>
      </c>
      <c r="M3426" s="11">
        <v>8.5000000000000006E-2</v>
      </c>
      <c r="N3426">
        <v>13.08</v>
      </c>
      <c r="O3426">
        <v>32.090000000000003</v>
      </c>
      <c r="P3426">
        <v>2</v>
      </c>
      <c r="Q3426" t="s">
        <v>21</v>
      </c>
      <c r="R3426">
        <v>49.91</v>
      </c>
      <c r="S3426">
        <v>5.74</v>
      </c>
      <c r="T3426" s="4">
        <v>33.917999999999999</v>
      </c>
      <c r="U3426" s="4">
        <v>7.2202500000000001</v>
      </c>
      <c r="V3426" t="str">
        <f>IF(Table1[[#This Row],[ai_disruption_intensity]]&gt;70,"High",
IF(Table1[[#This Row],[ai_disruption_intensity]]&gt;40,"Medium","Low"))</f>
        <v>Low</v>
      </c>
      <c r="W3426" t="str">
        <f>IF(Table1[[#This Row],[skill_gap_index]]&gt;70,"Large Gap",
IF(Table1[[#This Row],[skill_gap_index]]&gt;40,"Medium Gap","Small Gap"))</f>
        <v>Large Gap</v>
      </c>
      <c r="X3426" s="3" t="str">
        <f>IF(Table1[[#This Row],[automation_risk_percent]]&gt;0.7,"Highly Automatable",
IF(Table1[[#This Row],[automation_risk_percent]]&gt;0.4,"Moderate Risk","Safe Job"))</f>
        <v>Safe Job</v>
      </c>
    </row>
    <row r="3427" spans="1:24" x14ac:dyDescent="0.3">
      <c r="A3427">
        <v>11939</v>
      </c>
      <c r="B3427" t="s">
        <v>39</v>
      </c>
      <c r="C3427" t="s">
        <v>23</v>
      </c>
      <c r="D3427" t="s">
        <v>28</v>
      </c>
      <c r="E3427" s="1">
        <v>2026</v>
      </c>
      <c r="F3427" s="11">
        <v>0.47600000000000003</v>
      </c>
      <c r="G3427">
        <v>38.93</v>
      </c>
      <c r="H3427">
        <v>22.58</v>
      </c>
      <c r="I3427" s="2">
        <v>68746.720000000001</v>
      </c>
      <c r="J3427" s="2">
        <v>66189.06</v>
      </c>
      <c r="K3427" s="2">
        <f>Table1[[#This Row],[Salary_after]]-Table1[[#This Row],[Salary_before]]</f>
        <v>-2557.6600000000035</v>
      </c>
      <c r="L3427" s="11">
        <v>-3.7200000000000004E-2</v>
      </c>
      <c r="M3427" s="11">
        <v>5.3499999999999999E-2</v>
      </c>
      <c r="N3427">
        <v>57.86</v>
      </c>
      <c r="O3427">
        <v>79.98</v>
      </c>
      <c r="P3427">
        <v>3</v>
      </c>
      <c r="Q3427" t="s">
        <v>25</v>
      </c>
      <c r="R3427">
        <v>35.090000000000003</v>
      </c>
      <c r="S3427">
        <v>3.72</v>
      </c>
      <c r="T3427" s="4">
        <v>26.93</v>
      </c>
      <c r="U3427" s="4">
        <v>38.070480000000003</v>
      </c>
      <c r="V3427" t="str">
        <f>IF(Table1[[#This Row],[ai_disruption_intensity]]&gt;70,"High",
IF(Table1[[#This Row],[ai_disruption_intensity]]&gt;40,"Medium","Low"))</f>
        <v>Low</v>
      </c>
      <c r="W3427" t="str">
        <f>IF(Table1[[#This Row],[skill_gap_index]]&gt;70,"Large Gap",
IF(Table1[[#This Row],[skill_gap_index]]&gt;40,"Medium Gap","Small Gap"))</f>
        <v>Small Gap</v>
      </c>
      <c r="X3427" s="3" t="str">
        <f>IF(Table1[[#This Row],[automation_risk_percent]]&gt;0.7,"Highly Automatable",
IF(Table1[[#This Row],[automation_risk_percent]]&gt;0.4,"Moderate Risk","Safe Job"))</f>
        <v>Moderate Risk</v>
      </c>
    </row>
    <row r="3428" spans="1:24" x14ac:dyDescent="0.3">
      <c r="A3428">
        <v>11940</v>
      </c>
      <c r="B3428" t="s">
        <v>29</v>
      </c>
      <c r="C3428" t="s">
        <v>30</v>
      </c>
      <c r="D3428" t="s">
        <v>24</v>
      </c>
      <c r="E3428" s="1">
        <v>2025</v>
      </c>
      <c r="F3428" s="11">
        <v>0.35220000000000001</v>
      </c>
      <c r="G3428">
        <v>41.72</v>
      </c>
      <c r="H3428">
        <v>41.5</v>
      </c>
      <c r="I3428" s="2">
        <v>82599.09</v>
      </c>
      <c r="J3428" s="2">
        <v>62333.01</v>
      </c>
      <c r="K3428" s="2">
        <f>Table1[[#This Row],[Salary_after]]-Table1[[#This Row],[Salary_before]]</f>
        <v>-20266.079999999994</v>
      </c>
      <c r="L3428" s="11">
        <v>-0.24539999999999998</v>
      </c>
      <c r="M3428" s="11">
        <v>8.4000000000000005E-2</v>
      </c>
      <c r="N3428">
        <v>68.709999999999994</v>
      </c>
      <c r="O3428">
        <v>17.79</v>
      </c>
      <c r="P3428">
        <v>3</v>
      </c>
      <c r="Q3428" t="s">
        <v>25</v>
      </c>
      <c r="R3428">
        <v>38.36</v>
      </c>
      <c r="S3428">
        <v>24.54</v>
      </c>
      <c r="T3428" s="4">
        <v>33.9</v>
      </c>
      <c r="U3428" s="4">
        <v>6.2656379999999903</v>
      </c>
      <c r="V3428" t="str">
        <f>IF(Table1[[#This Row],[ai_disruption_intensity]]&gt;70,"High",
IF(Table1[[#This Row],[ai_disruption_intensity]]&gt;40,"Medium","Low"))</f>
        <v>Low</v>
      </c>
      <c r="W3428" t="str">
        <f>IF(Table1[[#This Row],[skill_gap_index]]&gt;70,"Large Gap",
IF(Table1[[#This Row],[skill_gap_index]]&gt;40,"Medium Gap","Small Gap"))</f>
        <v>Medium Gap</v>
      </c>
      <c r="X3428" s="3" t="str">
        <f>IF(Table1[[#This Row],[automation_risk_percent]]&gt;0.7,"Highly Automatable",
IF(Table1[[#This Row],[automation_risk_percent]]&gt;0.4,"Moderate Risk","Safe Job"))</f>
        <v>Safe Job</v>
      </c>
    </row>
    <row r="3429" spans="1:24" x14ac:dyDescent="0.3">
      <c r="A3429">
        <v>11954</v>
      </c>
      <c r="B3429" t="s">
        <v>29</v>
      </c>
      <c r="C3429" t="s">
        <v>40</v>
      </c>
      <c r="D3429" t="s">
        <v>47</v>
      </c>
      <c r="E3429" s="1">
        <v>2026</v>
      </c>
      <c r="F3429" s="11">
        <v>0.41889999999999999</v>
      </c>
      <c r="G3429">
        <v>42.57</v>
      </c>
      <c r="H3429">
        <v>53.11</v>
      </c>
      <c r="I3429" s="2">
        <v>108751.05</v>
      </c>
      <c r="J3429" s="2">
        <v>113724.07</v>
      </c>
      <c r="K3429" s="2">
        <f>Table1[[#This Row],[Salary_after]]-Table1[[#This Row],[Salary_before]]</f>
        <v>4973.0200000000041</v>
      </c>
      <c r="L3429" s="11">
        <v>4.5700000000000005E-2</v>
      </c>
      <c r="M3429" s="11">
        <v>-5.6600000000000004E-2</v>
      </c>
      <c r="N3429">
        <v>80.349999999999994</v>
      </c>
      <c r="O3429">
        <v>17.57</v>
      </c>
      <c r="P3429">
        <v>2</v>
      </c>
      <c r="Q3429" t="s">
        <v>25</v>
      </c>
      <c r="R3429">
        <v>47.5</v>
      </c>
      <c r="S3429">
        <v>4.57</v>
      </c>
      <c r="T3429" s="4">
        <v>34.06</v>
      </c>
      <c r="U3429" s="4">
        <v>7.3600729999999999</v>
      </c>
      <c r="V3429" t="str">
        <f>IF(Table1[[#This Row],[ai_disruption_intensity]]&gt;70,"High",
IF(Table1[[#This Row],[ai_disruption_intensity]]&gt;40,"Medium","Low"))</f>
        <v>Low</v>
      </c>
      <c r="W3429" t="str">
        <f>IF(Table1[[#This Row],[skill_gap_index]]&gt;70,"Large Gap",
IF(Table1[[#This Row],[skill_gap_index]]&gt;40,"Medium Gap","Small Gap"))</f>
        <v>Medium Gap</v>
      </c>
      <c r="X3429" s="3" t="str">
        <f>IF(Table1[[#This Row],[automation_risk_percent]]&gt;0.7,"Highly Automatable",
IF(Table1[[#This Row],[automation_risk_percent]]&gt;0.4,"Moderate Risk","Safe Job"))</f>
        <v>Moderate Risk</v>
      </c>
    </row>
    <row r="3430" spans="1:24" x14ac:dyDescent="0.3">
      <c r="A3430">
        <v>11956</v>
      </c>
      <c r="B3430" t="s">
        <v>26</v>
      </c>
      <c r="C3430" t="s">
        <v>19</v>
      </c>
      <c r="D3430" t="s">
        <v>36</v>
      </c>
      <c r="E3430" s="1">
        <v>2025</v>
      </c>
      <c r="F3430" s="11">
        <v>0.05</v>
      </c>
      <c r="G3430">
        <v>4.6399999999999997</v>
      </c>
      <c r="H3430">
        <v>91.28</v>
      </c>
      <c r="I3430" s="2">
        <v>76264.509999999995</v>
      </c>
      <c r="J3430" s="2">
        <v>88709.96</v>
      </c>
      <c r="K3430" s="2">
        <f>Table1[[#This Row],[Salary_after]]-Table1[[#This Row],[Salary_before]]</f>
        <v>12445.450000000012</v>
      </c>
      <c r="L3430" s="11">
        <v>0.16320000000000001</v>
      </c>
      <c r="M3430" s="11">
        <v>3.0800000000000001E-2</v>
      </c>
      <c r="N3430">
        <v>14.84</v>
      </c>
      <c r="O3430">
        <v>70.06</v>
      </c>
      <c r="P3430">
        <v>1</v>
      </c>
      <c r="Q3430" t="s">
        <v>21</v>
      </c>
      <c r="R3430">
        <v>48.14</v>
      </c>
      <c r="S3430">
        <v>16.32</v>
      </c>
      <c r="T3430" s="4">
        <v>34.28</v>
      </c>
      <c r="U3430" s="4">
        <v>3.5030000000000001</v>
      </c>
      <c r="V3430" t="str">
        <f>IF(Table1[[#This Row],[ai_disruption_intensity]]&gt;70,"High",
IF(Table1[[#This Row],[ai_disruption_intensity]]&gt;40,"Medium","Low"))</f>
        <v>Low</v>
      </c>
      <c r="W3430" t="str">
        <f>IF(Table1[[#This Row],[skill_gap_index]]&gt;70,"Large Gap",
IF(Table1[[#This Row],[skill_gap_index]]&gt;40,"Medium Gap","Small Gap"))</f>
        <v>Large Gap</v>
      </c>
      <c r="X3430" s="3" t="str">
        <f>IF(Table1[[#This Row],[automation_risk_percent]]&gt;0.7,"Highly Automatable",
IF(Table1[[#This Row],[automation_risk_percent]]&gt;0.4,"Moderate Risk","Safe Job"))</f>
        <v>Safe Job</v>
      </c>
    </row>
    <row r="3431" spans="1:24" x14ac:dyDescent="0.3">
      <c r="A3431">
        <v>11962</v>
      </c>
      <c r="B3431" t="s">
        <v>39</v>
      </c>
      <c r="C3431" t="s">
        <v>40</v>
      </c>
      <c r="D3431" t="s">
        <v>31</v>
      </c>
      <c r="E3431" s="1">
        <v>2025</v>
      </c>
      <c r="F3431" s="11">
        <v>0.1467</v>
      </c>
      <c r="G3431">
        <v>16.97</v>
      </c>
      <c r="H3431">
        <v>26.14</v>
      </c>
      <c r="I3431" s="2">
        <v>126610.8</v>
      </c>
      <c r="J3431" s="2">
        <v>119685.59</v>
      </c>
      <c r="K3431" s="2">
        <f>Table1[[#This Row],[Salary_after]]-Table1[[#This Row],[Salary_before]]</f>
        <v>-6925.2100000000064</v>
      </c>
      <c r="L3431" s="11">
        <v>-5.4699999999999999E-2</v>
      </c>
      <c r="M3431" s="11">
        <v>-7.3200000000000001E-2</v>
      </c>
      <c r="N3431">
        <v>36.82</v>
      </c>
      <c r="O3431">
        <v>98.59</v>
      </c>
      <c r="P3431">
        <v>3</v>
      </c>
      <c r="Q3431" t="s">
        <v>21</v>
      </c>
      <c r="R3431">
        <v>20.405000000000001</v>
      </c>
      <c r="S3431">
        <v>5.47</v>
      </c>
      <c r="T3431" s="4">
        <v>15.351000000000001</v>
      </c>
      <c r="U3431" s="4">
        <v>14.463153</v>
      </c>
      <c r="V3431" t="str">
        <f>IF(Table1[[#This Row],[ai_disruption_intensity]]&gt;70,"High",
IF(Table1[[#This Row],[ai_disruption_intensity]]&gt;40,"Medium","Low"))</f>
        <v>Low</v>
      </c>
      <c r="W3431" t="str">
        <f>IF(Table1[[#This Row],[skill_gap_index]]&gt;70,"Large Gap",
IF(Table1[[#This Row],[skill_gap_index]]&gt;40,"Medium Gap","Small Gap"))</f>
        <v>Small Gap</v>
      </c>
      <c r="X3431" s="3" t="str">
        <f>IF(Table1[[#This Row],[automation_risk_percent]]&gt;0.7,"Highly Automatable",
IF(Table1[[#This Row],[automation_risk_percent]]&gt;0.4,"Moderate Risk","Safe Job"))</f>
        <v>Safe Job</v>
      </c>
    </row>
    <row r="3432" spans="1:24" x14ac:dyDescent="0.3">
      <c r="A3432">
        <v>11970</v>
      </c>
      <c r="B3432" t="s">
        <v>44</v>
      </c>
      <c r="C3432" t="s">
        <v>34</v>
      </c>
      <c r="D3432" t="s">
        <v>20</v>
      </c>
      <c r="E3432" s="1">
        <v>2026</v>
      </c>
      <c r="F3432" s="11">
        <v>0.39990000000000003</v>
      </c>
      <c r="G3432">
        <v>34</v>
      </c>
      <c r="H3432">
        <v>97.92</v>
      </c>
      <c r="I3432" s="2">
        <v>135436.96</v>
      </c>
      <c r="J3432" s="2">
        <v>122302.83</v>
      </c>
      <c r="K3432" s="2">
        <f>Table1[[#This Row],[Salary_after]]-Table1[[#This Row],[Salary_before]]</f>
        <v>-13134.12999999999</v>
      </c>
      <c r="L3432" s="11">
        <v>-9.6999999999999989E-2</v>
      </c>
      <c r="M3432" s="11">
        <v>-6.8099999999999994E-2</v>
      </c>
      <c r="N3432">
        <v>40.46</v>
      </c>
      <c r="O3432">
        <v>7</v>
      </c>
      <c r="P3432">
        <v>5</v>
      </c>
      <c r="Q3432" t="s">
        <v>25</v>
      </c>
      <c r="R3432">
        <v>68.954999999999998</v>
      </c>
      <c r="S3432">
        <v>9.6999999999999993</v>
      </c>
      <c r="T3432" s="4">
        <v>48.281999999999996</v>
      </c>
      <c r="U3432" s="4">
        <v>2.7993000000000001</v>
      </c>
      <c r="V3432" t="str">
        <f>IF(Table1[[#This Row],[ai_disruption_intensity]]&gt;70,"High",
IF(Table1[[#This Row],[ai_disruption_intensity]]&gt;40,"Medium","Low"))</f>
        <v>Low</v>
      </c>
      <c r="W3432" t="str">
        <f>IF(Table1[[#This Row],[skill_gap_index]]&gt;70,"Large Gap",
IF(Table1[[#This Row],[skill_gap_index]]&gt;40,"Medium Gap","Small Gap"))</f>
        <v>Large Gap</v>
      </c>
      <c r="X3432" s="3" t="str">
        <f>IF(Table1[[#This Row],[automation_risk_percent]]&gt;0.7,"Highly Automatable",
IF(Table1[[#This Row],[automation_risk_percent]]&gt;0.4,"Moderate Risk","Safe Job"))</f>
        <v>Safe Job</v>
      </c>
    </row>
    <row r="3433" spans="1:24" x14ac:dyDescent="0.3">
      <c r="A3433">
        <v>11974</v>
      </c>
      <c r="B3433" t="s">
        <v>22</v>
      </c>
      <c r="C3433" t="s">
        <v>23</v>
      </c>
      <c r="D3433" t="s">
        <v>31</v>
      </c>
      <c r="E3433" s="1">
        <v>2025</v>
      </c>
      <c r="F3433" s="11">
        <v>0.11539999999999999</v>
      </c>
      <c r="G3433">
        <v>12.06</v>
      </c>
      <c r="H3433">
        <v>3.94</v>
      </c>
      <c r="I3433" s="2">
        <v>76989.320000000007</v>
      </c>
      <c r="J3433" s="2">
        <v>70812.69</v>
      </c>
      <c r="K3433" s="2">
        <f>Table1[[#This Row],[Salary_after]]-Table1[[#This Row],[Salary_before]]</f>
        <v>-6176.6300000000047</v>
      </c>
      <c r="L3433" s="11">
        <v>-8.0199999999999994E-2</v>
      </c>
      <c r="M3433" s="11">
        <v>2.5499999999999998E-2</v>
      </c>
      <c r="N3433">
        <v>77.13</v>
      </c>
      <c r="O3433">
        <v>10.89</v>
      </c>
      <c r="P3433">
        <v>5</v>
      </c>
      <c r="Q3433" t="s">
        <v>21</v>
      </c>
      <c r="R3433">
        <v>7.7399999999999904</v>
      </c>
      <c r="S3433">
        <v>8.02</v>
      </c>
      <c r="T3433" s="4">
        <v>8.2040000000000006</v>
      </c>
      <c r="U3433" s="4">
        <v>1.2567059999999901</v>
      </c>
      <c r="V3433" t="str">
        <f>IF(Table1[[#This Row],[ai_disruption_intensity]]&gt;70,"High",
IF(Table1[[#This Row],[ai_disruption_intensity]]&gt;40,"Medium","Low"))</f>
        <v>Low</v>
      </c>
      <c r="W3433" t="str">
        <f>IF(Table1[[#This Row],[skill_gap_index]]&gt;70,"Large Gap",
IF(Table1[[#This Row],[skill_gap_index]]&gt;40,"Medium Gap","Small Gap"))</f>
        <v>Small Gap</v>
      </c>
      <c r="X3433" s="3" t="str">
        <f>IF(Table1[[#This Row],[automation_risk_percent]]&gt;0.7,"Highly Automatable",
IF(Table1[[#This Row],[automation_risk_percent]]&gt;0.4,"Moderate Risk","Safe Job"))</f>
        <v>Safe Job</v>
      </c>
    </row>
    <row r="3434" spans="1:24" x14ac:dyDescent="0.3">
      <c r="A3434">
        <v>11982</v>
      </c>
      <c r="B3434" t="s">
        <v>39</v>
      </c>
      <c r="C3434" t="s">
        <v>34</v>
      </c>
      <c r="D3434" t="s">
        <v>47</v>
      </c>
      <c r="E3434" s="1">
        <v>2026</v>
      </c>
      <c r="F3434" s="11">
        <v>0.3392</v>
      </c>
      <c r="G3434">
        <v>29.34</v>
      </c>
      <c r="H3434">
        <v>90.33</v>
      </c>
      <c r="I3434" s="2">
        <v>36009.26</v>
      </c>
      <c r="J3434" s="2">
        <v>38743.83</v>
      </c>
      <c r="K3434" s="2">
        <f>Table1[[#This Row],[Salary_after]]-Table1[[#This Row],[Salary_before]]</f>
        <v>2734.5699999999997</v>
      </c>
      <c r="L3434" s="11">
        <v>7.5899999999999995E-2</v>
      </c>
      <c r="M3434" s="11">
        <v>4.41E-2</v>
      </c>
      <c r="N3434">
        <v>60.02</v>
      </c>
      <c r="O3434">
        <v>35.47</v>
      </c>
      <c r="P3434">
        <v>2</v>
      </c>
      <c r="Q3434" t="s">
        <v>25</v>
      </c>
      <c r="R3434">
        <v>62.125</v>
      </c>
      <c r="S3434">
        <v>7.59</v>
      </c>
      <c r="T3434" s="4">
        <v>42.944000000000003</v>
      </c>
      <c r="U3434" s="4">
        <v>12.031423999999999</v>
      </c>
      <c r="V3434" t="str">
        <f>IF(Table1[[#This Row],[ai_disruption_intensity]]&gt;70,"High",
IF(Table1[[#This Row],[ai_disruption_intensity]]&gt;40,"Medium","Low"))</f>
        <v>Low</v>
      </c>
      <c r="W3434" t="str">
        <f>IF(Table1[[#This Row],[skill_gap_index]]&gt;70,"Large Gap",
IF(Table1[[#This Row],[skill_gap_index]]&gt;40,"Medium Gap","Small Gap"))</f>
        <v>Large Gap</v>
      </c>
      <c r="X3434" s="3" t="str">
        <f>IF(Table1[[#This Row],[automation_risk_percent]]&gt;0.7,"Highly Automatable",
IF(Table1[[#This Row],[automation_risk_percent]]&gt;0.4,"Moderate Risk","Safe Job"))</f>
        <v>Safe Job</v>
      </c>
    </row>
    <row r="3435" spans="1:24" x14ac:dyDescent="0.3">
      <c r="A3435">
        <v>11984</v>
      </c>
      <c r="B3435" t="s">
        <v>29</v>
      </c>
      <c r="C3435" t="s">
        <v>33</v>
      </c>
      <c r="D3435" t="s">
        <v>47</v>
      </c>
      <c r="E3435" s="1">
        <v>2026</v>
      </c>
      <c r="F3435" s="11">
        <v>0.76730000000000009</v>
      </c>
      <c r="G3435">
        <v>82.94</v>
      </c>
      <c r="H3435">
        <v>84.69</v>
      </c>
      <c r="I3435" s="2">
        <v>147944.07999999999</v>
      </c>
      <c r="J3435" s="2">
        <v>143160.47</v>
      </c>
      <c r="K3435" s="2">
        <f>Table1[[#This Row],[Salary_after]]-Table1[[#This Row],[Salary_before]]</f>
        <v>-4783.609999999986</v>
      </c>
      <c r="L3435" s="11">
        <v>-3.2300000000000002E-2</v>
      </c>
      <c r="M3435" s="11">
        <v>-3.3E-3</v>
      </c>
      <c r="N3435">
        <v>40.94</v>
      </c>
      <c r="O3435">
        <v>53.77</v>
      </c>
      <c r="P3435">
        <v>2</v>
      </c>
      <c r="Q3435" t="s">
        <v>37</v>
      </c>
      <c r="R3435">
        <v>80.709999999999994</v>
      </c>
      <c r="S3435">
        <v>3.23</v>
      </c>
      <c r="T3435" s="4">
        <v>57.067999999999998</v>
      </c>
      <c r="U3435" s="4">
        <v>41.257720999999997</v>
      </c>
      <c r="V3435" t="str">
        <f>IF(Table1[[#This Row],[ai_disruption_intensity]]&gt;70,"High",
IF(Table1[[#This Row],[ai_disruption_intensity]]&gt;40,"Medium","Low"))</f>
        <v>Medium</v>
      </c>
      <c r="W3435" t="str">
        <f>IF(Table1[[#This Row],[skill_gap_index]]&gt;70,"Large Gap",
IF(Table1[[#This Row],[skill_gap_index]]&gt;40,"Medium Gap","Small Gap"))</f>
        <v>Large Gap</v>
      </c>
      <c r="X3435" s="3" t="str">
        <f>IF(Table1[[#This Row],[automation_risk_percent]]&gt;0.7,"Highly Automatable",
IF(Table1[[#This Row],[automation_risk_percent]]&gt;0.4,"Moderate Risk","Safe Job"))</f>
        <v>Highly Automatable</v>
      </c>
    </row>
    <row r="3436" spans="1:24" x14ac:dyDescent="0.3">
      <c r="A3436">
        <v>11985</v>
      </c>
      <c r="B3436" t="s">
        <v>18</v>
      </c>
      <c r="C3436" t="s">
        <v>40</v>
      </c>
      <c r="D3436" t="s">
        <v>24</v>
      </c>
      <c r="E3436" s="1">
        <v>2026</v>
      </c>
      <c r="F3436" s="11">
        <v>0.13730000000000001</v>
      </c>
      <c r="G3436">
        <v>12.49</v>
      </c>
      <c r="H3436">
        <v>79.41</v>
      </c>
      <c r="I3436" s="2">
        <v>35803.99</v>
      </c>
      <c r="J3436" s="2">
        <v>34128.800000000003</v>
      </c>
      <c r="K3436" s="2">
        <f>Table1[[#This Row],[Salary_after]]-Table1[[#This Row],[Salary_before]]</f>
        <v>-1675.1899999999951</v>
      </c>
      <c r="L3436" s="11">
        <v>-4.6799999999999994E-2</v>
      </c>
      <c r="M3436" s="11">
        <v>9.7200000000000009E-2</v>
      </c>
      <c r="N3436">
        <v>37.46</v>
      </c>
      <c r="O3436">
        <v>71.81</v>
      </c>
      <c r="P3436">
        <v>3</v>
      </c>
      <c r="Q3436" t="s">
        <v>21</v>
      </c>
      <c r="R3436">
        <v>46.57</v>
      </c>
      <c r="S3436">
        <v>4.68</v>
      </c>
      <c r="T3436" s="4">
        <v>30.718999999999902</v>
      </c>
      <c r="U3436" s="4">
        <v>9.8595129999999997</v>
      </c>
      <c r="V3436" t="str">
        <f>IF(Table1[[#This Row],[ai_disruption_intensity]]&gt;70,"High",
IF(Table1[[#This Row],[ai_disruption_intensity]]&gt;40,"Medium","Low"))</f>
        <v>Low</v>
      </c>
      <c r="W3436" t="str">
        <f>IF(Table1[[#This Row],[skill_gap_index]]&gt;70,"Large Gap",
IF(Table1[[#This Row],[skill_gap_index]]&gt;40,"Medium Gap","Small Gap"))</f>
        <v>Large Gap</v>
      </c>
      <c r="X3436" s="3" t="str">
        <f>IF(Table1[[#This Row],[automation_risk_percent]]&gt;0.7,"Highly Automatable",
IF(Table1[[#This Row],[automation_risk_percent]]&gt;0.4,"Moderate Risk","Safe Job"))</f>
        <v>Safe Job</v>
      </c>
    </row>
    <row r="3437" spans="1:24" x14ac:dyDescent="0.3">
      <c r="A3437">
        <v>11986</v>
      </c>
      <c r="B3437" t="s">
        <v>39</v>
      </c>
      <c r="C3437" t="s">
        <v>30</v>
      </c>
      <c r="D3437" t="s">
        <v>24</v>
      </c>
      <c r="E3437" s="1">
        <v>2025</v>
      </c>
      <c r="F3437" s="11">
        <v>0.63519999999999999</v>
      </c>
      <c r="G3437">
        <v>56.17</v>
      </c>
      <c r="H3437">
        <v>40.54</v>
      </c>
      <c r="I3437" s="2">
        <v>59026.69</v>
      </c>
      <c r="J3437" s="2">
        <v>71825.31</v>
      </c>
      <c r="K3437" s="2">
        <f>Table1[[#This Row],[Salary_after]]-Table1[[#This Row],[Salary_before]]</f>
        <v>12798.619999999995</v>
      </c>
      <c r="L3437" s="11">
        <v>0.21679999999999999</v>
      </c>
      <c r="M3437" s="11">
        <v>6.8900000000000003E-2</v>
      </c>
      <c r="N3437">
        <v>34.31</v>
      </c>
      <c r="O3437">
        <v>46.21</v>
      </c>
      <c r="P3437">
        <v>3</v>
      </c>
      <c r="Q3437" t="s">
        <v>37</v>
      </c>
      <c r="R3437">
        <v>52.03</v>
      </c>
      <c r="S3437">
        <v>21.68</v>
      </c>
      <c r="T3437" s="4">
        <v>44.073999999999998</v>
      </c>
      <c r="U3437" s="4">
        <v>29.352592000000001</v>
      </c>
      <c r="V3437" t="str">
        <f>IF(Table1[[#This Row],[ai_disruption_intensity]]&gt;70,"High",
IF(Table1[[#This Row],[ai_disruption_intensity]]&gt;40,"Medium","Low"))</f>
        <v>Low</v>
      </c>
      <c r="W3437" t="str">
        <f>IF(Table1[[#This Row],[skill_gap_index]]&gt;70,"Large Gap",
IF(Table1[[#This Row],[skill_gap_index]]&gt;40,"Medium Gap","Small Gap"))</f>
        <v>Medium Gap</v>
      </c>
      <c r="X3437" s="3" t="str">
        <f>IF(Table1[[#This Row],[automation_risk_percent]]&gt;0.7,"Highly Automatable",
IF(Table1[[#This Row],[automation_risk_percent]]&gt;0.4,"Moderate Risk","Safe Job"))</f>
        <v>Moderate Risk</v>
      </c>
    </row>
    <row r="3438" spans="1:24" x14ac:dyDescent="0.3">
      <c r="A3438">
        <v>11988</v>
      </c>
      <c r="B3438" t="s">
        <v>46</v>
      </c>
      <c r="C3438" t="s">
        <v>38</v>
      </c>
      <c r="D3438" t="s">
        <v>20</v>
      </c>
      <c r="E3438" s="1">
        <v>2025</v>
      </c>
      <c r="F3438" s="11">
        <v>0.44799999999999995</v>
      </c>
      <c r="G3438">
        <v>48.81</v>
      </c>
      <c r="H3438">
        <v>91.59</v>
      </c>
      <c r="I3438" s="2">
        <v>136694.82</v>
      </c>
      <c r="J3438" s="2">
        <v>156793.5</v>
      </c>
      <c r="K3438" s="2">
        <f>Table1[[#This Row],[Salary_after]]-Table1[[#This Row],[Salary_before]]</f>
        <v>20098.679999999993</v>
      </c>
      <c r="L3438" s="11">
        <v>0.14699999999999999</v>
      </c>
      <c r="M3438" s="11">
        <v>-0.18079999999999999</v>
      </c>
      <c r="N3438">
        <v>82.08</v>
      </c>
      <c r="O3438">
        <v>59.87</v>
      </c>
      <c r="P3438">
        <v>1</v>
      </c>
      <c r="Q3438" t="s">
        <v>25</v>
      </c>
      <c r="R3438">
        <v>68.194999999999993</v>
      </c>
      <c r="S3438">
        <v>14.7</v>
      </c>
      <c r="T3438" s="4">
        <v>49.806999999999903</v>
      </c>
      <c r="U3438" s="4">
        <v>26.821759999999902</v>
      </c>
      <c r="V3438" t="str">
        <f>IF(Table1[[#This Row],[ai_disruption_intensity]]&gt;70,"High",
IF(Table1[[#This Row],[ai_disruption_intensity]]&gt;40,"Medium","Low"))</f>
        <v>Low</v>
      </c>
      <c r="W3438" t="str">
        <f>IF(Table1[[#This Row],[skill_gap_index]]&gt;70,"Large Gap",
IF(Table1[[#This Row],[skill_gap_index]]&gt;40,"Medium Gap","Small Gap"))</f>
        <v>Large Gap</v>
      </c>
      <c r="X3438" s="3" t="str">
        <f>IF(Table1[[#This Row],[automation_risk_percent]]&gt;0.7,"Highly Automatable",
IF(Table1[[#This Row],[automation_risk_percent]]&gt;0.4,"Moderate Risk","Safe Job"))</f>
        <v>Moderate Risk</v>
      </c>
    </row>
    <row r="3439" spans="1:24" x14ac:dyDescent="0.3">
      <c r="A3439">
        <v>11993</v>
      </c>
      <c r="B3439" t="s">
        <v>43</v>
      </c>
      <c r="C3439" t="s">
        <v>19</v>
      </c>
      <c r="D3439" t="s">
        <v>20</v>
      </c>
      <c r="E3439" s="1">
        <v>2025</v>
      </c>
      <c r="F3439" s="11">
        <v>0.40679999999999999</v>
      </c>
      <c r="G3439">
        <v>47.82</v>
      </c>
      <c r="H3439">
        <v>76.239999999999995</v>
      </c>
      <c r="I3439" s="2">
        <v>58939.21</v>
      </c>
      <c r="J3439" s="2">
        <v>53538.36</v>
      </c>
      <c r="K3439" s="2">
        <f>Table1[[#This Row],[Salary_after]]-Table1[[#This Row],[Salary_before]]</f>
        <v>-5400.8499999999985</v>
      </c>
      <c r="L3439" s="11">
        <v>-9.1600000000000001E-2</v>
      </c>
      <c r="M3439" s="11">
        <v>-6.0400000000000002E-2</v>
      </c>
      <c r="N3439">
        <v>18.34</v>
      </c>
      <c r="O3439">
        <v>99.19</v>
      </c>
      <c r="P3439">
        <v>2</v>
      </c>
      <c r="Q3439" t="s">
        <v>25</v>
      </c>
      <c r="R3439">
        <v>58.459999999999901</v>
      </c>
      <c r="S3439">
        <v>9.16</v>
      </c>
      <c r="T3439" s="4">
        <v>41.891999999999904</v>
      </c>
      <c r="U3439" s="4">
        <v>40.350492000000003</v>
      </c>
      <c r="V3439" t="str">
        <f>IF(Table1[[#This Row],[ai_disruption_intensity]]&gt;70,"High",
IF(Table1[[#This Row],[ai_disruption_intensity]]&gt;40,"Medium","Low"))</f>
        <v>Medium</v>
      </c>
      <c r="W3439" t="str">
        <f>IF(Table1[[#This Row],[skill_gap_index]]&gt;70,"Large Gap",
IF(Table1[[#This Row],[skill_gap_index]]&gt;40,"Medium Gap","Small Gap"))</f>
        <v>Large Gap</v>
      </c>
      <c r="X3439" s="3" t="str">
        <f>IF(Table1[[#This Row],[automation_risk_percent]]&gt;0.7,"Highly Automatable",
IF(Table1[[#This Row],[automation_risk_percent]]&gt;0.4,"Moderate Risk","Safe Job"))</f>
        <v>Moderate Risk</v>
      </c>
    </row>
    <row r="3440" spans="1:24" x14ac:dyDescent="0.3">
      <c r="A3440">
        <v>12015</v>
      </c>
      <c r="B3440" t="s">
        <v>41</v>
      </c>
      <c r="C3440" t="s">
        <v>34</v>
      </c>
      <c r="D3440" t="s">
        <v>35</v>
      </c>
      <c r="E3440" s="1">
        <v>2026</v>
      </c>
      <c r="F3440" s="11">
        <v>0.93180000000000007</v>
      </c>
      <c r="G3440">
        <v>94.51</v>
      </c>
      <c r="H3440">
        <v>55.06</v>
      </c>
      <c r="I3440" s="2">
        <v>86025.65</v>
      </c>
      <c r="J3440" s="2">
        <v>87175.72</v>
      </c>
      <c r="K3440" s="2">
        <f>Table1[[#This Row],[Salary_after]]-Table1[[#This Row],[Salary_before]]</f>
        <v>1150.070000000007</v>
      </c>
      <c r="L3440" s="11">
        <v>1.34E-2</v>
      </c>
      <c r="M3440" s="11">
        <v>1.5900000000000001E-2</v>
      </c>
      <c r="N3440">
        <v>60.93</v>
      </c>
      <c r="O3440">
        <v>14.26</v>
      </c>
      <c r="P3440">
        <v>4</v>
      </c>
      <c r="Q3440" t="s">
        <v>37</v>
      </c>
      <c r="R3440">
        <v>74.12</v>
      </c>
      <c r="S3440">
        <v>1.34</v>
      </c>
      <c r="T3440" s="4">
        <v>54.192</v>
      </c>
      <c r="U3440" s="4">
        <v>13.287468000000001</v>
      </c>
      <c r="V3440" t="str">
        <f>IF(Table1[[#This Row],[ai_disruption_intensity]]&gt;70,"High",
IF(Table1[[#This Row],[ai_disruption_intensity]]&gt;40,"Medium","Low"))</f>
        <v>Low</v>
      </c>
      <c r="W3440" t="str">
        <f>IF(Table1[[#This Row],[skill_gap_index]]&gt;70,"Large Gap",
IF(Table1[[#This Row],[skill_gap_index]]&gt;40,"Medium Gap","Small Gap"))</f>
        <v>Medium Gap</v>
      </c>
      <c r="X3440" s="3" t="str">
        <f>IF(Table1[[#This Row],[automation_risk_percent]]&gt;0.7,"Highly Automatable",
IF(Table1[[#This Row],[automation_risk_percent]]&gt;0.4,"Moderate Risk","Safe Job"))</f>
        <v>Highly Automatable</v>
      </c>
    </row>
    <row r="3441" spans="1:24" x14ac:dyDescent="0.3">
      <c r="A3441">
        <v>12025</v>
      </c>
      <c r="B3441" t="s">
        <v>29</v>
      </c>
      <c r="C3441" t="s">
        <v>27</v>
      </c>
      <c r="D3441" t="s">
        <v>36</v>
      </c>
      <c r="E3441" s="1">
        <v>2025</v>
      </c>
      <c r="F3441" s="11">
        <v>0.39840000000000003</v>
      </c>
      <c r="G3441">
        <v>42.89</v>
      </c>
      <c r="H3441">
        <v>9.15</v>
      </c>
      <c r="I3441" s="2">
        <v>110701.46</v>
      </c>
      <c r="J3441" s="2">
        <v>118843.88</v>
      </c>
      <c r="K3441" s="2">
        <f>Table1[[#This Row],[Salary_after]]-Table1[[#This Row],[Salary_before]]</f>
        <v>8142.4199999999983</v>
      </c>
      <c r="L3441" s="11">
        <v>7.3599999999999999E-2</v>
      </c>
      <c r="M3441" s="11">
        <v>3.6799999999999999E-2</v>
      </c>
      <c r="N3441">
        <v>28.04</v>
      </c>
      <c r="O3441">
        <v>6.71</v>
      </c>
      <c r="P3441">
        <v>2</v>
      </c>
      <c r="Q3441" t="s">
        <v>25</v>
      </c>
      <c r="R3441">
        <v>24.495000000000001</v>
      </c>
      <c r="S3441">
        <v>7.36</v>
      </c>
      <c r="T3441" s="4">
        <v>20.888999999999999</v>
      </c>
      <c r="U3441" s="4">
        <v>2.6732640000000001</v>
      </c>
      <c r="V3441" t="str">
        <f>IF(Table1[[#This Row],[ai_disruption_intensity]]&gt;70,"High",
IF(Table1[[#This Row],[ai_disruption_intensity]]&gt;40,"Medium","Low"))</f>
        <v>Low</v>
      </c>
      <c r="W3441" t="str">
        <f>IF(Table1[[#This Row],[skill_gap_index]]&gt;70,"Large Gap",
IF(Table1[[#This Row],[skill_gap_index]]&gt;40,"Medium Gap","Small Gap"))</f>
        <v>Small Gap</v>
      </c>
      <c r="X3441" s="3" t="str">
        <f>IF(Table1[[#This Row],[automation_risk_percent]]&gt;0.7,"Highly Automatable",
IF(Table1[[#This Row],[automation_risk_percent]]&gt;0.4,"Moderate Risk","Safe Job"))</f>
        <v>Safe Job</v>
      </c>
    </row>
    <row r="3442" spans="1:24" x14ac:dyDescent="0.3">
      <c r="A3442">
        <v>12027</v>
      </c>
      <c r="B3442" t="s">
        <v>41</v>
      </c>
      <c r="C3442" t="s">
        <v>30</v>
      </c>
      <c r="D3442" t="s">
        <v>47</v>
      </c>
      <c r="E3442" s="1">
        <v>2025</v>
      </c>
      <c r="F3442" s="11">
        <v>0.83689999999999998</v>
      </c>
      <c r="G3442">
        <v>70.400000000000006</v>
      </c>
      <c r="H3442">
        <v>64.53</v>
      </c>
      <c r="I3442" s="2">
        <v>104450.49</v>
      </c>
      <c r="J3442" s="2">
        <v>103357.55</v>
      </c>
      <c r="K3442" s="2">
        <f>Table1[[#This Row],[Salary_after]]-Table1[[#This Row],[Salary_before]]</f>
        <v>-1092.9400000000023</v>
      </c>
      <c r="L3442" s="11">
        <v>-1.0500000000000001E-2</v>
      </c>
      <c r="M3442" s="11">
        <v>-3.7000000000000002E-3</v>
      </c>
      <c r="N3442">
        <v>51.8</v>
      </c>
      <c r="O3442">
        <v>36.9</v>
      </c>
      <c r="P3442">
        <v>1</v>
      </c>
      <c r="Q3442" t="s">
        <v>37</v>
      </c>
      <c r="R3442">
        <v>74.11</v>
      </c>
      <c r="S3442">
        <v>1.05</v>
      </c>
      <c r="T3442" s="4">
        <v>53.149999999999899</v>
      </c>
      <c r="U3442" s="4">
        <v>30.881609999999899</v>
      </c>
      <c r="V3442" t="str">
        <f>IF(Table1[[#This Row],[ai_disruption_intensity]]&gt;70,"High",
IF(Table1[[#This Row],[ai_disruption_intensity]]&gt;40,"Medium","Low"))</f>
        <v>Low</v>
      </c>
      <c r="W3442" t="str">
        <f>IF(Table1[[#This Row],[skill_gap_index]]&gt;70,"Large Gap",
IF(Table1[[#This Row],[skill_gap_index]]&gt;40,"Medium Gap","Small Gap"))</f>
        <v>Medium Gap</v>
      </c>
      <c r="X3442" s="3" t="str">
        <f>IF(Table1[[#This Row],[automation_risk_percent]]&gt;0.7,"Highly Automatable",
IF(Table1[[#This Row],[automation_risk_percent]]&gt;0.4,"Moderate Risk","Safe Job"))</f>
        <v>Highly Automatable</v>
      </c>
    </row>
    <row r="3443" spans="1:24" x14ac:dyDescent="0.3">
      <c r="A3443">
        <v>12028</v>
      </c>
      <c r="B3443" t="s">
        <v>22</v>
      </c>
      <c r="C3443" t="s">
        <v>23</v>
      </c>
      <c r="D3443" t="s">
        <v>31</v>
      </c>
      <c r="E3443" s="1">
        <v>2026</v>
      </c>
      <c r="F3443" s="11">
        <v>0.5413</v>
      </c>
      <c r="G3443">
        <v>49.06</v>
      </c>
      <c r="H3443">
        <v>18.309999999999999</v>
      </c>
      <c r="I3443" s="2">
        <v>84332.22</v>
      </c>
      <c r="J3443" s="2">
        <v>88942.14</v>
      </c>
      <c r="K3443" s="2">
        <f>Table1[[#This Row],[Salary_after]]-Table1[[#This Row],[Salary_before]]</f>
        <v>4609.9199999999983</v>
      </c>
      <c r="L3443" s="11">
        <v>5.4699999999999999E-2</v>
      </c>
      <c r="M3443" s="11">
        <v>8.1699999999999995E-2</v>
      </c>
      <c r="N3443">
        <v>69.73</v>
      </c>
      <c r="O3443">
        <v>37.74</v>
      </c>
      <c r="P3443">
        <v>5</v>
      </c>
      <c r="Q3443" t="s">
        <v>25</v>
      </c>
      <c r="R3443">
        <v>36.22</v>
      </c>
      <c r="S3443">
        <v>5.47</v>
      </c>
      <c r="T3443" s="4">
        <v>28.785999999999898</v>
      </c>
      <c r="U3443" s="4">
        <v>20.428661999999999</v>
      </c>
      <c r="V3443" t="str">
        <f>IF(Table1[[#This Row],[ai_disruption_intensity]]&gt;70,"High",
IF(Table1[[#This Row],[ai_disruption_intensity]]&gt;40,"Medium","Low"))</f>
        <v>Low</v>
      </c>
      <c r="W3443" t="str">
        <f>IF(Table1[[#This Row],[skill_gap_index]]&gt;70,"Large Gap",
IF(Table1[[#This Row],[skill_gap_index]]&gt;40,"Medium Gap","Small Gap"))</f>
        <v>Small Gap</v>
      </c>
      <c r="X3443" s="3" t="str">
        <f>IF(Table1[[#This Row],[automation_risk_percent]]&gt;0.7,"Highly Automatable",
IF(Table1[[#This Row],[automation_risk_percent]]&gt;0.4,"Moderate Risk","Safe Job"))</f>
        <v>Moderate Risk</v>
      </c>
    </row>
    <row r="3444" spans="1:24" x14ac:dyDescent="0.3">
      <c r="A3444">
        <v>12029</v>
      </c>
      <c r="B3444" t="s">
        <v>43</v>
      </c>
      <c r="C3444" t="s">
        <v>40</v>
      </c>
      <c r="D3444" t="s">
        <v>28</v>
      </c>
      <c r="E3444" s="1">
        <v>2026</v>
      </c>
      <c r="F3444" s="11">
        <v>0.62259999999999993</v>
      </c>
      <c r="G3444">
        <v>54.51</v>
      </c>
      <c r="H3444">
        <v>75.2</v>
      </c>
      <c r="I3444" s="2">
        <v>87707.54</v>
      </c>
      <c r="J3444" s="2">
        <v>95787.199999999997</v>
      </c>
      <c r="K3444" s="2">
        <f>Table1[[#This Row],[Salary_after]]-Table1[[#This Row],[Salary_before]]</f>
        <v>8079.6600000000035</v>
      </c>
      <c r="L3444" s="11">
        <v>9.2100000000000015E-2</v>
      </c>
      <c r="M3444" s="11">
        <v>-5.9800000000000006E-2</v>
      </c>
      <c r="N3444">
        <v>47.48</v>
      </c>
      <c r="O3444">
        <v>62.01</v>
      </c>
      <c r="P3444">
        <v>4</v>
      </c>
      <c r="Q3444" t="s">
        <v>37</v>
      </c>
      <c r="R3444">
        <v>68.73</v>
      </c>
      <c r="S3444">
        <v>9.2100000000000009</v>
      </c>
      <c r="T3444" s="4">
        <v>50.226999999999997</v>
      </c>
      <c r="U3444" s="4">
        <v>38.607425999999997</v>
      </c>
      <c r="V3444" t="str">
        <f>IF(Table1[[#This Row],[ai_disruption_intensity]]&gt;70,"High",
IF(Table1[[#This Row],[ai_disruption_intensity]]&gt;40,"Medium","Low"))</f>
        <v>Low</v>
      </c>
      <c r="W3444" t="str">
        <f>IF(Table1[[#This Row],[skill_gap_index]]&gt;70,"Large Gap",
IF(Table1[[#This Row],[skill_gap_index]]&gt;40,"Medium Gap","Small Gap"))</f>
        <v>Large Gap</v>
      </c>
      <c r="X3444" s="3" t="str">
        <f>IF(Table1[[#This Row],[automation_risk_percent]]&gt;0.7,"Highly Automatable",
IF(Table1[[#This Row],[automation_risk_percent]]&gt;0.4,"Moderate Risk","Safe Job"))</f>
        <v>Moderate Risk</v>
      </c>
    </row>
    <row r="3445" spans="1:24" x14ac:dyDescent="0.3">
      <c r="A3445">
        <v>12030</v>
      </c>
      <c r="B3445" t="s">
        <v>41</v>
      </c>
      <c r="C3445" t="s">
        <v>33</v>
      </c>
      <c r="D3445" t="s">
        <v>31</v>
      </c>
      <c r="E3445" s="1">
        <v>2025</v>
      </c>
      <c r="F3445" s="11">
        <v>0.7145999999999999</v>
      </c>
      <c r="G3445">
        <v>68.400000000000006</v>
      </c>
      <c r="H3445">
        <v>98.6</v>
      </c>
      <c r="I3445" s="2">
        <v>84844.52</v>
      </c>
      <c r="J3445" s="2">
        <v>88433.76</v>
      </c>
      <c r="K3445" s="2">
        <f>Table1[[#This Row],[Salary_after]]-Table1[[#This Row],[Salary_before]]</f>
        <v>3589.2399999999907</v>
      </c>
      <c r="L3445" s="11">
        <v>4.2300000000000004E-2</v>
      </c>
      <c r="M3445" s="11">
        <v>-5.7699999999999994E-2</v>
      </c>
      <c r="N3445">
        <v>59.23</v>
      </c>
      <c r="O3445">
        <v>54.03</v>
      </c>
      <c r="P3445">
        <v>1</v>
      </c>
      <c r="Q3445" t="s">
        <v>37</v>
      </c>
      <c r="R3445">
        <v>85.03</v>
      </c>
      <c r="S3445">
        <v>4.2300000000000004</v>
      </c>
      <c r="T3445" s="4">
        <v>59.433</v>
      </c>
      <c r="U3445" s="4">
        <v>38.609837999999897</v>
      </c>
      <c r="V3445" t="str">
        <f>IF(Table1[[#This Row],[ai_disruption_intensity]]&gt;70,"High",
IF(Table1[[#This Row],[ai_disruption_intensity]]&gt;40,"Medium","Low"))</f>
        <v>Low</v>
      </c>
      <c r="W3445" t="str">
        <f>IF(Table1[[#This Row],[skill_gap_index]]&gt;70,"Large Gap",
IF(Table1[[#This Row],[skill_gap_index]]&gt;40,"Medium Gap","Small Gap"))</f>
        <v>Large Gap</v>
      </c>
      <c r="X3445" s="3" t="str">
        <f>IF(Table1[[#This Row],[automation_risk_percent]]&gt;0.7,"Highly Automatable",
IF(Table1[[#This Row],[automation_risk_percent]]&gt;0.4,"Moderate Risk","Safe Job"))</f>
        <v>Highly Automatable</v>
      </c>
    </row>
    <row r="3446" spans="1:24" x14ac:dyDescent="0.3">
      <c r="A3446">
        <v>12046</v>
      </c>
      <c r="B3446" t="s">
        <v>26</v>
      </c>
      <c r="C3446" t="s">
        <v>19</v>
      </c>
      <c r="D3446" t="s">
        <v>28</v>
      </c>
      <c r="E3446" s="1">
        <v>2026</v>
      </c>
      <c r="F3446" s="11">
        <v>0.1041</v>
      </c>
      <c r="G3446">
        <v>8.3699999999999992</v>
      </c>
      <c r="H3446">
        <v>73.05</v>
      </c>
      <c r="I3446" s="2">
        <v>114544.9</v>
      </c>
      <c r="J3446" s="2">
        <v>107278.18</v>
      </c>
      <c r="K3446" s="2">
        <f>Table1[[#This Row],[Salary_after]]-Table1[[#This Row],[Salary_before]]</f>
        <v>-7266.7200000000012</v>
      </c>
      <c r="L3446" s="11">
        <v>-6.3399999999999998E-2</v>
      </c>
      <c r="M3446" s="11">
        <v>3.3500000000000002E-2</v>
      </c>
      <c r="N3446">
        <v>97.74</v>
      </c>
      <c r="O3446">
        <v>15.08</v>
      </c>
      <c r="P3446">
        <v>4</v>
      </c>
      <c r="Q3446" t="s">
        <v>21</v>
      </c>
      <c r="R3446">
        <v>41.73</v>
      </c>
      <c r="S3446">
        <v>6.34</v>
      </c>
      <c r="T3446" s="4">
        <v>27.981000000000002</v>
      </c>
      <c r="U3446" s="4">
        <v>1.569828</v>
      </c>
      <c r="V3446" t="str">
        <f>IF(Table1[[#This Row],[ai_disruption_intensity]]&gt;70,"High",
IF(Table1[[#This Row],[ai_disruption_intensity]]&gt;40,"Medium","Low"))</f>
        <v>Low</v>
      </c>
      <c r="W3446" t="str">
        <f>IF(Table1[[#This Row],[skill_gap_index]]&gt;70,"Large Gap",
IF(Table1[[#This Row],[skill_gap_index]]&gt;40,"Medium Gap","Small Gap"))</f>
        <v>Large Gap</v>
      </c>
      <c r="X3446" s="3" t="str">
        <f>IF(Table1[[#This Row],[automation_risk_percent]]&gt;0.7,"Highly Automatable",
IF(Table1[[#This Row],[automation_risk_percent]]&gt;0.4,"Moderate Risk","Safe Job"))</f>
        <v>Safe Job</v>
      </c>
    </row>
    <row r="3447" spans="1:24" x14ac:dyDescent="0.3">
      <c r="A3447">
        <v>12052</v>
      </c>
      <c r="B3447" t="s">
        <v>46</v>
      </c>
      <c r="C3447" t="s">
        <v>27</v>
      </c>
      <c r="D3447" t="s">
        <v>28</v>
      </c>
      <c r="E3447" s="1">
        <v>2026</v>
      </c>
      <c r="F3447" s="11">
        <v>0.4113</v>
      </c>
      <c r="G3447">
        <v>45.65</v>
      </c>
      <c r="H3447">
        <v>81.34</v>
      </c>
      <c r="I3447" s="2">
        <v>110878.31</v>
      </c>
      <c r="J3447" s="2">
        <v>121578.63</v>
      </c>
      <c r="K3447" s="2">
        <f>Table1[[#This Row],[Salary_after]]-Table1[[#This Row],[Salary_before]]</f>
        <v>10700.320000000007</v>
      </c>
      <c r="L3447" s="11">
        <v>9.6500000000000002E-2</v>
      </c>
      <c r="M3447" s="11">
        <v>0.1734</v>
      </c>
      <c r="N3447">
        <v>23.59</v>
      </c>
      <c r="O3447">
        <v>68.459999999999994</v>
      </c>
      <c r="P3447">
        <v>5</v>
      </c>
      <c r="Q3447" t="s">
        <v>25</v>
      </c>
      <c r="R3447">
        <v>61.234999999999999</v>
      </c>
      <c r="S3447">
        <v>9.65</v>
      </c>
      <c r="T3447" s="4">
        <v>43.749000000000002</v>
      </c>
      <c r="U3447" s="4">
        <v>28.157597999999901</v>
      </c>
      <c r="V3447" t="str">
        <f>IF(Table1[[#This Row],[ai_disruption_intensity]]&gt;70,"High",
IF(Table1[[#This Row],[ai_disruption_intensity]]&gt;40,"Medium","Low"))</f>
        <v>Low</v>
      </c>
      <c r="W3447" t="str">
        <f>IF(Table1[[#This Row],[skill_gap_index]]&gt;70,"Large Gap",
IF(Table1[[#This Row],[skill_gap_index]]&gt;40,"Medium Gap","Small Gap"))</f>
        <v>Large Gap</v>
      </c>
      <c r="X3447" s="3" t="str">
        <f>IF(Table1[[#This Row],[automation_risk_percent]]&gt;0.7,"Highly Automatable",
IF(Table1[[#This Row],[automation_risk_percent]]&gt;0.4,"Moderate Risk","Safe Job"))</f>
        <v>Moderate Risk</v>
      </c>
    </row>
    <row r="3448" spans="1:24" x14ac:dyDescent="0.3">
      <c r="A3448">
        <v>12054</v>
      </c>
      <c r="B3448" t="s">
        <v>43</v>
      </c>
      <c r="C3448" t="s">
        <v>23</v>
      </c>
      <c r="D3448" t="s">
        <v>28</v>
      </c>
      <c r="E3448" s="1">
        <v>2026</v>
      </c>
      <c r="F3448" s="11">
        <v>0.54010000000000002</v>
      </c>
      <c r="G3448">
        <v>55.27</v>
      </c>
      <c r="H3448">
        <v>50.45</v>
      </c>
      <c r="I3448" s="2">
        <v>54799.21</v>
      </c>
      <c r="J3448" s="2">
        <v>37644.57</v>
      </c>
      <c r="K3448" s="2">
        <f>Table1[[#This Row],[Salary_after]]-Table1[[#This Row],[Salary_before]]</f>
        <v>-17154.64</v>
      </c>
      <c r="L3448" s="11">
        <v>-0.313</v>
      </c>
      <c r="M3448" s="11">
        <v>7.0999999999999995E-3</v>
      </c>
      <c r="N3448">
        <v>11.97</v>
      </c>
      <c r="O3448">
        <v>16.239999999999998</v>
      </c>
      <c r="P3448">
        <v>3</v>
      </c>
      <c r="Q3448" t="s">
        <v>25</v>
      </c>
      <c r="R3448">
        <v>52.23</v>
      </c>
      <c r="S3448">
        <v>31.3</v>
      </c>
      <c r="T3448" s="4">
        <v>46.128999999999998</v>
      </c>
      <c r="U3448" s="4">
        <v>8.7712239999999895</v>
      </c>
      <c r="V3448" t="str">
        <f>IF(Table1[[#This Row],[ai_disruption_intensity]]&gt;70,"High",
IF(Table1[[#This Row],[ai_disruption_intensity]]&gt;40,"Medium","Low"))</f>
        <v>Low</v>
      </c>
      <c r="W3448" t="str">
        <f>IF(Table1[[#This Row],[skill_gap_index]]&gt;70,"Large Gap",
IF(Table1[[#This Row],[skill_gap_index]]&gt;40,"Medium Gap","Small Gap"))</f>
        <v>Medium Gap</v>
      </c>
      <c r="X3448" s="3" t="str">
        <f>IF(Table1[[#This Row],[automation_risk_percent]]&gt;0.7,"Highly Automatable",
IF(Table1[[#This Row],[automation_risk_percent]]&gt;0.4,"Moderate Risk","Safe Job"))</f>
        <v>Moderate Risk</v>
      </c>
    </row>
    <row r="3449" spans="1:24" x14ac:dyDescent="0.3">
      <c r="A3449">
        <v>12058</v>
      </c>
      <c r="B3449" t="s">
        <v>43</v>
      </c>
      <c r="C3449" t="s">
        <v>23</v>
      </c>
      <c r="D3449" t="s">
        <v>35</v>
      </c>
      <c r="E3449" s="1">
        <v>2025</v>
      </c>
      <c r="F3449" s="11">
        <v>0.1002</v>
      </c>
      <c r="G3449">
        <v>10.14</v>
      </c>
      <c r="H3449">
        <v>0.75</v>
      </c>
      <c r="I3449" s="2">
        <v>72180.23</v>
      </c>
      <c r="J3449" s="2">
        <v>74946.59</v>
      </c>
      <c r="K3449" s="2">
        <f>Table1[[#This Row],[Salary_after]]-Table1[[#This Row],[Salary_before]]</f>
        <v>2766.3600000000006</v>
      </c>
      <c r="L3449" s="11">
        <v>3.8300000000000001E-2</v>
      </c>
      <c r="M3449" s="11">
        <v>0.13150000000000001</v>
      </c>
      <c r="N3449">
        <v>86.56</v>
      </c>
      <c r="O3449">
        <v>55.72</v>
      </c>
      <c r="P3449">
        <v>2</v>
      </c>
      <c r="Q3449" t="s">
        <v>21</v>
      </c>
      <c r="R3449">
        <v>5.3849999999999998</v>
      </c>
      <c r="S3449">
        <v>3.83</v>
      </c>
      <c r="T3449" s="4">
        <v>5.3819999999999997</v>
      </c>
      <c r="U3449" s="4">
        <v>5.5831439999999999</v>
      </c>
      <c r="V3449" t="str">
        <f>IF(Table1[[#This Row],[ai_disruption_intensity]]&gt;70,"High",
IF(Table1[[#This Row],[ai_disruption_intensity]]&gt;40,"Medium","Low"))</f>
        <v>Low</v>
      </c>
      <c r="W3449" t="str">
        <f>IF(Table1[[#This Row],[skill_gap_index]]&gt;70,"Large Gap",
IF(Table1[[#This Row],[skill_gap_index]]&gt;40,"Medium Gap","Small Gap"))</f>
        <v>Small Gap</v>
      </c>
      <c r="X3449" s="3" t="str">
        <f>IF(Table1[[#This Row],[automation_risk_percent]]&gt;0.7,"Highly Automatable",
IF(Table1[[#This Row],[automation_risk_percent]]&gt;0.4,"Moderate Risk","Safe Job"))</f>
        <v>Safe Job</v>
      </c>
    </row>
    <row r="3450" spans="1:24" x14ac:dyDescent="0.3">
      <c r="A3450">
        <v>12063</v>
      </c>
      <c r="B3450" t="s">
        <v>41</v>
      </c>
      <c r="C3450" t="s">
        <v>34</v>
      </c>
      <c r="D3450" t="s">
        <v>47</v>
      </c>
      <c r="E3450" s="1">
        <v>2026</v>
      </c>
      <c r="F3450" s="11">
        <v>0.83760000000000001</v>
      </c>
      <c r="G3450">
        <v>70.39</v>
      </c>
      <c r="H3450">
        <v>13.99</v>
      </c>
      <c r="I3450" s="2">
        <v>44308.84</v>
      </c>
      <c r="J3450" s="2">
        <v>36062.29</v>
      </c>
      <c r="K3450" s="2">
        <f>Table1[[#This Row],[Salary_after]]-Table1[[#This Row],[Salary_before]]</f>
        <v>-8246.5499999999956</v>
      </c>
      <c r="L3450" s="11">
        <v>-0.18609999999999999</v>
      </c>
      <c r="M3450" s="11">
        <v>9.2600000000000002E-2</v>
      </c>
      <c r="N3450">
        <v>83.47</v>
      </c>
      <c r="O3450">
        <v>58.22</v>
      </c>
      <c r="P3450">
        <v>5</v>
      </c>
      <c r="Q3450" t="s">
        <v>37</v>
      </c>
      <c r="R3450">
        <v>48.875</v>
      </c>
      <c r="S3450">
        <v>18.61</v>
      </c>
      <c r="T3450" s="4">
        <v>43.283999999999999</v>
      </c>
      <c r="U3450" s="4">
        <v>48.765072000000004</v>
      </c>
      <c r="V3450" t="str">
        <f>IF(Table1[[#This Row],[ai_disruption_intensity]]&gt;70,"High",
IF(Table1[[#This Row],[ai_disruption_intensity]]&gt;40,"Medium","Low"))</f>
        <v>Medium</v>
      </c>
      <c r="W3450" t="str">
        <f>IF(Table1[[#This Row],[skill_gap_index]]&gt;70,"Large Gap",
IF(Table1[[#This Row],[skill_gap_index]]&gt;40,"Medium Gap","Small Gap"))</f>
        <v>Small Gap</v>
      </c>
      <c r="X3450" s="3" t="str">
        <f>IF(Table1[[#This Row],[automation_risk_percent]]&gt;0.7,"Highly Automatable",
IF(Table1[[#This Row],[automation_risk_percent]]&gt;0.4,"Moderate Risk","Safe Job"))</f>
        <v>Highly Automatable</v>
      </c>
    </row>
    <row r="3451" spans="1:24" x14ac:dyDescent="0.3">
      <c r="A3451">
        <v>12065</v>
      </c>
      <c r="B3451" t="s">
        <v>26</v>
      </c>
      <c r="C3451" t="s">
        <v>19</v>
      </c>
      <c r="D3451" t="s">
        <v>35</v>
      </c>
      <c r="E3451" s="1">
        <v>2026</v>
      </c>
      <c r="F3451" s="11">
        <v>0.2596</v>
      </c>
      <c r="G3451">
        <v>29.99</v>
      </c>
      <c r="H3451">
        <v>82.32</v>
      </c>
      <c r="I3451" s="2">
        <v>129950.07</v>
      </c>
      <c r="J3451" s="2">
        <v>137084.23000000001</v>
      </c>
      <c r="K3451" s="2">
        <f>Table1[[#This Row],[Salary_after]]-Table1[[#This Row],[Salary_before]]</f>
        <v>7134.1600000000035</v>
      </c>
      <c r="L3451" s="11">
        <v>5.4900000000000004E-2</v>
      </c>
      <c r="M3451" s="11">
        <v>0.15359999999999999</v>
      </c>
      <c r="N3451">
        <v>55.74</v>
      </c>
      <c r="O3451">
        <v>68.72</v>
      </c>
      <c r="P3451">
        <v>3</v>
      </c>
      <c r="Q3451" t="s">
        <v>21</v>
      </c>
      <c r="R3451">
        <v>54.14</v>
      </c>
      <c r="S3451">
        <v>5.49</v>
      </c>
      <c r="T3451" s="4">
        <v>36.726999999999997</v>
      </c>
      <c r="U3451" s="4">
        <v>17.839711999999999</v>
      </c>
      <c r="V3451" t="str">
        <f>IF(Table1[[#This Row],[ai_disruption_intensity]]&gt;70,"High",
IF(Table1[[#This Row],[ai_disruption_intensity]]&gt;40,"Medium","Low"))</f>
        <v>Low</v>
      </c>
      <c r="W3451" t="str">
        <f>IF(Table1[[#This Row],[skill_gap_index]]&gt;70,"Large Gap",
IF(Table1[[#This Row],[skill_gap_index]]&gt;40,"Medium Gap","Small Gap"))</f>
        <v>Large Gap</v>
      </c>
      <c r="X3451" s="3" t="str">
        <f>IF(Table1[[#This Row],[automation_risk_percent]]&gt;0.7,"Highly Automatable",
IF(Table1[[#This Row],[automation_risk_percent]]&gt;0.4,"Moderate Risk","Safe Job"))</f>
        <v>Safe Job</v>
      </c>
    </row>
    <row r="3452" spans="1:24" x14ac:dyDescent="0.3">
      <c r="A3452">
        <v>12071</v>
      </c>
      <c r="B3452" t="s">
        <v>45</v>
      </c>
      <c r="C3452" t="s">
        <v>23</v>
      </c>
      <c r="D3452" t="s">
        <v>20</v>
      </c>
      <c r="E3452" s="1">
        <v>2025</v>
      </c>
      <c r="F3452" s="11">
        <v>0.30079999999999996</v>
      </c>
      <c r="G3452">
        <v>32.1</v>
      </c>
      <c r="H3452">
        <v>17.420000000000002</v>
      </c>
      <c r="I3452" s="2">
        <v>65497.63</v>
      </c>
      <c r="J3452" s="2">
        <v>65616.070000000007</v>
      </c>
      <c r="K3452" s="2">
        <f>Table1[[#This Row],[Salary_after]]-Table1[[#This Row],[Salary_before]]</f>
        <v>118.4400000000096</v>
      </c>
      <c r="L3452" s="11">
        <v>1.8E-3</v>
      </c>
      <c r="M3452" s="11">
        <v>0.1275</v>
      </c>
      <c r="N3452">
        <v>23.55</v>
      </c>
      <c r="O3452">
        <v>66.84</v>
      </c>
      <c r="P3452">
        <v>1</v>
      </c>
      <c r="Q3452" t="s">
        <v>25</v>
      </c>
      <c r="R3452">
        <v>23.75</v>
      </c>
      <c r="S3452">
        <v>0.18</v>
      </c>
      <c r="T3452" s="4">
        <v>17.311999999999902</v>
      </c>
      <c r="U3452" s="4">
        <v>20.105471999999999</v>
      </c>
      <c r="V3452" t="str">
        <f>IF(Table1[[#This Row],[ai_disruption_intensity]]&gt;70,"High",
IF(Table1[[#This Row],[ai_disruption_intensity]]&gt;40,"Medium","Low"))</f>
        <v>Low</v>
      </c>
      <c r="W3452" t="str">
        <f>IF(Table1[[#This Row],[skill_gap_index]]&gt;70,"Large Gap",
IF(Table1[[#This Row],[skill_gap_index]]&gt;40,"Medium Gap","Small Gap"))</f>
        <v>Small Gap</v>
      </c>
      <c r="X3452" s="3" t="str">
        <f>IF(Table1[[#This Row],[automation_risk_percent]]&gt;0.7,"Highly Automatable",
IF(Table1[[#This Row],[automation_risk_percent]]&gt;0.4,"Moderate Risk","Safe Job"))</f>
        <v>Safe Job</v>
      </c>
    </row>
    <row r="3453" spans="1:24" x14ac:dyDescent="0.3">
      <c r="A3453">
        <v>12072</v>
      </c>
      <c r="B3453" t="s">
        <v>29</v>
      </c>
      <c r="C3453" t="s">
        <v>19</v>
      </c>
      <c r="D3453" t="s">
        <v>42</v>
      </c>
      <c r="E3453" s="1">
        <v>2025</v>
      </c>
      <c r="F3453" s="11">
        <v>0.4108</v>
      </c>
      <c r="G3453">
        <v>33.44</v>
      </c>
      <c r="H3453">
        <v>87.19</v>
      </c>
      <c r="I3453" s="2">
        <v>82130.48</v>
      </c>
      <c r="J3453" s="2">
        <v>86324.72</v>
      </c>
      <c r="K3453" s="2">
        <f>Table1[[#This Row],[Salary_after]]-Table1[[#This Row],[Salary_before]]</f>
        <v>4194.2400000000052</v>
      </c>
      <c r="L3453" s="11">
        <v>5.1100000000000007E-2</v>
      </c>
      <c r="M3453" s="11">
        <v>0.09</v>
      </c>
      <c r="N3453">
        <v>61.62</v>
      </c>
      <c r="O3453">
        <v>9.69</v>
      </c>
      <c r="P3453">
        <v>3</v>
      </c>
      <c r="Q3453" t="s">
        <v>25</v>
      </c>
      <c r="R3453">
        <v>64.134999999999906</v>
      </c>
      <c r="S3453">
        <v>5.1100000000000003</v>
      </c>
      <c r="T3453" s="4">
        <v>44.122</v>
      </c>
      <c r="U3453" s="4">
        <v>3.9806519999999899</v>
      </c>
      <c r="V3453" t="str">
        <f>IF(Table1[[#This Row],[ai_disruption_intensity]]&gt;70,"High",
IF(Table1[[#This Row],[ai_disruption_intensity]]&gt;40,"Medium","Low"))</f>
        <v>Low</v>
      </c>
      <c r="W3453" t="str">
        <f>IF(Table1[[#This Row],[skill_gap_index]]&gt;70,"Large Gap",
IF(Table1[[#This Row],[skill_gap_index]]&gt;40,"Medium Gap","Small Gap"))</f>
        <v>Large Gap</v>
      </c>
      <c r="X3453" s="3" t="str">
        <f>IF(Table1[[#This Row],[automation_risk_percent]]&gt;0.7,"Highly Automatable",
IF(Table1[[#This Row],[automation_risk_percent]]&gt;0.4,"Moderate Risk","Safe Job"))</f>
        <v>Moderate Risk</v>
      </c>
    </row>
    <row r="3454" spans="1:24" x14ac:dyDescent="0.3">
      <c r="A3454">
        <v>12073</v>
      </c>
      <c r="B3454" t="s">
        <v>44</v>
      </c>
      <c r="C3454" t="s">
        <v>38</v>
      </c>
      <c r="D3454" t="s">
        <v>24</v>
      </c>
      <c r="E3454" s="1">
        <v>2026</v>
      </c>
      <c r="F3454" s="11">
        <v>0.32420000000000004</v>
      </c>
      <c r="G3454">
        <v>29.21</v>
      </c>
      <c r="H3454">
        <v>60.42</v>
      </c>
      <c r="I3454" s="2">
        <v>79303.259999999995</v>
      </c>
      <c r="J3454" s="2">
        <v>93330.8</v>
      </c>
      <c r="K3454" s="2">
        <f>Table1[[#This Row],[Salary_after]]-Table1[[#This Row],[Salary_before]]</f>
        <v>14027.540000000008</v>
      </c>
      <c r="L3454" s="11">
        <v>0.1769</v>
      </c>
      <c r="M3454" s="11">
        <v>-5.04E-2</v>
      </c>
      <c r="N3454">
        <v>12.87</v>
      </c>
      <c r="O3454">
        <v>13.23</v>
      </c>
      <c r="P3454">
        <v>4</v>
      </c>
      <c r="Q3454" t="s">
        <v>25</v>
      </c>
      <c r="R3454">
        <v>46.42</v>
      </c>
      <c r="S3454">
        <v>17.690000000000001</v>
      </c>
      <c r="T3454" s="4">
        <v>36.401000000000003</v>
      </c>
      <c r="U3454" s="4">
        <v>4.2891659999999998</v>
      </c>
      <c r="V3454" t="str">
        <f>IF(Table1[[#This Row],[ai_disruption_intensity]]&gt;70,"High",
IF(Table1[[#This Row],[ai_disruption_intensity]]&gt;40,"Medium","Low"))</f>
        <v>Low</v>
      </c>
      <c r="W3454" t="str">
        <f>IF(Table1[[#This Row],[skill_gap_index]]&gt;70,"Large Gap",
IF(Table1[[#This Row],[skill_gap_index]]&gt;40,"Medium Gap","Small Gap"))</f>
        <v>Medium Gap</v>
      </c>
      <c r="X3454" s="3" t="str">
        <f>IF(Table1[[#This Row],[automation_risk_percent]]&gt;0.7,"Highly Automatable",
IF(Table1[[#This Row],[automation_risk_percent]]&gt;0.4,"Moderate Risk","Safe Job"))</f>
        <v>Safe Job</v>
      </c>
    </row>
    <row r="3455" spans="1:24" x14ac:dyDescent="0.3">
      <c r="A3455">
        <v>12077</v>
      </c>
      <c r="B3455" t="s">
        <v>18</v>
      </c>
      <c r="C3455" t="s">
        <v>38</v>
      </c>
      <c r="D3455" t="s">
        <v>20</v>
      </c>
      <c r="E3455" s="1">
        <v>2026</v>
      </c>
      <c r="F3455" s="11">
        <v>0.4194</v>
      </c>
      <c r="G3455">
        <v>43.54</v>
      </c>
      <c r="H3455">
        <v>63.56</v>
      </c>
      <c r="I3455" s="2">
        <v>97745.84</v>
      </c>
      <c r="J3455" s="2">
        <v>101627.48</v>
      </c>
      <c r="K3455" s="2">
        <f>Table1[[#This Row],[Salary_after]]-Table1[[#This Row],[Salary_before]]</f>
        <v>3881.6399999999994</v>
      </c>
      <c r="L3455" s="11">
        <v>3.9699999999999999E-2</v>
      </c>
      <c r="M3455" s="11">
        <v>1.8200000000000001E-2</v>
      </c>
      <c r="N3455">
        <v>28.98</v>
      </c>
      <c r="O3455">
        <v>82.57</v>
      </c>
      <c r="P3455">
        <v>3</v>
      </c>
      <c r="Q3455" t="s">
        <v>25</v>
      </c>
      <c r="R3455">
        <v>52.75</v>
      </c>
      <c r="S3455">
        <v>3.97</v>
      </c>
      <c r="T3455" s="4">
        <v>37.034999999999997</v>
      </c>
      <c r="U3455" s="4">
        <v>34.629857999999899</v>
      </c>
      <c r="V3455" t="str">
        <f>IF(Table1[[#This Row],[ai_disruption_intensity]]&gt;70,"High",
IF(Table1[[#This Row],[ai_disruption_intensity]]&gt;40,"Medium","Low"))</f>
        <v>Low</v>
      </c>
      <c r="W3455" t="str">
        <f>IF(Table1[[#This Row],[skill_gap_index]]&gt;70,"Large Gap",
IF(Table1[[#This Row],[skill_gap_index]]&gt;40,"Medium Gap","Small Gap"))</f>
        <v>Medium Gap</v>
      </c>
      <c r="X3455" s="3" t="str">
        <f>IF(Table1[[#This Row],[automation_risk_percent]]&gt;0.7,"Highly Automatable",
IF(Table1[[#This Row],[automation_risk_percent]]&gt;0.4,"Moderate Risk","Safe Job"))</f>
        <v>Moderate Risk</v>
      </c>
    </row>
    <row r="3456" spans="1:24" x14ac:dyDescent="0.3">
      <c r="A3456">
        <v>12080</v>
      </c>
      <c r="B3456" t="s">
        <v>29</v>
      </c>
      <c r="C3456" t="s">
        <v>38</v>
      </c>
      <c r="D3456" t="s">
        <v>28</v>
      </c>
      <c r="E3456" s="1">
        <v>2025</v>
      </c>
      <c r="F3456" s="11">
        <v>0.4274</v>
      </c>
      <c r="G3456">
        <v>40.119999999999997</v>
      </c>
      <c r="H3456">
        <v>33.61</v>
      </c>
      <c r="I3456" s="2">
        <v>70754.69</v>
      </c>
      <c r="J3456" s="2">
        <v>70190.509999999995</v>
      </c>
      <c r="K3456" s="2">
        <f>Table1[[#This Row],[Salary_after]]-Table1[[#This Row],[Salary_before]]</f>
        <v>-564.18000000000757</v>
      </c>
      <c r="L3456" s="11">
        <v>-8.0000000000000002E-3</v>
      </c>
      <c r="M3456" s="11">
        <v>0.1542</v>
      </c>
      <c r="N3456">
        <v>55.9</v>
      </c>
      <c r="O3456">
        <v>78.400000000000006</v>
      </c>
      <c r="P3456">
        <v>3</v>
      </c>
      <c r="Q3456" t="s">
        <v>25</v>
      </c>
      <c r="R3456">
        <v>38.174999999999997</v>
      </c>
      <c r="S3456">
        <v>0.8</v>
      </c>
      <c r="T3456" s="4">
        <v>27.419</v>
      </c>
      <c r="U3456" s="4">
        <v>33.508159999999997</v>
      </c>
      <c r="V3456" t="str">
        <f>IF(Table1[[#This Row],[ai_disruption_intensity]]&gt;70,"High",
IF(Table1[[#This Row],[ai_disruption_intensity]]&gt;40,"Medium","Low"))</f>
        <v>Low</v>
      </c>
      <c r="W3456" t="str">
        <f>IF(Table1[[#This Row],[skill_gap_index]]&gt;70,"Large Gap",
IF(Table1[[#This Row],[skill_gap_index]]&gt;40,"Medium Gap","Small Gap"))</f>
        <v>Small Gap</v>
      </c>
      <c r="X3456" s="3" t="str">
        <f>IF(Table1[[#This Row],[automation_risk_percent]]&gt;0.7,"Highly Automatable",
IF(Table1[[#This Row],[automation_risk_percent]]&gt;0.4,"Moderate Risk","Safe Job"))</f>
        <v>Moderate Risk</v>
      </c>
    </row>
    <row r="3457" spans="1:24" x14ac:dyDescent="0.3">
      <c r="A3457">
        <v>12082</v>
      </c>
      <c r="B3457" t="s">
        <v>46</v>
      </c>
      <c r="C3457" t="s">
        <v>30</v>
      </c>
      <c r="D3457" t="s">
        <v>28</v>
      </c>
      <c r="E3457" s="1">
        <v>2025</v>
      </c>
      <c r="F3457" s="11">
        <v>0.42070000000000002</v>
      </c>
      <c r="G3457">
        <v>45.29</v>
      </c>
      <c r="H3457">
        <v>20.21</v>
      </c>
      <c r="I3457" s="2">
        <v>142234.13</v>
      </c>
      <c r="J3457" s="2">
        <v>131854.68</v>
      </c>
      <c r="K3457" s="2">
        <f>Table1[[#This Row],[Salary_after]]-Table1[[#This Row],[Salary_before]]</f>
        <v>-10379.450000000012</v>
      </c>
      <c r="L3457" s="11">
        <v>-7.2999999999999995E-2</v>
      </c>
      <c r="M3457" s="11">
        <v>-5.5399999999999998E-2</v>
      </c>
      <c r="N3457">
        <v>76.239999999999995</v>
      </c>
      <c r="O3457">
        <v>20.03</v>
      </c>
      <c r="P3457">
        <v>5</v>
      </c>
      <c r="Q3457" t="s">
        <v>25</v>
      </c>
      <c r="R3457">
        <v>31.14</v>
      </c>
      <c r="S3457">
        <v>7.3</v>
      </c>
      <c r="T3457" s="4">
        <v>25.081</v>
      </c>
      <c r="U3457" s="4">
        <v>8.4266210000000008</v>
      </c>
      <c r="V3457" t="str">
        <f>IF(Table1[[#This Row],[ai_disruption_intensity]]&gt;70,"High",
IF(Table1[[#This Row],[ai_disruption_intensity]]&gt;40,"Medium","Low"))</f>
        <v>Low</v>
      </c>
      <c r="W3457" t="str">
        <f>IF(Table1[[#This Row],[skill_gap_index]]&gt;70,"Large Gap",
IF(Table1[[#This Row],[skill_gap_index]]&gt;40,"Medium Gap","Small Gap"))</f>
        <v>Small Gap</v>
      </c>
      <c r="X3457" s="3" t="str">
        <f>IF(Table1[[#This Row],[automation_risk_percent]]&gt;0.7,"Highly Automatable",
IF(Table1[[#This Row],[automation_risk_percent]]&gt;0.4,"Moderate Risk","Safe Job"))</f>
        <v>Moderate Risk</v>
      </c>
    </row>
    <row r="3458" spans="1:24" x14ac:dyDescent="0.3">
      <c r="A3458">
        <v>12087</v>
      </c>
      <c r="B3458" t="s">
        <v>29</v>
      </c>
      <c r="C3458" t="s">
        <v>23</v>
      </c>
      <c r="D3458" t="s">
        <v>31</v>
      </c>
      <c r="E3458" s="1">
        <v>2026</v>
      </c>
      <c r="F3458" s="11">
        <v>0.73280000000000001</v>
      </c>
      <c r="G3458">
        <v>75.41</v>
      </c>
      <c r="H3458">
        <v>94.37</v>
      </c>
      <c r="I3458" s="2">
        <v>30817.99</v>
      </c>
      <c r="J3458" s="2">
        <v>29568.92</v>
      </c>
      <c r="K3458" s="2">
        <f>Table1[[#This Row],[Salary_after]]-Table1[[#This Row],[Salary_before]]</f>
        <v>-1249.0700000000033</v>
      </c>
      <c r="L3458" s="11">
        <v>-4.0500000000000001E-2</v>
      </c>
      <c r="M3458" s="11">
        <v>-1.4000000000000002E-3</v>
      </c>
      <c r="N3458">
        <v>14.55</v>
      </c>
      <c r="O3458">
        <v>23.51</v>
      </c>
      <c r="P3458">
        <v>3</v>
      </c>
      <c r="Q3458" t="s">
        <v>37</v>
      </c>
      <c r="R3458">
        <v>83.825000000000003</v>
      </c>
      <c r="S3458">
        <v>4.05</v>
      </c>
      <c r="T3458" s="4">
        <v>58.838000000000001</v>
      </c>
      <c r="U3458" s="4">
        <v>17.228128000000002</v>
      </c>
      <c r="V3458" t="str">
        <f>IF(Table1[[#This Row],[ai_disruption_intensity]]&gt;70,"High",
IF(Table1[[#This Row],[ai_disruption_intensity]]&gt;40,"Medium","Low"))</f>
        <v>Low</v>
      </c>
      <c r="W3458" t="str">
        <f>IF(Table1[[#This Row],[skill_gap_index]]&gt;70,"Large Gap",
IF(Table1[[#This Row],[skill_gap_index]]&gt;40,"Medium Gap","Small Gap"))</f>
        <v>Large Gap</v>
      </c>
      <c r="X3458" s="3" t="str">
        <f>IF(Table1[[#This Row],[automation_risk_percent]]&gt;0.7,"Highly Automatable",
IF(Table1[[#This Row],[automation_risk_percent]]&gt;0.4,"Moderate Risk","Safe Job"))</f>
        <v>Highly Automatable</v>
      </c>
    </row>
    <row r="3459" spans="1:24" x14ac:dyDescent="0.3">
      <c r="A3459">
        <v>12093</v>
      </c>
      <c r="B3459" t="s">
        <v>39</v>
      </c>
      <c r="C3459" t="s">
        <v>40</v>
      </c>
      <c r="D3459" t="s">
        <v>32</v>
      </c>
      <c r="E3459" s="1">
        <v>2026</v>
      </c>
      <c r="F3459" s="11">
        <v>0.1072</v>
      </c>
      <c r="G3459">
        <v>12.85</v>
      </c>
      <c r="H3459">
        <v>63.69</v>
      </c>
      <c r="I3459" s="2">
        <v>88640.62</v>
      </c>
      <c r="J3459" s="2">
        <v>74937.19</v>
      </c>
      <c r="K3459" s="2">
        <f>Table1[[#This Row],[Salary_after]]-Table1[[#This Row],[Salary_before]]</f>
        <v>-13703.429999999993</v>
      </c>
      <c r="L3459" s="11">
        <v>-0.15460000000000002</v>
      </c>
      <c r="M3459" s="11">
        <v>2.2499999999999999E-2</v>
      </c>
      <c r="N3459">
        <v>52.93</v>
      </c>
      <c r="O3459">
        <v>73.349999999999994</v>
      </c>
      <c r="P3459">
        <v>3</v>
      </c>
      <c r="Q3459" t="s">
        <v>21</v>
      </c>
      <c r="R3459">
        <v>37.204999999999998</v>
      </c>
      <c r="S3459">
        <v>15.46</v>
      </c>
      <c r="T3459" s="4">
        <v>28.033000000000001</v>
      </c>
      <c r="U3459" s="4">
        <v>7.8631200000000003</v>
      </c>
      <c r="V3459" t="str">
        <f>IF(Table1[[#This Row],[ai_disruption_intensity]]&gt;70,"High",
IF(Table1[[#This Row],[ai_disruption_intensity]]&gt;40,"Medium","Low"))</f>
        <v>Low</v>
      </c>
      <c r="W3459" t="str">
        <f>IF(Table1[[#This Row],[skill_gap_index]]&gt;70,"Large Gap",
IF(Table1[[#This Row],[skill_gap_index]]&gt;40,"Medium Gap","Small Gap"))</f>
        <v>Medium Gap</v>
      </c>
      <c r="X3459" s="3" t="str">
        <f>IF(Table1[[#This Row],[automation_risk_percent]]&gt;0.7,"Highly Automatable",
IF(Table1[[#This Row],[automation_risk_percent]]&gt;0.4,"Moderate Risk","Safe Job"))</f>
        <v>Safe Job</v>
      </c>
    </row>
    <row r="3460" spans="1:24" x14ac:dyDescent="0.3">
      <c r="A3460">
        <v>12101</v>
      </c>
      <c r="B3460" t="s">
        <v>44</v>
      </c>
      <c r="C3460" t="s">
        <v>27</v>
      </c>
      <c r="D3460" t="s">
        <v>36</v>
      </c>
      <c r="E3460" s="1">
        <v>2025</v>
      </c>
      <c r="F3460" s="11">
        <v>0.7177</v>
      </c>
      <c r="G3460">
        <v>80.09</v>
      </c>
      <c r="H3460">
        <v>12.74</v>
      </c>
      <c r="I3460" s="2">
        <v>141839</v>
      </c>
      <c r="J3460" s="2">
        <v>155137.04</v>
      </c>
      <c r="K3460" s="2">
        <f>Table1[[#This Row],[Salary_after]]-Table1[[#This Row],[Salary_before]]</f>
        <v>13298.040000000008</v>
      </c>
      <c r="L3460" s="11">
        <v>9.3800000000000008E-2</v>
      </c>
      <c r="M3460" s="11">
        <v>-2.1899999999999999E-2</v>
      </c>
      <c r="N3460">
        <v>11.33</v>
      </c>
      <c r="O3460">
        <v>22.06</v>
      </c>
      <c r="P3460">
        <v>4</v>
      </c>
      <c r="Q3460" t="s">
        <v>37</v>
      </c>
      <c r="R3460">
        <v>42.254999999999903</v>
      </c>
      <c r="S3460">
        <v>9.3800000000000008</v>
      </c>
      <c r="T3460" s="4">
        <v>35.344000000000001</v>
      </c>
      <c r="U3460" s="4">
        <v>15.8324619999999</v>
      </c>
      <c r="V3460" t="str">
        <f>IF(Table1[[#This Row],[ai_disruption_intensity]]&gt;70,"High",
IF(Table1[[#This Row],[ai_disruption_intensity]]&gt;40,"Medium","Low"))</f>
        <v>Low</v>
      </c>
      <c r="W3460" t="str">
        <f>IF(Table1[[#This Row],[skill_gap_index]]&gt;70,"Large Gap",
IF(Table1[[#This Row],[skill_gap_index]]&gt;40,"Medium Gap","Small Gap"))</f>
        <v>Small Gap</v>
      </c>
      <c r="X3460" s="3" t="str">
        <f>IF(Table1[[#This Row],[automation_risk_percent]]&gt;0.7,"Highly Automatable",
IF(Table1[[#This Row],[automation_risk_percent]]&gt;0.4,"Moderate Risk","Safe Job"))</f>
        <v>Highly Automatable</v>
      </c>
    </row>
    <row r="3461" spans="1:24" x14ac:dyDescent="0.3">
      <c r="A3461">
        <v>12103</v>
      </c>
      <c r="B3461" t="s">
        <v>46</v>
      </c>
      <c r="C3461" t="s">
        <v>33</v>
      </c>
      <c r="D3461" t="s">
        <v>24</v>
      </c>
      <c r="E3461" s="1">
        <v>2025</v>
      </c>
      <c r="F3461" s="11">
        <v>0.32319999999999999</v>
      </c>
      <c r="G3461">
        <v>34.53</v>
      </c>
      <c r="H3461">
        <v>36.43</v>
      </c>
      <c r="I3461" s="2">
        <v>64025.31</v>
      </c>
      <c r="J3461" s="2">
        <v>58584.03</v>
      </c>
      <c r="K3461" s="2">
        <f>Table1[[#This Row],[Salary_after]]-Table1[[#This Row],[Salary_before]]</f>
        <v>-5441.2799999999988</v>
      </c>
      <c r="L3461" s="11">
        <v>-8.5000000000000006E-2</v>
      </c>
      <c r="M3461" s="11">
        <v>0.21579999999999999</v>
      </c>
      <c r="N3461">
        <v>61.52</v>
      </c>
      <c r="O3461">
        <v>19.86</v>
      </c>
      <c r="P3461">
        <v>3</v>
      </c>
      <c r="Q3461" t="s">
        <v>25</v>
      </c>
      <c r="R3461">
        <v>34.375</v>
      </c>
      <c r="S3461">
        <v>8.5</v>
      </c>
      <c r="T3461" s="4">
        <v>26.407</v>
      </c>
      <c r="U3461" s="4">
        <v>6.4187519999999996</v>
      </c>
      <c r="V3461" t="str">
        <f>IF(Table1[[#This Row],[ai_disruption_intensity]]&gt;70,"High",
IF(Table1[[#This Row],[ai_disruption_intensity]]&gt;40,"Medium","Low"))</f>
        <v>Low</v>
      </c>
      <c r="W3461" t="str">
        <f>IF(Table1[[#This Row],[skill_gap_index]]&gt;70,"Large Gap",
IF(Table1[[#This Row],[skill_gap_index]]&gt;40,"Medium Gap","Small Gap"))</f>
        <v>Small Gap</v>
      </c>
      <c r="X3461" s="3" t="str">
        <f>IF(Table1[[#This Row],[automation_risk_percent]]&gt;0.7,"Highly Automatable",
IF(Table1[[#This Row],[automation_risk_percent]]&gt;0.4,"Moderate Risk","Safe Job"))</f>
        <v>Safe Job</v>
      </c>
    </row>
    <row r="3462" spans="1:24" x14ac:dyDescent="0.3">
      <c r="A3462">
        <v>12105</v>
      </c>
      <c r="B3462" t="s">
        <v>43</v>
      </c>
      <c r="C3462" t="s">
        <v>23</v>
      </c>
      <c r="D3462" t="s">
        <v>24</v>
      </c>
      <c r="E3462" s="1">
        <v>2026</v>
      </c>
      <c r="F3462" s="11">
        <v>0.48249999999999998</v>
      </c>
      <c r="G3462">
        <v>50.49</v>
      </c>
      <c r="H3462">
        <v>91.39</v>
      </c>
      <c r="I3462" s="2">
        <v>129706.18</v>
      </c>
      <c r="J3462" s="2">
        <v>145463.51</v>
      </c>
      <c r="K3462" s="2">
        <f>Table1[[#This Row],[Salary_after]]-Table1[[#This Row],[Salary_before]]</f>
        <v>15757.330000000016</v>
      </c>
      <c r="L3462" s="11">
        <v>0.1215</v>
      </c>
      <c r="M3462" s="11">
        <v>0.1148</v>
      </c>
      <c r="N3462">
        <v>66.58</v>
      </c>
      <c r="O3462">
        <v>57.09</v>
      </c>
      <c r="P3462">
        <v>4</v>
      </c>
      <c r="Q3462" t="s">
        <v>25</v>
      </c>
      <c r="R3462">
        <v>69.819999999999993</v>
      </c>
      <c r="S3462">
        <v>12.15</v>
      </c>
      <c r="T3462" s="4">
        <v>50.362000000000002</v>
      </c>
      <c r="U3462" s="4">
        <v>27.545925</v>
      </c>
      <c r="V3462" t="str">
        <f>IF(Table1[[#This Row],[ai_disruption_intensity]]&gt;70,"High",
IF(Table1[[#This Row],[ai_disruption_intensity]]&gt;40,"Medium","Low"))</f>
        <v>Low</v>
      </c>
      <c r="W3462" t="str">
        <f>IF(Table1[[#This Row],[skill_gap_index]]&gt;70,"Large Gap",
IF(Table1[[#This Row],[skill_gap_index]]&gt;40,"Medium Gap","Small Gap"))</f>
        <v>Large Gap</v>
      </c>
      <c r="X3462" s="3" t="str">
        <f>IF(Table1[[#This Row],[automation_risk_percent]]&gt;0.7,"Highly Automatable",
IF(Table1[[#This Row],[automation_risk_percent]]&gt;0.4,"Moderate Risk","Safe Job"))</f>
        <v>Moderate Risk</v>
      </c>
    </row>
    <row r="3463" spans="1:24" x14ac:dyDescent="0.3">
      <c r="A3463">
        <v>12110</v>
      </c>
      <c r="B3463" t="s">
        <v>22</v>
      </c>
      <c r="C3463" t="s">
        <v>23</v>
      </c>
      <c r="D3463" t="s">
        <v>32</v>
      </c>
      <c r="E3463" s="1">
        <v>2026</v>
      </c>
      <c r="F3463" s="11">
        <v>0.34889999999999999</v>
      </c>
      <c r="G3463">
        <v>39.909999999999997</v>
      </c>
      <c r="H3463">
        <v>7.79</v>
      </c>
      <c r="I3463" s="2">
        <v>141135.79999999999</v>
      </c>
      <c r="J3463" s="2">
        <v>140088.46</v>
      </c>
      <c r="K3463" s="2">
        <f>Table1[[#This Row],[Salary_after]]-Table1[[#This Row],[Salary_before]]</f>
        <v>-1047.3399999999965</v>
      </c>
      <c r="L3463" s="11">
        <v>-7.4000000000000003E-3</v>
      </c>
      <c r="M3463" s="11">
        <v>-0.1094</v>
      </c>
      <c r="N3463">
        <v>96.13</v>
      </c>
      <c r="O3463">
        <v>63.88</v>
      </c>
      <c r="P3463">
        <v>5</v>
      </c>
      <c r="Q3463" t="s">
        <v>25</v>
      </c>
      <c r="R3463">
        <v>21.34</v>
      </c>
      <c r="S3463">
        <v>0.74</v>
      </c>
      <c r="T3463" s="4">
        <v>16.515000000000001</v>
      </c>
      <c r="U3463" s="4">
        <v>22.287731999999998</v>
      </c>
      <c r="V3463" t="str">
        <f>IF(Table1[[#This Row],[ai_disruption_intensity]]&gt;70,"High",
IF(Table1[[#This Row],[ai_disruption_intensity]]&gt;40,"Medium","Low"))</f>
        <v>Low</v>
      </c>
      <c r="W3463" t="str">
        <f>IF(Table1[[#This Row],[skill_gap_index]]&gt;70,"Large Gap",
IF(Table1[[#This Row],[skill_gap_index]]&gt;40,"Medium Gap","Small Gap"))</f>
        <v>Small Gap</v>
      </c>
      <c r="X3463" s="3" t="str">
        <f>IF(Table1[[#This Row],[automation_risk_percent]]&gt;0.7,"Highly Automatable",
IF(Table1[[#This Row],[automation_risk_percent]]&gt;0.4,"Moderate Risk","Safe Job"))</f>
        <v>Safe Job</v>
      </c>
    </row>
    <row r="3464" spans="1:24" x14ac:dyDescent="0.3">
      <c r="A3464">
        <v>12114</v>
      </c>
      <c r="B3464" t="s">
        <v>18</v>
      </c>
      <c r="C3464" t="s">
        <v>40</v>
      </c>
      <c r="D3464" t="s">
        <v>20</v>
      </c>
      <c r="E3464" s="1">
        <v>2025</v>
      </c>
      <c r="F3464" s="11">
        <v>0.34329999999999999</v>
      </c>
      <c r="G3464">
        <v>29.1</v>
      </c>
      <c r="H3464">
        <v>42.86</v>
      </c>
      <c r="I3464" s="2">
        <v>74659.360000000001</v>
      </c>
      <c r="J3464" s="2">
        <v>87233.25</v>
      </c>
      <c r="K3464" s="2">
        <f>Table1[[#This Row],[Salary_after]]-Table1[[#This Row],[Salary_before]]</f>
        <v>12573.89</v>
      </c>
      <c r="L3464" s="11">
        <v>0.16839999999999999</v>
      </c>
      <c r="M3464" s="11">
        <v>0.14169999999999999</v>
      </c>
      <c r="N3464">
        <v>96.81</v>
      </c>
      <c r="O3464">
        <v>16.29</v>
      </c>
      <c r="P3464">
        <v>4</v>
      </c>
      <c r="Q3464" t="s">
        <v>25</v>
      </c>
      <c r="R3464">
        <v>38.594999999999999</v>
      </c>
      <c r="S3464">
        <v>16.84</v>
      </c>
      <c r="T3464" s="4">
        <v>31.6419999999999</v>
      </c>
      <c r="U3464" s="4">
        <v>5.5923569999999998</v>
      </c>
      <c r="V3464" t="str">
        <f>IF(Table1[[#This Row],[ai_disruption_intensity]]&gt;70,"High",
IF(Table1[[#This Row],[ai_disruption_intensity]]&gt;40,"Medium","Low"))</f>
        <v>Low</v>
      </c>
      <c r="W3464" t="str">
        <f>IF(Table1[[#This Row],[skill_gap_index]]&gt;70,"Large Gap",
IF(Table1[[#This Row],[skill_gap_index]]&gt;40,"Medium Gap","Small Gap"))</f>
        <v>Medium Gap</v>
      </c>
      <c r="X3464" s="3" t="str">
        <f>IF(Table1[[#This Row],[automation_risk_percent]]&gt;0.7,"Highly Automatable",
IF(Table1[[#This Row],[automation_risk_percent]]&gt;0.4,"Moderate Risk","Safe Job"))</f>
        <v>Safe Job</v>
      </c>
    </row>
    <row r="3465" spans="1:24" x14ac:dyDescent="0.3">
      <c r="A3465">
        <v>12120</v>
      </c>
      <c r="B3465" t="s">
        <v>41</v>
      </c>
      <c r="C3465" t="s">
        <v>33</v>
      </c>
      <c r="D3465" t="s">
        <v>24</v>
      </c>
      <c r="E3465" s="1">
        <v>2025</v>
      </c>
      <c r="F3465" s="11">
        <v>0.71950000000000003</v>
      </c>
      <c r="G3465">
        <v>75.22</v>
      </c>
      <c r="H3465">
        <v>64.760000000000005</v>
      </c>
      <c r="I3465" s="2">
        <v>97123.68</v>
      </c>
      <c r="J3465" s="2">
        <v>102212.03</v>
      </c>
      <c r="K3465" s="2">
        <f>Table1[[#This Row],[Salary_after]]-Table1[[#This Row],[Salary_before]]</f>
        <v>5088.3500000000058</v>
      </c>
      <c r="L3465" s="11">
        <v>5.2400000000000002E-2</v>
      </c>
      <c r="M3465" s="11">
        <v>-4.7500000000000001E-2</v>
      </c>
      <c r="N3465">
        <v>95.59</v>
      </c>
      <c r="O3465">
        <v>4.1100000000000003</v>
      </c>
      <c r="P3465">
        <v>3</v>
      </c>
      <c r="Q3465" t="s">
        <v>37</v>
      </c>
      <c r="R3465">
        <v>68.355000000000004</v>
      </c>
      <c r="S3465">
        <v>5.24</v>
      </c>
      <c r="T3465" s="4">
        <v>49.78</v>
      </c>
      <c r="U3465" s="4">
        <v>2.9571450000000001</v>
      </c>
      <c r="V3465" t="str">
        <f>IF(Table1[[#This Row],[ai_disruption_intensity]]&gt;70,"High",
IF(Table1[[#This Row],[ai_disruption_intensity]]&gt;40,"Medium","Low"))</f>
        <v>Low</v>
      </c>
      <c r="W3465" t="str">
        <f>IF(Table1[[#This Row],[skill_gap_index]]&gt;70,"Large Gap",
IF(Table1[[#This Row],[skill_gap_index]]&gt;40,"Medium Gap","Small Gap"))</f>
        <v>Medium Gap</v>
      </c>
      <c r="X3465" s="3" t="str">
        <f>IF(Table1[[#This Row],[automation_risk_percent]]&gt;0.7,"Highly Automatable",
IF(Table1[[#This Row],[automation_risk_percent]]&gt;0.4,"Moderate Risk","Safe Job"))</f>
        <v>Highly Automatable</v>
      </c>
    </row>
    <row r="3466" spans="1:24" x14ac:dyDescent="0.3">
      <c r="A3466">
        <v>12124</v>
      </c>
      <c r="B3466" t="s">
        <v>44</v>
      </c>
      <c r="C3466" t="s">
        <v>30</v>
      </c>
      <c r="D3466" t="s">
        <v>32</v>
      </c>
      <c r="E3466" s="1">
        <v>2026</v>
      </c>
      <c r="F3466" s="11">
        <v>0.4753</v>
      </c>
      <c r="G3466">
        <v>48.23</v>
      </c>
      <c r="H3466">
        <v>53.05</v>
      </c>
      <c r="I3466" s="2">
        <v>133142.01</v>
      </c>
      <c r="J3466" s="2">
        <v>125323.29</v>
      </c>
      <c r="K3466" s="2">
        <f>Table1[[#This Row],[Salary_after]]-Table1[[#This Row],[Salary_before]]</f>
        <v>-7818.7200000000157</v>
      </c>
      <c r="L3466" s="11">
        <v>-5.8700000000000002E-2</v>
      </c>
      <c r="M3466" s="11">
        <v>-5.3499999999999999E-2</v>
      </c>
      <c r="N3466">
        <v>83.14</v>
      </c>
      <c r="O3466">
        <v>58.39</v>
      </c>
      <c r="P3466">
        <v>4</v>
      </c>
      <c r="Q3466" t="s">
        <v>25</v>
      </c>
      <c r="R3466">
        <v>50.29</v>
      </c>
      <c r="S3466">
        <v>5.87</v>
      </c>
      <c r="T3466" s="4">
        <v>36.688000000000002</v>
      </c>
      <c r="U3466" s="4">
        <v>27.752766999999999</v>
      </c>
      <c r="V3466" t="str">
        <f>IF(Table1[[#This Row],[ai_disruption_intensity]]&gt;70,"High",
IF(Table1[[#This Row],[ai_disruption_intensity]]&gt;40,"Medium","Low"))</f>
        <v>Low</v>
      </c>
      <c r="W3466" t="str">
        <f>IF(Table1[[#This Row],[skill_gap_index]]&gt;70,"Large Gap",
IF(Table1[[#This Row],[skill_gap_index]]&gt;40,"Medium Gap","Small Gap"))</f>
        <v>Medium Gap</v>
      </c>
      <c r="X3466" s="3" t="str">
        <f>IF(Table1[[#This Row],[automation_risk_percent]]&gt;0.7,"Highly Automatable",
IF(Table1[[#This Row],[automation_risk_percent]]&gt;0.4,"Moderate Risk","Safe Job"))</f>
        <v>Moderate Risk</v>
      </c>
    </row>
    <row r="3467" spans="1:24" x14ac:dyDescent="0.3">
      <c r="A3467">
        <v>12126</v>
      </c>
      <c r="B3467" t="s">
        <v>41</v>
      </c>
      <c r="C3467" t="s">
        <v>38</v>
      </c>
      <c r="D3467" t="s">
        <v>28</v>
      </c>
      <c r="E3467" s="1">
        <v>2025</v>
      </c>
      <c r="F3467" s="11">
        <v>0.37290000000000001</v>
      </c>
      <c r="G3467">
        <v>35.53</v>
      </c>
      <c r="H3467">
        <v>92.87</v>
      </c>
      <c r="I3467" s="2">
        <v>51833.440000000002</v>
      </c>
      <c r="J3467" s="2">
        <v>52427.57</v>
      </c>
      <c r="K3467" s="2">
        <f>Table1[[#This Row],[Salary_after]]-Table1[[#This Row],[Salary_before]]</f>
        <v>594.12999999999738</v>
      </c>
      <c r="L3467" s="11">
        <v>1.15E-2</v>
      </c>
      <c r="M3467" s="11">
        <v>8.0399999999999985E-2</v>
      </c>
      <c r="N3467">
        <v>52.41</v>
      </c>
      <c r="O3467">
        <v>1.77</v>
      </c>
      <c r="P3467">
        <v>4</v>
      </c>
      <c r="Q3467" t="s">
        <v>25</v>
      </c>
      <c r="R3467">
        <v>65.08</v>
      </c>
      <c r="S3467">
        <v>1.1499999999999999</v>
      </c>
      <c r="T3467" s="4">
        <v>43.122</v>
      </c>
      <c r="U3467" s="4">
        <v>0.66003299999999998</v>
      </c>
      <c r="V3467" t="str">
        <f>IF(Table1[[#This Row],[ai_disruption_intensity]]&gt;70,"High",
IF(Table1[[#This Row],[ai_disruption_intensity]]&gt;40,"Medium","Low"))</f>
        <v>Low</v>
      </c>
      <c r="W3467" t="str">
        <f>IF(Table1[[#This Row],[skill_gap_index]]&gt;70,"Large Gap",
IF(Table1[[#This Row],[skill_gap_index]]&gt;40,"Medium Gap","Small Gap"))</f>
        <v>Large Gap</v>
      </c>
      <c r="X3467" s="3" t="str">
        <f>IF(Table1[[#This Row],[automation_risk_percent]]&gt;0.7,"Highly Automatable",
IF(Table1[[#This Row],[automation_risk_percent]]&gt;0.4,"Moderate Risk","Safe Job"))</f>
        <v>Safe Job</v>
      </c>
    </row>
    <row r="3468" spans="1:24" x14ac:dyDescent="0.3">
      <c r="A3468">
        <v>12127</v>
      </c>
      <c r="B3468" t="s">
        <v>18</v>
      </c>
      <c r="C3468" t="s">
        <v>38</v>
      </c>
      <c r="D3468" t="s">
        <v>42</v>
      </c>
      <c r="E3468" s="1">
        <v>2025</v>
      </c>
      <c r="F3468" s="11">
        <v>0.46729999999999999</v>
      </c>
      <c r="G3468">
        <v>45.15</v>
      </c>
      <c r="H3468">
        <v>79.08</v>
      </c>
      <c r="I3468" s="2">
        <v>97107.89</v>
      </c>
      <c r="J3468" s="2">
        <v>95039.65</v>
      </c>
      <c r="K3468" s="2">
        <f>Table1[[#This Row],[Salary_after]]-Table1[[#This Row],[Salary_before]]</f>
        <v>-2068.2400000000052</v>
      </c>
      <c r="L3468" s="11">
        <v>-2.1299999999999999E-2</v>
      </c>
      <c r="M3468" s="11">
        <v>0.1234</v>
      </c>
      <c r="N3468">
        <v>55.67</v>
      </c>
      <c r="O3468">
        <v>85.32</v>
      </c>
      <c r="P3468">
        <v>3</v>
      </c>
      <c r="Q3468" t="s">
        <v>25</v>
      </c>
      <c r="R3468">
        <v>62.905000000000001</v>
      </c>
      <c r="S3468">
        <v>2.13</v>
      </c>
      <c r="T3468" s="4">
        <v>43.055</v>
      </c>
      <c r="U3468" s="4">
        <v>39.870035999999999</v>
      </c>
      <c r="V3468" t="str">
        <f>IF(Table1[[#This Row],[ai_disruption_intensity]]&gt;70,"High",
IF(Table1[[#This Row],[ai_disruption_intensity]]&gt;40,"Medium","Low"))</f>
        <v>Low</v>
      </c>
      <c r="W3468" t="str">
        <f>IF(Table1[[#This Row],[skill_gap_index]]&gt;70,"Large Gap",
IF(Table1[[#This Row],[skill_gap_index]]&gt;40,"Medium Gap","Small Gap"))</f>
        <v>Large Gap</v>
      </c>
      <c r="X3468" s="3" t="str">
        <f>IF(Table1[[#This Row],[automation_risk_percent]]&gt;0.7,"Highly Automatable",
IF(Table1[[#This Row],[automation_risk_percent]]&gt;0.4,"Moderate Risk","Safe Job"))</f>
        <v>Moderate Risk</v>
      </c>
    </row>
    <row r="3469" spans="1:24" x14ac:dyDescent="0.3">
      <c r="A3469">
        <v>12131</v>
      </c>
      <c r="B3469" t="s">
        <v>18</v>
      </c>
      <c r="C3469" t="s">
        <v>27</v>
      </c>
      <c r="D3469" t="s">
        <v>31</v>
      </c>
      <c r="E3469" s="1">
        <v>2026</v>
      </c>
      <c r="F3469" s="11">
        <v>0.50060000000000004</v>
      </c>
      <c r="G3469">
        <v>48.06</v>
      </c>
      <c r="H3469">
        <v>21.26</v>
      </c>
      <c r="I3469" s="2">
        <v>52736.87</v>
      </c>
      <c r="J3469" s="2">
        <v>59741.98</v>
      </c>
      <c r="K3469" s="2">
        <f>Table1[[#This Row],[Salary_after]]-Table1[[#This Row],[Salary_before]]</f>
        <v>7005.1100000000006</v>
      </c>
      <c r="L3469" s="11">
        <v>0.1328</v>
      </c>
      <c r="M3469" s="11">
        <v>-0.24530000000000002</v>
      </c>
      <c r="N3469">
        <v>61.09</v>
      </c>
      <c r="O3469">
        <v>54.6</v>
      </c>
      <c r="P3469">
        <v>4</v>
      </c>
      <c r="Q3469" t="s">
        <v>25</v>
      </c>
      <c r="R3469">
        <v>35.659999999999997</v>
      </c>
      <c r="S3469">
        <v>13.28</v>
      </c>
      <c r="T3469" s="4">
        <v>30.385999999999999</v>
      </c>
      <c r="U3469" s="4">
        <v>27.33276</v>
      </c>
      <c r="V3469" t="str">
        <f>IF(Table1[[#This Row],[ai_disruption_intensity]]&gt;70,"High",
IF(Table1[[#This Row],[ai_disruption_intensity]]&gt;40,"Medium","Low"))</f>
        <v>Low</v>
      </c>
      <c r="W3469" t="str">
        <f>IF(Table1[[#This Row],[skill_gap_index]]&gt;70,"Large Gap",
IF(Table1[[#This Row],[skill_gap_index]]&gt;40,"Medium Gap","Small Gap"))</f>
        <v>Small Gap</v>
      </c>
      <c r="X3469" s="3" t="str">
        <f>IF(Table1[[#This Row],[automation_risk_percent]]&gt;0.7,"Highly Automatable",
IF(Table1[[#This Row],[automation_risk_percent]]&gt;0.4,"Moderate Risk","Safe Job"))</f>
        <v>Moderate Risk</v>
      </c>
    </row>
    <row r="3470" spans="1:24" x14ac:dyDescent="0.3">
      <c r="A3470">
        <v>12132</v>
      </c>
      <c r="B3470" t="s">
        <v>46</v>
      </c>
      <c r="C3470" t="s">
        <v>27</v>
      </c>
      <c r="D3470" t="s">
        <v>36</v>
      </c>
      <c r="E3470" s="1">
        <v>2025</v>
      </c>
      <c r="F3470" s="11">
        <v>0.21960000000000002</v>
      </c>
      <c r="G3470">
        <v>18.989999999999998</v>
      </c>
      <c r="H3470">
        <v>71.180000000000007</v>
      </c>
      <c r="I3470" s="2">
        <v>139506.84</v>
      </c>
      <c r="J3470" s="2">
        <v>153244.37</v>
      </c>
      <c r="K3470" s="2">
        <f>Table1[[#This Row],[Salary_after]]-Table1[[#This Row],[Salary_before]]</f>
        <v>13737.529999999999</v>
      </c>
      <c r="L3470" s="11">
        <v>9.849999999999999E-2</v>
      </c>
      <c r="M3470" s="11">
        <v>9.98E-2</v>
      </c>
      <c r="N3470">
        <v>56.92</v>
      </c>
      <c r="O3470">
        <v>50.51</v>
      </c>
      <c r="P3470">
        <v>4</v>
      </c>
      <c r="Q3470" t="s">
        <v>21</v>
      </c>
      <c r="R3470">
        <v>46.57</v>
      </c>
      <c r="S3470">
        <v>9.85</v>
      </c>
      <c r="T3470" s="4">
        <v>33.093000000000004</v>
      </c>
      <c r="U3470" s="4">
        <v>11.091996</v>
      </c>
      <c r="V3470" t="str">
        <f>IF(Table1[[#This Row],[ai_disruption_intensity]]&gt;70,"High",
IF(Table1[[#This Row],[ai_disruption_intensity]]&gt;40,"Medium","Low"))</f>
        <v>Low</v>
      </c>
      <c r="W3470" t="str">
        <f>IF(Table1[[#This Row],[skill_gap_index]]&gt;70,"Large Gap",
IF(Table1[[#This Row],[skill_gap_index]]&gt;40,"Medium Gap","Small Gap"))</f>
        <v>Large Gap</v>
      </c>
      <c r="X3470" s="3" t="str">
        <f>IF(Table1[[#This Row],[automation_risk_percent]]&gt;0.7,"Highly Automatable",
IF(Table1[[#This Row],[automation_risk_percent]]&gt;0.4,"Moderate Risk","Safe Job"))</f>
        <v>Safe Job</v>
      </c>
    </row>
    <row r="3471" spans="1:24" x14ac:dyDescent="0.3">
      <c r="A3471">
        <v>12144</v>
      </c>
      <c r="B3471" t="s">
        <v>29</v>
      </c>
      <c r="C3471" t="s">
        <v>19</v>
      </c>
      <c r="D3471" t="s">
        <v>42</v>
      </c>
      <c r="E3471" s="1">
        <v>2025</v>
      </c>
      <c r="F3471" s="11">
        <v>0.25180000000000002</v>
      </c>
      <c r="G3471">
        <v>23.06</v>
      </c>
      <c r="H3471">
        <v>74.53</v>
      </c>
      <c r="I3471" s="2">
        <v>131420.23000000001</v>
      </c>
      <c r="J3471" s="2">
        <v>116979.33</v>
      </c>
      <c r="K3471" s="2">
        <f>Table1[[#This Row],[Salary_after]]-Table1[[#This Row],[Salary_before]]</f>
        <v>-14440.900000000009</v>
      </c>
      <c r="L3471" s="11">
        <v>-0.1099</v>
      </c>
      <c r="M3471" s="11">
        <v>0.28420000000000001</v>
      </c>
      <c r="N3471">
        <v>11.34</v>
      </c>
      <c r="O3471">
        <v>34.799999999999997</v>
      </c>
      <c r="P3471">
        <v>1</v>
      </c>
      <c r="Q3471" t="s">
        <v>21</v>
      </c>
      <c r="R3471">
        <v>49.854999999999997</v>
      </c>
      <c r="S3471">
        <v>10.99</v>
      </c>
      <c r="T3471" s="4">
        <v>35.727999999999902</v>
      </c>
      <c r="U3471" s="4">
        <v>8.7626399999999993</v>
      </c>
      <c r="V3471" t="str">
        <f>IF(Table1[[#This Row],[ai_disruption_intensity]]&gt;70,"High",
IF(Table1[[#This Row],[ai_disruption_intensity]]&gt;40,"Medium","Low"))</f>
        <v>Low</v>
      </c>
      <c r="W3471" t="str">
        <f>IF(Table1[[#This Row],[skill_gap_index]]&gt;70,"Large Gap",
IF(Table1[[#This Row],[skill_gap_index]]&gt;40,"Medium Gap","Small Gap"))</f>
        <v>Large Gap</v>
      </c>
      <c r="X3471" s="3" t="str">
        <f>IF(Table1[[#This Row],[automation_risk_percent]]&gt;0.7,"Highly Automatable",
IF(Table1[[#This Row],[automation_risk_percent]]&gt;0.4,"Moderate Risk","Safe Job"))</f>
        <v>Safe Job</v>
      </c>
    </row>
    <row r="3472" spans="1:24" x14ac:dyDescent="0.3">
      <c r="A3472">
        <v>12147</v>
      </c>
      <c r="B3472" t="s">
        <v>39</v>
      </c>
      <c r="C3472" t="s">
        <v>23</v>
      </c>
      <c r="D3472" t="s">
        <v>31</v>
      </c>
      <c r="E3472" s="1">
        <v>2025</v>
      </c>
      <c r="F3472" s="11">
        <v>0.29330000000000001</v>
      </c>
      <c r="G3472">
        <v>32.450000000000003</v>
      </c>
      <c r="H3472">
        <v>92.15</v>
      </c>
      <c r="I3472" s="2">
        <v>84754</v>
      </c>
      <c r="J3472" s="2">
        <v>69262.91</v>
      </c>
      <c r="K3472" s="2">
        <f>Table1[[#This Row],[Salary_after]]-Table1[[#This Row],[Salary_before]]</f>
        <v>-15491.089999999997</v>
      </c>
      <c r="L3472" s="11">
        <v>-0.18280000000000002</v>
      </c>
      <c r="M3472" s="11">
        <v>-6.54E-2</v>
      </c>
      <c r="N3472">
        <v>98.54</v>
      </c>
      <c r="O3472">
        <v>60.83</v>
      </c>
      <c r="P3472">
        <v>2</v>
      </c>
      <c r="Q3472" t="s">
        <v>21</v>
      </c>
      <c r="R3472">
        <v>60.74</v>
      </c>
      <c r="S3472">
        <v>18.28</v>
      </c>
      <c r="T3472" s="4">
        <v>44.860999999999997</v>
      </c>
      <c r="U3472" s="4">
        <v>17.841438999999902</v>
      </c>
      <c r="V3472" t="str">
        <f>IF(Table1[[#This Row],[ai_disruption_intensity]]&gt;70,"High",
IF(Table1[[#This Row],[ai_disruption_intensity]]&gt;40,"Medium","Low"))</f>
        <v>Low</v>
      </c>
      <c r="W3472" t="str">
        <f>IF(Table1[[#This Row],[skill_gap_index]]&gt;70,"Large Gap",
IF(Table1[[#This Row],[skill_gap_index]]&gt;40,"Medium Gap","Small Gap"))</f>
        <v>Large Gap</v>
      </c>
      <c r="X3472" s="3" t="str">
        <f>IF(Table1[[#This Row],[automation_risk_percent]]&gt;0.7,"Highly Automatable",
IF(Table1[[#This Row],[automation_risk_percent]]&gt;0.4,"Moderate Risk","Safe Job"))</f>
        <v>Safe Job</v>
      </c>
    </row>
    <row r="3473" spans="1:24" x14ac:dyDescent="0.3">
      <c r="A3473">
        <v>12149</v>
      </c>
      <c r="B3473" t="s">
        <v>44</v>
      </c>
      <c r="C3473" t="s">
        <v>34</v>
      </c>
      <c r="D3473" t="s">
        <v>20</v>
      </c>
      <c r="E3473" s="1">
        <v>2026</v>
      </c>
      <c r="F3473" s="11">
        <v>0.29849999999999999</v>
      </c>
      <c r="G3473">
        <v>35.18</v>
      </c>
      <c r="H3473">
        <v>27.02</v>
      </c>
      <c r="I3473" s="2">
        <v>77803.72</v>
      </c>
      <c r="J3473" s="2">
        <v>68624.009999999995</v>
      </c>
      <c r="K3473" s="2">
        <f>Table1[[#This Row],[Salary_after]]-Table1[[#This Row],[Salary_before]]</f>
        <v>-9179.7100000000064</v>
      </c>
      <c r="L3473" s="11">
        <v>-0.11800000000000001</v>
      </c>
      <c r="M3473" s="11">
        <v>-3.4799999999999998E-2</v>
      </c>
      <c r="N3473">
        <v>45.29</v>
      </c>
      <c r="O3473">
        <v>85.18</v>
      </c>
      <c r="P3473">
        <v>2</v>
      </c>
      <c r="Q3473" t="s">
        <v>21</v>
      </c>
      <c r="R3473">
        <v>28.434999999999999</v>
      </c>
      <c r="S3473">
        <v>11.8</v>
      </c>
      <c r="T3473" s="4">
        <v>23.585999999999999</v>
      </c>
      <c r="U3473" s="4">
        <v>25.42623</v>
      </c>
      <c r="V3473" t="str">
        <f>IF(Table1[[#This Row],[ai_disruption_intensity]]&gt;70,"High",
IF(Table1[[#This Row],[ai_disruption_intensity]]&gt;40,"Medium","Low"))</f>
        <v>Low</v>
      </c>
      <c r="W3473" t="str">
        <f>IF(Table1[[#This Row],[skill_gap_index]]&gt;70,"Large Gap",
IF(Table1[[#This Row],[skill_gap_index]]&gt;40,"Medium Gap","Small Gap"))</f>
        <v>Small Gap</v>
      </c>
      <c r="X3473" s="3" t="str">
        <f>IF(Table1[[#This Row],[automation_risk_percent]]&gt;0.7,"Highly Automatable",
IF(Table1[[#This Row],[automation_risk_percent]]&gt;0.4,"Moderate Risk","Safe Job"))</f>
        <v>Safe Job</v>
      </c>
    </row>
    <row r="3474" spans="1:24" x14ac:dyDescent="0.3">
      <c r="A3474">
        <v>12152</v>
      </c>
      <c r="B3474" t="s">
        <v>29</v>
      </c>
      <c r="C3474" t="s">
        <v>40</v>
      </c>
      <c r="D3474" t="s">
        <v>42</v>
      </c>
      <c r="E3474" s="1">
        <v>2026</v>
      </c>
      <c r="F3474" s="11">
        <v>0.85450000000000004</v>
      </c>
      <c r="G3474">
        <v>92.35</v>
      </c>
      <c r="H3474">
        <v>35.049999999999997</v>
      </c>
      <c r="I3474" s="2">
        <v>58720.53</v>
      </c>
      <c r="J3474" s="2">
        <v>53002.14</v>
      </c>
      <c r="K3474" s="2">
        <f>Table1[[#This Row],[Salary_after]]-Table1[[#This Row],[Salary_before]]</f>
        <v>-5718.3899999999994</v>
      </c>
      <c r="L3474" s="11">
        <v>-9.74E-2</v>
      </c>
      <c r="M3474" s="11">
        <v>-0.187</v>
      </c>
      <c r="N3474">
        <v>34.549999999999997</v>
      </c>
      <c r="O3474">
        <v>29.37</v>
      </c>
      <c r="P3474">
        <v>2</v>
      </c>
      <c r="Q3474" t="s">
        <v>37</v>
      </c>
      <c r="R3474">
        <v>60.25</v>
      </c>
      <c r="S3474">
        <v>9.74</v>
      </c>
      <c r="T3474" s="4">
        <v>47.616999999999997</v>
      </c>
      <c r="U3474" s="4">
        <v>25.096665000000002</v>
      </c>
      <c r="V3474" t="str">
        <f>IF(Table1[[#This Row],[ai_disruption_intensity]]&gt;70,"High",
IF(Table1[[#This Row],[ai_disruption_intensity]]&gt;40,"Medium","Low"))</f>
        <v>Low</v>
      </c>
      <c r="W3474" t="str">
        <f>IF(Table1[[#This Row],[skill_gap_index]]&gt;70,"Large Gap",
IF(Table1[[#This Row],[skill_gap_index]]&gt;40,"Medium Gap","Small Gap"))</f>
        <v>Small Gap</v>
      </c>
      <c r="X3474" s="3" t="str">
        <f>IF(Table1[[#This Row],[automation_risk_percent]]&gt;0.7,"Highly Automatable",
IF(Table1[[#This Row],[automation_risk_percent]]&gt;0.4,"Moderate Risk","Safe Job"))</f>
        <v>Highly Automatable</v>
      </c>
    </row>
    <row r="3475" spans="1:24" x14ac:dyDescent="0.3">
      <c r="A3475">
        <v>12155</v>
      </c>
      <c r="B3475" t="s">
        <v>29</v>
      </c>
      <c r="C3475" t="s">
        <v>38</v>
      </c>
      <c r="D3475" t="s">
        <v>20</v>
      </c>
      <c r="E3475" s="1">
        <v>2025</v>
      </c>
      <c r="F3475" s="11">
        <v>0.71650000000000003</v>
      </c>
      <c r="G3475">
        <v>83.1</v>
      </c>
      <c r="H3475">
        <v>16.63</v>
      </c>
      <c r="I3475" s="2">
        <v>50079.14</v>
      </c>
      <c r="J3475" s="2">
        <v>44718.62</v>
      </c>
      <c r="K3475" s="2">
        <f>Table1[[#This Row],[Salary_after]]-Table1[[#This Row],[Salary_before]]</f>
        <v>-5360.5199999999968</v>
      </c>
      <c r="L3475" s="11">
        <v>-0.107</v>
      </c>
      <c r="M3475" s="11">
        <v>0.16589999999999999</v>
      </c>
      <c r="N3475">
        <v>30.44</v>
      </c>
      <c r="O3475">
        <v>68.75</v>
      </c>
      <c r="P3475">
        <v>5</v>
      </c>
      <c r="Q3475" t="s">
        <v>37</v>
      </c>
      <c r="R3475">
        <v>44.14</v>
      </c>
      <c r="S3475">
        <v>10.7</v>
      </c>
      <c r="T3475" s="4">
        <v>36.859000000000002</v>
      </c>
      <c r="U3475" s="4">
        <v>49.259374999999999</v>
      </c>
      <c r="V3475" t="str">
        <f>IF(Table1[[#This Row],[ai_disruption_intensity]]&gt;70,"High",
IF(Table1[[#This Row],[ai_disruption_intensity]]&gt;40,"Medium","Low"))</f>
        <v>Medium</v>
      </c>
      <c r="W3475" t="str">
        <f>IF(Table1[[#This Row],[skill_gap_index]]&gt;70,"Large Gap",
IF(Table1[[#This Row],[skill_gap_index]]&gt;40,"Medium Gap","Small Gap"))</f>
        <v>Small Gap</v>
      </c>
      <c r="X3475" s="3" t="str">
        <f>IF(Table1[[#This Row],[automation_risk_percent]]&gt;0.7,"Highly Automatable",
IF(Table1[[#This Row],[automation_risk_percent]]&gt;0.4,"Moderate Risk","Safe Job"))</f>
        <v>Highly Automatable</v>
      </c>
    </row>
    <row r="3476" spans="1:24" x14ac:dyDescent="0.3">
      <c r="A3476">
        <v>12160</v>
      </c>
      <c r="B3476" t="s">
        <v>43</v>
      </c>
      <c r="C3476" t="s">
        <v>30</v>
      </c>
      <c r="D3476" t="s">
        <v>35</v>
      </c>
      <c r="E3476" s="1">
        <v>2025</v>
      </c>
      <c r="F3476" s="11">
        <v>0.63460000000000005</v>
      </c>
      <c r="G3476">
        <v>61.78</v>
      </c>
      <c r="H3476">
        <v>26.72</v>
      </c>
      <c r="I3476" s="2">
        <v>122083.58</v>
      </c>
      <c r="J3476" s="2">
        <v>135751.82999999999</v>
      </c>
      <c r="K3476" s="2">
        <f>Table1[[#This Row],[Salary_after]]-Table1[[#This Row],[Salary_before]]</f>
        <v>13668.249999999985</v>
      </c>
      <c r="L3476" s="11">
        <v>0.11199999999999999</v>
      </c>
      <c r="M3476" s="11">
        <v>0.08</v>
      </c>
      <c r="N3476">
        <v>35.909999999999997</v>
      </c>
      <c r="O3476">
        <v>42.69</v>
      </c>
      <c r="P3476">
        <v>5</v>
      </c>
      <c r="Q3476" t="s">
        <v>37</v>
      </c>
      <c r="R3476">
        <v>45.09</v>
      </c>
      <c r="S3476">
        <v>11.2</v>
      </c>
      <c r="T3476" s="4">
        <v>36.76</v>
      </c>
      <c r="U3476" s="4">
        <v>27.091073999999999</v>
      </c>
      <c r="V3476" t="str">
        <f>IF(Table1[[#This Row],[ai_disruption_intensity]]&gt;70,"High",
IF(Table1[[#This Row],[ai_disruption_intensity]]&gt;40,"Medium","Low"))</f>
        <v>Low</v>
      </c>
      <c r="W3476" t="str">
        <f>IF(Table1[[#This Row],[skill_gap_index]]&gt;70,"Large Gap",
IF(Table1[[#This Row],[skill_gap_index]]&gt;40,"Medium Gap","Small Gap"))</f>
        <v>Small Gap</v>
      </c>
      <c r="X3476" s="3" t="str">
        <f>IF(Table1[[#This Row],[automation_risk_percent]]&gt;0.7,"Highly Automatable",
IF(Table1[[#This Row],[automation_risk_percent]]&gt;0.4,"Moderate Risk","Safe Job"))</f>
        <v>Moderate Risk</v>
      </c>
    </row>
    <row r="3477" spans="1:24" x14ac:dyDescent="0.3">
      <c r="A3477">
        <v>12161</v>
      </c>
      <c r="B3477" t="s">
        <v>22</v>
      </c>
      <c r="C3477" t="s">
        <v>30</v>
      </c>
      <c r="D3477" t="s">
        <v>28</v>
      </c>
      <c r="E3477" s="1">
        <v>2025</v>
      </c>
      <c r="F3477" s="11">
        <v>0.26839999999999997</v>
      </c>
      <c r="G3477">
        <v>29.8</v>
      </c>
      <c r="H3477">
        <v>75.72</v>
      </c>
      <c r="I3477" s="2">
        <v>101121.63</v>
      </c>
      <c r="J3477" s="2">
        <v>92918.31</v>
      </c>
      <c r="K3477" s="2">
        <f>Table1[[#This Row],[Salary_after]]-Table1[[#This Row],[Salary_before]]</f>
        <v>-8203.320000000007</v>
      </c>
      <c r="L3477" s="11">
        <v>-8.1099999999999992E-2</v>
      </c>
      <c r="M3477" s="11">
        <v>0.1845</v>
      </c>
      <c r="N3477">
        <v>89.03</v>
      </c>
      <c r="O3477">
        <v>92.23</v>
      </c>
      <c r="P3477">
        <v>4</v>
      </c>
      <c r="Q3477" t="s">
        <v>21</v>
      </c>
      <c r="R3477">
        <v>51.28</v>
      </c>
      <c r="S3477">
        <v>8.11</v>
      </c>
      <c r="T3477" s="4">
        <v>35.884999999999998</v>
      </c>
      <c r="U3477" s="4">
        <v>24.754531999999902</v>
      </c>
      <c r="V3477" t="str">
        <f>IF(Table1[[#This Row],[ai_disruption_intensity]]&gt;70,"High",
IF(Table1[[#This Row],[ai_disruption_intensity]]&gt;40,"Medium","Low"))</f>
        <v>Low</v>
      </c>
      <c r="W3477" t="str">
        <f>IF(Table1[[#This Row],[skill_gap_index]]&gt;70,"Large Gap",
IF(Table1[[#This Row],[skill_gap_index]]&gt;40,"Medium Gap","Small Gap"))</f>
        <v>Large Gap</v>
      </c>
      <c r="X3477" s="3" t="str">
        <f>IF(Table1[[#This Row],[automation_risk_percent]]&gt;0.7,"Highly Automatable",
IF(Table1[[#This Row],[automation_risk_percent]]&gt;0.4,"Moderate Risk","Safe Job"))</f>
        <v>Safe Job</v>
      </c>
    </row>
    <row r="3478" spans="1:24" x14ac:dyDescent="0.3">
      <c r="A3478">
        <v>12162</v>
      </c>
      <c r="B3478" t="s">
        <v>44</v>
      </c>
      <c r="C3478" t="s">
        <v>33</v>
      </c>
      <c r="D3478" t="s">
        <v>32</v>
      </c>
      <c r="E3478" s="1">
        <v>2026</v>
      </c>
      <c r="F3478" s="11">
        <v>0.56479999999999997</v>
      </c>
      <c r="G3478">
        <v>53.61</v>
      </c>
      <c r="H3478">
        <v>84.18</v>
      </c>
      <c r="I3478" s="2">
        <v>147671.82</v>
      </c>
      <c r="J3478" s="2">
        <v>174558.55</v>
      </c>
      <c r="K3478" s="2">
        <f>Table1[[#This Row],[Salary_after]]-Table1[[#This Row],[Salary_before]]</f>
        <v>26886.729999999981</v>
      </c>
      <c r="L3478" s="11">
        <v>0.18210000000000001</v>
      </c>
      <c r="M3478" s="11">
        <v>0.14000000000000001</v>
      </c>
      <c r="N3478">
        <v>86.56</v>
      </c>
      <c r="O3478">
        <v>67.27</v>
      </c>
      <c r="P3478">
        <v>5</v>
      </c>
      <c r="Q3478" t="s">
        <v>25</v>
      </c>
      <c r="R3478">
        <v>70.33</v>
      </c>
      <c r="S3478">
        <v>18.21</v>
      </c>
      <c r="T3478" s="4">
        <v>53.308999999999997</v>
      </c>
      <c r="U3478" s="4">
        <v>37.9940959999999</v>
      </c>
      <c r="V3478" t="str">
        <f>IF(Table1[[#This Row],[ai_disruption_intensity]]&gt;70,"High",
IF(Table1[[#This Row],[ai_disruption_intensity]]&gt;40,"Medium","Low"))</f>
        <v>Low</v>
      </c>
      <c r="W3478" t="str">
        <f>IF(Table1[[#This Row],[skill_gap_index]]&gt;70,"Large Gap",
IF(Table1[[#This Row],[skill_gap_index]]&gt;40,"Medium Gap","Small Gap"))</f>
        <v>Large Gap</v>
      </c>
      <c r="X3478" s="3" t="str">
        <f>IF(Table1[[#This Row],[automation_risk_percent]]&gt;0.7,"Highly Automatable",
IF(Table1[[#This Row],[automation_risk_percent]]&gt;0.4,"Moderate Risk","Safe Job"))</f>
        <v>Moderate Risk</v>
      </c>
    </row>
    <row r="3479" spans="1:24" x14ac:dyDescent="0.3">
      <c r="A3479">
        <v>12164</v>
      </c>
      <c r="B3479" t="s">
        <v>46</v>
      </c>
      <c r="C3479" t="s">
        <v>19</v>
      </c>
      <c r="D3479" t="s">
        <v>24</v>
      </c>
      <c r="E3479" s="1">
        <v>2025</v>
      </c>
      <c r="F3479" s="11">
        <v>0.05</v>
      </c>
      <c r="G3479">
        <v>4.71</v>
      </c>
      <c r="H3479">
        <v>2.1800000000000002</v>
      </c>
      <c r="I3479" s="2">
        <v>62602.080000000002</v>
      </c>
      <c r="J3479" s="2">
        <v>73175.39</v>
      </c>
      <c r="K3479" s="2">
        <f>Table1[[#This Row],[Salary_after]]-Table1[[#This Row],[Salary_before]]</f>
        <v>10573.309999999998</v>
      </c>
      <c r="L3479" s="11">
        <v>0.16889999999999999</v>
      </c>
      <c r="M3479" s="11">
        <v>5.9299999999999999E-2</v>
      </c>
      <c r="N3479">
        <v>63</v>
      </c>
      <c r="O3479">
        <v>53.46</v>
      </c>
      <c r="P3479">
        <v>2</v>
      </c>
      <c r="Q3479" t="s">
        <v>21</v>
      </c>
      <c r="R3479">
        <v>3.59</v>
      </c>
      <c r="S3479">
        <v>16.89</v>
      </c>
      <c r="T3479" s="4">
        <v>7.7210000000000001</v>
      </c>
      <c r="U3479" s="4">
        <v>2.673</v>
      </c>
      <c r="V3479" t="str">
        <f>IF(Table1[[#This Row],[ai_disruption_intensity]]&gt;70,"High",
IF(Table1[[#This Row],[ai_disruption_intensity]]&gt;40,"Medium","Low"))</f>
        <v>Low</v>
      </c>
      <c r="W3479" t="str">
        <f>IF(Table1[[#This Row],[skill_gap_index]]&gt;70,"Large Gap",
IF(Table1[[#This Row],[skill_gap_index]]&gt;40,"Medium Gap","Small Gap"))</f>
        <v>Small Gap</v>
      </c>
      <c r="X3479" s="3" t="str">
        <f>IF(Table1[[#This Row],[automation_risk_percent]]&gt;0.7,"Highly Automatable",
IF(Table1[[#This Row],[automation_risk_percent]]&gt;0.4,"Moderate Risk","Safe Job"))</f>
        <v>Safe Job</v>
      </c>
    </row>
    <row r="3480" spans="1:24" x14ac:dyDescent="0.3">
      <c r="A3480">
        <v>12166</v>
      </c>
      <c r="B3480" t="s">
        <v>45</v>
      </c>
      <c r="C3480" t="s">
        <v>30</v>
      </c>
      <c r="D3480" t="s">
        <v>31</v>
      </c>
      <c r="E3480" s="1">
        <v>2025</v>
      </c>
      <c r="F3480" s="11">
        <v>0.155</v>
      </c>
      <c r="G3480">
        <v>13.46</v>
      </c>
      <c r="H3480">
        <v>11.79</v>
      </c>
      <c r="I3480" s="2">
        <v>134510.15</v>
      </c>
      <c r="J3480" s="2">
        <v>141128.76</v>
      </c>
      <c r="K3480" s="2">
        <f>Table1[[#This Row],[Salary_after]]-Table1[[#This Row],[Salary_before]]</f>
        <v>6618.6100000000151</v>
      </c>
      <c r="L3480" s="11">
        <v>4.9200000000000001E-2</v>
      </c>
      <c r="M3480" s="11">
        <v>0.1628</v>
      </c>
      <c r="N3480">
        <v>60.69</v>
      </c>
      <c r="O3480">
        <v>92.29</v>
      </c>
      <c r="P3480">
        <v>4</v>
      </c>
      <c r="Q3480" t="s">
        <v>21</v>
      </c>
      <c r="R3480">
        <v>13.645</v>
      </c>
      <c r="S3480">
        <v>4.92</v>
      </c>
      <c r="T3480" s="4">
        <v>11.212999999999999</v>
      </c>
      <c r="U3480" s="4">
        <v>14.30495</v>
      </c>
      <c r="V3480" t="str">
        <f>IF(Table1[[#This Row],[ai_disruption_intensity]]&gt;70,"High",
IF(Table1[[#This Row],[ai_disruption_intensity]]&gt;40,"Medium","Low"))</f>
        <v>Low</v>
      </c>
      <c r="W3480" t="str">
        <f>IF(Table1[[#This Row],[skill_gap_index]]&gt;70,"Large Gap",
IF(Table1[[#This Row],[skill_gap_index]]&gt;40,"Medium Gap","Small Gap"))</f>
        <v>Small Gap</v>
      </c>
      <c r="X3480" s="3" t="str">
        <f>IF(Table1[[#This Row],[automation_risk_percent]]&gt;0.7,"Highly Automatable",
IF(Table1[[#This Row],[automation_risk_percent]]&gt;0.4,"Moderate Risk","Safe Job"))</f>
        <v>Safe Job</v>
      </c>
    </row>
    <row r="3481" spans="1:24" x14ac:dyDescent="0.3">
      <c r="A3481">
        <v>12168</v>
      </c>
      <c r="B3481" t="s">
        <v>39</v>
      </c>
      <c r="C3481" t="s">
        <v>33</v>
      </c>
      <c r="D3481" t="s">
        <v>42</v>
      </c>
      <c r="E3481" s="1">
        <v>2026</v>
      </c>
      <c r="F3481" s="11">
        <v>0.51649999999999996</v>
      </c>
      <c r="G3481">
        <v>56.33</v>
      </c>
      <c r="H3481">
        <v>96.12</v>
      </c>
      <c r="I3481" s="2">
        <v>142668.44</v>
      </c>
      <c r="J3481" s="2">
        <v>147755.76</v>
      </c>
      <c r="K3481" s="2">
        <f>Table1[[#This Row],[Salary_after]]-Table1[[#This Row],[Salary_before]]</f>
        <v>5087.320000000007</v>
      </c>
      <c r="L3481" s="11">
        <v>3.5699999999999996E-2</v>
      </c>
      <c r="M3481" s="11">
        <v>-8.6099999999999996E-2</v>
      </c>
      <c r="N3481">
        <v>52.24</v>
      </c>
      <c r="O3481">
        <v>34.92</v>
      </c>
      <c r="P3481">
        <v>3</v>
      </c>
      <c r="Q3481" t="s">
        <v>25</v>
      </c>
      <c r="R3481">
        <v>73.885000000000005</v>
      </c>
      <c r="S3481">
        <v>3.57</v>
      </c>
      <c r="T3481" s="4">
        <v>50.566999999999901</v>
      </c>
      <c r="U3481" s="4">
        <v>18.036179999999899</v>
      </c>
      <c r="V3481" t="str">
        <f>IF(Table1[[#This Row],[ai_disruption_intensity]]&gt;70,"High",
IF(Table1[[#This Row],[ai_disruption_intensity]]&gt;40,"Medium","Low"))</f>
        <v>Low</v>
      </c>
      <c r="W3481" t="str">
        <f>IF(Table1[[#This Row],[skill_gap_index]]&gt;70,"Large Gap",
IF(Table1[[#This Row],[skill_gap_index]]&gt;40,"Medium Gap","Small Gap"))</f>
        <v>Large Gap</v>
      </c>
      <c r="X3481" s="3" t="str">
        <f>IF(Table1[[#This Row],[automation_risk_percent]]&gt;0.7,"Highly Automatable",
IF(Table1[[#This Row],[automation_risk_percent]]&gt;0.4,"Moderate Risk","Safe Job"))</f>
        <v>Moderate Risk</v>
      </c>
    </row>
    <row r="3482" spans="1:24" x14ac:dyDescent="0.3">
      <c r="A3482">
        <v>12169</v>
      </c>
      <c r="B3482" t="s">
        <v>18</v>
      </c>
      <c r="C3482" t="s">
        <v>23</v>
      </c>
      <c r="D3482" t="s">
        <v>20</v>
      </c>
      <c r="E3482" s="1">
        <v>2026</v>
      </c>
      <c r="F3482" s="11">
        <v>0.33950000000000002</v>
      </c>
      <c r="G3482">
        <v>40.35</v>
      </c>
      <c r="H3482">
        <v>3.66</v>
      </c>
      <c r="I3482" s="2">
        <v>132304.37</v>
      </c>
      <c r="J3482" s="2">
        <v>161554.66</v>
      </c>
      <c r="K3482" s="2">
        <f>Table1[[#This Row],[Salary_after]]-Table1[[#This Row],[Salary_before]]</f>
        <v>29250.290000000008</v>
      </c>
      <c r="L3482" s="11">
        <v>0.22109999999999999</v>
      </c>
      <c r="M3482" s="11">
        <v>-0.1042</v>
      </c>
      <c r="N3482">
        <v>76.53</v>
      </c>
      <c r="O3482">
        <v>45.64</v>
      </c>
      <c r="P3482">
        <v>3</v>
      </c>
      <c r="Q3482" t="s">
        <v>25</v>
      </c>
      <c r="R3482">
        <v>18.805</v>
      </c>
      <c r="S3482">
        <v>22.11</v>
      </c>
      <c r="T3482" s="4">
        <v>21.311</v>
      </c>
      <c r="U3482" s="4">
        <v>15.49478</v>
      </c>
      <c r="V3482" t="str">
        <f>IF(Table1[[#This Row],[ai_disruption_intensity]]&gt;70,"High",
IF(Table1[[#This Row],[ai_disruption_intensity]]&gt;40,"Medium","Low"))</f>
        <v>Low</v>
      </c>
      <c r="W3482" t="str">
        <f>IF(Table1[[#This Row],[skill_gap_index]]&gt;70,"Large Gap",
IF(Table1[[#This Row],[skill_gap_index]]&gt;40,"Medium Gap","Small Gap"))</f>
        <v>Small Gap</v>
      </c>
      <c r="X3482" s="3" t="str">
        <f>IF(Table1[[#This Row],[automation_risk_percent]]&gt;0.7,"Highly Automatable",
IF(Table1[[#This Row],[automation_risk_percent]]&gt;0.4,"Moderate Risk","Safe Job"))</f>
        <v>Safe Job</v>
      </c>
    </row>
    <row r="3483" spans="1:24" x14ac:dyDescent="0.3">
      <c r="A3483">
        <v>12171</v>
      </c>
      <c r="B3483" t="s">
        <v>18</v>
      </c>
      <c r="C3483" t="s">
        <v>27</v>
      </c>
      <c r="D3483" t="s">
        <v>28</v>
      </c>
      <c r="E3483" s="1">
        <v>2025</v>
      </c>
      <c r="F3483" s="11">
        <v>0.4204</v>
      </c>
      <c r="G3483">
        <v>43.64</v>
      </c>
      <c r="H3483">
        <v>79.83</v>
      </c>
      <c r="I3483" s="2">
        <v>64653.07</v>
      </c>
      <c r="J3483" s="2">
        <v>66556.08</v>
      </c>
      <c r="K3483" s="2">
        <f>Table1[[#This Row],[Salary_after]]-Table1[[#This Row],[Salary_before]]</f>
        <v>1903.010000000002</v>
      </c>
      <c r="L3483" s="11">
        <v>2.9399999999999999E-2</v>
      </c>
      <c r="M3483" s="11">
        <v>0.19989999999999999</v>
      </c>
      <c r="N3483">
        <v>33.22</v>
      </c>
      <c r="O3483">
        <v>78.7</v>
      </c>
      <c r="P3483">
        <v>1</v>
      </c>
      <c r="Q3483" t="s">
        <v>25</v>
      </c>
      <c r="R3483">
        <v>60.935000000000002</v>
      </c>
      <c r="S3483">
        <v>2.94</v>
      </c>
      <c r="T3483" s="4">
        <v>41.646999999999998</v>
      </c>
      <c r="U3483" s="4">
        <v>33.085479999999997</v>
      </c>
      <c r="V3483" t="str">
        <f>IF(Table1[[#This Row],[ai_disruption_intensity]]&gt;70,"High",
IF(Table1[[#This Row],[ai_disruption_intensity]]&gt;40,"Medium","Low"))</f>
        <v>Low</v>
      </c>
      <c r="W3483" t="str">
        <f>IF(Table1[[#This Row],[skill_gap_index]]&gt;70,"Large Gap",
IF(Table1[[#This Row],[skill_gap_index]]&gt;40,"Medium Gap","Small Gap"))</f>
        <v>Large Gap</v>
      </c>
      <c r="X3483" s="3" t="str">
        <f>IF(Table1[[#This Row],[automation_risk_percent]]&gt;0.7,"Highly Automatable",
IF(Table1[[#This Row],[automation_risk_percent]]&gt;0.4,"Moderate Risk","Safe Job"))</f>
        <v>Moderate Risk</v>
      </c>
    </row>
    <row r="3484" spans="1:24" x14ac:dyDescent="0.3">
      <c r="A3484">
        <v>12172</v>
      </c>
      <c r="B3484" t="s">
        <v>44</v>
      </c>
      <c r="C3484" t="s">
        <v>19</v>
      </c>
      <c r="D3484" t="s">
        <v>35</v>
      </c>
      <c r="E3484" s="1">
        <v>2026</v>
      </c>
      <c r="F3484" s="11">
        <v>0.52200000000000002</v>
      </c>
      <c r="G3484">
        <v>61.7</v>
      </c>
      <c r="H3484">
        <v>28.84</v>
      </c>
      <c r="I3484" s="2">
        <v>146775.85</v>
      </c>
      <c r="J3484" s="2">
        <v>120942.43</v>
      </c>
      <c r="K3484" s="2">
        <f>Table1[[#This Row],[Salary_after]]-Table1[[#This Row],[Salary_before]]</f>
        <v>-25833.420000000013</v>
      </c>
      <c r="L3484" s="11">
        <v>-0.17600000000000002</v>
      </c>
      <c r="M3484" s="11">
        <v>0.26619999999999999</v>
      </c>
      <c r="N3484">
        <v>88.75</v>
      </c>
      <c r="O3484">
        <v>15.79</v>
      </c>
      <c r="P3484">
        <v>1</v>
      </c>
      <c r="Q3484" t="s">
        <v>25</v>
      </c>
      <c r="R3484">
        <v>40.520000000000003</v>
      </c>
      <c r="S3484">
        <v>17.600000000000001</v>
      </c>
      <c r="T3484" s="4">
        <v>34.811999999999998</v>
      </c>
      <c r="U3484" s="4">
        <v>8.2423800000000007</v>
      </c>
      <c r="V3484" t="str">
        <f>IF(Table1[[#This Row],[ai_disruption_intensity]]&gt;70,"High",
IF(Table1[[#This Row],[ai_disruption_intensity]]&gt;40,"Medium","Low"))</f>
        <v>Low</v>
      </c>
      <c r="W3484" t="str">
        <f>IF(Table1[[#This Row],[skill_gap_index]]&gt;70,"Large Gap",
IF(Table1[[#This Row],[skill_gap_index]]&gt;40,"Medium Gap","Small Gap"))</f>
        <v>Small Gap</v>
      </c>
      <c r="X3484" s="3" t="str">
        <f>IF(Table1[[#This Row],[automation_risk_percent]]&gt;0.7,"Highly Automatable",
IF(Table1[[#This Row],[automation_risk_percent]]&gt;0.4,"Moderate Risk","Safe Job"))</f>
        <v>Moderate Risk</v>
      </c>
    </row>
    <row r="3485" spans="1:24" x14ac:dyDescent="0.3">
      <c r="A3485">
        <v>12174</v>
      </c>
      <c r="B3485" t="s">
        <v>43</v>
      </c>
      <c r="C3485" t="s">
        <v>27</v>
      </c>
      <c r="D3485" t="s">
        <v>35</v>
      </c>
      <c r="E3485" s="1">
        <v>2026</v>
      </c>
      <c r="F3485" s="11">
        <v>0.27079999999999999</v>
      </c>
      <c r="G3485">
        <v>23.54</v>
      </c>
      <c r="H3485">
        <v>53.12</v>
      </c>
      <c r="I3485" s="2">
        <v>61988.5</v>
      </c>
      <c r="J3485" s="2">
        <v>71410.41</v>
      </c>
      <c r="K3485" s="2">
        <f>Table1[[#This Row],[Salary_after]]-Table1[[#This Row],[Salary_before]]</f>
        <v>9421.9100000000035</v>
      </c>
      <c r="L3485" s="11">
        <v>0.152</v>
      </c>
      <c r="M3485" s="11">
        <v>2.52E-2</v>
      </c>
      <c r="N3485">
        <v>46.94</v>
      </c>
      <c r="O3485">
        <v>64.510000000000005</v>
      </c>
      <c r="P3485">
        <v>1</v>
      </c>
      <c r="Q3485" t="s">
        <v>21</v>
      </c>
      <c r="R3485">
        <v>40.099999999999902</v>
      </c>
      <c r="S3485">
        <v>15.2</v>
      </c>
      <c r="T3485" s="4">
        <v>31.327999999999999</v>
      </c>
      <c r="U3485" s="4">
        <v>17.469308000000002</v>
      </c>
      <c r="V3485" t="str">
        <f>IF(Table1[[#This Row],[ai_disruption_intensity]]&gt;70,"High",
IF(Table1[[#This Row],[ai_disruption_intensity]]&gt;40,"Medium","Low"))</f>
        <v>Low</v>
      </c>
      <c r="W3485" t="str">
        <f>IF(Table1[[#This Row],[skill_gap_index]]&gt;70,"Large Gap",
IF(Table1[[#This Row],[skill_gap_index]]&gt;40,"Medium Gap","Small Gap"))</f>
        <v>Medium Gap</v>
      </c>
      <c r="X3485" s="3" t="str">
        <f>IF(Table1[[#This Row],[automation_risk_percent]]&gt;0.7,"Highly Automatable",
IF(Table1[[#This Row],[automation_risk_percent]]&gt;0.4,"Moderate Risk","Safe Job"))</f>
        <v>Safe Job</v>
      </c>
    </row>
    <row r="3486" spans="1:24" x14ac:dyDescent="0.3">
      <c r="A3486">
        <v>12175</v>
      </c>
      <c r="B3486" t="s">
        <v>45</v>
      </c>
      <c r="C3486" t="s">
        <v>23</v>
      </c>
      <c r="D3486" t="s">
        <v>31</v>
      </c>
      <c r="E3486" s="1">
        <v>2025</v>
      </c>
      <c r="F3486" s="11">
        <v>0.54749999999999999</v>
      </c>
      <c r="G3486">
        <v>51.77</v>
      </c>
      <c r="H3486">
        <v>11.42</v>
      </c>
      <c r="I3486" s="2">
        <v>81962.73</v>
      </c>
      <c r="J3486" s="2">
        <v>84117.05</v>
      </c>
      <c r="K3486" s="2">
        <f>Table1[[#This Row],[Salary_after]]-Table1[[#This Row],[Salary_before]]</f>
        <v>2154.320000000007</v>
      </c>
      <c r="L3486" s="11">
        <v>2.63E-2</v>
      </c>
      <c r="M3486" s="11">
        <v>8.3299999999999999E-2</v>
      </c>
      <c r="N3486">
        <v>43.43</v>
      </c>
      <c r="O3486">
        <v>86.73</v>
      </c>
      <c r="P3486">
        <v>4</v>
      </c>
      <c r="Q3486" t="s">
        <v>25</v>
      </c>
      <c r="R3486">
        <v>33.085000000000001</v>
      </c>
      <c r="S3486">
        <v>2.63</v>
      </c>
      <c r="T3486" s="4">
        <v>26.114999999999998</v>
      </c>
      <c r="U3486" s="4">
        <v>47.484675000000003</v>
      </c>
      <c r="V3486" t="str">
        <f>IF(Table1[[#This Row],[ai_disruption_intensity]]&gt;70,"High",
IF(Table1[[#This Row],[ai_disruption_intensity]]&gt;40,"Medium","Low"))</f>
        <v>Medium</v>
      </c>
      <c r="W3486" t="str">
        <f>IF(Table1[[#This Row],[skill_gap_index]]&gt;70,"Large Gap",
IF(Table1[[#This Row],[skill_gap_index]]&gt;40,"Medium Gap","Small Gap"))</f>
        <v>Small Gap</v>
      </c>
      <c r="X3486" s="3" t="str">
        <f>IF(Table1[[#This Row],[automation_risk_percent]]&gt;0.7,"Highly Automatable",
IF(Table1[[#This Row],[automation_risk_percent]]&gt;0.4,"Moderate Risk","Safe Job"))</f>
        <v>Moderate Risk</v>
      </c>
    </row>
    <row r="3487" spans="1:24" x14ac:dyDescent="0.3">
      <c r="A3487">
        <v>12177</v>
      </c>
      <c r="B3487" t="s">
        <v>29</v>
      </c>
      <c r="C3487" t="s">
        <v>40</v>
      </c>
      <c r="D3487" t="s">
        <v>20</v>
      </c>
      <c r="E3487" s="1">
        <v>2025</v>
      </c>
      <c r="F3487" s="11">
        <v>0.39510000000000001</v>
      </c>
      <c r="G3487">
        <v>35.71</v>
      </c>
      <c r="H3487">
        <v>38.25</v>
      </c>
      <c r="I3487" s="2">
        <v>94118.96</v>
      </c>
      <c r="J3487" s="2">
        <v>88785.94</v>
      </c>
      <c r="K3487" s="2">
        <f>Table1[[#This Row],[Salary_after]]-Table1[[#This Row],[Salary_before]]</f>
        <v>-5333.0200000000041</v>
      </c>
      <c r="L3487" s="11">
        <v>-5.67E-2</v>
      </c>
      <c r="M3487" s="11">
        <v>0.1091</v>
      </c>
      <c r="N3487">
        <v>76.47</v>
      </c>
      <c r="O3487">
        <v>91.62</v>
      </c>
      <c r="P3487">
        <v>3</v>
      </c>
      <c r="Q3487" t="s">
        <v>25</v>
      </c>
      <c r="R3487">
        <v>38.879999999999903</v>
      </c>
      <c r="S3487">
        <v>5.67</v>
      </c>
      <c r="T3487" s="4">
        <v>28.98</v>
      </c>
      <c r="U3487" s="4">
        <v>36.199061999999998</v>
      </c>
      <c r="V3487" t="str">
        <f>IF(Table1[[#This Row],[ai_disruption_intensity]]&gt;70,"High",
IF(Table1[[#This Row],[ai_disruption_intensity]]&gt;40,"Medium","Low"))</f>
        <v>Low</v>
      </c>
      <c r="W3487" t="str">
        <f>IF(Table1[[#This Row],[skill_gap_index]]&gt;70,"Large Gap",
IF(Table1[[#This Row],[skill_gap_index]]&gt;40,"Medium Gap","Small Gap"))</f>
        <v>Small Gap</v>
      </c>
      <c r="X3487" s="3" t="str">
        <f>IF(Table1[[#This Row],[automation_risk_percent]]&gt;0.7,"Highly Automatable",
IF(Table1[[#This Row],[automation_risk_percent]]&gt;0.4,"Moderate Risk","Safe Job"))</f>
        <v>Safe Job</v>
      </c>
    </row>
    <row r="3488" spans="1:24" x14ac:dyDescent="0.3">
      <c r="A3488">
        <v>12180</v>
      </c>
      <c r="B3488" t="s">
        <v>39</v>
      </c>
      <c r="C3488" t="s">
        <v>19</v>
      </c>
      <c r="D3488" t="s">
        <v>31</v>
      </c>
      <c r="E3488" s="1">
        <v>2025</v>
      </c>
      <c r="F3488" s="11">
        <v>0.25559999999999999</v>
      </c>
      <c r="G3488">
        <v>26.98</v>
      </c>
      <c r="H3488">
        <v>29.62</v>
      </c>
      <c r="I3488" s="2">
        <v>131006.9</v>
      </c>
      <c r="J3488" s="2">
        <v>124151.09</v>
      </c>
      <c r="K3488" s="2">
        <f>Table1[[#This Row],[Salary_after]]-Table1[[#This Row],[Salary_before]]</f>
        <v>-6855.8099999999977</v>
      </c>
      <c r="L3488" s="11">
        <v>-5.2300000000000006E-2</v>
      </c>
      <c r="M3488" s="11">
        <v>6.3500000000000001E-2</v>
      </c>
      <c r="N3488">
        <v>17.940000000000001</v>
      </c>
      <c r="O3488">
        <v>28.06</v>
      </c>
      <c r="P3488">
        <v>3</v>
      </c>
      <c r="Q3488" t="s">
        <v>21</v>
      </c>
      <c r="R3488">
        <v>27.59</v>
      </c>
      <c r="S3488">
        <v>5.23</v>
      </c>
      <c r="T3488" s="4">
        <v>20.678999999999998</v>
      </c>
      <c r="U3488" s="4">
        <v>7.1721359999999903</v>
      </c>
      <c r="V3488" t="str">
        <f>IF(Table1[[#This Row],[ai_disruption_intensity]]&gt;70,"High",
IF(Table1[[#This Row],[ai_disruption_intensity]]&gt;40,"Medium","Low"))</f>
        <v>Low</v>
      </c>
      <c r="W3488" t="str">
        <f>IF(Table1[[#This Row],[skill_gap_index]]&gt;70,"Large Gap",
IF(Table1[[#This Row],[skill_gap_index]]&gt;40,"Medium Gap","Small Gap"))</f>
        <v>Small Gap</v>
      </c>
      <c r="X3488" s="3" t="str">
        <f>IF(Table1[[#This Row],[automation_risk_percent]]&gt;0.7,"Highly Automatable",
IF(Table1[[#This Row],[automation_risk_percent]]&gt;0.4,"Moderate Risk","Safe Job"))</f>
        <v>Safe Job</v>
      </c>
    </row>
    <row r="3489" spans="1:24" x14ac:dyDescent="0.3">
      <c r="A3489">
        <v>12184</v>
      </c>
      <c r="B3489" t="s">
        <v>22</v>
      </c>
      <c r="C3489" t="s">
        <v>38</v>
      </c>
      <c r="D3489" t="s">
        <v>36</v>
      </c>
      <c r="E3489" s="1">
        <v>2026</v>
      </c>
      <c r="F3489" s="11">
        <v>0.40820000000000001</v>
      </c>
      <c r="G3489">
        <v>44.11</v>
      </c>
      <c r="H3489">
        <v>84.48</v>
      </c>
      <c r="I3489" s="2">
        <v>50309.52</v>
      </c>
      <c r="J3489" s="2">
        <v>46091.29</v>
      </c>
      <c r="K3489" s="2">
        <f>Table1[[#This Row],[Salary_after]]-Table1[[#This Row],[Salary_before]]</f>
        <v>-4218.2299999999959</v>
      </c>
      <c r="L3489" s="11">
        <v>-8.3800000000000013E-2</v>
      </c>
      <c r="M3489" s="11">
        <v>-9.1000000000000004E-3</v>
      </c>
      <c r="N3489">
        <v>54.93</v>
      </c>
      <c r="O3489">
        <v>7.93</v>
      </c>
      <c r="P3489">
        <v>5</v>
      </c>
      <c r="Q3489" t="s">
        <v>25</v>
      </c>
      <c r="R3489">
        <v>62.65</v>
      </c>
      <c r="S3489">
        <v>8.3800000000000008</v>
      </c>
      <c r="T3489" s="4">
        <v>44.186</v>
      </c>
      <c r="U3489" s="4">
        <v>3.2370260000000002</v>
      </c>
      <c r="V3489" t="str">
        <f>IF(Table1[[#This Row],[ai_disruption_intensity]]&gt;70,"High",
IF(Table1[[#This Row],[ai_disruption_intensity]]&gt;40,"Medium","Low"))</f>
        <v>Low</v>
      </c>
      <c r="W3489" t="str">
        <f>IF(Table1[[#This Row],[skill_gap_index]]&gt;70,"Large Gap",
IF(Table1[[#This Row],[skill_gap_index]]&gt;40,"Medium Gap","Small Gap"))</f>
        <v>Large Gap</v>
      </c>
      <c r="X3489" s="3" t="str">
        <f>IF(Table1[[#This Row],[automation_risk_percent]]&gt;0.7,"Highly Automatable",
IF(Table1[[#This Row],[automation_risk_percent]]&gt;0.4,"Moderate Risk","Safe Job"))</f>
        <v>Moderate Risk</v>
      </c>
    </row>
    <row r="3490" spans="1:24" x14ac:dyDescent="0.3">
      <c r="A3490">
        <v>12185</v>
      </c>
      <c r="B3490" t="s">
        <v>22</v>
      </c>
      <c r="C3490" t="s">
        <v>40</v>
      </c>
      <c r="D3490" t="s">
        <v>31</v>
      </c>
      <c r="E3490" s="1">
        <v>2026</v>
      </c>
      <c r="F3490" s="11">
        <v>0.61890000000000001</v>
      </c>
      <c r="G3490">
        <v>52.68</v>
      </c>
      <c r="H3490">
        <v>94.68</v>
      </c>
      <c r="I3490" s="2">
        <v>130844.45</v>
      </c>
      <c r="J3490" s="2">
        <v>113628.07</v>
      </c>
      <c r="K3490" s="2">
        <f>Table1[[#This Row],[Salary_after]]-Table1[[#This Row],[Salary_before]]</f>
        <v>-17216.37999999999</v>
      </c>
      <c r="L3490" s="11">
        <v>-0.13159999999999999</v>
      </c>
      <c r="M3490" s="11">
        <v>9.4399999999999998E-2</v>
      </c>
      <c r="N3490">
        <v>90.53</v>
      </c>
      <c r="O3490">
        <v>13.69</v>
      </c>
      <c r="P3490">
        <v>2</v>
      </c>
      <c r="Q3490" t="s">
        <v>37</v>
      </c>
      <c r="R3490">
        <v>78.284999999999997</v>
      </c>
      <c r="S3490">
        <v>13.16</v>
      </c>
      <c r="T3490" s="4">
        <v>57.107999999999997</v>
      </c>
      <c r="U3490" s="4">
        <v>8.4727409999999992</v>
      </c>
      <c r="V3490" t="str">
        <f>IF(Table1[[#This Row],[ai_disruption_intensity]]&gt;70,"High",
IF(Table1[[#This Row],[ai_disruption_intensity]]&gt;40,"Medium","Low"))</f>
        <v>Low</v>
      </c>
      <c r="W3490" t="str">
        <f>IF(Table1[[#This Row],[skill_gap_index]]&gt;70,"Large Gap",
IF(Table1[[#This Row],[skill_gap_index]]&gt;40,"Medium Gap","Small Gap"))</f>
        <v>Large Gap</v>
      </c>
      <c r="X3490" s="3" t="str">
        <f>IF(Table1[[#This Row],[automation_risk_percent]]&gt;0.7,"Highly Automatable",
IF(Table1[[#This Row],[automation_risk_percent]]&gt;0.4,"Moderate Risk","Safe Job"))</f>
        <v>Moderate Risk</v>
      </c>
    </row>
    <row r="3491" spans="1:24" x14ac:dyDescent="0.3">
      <c r="A3491">
        <v>12186</v>
      </c>
      <c r="B3491" t="s">
        <v>44</v>
      </c>
      <c r="C3491" t="s">
        <v>33</v>
      </c>
      <c r="D3491" t="s">
        <v>31</v>
      </c>
      <c r="E3491" s="1">
        <v>2026</v>
      </c>
      <c r="F3491" s="11">
        <v>0.58179999999999998</v>
      </c>
      <c r="G3491">
        <v>53.29</v>
      </c>
      <c r="H3491">
        <v>37.380000000000003</v>
      </c>
      <c r="I3491" s="2">
        <v>95753.44</v>
      </c>
      <c r="J3491" s="2">
        <v>103820.6</v>
      </c>
      <c r="K3491" s="2">
        <f>Table1[[#This Row],[Salary_after]]-Table1[[#This Row],[Salary_before]]</f>
        <v>8067.1600000000035</v>
      </c>
      <c r="L3491" s="11">
        <v>8.4199999999999997E-2</v>
      </c>
      <c r="M3491" s="11">
        <v>-0.21100000000000002</v>
      </c>
      <c r="N3491">
        <v>71.17</v>
      </c>
      <c r="O3491">
        <v>29.62</v>
      </c>
      <c r="P3491">
        <v>1</v>
      </c>
      <c r="Q3491" t="s">
        <v>25</v>
      </c>
      <c r="R3491">
        <v>47.78</v>
      </c>
      <c r="S3491">
        <v>8.42</v>
      </c>
      <c r="T3491" s="4">
        <v>37.012</v>
      </c>
      <c r="U3491" s="4">
        <v>17.232915999999999</v>
      </c>
      <c r="V3491" t="str">
        <f>IF(Table1[[#This Row],[ai_disruption_intensity]]&gt;70,"High",
IF(Table1[[#This Row],[ai_disruption_intensity]]&gt;40,"Medium","Low"))</f>
        <v>Low</v>
      </c>
      <c r="W3491" t="str">
        <f>IF(Table1[[#This Row],[skill_gap_index]]&gt;70,"Large Gap",
IF(Table1[[#This Row],[skill_gap_index]]&gt;40,"Medium Gap","Small Gap"))</f>
        <v>Small Gap</v>
      </c>
      <c r="X3491" s="3" t="str">
        <f>IF(Table1[[#This Row],[automation_risk_percent]]&gt;0.7,"Highly Automatable",
IF(Table1[[#This Row],[automation_risk_percent]]&gt;0.4,"Moderate Risk","Safe Job"))</f>
        <v>Moderate Risk</v>
      </c>
    </row>
    <row r="3492" spans="1:24" x14ac:dyDescent="0.3">
      <c r="A3492">
        <v>12192</v>
      </c>
      <c r="B3492" t="s">
        <v>45</v>
      </c>
      <c r="C3492" t="s">
        <v>33</v>
      </c>
      <c r="D3492" t="s">
        <v>31</v>
      </c>
      <c r="E3492" s="1">
        <v>2026</v>
      </c>
      <c r="F3492" s="11">
        <v>0.47100000000000003</v>
      </c>
      <c r="G3492">
        <v>55.87</v>
      </c>
      <c r="H3492">
        <v>9.0500000000000007</v>
      </c>
      <c r="I3492" s="2">
        <v>62220.98</v>
      </c>
      <c r="J3492" s="2">
        <v>59429.29</v>
      </c>
      <c r="K3492" s="2">
        <f>Table1[[#This Row],[Salary_after]]-Table1[[#This Row],[Salary_before]]</f>
        <v>-2791.6900000000023</v>
      </c>
      <c r="L3492" s="11">
        <v>-4.4900000000000002E-2</v>
      </c>
      <c r="M3492" s="11">
        <v>0.1105</v>
      </c>
      <c r="N3492">
        <v>39.200000000000003</v>
      </c>
      <c r="O3492">
        <v>85.63</v>
      </c>
      <c r="P3492">
        <v>3</v>
      </c>
      <c r="Q3492" t="s">
        <v>25</v>
      </c>
      <c r="R3492">
        <v>28.074999999999999</v>
      </c>
      <c r="S3492">
        <v>4.49</v>
      </c>
      <c r="T3492" s="4">
        <v>22.902000000000001</v>
      </c>
      <c r="U3492" s="4">
        <v>40.33173</v>
      </c>
      <c r="V3492" t="str">
        <f>IF(Table1[[#This Row],[ai_disruption_intensity]]&gt;70,"High",
IF(Table1[[#This Row],[ai_disruption_intensity]]&gt;40,"Medium","Low"))</f>
        <v>Medium</v>
      </c>
      <c r="W3492" t="str">
        <f>IF(Table1[[#This Row],[skill_gap_index]]&gt;70,"Large Gap",
IF(Table1[[#This Row],[skill_gap_index]]&gt;40,"Medium Gap","Small Gap"))</f>
        <v>Small Gap</v>
      </c>
      <c r="X3492" s="3" t="str">
        <f>IF(Table1[[#This Row],[automation_risk_percent]]&gt;0.7,"Highly Automatable",
IF(Table1[[#This Row],[automation_risk_percent]]&gt;0.4,"Moderate Risk","Safe Job"))</f>
        <v>Moderate Risk</v>
      </c>
    </row>
    <row r="3493" spans="1:24" x14ac:dyDescent="0.3">
      <c r="A3493">
        <v>12193</v>
      </c>
      <c r="B3493" t="s">
        <v>46</v>
      </c>
      <c r="C3493" t="s">
        <v>30</v>
      </c>
      <c r="D3493" t="s">
        <v>32</v>
      </c>
      <c r="E3493" s="1">
        <v>2025</v>
      </c>
      <c r="F3493" s="11">
        <v>0.105</v>
      </c>
      <c r="G3493">
        <v>9.39</v>
      </c>
      <c r="H3493">
        <v>71.19</v>
      </c>
      <c r="I3493" s="2">
        <v>118924.76</v>
      </c>
      <c r="J3493" s="2">
        <v>136483.03</v>
      </c>
      <c r="K3493" s="2">
        <f>Table1[[#This Row],[Salary_after]]-Table1[[#This Row],[Salary_before]]</f>
        <v>17558.270000000004</v>
      </c>
      <c r="L3493" s="11">
        <v>0.14760000000000001</v>
      </c>
      <c r="M3493" s="11">
        <v>-3.1200000000000002E-2</v>
      </c>
      <c r="N3493">
        <v>74.33</v>
      </c>
      <c r="O3493">
        <v>41.98</v>
      </c>
      <c r="P3493">
        <v>2</v>
      </c>
      <c r="Q3493" t="s">
        <v>21</v>
      </c>
      <c r="R3493">
        <v>40.844999999999999</v>
      </c>
      <c r="S3493">
        <v>14.76</v>
      </c>
      <c r="T3493" s="4">
        <v>29.984999999999999</v>
      </c>
      <c r="U3493" s="4">
        <v>4.4078999999999997</v>
      </c>
      <c r="V3493" t="str">
        <f>IF(Table1[[#This Row],[ai_disruption_intensity]]&gt;70,"High",
IF(Table1[[#This Row],[ai_disruption_intensity]]&gt;40,"Medium","Low"))</f>
        <v>Low</v>
      </c>
      <c r="W3493" t="str">
        <f>IF(Table1[[#This Row],[skill_gap_index]]&gt;70,"Large Gap",
IF(Table1[[#This Row],[skill_gap_index]]&gt;40,"Medium Gap","Small Gap"))</f>
        <v>Large Gap</v>
      </c>
      <c r="X3493" s="3" t="str">
        <f>IF(Table1[[#This Row],[automation_risk_percent]]&gt;0.7,"Highly Automatable",
IF(Table1[[#This Row],[automation_risk_percent]]&gt;0.4,"Moderate Risk","Safe Job"))</f>
        <v>Safe Job</v>
      </c>
    </row>
    <row r="3494" spans="1:24" x14ac:dyDescent="0.3">
      <c r="A3494">
        <v>12194</v>
      </c>
      <c r="B3494" t="s">
        <v>39</v>
      </c>
      <c r="C3494" t="s">
        <v>38</v>
      </c>
      <c r="D3494" t="s">
        <v>24</v>
      </c>
      <c r="E3494" s="1">
        <v>2026</v>
      </c>
      <c r="F3494" s="11">
        <v>0.34409999999999996</v>
      </c>
      <c r="G3494">
        <v>37.200000000000003</v>
      </c>
      <c r="H3494">
        <v>94.9</v>
      </c>
      <c r="I3494" s="2">
        <v>125135.1</v>
      </c>
      <c r="J3494" s="2">
        <v>113938.61</v>
      </c>
      <c r="K3494" s="2">
        <f>Table1[[#This Row],[Salary_after]]-Table1[[#This Row],[Salary_before]]</f>
        <v>-11196.490000000005</v>
      </c>
      <c r="L3494" s="11">
        <v>-8.9499999999999996E-2</v>
      </c>
      <c r="M3494" s="11">
        <v>7.5300000000000006E-2</v>
      </c>
      <c r="N3494">
        <v>40.32</v>
      </c>
      <c r="O3494">
        <v>72.41</v>
      </c>
      <c r="P3494">
        <v>1</v>
      </c>
      <c r="Q3494" t="s">
        <v>25</v>
      </c>
      <c r="R3494">
        <v>64.655000000000001</v>
      </c>
      <c r="S3494">
        <v>8.9499999999999993</v>
      </c>
      <c r="T3494" s="4">
        <v>44.918999999999997</v>
      </c>
      <c r="U3494" s="4">
        <v>24.916280999999898</v>
      </c>
      <c r="V3494" t="str">
        <f>IF(Table1[[#This Row],[ai_disruption_intensity]]&gt;70,"High",
IF(Table1[[#This Row],[ai_disruption_intensity]]&gt;40,"Medium","Low"))</f>
        <v>Low</v>
      </c>
      <c r="W3494" t="str">
        <f>IF(Table1[[#This Row],[skill_gap_index]]&gt;70,"Large Gap",
IF(Table1[[#This Row],[skill_gap_index]]&gt;40,"Medium Gap","Small Gap"))</f>
        <v>Large Gap</v>
      </c>
      <c r="X3494" s="3" t="str">
        <f>IF(Table1[[#This Row],[automation_risk_percent]]&gt;0.7,"Highly Automatable",
IF(Table1[[#This Row],[automation_risk_percent]]&gt;0.4,"Moderate Risk","Safe Job"))</f>
        <v>Safe Job</v>
      </c>
    </row>
    <row r="3495" spans="1:24" x14ac:dyDescent="0.3">
      <c r="A3495">
        <v>12199</v>
      </c>
      <c r="B3495" t="s">
        <v>26</v>
      </c>
      <c r="C3495" t="s">
        <v>30</v>
      </c>
      <c r="D3495" t="s">
        <v>24</v>
      </c>
      <c r="E3495" s="1">
        <v>2026</v>
      </c>
      <c r="F3495" s="11">
        <v>0.54430000000000001</v>
      </c>
      <c r="G3495">
        <v>48.89</v>
      </c>
      <c r="H3495">
        <v>12.27</v>
      </c>
      <c r="I3495" s="2">
        <v>113603.15</v>
      </c>
      <c r="J3495" s="2">
        <v>111843.53</v>
      </c>
      <c r="K3495" s="2">
        <f>Table1[[#This Row],[Salary_after]]-Table1[[#This Row],[Salary_before]]</f>
        <v>-1759.6199999999953</v>
      </c>
      <c r="L3495" s="11">
        <v>-1.55E-2</v>
      </c>
      <c r="M3495" s="11">
        <v>-1.2500000000000001E-2</v>
      </c>
      <c r="N3495">
        <v>35.86</v>
      </c>
      <c r="O3495">
        <v>45.47</v>
      </c>
      <c r="P3495">
        <v>5</v>
      </c>
      <c r="Q3495" t="s">
        <v>25</v>
      </c>
      <c r="R3495">
        <v>33.35</v>
      </c>
      <c r="S3495">
        <v>1.55</v>
      </c>
      <c r="T3495" s="4">
        <v>25.917999999999999</v>
      </c>
      <c r="U3495" s="4">
        <v>24.749320999999998</v>
      </c>
      <c r="V3495" t="str">
        <f>IF(Table1[[#This Row],[ai_disruption_intensity]]&gt;70,"High",
IF(Table1[[#This Row],[ai_disruption_intensity]]&gt;40,"Medium","Low"))</f>
        <v>Low</v>
      </c>
      <c r="W3495" t="str">
        <f>IF(Table1[[#This Row],[skill_gap_index]]&gt;70,"Large Gap",
IF(Table1[[#This Row],[skill_gap_index]]&gt;40,"Medium Gap","Small Gap"))</f>
        <v>Small Gap</v>
      </c>
      <c r="X3495" s="3" t="str">
        <f>IF(Table1[[#This Row],[automation_risk_percent]]&gt;0.7,"Highly Automatable",
IF(Table1[[#This Row],[automation_risk_percent]]&gt;0.4,"Moderate Risk","Safe Job"))</f>
        <v>Moderate Risk</v>
      </c>
    </row>
    <row r="3496" spans="1:24" x14ac:dyDescent="0.3">
      <c r="A3496">
        <v>12200</v>
      </c>
      <c r="B3496" t="s">
        <v>29</v>
      </c>
      <c r="C3496" t="s">
        <v>19</v>
      </c>
      <c r="D3496" t="s">
        <v>42</v>
      </c>
      <c r="E3496" s="1">
        <v>2025</v>
      </c>
      <c r="F3496" s="11">
        <v>0.2853</v>
      </c>
      <c r="G3496">
        <v>27.51</v>
      </c>
      <c r="H3496">
        <v>96.09</v>
      </c>
      <c r="I3496" s="2">
        <v>98033.89</v>
      </c>
      <c r="J3496" s="2">
        <v>104118.24</v>
      </c>
      <c r="K3496" s="2">
        <f>Table1[[#This Row],[Salary_after]]-Table1[[#This Row],[Salary_before]]</f>
        <v>6084.3500000000058</v>
      </c>
      <c r="L3496" s="11">
        <v>6.2100000000000002E-2</v>
      </c>
      <c r="M3496" s="11">
        <v>-6.7000000000000002E-3</v>
      </c>
      <c r="N3496">
        <v>45.76</v>
      </c>
      <c r="O3496">
        <v>6.38</v>
      </c>
      <c r="P3496">
        <v>4</v>
      </c>
      <c r="Q3496" t="s">
        <v>21</v>
      </c>
      <c r="R3496">
        <v>62.31</v>
      </c>
      <c r="S3496">
        <v>6.21</v>
      </c>
      <c r="T3496" s="4">
        <v>42.101999999999997</v>
      </c>
      <c r="U3496" s="4">
        <v>1.820214</v>
      </c>
      <c r="V3496" t="str">
        <f>IF(Table1[[#This Row],[ai_disruption_intensity]]&gt;70,"High",
IF(Table1[[#This Row],[ai_disruption_intensity]]&gt;40,"Medium","Low"))</f>
        <v>Low</v>
      </c>
      <c r="W3496" t="str">
        <f>IF(Table1[[#This Row],[skill_gap_index]]&gt;70,"Large Gap",
IF(Table1[[#This Row],[skill_gap_index]]&gt;40,"Medium Gap","Small Gap"))</f>
        <v>Large Gap</v>
      </c>
      <c r="X3496" s="3" t="str">
        <f>IF(Table1[[#This Row],[automation_risk_percent]]&gt;0.7,"Highly Automatable",
IF(Table1[[#This Row],[automation_risk_percent]]&gt;0.4,"Moderate Risk","Safe Job"))</f>
        <v>Safe Job</v>
      </c>
    </row>
    <row r="3497" spans="1:24" x14ac:dyDescent="0.3">
      <c r="A3497">
        <v>12202</v>
      </c>
      <c r="B3497" t="s">
        <v>41</v>
      </c>
      <c r="C3497" t="s">
        <v>34</v>
      </c>
      <c r="D3497" t="s">
        <v>20</v>
      </c>
      <c r="E3497" s="1">
        <v>2025</v>
      </c>
      <c r="F3497" s="11">
        <v>0.89900000000000002</v>
      </c>
      <c r="G3497">
        <v>107.87</v>
      </c>
      <c r="H3497">
        <v>59.36</v>
      </c>
      <c r="I3497" s="2">
        <v>142175.13</v>
      </c>
      <c r="J3497" s="2">
        <v>132660.17000000001</v>
      </c>
      <c r="K3497" s="2">
        <f>Table1[[#This Row],[Salary_after]]-Table1[[#This Row],[Salary_before]]</f>
        <v>-9514.9599999999919</v>
      </c>
      <c r="L3497" s="11">
        <v>-6.6900000000000001E-2</v>
      </c>
      <c r="M3497" s="11">
        <v>0.1074</v>
      </c>
      <c r="N3497">
        <v>71.55</v>
      </c>
      <c r="O3497">
        <v>79.010000000000005</v>
      </c>
      <c r="P3497">
        <v>5</v>
      </c>
      <c r="Q3497" t="s">
        <v>37</v>
      </c>
      <c r="R3497">
        <v>74.63</v>
      </c>
      <c r="S3497">
        <v>6.69</v>
      </c>
      <c r="T3497" s="4">
        <v>55.774999999999999</v>
      </c>
      <c r="U3497" s="4">
        <v>71.029989999999998</v>
      </c>
      <c r="V3497" t="str">
        <f>IF(Table1[[#This Row],[ai_disruption_intensity]]&gt;70,"High",
IF(Table1[[#This Row],[ai_disruption_intensity]]&gt;40,"Medium","Low"))</f>
        <v>High</v>
      </c>
      <c r="W3497" t="str">
        <f>IF(Table1[[#This Row],[skill_gap_index]]&gt;70,"Large Gap",
IF(Table1[[#This Row],[skill_gap_index]]&gt;40,"Medium Gap","Small Gap"))</f>
        <v>Medium Gap</v>
      </c>
      <c r="X3497" s="3" t="str">
        <f>IF(Table1[[#This Row],[automation_risk_percent]]&gt;0.7,"Highly Automatable",
IF(Table1[[#This Row],[automation_risk_percent]]&gt;0.4,"Moderate Risk","Safe Job"))</f>
        <v>Highly Automatable</v>
      </c>
    </row>
    <row r="3498" spans="1:24" x14ac:dyDescent="0.3">
      <c r="A3498">
        <v>12204</v>
      </c>
      <c r="B3498" t="s">
        <v>29</v>
      </c>
      <c r="C3498" t="s">
        <v>30</v>
      </c>
      <c r="D3498" t="s">
        <v>31</v>
      </c>
      <c r="E3498" s="1">
        <v>2025</v>
      </c>
      <c r="F3498" s="11">
        <v>0.76300000000000001</v>
      </c>
      <c r="G3498">
        <v>73.930000000000007</v>
      </c>
      <c r="H3498">
        <v>59.92</v>
      </c>
      <c r="I3498" s="2">
        <v>106774.81</v>
      </c>
      <c r="J3498" s="2">
        <v>113505.05</v>
      </c>
      <c r="K3498" s="2">
        <f>Table1[[#This Row],[Salary_after]]-Table1[[#This Row],[Salary_before]]</f>
        <v>6730.2400000000052</v>
      </c>
      <c r="L3498" s="11">
        <v>6.3E-2</v>
      </c>
      <c r="M3498" s="11">
        <v>0.14460000000000001</v>
      </c>
      <c r="N3498">
        <v>86</v>
      </c>
      <c r="O3498">
        <v>39.479999999999997</v>
      </c>
      <c r="P3498">
        <v>3</v>
      </c>
      <c r="Q3498" t="s">
        <v>37</v>
      </c>
      <c r="R3498">
        <v>68.11</v>
      </c>
      <c r="S3498">
        <v>6.3</v>
      </c>
      <c r="T3498" s="4">
        <v>50.385999999999903</v>
      </c>
      <c r="U3498" s="4">
        <v>30.1232399999999</v>
      </c>
      <c r="V3498" t="str">
        <f>IF(Table1[[#This Row],[ai_disruption_intensity]]&gt;70,"High",
IF(Table1[[#This Row],[ai_disruption_intensity]]&gt;40,"Medium","Low"))</f>
        <v>Low</v>
      </c>
      <c r="W3498" t="str">
        <f>IF(Table1[[#This Row],[skill_gap_index]]&gt;70,"Large Gap",
IF(Table1[[#This Row],[skill_gap_index]]&gt;40,"Medium Gap","Small Gap"))</f>
        <v>Medium Gap</v>
      </c>
      <c r="X3498" s="3" t="str">
        <f>IF(Table1[[#This Row],[automation_risk_percent]]&gt;0.7,"Highly Automatable",
IF(Table1[[#This Row],[automation_risk_percent]]&gt;0.4,"Moderate Risk","Safe Job"))</f>
        <v>Highly Automatable</v>
      </c>
    </row>
    <row r="3499" spans="1:24" x14ac:dyDescent="0.3">
      <c r="A3499">
        <v>12205</v>
      </c>
      <c r="B3499" t="s">
        <v>45</v>
      </c>
      <c r="C3499" t="s">
        <v>27</v>
      </c>
      <c r="D3499" t="s">
        <v>35</v>
      </c>
      <c r="E3499" s="1">
        <v>2025</v>
      </c>
      <c r="F3499" s="11">
        <v>0.39490000000000003</v>
      </c>
      <c r="G3499">
        <v>34.57</v>
      </c>
      <c r="H3499">
        <v>51.57</v>
      </c>
      <c r="I3499" s="2">
        <v>78186.86</v>
      </c>
      <c r="J3499" s="2">
        <v>86237.55</v>
      </c>
      <c r="K3499" s="2">
        <f>Table1[[#This Row],[Salary_after]]-Table1[[#This Row],[Salary_before]]</f>
        <v>8050.6900000000023</v>
      </c>
      <c r="L3499" s="11">
        <v>0.10300000000000001</v>
      </c>
      <c r="M3499" s="11">
        <v>0.21489999999999998</v>
      </c>
      <c r="N3499">
        <v>87.17</v>
      </c>
      <c r="O3499">
        <v>16.829999999999998</v>
      </c>
      <c r="P3499">
        <v>1</v>
      </c>
      <c r="Q3499" t="s">
        <v>25</v>
      </c>
      <c r="R3499">
        <v>45.53</v>
      </c>
      <c r="S3499">
        <v>10.3</v>
      </c>
      <c r="T3499" s="4">
        <v>34.356999999999999</v>
      </c>
      <c r="U3499" s="4">
        <v>6.6461669999999904</v>
      </c>
      <c r="V3499" t="str">
        <f>IF(Table1[[#This Row],[ai_disruption_intensity]]&gt;70,"High",
IF(Table1[[#This Row],[ai_disruption_intensity]]&gt;40,"Medium","Low"))</f>
        <v>Low</v>
      </c>
      <c r="W3499" t="str">
        <f>IF(Table1[[#This Row],[skill_gap_index]]&gt;70,"Large Gap",
IF(Table1[[#This Row],[skill_gap_index]]&gt;40,"Medium Gap","Small Gap"))</f>
        <v>Medium Gap</v>
      </c>
      <c r="X3499" s="3" t="str">
        <f>IF(Table1[[#This Row],[automation_risk_percent]]&gt;0.7,"Highly Automatable",
IF(Table1[[#This Row],[automation_risk_percent]]&gt;0.4,"Moderate Risk","Safe Job"))</f>
        <v>Safe Job</v>
      </c>
    </row>
    <row r="3500" spans="1:24" x14ac:dyDescent="0.3">
      <c r="A3500">
        <v>12209</v>
      </c>
      <c r="B3500" t="s">
        <v>29</v>
      </c>
      <c r="C3500" t="s">
        <v>19</v>
      </c>
      <c r="D3500" t="s">
        <v>20</v>
      </c>
      <c r="E3500" s="1">
        <v>2026</v>
      </c>
      <c r="F3500" s="11">
        <v>0.83640000000000003</v>
      </c>
      <c r="G3500">
        <v>70.239999999999995</v>
      </c>
      <c r="H3500">
        <v>6.49</v>
      </c>
      <c r="I3500" s="2">
        <v>70834.83</v>
      </c>
      <c r="J3500" s="2">
        <v>70789.42</v>
      </c>
      <c r="K3500" s="2">
        <f>Table1[[#This Row],[Salary_after]]-Table1[[#This Row],[Salary_before]]</f>
        <v>-45.410000000003492</v>
      </c>
      <c r="L3500" s="11">
        <v>-5.9999999999999995E-4</v>
      </c>
      <c r="M3500" s="11">
        <v>-7.0999999999999995E-3</v>
      </c>
      <c r="N3500">
        <v>84.16</v>
      </c>
      <c r="O3500">
        <v>34.770000000000003</v>
      </c>
      <c r="P3500">
        <v>1</v>
      </c>
      <c r="Q3500" t="s">
        <v>37</v>
      </c>
      <c r="R3500">
        <v>45.064999999999998</v>
      </c>
      <c r="S3500">
        <v>0.06</v>
      </c>
      <c r="T3500" s="4">
        <v>35.420999999999999</v>
      </c>
      <c r="U3500" s="4">
        <v>29.081627999999998</v>
      </c>
      <c r="V3500" t="str">
        <f>IF(Table1[[#This Row],[ai_disruption_intensity]]&gt;70,"High",
IF(Table1[[#This Row],[ai_disruption_intensity]]&gt;40,"Medium","Low"))</f>
        <v>Low</v>
      </c>
      <c r="W3500" t="str">
        <f>IF(Table1[[#This Row],[skill_gap_index]]&gt;70,"Large Gap",
IF(Table1[[#This Row],[skill_gap_index]]&gt;40,"Medium Gap","Small Gap"))</f>
        <v>Small Gap</v>
      </c>
      <c r="X3500" s="3" t="str">
        <f>IF(Table1[[#This Row],[automation_risk_percent]]&gt;0.7,"Highly Automatable",
IF(Table1[[#This Row],[automation_risk_percent]]&gt;0.4,"Moderate Risk","Safe Job"))</f>
        <v>Highly Automatable</v>
      </c>
    </row>
    <row r="3501" spans="1:24" x14ac:dyDescent="0.3">
      <c r="A3501">
        <v>12213</v>
      </c>
      <c r="B3501" t="s">
        <v>26</v>
      </c>
      <c r="C3501" t="s">
        <v>30</v>
      </c>
      <c r="D3501" t="s">
        <v>24</v>
      </c>
      <c r="E3501" s="1">
        <v>2025</v>
      </c>
      <c r="F3501" s="11">
        <v>0.24030000000000001</v>
      </c>
      <c r="G3501">
        <v>21.61</v>
      </c>
      <c r="H3501">
        <v>51.36</v>
      </c>
      <c r="I3501" s="2">
        <v>130515.89</v>
      </c>
      <c r="J3501" s="2">
        <v>131290.85999999999</v>
      </c>
      <c r="K3501" s="2">
        <f>Table1[[#This Row],[Salary_after]]-Table1[[#This Row],[Salary_before]]</f>
        <v>774.96999999998661</v>
      </c>
      <c r="L3501" s="11">
        <v>5.8999999999999999E-3</v>
      </c>
      <c r="M3501" s="11">
        <v>0.20910000000000001</v>
      </c>
      <c r="N3501">
        <v>40.85</v>
      </c>
      <c r="O3501">
        <v>1.27</v>
      </c>
      <c r="P3501">
        <v>1</v>
      </c>
      <c r="Q3501" t="s">
        <v>21</v>
      </c>
      <c r="R3501">
        <v>37.695</v>
      </c>
      <c r="S3501">
        <v>0.59</v>
      </c>
      <c r="T3501" s="4">
        <v>25.196999999999999</v>
      </c>
      <c r="U3501" s="4">
        <v>0.30518099999999998</v>
      </c>
      <c r="V3501" t="str">
        <f>IF(Table1[[#This Row],[ai_disruption_intensity]]&gt;70,"High",
IF(Table1[[#This Row],[ai_disruption_intensity]]&gt;40,"Medium","Low"))</f>
        <v>Low</v>
      </c>
      <c r="W3501" t="str">
        <f>IF(Table1[[#This Row],[skill_gap_index]]&gt;70,"Large Gap",
IF(Table1[[#This Row],[skill_gap_index]]&gt;40,"Medium Gap","Small Gap"))</f>
        <v>Medium Gap</v>
      </c>
      <c r="X3501" s="3" t="str">
        <f>IF(Table1[[#This Row],[automation_risk_percent]]&gt;0.7,"Highly Automatable",
IF(Table1[[#This Row],[automation_risk_percent]]&gt;0.4,"Moderate Risk","Safe Job"))</f>
        <v>Safe Job</v>
      </c>
    </row>
    <row r="3502" spans="1:24" x14ac:dyDescent="0.3">
      <c r="A3502">
        <v>12214</v>
      </c>
      <c r="B3502" t="s">
        <v>29</v>
      </c>
      <c r="C3502" t="s">
        <v>33</v>
      </c>
      <c r="D3502" t="s">
        <v>42</v>
      </c>
      <c r="E3502" s="1">
        <v>2026</v>
      </c>
      <c r="F3502" s="11">
        <v>0.39539999999999997</v>
      </c>
      <c r="G3502">
        <v>34.590000000000003</v>
      </c>
      <c r="H3502">
        <v>58.83</v>
      </c>
      <c r="I3502" s="2">
        <v>140491.35</v>
      </c>
      <c r="J3502" s="2">
        <v>154937.43</v>
      </c>
      <c r="K3502" s="2">
        <f>Table1[[#This Row],[Salary_after]]-Table1[[#This Row],[Salary_before]]</f>
        <v>14446.079999999987</v>
      </c>
      <c r="L3502" s="11">
        <v>0.10279999999999999</v>
      </c>
      <c r="M3502" s="11">
        <v>-1.4499999999999999E-2</v>
      </c>
      <c r="N3502">
        <v>39.68</v>
      </c>
      <c r="O3502">
        <v>96.42</v>
      </c>
      <c r="P3502">
        <v>4</v>
      </c>
      <c r="Q3502" t="s">
        <v>25</v>
      </c>
      <c r="R3502">
        <v>49.185000000000002</v>
      </c>
      <c r="S3502">
        <v>10.28</v>
      </c>
      <c r="T3502" s="4">
        <v>36.5489999999999</v>
      </c>
      <c r="U3502" s="4">
        <v>38.124468</v>
      </c>
      <c r="V3502" t="str">
        <f>IF(Table1[[#This Row],[ai_disruption_intensity]]&gt;70,"High",
IF(Table1[[#This Row],[ai_disruption_intensity]]&gt;40,"Medium","Low"))</f>
        <v>Low</v>
      </c>
      <c r="W3502" t="str">
        <f>IF(Table1[[#This Row],[skill_gap_index]]&gt;70,"Large Gap",
IF(Table1[[#This Row],[skill_gap_index]]&gt;40,"Medium Gap","Small Gap"))</f>
        <v>Medium Gap</v>
      </c>
      <c r="X3502" s="3" t="str">
        <f>IF(Table1[[#This Row],[automation_risk_percent]]&gt;0.7,"Highly Automatable",
IF(Table1[[#This Row],[automation_risk_percent]]&gt;0.4,"Moderate Risk","Safe Job"))</f>
        <v>Safe Job</v>
      </c>
    </row>
    <row r="3503" spans="1:24" x14ac:dyDescent="0.3">
      <c r="A3503">
        <v>12217</v>
      </c>
      <c r="B3503" t="s">
        <v>43</v>
      </c>
      <c r="C3503" t="s">
        <v>19</v>
      </c>
      <c r="D3503" t="s">
        <v>28</v>
      </c>
      <c r="E3503" s="1">
        <v>2025</v>
      </c>
      <c r="F3503" s="11">
        <v>0.2268</v>
      </c>
      <c r="G3503">
        <v>25.58</v>
      </c>
      <c r="H3503">
        <v>0.33</v>
      </c>
      <c r="I3503" s="2">
        <v>87886.94</v>
      </c>
      <c r="J3503" s="2">
        <v>91840.09</v>
      </c>
      <c r="K3503" s="2">
        <f>Table1[[#This Row],[Salary_after]]-Table1[[#This Row],[Salary_before]]</f>
        <v>3953.1499999999942</v>
      </c>
      <c r="L3503" s="11">
        <v>4.4999999999999998E-2</v>
      </c>
      <c r="M3503" s="11">
        <v>3.44E-2</v>
      </c>
      <c r="N3503">
        <v>14.13</v>
      </c>
      <c r="O3503">
        <v>25.56</v>
      </c>
      <c r="P3503">
        <v>2</v>
      </c>
      <c r="Q3503" t="s">
        <v>21</v>
      </c>
      <c r="R3503">
        <v>11.5049999999999</v>
      </c>
      <c r="S3503">
        <v>4.5</v>
      </c>
      <c r="T3503" s="4">
        <v>10.521000000000001</v>
      </c>
      <c r="U3503" s="4">
        <v>5.7970079999999999</v>
      </c>
      <c r="V3503" t="str">
        <f>IF(Table1[[#This Row],[ai_disruption_intensity]]&gt;70,"High",
IF(Table1[[#This Row],[ai_disruption_intensity]]&gt;40,"Medium","Low"))</f>
        <v>Low</v>
      </c>
      <c r="W3503" t="str">
        <f>IF(Table1[[#This Row],[skill_gap_index]]&gt;70,"Large Gap",
IF(Table1[[#This Row],[skill_gap_index]]&gt;40,"Medium Gap","Small Gap"))</f>
        <v>Small Gap</v>
      </c>
      <c r="X3503" s="3" t="str">
        <f>IF(Table1[[#This Row],[automation_risk_percent]]&gt;0.7,"Highly Automatable",
IF(Table1[[#This Row],[automation_risk_percent]]&gt;0.4,"Moderate Risk","Safe Job"))</f>
        <v>Safe Job</v>
      </c>
    </row>
    <row r="3504" spans="1:24" x14ac:dyDescent="0.3">
      <c r="A3504">
        <v>12223</v>
      </c>
      <c r="B3504" t="s">
        <v>44</v>
      </c>
      <c r="C3504" t="s">
        <v>30</v>
      </c>
      <c r="D3504" t="s">
        <v>24</v>
      </c>
      <c r="E3504" s="1">
        <v>2026</v>
      </c>
      <c r="F3504" s="11">
        <v>0.47289999999999999</v>
      </c>
      <c r="G3504">
        <v>56.45</v>
      </c>
      <c r="H3504">
        <v>60.45</v>
      </c>
      <c r="I3504" s="2">
        <v>95030.65</v>
      </c>
      <c r="J3504" s="2">
        <v>93668.57</v>
      </c>
      <c r="K3504" s="2">
        <f>Table1[[#This Row],[Salary_after]]-Table1[[#This Row],[Salary_before]]</f>
        <v>-1362.0799999999872</v>
      </c>
      <c r="L3504" s="11">
        <v>-1.43E-2</v>
      </c>
      <c r="M3504" s="11">
        <v>0.15539999999999998</v>
      </c>
      <c r="N3504">
        <v>52.63</v>
      </c>
      <c r="O3504">
        <v>71.02</v>
      </c>
      <c r="P3504">
        <v>5</v>
      </c>
      <c r="Q3504" t="s">
        <v>25</v>
      </c>
      <c r="R3504">
        <v>53.87</v>
      </c>
      <c r="S3504">
        <v>1.43</v>
      </c>
      <c r="T3504" s="4">
        <v>37.479999999999997</v>
      </c>
      <c r="U3504" s="4">
        <v>33.585357999999999</v>
      </c>
      <c r="V3504" t="str">
        <f>IF(Table1[[#This Row],[ai_disruption_intensity]]&gt;70,"High",
IF(Table1[[#This Row],[ai_disruption_intensity]]&gt;40,"Medium","Low"))</f>
        <v>Low</v>
      </c>
      <c r="W3504" t="str">
        <f>IF(Table1[[#This Row],[skill_gap_index]]&gt;70,"Large Gap",
IF(Table1[[#This Row],[skill_gap_index]]&gt;40,"Medium Gap","Small Gap"))</f>
        <v>Medium Gap</v>
      </c>
      <c r="X3504" s="3" t="str">
        <f>IF(Table1[[#This Row],[automation_risk_percent]]&gt;0.7,"Highly Automatable",
IF(Table1[[#This Row],[automation_risk_percent]]&gt;0.4,"Moderate Risk","Safe Job"))</f>
        <v>Moderate Risk</v>
      </c>
    </row>
    <row r="3505" spans="1:24" x14ac:dyDescent="0.3">
      <c r="A3505">
        <v>12228</v>
      </c>
      <c r="B3505" t="s">
        <v>46</v>
      </c>
      <c r="C3505" t="s">
        <v>38</v>
      </c>
      <c r="D3505" t="s">
        <v>36</v>
      </c>
      <c r="E3505" s="1">
        <v>2026</v>
      </c>
      <c r="F3505" s="11">
        <v>0.1996</v>
      </c>
      <c r="G3505">
        <v>23.06</v>
      </c>
      <c r="H3505">
        <v>45.28</v>
      </c>
      <c r="I3505" s="2">
        <v>52326.94</v>
      </c>
      <c r="J3505" s="2">
        <v>42808.95</v>
      </c>
      <c r="K3505" s="2">
        <f>Table1[[#This Row],[Salary_after]]-Table1[[#This Row],[Salary_before]]</f>
        <v>-9517.9900000000052</v>
      </c>
      <c r="L3505" s="11">
        <v>-0.18190000000000001</v>
      </c>
      <c r="M3505" s="11">
        <v>-1.9799999999999998E-2</v>
      </c>
      <c r="N3505">
        <v>73.760000000000005</v>
      </c>
      <c r="O3505">
        <v>2.13</v>
      </c>
      <c r="P3505">
        <v>5</v>
      </c>
      <c r="Q3505" t="s">
        <v>21</v>
      </c>
      <c r="R3505">
        <v>32.619999999999997</v>
      </c>
      <c r="S3505">
        <v>18.190000000000001</v>
      </c>
      <c r="T3505" s="4">
        <v>27.024999999999999</v>
      </c>
      <c r="U3505" s="4">
        <v>0.42514800000000003</v>
      </c>
      <c r="V3505" t="str">
        <f>IF(Table1[[#This Row],[ai_disruption_intensity]]&gt;70,"High",
IF(Table1[[#This Row],[ai_disruption_intensity]]&gt;40,"Medium","Low"))</f>
        <v>Low</v>
      </c>
      <c r="W3505" t="str">
        <f>IF(Table1[[#This Row],[skill_gap_index]]&gt;70,"Large Gap",
IF(Table1[[#This Row],[skill_gap_index]]&gt;40,"Medium Gap","Small Gap"))</f>
        <v>Medium Gap</v>
      </c>
      <c r="X3505" s="3" t="str">
        <f>IF(Table1[[#This Row],[automation_risk_percent]]&gt;0.7,"Highly Automatable",
IF(Table1[[#This Row],[automation_risk_percent]]&gt;0.4,"Moderate Risk","Safe Job"))</f>
        <v>Safe Job</v>
      </c>
    </row>
    <row r="3506" spans="1:24" x14ac:dyDescent="0.3">
      <c r="A3506">
        <v>12231</v>
      </c>
      <c r="B3506" t="s">
        <v>39</v>
      </c>
      <c r="C3506" t="s">
        <v>19</v>
      </c>
      <c r="D3506" t="s">
        <v>20</v>
      </c>
      <c r="E3506" s="1">
        <v>2026</v>
      </c>
      <c r="F3506" s="11">
        <v>0.65949999999999998</v>
      </c>
      <c r="G3506">
        <v>57.45</v>
      </c>
      <c r="H3506">
        <v>25.69</v>
      </c>
      <c r="I3506" s="2">
        <v>51908.5</v>
      </c>
      <c r="J3506" s="2">
        <v>51713.13</v>
      </c>
      <c r="K3506" s="2">
        <f>Table1[[#This Row],[Salary_after]]-Table1[[#This Row],[Salary_before]]</f>
        <v>-195.37000000000262</v>
      </c>
      <c r="L3506" s="11">
        <v>-3.8E-3</v>
      </c>
      <c r="M3506" s="11">
        <v>5.4199999999999998E-2</v>
      </c>
      <c r="N3506">
        <v>93.85</v>
      </c>
      <c r="O3506">
        <v>95.75</v>
      </c>
      <c r="P3506">
        <v>3</v>
      </c>
      <c r="Q3506" t="s">
        <v>37</v>
      </c>
      <c r="R3506">
        <v>45.82</v>
      </c>
      <c r="S3506">
        <v>0.38</v>
      </c>
      <c r="T3506" s="4">
        <v>34.201000000000001</v>
      </c>
      <c r="U3506" s="4">
        <v>63.147125000000003</v>
      </c>
      <c r="V3506" t="str">
        <f>IF(Table1[[#This Row],[ai_disruption_intensity]]&gt;70,"High",
IF(Table1[[#This Row],[ai_disruption_intensity]]&gt;40,"Medium","Low"))</f>
        <v>Medium</v>
      </c>
      <c r="W3506" t="str">
        <f>IF(Table1[[#This Row],[skill_gap_index]]&gt;70,"Large Gap",
IF(Table1[[#This Row],[skill_gap_index]]&gt;40,"Medium Gap","Small Gap"))</f>
        <v>Small Gap</v>
      </c>
      <c r="X3506" s="3" t="str">
        <f>IF(Table1[[#This Row],[automation_risk_percent]]&gt;0.7,"Highly Automatable",
IF(Table1[[#This Row],[automation_risk_percent]]&gt;0.4,"Moderate Risk","Safe Job"))</f>
        <v>Moderate Risk</v>
      </c>
    </row>
    <row r="3507" spans="1:24" x14ac:dyDescent="0.3">
      <c r="A3507">
        <v>12232</v>
      </c>
      <c r="B3507" t="s">
        <v>41</v>
      </c>
      <c r="C3507" t="s">
        <v>33</v>
      </c>
      <c r="D3507" t="s">
        <v>47</v>
      </c>
      <c r="E3507" s="1">
        <v>2025</v>
      </c>
      <c r="F3507" s="11">
        <v>0.65659999999999996</v>
      </c>
      <c r="G3507">
        <v>70.05</v>
      </c>
      <c r="H3507">
        <v>18.66</v>
      </c>
      <c r="I3507" s="2">
        <v>148097.10999999999</v>
      </c>
      <c r="J3507" s="2">
        <v>149811.72</v>
      </c>
      <c r="K3507" s="2">
        <f>Table1[[#This Row],[Salary_after]]-Table1[[#This Row],[Salary_before]]</f>
        <v>1714.6100000000151</v>
      </c>
      <c r="L3507" s="11">
        <v>1.1599999999999999E-2</v>
      </c>
      <c r="M3507" s="11">
        <v>0.22089999999999999</v>
      </c>
      <c r="N3507">
        <v>55.09</v>
      </c>
      <c r="O3507">
        <v>61.8</v>
      </c>
      <c r="P3507">
        <v>4</v>
      </c>
      <c r="Q3507" t="s">
        <v>37</v>
      </c>
      <c r="R3507">
        <v>42.16</v>
      </c>
      <c r="S3507">
        <v>1.1599999999999999</v>
      </c>
      <c r="T3507" s="4">
        <v>32.21</v>
      </c>
      <c r="U3507" s="4">
        <v>40.577879999999901</v>
      </c>
      <c r="V3507" t="str">
        <f>IF(Table1[[#This Row],[ai_disruption_intensity]]&gt;70,"High",
IF(Table1[[#This Row],[ai_disruption_intensity]]&gt;40,"Medium","Low"))</f>
        <v>Medium</v>
      </c>
      <c r="W3507" t="str">
        <f>IF(Table1[[#This Row],[skill_gap_index]]&gt;70,"Large Gap",
IF(Table1[[#This Row],[skill_gap_index]]&gt;40,"Medium Gap","Small Gap"))</f>
        <v>Small Gap</v>
      </c>
      <c r="X3507" s="3" t="str">
        <f>IF(Table1[[#This Row],[automation_risk_percent]]&gt;0.7,"Highly Automatable",
IF(Table1[[#This Row],[automation_risk_percent]]&gt;0.4,"Moderate Risk","Safe Job"))</f>
        <v>Moderate Risk</v>
      </c>
    </row>
    <row r="3508" spans="1:24" x14ac:dyDescent="0.3">
      <c r="A3508">
        <v>12236</v>
      </c>
      <c r="B3508" t="s">
        <v>26</v>
      </c>
      <c r="C3508" t="s">
        <v>23</v>
      </c>
      <c r="D3508" t="s">
        <v>42</v>
      </c>
      <c r="E3508" s="1">
        <v>2026</v>
      </c>
      <c r="F3508" s="11">
        <v>0.59430000000000005</v>
      </c>
      <c r="G3508">
        <v>66.47</v>
      </c>
      <c r="H3508">
        <v>84.78</v>
      </c>
      <c r="I3508" s="2">
        <v>57319.54</v>
      </c>
      <c r="J3508" s="2">
        <v>66224.05</v>
      </c>
      <c r="K3508" s="2">
        <f>Table1[[#This Row],[Salary_after]]-Table1[[#This Row],[Salary_before]]</f>
        <v>8904.510000000002</v>
      </c>
      <c r="L3508" s="11">
        <v>0.15529999999999999</v>
      </c>
      <c r="M3508" s="11">
        <v>0.15240000000000001</v>
      </c>
      <c r="N3508">
        <v>36.340000000000003</v>
      </c>
      <c r="O3508">
        <v>99.43</v>
      </c>
      <c r="P3508">
        <v>1</v>
      </c>
      <c r="Q3508" t="s">
        <v>25</v>
      </c>
      <c r="R3508">
        <v>72.105000000000004</v>
      </c>
      <c r="S3508">
        <v>15.53</v>
      </c>
      <c r="T3508" s="4">
        <v>53.865000000000002</v>
      </c>
      <c r="U3508" s="4">
        <v>59.091248999999998</v>
      </c>
      <c r="V3508" t="str">
        <f>IF(Table1[[#This Row],[ai_disruption_intensity]]&gt;70,"High",
IF(Table1[[#This Row],[ai_disruption_intensity]]&gt;40,"Medium","Low"))</f>
        <v>Medium</v>
      </c>
      <c r="W3508" t="str">
        <f>IF(Table1[[#This Row],[skill_gap_index]]&gt;70,"Large Gap",
IF(Table1[[#This Row],[skill_gap_index]]&gt;40,"Medium Gap","Small Gap"))</f>
        <v>Large Gap</v>
      </c>
      <c r="X3508" s="3" t="str">
        <f>IF(Table1[[#This Row],[automation_risk_percent]]&gt;0.7,"Highly Automatable",
IF(Table1[[#This Row],[automation_risk_percent]]&gt;0.4,"Moderate Risk","Safe Job"))</f>
        <v>Moderate Risk</v>
      </c>
    </row>
    <row r="3509" spans="1:24" x14ac:dyDescent="0.3">
      <c r="A3509">
        <v>12238</v>
      </c>
      <c r="B3509" t="s">
        <v>46</v>
      </c>
      <c r="C3509" t="s">
        <v>30</v>
      </c>
      <c r="D3509" t="s">
        <v>28</v>
      </c>
      <c r="E3509" s="1">
        <v>2025</v>
      </c>
      <c r="F3509" s="11">
        <v>0.43340000000000001</v>
      </c>
      <c r="G3509">
        <v>48.5</v>
      </c>
      <c r="H3509">
        <v>46.92</v>
      </c>
      <c r="I3509" s="2">
        <v>49411.63</v>
      </c>
      <c r="J3509" s="2">
        <v>45489.88</v>
      </c>
      <c r="K3509" s="2">
        <f>Table1[[#This Row],[Salary_after]]-Table1[[#This Row],[Salary_before]]</f>
        <v>-3921.75</v>
      </c>
      <c r="L3509" s="11">
        <v>-7.9399999999999998E-2</v>
      </c>
      <c r="M3509" s="11">
        <v>-6.6600000000000006E-2</v>
      </c>
      <c r="N3509">
        <v>83.81</v>
      </c>
      <c r="O3509">
        <v>97.22</v>
      </c>
      <c r="P3509">
        <v>1</v>
      </c>
      <c r="Q3509" t="s">
        <v>25</v>
      </c>
      <c r="R3509">
        <v>45.13</v>
      </c>
      <c r="S3509">
        <v>7.94</v>
      </c>
      <c r="T3509" s="4">
        <v>33.793999999999997</v>
      </c>
      <c r="U3509" s="4">
        <v>42.135148000000001</v>
      </c>
      <c r="V3509" t="str">
        <f>IF(Table1[[#This Row],[ai_disruption_intensity]]&gt;70,"High",
IF(Table1[[#This Row],[ai_disruption_intensity]]&gt;40,"Medium","Low"))</f>
        <v>Medium</v>
      </c>
      <c r="W3509" t="str">
        <f>IF(Table1[[#This Row],[skill_gap_index]]&gt;70,"Large Gap",
IF(Table1[[#This Row],[skill_gap_index]]&gt;40,"Medium Gap","Small Gap"))</f>
        <v>Medium Gap</v>
      </c>
      <c r="X3509" s="3" t="str">
        <f>IF(Table1[[#This Row],[automation_risk_percent]]&gt;0.7,"Highly Automatable",
IF(Table1[[#This Row],[automation_risk_percent]]&gt;0.4,"Moderate Risk","Safe Job"))</f>
        <v>Moderate Risk</v>
      </c>
    </row>
    <row r="3510" spans="1:24" x14ac:dyDescent="0.3">
      <c r="A3510">
        <v>12242</v>
      </c>
      <c r="B3510" t="s">
        <v>26</v>
      </c>
      <c r="C3510" t="s">
        <v>23</v>
      </c>
      <c r="D3510" t="s">
        <v>20</v>
      </c>
      <c r="E3510" s="1">
        <v>2025</v>
      </c>
      <c r="F3510" s="11">
        <v>0.1158</v>
      </c>
      <c r="G3510">
        <v>10.76</v>
      </c>
      <c r="H3510">
        <v>19.95</v>
      </c>
      <c r="I3510" s="2">
        <v>130778.88</v>
      </c>
      <c r="J3510" s="2">
        <v>137332.03</v>
      </c>
      <c r="K3510" s="2">
        <f>Table1[[#This Row],[Salary_after]]-Table1[[#This Row],[Salary_before]]</f>
        <v>6553.1499999999942</v>
      </c>
      <c r="L3510" s="11">
        <v>5.0099999999999999E-2</v>
      </c>
      <c r="M3510" s="11">
        <v>-1.84E-2</v>
      </c>
      <c r="N3510">
        <v>15.97</v>
      </c>
      <c r="O3510">
        <v>65.97</v>
      </c>
      <c r="P3510">
        <v>2</v>
      </c>
      <c r="Q3510" t="s">
        <v>21</v>
      </c>
      <c r="R3510">
        <v>15.765000000000001</v>
      </c>
      <c r="S3510">
        <v>5.01</v>
      </c>
      <c r="T3510" s="4">
        <v>12.12</v>
      </c>
      <c r="U3510" s="4">
        <v>7.6393259999999996</v>
      </c>
      <c r="V3510" t="str">
        <f>IF(Table1[[#This Row],[ai_disruption_intensity]]&gt;70,"High",
IF(Table1[[#This Row],[ai_disruption_intensity]]&gt;40,"Medium","Low"))</f>
        <v>Low</v>
      </c>
      <c r="W3510" t="str">
        <f>IF(Table1[[#This Row],[skill_gap_index]]&gt;70,"Large Gap",
IF(Table1[[#This Row],[skill_gap_index]]&gt;40,"Medium Gap","Small Gap"))</f>
        <v>Small Gap</v>
      </c>
      <c r="X3510" s="3" t="str">
        <f>IF(Table1[[#This Row],[automation_risk_percent]]&gt;0.7,"Highly Automatable",
IF(Table1[[#This Row],[automation_risk_percent]]&gt;0.4,"Moderate Risk","Safe Job"))</f>
        <v>Safe Job</v>
      </c>
    </row>
    <row r="3511" spans="1:24" x14ac:dyDescent="0.3">
      <c r="A3511">
        <v>12243</v>
      </c>
      <c r="B3511" t="s">
        <v>29</v>
      </c>
      <c r="C3511" t="s">
        <v>23</v>
      </c>
      <c r="D3511" t="s">
        <v>28</v>
      </c>
      <c r="E3511" s="1">
        <v>2025</v>
      </c>
      <c r="F3511" s="11">
        <v>0.78590000000000004</v>
      </c>
      <c r="G3511">
        <v>66.040000000000006</v>
      </c>
      <c r="H3511">
        <v>77.2</v>
      </c>
      <c r="I3511" s="2">
        <v>100311.27</v>
      </c>
      <c r="J3511" s="2">
        <v>111658.87</v>
      </c>
      <c r="K3511" s="2">
        <f>Table1[[#This Row],[Salary_after]]-Table1[[#This Row],[Salary_before]]</f>
        <v>11347.599999999991</v>
      </c>
      <c r="L3511" s="11">
        <v>0.11310000000000001</v>
      </c>
      <c r="M3511" s="11">
        <v>0.14429999999999998</v>
      </c>
      <c r="N3511">
        <v>24.69</v>
      </c>
      <c r="O3511">
        <v>79.790000000000006</v>
      </c>
      <c r="P3511">
        <v>3</v>
      </c>
      <c r="Q3511" t="s">
        <v>37</v>
      </c>
      <c r="R3511">
        <v>77.894999999999996</v>
      </c>
      <c r="S3511">
        <v>11.31</v>
      </c>
      <c r="T3511" s="4">
        <v>57.988999999999997</v>
      </c>
      <c r="U3511" s="4">
        <v>62.706961</v>
      </c>
      <c r="V3511" t="str">
        <f>IF(Table1[[#This Row],[ai_disruption_intensity]]&gt;70,"High",
IF(Table1[[#This Row],[ai_disruption_intensity]]&gt;40,"Medium","Low"))</f>
        <v>Medium</v>
      </c>
      <c r="W3511" t="str">
        <f>IF(Table1[[#This Row],[skill_gap_index]]&gt;70,"Large Gap",
IF(Table1[[#This Row],[skill_gap_index]]&gt;40,"Medium Gap","Small Gap"))</f>
        <v>Large Gap</v>
      </c>
      <c r="X3511" s="3" t="str">
        <f>IF(Table1[[#This Row],[automation_risk_percent]]&gt;0.7,"Highly Automatable",
IF(Table1[[#This Row],[automation_risk_percent]]&gt;0.4,"Moderate Risk","Safe Job"))</f>
        <v>Highly Automatable</v>
      </c>
    </row>
    <row r="3512" spans="1:24" x14ac:dyDescent="0.3">
      <c r="A3512">
        <v>12245</v>
      </c>
      <c r="B3512" t="s">
        <v>45</v>
      </c>
      <c r="C3512" t="s">
        <v>38</v>
      </c>
      <c r="D3512" t="s">
        <v>28</v>
      </c>
      <c r="E3512" s="1">
        <v>2025</v>
      </c>
      <c r="F3512" s="11">
        <v>0.39759999999999995</v>
      </c>
      <c r="G3512">
        <v>44.98</v>
      </c>
      <c r="H3512">
        <v>66.349999999999994</v>
      </c>
      <c r="I3512" s="2">
        <v>86867.87</v>
      </c>
      <c r="J3512" s="2">
        <v>77880.78</v>
      </c>
      <c r="K3512" s="2">
        <f>Table1[[#This Row],[Salary_after]]-Table1[[#This Row],[Salary_before]]</f>
        <v>-8987.0899999999965</v>
      </c>
      <c r="L3512" s="11">
        <v>-0.10349999999999999</v>
      </c>
      <c r="M3512" s="11">
        <v>2.3799999999999998E-2</v>
      </c>
      <c r="N3512">
        <v>92.78</v>
      </c>
      <c r="O3512">
        <v>95.74</v>
      </c>
      <c r="P3512">
        <v>2</v>
      </c>
      <c r="Q3512" t="s">
        <v>25</v>
      </c>
      <c r="R3512">
        <v>53.0549999999999</v>
      </c>
      <c r="S3512">
        <v>10.35</v>
      </c>
      <c r="T3512" s="4">
        <v>38.913999999999902</v>
      </c>
      <c r="U3512" s="4">
        <v>38.066223999999998</v>
      </c>
      <c r="V3512" t="str">
        <f>IF(Table1[[#This Row],[ai_disruption_intensity]]&gt;70,"High",
IF(Table1[[#This Row],[ai_disruption_intensity]]&gt;40,"Medium","Low"))</f>
        <v>Low</v>
      </c>
      <c r="W3512" t="str">
        <f>IF(Table1[[#This Row],[skill_gap_index]]&gt;70,"Large Gap",
IF(Table1[[#This Row],[skill_gap_index]]&gt;40,"Medium Gap","Small Gap"))</f>
        <v>Medium Gap</v>
      </c>
      <c r="X3512" s="3" t="str">
        <f>IF(Table1[[#This Row],[automation_risk_percent]]&gt;0.7,"Highly Automatable",
IF(Table1[[#This Row],[automation_risk_percent]]&gt;0.4,"Moderate Risk","Safe Job"))</f>
        <v>Safe Job</v>
      </c>
    </row>
    <row r="3513" spans="1:24" x14ac:dyDescent="0.3">
      <c r="A3513">
        <v>12254</v>
      </c>
      <c r="B3513" t="s">
        <v>41</v>
      </c>
      <c r="C3513" t="s">
        <v>40</v>
      </c>
      <c r="D3513" t="s">
        <v>20</v>
      </c>
      <c r="E3513" s="1">
        <v>2025</v>
      </c>
      <c r="F3513" s="11">
        <v>0.44819999999999999</v>
      </c>
      <c r="G3513">
        <v>51.62</v>
      </c>
      <c r="H3513">
        <v>26.75</v>
      </c>
      <c r="I3513" s="2">
        <v>76285.13</v>
      </c>
      <c r="J3513" s="2">
        <v>69228.05</v>
      </c>
      <c r="K3513" s="2">
        <f>Table1[[#This Row],[Salary_after]]-Table1[[#This Row],[Salary_before]]</f>
        <v>-7057.0800000000017</v>
      </c>
      <c r="L3513" s="11">
        <v>-9.2499999999999999E-2</v>
      </c>
      <c r="M3513" s="11">
        <v>9.2300000000000007E-2</v>
      </c>
      <c r="N3513">
        <v>60.27</v>
      </c>
      <c r="O3513">
        <v>43.02</v>
      </c>
      <c r="P3513">
        <v>5</v>
      </c>
      <c r="Q3513" t="s">
        <v>25</v>
      </c>
      <c r="R3513">
        <v>35.784999999999997</v>
      </c>
      <c r="S3513">
        <v>9.25</v>
      </c>
      <c r="T3513" s="4">
        <v>28.728000000000002</v>
      </c>
      <c r="U3513" s="4">
        <v>19.281563999999999</v>
      </c>
      <c r="V3513" t="str">
        <f>IF(Table1[[#This Row],[ai_disruption_intensity]]&gt;70,"High",
IF(Table1[[#This Row],[ai_disruption_intensity]]&gt;40,"Medium","Low"))</f>
        <v>Low</v>
      </c>
      <c r="W3513" t="str">
        <f>IF(Table1[[#This Row],[skill_gap_index]]&gt;70,"Large Gap",
IF(Table1[[#This Row],[skill_gap_index]]&gt;40,"Medium Gap","Small Gap"))</f>
        <v>Small Gap</v>
      </c>
      <c r="X3513" s="3" t="str">
        <f>IF(Table1[[#This Row],[automation_risk_percent]]&gt;0.7,"Highly Automatable",
IF(Table1[[#This Row],[automation_risk_percent]]&gt;0.4,"Moderate Risk","Safe Job"))</f>
        <v>Moderate Risk</v>
      </c>
    </row>
    <row r="3514" spans="1:24" x14ac:dyDescent="0.3">
      <c r="A3514">
        <v>12260</v>
      </c>
      <c r="B3514" t="s">
        <v>43</v>
      </c>
      <c r="C3514" t="s">
        <v>30</v>
      </c>
      <c r="D3514" t="s">
        <v>36</v>
      </c>
      <c r="E3514" s="1">
        <v>2025</v>
      </c>
      <c r="F3514" s="11">
        <v>0.62380000000000002</v>
      </c>
      <c r="G3514">
        <v>69.180000000000007</v>
      </c>
      <c r="H3514">
        <v>94.44</v>
      </c>
      <c r="I3514" s="2">
        <v>64936.34</v>
      </c>
      <c r="J3514" s="2">
        <v>67467.360000000001</v>
      </c>
      <c r="K3514" s="2">
        <f>Table1[[#This Row],[Salary_after]]-Table1[[#This Row],[Salary_before]]</f>
        <v>2531.0200000000041</v>
      </c>
      <c r="L3514" s="11">
        <v>3.9E-2</v>
      </c>
      <c r="M3514" s="11">
        <v>-9.5100000000000004E-2</v>
      </c>
      <c r="N3514">
        <v>17.09</v>
      </c>
      <c r="O3514">
        <v>72.52</v>
      </c>
      <c r="P3514">
        <v>2</v>
      </c>
      <c r="Q3514" t="s">
        <v>37</v>
      </c>
      <c r="R3514">
        <v>78.41</v>
      </c>
      <c r="S3514">
        <v>3.9</v>
      </c>
      <c r="T3514" s="4">
        <v>54.454000000000001</v>
      </c>
      <c r="U3514" s="4">
        <v>45.237975999999897</v>
      </c>
      <c r="V3514" t="str">
        <f>IF(Table1[[#This Row],[ai_disruption_intensity]]&gt;70,"High",
IF(Table1[[#This Row],[ai_disruption_intensity]]&gt;40,"Medium","Low"))</f>
        <v>Medium</v>
      </c>
      <c r="W3514" t="str">
        <f>IF(Table1[[#This Row],[skill_gap_index]]&gt;70,"Large Gap",
IF(Table1[[#This Row],[skill_gap_index]]&gt;40,"Medium Gap","Small Gap"))</f>
        <v>Large Gap</v>
      </c>
      <c r="X3514" s="3" t="str">
        <f>IF(Table1[[#This Row],[automation_risk_percent]]&gt;0.7,"Highly Automatable",
IF(Table1[[#This Row],[automation_risk_percent]]&gt;0.4,"Moderate Risk","Safe Job"))</f>
        <v>Moderate Risk</v>
      </c>
    </row>
    <row r="3515" spans="1:24" x14ac:dyDescent="0.3">
      <c r="A3515">
        <v>12263</v>
      </c>
      <c r="B3515" t="s">
        <v>18</v>
      </c>
      <c r="C3515" t="s">
        <v>19</v>
      </c>
      <c r="D3515" t="s">
        <v>32</v>
      </c>
      <c r="E3515" s="1">
        <v>2025</v>
      </c>
      <c r="F3515" s="11">
        <v>0.7369</v>
      </c>
      <c r="G3515">
        <v>60.99</v>
      </c>
      <c r="H3515">
        <v>41.39</v>
      </c>
      <c r="I3515" s="2">
        <v>68406.61</v>
      </c>
      <c r="J3515" s="2">
        <v>77335.73</v>
      </c>
      <c r="K3515" s="2">
        <f>Table1[[#This Row],[Salary_after]]-Table1[[#This Row],[Salary_before]]</f>
        <v>8929.1199999999953</v>
      </c>
      <c r="L3515" s="11">
        <v>0.1305</v>
      </c>
      <c r="M3515" s="11">
        <v>-2.2400000000000003E-2</v>
      </c>
      <c r="N3515">
        <v>27.75</v>
      </c>
      <c r="O3515">
        <v>75.58</v>
      </c>
      <c r="P3515">
        <v>4</v>
      </c>
      <c r="Q3515" t="s">
        <v>37</v>
      </c>
      <c r="R3515">
        <v>57.54</v>
      </c>
      <c r="S3515">
        <v>13.05</v>
      </c>
      <c r="T3515" s="4">
        <v>45.808</v>
      </c>
      <c r="U3515" s="4">
        <v>55.6949019999999</v>
      </c>
      <c r="V3515" t="str">
        <f>IF(Table1[[#This Row],[ai_disruption_intensity]]&gt;70,"High",
IF(Table1[[#This Row],[ai_disruption_intensity]]&gt;40,"Medium","Low"))</f>
        <v>Medium</v>
      </c>
      <c r="W3515" t="str">
        <f>IF(Table1[[#This Row],[skill_gap_index]]&gt;70,"Large Gap",
IF(Table1[[#This Row],[skill_gap_index]]&gt;40,"Medium Gap","Small Gap"))</f>
        <v>Medium Gap</v>
      </c>
      <c r="X3515" s="3" t="str">
        <f>IF(Table1[[#This Row],[automation_risk_percent]]&gt;0.7,"Highly Automatable",
IF(Table1[[#This Row],[automation_risk_percent]]&gt;0.4,"Moderate Risk","Safe Job"))</f>
        <v>Highly Automatable</v>
      </c>
    </row>
    <row r="3516" spans="1:24" x14ac:dyDescent="0.3">
      <c r="A3516">
        <v>12264</v>
      </c>
      <c r="B3516" t="s">
        <v>18</v>
      </c>
      <c r="C3516" t="s">
        <v>30</v>
      </c>
      <c r="D3516" t="s">
        <v>47</v>
      </c>
      <c r="E3516" s="1">
        <v>2026</v>
      </c>
      <c r="F3516" s="11">
        <v>0.74199999999999999</v>
      </c>
      <c r="G3516">
        <v>79.95</v>
      </c>
      <c r="H3516">
        <v>41.15</v>
      </c>
      <c r="I3516" s="2">
        <v>37516.21</v>
      </c>
      <c r="J3516" s="2">
        <v>38672.300000000003</v>
      </c>
      <c r="K3516" s="2">
        <f>Table1[[#This Row],[Salary_after]]-Table1[[#This Row],[Salary_before]]</f>
        <v>1156.0900000000038</v>
      </c>
      <c r="L3516" s="11">
        <v>3.0800000000000001E-2</v>
      </c>
      <c r="M3516" s="11">
        <v>-6.8000000000000005E-3</v>
      </c>
      <c r="N3516">
        <v>20.22</v>
      </c>
      <c r="O3516">
        <v>41.43</v>
      </c>
      <c r="P3516">
        <v>3</v>
      </c>
      <c r="Q3516" t="s">
        <v>37</v>
      </c>
      <c r="R3516">
        <v>57.674999999999997</v>
      </c>
      <c r="S3516">
        <v>3.08</v>
      </c>
      <c r="T3516" s="4">
        <v>42.948999999999998</v>
      </c>
      <c r="U3516" s="4">
        <v>30.741060000000001</v>
      </c>
      <c r="V3516" t="str">
        <f>IF(Table1[[#This Row],[ai_disruption_intensity]]&gt;70,"High",
IF(Table1[[#This Row],[ai_disruption_intensity]]&gt;40,"Medium","Low"))</f>
        <v>Low</v>
      </c>
      <c r="W3516" t="str">
        <f>IF(Table1[[#This Row],[skill_gap_index]]&gt;70,"Large Gap",
IF(Table1[[#This Row],[skill_gap_index]]&gt;40,"Medium Gap","Small Gap"))</f>
        <v>Medium Gap</v>
      </c>
      <c r="X3516" s="3" t="str">
        <f>IF(Table1[[#This Row],[automation_risk_percent]]&gt;0.7,"Highly Automatable",
IF(Table1[[#This Row],[automation_risk_percent]]&gt;0.4,"Moderate Risk","Safe Job"))</f>
        <v>Highly Automatable</v>
      </c>
    </row>
    <row r="3517" spans="1:24" x14ac:dyDescent="0.3">
      <c r="A3517">
        <v>12270</v>
      </c>
      <c r="B3517" t="s">
        <v>45</v>
      </c>
      <c r="C3517" t="s">
        <v>30</v>
      </c>
      <c r="D3517" t="s">
        <v>28</v>
      </c>
      <c r="E3517" s="1">
        <v>2025</v>
      </c>
      <c r="F3517" s="11">
        <v>0.2177</v>
      </c>
      <c r="G3517">
        <v>18.23</v>
      </c>
      <c r="H3517">
        <v>67.69</v>
      </c>
      <c r="I3517" s="2">
        <v>77913.97</v>
      </c>
      <c r="J3517" s="2">
        <v>79374.490000000005</v>
      </c>
      <c r="K3517" s="2">
        <f>Table1[[#This Row],[Salary_after]]-Table1[[#This Row],[Salary_before]]</f>
        <v>1460.5200000000041</v>
      </c>
      <c r="L3517" s="11">
        <v>1.8700000000000001E-2</v>
      </c>
      <c r="M3517" s="11">
        <v>3.7900000000000003E-2</v>
      </c>
      <c r="N3517">
        <v>17.98</v>
      </c>
      <c r="O3517">
        <v>83.1</v>
      </c>
      <c r="P3517">
        <v>5</v>
      </c>
      <c r="Q3517" t="s">
        <v>21</v>
      </c>
      <c r="R3517">
        <v>44.73</v>
      </c>
      <c r="S3517">
        <v>1.87</v>
      </c>
      <c r="T3517" s="4">
        <v>29.576000000000001</v>
      </c>
      <c r="U3517" s="4">
        <v>18.090869999999999</v>
      </c>
      <c r="V3517" t="str">
        <f>IF(Table1[[#This Row],[ai_disruption_intensity]]&gt;70,"High",
IF(Table1[[#This Row],[ai_disruption_intensity]]&gt;40,"Medium","Low"))</f>
        <v>Low</v>
      </c>
      <c r="W3517" t="str">
        <f>IF(Table1[[#This Row],[skill_gap_index]]&gt;70,"Large Gap",
IF(Table1[[#This Row],[skill_gap_index]]&gt;40,"Medium Gap","Small Gap"))</f>
        <v>Medium Gap</v>
      </c>
      <c r="X3517" s="3" t="str">
        <f>IF(Table1[[#This Row],[automation_risk_percent]]&gt;0.7,"Highly Automatable",
IF(Table1[[#This Row],[automation_risk_percent]]&gt;0.4,"Moderate Risk","Safe Job"))</f>
        <v>Safe Job</v>
      </c>
    </row>
    <row r="3518" spans="1:24" x14ac:dyDescent="0.3">
      <c r="A3518">
        <v>12279</v>
      </c>
      <c r="B3518" t="s">
        <v>43</v>
      </c>
      <c r="C3518" t="s">
        <v>34</v>
      </c>
      <c r="D3518" t="s">
        <v>47</v>
      </c>
      <c r="E3518" s="1">
        <v>2026</v>
      </c>
      <c r="F3518" s="11">
        <v>0.51369999999999993</v>
      </c>
      <c r="G3518">
        <v>52.3</v>
      </c>
      <c r="H3518">
        <v>88.69</v>
      </c>
      <c r="I3518" s="2">
        <v>146770.92000000001</v>
      </c>
      <c r="J3518" s="2">
        <v>167923.67</v>
      </c>
      <c r="K3518" s="2">
        <f>Table1[[#This Row],[Salary_after]]-Table1[[#This Row],[Salary_before]]</f>
        <v>21152.75</v>
      </c>
      <c r="L3518" s="11">
        <v>0.14410000000000001</v>
      </c>
      <c r="M3518" s="11">
        <v>-2.0999999999999999E-3</v>
      </c>
      <c r="N3518">
        <v>80.19</v>
      </c>
      <c r="O3518">
        <v>17</v>
      </c>
      <c r="P3518">
        <v>4</v>
      </c>
      <c r="Q3518" t="s">
        <v>25</v>
      </c>
      <c r="R3518">
        <v>70.03</v>
      </c>
      <c r="S3518">
        <v>14.41</v>
      </c>
      <c r="T3518" s="4">
        <v>51.478000000000002</v>
      </c>
      <c r="U3518" s="4">
        <v>8.7328999999999901</v>
      </c>
      <c r="V3518" t="str">
        <f>IF(Table1[[#This Row],[ai_disruption_intensity]]&gt;70,"High",
IF(Table1[[#This Row],[ai_disruption_intensity]]&gt;40,"Medium","Low"))</f>
        <v>Low</v>
      </c>
      <c r="W3518" t="str">
        <f>IF(Table1[[#This Row],[skill_gap_index]]&gt;70,"Large Gap",
IF(Table1[[#This Row],[skill_gap_index]]&gt;40,"Medium Gap","Small Gap"))</f>
        <v>Large Gap</v>
      </c>
      <c r="X3518" s="3" t="str">
        <f>IF(Table1[[#This Row],[automation_risk_percent]]&gt;0.7,"Highly Automatable",
IF(Table1[[#This Row],[automation_risk_percent]]&gt;0.4,"Moderate Risk","Safe Job"))</f>
        <v>Moderate Risk</v>
      </c>
    </row>
    <row r="3519" spans="1:24" x14ac:dyDescent="0.3">
      <c r="A3519">
        <v>12280</v>
      </c>
      <c r="B3519" t="s">
        <v>44</v>
      </c>
      <c r="C3519" t="s">
        <v>34</v>
      </c>
      <c r="D3519" t="s">
        <v>36</v>
      </c>
      <c r="E3519" s="1">
        <v>2025</v>
      </c>
      <c r="F3519" s="11">
        <v>0.67330000000000001</v>
      </c>
      <c r="G3519">
        <v>78.430000000000007</v>
      </c>
      <c r="H3519">
        <v>75.13</v>
      </c>
      <c r="I3519" s="2">
        <v>111715.13</v>
      </c>
      <c r="J3519" s="2">
        <v>118390.62</v>
      </c>
      <c r="K3519" s="2">
        <f>Table1[[#This Row],[Salary_after]]-Table1[[#This Row],[Salary_before]]</f>
        <v>6675.4899999999907</v>
      </c>
      <c r="L3519" s="11">
        <v>5.9800000000000006E-2</v>
      </c>
      <c r="M3519" s="11">
        <v>-7.2499999999999995E-2</v>
      </c>
      <c r="N3519">
        <v>66.78</v>
      </c>
      <c r="O3519">
        <v>37.51</v>
      </c>
      <c r="P3519">
        <v>2</v>
      </c>
      <c r="Q3519" t="s">
        <v>37</v>
      </c>
      <c r="R3519">
        <v>71.229999999999905</v>
      </c>
      <c r="S3519">
        <v>5.98</v>
      </c>
      <c r="T3519" s="4">
        <v>51.265000000000001</v>
      </c>
      <c r="U3519" s="4">
        <v>25.255482999999899</v>
      </c>
      <c r="V3519" t="str">
        <f>IF(Table1[[#This Row],[ai_disruption_intensity]]&gt;70,"High",
IF(Table1[[#This Row],[ai_disruption_intensity]]&gt;40,"Medium","Low"))</f>
        <v>Low</v>
      </c>
      <c r="W3519" t="str">
        <f>IF(Table1[[#This Row],[skill_gap_index]]&gt;70,"Large Gap",
IF(Table1[[#This Row],[skill_gap_index]]&gt;40,"Medium Gap","Small Gap"))</f>
        <v>Large Gap</v>
      </c>
      <c r="X3519" s="3" t="str">
        <f>IF(Table1[[#This Row],[automation_risk_percent]]&gt;0.7,"Highly Automatable",
IF(Table1[[#This Row],[automation_risk_percent]]&gt;0.4,"Moderate Risk","Safe Job"))</f>
        <v>Moderate Risk</v>
      </c>
    </row>
    <row r="3520" spans="1:24" x14ac:dyDescent="0.3">
      <c r="A3520">
        <v>12283</v>
      </c>
      <c r="B3520" t="s">
        <v>22</v>
      </c>
      <c r="C3520" t="s">
        <v>19</v>
      </c>
      <c r="D3520" t="s">
        <v>36</v>
      </c>
      <c r="E3520" s="1">
        <v>2025</v>
      </c>
      <c r="F3520" s="11">
        <v>0.67030000000000001</v>
      </c>
      <c r="G3520">
        <v>73.19</v>
      </c>
      <c r="H3520">
        <v>47.18</v>
      </c>
      <c r="I3520" s="2">
        <v>75190.61</v>
      </c>
      <c r="J3520" s="2">
        <v>77925.77</v>
      </c>
      <c r="K3520" s="2">
        <f>Table1[[#This Row],[Salary_after]]-Table1[[#This Row],[Salary_before]]</f>
        <v>2735.1600000000035</v>
      </c>
      <c r="L3520" s="11">
        <v>3.6400000000000002E-2</v>
      </c>
      <c r="M3520" s="11">
        <v>6.5500000000000003E-2</v>
      </c>
      <c r="N3520">
        <v>48.21</v>
      </c>
      <c r="O3520">
        <v>3.9</v>
      </c>
      <c r="P3520">
        <v>5</v>
      </c>
      <c r="Q3520" t="s">
        <v>37</v>
      </c>
      <c r="R3520">
        <v>57.104999999999997</v>
      </c>
      <c r="S3520">
        <v>3.64</v>
      </c>
      <c r="T3520" s="4">
        <v>42.058</v>
      </c>
      <c r="U3520" s="4">
        <v>2.6141699999999899</v>
      </c>
      <c r="V3520" t="str">
        <f>IF(Table1[[#This Row],[ai_disruption_intensity]]&gt;70,"High",
IF(Table1[[#This Row],[ai_disruption_intensity]]&gt;40,"Medium","Low"))</f>
        <v>Low</v>
      </c>
      <c r="W3520" t="str">
        <f>IF(Table1[[#This Row],[skill_gap_index]]&gt;70,"Large Gap",
IF(Table1[[#This Row],[skill_gap_index]]&gt;40,"Medium Gap","Small Gap"))</f>
        <v>Medium Gap</v>
      </c>
      <c r="X3520" s="3" t="str">
        <f>IF(Table1[[#This Row],[automation_risk_percent]]&gt;0.7,"Highly Automatable",
IF(Table1[[#This Row],[automation_risk_percent]]&gt;0.4,"Moderate Risk","Safe Job"))</f>
        <v>Moderate Risk</v>
      </c>
    </row>
    <row r="3521" spans="1:24" x14ac:dyDescent="0.3">
      <c r="A3521">
        <v>12284</v>
      </c>
      <c r="B3521" t="s">
        <v>22</v>
      </c>
      <c r="C3521" t="s">
        <v>34</v>
      </c>
      <c r="D3521" t="s">
        <v>32</v>
      </c>
      <c r="E3521" s="1">
        <v>2026</v>
      </c>
      <c r="F3521" s="11">
        <v>0.71519999999999995</v>
      </c>
      <c r="G3521">
        <v>61.97</v>
      </c>
      <c r="H3521">
        <v>90.15</v>
      </c>
      <c r="I3521" s="2">
        <v>129545.31</v>
      </c>
      <c r="J3521" s="2">
        <v>141809.94</v>
      </c>
      <c r="K3521" s="2">
        <f>Table1[[#This Row],[Salary_after]]-Table1[[#This Row],[Salary_before]]</f>
        <v>12264.630000000005</v>
      </c>
      <c r="L3521" s="11">
        <v>9.4700000000000006E-2</v>
      </c>
      <c r="M3521" s="11">
        <v>9.3699999999999992E-2</v>
      </c>
      <c r="N3521">
        <v>33.380000000000003</v>
      </c>
      <c r="O3521">
        <v>85.58</v>
      </c>
      <c r="P3521">
        <v>1</v>
      </c>
      <c r="Q3521" t="s">
        <v>37</v>
      </c>
      <c r="R3521">
        <v>80.834999999999994</v>
      </c>
      <c r="S3521">
        <v>9.4700000000000006</v>
      </c>
      <c r="T3521" s="4">
        <v>58.494</v>
      </c>
      <c r="U3521" s="4">
        <v>61.206815999999897</v>
      </c>
      <c r="V3521" t="str">
        <f>IF(Table1[[#This Row],[ai_disruption_intensity]]&gt;70,"High",
IF(Table1[[#This Row],[ai_disruption_intensity]]&gt;40,"Medium","Low"))</f>
        <v>Medium</v>
      </c>
      <c r="W3521" t="str">
        <f>IF(Table1[[#This Row],[skill_gap_index]]&gt;70,"Large Gap",
IF(Table1[[#This Row],[skill_gap_index]]&gt;40,"Medium Gap","Small Gap"))</f>
        <v>Large Gap</v>
      </c>
      <c r="X3521" s="3" t="str">
        <f>IF(Table1[[#This Row],[automation_risk_percent]]&gt;0.7,"Highly Automatable",
IF(Table1[[#This Row],[automation_risk_percent]]&gt;0.4,"Moderate Risk","Safe Job"))</f>
        <v>Highly Automatable</v>
      </c>
    </row>
    <row r="3522" spans="1:24" x14ac:dyDescent="0.3">
      <c r="A3522">
        <v>12288</v>
      </c>
      <c r="B3522" t="s">
        <v>18</v>
      </c>
      <c r="C3522" t="s">
        <v>30</v>
      </c>
      <c r="D3522" t="s">
        <v>28</v>
      </c>
      <c r="E3522" s="1">
        <v>2026</v>
      </c>
      <c r="F3522" s="11">
        <v>0.68720000000000003</v>
      </c>
      <c r="G3522">
        <v>56.63</v>
      </c>
      <c r="H3522">
        <v>85.73</v>
      </c>
      <c r="I3522" s="2">
        <v>138350.85</v>
      </c>
      <c r="J3522" s="2">
        <v>128912.77</v>
      </c>
      <c r="K3522" s="2">
        <f>Table1[[#This Row],[Salary_after]]-Table1[[#This Row],[Salary_before]]</f>
        <v>-9438.0800000000017</v>
      </c>
      <c r="L3522" s="11">
        <v>-6.8199999999999997E-2</v>
      </c>
      <c r="M3522" s="11">
        <v>0.13869999999999999</v>
      </c>
      <c r="N3522">
        <v>20.27</v>
      </c>
      <c r="O3522">
        <v>50.09</v>
      </c>
      <c r="P3522">
        <v>3</v>
      </c>
      <c r="Q3522" t="s">
        <v>37</v>
      </c>
      <c r="R3522">
        <v>77.224999999999994</v>
      </c>
      <c r="S3522">
        <v>6.82</v>
      </c>
      <c r="T3522" s="4">
        <v>55.253</v>
      </c>
      <c r="U3522" s="4">
        <v>34.421847999999997</v>
      </c>
      <c r="V3522" t="str">
        <f>IF(Table1[[#This Row],[ai_disruption_intensity]]&gt;70,"High",
IF(Table1[[#This Row],[ai_disruption_intensity]]&gt;40,"Medium","Low"))</f>
        <v>Low</v>
      </c>
      <c r="W3522" t="str">
        <f>IF(Table1[[#This Row],[skill_gap_index]]&gt;70,"Large Gap",
IF(Table1[[#This Row],[skill_gap_index]]&gt;40,"Medium Gap","Small Gap"))</f>
        <v>Large Gap</v>
      </c>
      <c r="X3522" s="3" t="str">
        <f>IF(Table1[[#This Row],[automation_risk_percent]]&gt;0.7,"Highly Automatable",
IF(Table1[[#This Row],[automation_risk_percent]]&gt;0.4,"Moderate Risk","Safe Job"))</f>
        <v>Moderate Risk</v>
      </c>
    </row>
    <row r="3523" spans="1:24" x14ac:dyDescent="0.3">
      <c r="A3523">
        <v>12291</v>
      </c>
      <c r="B3523" t="s">
        <v>29</v>
      </c>
      <c r="C3523" t="s">
        <v>23</v>
      </c>
      <c r="D3523" t="s">
        <v>36</v>
      </c>
      <c r="E3523" s="1">
        <v>2025</v>
      </c>
      <c r="F3523" s="11">
        <v>0.44670000000000004</v>
      </c>
      <c r="G3523">
        <v>43.24</v>
      </c>
      <c r="H3523">
        <v>50.77</v>
      </c>
      <c r="I3523" s="2">
        <v>98041.79</v>
      </c>
      <c r="J3523" s="2">
        <v>101181.54</v>
      </c>
      <c r="K3523" s="2">
        <f>Table1[[#This Row],[Salary_after]]-Table1[[#This Row],[Salary_before]]</f>
        <v>3139.75</v>
      </c>
      <c r="L3523" s="11">
        <v>3.2000000000000001E-2</v>
      </c>
      <c r="M3523" s="11">
        <v>-0.13739999999999999</v>
      </c>
      <c r="N3523">
        <v>79.59</v>
      </c>
      <c r="O3523">
        <v>68.599999999999994</v>
      </c>
      <c r="P3523">
        <v>2</v>
      </c>
      <c r="Q3523" t="s">
        <v>25</v>
      </c>
      <c r="R3523">
        <v>47.72</v>
      </c>
      <c r="S3523">
        <v>3.2</v>
      </c>
      <c r="T3523" s="4">
        <v>34.058999999999997</v>
      </c>
      <c r="U3523" s="4">
        <v>30.643619999999999</v>
      </c>
      <c r="V3523" t="str">
        <f>IF(Table1[[#This Row],[ai_disruption_intensity]]&gt;70,"High",
IF(Table1[[#This Row],[ai_disruption_intensity]]&gt;40,"Medium","Low"))</f>
        <v>Low</v>
      </c>
      <c r="W3523" t="str">
        <f>IF(Table1[[#This Row],[skill_gap_index]]&gt;70,"Large Gap",
IF(Table1[[#This Row],[skill_gap_index]]&gt;40,"Medium Gap","Small Gap"))</f>
        <v>Medium Gap</v>
      </c>
      <c r="X3523" s="3" t="str">
        <f>IF(Table1[[#This Row],[automation_risk_percent]]&gt;0.7,"Highly Automatable",
IF(Table1[[#This Row],[automation_risk_percent]]&gt;0.4,"Moderate Risk","Safe Job"))</f>
        <v>Moderate Risk</v>
      </c>
    </row>
    <row r="3524" spans="1:24" x14ac:dyDescent="0.3">
      <c r="A3524">
        <v>12296</v>
      </c>
      <c r="B3524" t="s">
        <v>26</v>
      </c>
      <c r="C3524" t="s">
        <v>23</v>
      </c>
      <c r="D3524" t="s">
        <v>36</v>
      </c>
      <c r="E3524" s="1">
        <v>2026</v>
      </c>
      <c r="F3524" s="11">
        <v>0.15609999999999999</v>
      </c>
      <c r="G3524">
        <v>13.15</v>
      </c>
      <c r="H3524">
        <v>65.3</v>
      </c>
      <c r="I3524" s="2">
        <v>36356.129999999997</v>
      </c>
      <c r="J3524" s="2">
        <v>36693.14</v>
      </c>
      <c r="K3524" s="2">
        <f>Table1[[#This Row],[Salary_after]]-Table1[[#This Row],[Salary_before]]</f>
        <v>337.01000000000204</v>
      </c>
      <c r="L3524" s="11">
        <v>9.300000000000001E-3</v>
      </c>
      <c r="M3524" s="11">
        <v>5.3099999999999994E-2</v>
      </c>
      <c r="N3524">
        <v>90.03</v>
      </c>
      <c r="O3524">
        <v>32.619999999999997</v>
      </c>
      <c r="P3524">
        <v>4</v>
      </c>
      <c r="Q3524" t="s">
        <v>21</v>
      </c>
      <c r="R3524">
        <v>40.454999999999998</v>
      </c>
      <c r="S3524">
        <v>0.93</v>
      </c>
      <c r="T3524" s="4">
        <v>26.113</v>
      </c>
      <c r="U3524" s="4">
        <v>5.09198199999999</v>
      </c>
      <c r="V3524" t="str">
        <f>IF(Table1[[#This Row],[ai_disruption_intensity]]&gt;70,"High",
IF(Table1[[#This Row],[ai_disruption_intensity]]&gt;40,"Medium","Low"))</f>
        <v>Low</v>
      </c>
      <c r="W3524" t="str">
        <f>IF(Table1[[#This Row],[skill_gap_index]]&gt;70,"Large Gap",
IF(Table1[[#This Row],[skill_gap_index]]&gt;40,"Medium Gap","Small Gap"))</f>
        <v>Medium Gap</v>
      </c>
      <c r="X3524" s="3" t="str">
        <f>IF(Table1[[#This Row],[automation_risk_percent]]&gt;0.7,"Highly Automatable",
IF(Table1[[#This Row],[automation_risk_percent]]&gt;0.4,"Moderate Risk","Safe Job"))</f>
        <v>Safe Job</v>
      </c>
    </row>
    <row r="3525" spans="1:24" x14ac:dyDescent="0.3">
      <c r="A3525">
        <v>12297</v>
      </c>
      <c r="B3525" t="s">
        <v>29</v>
      </c>
      <c r="C3525" t="s">
        <v>33</v>
      </c>
      <c r="D3525" t="s">
        <v>47</v>
      </c>
      <c r="E3525" s="1">
        <v>2025</v>
      </c>
      <c r="F3525" s="11">
        <v>0.40029999999999999</v>
      </c>
      <c r="G3525">
        <v>47.4</v>
      </c>
      <c r="H3525">
        <v>44.38</v>
      </c>
      <c r="I3525" s="2">
        <v>72288.289999999994</v>
      </c>
      <c r="J3525" s="2">
        <v>66519.97</v>
      </c>
      <c r="K3525" s="2">
        <f>Table1[[#This Row],[Salary_after]]-Table1[[#This Row],[Salary_before]]</f>
        <v>-5768.3199999999924</v>
      </c>
      <c r="L3525" s="11">
        <v>-7.980000000000001E-2</v>
      </c>
      <c r="M3525" s="11">
        <v>0.11460000000000001</v>
      </c>
      <c r="N3525">
        <v>26.11</v>
      </c>
      <c r="O3525">
        <v>32.22</v>
      </c>
      <c r="P3525">
        <v>4</v>
      </c>
      <c r="Q3525" t="s">
        <v>25</v>
      </c>
      <c r="R3525">
        <v>42.204999999999998</v>
      </c>
      <c r="S3525">
        <v>7.98</v>
      </c>
      <c r="T3525" s="4">
        <v>31.72</v>
      </c>
      <c r="U3525" s="4">
        <v>12.897665999999999</v>
      </c>
      <c r="V3525" t="str">
        <f>IF(Table1[[#This Row],[ai_disruption_intensity]]&gt;70,"High",
IF(Table1[[#This Row],[ai_disruption_intensity]]&gt;40,"Medium","Low"))</f>
        <v>Low</v>
      </c>
      <c r="W3525" t="str">
        <f>IF(Table1[[#This Row],[skill_gap_index]]&gt;70,"Large Gap",
IF(Table1[[#This Row],[skill_gap_index]]&gt;40,"Medium Gap","Small Gap"))</f>
        <v>Medium Gap</v>
      </c>
      <c r="X3525" s="3" t="str">
        <f>IF(Table1[[#This Row],[automation_risk_percent]]&gt;0.7,"Highly Automatable",
IF(Table1[[#This Row],[automation_risk_percent]]&gt;0.4,"Moderate Risk","Safe Job"))</f>
        <v>Moderate Risk</v>
      </c>
    </row>
    <row r="3526" spans="1:24" x14ac:dyDescent="0.3">
      <c r="A3526">
        <v>12302</v>
      </c>
      <c r="B3526" t="s">
        <v>26</v>
      </c>
      <c r="C3526" t="s">
        <v>34</v>
      </c>
      <c r="D3526" t="s">
        <v>42</v>
      </c>
      <c r="E3526" s="1">
        <v>2025</v>
      </c>
      <c r="F3526" s="11">
        <v>0.05</v>
      </c>
      <c r="G3526">
        <v>4.76</v>
      </c>
      <c r="H3526">
        <v>73.040000000000006</v>
      </c>
      <c r="I3526" s="2">
        <v>88507.520000000004</v>
      </c>
      <c r="J3526" s="2">
        <v>85900.38</v>
      </c>
      <c r="K3526" s="2">
        <f>Table1[[#This Row],[Salary_after]]-Table1[[#This Row],[Salary_before]]</f>
        <v>-2607.1399999999994</v>
      </c>
      <c r="L3526" s="11">
        <v>-2.9500000000000002E-2</v>
      </c>
      <c r="M3526" s="11">
        <v>8.2899999999999988E-2</v>
      </c>
      <c r="N3526">
        <v>29.99</v>
      </c>
      <c r="O3526">
        <v>64.430000000000007</v>
      </c>
      <c r="P3526">
        <v>4</v>
      </c>
      <c r="Q3526" t="s">
        <v>21</v>
      </c>
      <c r="R3526">
        <v>39.020000000000003</v>
      </c>
      <c r="S3526">
        <v>2.95</v>
      </c>
      <c r="T3526" s="4">
        <v>24.797000000000001</v>
      </c>
      <c r="U3526" s="4">
        <v>3.2214999999999998</v>
      </c>
      <c r="V3526" t="str">
        <f>IF(Table1[[#This Row],[ai_disruption_intensity]]&gt;70,"High",
IF(Table1[[#This Row],[ai_disruption_intensity]]&gt;40,"Medium","Low"))</f>
        <v>Low</v>
      </c>
      <c r="W3526" t="str">
        <f>IF(Table1[[#This Row],[skill_gap_index]]&gt;70,"Large Gap",
IF(Table1[[#This Row],[skill_gap_index]]&gt;40,"Medium Gap","Small Gap"))</f>
        <v>Large Gap</v>
      </c>
      <c r="X3526" s="3" t="str">
        <f>IF(Table1[[#This Row],[automation_risk_percent]]&gt;0.7,"Highly Automatable",
IF(Table1[[#This Row],[automation_risk_percent]]&gt;0.4,"Moderate Risk","Safe Job"))</f>
        <v>Safe Job</v>
      </c>
    </row>
    <row r="3527" spans="1:24" x14ac:dyDescent="0.3">
      <c r="A3527">
        <v>12308</v>
      </c>
      <c r="B3527" t="s">
        <v>44</v>
      </c>
      <c r="C3527" t="s">
        <v>19</v>
      </c>
      <c r="D3527" t="s">
        <v>31</v>
      </c>
      <c r="E3527" s="1">
        <v>2026</v>
      </c>
      <c r="F3527" s="11">
        <v>0.45860000000000001</v>
      </c>
      <c r="G3527">
        <v>37.9</v>
      </c>
      <c r="H3527">
        <v>62.85</v>
      </c>
      <c r="I3527" s="2">
        <v>55155.27</v>
      </c>
      <c r="J3527" s="2">
        <v>56233.59</v>
      </c>
      <c r="K3527" s="2">
        <f>Table1[[#This Row],[Salary_after]]-Table1[[#This Row],[Salary_before]]</f>
        <v>1078.3199999999997</v>
      </c>
      <c r="L3527" s="11">
        <v>1.9599999999999999E-2</v>
      </c>
      <c r="M3527" s="11">
        <v>1.4199999999999999E-2</v>
      </c>
      <c r="N3527">
        <v>72.73</v>
      </c>
      <c r="O3527">
        <v>52.17</v>
      </c>
      <c r="P3527">
        <v>3</v>
      </c>
      <c r="Q3527" t="s">
        <v>25</v>
      </c>
      <c r="R3527">
        <v>54.354999999999997</v>
      </c>
      <c r="S3527">
        <v>1.96</v>
      </c>
      <c r="T3527" s="4">
        <v>37.786999999999999</v>
      </c>
      <c r="U3527" s="4">
        <v>23.925162</v>
      </c>
      <c r="V3527" t="str">
        <f>IF(Table1[[#This Row],[ai_disruption_intensity]]&gt;70,"High",
IF(Table1[[#This Row],[ai_disruption_intensity]]&gt;40,"Medium","Low"))</f>
        <v>Low</v>
      </c>
      <c r="W3527" t="str">
        <f>IF(Table1[[#This Row],[skill_gap_index]]&gt;70,"Large Gap",
IF(Table1[[#This Row],[skill_gap_index]]&gt;40,"Medium Gap","Small Gap"))</f>
        <v>Medium Gap</v>
      </c>
      <c r="X3527" s="3" t="str">
        <f>IF(Table1[[#This Row],[automation_risk_percent]]&gt;0.7,"Highly Automatable",
IF(Table1[[#This Row],[automation_risk_percent]]&gt;0.4,"Moderate Risk","Safe Job"))</f>
        <v>Moderate Risk</v>
      </c>
    </row>
    <row r="3528" spans="1:24" x14ac:dyDescent="0.3">
      <c r="A3528">
        <v>12311</v>
      </c>
      <c r="B3528" t="s">
        <v>41</v>
      </c>
      <c r="C3528" t="s">
        <v>19</v>
      </c>
      <c r="D3528" t="s">
        <v>36</v>
      </c>
      <c r="E3528" s="1">
        <v>2026</v>
      </c>
      <c r="F3528" s="11">
        <v>0.9042</v>
      </c>
      <c r="G3528">
        <v>100.76</v>
      </c>
      <c r="H3528">
        <v>73.23</v>
      </c>
      <c r="I3528" s="2">
        <v>92111.7</v>
      </c>
      <c r="J3528" s="2">
        <v>86853.8</v>
      </c>
      <c r="K3528" s="2">
        <f>Table1[[#This Row],[Salary_after]]-Table1[[#This Row],[Salary_before]]</f>
        <v>-5257.8999999999942</v>
      </c>
      <c r="L3528" s="11">
        <v>-5.7099999999999998E-2</v>
      </c>
      <c r="M3528" s="11">
        <v>-3.0899999999999997E-2</v>
      </c>
      <c r="N3528">
        <v>35.39</v>
      </c>
      <c r="O3528">
        <v>66.5</v>
      </c>
      <c r="P3528">
        <v>3</v>
      </c>
      <c r="Q3528" t="s">
        <v>37</v>
      </c>
      <c r="R3528">
        <v>81.825000000000003</v>
      </c>
      <c r="S3528">
        <v>5.71</v>
      </c>
      <c r="T3528" s="4">
        <v>59.85</v>
      </c>
      <c r="U3528" s="4">
        <v>60.129300000000001</v>
      </c>
      <c r="V3528" t="str">
        <f>IF(Table1[[#This Row],[ai_disruption_intensity]]&gt;70,"High",
IF(Table1[[#This Row],[ai_disruption_intensity]]&gt;40,"Medium","Low"))</f>
        <v>Medium</v>
      </c>
      <c r="W3528" t="str">
        <f>IF(Table1[[#This Row],[skill_gap_index]]&gt;70,"Large Gap",
IF(Table1[[#This Row],[skill_gap_index]]&gt;40,"Medium Gap","Small Gap"))</f>
        <v>Large Gap</v>
      </c>
      <c r="X3528" s="3" t="str">
        <f>IF(Table1[[#This Row],[automation_risk_percent]]&gt;0.7,"Highly Automatable",
IF(Table1[[#This Row],[automation_risk_percent]]&gt;0.4,"Moderate Risk","Safe Job"))</f>
        <v>Highly Automatable</v>
      </c>
    </row>
    <row r="3529" spans="1:24" x14ac:dyDescent="0.3">
      <c r="A3529">
        <v>12324</v>
      </c>
      <c r="B3529" t="s">
        <v>18</v>
      </c>
      <c r="C3529" t="s">
        <v>38</v>
      </c>
      <c r="D3529" t="s">
        <v>20</v>
      </c>
      <c r="E3529" s="1">
        <v>2026</v>
      </c>
      <c r="F3529" s="11">
        <v>0.66959999999999997</v>
      </c>
      <c r="G3529">
        <v>58.02</v>
      </c>
      <c r="H3529">
        <v>25.19</v>
      </c>
      <c r="I3529" s="2">
        <v>77872.13</v>
      </c>
      <c r="J3529" s="2">
        <v>76657.89</v>
      </c>
      <c r="K3529" s="2">
        <f>Table1[[#This Row],[Salary_after]]-Table1[[#This Row],[Salary_before]]</f>
        <v>-1214.2400000000052</v>
      </c>
      <c r="L3529" s="11">
        <v>-1.5600000000000001E-2</v>
      </c>
      <c r="M3529" s="11">
        <v>0.2414</v>
      </c>
      <c r="N3529">
        <v>31.94</v>
      </c>
      <c r="O3529">
        <v>28.38</v>
      </c>
      <c r="P3529">
        <v>4</v>
      </c>
      <c r="Q3529" t="s">
        <v>37</v>
      </c>
      <c r="R3529">
        <v>46.074999999999903</v>
      </c>
      <c r="S3529">
        <v>1.56</v>
      </c>
      <c r="T3529" s="4">
        <v>34.808999999999997</v>
      </c>
      <c r="U3529" s="4">
        <v>19.003247999999999</v>
      </c>
      <c r="V3529" t="str">
        <f>IF(Table1[[#This Row],[ai_disruption_intensity]]&gt;70,"High",
IF(Table1[[#This Row],[ai_disruption_intensity]]&gt;40,"Medium","Low"))</f>
        <v>Low</v>
      </c>
      <c r="W3529" t="str">
        <f>IF(Table1[[#This Row],[skill_gap_index]]&gt;70,"Large Gap",
IF(Table1[[#This Row],[skill_gap_index]]&gt;40,"Medium Gap","Small Gap"))</f>
        <v>Small Gap</v>
      </c>
      <c r="X3529" s="3" t="str">
        <f>IF(Table1[[#This Row],[automation_risk_percent]]&gt;0.7,"Highly Automatable",
IF(Table1[[#This Row],[automation_risk_percent]]&gt;0.4,"Moderate Risk","Safe Job"))</f>
        <v>Moderate Risk</v>
      </c>
    </row>
    <row r="3530" spans="1:24" x14ac:dyDescent="0.3">
      <c r="A3530">
        <v>12325</v>
      </c>
      <c r="B3530" t="s">
        <v>45</v>
      </c>
      <c r="C3530" t="s">
        <v>38</v>
      </c>
      <c r="D3530" t="s">
        <v>42</v>
      </c>
      <c r="E3530" s="1">
        <v>2025</v>
      </c>
      <c r="F3530" s="11">
        <v>0.56490000000000007</v>
      </c>
      <c r="G3530">
        <v>54.7</v>
      </c>
      <c r="H3530">
        <v>3.13</v>
      </c>
      <c r="I3530" s="2">
        <v>145930.67000000001</v>
      </c>
      <c r="J3530" s="2">
        <v>162061.31</v>
      </c>
      <c r="K3530" s="2">
        <f>Table1[[#This Row],[Salary_after]]-Table1[[#This Row],[Salary_before]]</f>
        <v>16130.639999999985</v>
      </c>
      <c r="L3530" s="11">
        <v>0.1105</v>
      </c>
      <c r="M3530" s="11">
        <v>0.1134</v>
      </c>
      <c r="N3530">
        <v>67.89</v>
      </c>
      <c r="O3530">
        <v>71.39</v>
      </c>
      <c r="P3530">
        <v>3</v>
      </c>
      <c r="Q3530" t="s">
        <v>25</v>
      </c>
      <c r="R3530">
        <v>29.81</v>
      </c>
      <c r="S3530">
        <v>11.05</v>
      </c>
      <c r="T3530" s="4">
        <v>26.85</v>
      </c>
      <c r="U3530" s="4">
        <v>40.328211000000003</v>
      </c>
      <c r="V3530" t="str">
        <f>IF(Table1[[#This Row],[ai_disruption_intensity]]&gt;70,"High",
IF(Table1[[#This Row],[ai_disruption_intensity]]&gt;40,"Medium","Low"))</f>
        <v>Medium</v>
      </c>
      <c r="W3530" t="str">
        <f>IF(Table1[[#This Row],[skill_gap_index]]&gt;70,"Large Gap",
IF(Table1[[#This Row],[skill_gap_index]]&gt;40,"Medium Gap","Small Gap"))</f>
        <v>Small Gap</v>
      </c>
      <c r="X3530" s="3" t="str">
        <f>IF(Table1[[#This Row],[automation_risk_percent]]&gt;0.7,"Highly Automatable",
IF(Table1[[#This Row],[automation_risk_percent]]&gt;0.4,"Moderate Risk","Safe Job"))</f>
        <v>Moderate Risk</v>
      </c>
    </row>
    <row r="3531" spans="1:24" x14ac:dyDescent="0.3">
      <c r="A3531">
        <v>12326</v>
      </c>
      <c r="B3531" t="s">
        <v>44</v>
      </c>
      <c r="C3531" t="s">
        <v>33</v>
      </c>
      <c r="D3531" t="s">
        <v>47</v>
      </c>
      <c r="E3531" s="1">
        <v>2025</v>
      </c>
      <c r="F3531" s="11">
        <v>0.1275</v>
      </c>
      <c r="G3531">
        <v>12.18</v>
      </c>
      <c r="H3531">
        <v>93.54</v>
      </c>
      <c r="I3531" s="2">
        <v>144835.10999999999</v>
      </c>
      <c r="J3531" s="2">
        <v>159733.82</v>
      </c>
      <c r="K3531" s="2">
        <f>Table1[[#This Row],[Salary_after]]-Table1[[#This Row],[Salary_before]]</f>
        <v>14898.710000000021</v>
      </c>
      <c r="L3531" s="11">
        <v>0.10289999999999999</v>
      </c>
      <c r="M3531" s="11">
        <v>6.1100000000000002E-2</v>
      </c>
      <c r="N3531">
        <v>71.900000000000006</v>
      </c>
      <c r="O3531">
        <v>17.149999999999999</v>
      </c>
      <c r="P3531">
        <v>1</v>
      </c>
      <c r="Q3531" t="s">
        <v>21</v>
      </c>
      <c r="R3531">
        <v>53.145000000000003</v>
      </c>
      <c r="S3531">
        <v>10.29</v>
      </c>
      <c r="T3531" s="4">
        <v>36.248999999999903</v>
      </c>
      <c r="U3531" s="4">
        <v>2.1866249999999998</v>
      </c>
      <c r="V3531" t="str">
        <f>IF(Table1[[#This Row],[ai_disruption_intensity]]&gt;70,"High",
IF(Table1[[#This Row],[ai_disruption_intensity]]&gt;40,"Medium","Low"))</f>
        <v>Low</v>
      </c>
      <c r="W3531" t="str">
        <f>IF(Table1[[#This Row],[skill_gap_index]]&gt;70,"Large Gap",
IF(Table1[[#This Row],[skill_gap_index]]&gt;40,"Medium Gap","Small Gap"))</f>
        <v>Large Gap</v>
      </c>
      <c r="X3531" s="3" t="str">
        <f>IF(Table1[[#This Row],[automation_risk_percent]]&gt;0.7,"Highly Automatable",
IF(Table1[[#This Row],[automation_risk_percent]]&gt;0.4,"Moderate Risk","Safe Job"))</f>
        <v>Safe Job</v>
      </c>
    </row>
    <row r="3532" spans="1:24" x14ac:dyDescent="0.3">
      <c r="A3532">
        <v>12332</v>
      </c>
      <c r="B3532" t="s">
        <v>29</v>
      </c>
      <c r="C3532" t="s">
        <v>27</v>
      </c>
      <c r="D3532" t="s">
        <v>28</v>
      </c>
      <c r="E3532" s="1">
        <v>2025</v>
      </c>
      <c r="F3532" s="11">
        <v>0.25329999999999997</v>
      </c>
      <c r="G3532">
        <v>29.03</v>
      </c>
      <c r="H3532">
        <v>6.66</v>
      </c>
      <c r="I3532" s="2">
        <v>134930.20000000001</v>
      </c>
      <c r="J3532" s="2">
        <v>130935.55</v>
      </c>
      <c r="K3532" s="2">
        <f>Table1[[#This Row],[Salary_after]]-Table1[[#This Row],[Salary_before]]</f>
        <v>-3994.6500000000087</v>
      </c>
      <c r="L3532" s="11">
        <v>-2.9600000000000001E-2</v>
      </c>
      <c r="M3532" s="11">
        <v>7.3300000000000004E-2</v>
      </c>
      <c r="N3532">
        <v>20.18</v>
      </c>
      <c r="O3532">
        <v>74.239999999999995</v>
      </c>
      <c r="P3532">
        <v>4</v>
      </c>
      <c r="Q3532" t="s">
        <v>21</v>
      </c>
      <c r="R3532">
        <v>15.994999999999999</v>
      </c>
      <c r="S3532">
        <v>2.96</v>
      </c>
      <c r="T3532" s="4">
        <v>13.017999999999899</v>
      </c>
      <c r="U3532" s="4">
        <v>18.804991999999999</v>
      </c>
      <c r="V3532" t="str">
        <f>IF(Table1[[#This Row],[ai_disruption_intensity]]&gt;70,"High",
IF(Table1[[#This Row],[ai_disruption_intensity]]&gt;40,"Medium","Low"))</f>
        <v>Low</v>
      </c>
      <c r="W3532" t="str">
        <f>IF(Table1[[#This Row],[skill_gap_index]]&gt;70,"Large Gap",
IF(Table1[[#This Row],[skill_gap_index]]&gt;40,"Medium Gap","Small Gap"))</f>
        <v>Small Gap</v>
      </c>
      <c r="X3532" s="3" t="str">
        <f>IF(Table1[[#This Row],[automation_risk_percent]]&gt;0.7,"Highly Automatable",
IF(Table1[[#This Row],[automation_risk_percent]]&gt;0.4,"Moderate Risk","Safe Job"))</f>
        <v>Safe Job</v>
      </c>
    </row>
    <row r="3533" spans="1:24" x14ac:dyDescent="0.3">
      <c r="A3533">
        <v>12333</v>
      </c>
      <c r="B3533" t="s">
        <v>18</v>
      </c>
      <c r="C3533" t="s">
        <v>33</v>
      </c>
      <c r="D3533" t="s">
        <v>28</v>
      </c>
      <c r="E3533" s="1">
        <v>2025</v>
      </c>
      <c r="F3533" s="11">
        <v>0.64959999999999996</v>
      </c>
      <c r="G3533">
        <v>61.74</v>
      </c>
      <c r="H3533">
        <v>87.64</v>
      </c>
      <c r="I3533" s="2">
        <v>53812.24</v>
      </c>
      <c r="J3533" s="2">
        <v>46430.15</v>
      </c>
      <c r="K3533" s="2">
        <f>Table1[[#This Row],[Salary_after]]-Table1[[#This Row],[Salary_before]]</f>
        <v>-7382.0899999999965</v>
      </c>
      <c r="L3533" s="11">
        <v>-0.13720000000000002</v>
      </c>
      <c r="M3533" s="11">
        <v>0.2296</v>
      </c>
      <c r="N3533">
        <v>40.03</v>
      </c>
      <c r="O3533">
        <v>53.75</v>
      </c>
      <c r="P3533">
        <v>4</v>
      </c>
      <c r="Q3533" t="s">
        <v>37</v>
      </c>
      <c r="R3533">
        <v>76.3</v>
      </c>
      <c r="S3533">
        <v>13.72</v>
      </c>
      <c r="T3533" s="4">
        <v>56.391999999999904</v>
      </c>
      <c r="U3533" s="4">
        <v>34.915999999999997</v>
      </c>
      <c r="V3533" t="str">
        <f>IF(Table1[[#This Row],[ai_disruption_intensity]]&gt;70,"High",
IF(Table1[[#This Row],[ai_disruption_intensity]]&gt;40,"Medium","Low"))</f>
        <v>Low</v>
      </c>
      <c r="W3533" t="str">
        <f>IF(Table1[[#This Row],[skill_gap_index]]&gt;70,"Large Gap",
IF(Table1[[#This Row],[skill_gap_index]]&gt;40,"Medium Gap","Small Gap"))</f>
        <v>Large Gap</v>
      </c>
      <c r="X3533" s="3" t="str">
        <f>IF(Table1[[#This Row],[automation_risk_percent]]&gt;0.7,"Highly Automatable",
IF(Table1[[#This Row],[automation_risk_percent]]&gt;0.4,"Moderate Risk","Safe Job"))</f>
        <v>Moderate Risk</v>
      </c>
    </row>
    <row r="3534" spans="1:24" x14ac:dyDescent="0.3">
      <c r="A3534">
        <v>12334</v>
      </c>
      <c r="B3534" t="s">
        <v>45</v>
      </c>
      <c r="C3534" t="s">
        <v>38</v>
      </c>
      <c r="D3534" t="s">
        <v>47</v>
      </c>
      <c r="E3534" s="1">
        <v>2026</v>
      </c>
      <c r="F3534" s="11">
        <v>0.31190000000000001</v>
      </c>
      <c r="G3534">
        <v>27.74</v>
      </c>
      <c r="H3534">
        <v>54.05</v>
      </c>
      <c r="I3534" s="2">
        <v>93293.05</v>
      </c>
      <c r="J3534" s="2">
        <v>98252.59</v>
      </c>
      <c r="K3534" s="2">
        <f>Table1[[#This Row],[Salary_after]]-Table1[[#This Row],[Salary_before]]</f>
        <v>4959.5399999999936</v>
      </c>
      <c r="L3534" s="11">
        <v>5.3200000000000004E-2</v>
      </c>
      <c r="M3534" s="11">
        <v>0.15960000000000002</v>
      </c>
      <c r="N3534">
        <v>40.11</v>
      </c>
      <c r="O3534">
        <v>68.760000000000005</v>
      </c>
      <c r="P3534">
        <v>1</v>
      </c>
      <c r="Q3534" t="s">
        <v>25</v>
      </c>
      <c r="R3534">
        <v>42.62</v>
      </c>
      <c r="S3534">
        <v>5.32</v>
      </c>
      <c r="T3534" s="4">
        <v>30.286999999999999</v>
      </c>
      <c r="U3534" s="4">
        <v>21.446244</v>
      </c>
      <c r="V3534" t="str">
        <f>IF(Table1[[#This Row],[ai_disruption_intensity]]&gt;70,"High",
IF(Table1[[#This Row],[ai_disruption_intensity]]&gt;40,"Medium","Low"))</f>
        <v>Low</v>
      </c>
      <c r="W3534" t="str">
        <f>IF(Table1[[#This Row],[skill_gap_index]]&gt;70,"Large Gap",
IF(Table1[[#This Row],[skill_gap_index]]&gt;40,"Medium Gap","Small Gap"))</f>
        <v>Medium Gap</v>
      </c>
      <c r="X3534" s="3" t="str">
        <f>IF(Table1[[#This Row],[automation_risk_percent]]&gt;0.7,"Highly Automatable",
IF(Table1[[#This Row],[automation_risk_percent]]&gt;0.4,"Moderate Risk","Safe Job"))</f>
        <v>Safe Job</v>
      </c>
    </row>
    <row r="3535" spans="1:24" x14ac:dyDescent="0.3">
      <c r="A3535">
        <v>12335</v>
      </c>
      <c r="B3535" t="s">
        <v>22</v>
      </c>
      <c r="C3535" t="s">
        <v>38</v>
      </c>
      <c r="D3535" t="s">
        <v>36</v>
      </c>
      <c r="E3535" s="1">
        <v>2026</v>
      </c>
      <c r="F3535" s="11">
        <v>0.18160000000000001</v>
      </c>
      <c r="G3535">
        <v>15.85</v>
      </c>
      <c r="H3535">
        <v>58.63</v>
      </c>
      <c r="I3535" s="2">
        <v>96825.44</v>
      </c>
      <c r="J3535" s="2">
        <v>118287.26</v>
      </c>
      <c r="K3535" s="2">
        <f>Table1[[#This Row],[Salary_after]]-Table1[[#This Row],[Salary_before]]</f>
        <v>21461.819999999992</v>
      </c>
      <c r="L3535" s="11">
        <v>0.22170000000000001</v>
      </c>
      <c r="M3535" s="11">
        <v>9.9900000000000003E-2</v>
      </c>
      <c r="N3535">
        <v>23.88</v>
      </c>
      <c r="O3535">
        <v>80.12</v>
      </c>
      <c r="P3535">
        <v>1</v>
      </c>
      <c r="Q3535" t="s">
        <v>21</v>
      </c>
      <c r="R3535">
        <v>38.395000000000003</v>
      </c>
      <c r="S3535">
        <v>22.17</v>
      </c>
      <c r="T3535" s="4">
        <v>31.503999999999898</v>
      </c>
      <c r="U3535" s="4">
        <v>14.549792</v>
      </c>
      <c r="V3535" t="str">
        <f>IF(Table1[[#This Row],[ai_disruption_intensity]]&gt;70,"High",
IF(Table1[[#This Row],[ai_disruption_intensity]]&gt;40,"Medium","Low"))</f>
        <v>Low</v>
      </c>
      <c r="W3535" t="str">
        <f>IF(Table1[[#This Row],[skill_gap_index]]&gt;70,"Large Gap",
IF(Table1[[#This Row],[skill_gap_index]]&gt;40,"Medium Gap","Small Gap"))</f>
        <v>Medium Gap</v>
      </c>
      <c r="X3535" s="3" t="str">
        <f>IF(Table1[[#This Row],[automation_risk_percent]]&gt;0.7,"Highly Automatable",
IF(Table1[[#This Row],[automation_risk_percent]]&gt;0.4,"Moderate Risk","Safe Job"))</f>
        <v>Safe Job</v>
      </c>
    </row>
    <row r="3536" spans="1:24" x14ac:dyDescent="0.3">
      <c r="A3536">
        <v>12336</v>
      </c>
      <c r="B3536" t="s">
        <v>26</v>
      </c>
      <c r="C3536" t="s">
        <v>40</v>
      </c>
      <c r="D3536" t="s">
        <v>20</v>
      </c>
      <c r="E3536" s="1">
        <v>2026</v>
      </c>
      <c r="F3536" s="11">
        <v>0.61280000000000001</v>
      </c>
      <c r="G3536">
        <v>61.8</v>
      </c>
      <c r="H3536">
        <v>68.48</v>
      </c>
      <c r="I3536" s="2">
        <v>128361.01</v>
      </c>
      <c r="J3536" s="2">
        <v>117525.94</v>
      </c>
      <c r="K3536" s="2">
        <f>Table1[[#This Row],[Salary_after]]-Table1[[#This Row],[Salary_before]]</f>
        <v>-10835.069999999992</v>
      </c>
      <c r="L3536" s="11">
        <v>-8.4399999999999989E-2</v>
      </c>
      <c r="M3536" s="11">
        <v>0.24359999999999998</v>
      </c>
      <c r="N3536">
        <v>71.489999999999995</v>
      </c>
      <c r="O3536">
        <v>93.08</v>
      </c>
      <c r="P3536">
        <v>3</v>
      </c>
      <c r="Q3536" t="s">
        <v>37</v>
      </c>
      <c r="R3536">
        <v>64.88</v>
      </c>
      <c r="S3536">
        <v>8.44</v>
      </c>
      <c r="T3536" s="4">
        <v>47.587999999999901</v>
      </c>
      <c r="U3536" s="4">
        <v>57.039423999999997</v>
      </c>
      <c r="V3536" t="str">
        <f>IF(Table1[[#This Row],[ai_disruption_intensity]]&gt;70,"High",
IF(Table1[[#This Row],[ai_disruption_intensity]]&gt;40,"Medium","Low"))</f>
        <v>Medium</v>
      </c>
      <c r="W3536" t="str">
        <f>IF(Table1[[#This Row],[skill_gap_index]]&gt;70,"Large Gap",
IF(Table1[[#This Row],[skill_gap_index]]&gt;40,"Medium Gap","Small Gap"))</f>
        <v>Medium Gap</v>
      </c>
      <c r="X3536" s="3" t="str">
        <f>IF(Table1[[#This Row],[automation_risk_percent]]&gt;0.7,"Highly Automatable",
IF(Table1[[#This Row],[automation_risk_percent]]&gt;0.4,"Moderate Risk","Safe Job"))</f>
        <v>Moderate Risk</v>
      </c>
    </row>
    <row r="3537" spans="1:24" x14ac:dyDescent="0.3">
      <c r="A3537">
        <v>12338</v>
      </c>
      <c r="B3537" t="s">
        <v>26</v>
      </c>
      <c r="C3537" t="s">
        <v>23</v>
      </c>
      <c r="D3537" t="s">
        <v>47</v>
      </c>
      <c r="E3537" s="1">
        <v>2025</v>
      </c>
      <c r="F3537" s="11">
        <v>0.32319999999999999</v>
      </c>
      <c r="G3537">
        <v>30.2</v>
      </c>
      <c r="H3537">
        <v>47.57</v>
      </c>
      <c r="I3537" s="2">
        <v>67781.23</v>
      </c>
      <c r="J3537" s="2">
        <v>66331.33</v>
      </c>
      <c r="K3537" s="2">
        <f>Table1[[#This Row],[Salary_after]]-Table1[[#This Row],[Salary_before]]</f>
        <v>-1449.8999999999942</v>
      </c>
      <c r="L3537" s="11">
        <v>-2.1400000000000002E-2</v>
      </c>
      <c r="M3537" s="11">
        <v>0.16719999999999999</v>
      </c>
      <c r="N3537">
        <v>19.440000000000001</v>
      </c>
      <c r="O3537">
        <v>64.58</v>
      </c>
      <c r="P3537">
        <v>2</v>
      </c>
      <c r="Q3537" t="s">
        <v>25</v>
      </c>
      <c r="R3537">
        <v>39.945</v>
      </c>
      <c r="S3537">
        <v>2.14</v>
      </c>
      <c r="T3537" s="4">
        <v>27.840999999999902</v>
      </c>
      <c r="U3537" s="4">
        <v>20.872255999999901</v>
      </c>
      <c r="V3537" t="str">
        <f>IF(Table1[[#This Row],[ai_disruption_intensity]]&gt;70,"High",
IF(Table1[[#This Row],[ai_disruption_intensity]]&gt;40,"Medium","Low"))</f>
        <v>Low</v>
      </c>
      <c r="W3537" t="str">
        <f>IF(Table1[[#This Row],[skill_gap_index]]&gt;70,"Large Gap",
IF(Table1[[#This Row],[skill_gap_index]]&gt;40,"Medium Gap","Small Gap"))</f>
        <v>Medium Gap</v>
      </c>
      <c r="X3537" s="3" t="str">
        <f>IF(Table1[[#This Row],[automation_risk_percent]]&gt;0.7,"Highly Automatable",
IF(Table1[[#This Row],[automation_risk_percent]]&gt;0.4,"Moderate Risk","Safe Job"))</f>
        <v>Safe Job</v>
      </c>
    </row>
    <row r="3538" spans="1:24" x14ac:dyDescent="0.3">
      <c r="A3538">
        <v>12343</v>
      </c>
      <c r="B3538" t="s">
        <v>29</v>
      </c>
      <c r="C3538" t="s">
        <v>27</v>
      </c>
      <c r="D3538" t="s">
        <v>20</v>
      </c>
      <c r="E3538" s="1">
        <v>2026</v>
      </c>
      <c r="F3538" s="11">
        <v>0.39179999999999998</v>
      </c>
      <c r="G3538">
        <v>45.25</v>
      </c>
      <c r="H3538">
        <v>88.77</v>
      </c>
      <c r="I3538" s="2">
        <v>55494.37</v>
      </c>
      <c r="J3538" s="2">
        <v>46082.14</v>
      </c>
      <c r="K3538" s="2">
        <f>Table1[[#This Row],[Salary_after]]-Table1[[#This Row],[Salary_before]]</f>
        <v>-9412.2300000000032</v>
      </c>
      <c r="L3538" s="11">
        <v>-0.1696</v>
      </c>
      <c r="M3538" s="11">
        <v>0.1691</v>
      </c>
      <c r="N3538">
        <v>14.53</v>
      </c>
      <c r="O3538">
        <v>15.34</v>
      </c>
      <c r="P3538">
        <v>2</v>
      </c>
      <c r="Q3538" t="s">
        <v>25</v>
      </c>
      <c r="R3538">
        <v>63.974999999999902</v>
      </c>
      <c r="S3538">
        <v>16.96</v>
      </c>
      <c r="T3538" s="4">
        <v>47.390999999999998</v>
      </c>
      <c r="U3538" s="4">
        <v>6.0102120000000001</v>
      </c>
      <c r="V3538" t="str">
        <f>IF(Table1[[#This Row],[ai_disruption_intensity]]&gt;70,"High",
IF(Table1[[#This Row],[ai_disruption_intensity]]&gt;40,"Medium","Low"))</f>
        <v>Low</v>
      </c>
      <c r="W3538" t="str">
        <f>IF(Table1[[#This Row],[skill_gap_index]]&gt;70,"Large Gap",
IF(Table1[[#This Row],[skill_gap_index]]&gt;40,"Medium Gap","Small Gap"))</f>
        <v>Large Gap</v>
      </c>
      <c r="X3538" s="3" t="str">
        <f>IF(Table1[[#This Row],[automation_risk_percent]]&gt;0.7,"Highly Automatable",
IF(Table1[[#This Row],[automation_risk_percent]]&gt;0.4,"Moderate Risk","Safe Job"))</f>
        <v>Safe Job</v>
      </c>
    </row>
    <row r="3539" spans="1:24" x14ac:dyDescent="0.3">
      <c r="A3539">
        <v>12346</v>
      </c>
      <c r="B3539" t="s">
        <v>22</v>
      </c>
      <c r="C3539" t="s">
        <v>33</v>
      </c>
      <c r="D3539" t="s">
        <v>20</v>
      </c>
      <c r="E3539" s="1">
        <v>2025</v>
      </c>
      <c r="F3539" s="11">
        <v>0.4531</v>
      </c>
      <c r="G3539">
        <v>49.54</v>
      </c>
      <c r="H3539">
        <v>75.56</v>
      </c>
      <c r="I3539" s="2">
        <v>66377.850000000006</v>
      </c>
      <c r="J3539" s="2">
        <v>49831.55</v>
      </c>
      <c r="K3539" s="2">
        <f>Table1[[#This Row],[Salary_after]]-Table1[[#This Row],[Salary_before]]</f>
        <v>-16546.300000000003</v>
      </c>
      <c r="L3539" s="11">
        <v>-0.24929999999999999</v>
      </c>
      <c r="M3539" s="11">
        <v>4.9000000000000002E-2</v>
      </c>
      <c r="N3539">
        <v>28.83</v>
      </c>
      <c r="O3539">
        <v>12.4</v>
      </c>
      <c r="P3539">
        <v>5</v>
      </c>
      <c r="Q3539" t="s">
        <v>25</v>
      </c>
      <c r="R3539">
        <v>60.435000000000002</v>
      </c>
      <c r="S3539">
        <v>24.93</v>
      </c>
      <c r="T3539" s="4">
        <v>48.271000000000001</v>
      </c>
      <c r="U3539" s="4">
        <v>5.6184399999999997</v>
      </c>
      <c r="V3539" t="str">
        <f>IF(Table1[[#This Row],[ai_disruption_intensity]]&gt;70,"High",
IF(Table1[[#This Row],[ai_disruption_intensity]]&gt;40,"Medium","Low"))</f>
        <v>Low</v>
      </c>
      <c r="W3539" t="str">
        <f>IF(Table1[[#This Row],[skill_gap_index]]&gt;70,"Large Gap",
IF(Table1[[#This Row],[skill_gap_index]]&gt;40,"Medium Gap","Small Gap"))</f>
        <v>Large Gap</v>
      </c>
      <c r="X3539" s="3" t="str">
        <f>IF(Table1[[#This Row],[automation_risk_percent]]&gt;0.7,"Highly Automatable",
IF(Table1[[#This Row],[automation_risk_percent]]&gt;0.4,"Moderate Risk","Safe Job"))</f>
        <v>Moderate Risk</v>
      </c>
    </row>
    <row r="3540" spans="1:24" x14ac:dyDescent="0.3">
      <c r="A3540">
        <v>12347</v>
      </c>
      <c r="B3540" t="s">
        <v>22</v>
      </c>
      <c r="C3540" t="s">
        <v>40</v>
      </c>
      <c r="D3540" t="s">
        <v>47</v>
      </c>
      <c r="E3540" s="1">
        <v>2026</v>
      </c>
      <c r="F3540" s="11">
        <v>0.74459999999999993</v>
      </c>
      <c r="G3540">
        <v>60.48</v>
      </c>
      <c r="H3540">
        <v>46.99</v>
      </c>
      <c r="I3540" s="2">
        <v>54579.18</v>
      </c>
      <c r="J3540" s="2">
        <v>52398.33</v>
      </c>
      <c r="K3540" s="2">
        <f>Table1[[#This Row],[Salary_after]]-Table1[[#This Row],[Salary_before]]</f>
        <v>-2180.8499999999985</v>
      </c>
      <c r="L3540" s="11">
        <v>-0.04</v>
      </c>
      <c r="M3540" s="11">
        <v>-4.5599999999999995E-2</v>
      </c>
      <c r="N3540">
        <v>38.450000000000003</v>
      </c>
      <c r="O3540">
        <v>46.18</v>
      </c>
      <c r="P3540">
        <v>3</v>
      </c>
      <c r="Q3540" t="s">
        <v>37</v>
      </c>
      <c r="R3540">
        <v>60.724999999999902</v>
      </c>
      <c r="S3540">
        <v>4</v>
      </c>
      <c r="T3540" s="4">
        <v>45.081000000000003</v>
      </c>
      <c r="U3540" s="4">
        <v>34.385627999999997</v>
      </c>
      <c r="V3540" t="str">
        <f>IF(Table1[[#This Row],[ai_disruption_intensity]]&gt;70,"High",
IF(Table1[[#This Row],[ai_disruption_intensity]]&gt;40,"Medium","Low"))</f>
        <v>Low</v>
      </c>
      <c r="W3540" t="str">
        <f>IF(Table1[[#This Row],[skill_gap_index]]&gt;70,"Large Gap",
IF(Table1[[#This Row],[skill_gap_index]]&gt;40,"Medium Gap","Small Gap"))</f>
        <v>Medium Gap</v>
      </c>
      <c r="X3540" s="3" t="str">
        <f>IF(Table1[[#This Row],[automation_risk_percent]]&gt;0.7,"Highly Automatable",
IF(Table1[[#This Row],[automation_risk_percent]]&gt;0.4,"Moderate Risk","Safe Job"))</f>
        <v>Highly Automatable</v>
      </c>
    </row>
    <row r="3541" spans="1:24" x14ac:dyDescent="0.3">
      <c r="A3541">
        <v>12361</v>
      </c>
      <c r="B3541" t="s">
        <v>46</v>
      </c>
      <c r="C3541" t="s">
        <v>38</v>
      </c>
      <c r="D3541" t="s">
        <v>32</v>
      </c>
      <c r="E3541" s="1">
        <v>2026</v>
      </c>
      <c r="F3541" s="11">
        <v>6.5700000000000008E-2</v>
      </c>
      <c r="G3541">
        <v>5.67</v>
      </c>
      <c r="H3541">
        <v>51.99</v>
      </c>
      <c r="I3541" s="2">
        <v>45827.13</v>
      </c>
      <c r="J3541" s="2">
        <v>43676.39</v>
      </c>
      <c r="K3541" s="2">
        <f>Table1[[#This Row],[Salary_after]]-Table1[[#This Row],[Salary_before]]</f>
        <v>-2150.739999999998</v>
      </c>
      <c r="L3541" s="11">
        <v>-4.6900000000000004E-2</v>
      </c>
      <c r="M3541" s="11">
        <v>7.6499999999999999E-2</v>
      </c>
      <c r="N3541">
        <v>27.12</v>
      </c>
      <c r="O3541">
        <v>87.6</v>
      </c>
      <c r="P3541">
        <v>4</v>
      </c>
      <c r="Q3541" t="s">
        <v>21</v>
      </c>
      <c r="R3541">
        <v>29.28</v>
      </c>
      <c r="S3541">
        <v>4.6900000000000004</v>
      </c>
      <c r="T3541" s="4">
        <v>19.632000000000001</v>
      </c>
      <c r="U3541" s="4">
        <v>5.7553200000000002</v>
      </c>
      <c r="V3541" t="str">
        <f>IF(Table1[[#This Row],[ai_disruption_intensity]]&gt;70,"High",
IF(Table1[[#This Row],[ai_disruption_intensity]]&gt;40,"Medium","Low"))</f>
        <v>Low</v>
      </c>
      <c r="W3541" t="str">
        <f>IF(Table1[[#This Row],[skill_gap_index]]&gt;70,"Large Gap",
IF(Table1[[#This Row],[skill_gap_index]]&gt;40,"Medium Gap","Small Gap"))</f>
        <v>Medium Gap</v>
      </c>
      <c r="X3541" s="3" t="str">
        <f>IF(Table1[[#This Row],[automation_risk_percent]]&gt;0.7,"Highly Automatable",
IF(Table1[[#This Row],[automation_risk_percent]]&gt;0.4,"Moderate Risk","Safe Job"))</f>
        <v>Safe Job</v>
      </c>
    </row>
    <row r="3542" spans="1:24" x14ac:dyDescent="0.3">
      <c r="A3542">
        <v>12365</v>
      </c>
      <c r="B3542" t="s">
        <v>45</v>
      </c>
      <c r="C3542" t="s">
        <v>19</v>
      </c>
      <c r="D3542" t="s">
        <v>32</v>
      </c>
      <c r="E3542" s="1">
        <v>2025</v>
      </c>
      <c r="F3542" s="11">
        <v>0.78390000000000004</v>
      </c>
      <c r="G3542">
        <v>92.31</v>
      </c>
      <c r="H3542">
        <v>48.32</v>
      </c>
      <c r="I3542" s="2">
        <v>135233.95000000001</v>
      </c>
      <c r="J3542" s="2">
        <v>173378.34</v>
      </c>
      <c r="K3542" s="2">
        <f>Table1[[#This Row],[Salary_after]]-Table1[[#This Row],[Salary_before]]</f>
        <v>38144.389999999985</v>
      </c>
      <c r="L3542" s="11">
        <v>0.28210000000000002</v>
      </c>
      <c r="M3542" s="11">
        <v>9.4899999999999998E-2</v>
      </c>
      <c r="N3542">
        <v>84.16</v>
      </c>
      <c r="O3542">
        <v>83.01</v>
      </c>
      <c r="P3542">
        <v>1</v>
      </c>
      <c r="Q3542" t="s">
        <v>37</v>
      </c>
      <c r="R3542">
        <v>63.354999999999997</v>
      </c>
      <c r="S3542">
        <v>28.21</v>
      </c>
      <c r="T3542" s="4">
        <v>54.314999999999998</v>
      </c>
      <c r="U3542" s="4">
        <v>65.071539000000001</v>
      </c>
      <c r="V3542" t="str">
        <f>IF(Table1[[#This Row],[ai_disruption_intensity]]&gt;70,"High",
IF(Table1[[#This Row],[ai_disruption_intensity]]&gt;40,"Medium","Low"))</f>
        <v>Medium</v>
      </c>
      <c r="W3542" t="str">
        <f>IF(Table1[[#This Row],[skill_gap_index]]&gt;70,"Large Gap",
IF(Table1[[#This Row],[skill_gap_index]]&gt;40,"Medium Gap","Small Gap"))</f>
        <v>Medium Gap</v>
      </c>
      <c r="X3542" s="3" t="str">
        <f>IF(Table1[[#This Row],[automation_risk_percent]]&gt;0.7,"Highly Automatable",
IF(Table1[[#This Row],[automation_risk_percent]]&gt;0.4,"Moderate Risk","Safe Job"))</f>
        <v>Highly Automatable</v>
      </c>
    </row>
    <row r="3543" spans="1:24" x14ac:dyDescent="0.3">
      <c r="A3543">
        <v>12369</v>
      </c>
      <c r="B3543" t="s">
        <v>39</v>
      </c>
      <c r="C3543" t="s">
        <v>30</v>
      </c>
      <c r="D3543" t="s">
        <v>32</v>
      </c>
      <c r="E3543" s="1">
        <v>2025</v>
      </c>
      <c r="F3543" s="11">
        <v>0.69669999999999999</v>
      </c>
      <c r="G3543">
        <v>67.83</v>
      </c>
      <c r="H3543">
        <v>69.61</v>
      </c>
      <c r="I3543" s="2">
        <v>31945.91</v>
      </c>
      <c r="J3543" s="2">
        <v>30395.23</v>
      </c>
      <c r="K3543" s="2">
        <f>Table1[[#This Row],[Salary_after]]-Table1[[#This Row],[Salary_before]]</f>
        <v>-1550.6800000000003</v>
      </c>
      <c r="L3543" s="11">
        <v>-4.8499999999999995E-2</v>
      </c>
      <c r="M3543" s="11">
        <v>-8.5099999999999995E-2</v>
      </c>
      <c r="N3543">
        <v>46.97</v>
      </c>
      <c r="O3543">
        <v>87.84</v>
      </c>
      <c r="P3543">
        <v>5</v>
      </c>
      <c r="Q3543" t="s">
        <v>37</v>
      </c>
      <c r="R3543">
        <v>69.64</v>
      </c>
      <c r="S3543">
        <v>4.8499999999999996</v>
      </c>
      <c r="T3543" s="4">
        <v>50.206000000000003</v>
      </c>
      <c r="U3543" s="4">
        <v>61.198127999999997</v>
      </c>
      <c r="V3543" t="str">
        <f>IF(Table1[[#This Row],[ai_disruption_intensity]]&gt;70,"High",
IF(Table1[[#This Row],[ai_disruption_intensity]]&gt;40,"Medium","Low"))</f>
        <v>Medium</v>
      </c>
      <c r="W3543" t="str">
        <f>IF(Table1[[#This Row],[skill_gap_index]]&gt;70,"Large Gap",
IF(Table1[[#This Row],[skill_gap_index]]&gt;40,"Medium Gap","Small Gap"))</f>
        <v>Medium Gap</v>
      </c>
      <c r="X3543" s="3" t="str">
        <f>IF(Table1[[#This Row],[automation_risk_percent]]&gt;0.7,"Highly Automatable",
IF(Table1[[#This Row],[automation_risk_percent]]&gt;0.4,"Moderate Risk","Safe Job"))</f>
        <v>Moderate Risk</v>
      </c>
    </row>
    <row r="3544" spans="1:24" x14ac:dyDescent="0.3">
      <c r="A3544">
        <v>12373</v>
      </c>
      <c r="B3544" t="s">
        <v>46</v>
      </c>
      <c r="C3544" t="s">
        <v>33</v>
      </c>
      <c r="D3544" t="s">
        <v>28</v>
      </c>
      <c r="E3544" s="1">
        <v>2026</v>
      </c>
      <c r="F3544" s="11">
        <v>0.05</v>
      </c>
      <c r="G3544">
        <v>5.77</v>
      </c>
      <c r="H3544">
        <v>0.95</v>
      </c>
      <c r="I3544" s="2">
        <v>83700.509999999995</v>
      </c>
      <c r="J3544" s="2">
        <v>78994.080000000002</v>
      </c>
      <c r="K3544" s="2">
        <f>Table1[[#This Row],[Salary_after]]-Table1[[#This Row],[Salary_before]]</f>
        <v>-4706.429999999993</v>
      </c>
      <c r="L3544" s="11">
        <v>-5.62E-2</v>
      </c>
      <c r="M3544" s="11">
        <v>-0.1023</v>
      </c>
      <c r="N3544">
        <v>25.7</v>
      </c>
      <c r="O3544">
        <v>67.45</v>
      </c>
      <c r="P3544">
        <v>4</v>
      </c>
      <c r="Q3544" t="s">
        <v>21</v>
      </c>
      <c r="R3544">
        <v>2.9750000000000001</v>
      </c>
      <c r="S3544">
        <v>5.62</v>
      </c>
      <c r="T3544" s="4">
        <v>3.9710000000000001</v>
      </c>
      <c r="U3544" s="4">
        <v>3.3725000000000001</v>
      </c>
      <c r="V3544" t="str">
        <f>IF(Table1[[#This Row],[ai_disruption_intensity]]&gt;70,"High",
IF(Table1[[#This Row],[ai_disruption_intensity]]&gt;40,"Medium","Low"))</f>
        <v>Low</v>
      </c>
      <c r="W3544" t="str">
        <f>IF(Table1[[#This Row],[skill_gap_index]]&gt;70,"Large Gap",
IF(Table1[[#This Row],[skill_gap_index]]&gt;40,"Medium Gap","Small Gap"))</f>
        <v>Small Gap</v>
      </c>
      <c r="X3544" s="3" t="str">
        <f>IF(Table1[[#This Row],[automation_risk_percent]]&gt;0.7,"Highly Automatable",
IF(Table1[[#This Row],[automation_risk_percent]]&gt;0.4,"Moderate Risk","Safe Job"))</f>
        <v>Safe Job</v>
      </c>
    </row>
    <row r="3545" spans="1:24" x14ac:dyDescent="0.3">
      <c r="A3545">
        <v>12379</v>
      </c>
      <c r="B3545" t="s">
        <v>22</v>
      </c>
      <c r="C3545" t="s">
        <v>34</v>
      </c>
      <c r="D3545" t="s">
        <v>31</v>
      </c>
      <c r="E3545" s="1">
        <v>2026</v>
      </c>
      <c r="F3545" s="11">
        <v>0.59530000000000005</v>
      </c>
      <c r="G3545">
        <v>70.58</v>
      </c>
      <c r="H3545">
        <v>90.96</v>
      </c>
      <c r="I3545" s="2">
        <v>69047.23</v>
      </c>
      <c r="J3545" s="2">
        <v>72309.100000000006</v>
      </c>
      <c r="K3545" s="2">
        <f>Table1[[#This Row],[Salary_after]]-Table1[[#This Row],[Salary_before]]</f>
        <v>3261.8700000000099</v>
      </c>
      <c r="L3545" s="11">
        <v>4.7199999999999999E-2</v>
      </c>
      <c r="M3545" s="11">
        <v>3.8300000000000001E-2</v>
      </c>
      <c r="N3545">
        <v>30.96</v>
      </c>
      <c r="O3545">
        <v>12.78</v>
      </c>
      <c r="P3545">
        <v>1</v>
      </c>
      <c r="Q3545" t="s">
        <v>25</v>
      </c>
      <c r="R3545">
        <v>75.245000000000005</v>
      </c>
      <c r="S3545">
        <v>4.72</v>
      </c>
      <c r="T3545" s="4">
        <v>52.515999999999899</v>
      </c>
      <c r="U3545" s="4">
        <v>7.6079340000000002</v>
      </c>
      <c r="V3545" t="str">
        <f>IF(Table1[[#This Row],[ai_disruption_intensity]]&gt;70,"High",
IF(Table1[[#This Row],[ai_disruption_intensity]]&gt;40,"Medium","Low"))</f>
        <v>Low</v>
      </c>
      <c r="W3545" t="str">
        <f>IF(Table1[[#This Row],[skill_gap_index]]&gt;70,"Large Gap",
IF(Table1[[#This Row],[skill_gap_index]]&gt;40,"Medium Gap","Small Gap"))</f>
        <v>Large Gap</v>
      </c>
      <c r="X3545" s="3" t="str">
        <f>IF(Table1[[#This Row],[automation_risk_percent]]&gt;0.7,"Highly Automatable",
IF(Table1[[#This Row],[automation_risk_percent]]&gt;0.4,"Moderate Risk","Safe Job"))</f>
        <v>Moderate Risk</v>
      </c>
    </row>
    <row r="3546" spans="1:24" x14ac:dyDescent="0.3">
      <c r="A3546">
        <v>12382</v>
      </c>
      <c r="B3546" t="s">
        <v>41</v>
      </c>
      <c r="C3546" t="s">
        <v>34</v>
      </c>
      <c r="D3546" t="s">
        <v>20</v>
      </c>
      <c r="E3546" s="1">
        <v>2025</v>
      </c>
      <c r="F3546" s="11">
        <v>0.25719999999999998</v>
      </c>
      <c r="G3546">
        <v>20.61</v>
      </c>
      <c r="H3546">
        <v>17.82</v>
      </c>
      <c r="I3546" s="2">
        <v>121503.36</v>
      </c>
      <c r="J3546" s="2">
        <v>115676.02</v>
      </c>
      <c r="K3546" s="2">
        <f>Table1[[#This Row],[Salary_after]]-Table1[[#This Row],[Salary_before]]</f>
        <v>-5827.3399999999965</v>
      </c>
      <c r="L3546" s="11">
        <v>-4.8000000000000001E-2</v>
      </c>
      <c r="M3546" s="11">
        <v>0.1084</v>
      </c>
      <c r="N3546">
        <v>17.079999999999998</v>
      </c>
      <c r="O3546">
        <v>42.68</v>
      </c>
      <c r="P3546">
        <v>3</v>
      </c>
      <c r="Q3546" t="s">
        <v>21</v>
      </c>
      <c r="R3546">
        <v>21.77</v>
      </c>
      <c r="S3546">
        <v>4.8</v>
      </c>
      <c r="T3546" s="4">
        <v>17.074000000000002</v>
      </c>
      <c r="U3546" s="4">
        <v>10.9772959999999</v>
      </c>
      <c r="V3546" t="str">
        <f>IF(Table1[[#This Row],[ai_disruption_intensity]]&gt;70,"High",
IF(Table1[[#This Row],[ai_disruption_intensity]]&gt;40,"Medium","Low"))</f>
        <v>Low</v>
      </c>
      <c r="W3546" t="str">
        <f>IF(Table1[[#This Row],[skill_gap_index]]&gt;70,"Large Gap",
IF(Table1[[#This Row],[skill_gap_index]]&gt;40,"Medium Gap","Small Gap"))</f>
        <v>Small Gap</v>
      </c>
      <c r="X3546" s="3" t="str">
        <f>IF(Table1[[#This Row],[automation_risk_percent]]&gt;0.7,"Highly Automatable",
IF(Table1[[#This Row],[automation_risk_percent]]&gt;0.4,"Moderate Risk","Safe Job"))</f>
        <v>Safe Job</v>
      </c>
    </row>
    <row r="3547" spans="1:24" x14ac:dyDescent="0.3">
      <c r="A3547">
        <v>12384</v>
      </c>
      <c r="B3547" t="s">
        <v>18</v>
      </c>
      <c r="C3547" t="s">
        <v>38</v>
      </c>
      <c r="D3547" t="s">
        <v>35</v>
      </c>
      <c r="E3547" s="1">
        <v>2026</v>
      </c>
      <c r="F3547" s="11">
        <v>0.59179999999999999</v>
      </c>
      <c r="G3547">
        <v>65.900000000000006</v>
      </c>
      <c r="H3547">
        <v>30</v>
      </c>
      <c r="I3547" s="2">
        <v>99976.17</v>
      </c>
      <c r="J3547" s="2">
        <v>94484</v>
      </c>
      <c r="K3547" s="2">
        <f>Table1[[#This Row],[Salary_after]]-Table1[[#This Row],[Salary_before]]</f>
        <v>-5492.1699999999983</v>
      </c>
      <c r="L3547" s="11">
        <v>-5.4900000000000004E-2</v>
      </c>
      <c r="M3547" s="11">
        <v>-1.1699999999999999E-2</v>
      </c>
      <c r="N3547">
        <v>43.23</v>
      </c>
      <c r="O3547">
        <v>71.05</v>
      </c>
      <c r="P3547">
        <v>3</v>
      </c>
      <c r="Q3547" t="s">
        <v>25</v>
      </c>
      <c r="R3547">
        <v>44.59</v>
      </c>
      <c r="S3547">
        <v>5.49</v>
      </c>
      <c r="T3547" s="4">
        <v>34.318999999999903</v>
      </c>
      <c r="U3547" s="4">
        <v>42.047389999999901</v>
      </c>
      <c r="V3547" t="str">
        <f>IF(Table1[[#This Row],[ai_disruption_intensity]]&gt;70,"High",
IF(Table1[[#This Row],[ai_disruption_intensity]]&gt;40,"Medium","Low"))</f>
        <v>Medium</v>
      </c>
      <c r="W3547" t="str">
        <f>IF(Table1[[#This Row],[skill_gap_index]]&gt;70,"Large Gap",
IF(Table1[[#This Row],[skill_gap_index]]&gt;40,"Medium Gap","Small Gap"))</f>
        <v>Small Gap</v>
      </c>
      <c r="X3547" s="3" t="str">
        <f>IF(Table1[[#This Row],[automation_risk_percent]]&gt;0.7,"Highly Automatable",
IF(Table1[[#This Row],[automation_risk_percent]]&gt;0.4,"Moderate Risk","Safe Job"))</f>
        <v>Moderate Risk</v>
      </c>
    </row>
    <row r="3548" spans="1:24" x14ac:dyDescent="0.3">
      <c r="A3548">
        <v>12388</v>
      </c>
      <c r="B3548" t="s">
        <v>18</v>
      </c>
      <c r="C3548" t="s">
        <v>34</v>
      </c>
      <c r="D3548" t="s">
        <v>32</v>
      </c>
      <c r="E3548" s="1">
        <v>2025</v>
      </c>
      <c r="F3548" s="11">
        <v>0.2465</v>
      </c>
      <c r="G3548">
        <v>27.38</v>
      </c>
      <c r="H3548">
        <v>72.22</v>
      </c>
      <c r="I3548" s="2">
        <v>34322.94</v>
      </c>
      <c r="J3548" s="2">
        <v>37284.33</v>
      </c>
      <c r="K3548" s="2">
        <f>Table1[[#This Row],[Salary_after]]-Table1[[#This Row],[Salary_before]]</f>
        <v>2961.3899999999994</v>
      </c>
      <c r="L3548" s="11">
        <v>8.6300000000000002E-2</v>
      </c>
      <c r="M3548" s="11">
        <v>0.17030000000000001</v>
      </c>
      <c r="N3548">
        <v>43.79</v>
      </c>
      <c r="O3548">
        <v>62.94</v>
      </c>
      <c r="P3548">
        <v>2</v>
      </c>
      <c r="Q3548" t="s">
        <v>21</v>
      </c>
      <c r="R3548">
        <v>48.435000000000002</v>
      </c>
      <c r="S3548">
        <v>8.6300000000000008</v>
      </c>
      <c r="T3548" s="4">
        <v>34.115000000000002</v>
      </c>
      <c r="U3548" s="4">
        <v>15.5147099999999</v>
      </c>
      <c r="V3548" t="str">
        <f>IF(Table1[[#This Row],[ai_disruption_intensity]]&gt;70,"High",
IF(Table1[[#This Row],[ai_disruption_intensity]]&gt;40,"Medium","Low"))</f>
        <v>Low</v>
      </c>
      <c r="W3548" t="str">
        <f>IF(Table1[[#This Row],[skill_gap_index]]&gt;70,"Large Gap",
IF(Table1[[#This Row],[skill_gap_index]]&gt;40,"Medium Gap","Small Gap"))</f>
        <v>Large Gap</v>
      </c>
      <c r="X3548" s="3" t="str">
        <f>IF(Table1[[#This Row],[automation_risk_percent]]&gt;0.7,"Highly Automatable",
IF(Table1[[#This Row],[automation_risk_percent]]&gt;0.4,"Moderate Risk","Safe Job"))</f>
        <v>Safe Job</v>
      </c>
    </row>
    <row r="3549" spans="1:24" x14ac:dyDescent="0.3">
      <c r="A3549">
        <v>12393</v>
      </c>
      <c r="B3549" t="s">
        <v>22</v>
      </c>
      <c r="C3549" t="s">
        <v>40</v>
      </c>
      <c r="D3549" t="s">
        <v>47</v>
      </c>
      <c r="E3549" s="1">
        <v>2025</v>
      </c>
      <c r="F3549" s="11">
        <v>0.54710000000000003</v>
      </c>
      <c r="G3549">
        <v>61.79</v>
      </c>
      <c r="H3549">
        <v>45.6</v>
      </c>
      <c r="I3549" s="2">
        <v>131317.39000000001</v>
      </c>
      <c r="J3549" s="2">
        <v>135897.51</v>
      </c>
      <c r="K3549" s="2">
        <f>Table1[[#This Row],[Salary_after]]-Table1[[#This Row],[Salary_before]]</f>
        <v>4580.1199999999953</v>
      </c>
      <c r="L3549" s="11">
        <v>3.49E-2</v>
      </c>
      <c r="M3549" s="11">
        <v>-7.1199999999999999E-2</v>
      </c>
      <c r="N3549">
        <v>42.41</v>
      </c>
      <c r="O3549">
        <v>9.93</v>
      </c>
      <c r="P3549">
        <v>5</v>
      </c>
      <c r="Q3549" t="s">
        <v>25</v>
      </c>
      <c r="R3549">
        <v>50.155000000000001</v>
      </c>
      <c r="S3549">
        <v>3.49</v>
      </c>
      <c r="T3549" s="4">
        <v>36.610999999999997</v>
      </c>
      <c r="U3549" s="4">
        <v>5.4327030000000001</v>
      </c>
      <c r="V3549" t="str">
        <f>IF(Table1[[#This Row],[ai_disruption_intensity]]&gt;70,"High",
IF(Table1[[#This Row],[ai_disruption_intensity]]&gt;40,"Medium","Low"))</f>
        <v>Low</v>
      </c>
      <c r="W3549" t="str">
        <f>IF(Table1[[#This Row],[skill_gap_index]]&gt;70,"Large Gap",
IF(Table1[[#This Row],[skill_gap_index]]&gt;40,"Medium Gap","Small Gap"))</f>
        <v>Medium Gap</v>
      </c>
      <c r="X3549" s="3" t="str">
        <f>IF(Table1[[#This Row],[automation_risk_percent]]&gt;0.7,"Highly Automatable",
IF(Table1[[#This Row],[automation_risk_percent]]&gt;0.4,"Moderate Risk","Safe Job"))</f>
        <v>Moderate Risk</v>
      </c>
    </row>
    <row r="3550" spans="1:24" x14ac:dyDescent="0.3">
      <c r="A3550">
        <v>12395</v>
      </c>
      <c r="B3550" t="s">
        <v>39</v>
      </c>
      <c r="C3550" t="s">
        <v>38</v>
      </c>
      <c r="D3550" t="s">
        <v>28</v>
      </c>
      <c r="E3550" s="1">
        <v>2026</v>
      </c>
      <c r="F3550" s="11">
        <v>0.53359999999999996</v>
      </c>
      <c r="G3550">
        <v>50.71</v>
      </c>
      <c r="H3550">
        <v>51.5</v>
      </c>
      <c r="I3550" s="2">
        <v>114348.42</v>
      </c>
      <c r="J3550" s="2">
        <v>94964.38</v>
      </c>
      <c r="K3550" s="2">
        <f>Table1[[#This Row],[Salary_after]]-Table1[[#This Row],[Salary_before]]</f>
        <v>-19384.039999999994</v>
      </c>
      <c r="L3550" s="11">
        <v>-0.16949999999999998</v>
      </c>
      <c r="M3550" s="11">
        <v>7.0599999999999996E-2</v>
      </c>
      <c r="N3550">
        <v>64.63</v>
      </c>
      <c r="O3550">
        <v>88.88</v>
      </c>
      <c r="P3550">
        <v>4</v>
      </c>
      <c r="Q3550" t="s">
        <v>25</v>
      </c>
      <c r="R3550">
        <v>52.43</v>
      </c>
      <c r="S3550">
        <v>16.95</v>
      </c>
      <c r="T3550" s="4">
        <v>41.878999999999998</v>
      </c>
      <c r="U3550" s="4">
        <v>47.426367999999997</v>
      </c>
      <c r="V3550" t="str">
        <f>IF(Table1[[#This Row],[ai_disruption_intensity]]&gt;70,"High",
IF(Table1[[#This Row],[ai_disruption_intensity]]&gt;40,"Medium","Low"))</f>
        <v>Medium</v>
      </c>
      <c r="W3550" t="str">
        <f>IF(Table1[[#This Row],[skill_gap_index]]&gt;70,"Large Gap",
IF(Table1[[#This Row],[skill_gap_index]]&gt;40,"Medium Gap","Small Gap"))</f>
        <v>Medium Gap</v>
      </c>
      <c r="X3550" s="3" t="str">
        <f>IF(Table1[[#This Row],[automation_risk_percent]]&gt;0.7,"Highly Automatable",
IF(Table1[[#This Row],[automation_risk_percent]]&gt;0.4,"Moderate Risk","Safe Job"))</f>
        <v>Moderate Risk</v>
      </c>
    </row>
    <row r="3551" spans="1:24" x14ac:dyDescent="0.3">
      <c r="A3551">
        <v>12400</v>
      </c>
      <c r="B3551" t="s">
        <v>46</v>
      </c>
      <c r="C3551" t="s">
        <v>33</v>
      </c>
      <c r="D3551" t="s">
        <v>24</v>
      </c>
      <c r="E3551" s="1">
        <v>2026</v>
      </c>
      <c r="F3551" s="11">
        <v>0.51190000000000002</v>
      </c>
      <c r="G3551">
        <v>60.84</v>
      </c>
      <c r="H3551">
        <v>6.47</v>
      </c>
      <c r="I3551" s="2">
        <v>48022.05</v>
      </c>
      <c r="J3551" s="2">
        <v>40493.800000000003</v>
      </c>
      <c r="K3551" s="2">
        <f>Table1[[#This Row],[Salary_after]]-Table1[[#This Row],[Salary_before]]</f>
        <v>-7528.25</v>
      </c>
      <c r="L3551" s="11">
        <v>-0.15679999999999999</v>
      </c>
      <c r="M3551" s="11">
        <v>0.10970000000000001</v>
      </c>
      <c r="N3551">
        <v>50.96</v>
      </c>
      <c r="O3551">
        <v>38.630000000000003</v>
      </c>
      <c r="P3551">
        <v>3</v>
      </c>
      <c r="Q3551" t="s">
        <v>25</v>
      </c>
      <c r="R3551">
        <v>28.83</v>
      </c>
      <c r="S3551">
        <v>15.68</v>
      </c>
      <c r="T3551" s="4">
        <v>27.120999999999999</v>
      </c>
      <c r="U3551" s="4">
        <v>19.774697</v>
      </c>
      <c r="V3551" t="str">
        <f>IF(Table1[[#This Row],[ai_disruption_intensity]]&gt;70,"High",
IF(Table1[[#This Row],[ai_disruption_intensity]]&gt;40,"Medium","Low"))</f>
        <v>Low</v>
      </c>
      <c r="W3551" t="str">
        <f>IF(Table1[[#This Row],[skill_gap_index]]&gt;70,"Large Gap",
IF(Table1[[#This Row],[skill_gap_index]]&gt;40,"Medium Gap","Small Gap"))</f>
        <v>Small Gap</v>
      </c>
      <c r="X3551" s="3" t="str">
        <f>IF(Table1[[#This Row],[automation_risk_percent]]&gt;0.7,"Highly Automatable",
IF(Table1[[#This Row],[automation_risk_percent]]&gt;0.4,"Moderate Risk","Safe Job"))</f>
        <v>Moderate Risk</v>
      </c>
    </row>
    <row r="3552" spans="1:24" x14ac:dyDescent="0.3">
      <c r="A3552">
        <v>12401</v>
      </c>
      <c r="B3552" t="s">
        <v>45</v>
      </c>
      <c r="C3552" t="s">
        <v>23</v>
      </c>
      <c r="D3552" t="s">
        <v>28</v>
      </c>
      <c r="E3552" s="1">
        <v>2025</v>
      </c>
      <c r="F3552" s="11">
        <v>0.23180000000000001</v>
      </c>
      <c r="G3552">
        <v>23.97</v>
      </c>
      <c r="H3552">
        <v>20.260000000000002</v>
      </c>
      <c r="I3552" s="2">
        <v>78861.88</v>
      </c>
      <c r="J3552" s="2">
        <v>84472.57</v>
      </c>
      <c r="K3552" s="2">
        <f>Table1[[#This Row],[Salary_after]]-Table1[[#This Row],[Salary_before]]</f>
        <v>5610.6900000000023</v>
      </c>
      <c r="L3552" s="11">
        <v>7.1099999999999997E-2</v>
      </c>
      <c r="M3552" s="11">
        <v>0.1636</v>
      </c>
      <c r="N3552">
        <v>68.459999999999994</v>
      </c>
      <c r="O3552">
        <v>50.02</v>
      </c>
      <c r="P3552">
        <v>4</v>
      </c>
      <c r="Q3552" t="s">
        <v>21</v>
      </c>
      <c r="R3552">
        <v>21.72</v>
      </c>
      <c r="S3552">
        <v>7.11</v>
      </c>
      <c r="T3552" s="4">
        <v>17.483000000000001</v>
      </c>
      <c r="U3552" s="4">
        <v>11.594635999999999</v>
      </c>
      <c r="V3552" t="str">
        <f>IF(Table1[[#This Row],[ai_disruption_intensity]]&gt;70,"High",
IF(Table1[[#This Row],[ai_disruption_intensity]]&gt;40,"Medium","Low"))</f>
        <v>Low</v>
      </c>
      <c r="W3552" t="str">
        <f>IF(Table1[[#This Row],[skill_gap_index]]&gt;70,"Large Gap",
IF(Table1[[#This Row],[skill_gap_index]]&gt;40,"Medium Gap","Small Gap"))</f>
        <v>Small Gap</v>
      </c>
      <c r="X3552" s="3" t="str">
        <f>IF(Table1[[#This Row],[automation_risk_percent]]&gt;0.7,"Highly Automatable",
IF(Table1[[#This Row],[automation_risk_percent]]&gt;0.4,"Moderate Risk","Safe Job"))</f>
        <v>Safe Job</v>
      </c>
    </row>
    <row r="3553" spans="1:24" x14ac:dyDescent="0.3">
      <c r="A3553">
        <v>12402</v>
      </c>
      <c r="B3553" t="s">
        <v>44</v>
      </c>
      <c r="C3553" t="s">
        <v>38</v>
      </c>
      <c r="D3553" t="s">
        <v>24</v>
      </c>
      <c r="E3553" s="1">
        <v>2025</v>
      </c>
      <c r="F3553" s="11">
        <v>0.2321</v>
      </c>
      <c r="G3553">
        <v>22.7</v>
      </c>
      <c r="H3553">
        <v>46.98</v>
      </c>
      <c r="I3553" s="2">
        <v>54347.25</v>
      </c>
      <c r="J3553" s="2">
        <v>56104.82</v>
      </c>
      <c r="K3553" s="2">
        <f>Table1[[#This Row],[Salary_after]]-Table1[[#This Row],[Salary_before]]</f>
        <v>1757.5699999999997</v>
      </c>
      <c r="L3553" s="11">
        <v>3.2300000000000002E-2</v>
      </c>
      <c r="M3553" s="11">
        <v>0.29980000000000001</v>
      </c>
      <c r="N3553">
        <v>39.44</v>
      </c>
      <c r="O3553">
        <v>20.73</v>
      </c>
      <c r="P3553">
        <v>2</v>
      </c>
      <c r="Q3553" t="s">
        <v>21</v>
      </c>
      <c r="R3553">
        <v>35.094999999999999</v>
      </c>
      <c r="S3553">
        <v>3.23</v>
      </c>
      <c r="T3553" s="4">
        <v>24.347000000000001</v>
      </c>
      <c r="U3553" s="4">
        <v>4.8114330000000001</v>
      </c>
      <c r="V3553" t="str">
        <f>IF(Table1[[#This Row],[ai_disruption_intensity]]&gt;70,"High",
IF(Table1[[#This Row],[ai_disruption_intensity]]&gt;40,"Medium","Low"))</f>
        <v>Low</v>
      </c>
      <c r="W3553" t="str">
        <f>IF(Table1[[#This Row],[skill_gap_index]]&gt;70,"Large Gap",
IF(Table1[[#This Row],[skill_gap_index]]&gt;40,"Medium Gap","Small Gap"))</f>
        <v>Medium Gap</v>
      </c>
      <c r="X3553" s="3" t="str">
        <f>IF(Table1[[#This Row],[automation_risk_percent]]&gt;0.7,"Highly Automatable",
IF(Table1[[#This Row],[automation_risk_percent]]&gt;0.4,"Moderate Risk","Safe Job"))</f>
        <v>Safe Job</v>
      </c>
    </row>
    <row r="3554" spans="1:24" x14ac:dyDescent="0.3">
      <c r="A3554">
        <v>12403</v>
      </c>
      <c r="B3554" t="s">
        <v>41</v>
      </c>
      <c r="C3554" t="s">
        <v>23</v>
      </c>
      <c r="D3554" t="s">
        <v>20</v>
      </c>
      <c r="E3554" s="1">
        <v>2026</v>
      </c>
      <c r="F3554" s="11">
        <v>0.34970000000000001</v>
      </c>
      <c r="G3554">
        <v>40.29</v>
      </c>
      <c r="H3554">
        <v>93.91</v>
      </c>
      <c r="I3554" s="2">
        <v>128271.82</v>
      </c>
      <c r="J3554" s="2">
        <v>134400.95000000001</v>
      </c>
      <c r="K3554" s="2">
        <f>Table1[[#This Row],[Salary_after]]-Table1[[#This Row],[Salary_before]]</f>
        <v>6129.1300000000047</v>
      </c>
      <c r="L3554" s="11">
        <v>4.7800000000000002E-2</v>
      </c>
      <c r="M3554" s="11">
        <v>5.9699999999999996E-2</v>
      </c>
      <c r="N3554">
        <v>52.06</v>
      </c>
      <c r="O3554">
        <v>4.47</v>
      </c>
      <c r="P3554">
        <v>2</v>
      </c>
      <c r="Q3554" t="s">
        <v>25</v>
      </c>
      <c r="R3554">
        <v>64.44</v>
      </c>
      <c r="S3554">
        <v>4.78</v>
      </c>
      <c r="T3554" s="4">
        <v>43.594999999999999</v>
      </c>
      <c r="U3554" s="4">
        <v>1.563159</v>
      </c>
      <c r="V3554" t="str">
        <f>IF(Table1[[#This Row],[ai_disruption_intensity]]&gt;70,"High",
IF(Table1[[#This Row],[ai_disruption_intensity]]&gt;40,"Medium","Low"))</f>
        <v>Low</v>
      </c>
      <c r="W3554" t="str">
        <f>IF(Table1[[#This Row],[skill_gap_index]]&gt;70,"Large Gap",
IF(Table1[[#This Row],[skill_gap_index]]&gt;40,"Medium Gap","Small Gap"))</f>
        <v>Large Gap</v>
      </c>
      <c r="X3554" s="3" t="str">
        <f>IF(Table1[[#This Row],[automation_risk_percent]]&gt;0.7,"Highly Automatable",
IF(Table1[[#This Row],[automation_risk_percent]]&gt;0.4,"Moderate Risk","Safe Job"))</f>
        <v>Safe Job</v>
      </c>
    </row>
    <row r="3555" spans="1:24" x14ac:dyDescent="0.3">
      <c r="A3555">
        <v>12406</v>
      </c>
      <c r="B3555" t="s">
        <v>45</v>
      </c>
      <c r="C3555" t="s">
        <v>40</v>
      </c>
      <c r="D3555" t="s">
        <v>32</v>
      </c>
      <c r="E3555" s="1">
        <v>2026</v>
      </c>
      <c r="F3555" s="11">
        <v>0.65110000000000001</v>
      </c>
      <c r="G3555">
        <v>57.06</v>
      </c>
      <c r="H3555">
        <v>12.68</v>
      </c>
      <c r="I3555" s="2">
        <v>97486.14</v>
      </c>
      <c r="J3555" s="2">
        <v>79942.2</v>
      </c>
      <c r="K3555" s="2">
        <f>Table1[[#This Row],[Salary_after]]-Table1[[#This Row],[Salary_before]]</f>
        <v>-17543.940000000002</v>
      </c>
      <c r="L3555" s="11">
        <v>-0.18</v>
      </c>
      <c r="M3555" s="11">
        <v>-3.8E-3</v>
      </c>
      <c r="N3555">
        <v>62.98</v>
      </c>
      <c r="O3555">
        <v>74.319999999999993</v>
      </c>
      <c r="P3555">
        <v>5</v>
      </c>
      <c r="Q3555" t="s">
        <v>37</v>
      </c>
      <c r="R3555">
        <v>38.894999999999897</v>
      </c>
      <c r="S3555">
        <v>18</v>
      </c>
      <c r="T3555" s="4">
        <v>35.247999999999998</v>
      </c>
      <c r="U3555" s="4">
        <v>48.389752000000001</v>
      </c>
      <c r="V3555" t="str">
        <f>IF(Table1[[#This Row],[ai_disruption_intensity]]&gt;70,"High",
IF(Table1[[#This Row],[ai_disruption_intensity]]&gt;40,"Medium","Low"))</f>
        <v>Medium</v>
      </c>
      <c r="W3555" t="str">
        <f>IF(Table1[[#This Row],[skill_gap_index]]&gt;70,"Large Gap",
IF(Table1[[#This Row],[skill_gap_index]]&gt;40,"Medium Gap","Small Gap"))</f>
        <v>Small Gap</v>
      </c>
      <c r="X3555" s="3" t="str">
        <f>IF(Table1[[#This Row],[automation_risk_percent]]&gt;0.7,"Highly Automatable",
IF(Table1[[#This Row],[automation_risk_percent]]&gt;0.4,"Moderate Risk","Safe Job"))</f>
        <v>Moderate Risk</v>
      </c>
    </row>
    <row r="3556" spans="1:24" x14ac:dyDescent="0.3">
      <c r="A3556">
        <v>12409</v>
      </c>
      <c r="B3556" t="s">
        <v>18</v>
      </c>
      <c r="C3556" t="s">
        <v>23</v>
      </c>
      <c r="D3556" t="s">
        <v>20</v>
      </c>
      <c r="E3556" s="1">
        <v>2025</v>
      </c>
      <c r="F3556" s="11">
        <v>0.64969999999999994</v>
      </c>
      <c r="G3556">
        <v>70.599999999999994</v>
      </c>
      <c r="H3556">
        <v>18.54</v>
      </c>
      <c r="I3556" s="2">
        <v>131566.46</v>
      </c>
      <c r="J3556" s="2">
        <v>139274.76999999999</v>
      </c>
      <c r="K3556" s="2">
        <f>Table1[[#This Row],[Salary_after]]-Table1[[#This Row],[Salary_before]]</f>
        <v>7708.3099999999977</v>
      </c>
      <c r="L3556" s="11">
        <v>5.8600000000000006E-2</v>
      </c>
      <c r="M3556" s="11">
        <v>-5.1399999999999994E-2</v>
      </c>
      <c r="N3556">
        <v>43.11</v>
      </c>
      <c r="O3556">
        <v>75.569999999999993</v>
      </c>
      <c r="P3556">
        <v>1</v>
      </c>
      <c r="Q3556" t="s">
        <v>37</v>
      </c>
      <c r="R3556">
        <v>41.754999999999903</v>
      </c>
      <c r="S3556">
        <v>5.86</v>
      </c>
      <c r="T3556" s="4">
        <v>33.308</v>
      </c>
      <c r="U3556" s="4">
        <v>49.097828999999898</v>
      </c>
      <c r="V3556" t="str">
        <f>IF(Table1[[#This Row],[ai_disruption_intensity]]&gt;70,"High",
IF(Table1[[#This Row],[ai_disruption_intensity]]&gt;40,"Medium","Low"))</f>
        <v>Medium</v>
      </c>
      <c r="W3556" t="str">
        <f>IF(Table1[[#This Row],[skill_gap_index]]&gt;70,"Large Gap",
IF(Table1[[#This Row],[skill_gap_index]]&gt;40,"Medium Gap","Small Gap"))</f>
        <v>Small Gap</v>
      </c>
      <c r="X3556" s="3" t="str">
        <f>IF(Table1[[#This Row],[automation_risk_percent]]&gt;0.7,"Highly Automatable",
IF(Table1[[#This Row],[automation_risk_percent]]&gt;0.4,"Moderate Risk","Safe Job"))</f>
        <v>Moderate Risk</v>
      </c>
    </row>
    <row r="3557" spans="1:24" x14ac:dyDescent="0.3">
      <c r="A3557">
        <v>12413</v>
      </c>
      <c r="B3557" t="s">
        <v>26</v>
      </c>
      <c r="C3557" t="s">
        <v>40</v>
      </c>
      <c r="D3557" t="s">
        <v>20</v>
      </c>
      <c r="E3557" s="1">
        <v>2025</v>
      </c>
      <c r="F3557" s="11">
        <v>0.16649999999999998</v>
      </c>
      <c r="G3557">
        <v>18.739999999999998</v>
      </c>
      <c r="H3557">
        <v>51.68</v>
      </c>
      <c r="I3557" s="2">
        <v>118694.35</v>
      </c>
      <c r="J3557" s="2">
        <v>114677.81</v>
      </c>
      <c r="K3557" s="2">
        <f>Table1[[#This Row],[Salary_after]]-Table1[[#This Row],[Salary_before]]</f>
        <v>-4016.5400000000081</v>
      </c>
      <c r="L3557" s="11">
        <v>-3.3799999999999997E-2</v>
      </c>
      <c r="M3557" s="11">
        <v>8.0000000000000002E-3</v>
      </c>
      <c r="N3557">
        <v>27.84</v>
      </c>
      <c r="O3557">
        <v>13.43</v>
      </c>
      <c r="P3557">
        <v>1</v>
      </c>
      <c r="Q3557" t="s">
        <v>21</v>
      </c>
      <c r="R3557">
        <v>34.164999999999999</v>
      </c>
      <c r="S3557">
        <v>3.38</v>
      </c>
      <c r="T3557" s="4">
        <v>23.178000000000001</v>
      </c>
      <c r="U3557" s="4">
        <v>2.23609499999999</v>
      </c>
      <c r="V3557" t="str">
        <f>IF(Table1[[#This Row],[ai_disruption_intensity]]&gt;70,"High",
IF(Table1[[#This Row],[ai_disruption_intensity]]&gt;40,"Medium","Low"))</f>
        <v>Low</v>
      </c>
      <c r="W3557" t="str">
        <f>IF(Table1[[#This Row],[skill_gap_index]]&gt;70,"Large Gap",
IF(Table1[[#This Row],[skill_gap_index]]&gt;40,"Medium Gap","Small Gap"))</f>
        <v>Medium Gap</v>
      </c>
      <c r="X3557" s="3" t="str">
        <f>IF(Table1[[#This Row],[automation_risk_percent]]&gt;0.7,"Highly Automatable",
IF(Table1[[#This Row],[automation_risk_percent]]&gt;0.4,"Moderate Risk","Safe Job"))</f>
        <v>Safe Job</v>
      </c>
    </row>
    <row r="3558" spans="1:24" x14ac:dyDescent="0.3">
      <c r="A3558">
        <v>12414</v>
      </c>
      <c r="B3558" t="s">
        <v>46</v>
      </c>
      <c r="C3558" t="s">
        <v>33</v>
      </c>
      <c r="D3558" t="s">
        <v>28</v>
      </c>
      <c r="E3558" s="1">
        <v>2026</v>
      </c>
      <c r="F3558" s="11">
        <v>0.1855</v>
      </c>
      <c r="G3558">
        <v>21.07</v>
      </c>
      <c r="H3558">
        <v>74.760000000000005</v>
      </c>
      <c r="I3558" s="2">
        <v>66768.350000000006</v>
      </c>
      <c r="J3558" s="2">
        <v>75854.759999999995</v>
      </c>
      <c r="K3558" s="2">
        <f>Table1[[#This Row],[Salary_after]]-Table1[[#This Row],[Salary_before]]</f>
        <v>9086.4099999999889</v>
      </c>
      <c r="L3558" s="11">
        <v>0.1361</v>
      </c>
      <c r="M3558" s="11">
        <v>-2.7900000000000001E-2</v>
      </c>
      <c r="N3558">
        <v>84.14</v>
      </c>
      <c r="O3558">
        <v>42.4</v>
      </c>
      <c r="P3558">
        <v>2</v>
      </c>
      <c r="Q3558" t="s">
        <v>21</v>
      </c>
      <c r="R3558">
        <v>46.655000000000001</v>
      </c>
      <c r="S3558">
        <v>13.61</v>
      </c>
      <c r="T3558" s="4">
        <v>33.930999999999997</v>
      </c>
      <c r="U3558" s="4">
        <v>7.8651999999999997</v>
      </c>
      <c r="V3558" t="str">
        <f>IF(Table1[[#This Row],[ai_disruption_intensity]]&gt;70,"High",
IF(Table1[[#This Row],[ai_disruption_intensity]]&gt;40,"Medium","Low"))</f>
        <v>Low</v>
      </c>
      <c r="W3558" t="str">
        <f>IF(Table1[[#This Row],[skill_gap_index]]&gt;70,"Large Gap",
IF(Table1[[#This Row],[skill_gap_index]]&gt;40,"Medium Gap","Small Gap"))</f>
        <v>Large Gap</v>
      </c>
      <c r="X3558" s="3" t="str">
        <f>IF(Table1[[#This Row],[automation_risk_percent]]&gt;0.7,"Highly Automatable",
IF(Table1[[#This Row],[automation_risk_percent]]&gt;0.4,"Moderate Risk","Safe Job"))</f>
        <v>Safe Job</v>
      </c>
    </row>
    <row r="3559" spans="1:24" x14ac:dyDescent="0.3">
      <c r="A3559">
        <v>12417</v>
      </c>
      <c r="B3559" t="s">
        <v>29</v>
      </c>
      <c r="C3559" t="s">
        <v>23</v>
      </c>
      <c r="D3559" t="s">
        <v>36</v>
      </c>
      <c r="E3559" s="1">
        <v>2026</v>
      </c>
      <c r="F3559" s="11">
        <v>0.5071</v>
      </c>
      <c r="G3559">
        <v>55.31</v>
      </c>
      <c r="H3559">
        <v>52.61</v>
      </c>
      <c r="I3559" s="2">
        <v>105401.29</v>
      </c>
      <c r="J3559" s="2">
        <v>121668.55</v>
      </c>
      <c r="K3559" s="2">
        <f>Table1[[#This Row],[Salary_after]]-Table1[[#This Row],[Salary_before]]</f>
        <v>16267.260000000009</v>
      </c>
      <c r="L3559" s="11">
        <v>0.15429999999999999</v>
      </c>
      <c r="M3559" s="11">
        <v>-0.12359999999999999</v>
      </c>
      <c r="N3559">
        <v>53.57</v>
      </c>
      <c r="O3559">
        <v>39.729999999999997</v>
      </c>
      <c r="P3559">
        <v>1</v>
      </c>
      <c r="Q3559" t="s">
        <v>25</v>
      </c>
      <c r="R3559">
        <v>51.66</v>
      </c>
      <c r="S3559">
        <v>15.43</v>
      </c>
      <c r="T3559" s="4">
        <v>40.695999999999998</v>
      </c>
      <c r="U3559" s="4">
        <v>20.147082999999999</v>
      </c>
      <c r="V3559" t="str">
        <f>IF(Table1[[#This Row],[ai_disruption_intensity]]&gt;70,"High",
IF(Table1[[#This Row],[ai_disruption_intensity]]&gt;40,"Medium","Low"))</f>
        <v>Low</v>
      </c>
      <c r="W3559" t="str">
        <f>IF(Table1[[#This Row],[skill_gap_index]]&gt;70,"Large Gap",
IF(Table1[[#This Row],[skill_gap_index]]&gt;40,"Medium Gap","Small Gap"))</f>
        <v>Medium Gap</v>
      </c>
      <c r="X3559" s="3" t="str">
        <f>IF(Table1[[#This Row],[automation_risk_percent]]&gt;0.7,"Highly Automatable",
IF(Table1[[#This Row],[automation_risk_percent]]&gt;0.4,"Moderate Risk","Safe Job"))</f>
        <v>Moderate Risk</v>
      </c>
    </row>
    <row r="3560" spans="1:24" x14ac:dyDescent="0.3">
      <c r="A3560">
        <v>12419</v>
      </c>
      <c r="B3560" t="s">
        <v>26</v>
      </c>
      <c r="C3560" t="s">
        <v>40</v>
      </c>
      <c r="D3560" t="s">
        <v>31</v>
      </c>
      <c r="E3560" s="1">
        <v>2026</v>
      </c>
      <c r="F3560" s="11">
        <v>0.1943</v>
      </c>
      <c r="G3560">
        <v>16.2</v>
      </c>
      <c r="H3560">
        <v>4.59</v>
      </c>
      <c r="I3560" s="2">
        <v>142652.62</v>
      </c>
      <c r="J3560" s="2">
        <v>147873.91</v>
      </c>
      <c r="K3560" s="2">
        <f>Table1[[#This Row],[Salary_after]]-Table1[[#This Row],[Salary_before]]</f>
        <v>5221.2900000000081</v>
      </c>
      <c r="L3560" s="11">
        <v>3.6600000000000001E-2</v>
      </c>
      <c r="M3560" s="11">
        <v>-7.4200000000000002E-2</v>
      </c>
      <c r="N3560">
        <v>58.49</v>
      </c>
      <c r="O3560">
        <v>28.62</v>
      </c>
      <c r="P3560">
        <v>1</v>
      </c>
      <c r="Q3560" t="s">
        <v>21</v>
      </c>
      <c r="R3560">
        <v>12.01</v>
      </c>
      <c r="S3560">
        <v>3.66</v>
      </c>
      <c r="T3560" s="4">
        <v>10.247</v>
      </c>
      <c r="U3560" s="4">
        <v>5.5608659999999999</v>
      </c>
      <c r="V3560" t="str">
        <f>IF(Table1[[#This Row],[ai_disruption_intensity]]&gt;70,"High",
IF(Table1[[#This Row],[ai_disruption_intensity]]&gt;40,"Medium","Low"))</f>
        <v>Low</v>
      </c>
      <c r="W3560" t="str">
        <f>IF(Table1[[#This Row],[skill_gap_index]]&gt;70,"Large Gap",
IF(Table1[[#This Row],[skill_gap_index]]&gt;40,"Medium Gap","Small Gap"))</f>
        <v>Small Gap</v>
      </c>
      <c r="X3560" s="3" t="str">
        <f>IF(Table1[[#This Row],[automation_risk_percent]]&gt;0.7,"Highly Automatable",
IF(Table1[[#This Row],[automation_risk_percent]]&gt;0.4,"Moderate Risk","Safe Job"))</f>
        <v>Safe Job</v>
      </c>
    </row>
    <row r="3561" spans="1:24" x14ac:dyDescent="0.3">
      <c r="A3561">
        <v>12420</v>
      </c>
      <c r="B3561" t="s">
        <v>26</v>
      </c>
      <c r="C3561" t="s">
        <v>19</v>
      </c>
      <c r="D3561" t="s">
        <v>42</v>
      </c>
      <c r="E3561" s="1">
        <v>2026</v>
      </c>
      <c r="F3561" s="11">
        <v>0.45329999999999998</v>
      </c>
      <c r="G3561">
        <v>42.16</v>
      </c>
      <c r="H3561">
        <v>45.76</v>
      </c>
      <c r="I3561" s="2">
        <v>75690.75</v>
      </c>
      <c r="J3561" s="2">
        <v>65455.51</v>
      </c>
      <c r="K3561" s="2">
        <f>Table1[[#This Row],[Salary_after]]-Table1[[#This Row],[Salary_before]]</f>
        <v>-10235.239999999998</v>
      </c>
      <c r="L3561" s="11">
        <v>-0.13519999999999999</v>
      </c>
      <c r="M3561" s="11">
        <v>-1.7299999999999999E-2</v>
      </c>
      <c r="N3561">
        <v>76.290000000000006</v>
      </c>
      <c r="O3561">
        <v>31.51</v>
      </c>
      <c r="P3561">
        <v>5</v>
      </c>
      <c r="Q3561" t="s">
        <v>25</v>
      </c>
      <c r="R3561">
        <v>45.545000000000002</v>
      </c>
      <c r="S3561">
        <v>13.52</v>
      </c>
      <c r="T3561" s="4">
        <v>35.915999999999997</v>
      </c>
      <c r="U3561" s="4">
        <v>14.283483</v>
      </c>
      <c r="V3561" t="str">
        <f>IF(Table1[[#This Row],[ai_disruption_intensity]]&gt;70,"High",
IF(Table1[[#This Row],[ai_disruption_intensity]]&gt;40,"Medium","Low"))</f>
        <v>Low</v>
      </c>
      <c r="W3561" t="str">
        <f>IF(Table1[[#This Row],[skill_gap_index]]&gt;70,"Large Gap",
IF(Table1[[#This Row],[skill_gap_index]]&gt;40,"Medium Gap","Small Gap"))</f>
        <v>Medium Gap</v>
      </c>
      <c r="X3561" s="3" t="str">
        <f>IF(Table1[[#This Row],[automation_risk_percent]]&gt;0.7,"Highly Automatable",
IF(Table1[[#This Row],[automation_risk_percent]]&gt;0.4,"Moderate Risk","Safe Job"))</f>
        <v>Moderate Risk</v>
      </c>
    </row>
    <row r="3562" spans="1:24" x14ac:dyDescent="0.3">
      <c r="A3562">
        <v>12421</v>
      </c>
      <c r="B3562" t="s">
        <v>44</v>
      </c>
      <c r="C3562" t="s">
        <v>19</v>
      </c>
      <c r="D3562" t="s">
        <v>42</v>
      </c>
      <c r="E3562" s="1">
        <v>2026</v>
      </c>
      <c r="F3562" s="11">
        <v>0.43659999999999999</v>
      </c>
      <c r="G3562">
        <v>44.43</v>
      </c>
      <c r="H3562">
        <v>98.69</v>
      </c>
      <c r="I3562" s="2">
        <v>75958.87</v>
      </c>
      <c r="J3562" s="2">
        <v>70694.39</v>
      </c>
      <c r="K3562" s="2">
        <f>Table1[[#This Row],[Salary_after]]-Table1[[#This Row],[Salary_before]]</f>
        <v>-5264.4799999999959</v>
      </c>
      <c r="L3562" s="11">
        <v>-6.93E-2</v>
      </c>
      <c r="M3562" s="11">
        <v>3.5499999999999997E-2</v>
      </c>
      <c r="N3562">
        <v>69.66</v>
      </c>
      <c r="O3562">
        <v>19.100000000000001</v>
      </c>
      <c r="P3562">
        <v>3</v>
      </c>
      <c r="Q3562" t="s">
        <v>25</v>
      </c>
      <c r="R3562">
        <v>71.174999999999997</v>
      </c>
      <c r="S3562">
        <v>6.93</v>
      </c>
      <c r="T3562" s="4">
        <v>49.15</v>
      </c>
      <c r="U3562" s="4">
        <v>8.3390599999999999</v>
      </c>
      <c r="V3562" t="str">
        <f>IF(Table1[[#This Row],[ai_disruption_intensity]]&gt;70,"High",
IF(Table1[[#This Row],[ai_disruption_intensity]]&gt;40,"Medium","Low"))</f>
        <v>Low</v>
      </c>
      <c r="W3562" t="str">
        <f>IF(Table1[[#This Row],[skill_gap_index]]&gt;70,"Large Gap",
IF(Table1[[#This Row],[skill_gap_index]]&gt;40,"Medium Gap","Small Gap"))</f>
        <v>Large Gap</v>
      </c>
      <c r="X3562" s="3" t="str">
        <f>IF(Table1[[#This Row],[automation_risk_percent]]&gt;0.7,"Highly Automatable",
IF(Table1[[#This Row],[automation_risk_percent]]&gt;0.4,"Moderate Risk","Safe Job"))</f>
        <v>Moderate Risk</v>
      </c>
    </row>
    <row r="3563" spans="1:24" x14ac:dyDescent="0.3">
      <c r="A3563">
        <v>12425</v>
      </c>
      <c r="B3563" t="s">
        <v>39</v>
      </c>
      <c r="C3563" t="s">
        <v>40</v>
      </c>
      <c r="D3563" t="s">
        <v>36</v>
      </c>
      <c r="E3563" s="1">
        <v>2026</v>
      </c>
      <c r="F3563" s="11">
        <v>0.51790000000000003</v>
      </c>
      <c r="G3563">
        <v>60.55</v>
      </c>
      <c r="H3563">
        <v>87.66</v>
      </c>
      <c r="I3563" s="2">
        <v>122386.73</v>
      </c>
      <c r="J3563" s="2">
        <v>150199.79999999999</v>
      </c>
      <c r="K3563" s="2">
        <f>Table1[[#This Row],[Salary_after]]-Table1[[#This Row],[Salary_before]]</f>
        <v>27813.069999999992</v>
      </c>
      <c r="L3563" s="11">
        <v>0.2273</v>
      </c>
      <c r="M3563" s="11">
        <v>-2.6099999999999998E-2</v>
      </c>
      <c r="N3563">
        <v>55.6</v>
      </c>
      <c r="O3563">
        <v>0.62</v>
      </c>
      <c r="P3563">
        <v>1</v>
      </c>
      <c r="Q3563" t="s">
        <v>25</v>
      </c>
      <c r="R3563">
        <v>69.724999999999994</v>
      </c>
      <c r="S3563">
        <v>22.73</v>
      </c>
      <c r="T3563" s="4">
        <v>53.832999999999998</v>
      </c>
      <c r="U3563" s="4">
        <v>0.32109799999999999</v>
      </c>
      <c r="V3563" t="str">
        <f>IF(Table1[[#This Row],[ai_disruption_intensity]]&gt;70,"High",
IF(Table1[[#This Row],[ai_disruption_intensity]]&gt;40,"Medium","Low"))</f>
        <v>Low</v>
      </c>
      <c r="W3563" t="str">
        <f>IF(Table1[[#This Row],[skill_gap_index]]&gt;70,"Large Gap",
IF(Table1[[#This Row],[skill_gap_index]]&gt;40,"Medium Gap","Small Gap"))</f>
        <v>Large Gap</v>
      </c>
      <c r="X3563" s="3" t="str">
        <f>IF(Table1[[#This Row],[automation_risk_percent]]&gt;0.7,"Highly Automatable",
IF(Table1[[#This Row],[automation_risk_percent]]&gt;0.4,"Moderate Risk","Safe Job"))</f>
        <v>Moderate Risk</v>
      </c>
    </row>
    <row r="3564" spans="1:24" x14ac:dyDescent="0.3">
      <c r="A3564">
        <v>12429</v>
      </c>
      <c r="B3564" t="s">
        <v>44</v>
      </c>
      <c r="C3564" t="s">
        <v>40</v>
      </c>
      <c r="D3564" t="s">
        <v>20</v>
      </c>
      <c r="E3564" s="1">
        <v>2025</v>
      </c>
      <c r="F3564" s="11">
        <v>0.47820000000000001</v>
      </c>
      <c r="G3564">
        <v>45.52</v>
      </c>
      <c r="H3564">
        <v>85.07</v>
      </c>
      <c r="I3564" s="2">
        <v>145541.25</v>
      </c>
      <c r="J3564" s="2">
        <v>143296.10999999999</v>
      </c>
      <c r="K3564" s="2">
        <f>Table1[[#This Row],[Salary_after]]-Table1[[#This Row],[Salary_before]]</f>
        <v>-2245.140000000014</v>
      </c>
      <c r="L3564" s="11">
        <v>-1.54E-2</v>
      </c>
      <c r="M3564" s="11">
        <v>0.1673</v>
      </c>
      <c r="N3564">
        <v>66.930000000000007</v>
      </c>
      <c r="O3564">
        <v>37.11</v>
      </c>
      <c r="P3564">
        <v>3</v>
      </c>
      <c r="Q3564" t="s">
        <v>25</v>
      </c>
      <c r="R3564">
        <v>66.444999999999993</v>
      </c>
      <c r="S3564">
        <v>1.54</v>
      </c>
      <c r="T3564" s="4">
        <v>45.110999999999997</v>
      </c>
      <c r="U3564" s="4">
        <v>17.746002000000001</v>
      </c>
      <c r="V3564" t="str">
        <f>IF(Table1[[#This Row],[ai_disruption_intensity]]&gt;70,"High",
IF(Table1[[#This Row],[ai_disruption_intensity]]&gt;40,"Medium","Low"))</f>
        <v>Low</v>
      </c>
      <c r="W3564" t="str">
        <f>IF(Table1[[#This Row],[skill_gap_index]]&gt;70,"Large Gap",
IF(Table1[[#This Row],[skill_gap_index]]&gt;40,"Medium Gap","Small Gap"))</f>
        <v>Large Gap</v>
      </c>
      <c r="X3564" s="3" t="str">
        <f>IF(Table1[[#This Row],[automation_risk_percent]]&gt;0.7,"Highly Automatable",
IF(Table1[[#This Row],[automation_risk_percent]]&gt;0.4,"Moderate Risk","Safe Job"))</f>
        <v>Moderate Risk</v>
      </c>
    </row>
    <row r="3565" spans="1:24" x14ac:dyDescent="0.3">
      <c r="A3565">
        <v>12430</v>
      </c>
      <c r="B3565" t="s">
        <v>44</v>
      </c>
      <c r="C3565" t="s">
        <v>19</v>
      </c>
      <c r="D3565" t="s">
        <v>31</v>
      </c>
      <c r="E3565" s="1">
        <v>2025</v>
      </c>
      <c r="F3565" s="11">
        <v>0.47399999999999998</v>
      </c>
      <c r="G3565">
        <v>42.98</v>
      </c>
      <c r="H3565">
        <v>59.01</v>
      </c>
      <c r="I3565" s="2">
        <v>81954.820000000007</v>
      </c>
      <c r="J3565" s="2">
        <v>89746.86</v>
      </c>
      <c r="K3565" s="2">
        <f>Table1[[#This Row],[Salary_after]]-Table1[[#This Row],[Salary_before]]</f>
        <v>7792.0399999999936</v>
      </c>
      <c r="L3565" s="11">
        <v>9.5100000000000004E-2</v>
      </c>
      <c r="M3565" s="11">
        <v>0.20949999999999999</v>
      </c>
      <c r="N3565">
        <v>22.03</v>
      </c>
      <c r="O3565">
        <v>19.05</v>
      </c>
      <c r="P3565">
        <v>4</v>
      </c>
      <c r="Q3565" t="s">
        <v>25</v>
      </c>
      <c r="R3565">
        <v>53.204999999999998</v>
      </c>
      <c r="S3565">
        <v>9.51</v>
      </c>
      <c r="T3565" s="4">
        <v>39.515999999999998</v>
      </c>
      <c r="U3565" s="4">
        <v>9.0297000000000001</v>
      </c>
      <c r="V3565" t="str">
        <f>IF(Table1[[#This Row],[ai_disruption_intensity]]&gt;70,"High",
IF(Table1[[#This Row],[ai_disruption_intensity]]&gt;40,"Medium","Low"))</f>
        <v>Low</v>
      </c>
      <c r="W3565" t="str">
        <f>IF(Table1[[#This Row],[skill_gap_index]]&gt;70,"Large Gap",
IF(Table1[[#This Row],[skill_gap_index]]&gt;40,"Medium Gap","Small Gap"))</f>
        <v>Medium Gap</v>
      </c>
      <c r="X3565" s="3" t="str">
        <f>IF(Table1[[#This Row],[automation_risk_percent]]&gt;0.7,"Highly Automatable",
IF(Table1[[#This Row],[automation_risk_percent]]&gt;0.4,"Moderate Risk","Safe Job"))</f>
        <v>Moderate Risk</v>
      </c>
    </row>
    <row r="3566" spans="1:24" x14ac:dyDescent="0.3">
      <c r="A3566">
        <v>12435</v>
      </c>
      <c r="B3566" t="s">
        <v>46</v>
      </c>
      <c r="C3566" t="s">
        <v>30</v>
      </c>
      <c r="D3566" t="s">
        <v>24</v>
      </c>
      <c r="E3566" s="1">
        <v>2026</v>
      </c>
      <c r="F3566" s="11">
        <v>0.39750000000000002</v>
      </c>
      <c r="G3566">
        <v>45.16</v>
      </c>
      <c r="H3566">
        <v>99.23</v>
      </c>
      <c r="I3566" s="2">
        <v>143023.71</v>
      </c>
      <c r="J3566" s="2">
        <v>156684.06</v>
      </c>
      <c r="K3566" s="2">
        <f>Table1[[#This Row],[Salary_after]]-Table1[[#This Row],[Salary_before]]</f>
        <v>13660.350000000006</v>
      </c>
      <c r="L3566" s="11">
        <v>9.5500000000000002E-2</v>
      </c>
      <c r="M3566" s="11">
        <v>0.15629999999999999</v>
      </c>
      <c r="N3566">
        <v>18.79</v>
      </c>
      <c r="O3566">
        <v>29.71</v>
      </c>
      <c r="P3566">
        <v>4</v>
      </c>
      <c r="Q3566" t="s">
        <v>25</v>
      </c>
      <c r="R3566">
        <v>69.489999999999995</v>
      </c>
      <c r="S3566">
        <v>9.5500000000000007</v>
      </c>
      <c r="T3566" s="4">
        <v>48.533999999999999</v>
      </c>
      <c r="U3566" s="4">
        <v>11.809725</v>
      </c>
      <c r="V3566" t="str">
        <f>IF(Table1[[#This Row],[ai_disruption_intensity]]&gt;70,"High",
IF(Table1[[#This Row],[ai_disruption_intensity]]&gt;40,"Medium","Low"))</f>
        <v>Low</v>
      </c>
      <c r="W3566" t="str">
        <f>IF(Table1[[#This Row],[skill_gap_index]]&gt;70,"Large Gap",
IF(Table1[[#This Row],[skill_gap_index]]&gt;40,"Medium Gap","Small Gap"))</f>
        <v>Large Gap</v>
      </c>
      <c r="X3566" s="3" t="str">
        <f>IF(Table1[[#This Row],[automation_risk_percent]]&gt;0.7,"Highly Automatable",
IF(Table1[[#This Row],[automation_risk_percent]]&gt;0.4,"Moderate Risk","Safe Job"))</f>
        <v>Safe Job</v>
      </c>
    </row>
    <row r="3567" spans="1:24" x14ac:dyDescent="0.3">
      <c r="A3567">
        <v>12437</v>
      </c>
      <c r="B3567" t="s">
        <v>41</v>
      </c>
      <c r="C3567" t="s">
        <v>30</v>
      </c>
      <c r="D3567" t="s">
        <v>20</v>
      </c>
      <c r="E3567" s="1">
        <v>2026</v>
      </c>
      <c r="F3567" s="11">
        <v>0.27649999999999997</v>
      </c>
      <c r="G3567">
        <v>27.66</v>
      </c>
      <c r="H3567">
        <v>82.31</v>
      </c>
      <c r="I3567" s="2">
        <v>98307.56</v>
      </c>
      <c r="J3567" s="2">
        <v>103711.28</v>
      </c>
      <c r="K3567" s="2">
        <f>Table1[[#This Row],[Salary_after]]-Table1[[#This Row],[Salary_before]]</f>
        <v>5403.7200000000012</v>
      </c>
      <c r="L3567" s="11">
        <v>5.5E-2</v>
      </c>
      <c r="M3567" s="11">
        <v>-8.43E-2</v>
      </c>
      <c r="N3567">
        <v>32.78</v>
      </c>
      <c r="O3567">
        <v>1.1399999999999999</v>
      </c>
      <c r="P3567">
        <v>4</v>
      </c>
      <c r="Q3567" t="s">
        <v>21</v>
      </c>
      <c r="R3567">
        <v>54.98</v>
      </c>
      <c r="S3567">
        <v>5.5</v>
      </c>
      <c r="T3567" s="4">
        <v>37.402999999999999</v>
      </c>
      <c r="U3567" s="4">
        <v>0.31520999999999999</v>
      </c>
      <c r="V3567" t="str">
        <f>IF(Table1[[#This Row],[ai_disruption_intensity]]&gt;70,"High",
IF(Table1[[#This Row],[ai_disruption_intensity]]&gt;40,"Medium","Low"))</f>
        <v>Low</v>
      </c>
      <c r="W3567" t="str">
        <f>IF(Table1[[#This Row],[skill_gap_index]]&gt;70,"Large Gap",
IF(Table1[[#This Row],[skill_gap_index]]&gt;40,"Medium Gap","Small Gap"))</f>
        <v>Large Gap</v>
      </c>
      <c r="X3567" s="3" t="str">
        <f>IF(Table1[[#This Row],[automation_risk_percent]]&gt;0.7,"Highly Automatable",
IF(Table1[[#This Row],[automation_risk_percent]]&gt;0.4,"Moderate Risk","Safe Job"))</f>
        <v>Safe Job</v>
      </c>
    </row>
    <row r="3568" spans="1:24" x14ac:dyDescent="0.3">
      <c r="A3568">
        <v>12440</v>
      </c>
      <c r="B3568" t="s">
        <v>44</v>
      </c>
      <c r="C3568" t="s">
        <v>27</v>
      </c>
      <c r="D3568" t="s">
        <v>24</v>
      </c>
      <c r="E3568" s="1">
        <v>2025</v>
      </c>
      <c r="F3568" s="11">
        <v>0.3014</v>
      </c>
      <c r="G3568">
        <v>28.65</v>
      </c>
      <c r="H3568">
        <v>39.57</v>
      </c>
      <c r="I3568" s="2">
        <v>55578.17</v>
      </c>
      <c r="J3568" s="2">
        <v>58623.39</v>
      </c>
      <c r="K3568" s="2">
        <f>Table1[[#This Row],[Salary_after]]-Table1[[#This Row],[Salary_before]]</f>
        <v>3045.2200000000012</v>
      </c>
      <c r="L3568" s="11">
        <v>5.4800000000000001E-2</v>
      </c>
      <c r="M3568" s="11">
        <v>0.214</v>
      </c>
      <c r="N3568">
        <v>89.99</v>
      </c>
      <c r="O3568">
        <v>21.94</v>
      </c>
      <c r="P3568">
        <v>2</v>
      </c>
      <c r="Q3568" t="s">
        <v>25</v>
      </c>
      <c r="R3568">
        <v>34.854999999999997</v>
      </c>
      <c r="S3568">
        <v>5.48</v>
      </c>
      <c r="T3568" s="4">
        <v>25.570999999999898</v>
      </c>
      <c r="U3568" s="4">
        <v>6.6127159999999998</v>
      </c>
      <c r="V3568" t="str">
        <f>IF(Table1[[#This Row],[ai_disruption_intensity]]&gt;70,"High",
IF(Table1[[#This Row],[ai_disruption_intensity]]&gt;40,"Medium","Low"))</f>
        <v>Low</v>
      </c>
      <c r="W3568" t="str">
        <f>IF(Table1[[#This Row],[skill_gap_index]]&gt;70,"Large Gap",
IF(Table1[[#This Row],[skill_gap_index]]&gt;40,"Medium Gap","Small Gap"))</f>
        <v>Small Gap</v>
      </c>
      <c r="X3568" s="3" t="str">
        <f>IF(Table1[[#This Row],[automation_risk_percent]]&gt;0.7,"Highly Automatable",
IF(Table1[[#This Row],[automation_risk_percent]]&gt;0.4,"Moderate Risk","Safe Job"))</f>
        <v>Safe Job</v>
      </c>
    </row>
    <row r="3569" spans="1:24" x14ac:dyDescent="0.3">
      <c r="A3569">
        <v>12452</v>
      </c>
      <c r="B3569" t="s">
        <v>41</v>
      </c>
      <c r="C3569" t="s">
        <v>23</v>
      </c>
      <c r="D3569" t="s">
        <v>31</v>
      </c>
      <c r="E3569" s="1">
        <v>2025</v>
      </c>
      <c r="F3569" s="11">
        <v>0.42430000000000001</v>
      </c>
      <c r="G3569">
        <v>36.51</v>
      </c>
      <c r="H3569">
        <v>46.24</v>
      </c>
      <c r="I3569" s="2">
        <v>119552.83</v>
      </c>
      <c r="J3569" s="2">
        <v>145205.4</v>
      </c>
      <c r="K3569" s="2">
        <f>Table1[[#This Row],[Salary_after]]-Table1[[#This Row],[Salary_before]]</f>
        <v>25652.569999999992</v>
      </c>
      <c r="L3569" s="11">
        <v>0.21460000000000001</v>
      </c>
      <c r="M3569" s="11">
        <v>0.1545</v>
      </c>
      <c r="N3569">
        <v>95.16</v>
      </c>
      <c r="O3569">
        <v>45.73</v>
      </c>
      <c r="P3569">
        <v>2</v>
      </c>
      <c r="Q3569" t="s">
        <v>25</v>
      </c>
      <c r="R3569">
        <v>44.335000000000001</v>
      </c>
      <c r="S3569">
        <v>21.46</v>
      </c>
      <c r="T3569" s="4">
        <v>37.281999999999996</v>
      </c>
      <c r="U3569" s="4">
        <v>19.403238999999999</v>
      </c>
      <c r="V3569" t="str">
        <f>IF(Table1[[#This Row],[ai_disruption_intensity]]&gt;70,"High",
IF(Table1[[#This Row],[ai_disruption_intensity]]&gt;40,"Medium","Low"))</f>
        <v>Low</v>
      </c>
      <c r="W3569" t="str">
        <f>IF(Table1[[#This Row],[skill_gap_index]]&gt;70,"Large Gap",
IF(Table1[[#This Row],[skill_gap_index]]&gt;40,"Medium Gap","Small Gap"))</f>
        <v>Medium Gap</v>
      </c>
      <c r="X3569" s="3" t="str">
        <f>IF(Table1[[#This Row],[automation_risk_percent]]&gt;0.7,"Highly Automatable",
IF(Table1[[#This Row],[automation_risk_percent]]&gt;0.4,"Moderate Risk","Safe Job"))</f>
        <v>Moderate Risk</v>
      </c>
    </row>
    <row r="3570" spans="1:24" x14ac:dyDescent="0.3">
      <c r="A3570">
        <v>12455</v>
      </c>
      <c r="B3570" t="s">
        <v>22</v>
      </c>
      <c r="C3570" t="s">
        <v>38</v>
      </c>
      <c r="D3570" t="s">
        <v>28</v>
      </c>
      <c r="E3570" s="1">
        <v>2025</v>
      </c>
      <c r="F3570" s="11">
        <v>0.56230000000000002</v>
      </c>
      <c r="G3570">
        <v>66.72</v>
      </c>
      <c r="H3570">
        <v>62.63</v>
      </c>
      <c r="I3570" s="2">
        <v>69254.759999999995</v>
      </c>
      <c r="J3570" s="2">
        <v>54642.52</v>
      </c>
      <c r="K3570" s="2">
        <f>Table1[[#This Row],[Salary_after]]-Table1[[#This Row],[Salary_before]]</f>
        <v>-14612.239999999998</v>
      </c>
      <c r="L3570" s="11">
        <v>-0.21100000000000002</v>
      </c>
      <c r="M3570" s="11">
        <v>6.9500000000000006E-2</v>
      </c>
      <c r="N3570">
        <v>57.86</v>
      </c>
      <c r="O3570">
        <v>84.08</v>
      </c>
      <c r="P3570">
        <v>3</v>
      </c>
      <c r="Q3570" t="s">
        <v>25</v>
      </c>
      <c r="R3570">
        <v>59.43</v>
      </c>
      <c r="S3570">
        <v>21.1</v>
      </c>
      <c r="T3570" s="4">
        <v>47.610999999999997</v>
      </c>
      <c r="U3570" s="4">
        <v>47.278183999999897</v>
      </c>
      <c r="V3570" t="str">
        <f>IF(Table1[[#This Row],[ai_disruption_intensity]]&gt;70,"High",
IF(Table1[[#This Row],[ai_disruption_intensity]]&gt;40,"Medium","Low"))</f>
        <v>Medium</v>
      </c>
      <c r="W3570" t="str">
        <f>IF(Table1[[#This Row],[skill_gap_index]]&gt;70,"Large Gap",
IF(Table1[[#This Row],[skill_gap_index]]&gt;40,"Medium Gap","Small Gap"))</f>
        <v>Medium Gap</v>
      </c>
      <c r="X3570" s="3" t="str">
        <f>IF(Table1[[#This Row],[automation_risk_percent]]&gt;0.7,"Highly Automatable",
IF(Table1[[#This Row],[automation_risk_percent]]&gt;0.4,"Moderate Risk","Safe Job"))</f>
        <v>Moderate Risk</v>
      </c>
    </row>
    <row r="3571" spans="1:24" x14ac:dyDescent="0.3">
      <c r="A3571">
        <v>12456</v>
      </c>
      <c r="B3571" t="s">
        <v>46</v>
      </c>
      <c r="C3571" t="s">
        <v>30</v>
      </c>
      <c r="D3571" t="s">
        <v>24</v>
      </c>
      <c r="E3571" s="1">
        <v>2025</v>
      </c>
      <c r="F3571" s="11">
        <v>9.3699999999999992E-2</v>
      </c>
      <c r="G3571">
        <v>9.0399999999999991</v>
      </c>
      <c r="H3571">
        <v>63.4</v>
      </c>
      <c r="I3571" s="2">
        <v>85809.23</v>
      </c>
      <c r="J3571" s="2">
        <v>81107.28</v>
      </c>
      <c r="K3571" s="2">
        <f>Table1[[#This Row],[Salary_after]]-Table1[[#This Row],[Salary_before]]</f>
        <v>-4701.9499999999971</v>
      </c>
      <c r="L3571" s="11">
        <v>-5.4800000000000001E-2</v>
      </c>
      <c r="M3571" s="11">
        <v>9.5600000000000004E-2</v>
      </c>
      <c r="N3571">
        <v>88.71</v>
      </c>
      <c r="O3571">
        <v>97.83</v>
      </c>
      <c r="P3571">
        <v>5</v>
      </c>
      <c r="Q3571" t="s">
        <v>21</v>
      </c>
      <c r="R3571">
        <v>36.384999999999998</v>
      </c>
      <c r="S3571">
        <v>5.48</v>
      </c>
      <c r="T3571" s="4">
        <v>24.411999999999999</v>
      </c>
      <c r="U3571" s="4">
        <v>9.1666709999999991</v>
      </c>
      <c r="V3571" t="str">
        <f>IF(Table1[[#This Row],[ai_disruption_intensity]]&gt;70,"High",
IF(Table1[[#This Row],[ai_disruption_intensity]]&gt;40,"Medium","Low"))</f>
        <v>Low</v>
      </c>
      <c r="W3571" t="str">
        <f>IF(Table1[[#This Row],[skill_gap_index]]&gt;70,"Large Gap",
IF(Table1[[#This Row],[skill_gap_index]]&gt;40,"Medium Gap","Small Gap"))</f>
        <v>Medium Gap</v>
      </c>
      <c r="X3571" s="3" t="str">
        <f>IF(Table1[[#This Row],[automation_risk_percent]]&gt;0.7,"Highly Automatable",
IF(Table1[[#This Row],[automation_risk_percent]]&gt;0.4,"Moderate Risk","Safe Job"))</f>
        <v>Safe Job</v>
      </c>
    </row>
    <row r="3572" spans="1:24" x14ac:dyDescent="0.3">
      <c r="A3572">
        <v>12460</v>
      </c>
      <c r="B3572" t="s">
        <v>46</v>
      </c>
      <c r="C3572" t="s">
        <v>30</v>
      </c>
      <c r="D3572" t="s">
        <v>42</v>
      </c>
      <c r="E3572" s="1">
        <v>2026</v>
      </c>
      <c r="F3572" s="11">
        <v>0.24530000000000002</v>
      </c>
      <c r="G3572">
        <v>21.17</v>
      </c>
      <c r="H3572">
        <v>14.47</v>
      </c>
      <c r="I3572" s="2">
        <v>92936.16</v>
      </c>
      <c r="J3572" s="2">
        <v>83057.960000000006</v>
      </c>
      <c r="K3572" s="2">
        <f>Table1[[#This Row],[Salary_after]]-Table1[[#This Row],[Salary_before]]</f>
        <v>-9878.1999999999971</v>
      </c>
      <c r="L3572" s="11">
        <v>-0.10630000000000001</v>
      </c>
      <c r="M3572" s="11">
        <v>0.1716</v>
      </c>
      <c r="N3572">
        <v>76.34</v>
      </c>
      <c r="O3572">
        <v>89.31</v>
      </c>
      <c r="P3572">
        <v>4</v>
      </c>
      <c r="Q3572" t="s">
        <v>21</v>
      </c>
      <c r="R3572">
        <v>19.5</v>
      </c>
      <c r="S3572">
        <v>10.63</v>
      </c>
      <c r="T3572" s="4">
        <v>17.341999999999999</v>
      </c>
      <c r="U3572" s="4">
        <v>21.907743</v>
      </c>
      <c r="V3572" t="str">
        <f>IF(Table1[[#This Row],[ai_disruption_intensity]]&gt;70,"High",
IF(Table1[[#This Row],[ai_disruption_intensity]]&gt;40,"Medium","Low"))</f>
        <v>Low</v>
      </c>
      <c r="W3572" t="str">
        <f>IF(Table1[[#This Row],[skill_gap_index]]&gt;70,"Large Gap",
IF(Table1[[#This Row],[skill_gap_index]]&gt;40,"Medium Gap","Small Gap"))</f>
        <v>Small Gap</v>
      </c>
      <c r="X3572" s="3" t="str">
        <f>IF(Table1[[#This Row],[automation_risk_percent]]&gt;0.7,"Highly Automatable",
IF(Table1[[#This Row],[automation_risk_percent]]&gt;0.4,"Moderate Risk","Safe Job"))</f>
        <v>Safe Job</v>
      </c>
    </row>
    <row r="3573" spans="1:24" x14ac:dyDescent="0.3">
      <c r="A3573">
        <v>12461</v>
      </c>
      <c r="B3573" t="s">
        <v>29</v>
      </c>
      <c r="C3573" t="s">
        <v>34</v>
      </c>
      <c r="D3573" t="s">
        <v>42</v>
      </c>
      <c r="E3573" s="1">
        <v>2025</v>
      </c>
      <c r="F3573" s="11">
        <v>0.89769999999999994</v>
      </c>
      <c r="G3573">
        <v>78.2</v>
      </c>
      <c r="H3573">
        <v>67.260000000000005</v>
      </c>
      <c r="I3573" s="2">
        <v>38996.29</v>
      </c>
      <c r="J3573" s="2">
        <v>29624.75</v>
      </c>
      <c r="K3573" s="2">
        <f>Table1[[#This Row],[Salary_after]]-Table1[[#This Row],[Salary_before]]</f>
        <v>-9371.5400000000009</v>
      </c>
      <c r="L3573" s="11">
        <v>-0.24030000000000001</v>
      </c>
      <c r="M3573" s="11">
        <v>-7.0699999999999999E-2</v>
      </c>
      <c r="N3573">
        <v>28.28</v>
      </c>
      <c r="O3573">
        <v>77.5</v>
      </c>
      <c r="P3573">
        <v>1</v>
      </c>
      <c r="Q3573" t="s">
        <v>37</v>
      </c>
      <c r="R3573">
        <v>78.515000000000001</v>
      </c>
      <c r="S3573">
        <v>24.03</v>
      </c>
      <c r="T3573" s="4">
        <v>63.295000000000002</v>
      </c>
      <c r="U3573" s="4">
        <v>69.571749999999994</v>
      </c>
      <c r="V3573" t="str">
        <f>IF(Table1[[#This Row],[ai_disruption_intensity]]&gt;70,"High",
IF(Table1[[#This Row],[ai_disruption_intensity]]&gt;40,"Medium","Low"))</f>
        <v>Medium</v>
      </c>
      <c r="W3573" t="str">
        <f>IF(Table1[[#This Row],[skill_gap_index]]&gt;70,"Large Gap",
IF(Table1[[#This Row],[skill_gap_index]]&gt;40,"Medium Gap","Small Gap"))</f>
        <v>Medium Gap</v>
      </c>
      <c r="X3573" s="3" t="str">
        <f>IF(Table1[[#This Row],[automation_risk_percent]]&gt;0.7,"Highly Automatable",
IF(Table1[[#This Row],[automation_risk_percent]]&gt;0.4,"Moderate Risk","Safe Job"))</f>
        <v>Highly Automatable</v>
      </c>
    </row>
    <row r="3574" spans="1:24" x14ac:dyDescent="0.3">
      <c r="A3574">
        <v>12467</v>
      </c>
      <c r="B3574" t="s">
        <v>43</v>
      </c>
      <c r="C3574" t="s">
        <v>33</v>
      </c>
      <c r="D3574" t="s">
        <v>36</v>
      </c>
      <c r="E3574" s="1">
        <v>2025</v>
      </c>
      <c r="F3574" s="11">
        <v>0.41899999999999998</v>
      </c>
      <c r="G3574">
        <v>41.11</v>
      </c>
      <c r="H3574">
        <v>45.99</v>
      </c>
      <c r="I3574" s="2">
        <v>56323.09</v>
      </c>
      <c r="J3574" s="2">
        <v>59144.25</v>
      </c>
      <c r="K3574" s="2">
        <f>Table1[[#This Row],[Salary_after]]-Table1[[#This Row],[Salary_before]]</f>
        <v>2821.1600000000035</v>
      </c>
      <c r="L3574" s="11">
        <v>5.0099999999999999E-2</v>
      </c>
      <c r="M3574" s="11">
        <v>-1.1699999999999999E-2</v>
      </c>
      <c r="N3574">
        <v>64.349999999999994</v>
      </c>
      <c r="O3574">
        <v>32.119999999999997</v>
      </c>
      <c r="P3574">
        <v>1</v>
      </c>
      <c r="Q3574" t="s">
        <v>25</v>
      </c>
      <c r="R3574">
        <v>43.945</v>
      </c>
      <c r="S3574">
        <v>5.01</v>
      </c>
      <c r="T3574" s="4">
        <v>32.06</v>
      </c>
      <c r="U3574" s="4">
        <v>13.458279999999901</v>
      </c>
      <c r="V3574" t="str">
        <f>IF(Table1[[#This Row],[ai_disruption_intensity]]&gt;70,"High",
IF(Table1[[#This Row],[ai_disruption_intensity]]&gt;40,"Medium","Low"))</f>
        <v>Low</v>
      </c>
      <c r="W3574" t="str">
        <f>IF(Table1[[#This Row],[skill_gap_index]]&gt;70,"Large Gap",
IF(Table1[[#This Row],[skill_gap_index]]&gt;40,"Medium Gap","Small Gap"))</f>
        <v>Medium Gap</v>
      </c>
      <c r="X3574" s="3" t="str">
        <f>IF(Table1[[#This Row],[automation_risk_percent]]&gt;0.7,"Highly Automatable",
IF(Table1[[#This Row],[automation_risk_percent]]&gt;0.4,"Moderate Risk","Safe Job"))</f>
        <v>Moderate Risk</v>
      </c>
    </row>
    <row r="3575" spans="1:24" x14ac:dyDescent="0.3">
      <c r="A3575">
        <v>12471</v>
      </c>
      <c r="B3575" t="s">
        <v>18</v>
      </c>
      <c r="C3575" t="s">
        <v>27</v>
      </c>
      <c r="D3575" t="s">
        <v>31</v>
      </c>
      <c r="E3575" s="1">
        <v>2025</v>
      </c>
      <c r="F3575" s="11">
        <v>0.71829999999999994</v>
      </c>
      <c r="G3575">
        <v>63.12</v>
      </c>
      <c r="H3575">
        <v>33.86</v>
      </c>
      <c r="I3575" s="2">
        <v>143428.32</v>
      </c>
      <c r="J3575" s="2">
        <v>132713.76</v>
      </c>
      <c r="K3575" s="2">
        <f>Table1[[#This Row],[Salary_after]]-Table1[[#This Row],[Salary_before]]</f>
        <v>-10714.559999999998</v>
      </c>
      <c r="L3575" s="11">
        <v>-7.4700000000000003E-2</v>
      </c>
      <c r="M3575" s="11">
        <v>0.1404</v>
      </c>
      <c r="N3575">
        <v>19.57</v>
      </c>
      <c r="O3575">
        <v>93.39</v>
      </c>
      <c r="P3575">
        <v>1</v>
      </c>
      <c r="Q3575" t="s">
        <v>37</v>
      </c>
      <c r="R3575">
        <v>52.844999999999999</v>
      </c>
      <c r="S3575">
        <v>7.47</v>
      </c>
      <c r="T3575" s="4">
        <v>41.131</v>
      </c>
      <c r="U3575" s="4">
        <v>67.082037</v>
      </c>
      <c r="V3575" t="str">
        <f>IF(Table1[[#This Row],[ai_disruption_intensity]]&gt;70,"High",
IF(Table1[[#This Row],[ai_disruption_intensity]]&gt;40,"Medium","Low"))</f>
        <v>Medium</v>
      </c>
      <c r="W3575" t="str">
        <f>IF(Table1[[#This Row],[skill_gap_index]]&gt;70,"Large Gap",
IF(Table1[[#This Row],[skill_gap_index]]&gt;40,"Medium Gap","Small Gap"))</f>
        <v>Small Gap</v>
      </c>
      <c r="X3575" s="3" t="str">
        <f>IF(Table1[[#This Row],[automation_risk_percent]]&gt;0.7,"Highly Automatable",
IF(Table1[[#This Row],[automation_risk_percent]]&gt;0.4,"Moderate Risk","Safe Job"))</f>
        <v>Highly Automatable</v>
      </c>
    </row>
    <row r="3576" spans="1:24" x14ac:dyDescent="0.3">
      <c r="A3576">
        <v>12473</v>
      </c>
      <c r="B3576" t="s">
        <v>29</v>
      </c>
      <c r="C3576" t="s">
        <v>23</v>
      </c>
      <c r="D3576" t="s">
        <v>28</v>
      </c>
      <c r="E3576" s="1">
        <v>2026</v>
      </c>
      <c r="F3576" s="11">
        <v>0.62549999999999994</v>
      </c>
      <c r="G3576">
        <v>72.78</v>
      </c>
      <c r="H3576">
        <v>12.85</v>
      </c>
      <c r="I3576" s="2">
        <v>58619.63</v>
      </c>
      <c r="J3576" s="2">
        <v>56280.959999999999</v>
      </c>
      <c r="K3576" s="2">
        <f>Table1[[#This Row],[Salary_after]]-Table1[[#This Row],[Salary_before]]</f>
        <v>-2338.6699999999983</v>
      </c>
      <c r="L3576" s="11">
        <v>-3.9900000000000005E-2</v>
      </c>
      <c r="M3576" s="11">
        <v>-5.7699999999999994E-2</v>
      </c>
      <c r="N3576">
        <v>92.58</v>
      </c>
      <c r="O3576">
        <v>29.4</v>
      </c>
      <c r="P3576">
        <v>2</v>
      </c>
      <c r="Q3576" t="s">
        <v>37</v>
      </c>
      <c r="R3576">
        <v>37.699999999999903</v>
      </c>
      <c r="S3576">
        <v>3.99</v>
      </c>
      <c r="T3576" s="4">
        <v>30.071999999999999</v>
      </c>
      <c r="U3576" s="4">
        <v>18.389699999999898</v>
      </c>
      <c r="V3576" t="str">
        <f>IF(Table1[[#This Row],[ai_disruption_intensity]]&gt;70,"High",
IF(Table1[[#This Row],[ai_disruption_intensity]]&gt;40,"Medium","Low"))</f>
        <v>Low</v>
      </c>
      <c r="W3576" t="str">
        <f>IF(Table1[[#This Row],[skill_gap_index]]&gt;70,"Large Gap",
IF(Table1[[#This Row],[skill_gap_index]]&gt;40,"Medium Gap","Small Gap"))</f>
        <v>Small Gap</v>
      </c>
      <c r="X3576" s="3" t="str">
        <f>IF(Table1[[#This Row],[automation_risk_percent]]&gt;0.7,"Highly Automatable",
IF(Table1[[#This Row],[automation_risk_percent]]&gt;0.4,"Moderate Risk","Safe Job"))</f>
        <v>Moderate Risk</v>
      </c>
    </row>
    <row r="3577" spans="1:24" x14ac:dyDescent="0.3">
      <c r="A3577">
        <v>12477</v>
      </c>
      <c r="B3577" t="s">
        <v>26</v>
      </c>
      <c r="C3577" t="s">
        <v>40</v>
      </c>
      <c r="D3577" t="s">
        <v>47</v>
      </c>
      <c r="E3577" s="1">
        <v>2025</v>
      </c>
      <c r="F3577" s="11">
        <v>0.68930000000000002</v>
      </c>
      <c r="G3577">
        <v>61.98</v>
      </c>
      <c r="H3577">
        <v>76.680000000000007</v>
      </c>
      <c r="I3577" s="2">
        <v>64039.94</v>
      </c>
      <c r="J3577" s="2">
        <v>61516.68</v>
      </c>
      <c r="K3577" s="2">
        <f>Table1[[#This Row],[Salary_after]]-Table1[[#This Row],[Salary_before]]</f>
        <v>-2523.260000000002</v>
      </c>
      <c r="L3577" s="11">
        <v>-3.9399999999999998E-2</v>
      </c>
      <c r="M3577" s="11">
        <v>-0.17449999999999999</v>
      </c>
      <c r="N3577">
        <v>38.950000000000003</v>
      </c>
      <c r="O3577">
        <v>27.55</v>
      </c>
      <c r="P3577">
        <v>4</v>
      </c>
      <c r="Q3577" t="s">
        <v>37</v>
      </c>
      <c r="R3577">
        <v>72.805000000000007</v>
      </c>
      <c r="S3577">
        <v>3.94</v>
      </c>
      <c r="T3577" s="4">
        <v>51.758000000000003</v>
      </c>
      <c r="U3577" s="4">
        <v>18.990214999999999</v>
      </c>
      <c r="V3577" t="str">
        <f>IF(Table1[[#This Row],[ai_disruption_intensity]]&gt;70,"High",
IF(Table1[[#This Row],[ai_disruption_intensity]]&gt;40,"Medium","Low"))</f>
        <v>Low</v>
      </c>
      <c r="W3577" t="str">
        <f>IF(Table1[[#This Row],[skill_gap_index]]&gt;70,"Large Gap",
IF(Table1[[#This Row],[skill_gap_index]]&gt;40,"Medium Gap","Small Gap"))</f>
        <v>Large Gap</v>
      </c>
      <c r="X3577" s="3" t="str">
        <f>IF(Table1[[#This Row],[automation_risk_percent]]&gt;0.7,"Highly Automatable",
IF(Table1[[#This Row],[automation_risk_percent]]&gt;0.4,"Moderate Risk","Safe Job"))</f>
        <v>Moderate Risk</v>
      </c>
    </row>
    <row r="3578" spans="1:24" x14ac:dyDescent="0.3">
      <c r="A3578">
        <v>12479</v>
      </c>
      <c r="B3578" t="s">
        <v>22</v>
      </c>
      <c r="C3578" t="s">
        <v>38</v>
      </c>
      <c r="D3578" t="s">
        <v>35</v>
      </c>
      <c r="E3578" s="1">
        <v>2025</v>
      </c>
      <c r="F3578" s="11">
        <v>0.1467</v>
      </c>
      <c r="G3578">
        <v>16.13</v>
      </c>
      <c r="H3578">
        <v>88.39</v>
      </c>
      <c r="I3578" s="2">
        <v>118367.19</v>
      </c>
      <c r="J3578" s="2">
        <v>108552.75</v>
      </c>
      <c r="K3578" s="2">
        <f>Table1[[#This Row],[Salary_after]]-Table1[[#This Row],[Salary_before]]</f>
        <v>-9814.4400000000023</v>
      </c>
      <c r="L3578" s="11">
        <v>-8.2899999999999988E-2</v>
      </c>
      <c r="M3578" s="11">
        <v>-0.13720000000000002</v>
      </c>
      <c r="N3578">
        <v>37.049999999999997</v>
      </c>
      <c r="O3578">
        <v>54.27</v>
      </c>
      <c r="P3578">
        <v>2</v>
      </c>
      <c r="Q3578" t="s">
        <v>21</v>
      </c>
      <c r="R3578">
        <v>51.53</v>
      </c>
      <c r="S3578">
        <v>8.2899999999999991</v>
      </c>
      <c r="T3578" s="4">
        <v>34.872</v>
      </c>
      <c r="U3578" s="4">
        <v>7.9614089999999997</v>
      </c>
      <c r="V3578" t="str">
        <f>IF(Table1[[#This Row],[ai_disruption_intensity]]&gt;70,"High",
IF(Table1[[#This Row],[ai_disruption_intensity]]&gt;40,"Medium","Low"))</f>
        <v>Low</v>
      </c>
      <c r="W3578" t="str">
        <f>IF(Table1[[#This Row],[skill_gap_index]]&gt;70,"Large Gap",
IF(Table1[[#This Row],[skill_gap_index]]&gt;40,"Medium Gap","Small Gap"))</f>
        <v>Large Gap</v>
      </c>
      <c r="X3578" s="3" t="str">
        <f>IF(Table1[[#This Row],[automation_risk_percent]]&gt;0.7,"Highly Automatable",
IF(Table1[[#This Row],[automation_risk_percent]]&gt;0.4,"Moderate Risk","Safe Job"))</f>
        <v>Safe Job</v>
      </c>
    </row>
    <row r="3579" spans="1:24" x14ac:dyDescent="0.3">
      <c r="A3579">
        <v>12480</v>
      </c>
      <c r="B3579" t="s">
        <v>44</v>
      </c>
      <c r="C3579" t="s">
        <v>33</v>
      </c>
      <c r="D3579" t="s">
        <v>36</v>
      </c>
      <c r="E3579" s="1">
        <v>2026</v>
      </c>
      <c r="F3579" s="11">
        <v>0.7229000000000001</v>
      </c>
      <c r="G3579">
        <v>77.25</v>
      </c>
      <c r="H3579">
        <v>45.83</v>
      </c>
      <c r="I3579" s="2">
        <v>133239.97</v>
      </c>
      <c r="J3579" s="2">
        <v>159991.07999999999</v>
      </c>
      <c r="K3579" s="2">
        <f>Table1[[#This Row],[Salary_after]]-Table1[[#This Row],[Salary_before]]</f>
        <v>26751.109999999986</v>
      </c>
      <c r="L3579" s="11">
        <v>0.20079999999999998</v>
      </c>
      <c r="M3579" s="11">
        <v>-8.9099999999999999E-2</v>
      </c>
      <c r="N3579">
        <v>99.6</v>
      </c>
      <c r="O3579">
        <v>63.95</v>
      </c>
      <c r="P3579">
        <v>5</v>
      </c>
      <c r="Q3579" t="s">
        <v>37</v>
      </c>
      <c r="R3579">
        <v>59.06</v>
      </c>
      <c r="S3579">
        <v>20.079999999999998</v>
      </c>
      <c r="T3579" s="4">
        <v>48.689</v>
      </c>
      <c r="U3579" s="4">
        <v>46.229455000000002</v>
      </c>
      <c r="V3579" t="str">
        <f>IF(Table1[[#This Row],[ai_disruption_intensity]]&gt;70,"High",
IF(Table1[[#This Row],[ai_disruption_intensity]]&gt;40,"Medium","Low"))</f>
        <v>Medium</v>
      </c>
      <c r="W3579" t="str">
        <f>IF(Table1[[#This Row],[skill_gap_index]]&gt;70,"Large Gap",
IF(Table1[[#This Row],[skill_gap_index]]&gt;40,"Medium Gap","Small Gap"))</f>
        <v>Medium Gap</v>
      </c>
      <c r="X3579" s="3" t="str">
        <f>IF(Table1[[#This Row],[automation_risk_percent]]&gt;0.7,"Highly Automatable",
IF(Table1[[#This Row],[automation_risk_percent]]&gt;0.4,"Moderate Risk","Safe Job"))</f>
        <v>Highly Automatable</v>
      </c>
    </row>
    <row r="3580" spans="1:24" x14ac:dyDescent="0.3">
      <c r="A3580">
        <v>12481</v>
      </c>
      <c r="B3580" t="s">
        <v>18</v>
      </c>
      <c r="C3580" t="s">
        <v>27</v>
      </c>
      <c r="D3580" t="s">
        <v>47</v>
      </c>
      <c r="E3580" s="1">
        <v>2026</v>
      </c>
      <c r="F3580" s="11">
        <v>0.36709999999999998</v>
      </c>
      <c r="G3580">
        <v>40.01</v>
      </c>
      <c r="H3580">
        <v>98.42</v>
      </c>
      <c r="I3580" s="2">
        <v>103350.87</v>
      </c>
      <c r="J3580" s="2">
        <v>117282.4</v>
      </c>
      <c r="K3580" s="2">
        <f>Table1[[#This Row],[Salary_after]]-Table1[[#This Row],[Salary_before]]</f>
        <v>13931.529999999999</v>
      </c>
      <c r="L3580" s="11">
        <v>0.1348</v>
      </c>
      <c r="M3580" s="11">
        <v>-5.9800000000000006E-2</v>
      </c>
      <c r="N3580">
        <v>51.77</v>
      </c>
      <c r="O3580">
        <v>53.58</v>
      </c>
      <c r="P3580">
        <v>3</v>
      </c>
      <c r="Q3580" t="s">
        <v>25</v>
      </c>
      <c r="R3580">
        <v>67.564999999999998</v>
      </c>
      <c r="S3580">
        <v>13.48</v>
      </c>
      <c r="T3580" s="4">
        <v>48.253999999999998</v>
      </c>
      <c r="U3580" s="4">
        <v>19.669218000000001</v>
      </c>
      <c r="V3580" t="str">
        <f>IF(Table1[[#This Row],[ai_disruption_intensity]]&gt;70,"High",
IF(Table1[[#This Row],[ai_disruption_intensity]]&gt;40,"Medium","Low"))</f>
        <v>Low</v>
      </c>
      <c r="W3580" t="str">
        <f>IF(Table1[[#This Row],[skill_gap_index]]&gt;70,"Large Gap",
IF(Table1[[#This Row],[skill_gap_index]]&gt;40,"Medium Gap","Small Gap"))</f>
        <v>Large Gap</v>
      </c>
      <c r="X3580" s="3" t="str">
        <f>IF(Table1[[#This Row],[automation_risk_percent]]&gt;0.7,"Highly Automatable",
IF(Table1[[#This Row],[automation_risk_percent]]&gt;0.4,"Moderate Risk","Safe Job"))</f>
        <v>Safe Job</v>
      </c>
    </row>
    <row r="3581" spans="1:24" x14ac:dyDescent="0.3">
      <c r="A3581">
        <v>12483</v>
      </c>
      <c r="B3581" t="s">
        <v>39</v>
      </c>
      <c r="C3581" t="s">
        <v>33</v>
      </c>
      <c r="D3581" t="s">
        <v>28</v>
      </c>
      <c r="E3581" s="1">
        <v>2026</v>
      </c>
      <c r="F3581" s="11">
        <v>0.21440000000000001</v>
      </c>
      <c r="G3581">
        <v>19.45</v>
      </c>
      <c r="H3581">
        <v>85.07</v>
      </c>
      <c r="I3581" s="2">
        <v>139095.18</v>
      </c>
      <c r="J3581" s="2">
        <v>154872.76999999999</v>
      </c>
      <c r="K3581" s="2">
        <f>Table1[[#This Row],[Salary_after]]-Table1[[#This Row],[Salary_before]]</f>
        <v>15777.589999999997</v>
      </c>
      <c r="L3581" s="11">
        <v>0.1134</v>
      </c>
      <c r="M3581" s="11">
        <v>1.38E-2</v>
      </c>
      <c r="N3581">
        <v>19.29</v>
      </c>
      <c r="O3581">
        <v>21.63</v>
      </c>
      <c r="P3581">
        <v>4</v>
      </c>
      <c r="Q3581" t="s">
        <v>21</v>
      </c>
      <c r="R3581">
        <v>53.254999999999903</v>
      </c>
      <c r="S3581">
        <v>11.34</v>
      </c>
      <c r="T3581" s="4">
        <v>37.498999999999903</v>
      </c>
      <c r="U3581" s="4">
        <v>4.6374719999999998</v>
      </c>
      <c r="V3581" t="str">
        <f>IF(Table1[[#This Row],[ai_disruption_intensity]]&gt;70,"High",
IF(Table1[[#This Row],[ai_disruption_intensity]]&gt;40,"Medium","Low"))</f>
        <v>Low</v>
      </c>
      <c r="W3581" t="str">
        <f>IF(Table1[[#This Row],[skill_gap_index]]&gt;70,"Large Gap",
IF(Table1[[#This Row],[skill_gap_index]]&gt;40,"Medium Gap","Small Gap"))</f>
        <v>Large Gap</v>
      </c>
      <c r="X3581" s="3" t="str">
        <f>IF(Table1[[#This Row],[automation_risk_percent]]&gt;0.7,"Highly Automatable",
IF(Table1[[#This Row],[automation_risk_percent]]&gt;0.4,"Moderate Risk","Safe Job"))</f>
        <v>Safe Job</v>
      </c>
    </row>
    <row r="3582" spans="1:24" x14ac:dyDescent="0.3">
      <c r="A3582">
        <v>12488</v>
      </c>
      <c r="B3582" t="s">
        <v>41</v>
      </c>
      <c r="C3582" t="s">
        <v>40</v>
      </c>
      <c r="D3582" t="s">
        <v>28</v>
      </c>
      <c r="E3582" s="1">
        <v>2026</v>
      </c>
      <c r="F3582" s="11">
        <v>0.85739999999999994</v>
      </c>
      <c r="G3582">
        <v>99.98</v>
      </c>
      <c r="H3582">
        <v>80.25</v>
      </c>
      <c r="I3582" s="2">
        <v>83822.2</v>
      </c>
      <c r="J3582" s="2">
        <v>81960.22</v>
      </c>
      <c r="K3582" s="2">
        <f>Table1[[#This Row],[Salary_after]]-Table1[[#This Row],[Salary_before]]</f>
        <v>-1861.9799999999959</v>
      </c>
      <c r="L3582" s="11">
        <v>-2.2200000000000001E-2</v>
      </c>
      <c r="M3582" s="11">
        <v>-0.26500000000000001</v>
      </c>
      <c r="N3582">
        <v>52.65</v>
      </c>
      <c r="O3582">
        <v>51.43</v>
      </c>
      <c r="P3582">
        <v>2</v>
      </c>
      <c r="Q3582" t="s">
        <v>37</v>
      </c>
      <c r="R3582">
        <v>82.995000000000005</v>
      </c>
      <c r="S3582">
        <v>2.2200000000000002</v>
      </c>
      <c r="T3582" s="4">
        <v>59.0369999999999</v>
      </c>
      <c r="U3582" s="4">
        <v>44.096081999999903</v>
      </c>
      <c r="V3582" t="str">
        <f>IF(Table1[[#This Row],[ai_disruption_intensity]]&gt;70,"High",
IF(Table1[[#This Row],[ai_disruption_intensity]]&gt;40,"Medium","Low"))</f>
        <v>Medium</v>
      </c>
      <c r="W3582" t="str">
        <f>IF(Table1[[#This Row],[skill_gap_index]]&gt;70,"Large Gap",
IF(Table1[[#This Row],[skill_gap_index]]&gt;40,"Medium Gap","Small Gap"))</f>
        <v>Large Gap</v>
      </c>
      <c r="X3582" s="3" t="str">
        <f>IF(Table1[[#This Row],[automation_risk_percent]]&gt;0.7,"Highly Automatable",
IF(Table1[[#This Row],[automation_risk_percent]]&gt;0.4,"Moderate Risk","Safe Job"))</f>
        <v>Highly Automatable</v>
      </c>
    </row>
    <row r="3583" spans="1:24" x14ac:dyDescent="0.3">
      <c r="A3583">
        <v>12493</v>
      </c>
      <c r="B3583" t="s">
        <v>44</v>
      </c>
      <c r="C3583" t="s">
        <v>33</v>
      </c>
      <c r="D3583" t="s">
        <v>42</v>
      </c>
      <c r="E3583" s="1">
        <v>2026</v>
      </c>
      <c r="F3583" s="11">
        <v>0.1439</v>
      </c>
      <c r="G3583">
        <v>14.58</v>
      </c>
      <c r="H3583">
        <v>29.29</v>
      </c>
      <c r="I3583" s="2">
        <v>141642.79</v>
      </c>
      <c r="J3583" s="2">
        <v>150220.69</v>
      </c>
      <c r="K3583" s="2">
        <f>Table1[[#This Row],[Salary_after]]-Table1[[#This Row],[Salary_before]]</f>
        <v>8577.8999999999942</v>
      </c>
      <c r="L3583" s="11">
        <v>6.0599999999999994E-2</v>
      </c>
      <c r="M3583" s="11">
        <v>0.12820000000000001</v>
      </c>
      <c r="N3583">
        <v>23.96</v>
      </c>
      <c r="O3583">
        <v>94.21</v>
      </c>
      <c r="P3583">
        <v>2</v>
      </c>
      <c r="Q3583" t="s">
        <v>21</v>
      </c>
      <c r="R3583">
        <v>21.84</v>
      </c>
      <c r="S3583">
        <v>6.06</v>
      </c>
      <c r="T3583" s="4">
        <v>16.361000000000001</v>
      </c>
      <c r="U3583" s="4">
        <v>13.556819000000001</v>
      </c>
      <c r="V3583" t="str">
        <f>IF(Table1[[#This Row],[ai_disruption_intensity]]&gt;70,"High",
IF(Table1[[#This Row],[ai_disruption_intensity]]&gt;40,"Medium","Low"))</f>
        <v>Low</v>
      </c>
      <c r="W3583" t="str">
        <f>IF(Table1[[#This Row],[skill_gap_index]]&gt;70,"Large Gap",
IF(Table1[[#This Row],[skill_gap_index]]&gt;40,"Medium Gap","Small Gap"))</f>
        <v>Small Gap</v>
      </c>
      <c r="X3583" s="3" t="str">
        <f>IF(Table1[[#This Row],[automation_risk_percent]]&gt;0.7,"Highly Automatable",
IF(Table1[[#This Row],[automation_risk_percent]]&gt;0.4,"Moderate Risk","Safe Job"))</f>
        <v>Safe Job</v>
      </c>
    </row>
    <row r="3584" spans="1:24" x14ac:dyDescent="0.3">
      <c r="A3584">
        <v>12497</v>
      </c>
      <c r="B3584" t="s">
        <v>46</v>
      </c>
      <c r="C3584" t="s">
        <v>33</v>
      </c>
      <c r="D3584" t="s">
        <v>20</v>
      </c>
      <c r="E3584" s="1">
        <v>2026</v>
      </c>
      <c r="F3584" s="11">
        <v>0.21230000000000002</v>
      </c>
      <c r="G3584">
        <v>21.6</v>
      </c>
      <c r="H3584">
        <v>62.57</v>
      </c>
      <c r="I3584" s="2">
        <v>103936.09</v>
      </c>
      <c r="J3584" s="2">
        <v>106171.07</v>
      </c>
      <c r="K3584" s="2">
        <f>Table1[[#This Row],[Salary_after]]-Table1[[#This Row],[Salary_before]]</f>
        <v>2234.9800000000105</v>
      </c>
      <c r="L3584" s="11">
        <v>2.1499999999999998E-2</v>
      </c>
      <c r="M3584" s="11">
        <v>0.1114</v>
      </c>
      <c r="N3584">
        <v>39.93</v>
      </c>
      <c r="O3584">
        <v>9.4499999999999993</v>
      </c>
      <c r="P3584">
        <v>1</v>
      </c>
      <c r="Q3584" t="s">
        <v>21</v>
      </c>
      <c r="R3584">
        <v>41.9</v>
      </c>
      <c r="S3584">
        <v>2.15</v>
      </c>
      <c r="T3584" s="4">
        <v>27.908000000000001</v>
      </c>
      <c r="U3584" s="4">
        <v>2.00623499999999</v>
      </c>
      <c r="V3584" t="str">
        <f>IF(Table1[[#This Row],[ai_disruption_intensity]]&gt;70,"High",
IF(Table1[[#This Row],[ai_disruption_intensity]]&gt;40,"Medium","Low"))</f>
        <v>Low</v>
      </c>
      <c r="W3584" t="str">
        <f>IF(Table1[[#This Row],[skill_gap_index]]&gt;70,"Large Gap",
IF(Table1[[#This Row],[skill_gap_index]]&gt;40,"Medium Gap","Small Gap"))</f>
        <v>Medium Gap</v>
      </c>
      <c r="X3584" s="3" t="str">
        <f>IF(Table1[[#This Row],[automation_risk_percent]]&gt;0.7,"Highly Automatable",
IF(Table1[[#This Row],[automation_risk_percent]]&gt;0.4,"Moderate Risk","Safe Job"))</f>
        <v>Safe Job</v>
      </c>
    </row>
    <row r="3585" spans="1:24" x14ac:dyDescent="0.3">
      <c r="A3585">
        <v>12498</v>
      </c>
      <c r="B3585" t="s">
        <v>29</v>
      </c>
      <c r="C3585" t="s">
        <v>34</v>
      </c>
      <c r="D3585" t="s">
        <v>20</v>
      </c>
      <c r="E3585" s="1">
        <v>2026</v>
      </c>
      <c r="F3585" s="11">
        <v>0.59079999999999999</v>
      </c>
      <c r="G3585">
        <v>60.87</v>
      </c>
      <c r="H3585">
        <v>55.63</v>
      </c>
      <c r="I3585" s="2">
        <v>96017.91</v>
      </c>
      <c r="J3585" s="2">
        <v>100265.35</v>
      </c>
      <c r="K3585" s="2">
        <f>Table1[[#This Row],[Salary_after]]-Table1[[#This Row],[Salary_before]]</f>
        <v>4247.4400000000023</v>
      </c>
      <c r="L3585" s="11">
        <v>4.4199999999999996E-2</v>
      </c>
      <c r="M3585" s="11">
        <v>3.7999999999999999E-2</v>
      </c>
      <c r="N3585">
        <v>65.17</v>
      </c>
      <c r="O3585">
        <v>22.23</v>
      </c>
      <c r="P3585">
        <v>2</v>
      </c>
      <c r="Q3585" t="s">
        <v>25</v>
      </c>
      <c r="R3585">
        <v>57.354999999999997</v>
      </c>
      <c r="S3585">
        <v>4.42</v>
      </c>
      <c r="T3585" s="4">
        <v>41.646999999999998</v>
      </c>
      <c r="U3585" s="4">
        <v>13.133483999999999</v>
      </c>
      <c r="V3585" t="str">
        <f>IF(Table1[[#This Row],[ai_disruption_intensity]]&gt;70,"High",
IF(Table1[[#This Row],[ai_disruption_intensity]]&gt;40,"Medium","Low"))</f>
        <v>Low</v>
      </c>
      <c r="W3585" t="str">
        <f>IF(Table1[[#This Row],[skill_gap_index]]&gt;70,"Large Gap",
IF(Table1[[#This Row],[skill_gap_index]]&gt;40,"Medium Gap","Small Gap"))</f>
        <v>Medium Gap</v>
      </c>
      <c r="X3585" s="3" t="str">
        <f>IF(Table1[[#This Row],[automation_risk_percent]]&gt;0.7,"Highly Automatable",
IF(Table1[[#This Row],[automation_risk_percent]]&gt;0.4,"Moderate Risk","Safe Job"))</f>
        <v>Moderate Risk</v>
      </c>
    </row>
    <row r="3586" spans="1:24" x14ac:dyDescent="0.3">
      <c r="A3586">
        <v>12502</v>
      </c>
      <c r="B3586" t="s">
        <v>26</v>
      </c>
      <c r="C3586" t="s">
        <v>27</v>
      </c>
      <c r="D3586" t="s">
        <v>42</v>
      </c>
      <c r="E3586" s="1">
        <v>2026</v>
      </c>
      <c r="F3586" s="11">
        <v>0.05</v>
      </c>
      <c r="G3586">
        <v>5.08</v>
      </c>
      <c r="H3586">
        <v>87.2</v>
      </c>
      <c r="I3586" s="2">
        <v>112844.58</v>
      </c>
      <c r="J3586" s="2">
        <v>116551</v>
      </c>
      <c r="K3586" s="2">
        <f>Table1[[#This Row],[Salary_after]]-Table1[[#This Row],[Salary_before]]</f>
        <v>3706.4199999999983</v>
      </c>
      <c r="L3586" s="11">
        <v>3.2799999999999996E-2</v>
      </c>
      <c r="M3586" s="11">
        <v>-7.3700000000000002E-2</v>
      </c>
      <c r="N3586">
        <v>23.78</v>
      </c>
      <c r="O3586">
        <v>75.39</v>
      </c>
      <c r="P3586">
        <v>4</v>
      </c>
      <c r="Q3586" t="s">
        <v>21</v>
      </c>
      <c r="R3586">
        <v>46.1</v>
      </c>
      <c r="S3586">
        <v>3.28</v>
      </c>
      <c r="T3586" s="4">
        <v>29.143999999999998</v>
      </c>
      <c r="U3586" s="4">
        <v>3.7694999999999999</v>
      </c>
      <c r="V3586" t="str">
        <f>IF(Table1[[#This Row],[ai_disruption_intensity]]&gt;70,"High",
IF(Table1[[#This Row],[ai_disruption_intensity]]&gt;40,"Medium","Low"))</f>
        <v>Low</v>
      </c>
      <c r="W3586" t="str">
        <f>IF(Table1[[#This Row],[skill_gap_index]]&gt;70,"Large Gap",
IF(Table1[[#This Row],[skill_gap_index]]&gt;40,"Medium Gap","Small Gap"))</f>
        <v>Large Gap</v>
      </c>
      <c r="X3586" s="3" t="str">
        <f>IF(Table1[[#This Row],[automation_risk_percent]]&gt;0.7,"Highly Automatable",
IF(Table1[[#This Row],[automation_risk_percent]]&gt;0.4,"Moderate Risk","Safe Job"))</f>
        <v>Safe Job</v>
      </c>
    </row>
    <row r="3587" spans="1:24" x14ac:dyDescent="0.3">
      <c r="A3587">
        <v>12506</v>
      </c>
      <c r="B3587" t="s">
        <v>26</v>
      </c>
      <c r="C3587" t="s">
        <v>23</v>
      </c>
      <c r="D3587" t="s">
        <v>28</v>
      </c>
      <c r="E3587" s="1">
        <v>2025</v>
      </c>
      <c r="F3587" s="11">
        <v>0.22640000000000002</v>
      </c>
      <c r="G3587">
        <v>25.14</v>
      </c>
      <c r="H3587">
        <v>85.9</v>
      </c>
      <c r="I3587" s="2">
        <v>126022.29</v>
      </c>
      <c r="J3587" s="2">
        <v>125790.9</v>
      </c>
      <c r="K3587" s="2">
        <f>Table1[[#This Row],[Salary_after]]-Table1[[#This Row],[Salary_before]]</f>
        <v>-231.38999999999942</v>
      </c>
      <c r="L3587" s="11">
        <v>-1.8E-3</v>
      </c>
      <c r="M3587" s="11">
        <v>0.22559999999999999</v>
      </c>
      <c r="N3587">
        <v>27.06</v>
      </c>
      <c r="O3587">
        <v>11.08</v>
      </c>
      <c r="P3587">
        <v>2</v>
      </c>
      <c r="Q3587" t="s">
        <v>21</v>
      </c>
      <c r="R3587">
        <v>54.27</v>
      </c>
      <c r="S3587">
        <v>0.18</v>
      </c>
      <c r="T3587" s="4">
        <v>34.880000000000003</v>
      </c>
      <c r="U3587" s="4">
        <v>2.5085120000000001</v>
      </c>
      <c r="V3587" t="str">
        <f>IF(Table1[[#This Row],[ai_disruption_intensity]]&gt;70,"High",
IF(Table1[[#This Row],[ai_disruption_intensity]]&gt;40,"Medium","Low"))</f>
        <v>Low</v>
      </c>
      <c r="W3587" t="str">
        <f>IF(Table1[[#This Row],[skill_gap_index]]&gt;70,"Large Gap",
IF(Table1[[#This Row],[skill_gap_index]]&gt;40,"Medium Gap","Small Gap"))</f>
        <v>Large Gap</v>
      </c>
      <c r="X3587" s="3" t="str">
        <f>IF(Table1[[#This Row],[automation_risk_percent]]&gt;0.7,"Highly Automatable",
IF(Table1[[#This Row],[automation_risk_percent]]&gt;0.4,"Moderate Risk","Safe Job"))</f>
        <v>Safe Job</v>
      </c>
    </row>
    <row r="3588" spans="1:24" x14ac:dyDescent="0.3">
      <c r="A3588">
        <v>12508</v>
      </c>
      <c r="B3588" t="s">
        <v>22</v>
      </c>
      <c r="C3588" t="s">
        <v>40</v>
      </c>
      <c r="D3588" t="s">
        <v>20</v>
      </c>
      <c r="E3588" s="1">
        <v>2025</v>
      </c>
      <c r="F3588" s="11">
        <v>0.66890000000000005</v>
      </c>
      <c r="G3588">
        <v>77.11</v>
      </c>
      <c r="H3588">
        <v>65.02</v>
      </c>
      <c r="I3588" s="2">
        <v>112149.13</v>
      </c>
      <c r="J3588" s="2">
        <v>114445.09</v>
      </c>
      <c r="K3588" s="2">
        <f>Table1[[#This Row],[Salary_after]]-Table1[[#This Row],[Salary_before]]</f>
        <v>2295.9599999999919</v>
      </c>
      <c r="L3588" s="11">
        <v>2.0499999999999997E-2</v>
      </c>
      <c r="M3588" s="11">
        <v>0.21579999999999999</v>
      </c>
      <c r="N3588">
        <v>62.83</v>
      </c>
      <c r="O3588">
        <v>81.040000000000006</v>
      </c>
      <c r="P3588">
        <v>5</v>
      </c>
      <c r="Q3588" t="s">
        <v>37</v>
      </c>
      <c r="R3588">
        <v>65.954999999999998</v>
      </c>
      <c r="S3588">
        <v>2.0499999999999998</v>
      </c>
      <c r="T3588" s="4">
        <v>46.877000000000002</v>
      </c>
      <c r="U3588" s="4">
        <v>54.207656</v>
      </c>
      <c r="V3588" t="str">
        <f>IF(Table1[[#This Row],[ai_disruption_intensity]]&gt;70,"High",
IF(Table1[[#This Row],[ai_disruption_intensity]]&gt;40,"Medium","Low"))</f>
        <v>Medium</v>
      </c>
      <c r="W3588" t="str">
        <f>IF(Table1[[#This Row],[skill_gap_index]]&gt;70,"Large Gap",
IF(Table1[[#This Row],[skill_gap_index]]&gt;40,"Medium Gap","Small Gap"))</f>
        <v>Medium Gap</v>
      </c>
      <c r="X3588" s="3" t="str">
        <f>IF(Table1[[#This Row],[automation_risk_percent]]&gt;0.7,"Highly Automatable",
IF(Table1[[#This Row],[automation_risk_percent]]&gt;0.4,"Moderate Risk","Safe Job"))</f>
        <v>Moderate Risk</v>
      </c>
    </row>
    <row r="3589" spans="1:24" x14ac:dyDescent="0.3">
      <c r="A3589">
        <v>12510</v>
      </c>
      <c r="B3589" t="s">
        <v>18</v>
      </c>
      <c r="C3589" t="s">
        <v>27</v>
      </c>
      <c r="D3589" t="s">
        <v>20</v>
      </c>
      <c r="E3589" s="1">
        <v>2026</v>
      </c>
      <c r="F3589" s="11">
        <v>0.58389999999999997</v>
      </c>
      <c r="G3589">
        <v>54.61</v>
      </c>
      <c r="H3589">
        <v>5.72</v>
      </c>
      <c r="I3589" s="2">
        <v>97198.88</v>
      </c>
      <c r="J3589" s="2">
        <v>104545.72</v>
      </c>
      <c r="K3589" s="2">
        <f>Table1[[#This Row],[Salary_after]]-Table1[[#This Row],[Salary_before]]</f>
        <v>7346.8399999999965</v>
      </c>
      <c r="L3589" s="11">
        <v>7.5600000000000001E-2</v>
      </c>
      <c r="M3589" s="11">
        <v>0.1341</v>
      </c>
      <c r="N3589">
        <v>65.900000000000006</v>
      </c>
      <c r="O3589">
        <v>76.53</v>
      </c>
      <c r="P3589">
        <v>5</v>
      </c>
      <c r="Q3589" t="s">
        <v>25</v>
      </c>
      <c r="R3589">
        <v>32.055</v>
      </c>
      <c r="S3589">
        <v>7.56</v>
      </c>
      <c r="T3589" s="4">
        <v>27.34</v>
      </c>
      <c r="U3589" s="4">
        <v>44.685867000000002</v>
      </c>
      <c r="V3589" t="str">
        <f>IF(Table1[[#This Row],[ai_disruption_intensity]]&gt;70,"High",
IF(Table1[[#This Row],[ai_disruption_intensity]]&gt;40,"Medium","Low"))</f>
        <v>Medium</v>
      </c>
      <c r="W3589" t="str">
        <f>IF(Table1[[#This Row],[skill_gap_index]]&gt;70,"Large Gap",
IF(Table1[[#This Row],[skill_gap_index]]&gt;40,"Medium Gap","Small Gap"))</f>
        <v>Small Gap</v>
      </c>
      <c r="X3589" s="3" t="str">
        <f>IF(Table1[[#This Row],[automation_risk_percent]]&gt;0.7,"Highly Automatable",
IF(Table1[[#This Row],[automation_risk_percent]]&gt;0.4,"Moderate Risk","Safe Job"))</f>
        <v>Moderate Risk</v>
      </c>
    </row>
    <row r="3590" spans="1:24" x14ac:dyDescent="0.3">
      <c r="A3590">
        <v>12514</v>
      </c>
      <c r="B3590" t="s">
        <v>43</v>
      </c>
      <c r="C3590" t="s">
        <v>38</v>
      </c>
      <c r="D3590" t="s">
        <v>36</v>
      </c>
      <c r="E3590" s="1">
        <v>2025</v>
      </c>
      <c r="F3590" s="11">
        <v>0.74309999999999998</v>
      </c>
      <c r="G3590">
        <v>74.08</v>
      </c>
      <c r="H3590">
        <v>54.81</v>
      </c>
      <c r="I3590" s="2">
        <v>98124.68</v>
      </c>
      <c r="J3590" s="2">
        <v>96747.13</v>
      </c>
      <c r="K3590" s="2">
        <f>Table1[[#This Row],[Salary_after]]-Table1[[#This Row],[Salary_before]]</f>
        <v>-1377.5499999999884</v>
      </c>
      <c r="L3590" s="11">
        <v>-1.3999999999999999E-2</v>
      </c>
      <c r="M3590" s="11">
        <v>8.929999999999999E-2</v>
      </c>
      <c r="N3590">
        <v>87.45</v>
      </c>
      <c r="O3590">
        <v>43.13</v>
      </c>
      <c r="P3590">
        <v>5</v>
      </c>
      <c r="Q3590" t="s">
        <v>37</v>
      </c>
      <c r="R3590">
        <v>64.56</v>
      </c>
      <c r="S3590">
        <v>1.4</v>
      </c>
      <c r="T3590" s="4">
        <v>46.587000000000003</v>
      </c>
      <c r="U3590" s="4">
        <v>32.049903</v>
      </c>
      <c r="V3590" t="str">
        <f>IF(Table1[[#This Row],[ai_disruption_intensity]]&gt;70,"High",
IF(Table1[[#This Row],[ai_disruption_intensity]]&gt;40,"Medium","Low"))</f>
        <v>Low</v>
      </c>
      <c r="W3590" t="str">
        <f>IF(Table1[[#This Row],[skill_gap_index]]&gt;70,"Large Gap",
IF(Table1[[#This Row],[skill_gap_index]]&gt;40,"Medium Gap","Small Gap"))</f>
        <v>Medium Gap</v>
      </c>
      <c r="X3590" s="3" t="str">
        <f>IF(Table1[[#This Row],[automation_risk_percent]]&gt;0.7,"Highly Automatable",
IF(Table1[[#This Row],[automation_risk_percent]]&gt;0.4,"Moderate Risk","Safe Job"))</f>
        <v>Highly Automatable</v>
      </c>
    </row>
    <row r="3591" spans="1:24" x14ac:dyDescent="0.3">
      <c r="A3591">
        <v>12515</v>
      </c>
      <c r="B3591" t="s">
        <v>18</v>
      </c>
      <c r="C3591" t="s">
        <v>30</v>
      </c>
      <c r="D3591" t="s">
        <v>36</v>
      </c>
      <c r="E3591" s="1">
        <v>2025</v>
      </c>
      <c r="F3591" s="11">
        <v>0.61860000000000004</v>
      </c>
      <c r="G3591">
        <v>61.44</v>
      </c>
      <c r="H3591">
        <v>55.43</v>
      </c>
      <c r="I3591" s="2">
        <v>69497.62</v>
      </c>
      <c r="J3591" s="2">
        <v>74694.97</v>
      </c>
      <c r="K3591" s="2">
        <f>Table1[[#This Row],[Salary_after]]-Table1[[#This Row],[Salary_before]]</f>
        <v>5197.3500000000058</v>
      </c>
      <c r="L3591" s="11">
        <v>7.4800000000000005E-2</v>
      </c>
      <c r="M3591" s="11">
        <v>-0.20190000000000002</v>
      </c>
      <c r="N3591">
        <v>64.39</v>
      </c>
      <c r="O3591">
        <v>37.03</v>
      </c>
      <c r="P3591">
        <v>5</v>
      </c>
      <c r="Q3591" t="s">
        <v>37</v>
      </c>
      <c r="R3591">
        <v>58.644999999999897</v>
      </c>
      <c r="S3591">
        <v>7.48</v>
      </c>
      <c r="T3591" s="4">
        <v>43.616999999999997</v>
      </c>
      <c r="U3591" s="4">
        <v>22.906758</v>
      </c>
      <c r="V3591" t="str">
        <f>IF(Table1[[#This Row],[ai_disruption_intensity]]&gt;70,"High",
IF(Table1[[#This Row],[ai_disruption_intensity]]&gt;40,"Medium","Low"))</f>
        <v>Low</v>
      </c>
      <c r="W3591" t="str">
        <f>IF(Table1[[#This Row],[skill_gap_index]]&gt;70,"Large Gap",
IF(Table1[[#This Row],[skill_gap_index]]&gt;40,"Medium Gap","Small Gap"))</f>
        <v>Medium Gap</v>
      </c>
      <c r="X3591" s="3" t="str">
        <f>IF(Table1[[#This Row],[automation_risk_percent]]&gt;0.7,"Highly Automatable",
IF(Table1[[#This Row],[automation_risk_percent]]&gt;0.4,"Moderate Risk","Safe Job"))</f>
        <v>Moderate Risk</v>
      </c>
    </row>
    <row r="3592" spans="1:24" x14ac:dyDescent="0.3">
      <c r="A3592">
        <v>12516</v>
      </c>
      <c r="B3592" t="s">
        <v>18</v>
      </c>
      <c r="C3592" t="s">
        <v>27</v>
      </c>
      <c r="D3592" t="s">
        <v>42</v>
      </c>
      <c r="E3592" s="1">
        <v>2026</v>
      </c>
      <c r="F3592" s="11">
        <v>0.68389999999999995</v>
      </c>
      <c r="G3592">
        <v>74.39</v>
      </c>
      <c r="H3592">
        <v>45.15</v>
      </c>
      <c r="I3592" s="2">
        <v>118190.89</v>
      </c>
      <c r="J3592" s="2">
        <v>137940.26999999999</v>
      </c>
      <c r="K3592" s="2">
        <f>Table1[[#This Row],[Salary_after]]-Table1[[#This Row],[Salary_before]]</f>
        <v>19749.37999999999</v>
      </c>
      <c r="L3592" s="11">
        <v>0.1671</v>
      </c>
      <c r="M3592" s="11">
        <v>0.34259999999999996</v>
      </c>
      <c r="N3592">
        <v>64.319999999999993</v>
      </c>
      <c r="O3592">
        <v>80.239999999999995</v>
      </c>
      <c r="P3592">
        <v>4</v>
      </c>
      <c r="Q3592" t="s">
        <v>37</v>
      </c>
      <c r="R3592">
        <v>56.769999999999897</v>
      </c>
      <c r="S3592">
        <v>16.71</v>
      </c>
      <c r="T3592" s="4">
        <v>45.914000000000001</v>
      </c>
      <c r="U3592" s="4">
        <v>54.876135999999903</v>
      </c>
      <c r="V3592" t="str">
        <f>IF(Table1[[#This Row],[ai_disruption_intensity]]&gt;70,"High",
IF(Table1[[#This Row],[ai_disruption_intensity]]&gt;40,"Medium","Low"))</f>
        <v>Medium</v>
      </c>
      <c r="W3592" t="str">
        <f>IF(Table1[[#This Row],[skill_gap_index]]&gt;70,"Large Gap",
IF(Table1[[#This Row],[skill_gap_index]]&gt;40,"Medium Gap","Small Gap"))</f>
        <v>Medium Gap</v>
      </c>
      <c r="X3592" s="3" t="str">
        <f>IF(Table1[[#This Row],[automation_risk_percent]]&gt;0.7,"Highly Automatable",
IF(Table1[[#This Row],[automation_risk_percent]]&gt;0.4,"Moderate Risk","Safe Job"))</f>
        <v>Moderate Risk</v>
      </c>
    </row>
    <row r="3593" spans="1:24" x14ac:dyDescent="0.3">
      <c r="A3593">
        <v>12518</v>
      </c>
      <c r="B3593" t="s">
        <v>22</v>
      </c>
      <c r="C3593" t="s">
        <v>38</v>
      </c>
      <c r="D3593" t="s">
        <v>47</v>
      </c>
      <c r="E3593" s="1">
        <v>2026</v>
      </c>
      <c r="F3593" s="11">
        <v>0.53909999999999991</v>
      </c>
      <c r="G3593">
        <v>46.82</v>
      </c>
      <c r="H3593">
        <v>80.5</v>
      </c>
      <c r="I3593" s="2">
        <v>96232.960000000006</v>
      </c>
      <c r="J3593" s="2">
        <v>101725.75999999999</v>
      </c>
      <c r="K3593" s="2">
        <f>Table1[[#This Row],[Salary_after]]-Table1[[#This Row],[Salary_before]]</f>
        <v>5492.7999999999884</v>
      </c>
      <c r="L3593" s="11">
        <v>5.7099999999999998E-2</v>
      </c>
      <c r="M3593" s="11">
        <v>-2.3099999999999999E-2</v>
      </c>
      <c r="N3593">
        <v>54.83</v>
      </c>
      <c r="O3593">
        <v>12.98</v>
      </c>
      <c r="P3593">
        <v>5</v>
      </c>
      <c r="Q3593" t="s">
        <v>25</v>
      </c>
      <c r="R3593">
        <v>67.204999999999998</v>
      </c>
      <c r="S3593">
        <v>5.71</v>
      </c>
      <c r="T3593" s="4">
        <v>47.427</v>
      </c>
      <c r="U3593" s="4">
        <v>6.9975180000000003</v>
      </c>
      <c r="V3593" t="str">
        <f>IF(Table1[[#This Row],[ai_disruption_intensity]]&gt;70,"High",
IF(Table1[[#This Row],[ai_disruption_intensity]]&gt;40,"Medium","Low"))</f>
        <v>Low</v>
      </c>
      <c r="W3593" t="str">
        <f>IF(Table1[[#This Row],[skill_gap_index]]&gt;70,"Large Gap",
IF(Table1[[#This Row],[skill_gap_index]]&gt;40,"Medium Gap","Small Gap"))</f>
        <v>Large Gap</v>
      </c>
      <c r="X3593" s="3" t="str">
        <f>IF(Table1[[#This Row],[automation_risk_percent]]&gt;0.7,"Highly Automatable",
IF(Table1[[#This Row],[automation_risk_percent]]&gt;0.4,"Moderate Risk","Safe Job"))</f>
        <v>Moderate Risk</v>
      </c>
    </row>
    <row r="3594" spans="1:24" x14ac:dyDescent="0.3">
      <c r="A3594">
        <v>12522</v>
      </c>
      <c r="B3594" t="s">
        <v>43</v>
      </c>
      <c r="C3594" t="s">
        <v>27</v>
      </c>
      <c r="D3594" t="s">
        <v>24</v>
      </c>
      <c r="E3594" s="1">
        <v>2025</v>
      </c>
      <c r="F3594" s="11">
        <v>0.2646</v>
      </c>
      <c r="G3594">
        <v>31.24</v>
      </c>
      <c r="H3594">
        <v>26.35</v>
      </c>
      <c r="I3594" s="2">
        <v>141053.68</v>
      </c>
      <c r="J3594" s="2">
        <v>101298.35</v>
      </c>
      <c r="K3594" s="2">
        <f>Table1[[#This Row],[Salary_after]]-Table1[[#This Row],[Salary_before]]</f>
        <v>-39755.329999999987</v>
      </c>
      <c r="L3594" s="11">
        <v>-0.28179999999999999</v>
      </c>
      <c r="M3594" s="11">
        <v>-3.2000000000000002E-3</v>
      </c>
      <c r="N3594">
        <v>82.34</v>
      </c>
      <c r="O3594">
        <v>49.46</v>
      </c>
      <c r="P3594">
        <v>2</v>
      </c>
      <c r="Q3594" t="s">
        <v>21</v>
      </c>
      <c r="R3594">
        <v>26.405000000000001</v>
      </c>
      <c r="S3594">
        <v>28.18</v>
      </c>
      <c r="T3594" s="4">
        <v>26.942999999999898</v>
      </c>
      <c r="U3594" s="4">
        <v>13.087116</v>
      </c>
      <c r="V3594" t="str">
        <f>IF(Table1[[#This Row],[ai_disruption_intensity]]&gt;70,"High",
IF(Table1[[#This Row],[ai_disruption_intensity]]&gt;40,"Medium","Low"))</f>
        <v>Low</v>
      </c>
      <c r="W3594" t="str">
        <f>IF(Table1[[#This Row],[skill_gap_index]]&gt;70,"Large Gap",
IF(Table1[[#This Row],[skill_gap_index]]&gt;40,"Medium Gap","Small Gap"))</f>
        <v>Small Gap</v>
      </c>
      <c r="X3594" s="3" t="str">
        <f>IF(Table1[[#This Row],[automation_risk_percent]]&gt;0.7,"Highly Automatable",
IF(Table1[[#This Row],[automation_risk_percent]]&gt;0.4,"Moderate Risk","Safe Job"))</f>
        <v>Safe Job</v>
      </c>
    </row>
    <row r="3595" spans="1:24" x14ac:dyDescent="0.3">
      <c r="A3595">
        <v>12524</v>
      </c>
      <c r="B3595" t="s">
        <v>22</v>
      </c>
      <c r="C3595" t="s">
        <v>40</v>
      </c>
      <c r="D3595" t="s">
        <v>35</v>
      </c>
      <c r="E3595" s="1">
        <v>2025</v>
      </c>
      <c r="F3595" s="11">
        <v>0.23519999999999999</v>
      </c>
      <c r="G3595">
        <v>26.25</v>
      </c>
      <c r="H3595">
        <v>26.64</v>
      </c>
      <c r="I3595" s="2">
        <v>101551.82</v>
      </c>
      <c r="J3595" s="2">
        <v>102938.14</v>
      </c>
      <c r="K3595" s="2">
        <f>Table1[[#This Row],[Salary_after]]-Table1[[#This Row],[Salary_before]]</f>
        <v>1386.3199999999924</v>
      </c>
      <c r="L3595" s="11">
        <v>1.37E-2</v>
      </c>
      <c r="M3595" s="11">
        <v>7.1300000000000002E-2</v>
      </c>
      <c r="N3595">
        <v>20.98</v>
      </c>
      <c r="O3595">
        <v>54.58</v>
      </c>
      <c r="P3595">
        <v>1</v>
      </c>
      <c r="Q3595" t="s">
        <v>21</v>
      </c>
      <c r="R3595">
        <v>25.08</v>
      </c>
      <c r="S3595">
        <v>1.37</v>
      </c>
      <c r="T3595" s="4">
        <v>17.811</v>
      </c>
      <c r="U3595" s="4">
        <v>12.8372159999999</v>
      </c>
      <c r="V3595" t="str">
        <f>IF(Table1[[#This Row],[ai_disruption_intensity]]&gt;70,"High",
IF(Table1[[#This Row],[ai_disruption_intensity]]&gt;40,"Medium","Low"))</f>
        <v>Low</v>
      </c>
      <c r="W3595" t="str">
        <f>IF(Table1[[#This Row],[skill_gap_index]]&gt;70,"Large Gap",
IF(Table1[[#This Row],[skill_gap_index]]&gt;40,"Medium Gap","Small Gap"))</f>
        <v>Small Gap</v>
      </c>
      <c r="X3595" s="3" t="str">
        <f>IF(Table1[[#This Row],[automation_risk_percent]]&gt;0.7,"Highly Automatable",
IF(Table1[[#This Row],[automation_risk_percent]]&gt;0.4,"Moderate Risk","Safe Job"))</f>
        <v>Safe Job</v>
      </c>
    </row>
    <row r="3596" spans="1:24" x14ac:dyDescent="0.3">
      <c r="A3596">
        <v>12527</v>
      </c>
      <c r="B3596" t="s">
        <v>29</v>
      </c>
      <c r="C3596" t="s">
        <v>23</v>
      </c>
      <c r="D3596" t="s">
        <v>35</v>
      </c>
      <c r="E3596" s="1">
        <v>2026</v>
      </c>
      <c r="F3596" s="11">
        <v>0.27860000000000001</v>
      </c>
      <c r="G3596">
        <v>27.71</v>
      </c>
      <c r="H3596">
        <v>51.11</v>
      </c>
      <c r="I3596" s="2">
        <v>46135.6</v>
      </c>
      <c r="J3596" s="2">
        <v>43417.18</v>
      </c>
      <c r="K3596" s="2">
        <f>Table1[[#This Row],[Salary_after]]-Table1[[#This Row],[Salary_before]]</f>
        <v>-2718.4199999999983</v>
      </c>
      <c r="L3596" s="11">
        <v>-5.8899999999999994E-2</v>
      </c>
      <c r="M3596" s="11">
        <v>-4.7100000000000003E-2</v>
      </c>
      <c r="N3596">
        <v>36.79</v>
      </c>
      <c r="O3596">
        <v>65.760000000000005</v>
      </c>
      <c r="P3596">
        <v>4</v>
      </c>
      <c r="Q3596" t="s">
        <v>21</v>
      </c>
      <c r="R3596">
        <v>39.484999999999999</v>
      </c>
      <c r="S3596">
        <v>5.89</v>
      </c>
      <c r="T3596" s="4">
        <v>28.2439999999999</v>
      </c>
      <c r="U3596" s="4">
        <v>18.320736</v>
      </c>
      <c r="V3596" t="str">
        <f>IF(Table1[[#This Row],[ai_disruption_intensity]]&gt;70,"High",
IF(Table1[[#This Row],[ai_disruption_intensity]]&gt;40,"Medium","Low"))</f>
        <v>Low</v>
      </c>
      <c r="W3596" t="str">
        <f>IF(Table1[[#This Row],[skill_gap_index]]&gt;70,"Large Gap",
IF(Table1[[#This Row],[skill_gap_index]]&gt;40,"Medium Gap","Small Gap"))</f>
        <v>Medium Gap</v>
      </c>
      <c r="X3596" s="3" t="str">
        <f>IF(Table1[[#This Row],[automation_risk_percent]]&gt;0.7,"Highly Automatable",
IF(Table1[[#This Row],[automation_risk_percent]]&gt;0.4,"Moderate Risk","Safe Job"))</f>
        <v>Safe Job</v>
      </c>
    </row>
    <row r="3597" spans="1:24" x14ac:dyDescent="0.3">
      <c r="A3597">
        <v>12530</v>
      </c>
      <c r="B3597" t="s">
        <v>46</v>
      </c>
      <c r="C3597" t="s">
        <v>23</v>
      </c>
      <c r="D3597" t="s">
        <v>28</v>
      </c>
      <c r="E3597" s="1">
        <v>2026</v>
      </c>
      <c r="F3597" s="11">
        <v>0.56530000000000002</v>
      </c>
      <c r="G3597">
        <v>64.94</v>
      </c>
      <c r="H3597">
        <v>84.16</v>
      </c>
      <c r="I3597" s="2">
        <v>130822.35</v>
      </c>
      <c r="J3597" s="2">
        <v>117779.49</v>
      </c>
      <c r="K3597" s="2">
        <f>Table1[[#This Row],[Salary_after]]-Table1[[#This Row],[Salary_before]]</f>
        <v>-13042.86</v>
      </c>
      <c r="L3597" s="11">
        <v>-9.9700000000000011E-2</v>
      </c>
      <c r="M3597" s="11">
        <v>-0.1118</v>
      </c>
      <c r="N3597">
        <v>38.53</v>
      </c>
      <c r="O3597">
        <v>15.46</v>
      </c>
      <c r="P3597">
        <v>4</v>
      </c>
      <c r="Q3597" t="s">
        <v>25</v>
      </c>
      <c r="R3597">
        <v>70.344999999999999</v>
      </c>
      <c r="S3597">
        <v>9.9700000000000006</v>
      </c>
      <c r="T3597" s="4">
        <v>50.850999999999999</v>
      </c>
      <c r="U3597" s="4">
        <v>8.7395379999999996</v>
      </c>
      <c r="V3597" t="str">
        <f>IF(Table1[[#This Row],[ai_disruption_intensity]]&gt;70,"High",
IF(Table1[[#This Row],[ai_disruption_intensity]]&gt;40,"Medium","Low"))</f>
        <v>Low</v>
      </c>
      <c r="W3597" t="str">
        <f>IF(Table1[[#This Row],[skill_gap_index]]&gt;70,"Large Gap",
IF(Table1[[#This Row],[skill_gap_index]]&gt;40,"Medium Gap","Small Gap"))</f>
        <v>Large Gap</v>
      </c>
      <c r="X3597" s="3" t="str">
        <f>IF(Table1[[#This Row],[automation_risk_percent]]&gt;0.7,"Highly Automatable",
IF(Table1[[#This Row],[automation_risk_percent]]&gt;0.4,"Moderate Risk","Safe Job"))</f>
        <v>Moderate Risk</v>
      </c>
    </row>
    <row r="3598" spans="1:24" x14ac:dyDescent="0.3">
      <c r="A3598">
        <v>12534</v>
      </c>
      <c r="B3598" t="s">
        <v>45</v>
      </c>
      <c r="C3598" t="s">
        <v>34</v>
      </c>
      <c r="D3598" t="s">
        <v>42</v>
      </c>
      <c r="E3598" s="1">
        <v>2026</v>
      </c>
      <c r="F3598" s="11">
        <v>0.32679999999999998</v>
      </c>
      <c r="G3598">
        <v>38.590000000000003</v>
      </c>
      <c r="H3598">
        <v>77.12</v>
      </c>
      <c r="I3598" s="2">
        <v>54892.2</v>
      </c>
      <c r="J3598" s="2">
        <v>65851.850000000006</v>
      </c>
      <c r="K3598" s="2">
        <f>Table1[[#This Row],[Salary_after]]-Table1[[#This Row],[Salary_before]]</f>
        <v>10959.650000000009</v>
      </c>
      <c r="L3598" s="11">
        <v>0.19969999999999999</v>
      </c>
      <c r="M3598" s="11">
        <v>9.7100000000000006E-2</v>
      </c>
      <c r="N3598">
        <v>62.14</v>
      </c>
      <c r="O3598">
        <v>91.67</v>
      </c>
      <c r="P3598">
        <v>1</v>
      </c>
      <c r="Q3598" t="s">
        <v>25</v>
      </c>
      <c r="R3598">
        <v>54.9</v>
      </c>
      <c r="S3598">
        <v>19.97</v>
      </c>
      <c r="T3598" s="4">
        <v>42.198999999999998</v>
      </c>
      <c r="U3598" s="4">
        <v>29.957756</v>
      </c>
      <c r="V3598" t="str">
        <f>IF(Table1[[#This Row],[ai_disruption_intensity]]&gt;70,"High",
IF(Table1[[#This Row],[ai_disruption_intensity]]&gt;40,"Medium","Low"))</f>
        <v>Low</v>
      </c>
      <c r="W3598" t="str">
        <f>IF(Table1[[#This Row],[skill_gap_index]]&gt;70,"Large Gap",
IF(Table1[[#This Row],[skill_gap_index]]&gt;40,"Medium Gap","Small Gap"))</f>
        <v>Large Gap</v>
      </c>
      <c r="X3598" s="3" t="str">
        <f>IF(Table1[[#This Row],[automation_risk_percent]]&gt;0.7,"Highly Automatable",
IF(Table1[[#This Row],[automation_risk_percent]]&gt;0.4,"Moderate Risk","Safe Job"))</f>
        <v>Safe Job</v>
      </c>
    </row>
    <row r="3599" spans="1:24" x14ac:dyDescent="0.3">
      <c r="A3599">
        <v>12536</v>
      </c>
      <c r="B3599" t="s">
        <v>29</v>
      </c>
      <c r="C3599" t="s">
        <v>30</v>
      </c>
      <c r="D3599" t="s">
        <v>47</v>
      </c>
      <c r="E3599" s="1">
        <v>2025</v>
      </c>
      <c r="F3599" s="11">
        <v>0.48630000000000001</v>
      </c>
      <c r="G3599">
        <v>51.73</v>
      </c>
      <c r="H3599">
        <v>15.08</v>
      </c>
      <c r="I3599" s="2">
        <v>126119.42</v>
      </c>
      <c r="J3599" s="2">
        <v>105859.46</v>
      </c>
      <c r="K3599" s="2">
        <f>Table1[[#This Row],[Salary_after]]-Table1[[#This Row],[Salary_before]]</f>
        <v>-20259.959999999992</v>
      </c>
      <c r="L3599" s="11">
        <v>-0.16059999999999999</v>
      </c>
      <c r="M3599" s="11">
        <v>6.1699999999999998E-2</v>
      </c>
      <c r="N3599">
        <v>22.69</v>
      </c>
      <c r="O3599">
        <v>24.57</v>
      </c>
      <c r="P3599">
        <v>3</v>
      </c>
      <c r="Q3599" t="s">
        <v>25</v>
      </c>
      <c r="R3599">
        <v>31.855</v>
      </c>
      <c r="S3599">
        <v>16.059999999999999</v>
      </c>
      <c r="T3599" s="4">
        <v>28.794</v>
      </c>
      <c r="U3599" s="4">
        <v>11.948391000000001</v>
      </c>
      <c r="V3599" t="str">
        <f>IF(Table1[[#This Row],[ai_disruption_intensity]]&gt;70,"High",
IF(Table1[[#This Row],[ai_disruption_intensity]]&gt;40,"Medium","Low"))</f>
        <v>Low</v>
      </c>
      <c r="W3599" t="str">
        <f>IF(Table1[[#This Row],[skill_gap_index]]&gt;70,"Large Gap",
IF(Table1[[#This Row],[skill_gap_index]]&gt;40,"Medium Gap","Small Gap"))</f>
        <v>Small Gap</v>
      </c>
      <c r="X3599" s="3" t="str">
        <f>IF(Table1[[#This Row],[automation_risk_percent]]&gt;0.7,"Highly Automatable",
IF(Table1[[#This Row],[automation_risk_percent]]&gt;0.4,"Moderate Risk","Safe Job"))</f>
        <v>Moderate Risk</v>
      </c>
    </row>
    <row r="3600" spans="1:24" x14ac:dyDescent="0.3">
      <c r="A3600">
        <v>12538</v>
      </c>
      <c r="B3600" t="s">
        <v>18</v>
      </c>
      <c r="C3600" t="s">
        <v>40</v>
      </c>
      <c r="D3600" t="s">
        <v>35</v>
      </c>
      <c r="E3600" s="1">
        <v>2026</v>
      </c>
      <c r="F3600" s="11">
        <v>0.37189999999999995</v>
      </c>
      <c r="G3600">
        <v>33.33</v>
      </c>
      <c r="H3600">
        <v>99.6</v>
      </c>
      <c r="I3600" s="2">
        <v>44703.33</v>
      </c>
      <c r="J3600" s="2">
        <v>47505.57</v>
      </c>
      <c r="K3600" s="2">
        <f>Table1[[#This Row],[Salary_after]]-Table1[[#This Row],[Salary_before]]</f>
        <v>2802.239999999998</v>
      </c>
      <c r="L3600" s="11">
        <v>6.2699999999999992E-2</v>
      </c>
      <c r="M3600" s="11">
        <v>2.2400000000000003E-2</v>
      </c>
      <c r="N3600">
        <v>52.81</v>
      </c>
      <c r="O3600">
        <v>92.58</v>
      </c>
      <c r="P3600">
        <v>4</v>
      </c>
      <c r="Q3600" t="s">
        <v>25</v>
      </c>
      <c r="R3600">
        <v>68.394999999999996</v>
      </c>
      <c r="S3600">
        <v>6.27</v>
      </c>
      <c r="T3600" s="4">
        <v>46.636999999999901</v>
      </c>
      <c r="U3600" s="4">
        <v>34.430501999999997</v>
      </c>
      <c r="V3600" t="str">
        <f>IF(Table1[[#This Row],[ai_disruption_intensity]]&gt;70,"High",
IF(Table1[[#This Row],[ai_disruption_intensity]]&gt;40,"Medium","Low"))</f>
        <v>Low</v>
      </c>
      <c r="W3600" t="str">
        <f>IF(Table1[[#This Row],[skill_gap_index]]&gt;70,"Large Gap",
IF(Table1[[#This Row],[skill_gap_index]]&gt;40,"Medium Gap","Small Gap"))</f>
        <v>Large Gap</v>
      </c>
      <c r="X3600" s="3" t="str">
        <f>IF(Table1[[#This Row],[automation_risk_percent]]&gt;0.7,"Highly Automatable",
IF(Table1[[#This Row],[automation_risk_percent]]&gt;0.4,"Moderate Risk","Safe Job"))</f>
        <v>Safe Job</v>
      </c>
    </row>
    <row r="3601" spans="1:24" x14ac:dyDescent="0.3">
      <c r="A3601">
        <v>12539</v>
      </c>
      <c r="B3601" t="s">
        <v>46</v>
      </c>
      <c r="C3601" t="s">
        <v>19</v>
      </c>
      <c r="D3601" t="s">
        <v>28</v>
      </c>
      <c r="E3601" s="1">
        <v>2025</v>
      </c>
      <c r="F3601" s="11">
        <v>0.1691</v>
      </c>
      <c r="G3601">
        <v>16.28</v>
      </c>
      <c r="H3601">
        <v>5.17</v>
      </c>
      <c r="I3601" s="2">
        <v>84512.21</v>
      </c>
      <c r="J3601" s="2">
        <v>92924.83</v>
      </c>
      <c r="K3601" s="2">
        <f>Table1[[#This Row],[Salary_after]]-Table1[[#This Row],[Salary_before]]</f>
        <v>8412.6199999999953</v>
      </c>
      <c r="L3601" s="11">
        <v>9.9499999999999991E-2</v>
      </c>
      <c r="M3601" s="11">
        <v>0.14550000000000002</v>
      </c>
      <c r="N3601">
        <v>48.5</v>
      </c>
      <c r="O3601">
        <v>1.3</v>
      </c>
      <c r="P3601">
        <v>4</v>
      </c>
      <c r="Q3601" t="s">
        <v>21</v>
      </c>
      <c r="R3601">
        <v>11.04</v>
      </c>
      <c r="S3601">
        <v>9.9499999999999993</v>
      </c>
      <c r="T3601" s="4">
        <v>11.299999999999899</v>
      </c>
      <c r="U3601" s="4">
        <v>0.21983</v>
      </c>
      <c r="V3601" t="str">
        <f>IF(Table1[[#This Row],[ai_disruption_intensity]]&gt;70,"High",
IF(Table1[[#This Row],[ai_disruption_intensity]]&gt;40,"Medium","Low"))</f>
        <v>Low</v>
      </c>
      <c r="W3601" t="str">
        <f>IF(Table1[[#This Row],[skill_gap_index]]&gt;70,"Large Gap",
IF(Table1[[#This Row],[skill_gap_index]]&gt;40,"Medium Gap","Small Gap"))</f>
        <v>Small Gap</v>
      </c>
      <c r="X3601" s="3" t="str">
        <f>IF(Table1[[#This Row],[automation_risk_percent]]&gt;0.7,"Highly Automatable",
IF(Table1[[#This Row],[automation_risk_percent]]&gt;0.4,"Moderate Risk","Safe Job"))</f>
        <v>Safe Job</v>
      </c>
    </row>
    <row r="3602" spans="1:24" x14ac:dyDescent="0.3">
      <c r="A3602">
        <v>12540</v>
      </c>
      <c r="B3602" t="s">
        <v>41</v>
      </c>
      <c r="C3602" t="s">
        <v>30</v>
      </c>
      <c r="D3602" t="s">
        <v>31</v>
      </c>
      <c r="E3602" s="1">
        <v>2025</v>
      </c>
      <c r="F3602" s="11">
        <v>0.3417</v>
      </c>
      <c r="G3602">
        <v>30.64</v>
      </c>
      <c r="H3602">
        <v>1.65</v>
      </c>
      <c r="I3602" s="2">
        <v>56042.400000000001</v>
      </c>
      <c r="J3602" s="2">
        <v>50043.14</v>
      </c>
      <c r="K3602" s="2">
        <f>Table1[[#This Row],[Salary_after]]-Table1[[#This Row],[Salary_before]]</f>
        <v>-5999.260000000002</v>
      </c>
      <c r="L3602" s="11">
        <v>-0.107</v>
      </c>
      <c r="M3602" s="11">
        <v>5.6799999999999996E-2</v>
      </c>
      <c r="N3602">
        <v>87.97</v>
      </c>
      <c r="O3602">
        <v>6</v>
      </c>
      <c r="P3602">
        <v>4</v>
      </c>
      <c r="Q3602" t="s">
        <v>25</v>
      </c>
      <c r="R3602">
        <v>17.91</v>
      </c>
      <c r="S3602">
        <v>10.7</v>
      </c>
      <c r="T3602" s="4">
        <v>17.373000000000001</v>
      </c>
      <c r="U3602" s="4">
        <v>2.0501999999999998</v>
      </c>
      <c r="V3602" t="str">
        <f>IF(Table1[[#This Row],[ai_disruption_intensity]]&gt;70,"High",
IF(Table1[[#This Row],[ai_disruption_intensity]]&gt;40,"Medium","Low"))</f>
        <v>Low</v>
      </c>
      <c r="W3602" t="str">
        <f>IF(Table1[[#This Row],[skill_gap_index]]&gt;70,"Large Gap",
IF(Table1[[#This Row],[skill_gap_index]]&gt;40,"Medium Gap","Small Gap"))</f>
        <v>Small Gap</v>
      </c>
      <c r="X3602" s="3" t="str">
        <f>IF(Table1[[#This Row],[automation_risk_percent]]&gt;0.7,"Highly Automatable",
IF(Table1[[#This Row],[automation_risk_percent]]&gt;0.4,"Moderate Risk","Safe Job"))</f>
        <v>Safe Job</v>
      </c>
    </row>
    <row r="3603" spans="1:24" x14ac:dyDescent="0.3">
      <c r="A3603">
        <v>12541</v>
      </c>
      <c r="B3603" t="s">
        <v>44</v>
      </c>
      <c r="C3603" t="s">
        <v>19</v>
      </c>
      <c r="D3603" t="s">
        <v>28</v>
      </c>
      <c r="E3603" s="1">
        <v>2025</v>
      </c>
      <c r="F3603" s="11">
        <v>0.6431</v>
      </c>
      <c r="G3603">
        <v>62.93</v>
      </c>
      <c r="H3603">
        <v>61.28</v>
      </c>
      <c r="I3603" s="2">
        <v>88015.6</v>
      </c>
      <c r="J3603" s="2">
        <v>103923.99</v>
      </c>
      <c r="K3603" s="2">
        <f>Table1[[#This Row],[Salary_after]]-Table1[[#This Row],[Salary_before]]</f>
        <v>15908.39</v>
      </c>
      <c r="L3603" s="11">
        <v>0.1807</v>
      </c>
      <c r="M3603" s="11">
        <v>-2.2000000000000002E-2</v>
      </c>
      <c r="N3603">
        <v>30.44</v>
      </c>
      <c r="O3603">
        <v>48.68</v>
      </c>
      <c r="P3603">
        <v>3</v>
      </c>
      <c r="Q3603" t="s">
        <v>37</v>
      </c>
      <c r="R3603">
        <v>62.795000000000002</v>
      </c>
      <c r="S3603">
        <v>18.07</v>
      </c>
      <c r="T3603" s="4">
        <v>49.529000000000003</v>
      </c>
      <c r="U3603" s="4">
        <v>31.306107999999998</v>
      </c>
      <c r="V3603" t="str">
        <f>IF(Table1[[#This Row],[ai_disruption_intensity]]&gt;70,"High",
IF(Table1[[#This Row],[ai_disruption_intensity]]&gt;40,"Medium","Low"))</f>
        <v>Low</v>
      </c>
      <c r="W3603" t="str">
        <f>IF(Table1[[#This Row],[skill_gap_index]]&gt;70,"Large Gap",
IF(Table1[[#This Row],[skill_gap_index]]&gt;40,"Medium Gap","Small Gap"))</f>
        <v>Medium Gap</v>
      </c>
      <c r="X3603" s="3" t="str">
        <f>IF(Table1[[#This Row],[automation_risk_percent]]&gt;0.7,"Highly Automatable",
IF(Table1[[#This Row],[automation_risk_percent]]&gt;0.4,"Moderate Risk","Safe Job"))</f>
        <v>Moderate Risk</v>
      </c>
    </row>
    <row r="3604" spans="1:24" x14ac:dyDescent="0.3">
      <c r="A3604">
        <v>12544</v>
      </c>
      <c r="B3604" t="s">
        <v>26</v>
      </c>
      <c r="C3604" t="s">
        <v>38</v>
      </c>
      <c r="D3604" t="s">
        <v>32</v>
      </c>
      <c r="E3604" s="1">
        <v>2025</v>
      </c>
      <c r="F3604" s="11">
        <v>0.64760000000000006</v>
      </c>
      <c r="G3604">
        <v>52.16</v>
      </c>
      <c r="H3604">
        <v>12.84</v>
      </c>
      <c r="I3604" s="2">
        <v>33249.51</v>
      </c>
      <c r="J3604" s="2">
        <v>31708.49</v>
      </c>
      <c r="K3604" s="2">
        <f>Table1[[#This Row],[Salary_after]]-Table1[[#This Row],[Salary_before]]</f>
        <v>-1541.0200000000004</v>
      </c>
      <c r="L3604" s="11">
        <v>-4.6300000000000001E-2</v>
      </c>
      <c r="M3604" s="11">
        <v>8.3000000000000004E-2</v>
      </c>
      <c r="N3604">
        <v>61.67</v>
      </c>
      <c r="O3604">
        <v>77.790000000000006</v>
      </c>
      <c r="P3604">
        <v>4</v>
      </c>
      <c r="Q3604" t="s">
        <v>37</v>
      </c>
      <c r="R3604">
        <v>38.799999999999997</v>
      </c>
      <c r="S3604">
        <v>4.63</v>
      </c>
      <c r="T3604" s="4">
        <v>31.145</v>
      </c>
      <c r="U3604" s="4">
        <v>50.376804</v>
      </c>
      <c r="V3604" t="str">
        <f>IF(Table1[[#This Row],[ai_disruption_intensity]]&gt;70,"High",
IF(Table1[[#This Row],[ai_disruption_intensity]]&gt;40,"Medium","Low"))</f>
        <v>Medium</v>
      </c>
      <c r="W3604" t="str">
        <f>IF(Table1[[#This Row],[skill_gap_index]]&gt;70,"Large Gap",
IF(Table1[[#This Row],[skill_gap_index]]&gt;40,"Medium Gap","Small Gap"))</f>
        <v>Small Gap</v>
      </c>
      <c r="X3604" s="3" t="str">
        <f>IF(Table1[[#This Row],[automation_risk_percent]]&gt;0.7,"Highly Automatable",
IF(Table1[[#This Row],[automation_risk_percent]]&gt;0.4,"Moderate Risk","Safe Job"))</f>
        <v>Moderate Risk</v>
      </c>
    </row>
    <row r="3605" spans="1:24" x14ac:dyDescent="0.3">
      <c r="A3605">
        <v>12556</v>
      </c>
      <c r="B3605" t="s">
        <v>22</v>
      </c>
      <c r="C3605" t="s">
        <v>30</v>
      </c>
      <c r="D3605" t="s">
        <v>42</v>
      </c>
      <c r="E3605" s="1">
        <v>2025</v>
      </c>
      <c r="F3605" s="11">
        <v>0.59719999999999995</v>
      </c>
      <c r="G3605">
        <v>60.92</v>
      </c>
      <c r="H3605">
        <v>98.62</v>
      </c>
      <c r="I3605" s="2">
        <v>113757.91</v>
      </c>
      <c r="J3605" s="2">
        <v>109991.93</v>
      </c>
      <c r="K3605" s="2">
        <f>Table1[[#This Row],[Salary_after]]-Table1[[#This Row],[Salary_before]]</f>
        <v>-3765.9800000000105</v>
      </c>
      <c r="L3605" s="11">
        <v>-3.3099999999999997E-2</v>
      </c>
      <c r="M3605" s="11">
        <v>0.18109999999999998</v>
      </c>
      <c r="N3605">
        <v>96.22</v>
      </c>
      <c r="O3605">
        <v>44.84</v>
      </c>
      <c r="P3605">
        <v>3</v>
      </c>
      <c r="Q3605" t="s">
        <v>25</v>
      </c>
      <c r="R3605">
        <v>79.17</v>
      </c>
      <c r="S3605">
        <v>3.31</v>
      </c>
      <c r="T3605" s="4">
        <v>54.466999999999999</v>
      </c>
      <c r="U3605" s="4">
        <v>26.778448000000001</v>
      </c>
      <c r="V3605" t="str">
        <f>IF(Table1[[#This Row],[ai_disruption_intensity]]&gt;70,"High",
IF(Table1[[#This Row],[ai_disruption_intensity]]&gt;40,"Medium","Low"))</f>
        <v>Low</v>
      </c>
      <c r="W3605" t="str">
        <f>IF(Table1[[#This Row],[skill_gap_index]]&gt;70,"Large Gap",
IF(Table1[[#This Row],[skill_gap_index]]&gt;40,"Medium Gap","Small Gap"))</f>
        <v>Large Gap</v>
      </c>
      <c r="X3605" s="3" t="str">
        <f>IF(Table1[[#This Row],[automation_risk_percent]]&gt;0.7,"Highly Automatable",
IF(Table1[[#This Row],[automation_risk_percent]]&gt;0.4,"Moderate Risk","Safe Job"))</f>
        <v>Moderate Risk</v>
      </c>
    </row>
    <row r="3606" spans="1:24" x14ac:dyDescent="0.3">
      <c r="A3606">
        <v>12557</v>
      </c>
      <c r="B3606" t="s">
        <v>26</v>
      </c>
      <c r="C3606" t="s">
        <v>19</v>
      </c>
      <c r="D3606" t="s">
        <v>36</v>
      </c>
      <c r="E3606" s="1">
        <v>2026</v>
      </c>
      <c r="F3606" s="11">
        <v>0.24230000000000002</v>
      </c>
      <c r="G3606">
        <v>28.49</v>
      </c>
      <c r="H3606">
        <v>37.71</v>
      </c>
      <c r="I3606" s="2">
        <v>73872.73</v>
      </c>
      <c r="J3606" s="2">
        <v>82445.19</v>
      </c>
      <c r="K3606" s="2">
        <f>Table1[[#This Row],[Salary_after]]-Table1[[#This Row],[Salary_before]]</f>
        <v>8572.4600000000064</v>
      </c>
      <c r="L3606" s="11">
        <v>0.11599999999999999</v>
      </c>
      <c r="M3606" s="11">
        <v>6.8699999999999997E-2</v>
      </c>
      <c r="N3606">
        <v>39.71</v>
      </c>
      <c r="O3606">
        <v>82.95</v>
      </c>
      <c r="P3606">
        <v>3</v>
      </c>
      <c r="Q3606" t="s">
        <v>21</v>
      </c>
      <c r="R3606">
        <v>30.97</v>
      </c>
      <c r="S3606">
        <v>11.6</v>
      </c>
      <c r="T3606" s="4">
        <v>24.484999999999999</v>
      </c>
      <c r="U3606" s="4">
        <v>20.098784999999999</v>
      </c>
      <c r="V3606" t="str">
        <f>IF(Table1[[#This Row],[ai_disruption_intensity]]&gt;70,"High",
IF(Table1[[#This Row],[ai_disruption_intensity]]&gt;40,"Medium","Low"))</f>
        <v>Low</v>
      </c>
      <c r="W3606" t="str">
        <f>IF(Table1[[#This Row],[skill_gap_index]]&gt;70,"Large Gap",
IF(Table1[[#This Row],[skill_gap_index]]&gt;40,"Medium Gap","Small Gap"))</f>
        <v>Small Gap</v>
      </c>
      <c r="X3606" s="3" t="str">
        <f>IF(Table1[[#This Row],[automation_risk_percent]]&gt;0.7,"Highly Automatable",
IF(Table1[[#This Row],[automation_risk_percent]]&gt;0.4,"Moderate Risk","Safe Job"))</f>
        <v>Safe Job</v>
      </c>
    </row>
    <row r="3607" spans="1:24" x14ac:dyDescent="0.3">
      <c r="A3607">
        <v>12560</v>
      </c>
      <c r="B3607" t="s">
        <v>26</v>
      </c>
      <c r="C3607" t="s">
        <v>38</v>
      </c>
      <c r="D3607" t="s">
        <v>35</v>
      </c>
      <c r="E3607" s="1">
        <v>2025</v>
      </c>
      <c r="F3607" s="11">
        <v>0.2288</v>
      </c>
      <c r="G3607">
        <v>26.4</v>
      </c>
      <c r="H3607">
        <v>87.72</v>
      </c>
      <c r="I3607" s="2">
        <v>48485.14</v>
      </c>
      <c r="J3607" s="2">
        <v>45944.65</v>
      </c>
      <c r="K3607" s="2">
        <f>Table1[[#This Row],[Salary_after]]-Table1[[#This Row],[Salary_before]]</f>
        <v>-2540.489999999998</v>
      </c>
      <c r="L3607" s="11">
        <v>-5.2400000000000002E-2</v>
      </c>
      <c r="M3607" s="11">
        <v>1.3899999999999999E-2</v>
      </c>
      <c r="N3607">
        <v>35.92</v>
      </c>
      <c r="O3607">
        <v>52.38</v>
      </c>
      <c r="P3607">
        <v>5</v>
      </c>
      <c r="Q3607" t="s">
        <v>21</v>
      </c>
      <c r="R3607">
        <v>55.3</v>
      </c>
      <c r="S3607">
        <v>5.24</v>
      </c>
      <c r="T3607" s="4">
        <v>37.04</v>
      </c>
      <c r="U3607" s="4">
        <v>11.984544</v>
      </c>
      <c r="V3607" t="str">
        <f>IF(Table1[[#This Row],[ai_disruption_intensity]]&gt;70,"High",
IF(Table1[[#This Row],[ai_disruption_intensity]]&gt;40,"Medium","Low"))</f>
        <v>Low</v>
      </c>
      <c r="W3607" t="str">
        <f>IF(Table1[[#This Row],[skill_gap_index]]&gt;70,"Large Gap",
IF(Table1[[#This Row],[skill_gap_index]]&gt;40,"Medium Gap","Small Gap"))</f>
        <v>Large Gap</v>
      </c>
      <c r="X3607" s="3" t="str">
        <f>IF(Table1[[#This Row],[automation_risk_percent]]&gt;0.7,"Highly Automatable",
IF(Table1[[#This Row],[automation_risk_percent]]&gt;0.4,"Moderate Risk","Safe Job"))</f>
        <v>Safe Job</v>
      </c>
    </row>
    <row r="3608" spans="1:24" x14ac:dyDescent="0.3">
      <c r="A3608">
        <v>12568</v>
      </c>
      <c r="B3608" t="s">
        <v>43</v>
      </c>
      <c r="C3608" t="s">
        <v>38</v>
      </c>
      <c r="D3608" t="s">
        <v>36</v>
      </c>
      <c r="E3608" s="1">
        <v>2026</v>
      </c>
      <c r="F3608" s="11">
        <v>0.67230000000000001</v>
      </c>
      <c r="G3608">
        <v>75.12</v>
      </c>
      <c r="H3608">
        <v>98.12</v>
      </c>
      <c r="I3608" s="2">
        <v>61111.97</v>
      </c>
      <c r="J3608" s="2">
        <v>61367.48</v>
      </c>
      <c r="K3608" s="2">
        <f>Table1[[#This Row],[Salary_after]]-Table1[[#This Row],[Salary_before]]</f>
        <v>255.51000000000204</v>
      </c>
      <c r="L3608" s="11">
        <v>4.1999999999999997E-3</v>
      </c>
      <c r="M3608" s="11">
        <v>-2.8900000000000002E-2</v>
      </c>
      <c r="N3608">
        <v>96.7</v>
      </c>
      <c r="O3608">
        <v>20.22</v>
      </c>
      <c r="P3608">
        <v>4</v>
      </c>
      <c r="Q3608" t="s">
        <v>37</v>
      </c>
      <c r="R3608">
        <v>82.674999999999997</v>
      </c>
      <c r="S3608">
        <v>0.42</v>
      </c>
      <c r="T3608" s="4">
        <v>56.454000000000001</v>
      </c>
      <c r="U3608" s="4">
        <v>13.593905999999899</v>
      </c>
      <c r="V3608" t="str">
        <f>IF(Table1[[#This Row],[ai_disruption_intensity]]&gt;70,"High",
IF(Table1[[#This Row],[ai_disruption_intensity]]&gt;40,"Medium","Low"))</f>
        <v>Low</v>
      </c>
      <c r="W3608" t="str">
        <f>IF(Table1[[#This Row],[skill_gap_index]]&gt;70,"Large Gap",
IF(Table1[[#This Row],[skill_gap_index]]&gt;40,"Medium Gap","Small Gap"))</f>
        <v>Large Gap</v>
      </c>
      <c r="X3608" s="3" t="str">
        <f>IF(Table1[[#This Row],[automation_risk_percent]]&gt;0.7,"Highly Automatable",
IF(Table1[[#This Row],[automation_risk_percent]]&gt;0.4,"Moderate Risk","Safe Job"))</f>
        <v>Moderate Risk</v>
      </c>
    </row>
    <row r="3609" spans="1:24" x14ac:dyDescent="0.3">
      <c r="A3609">
        <v>12571</v>
      </c>
      <c r="B3609" t="s">
        <v>45</v>
      </c>
      <c r="C3609" t="s">
        <v>38</v>
      </c>
      <c r="D3609" t="s">
        <v>35</v>
      </c>
      <c r="E3609" s="1">
        <v>2026</v>
      </c>
      <c r="F3609" s="11">
        <v>0.47350000000000003</v>
      </c>
      <c r="G3609">
        <v>53.85</v>
      </c>
      <c r="H3609">
        <v>58.36</v>
      </c>
      <c r="I3609" s="2">
        <v>132149.81</v>
      </c>
      <c r="J3609" s="2">
        <v>159340.07999999999</v>
      </c>
      <c r="K3609" s="2">
        <f>Table1[[#This Row],[Salary_after]]-Table1[[#This Row],[Salary_before]]</f>
        <v>27190.26999999999</v>
      </c>
      <c r="L3609" s="11">
        <v>0.20579999999999998</v>
      </c>
      <c r="M3609" s="11">
        <v>1.6399999999999998E-2</v>
      </c>
      <c r="N3609">
        <v>15.16</v>
      </c>
      <c r="O3609">
        <v>43.78</v>
      </c>
      <c r="P3609">
        <v>5</v>
      </c>
      <c r="Q3609" t="s">
        <v>25</v>
      </c>
      <c r="R3609">
        <v>52.854999999999997</v>
      </c>
      <c r="S3609">
        <v>20.58</v>
      </c>
      <c r="T3609" s="4">
        <v>42.622</v>
      </c>
      <c r="U3609" s="4">
        <v>20.72983</v>
      </c>
      <c r="V3609" t="str">
        <f>IF(Table1[[#This Row],[ai_disruption_intensity]]&gt;70,"High",
IF(Table1[[#This Row],[ai_disruption_intensity]]&gt;40,"Medium","Low"))</f>
        <v>Low</v>
      </c>
      <c r="W3609" t="str">
        <f>IF(Table1[[#This Row],[skill_gap_index]]&gt;70,"Large Gap",
IF(Table1[[#This Row],[skill_gap_index]]&gt;40,"Medium Gap","Small Gap"))</f>
        <v>Medium Gap</v>
      </c>
      <c r="X3609" s="3" t="str">
        <f>IF(Table1[[#This Row],[automation_risk_percent]]&gt;0.7,"Highly Automatable",
IF(Table1[[#This Row],[automation_risk_percent]]&gt;0.4,"Moderate Risk","Safe Job"))</f>
        <v>Moderate Risk</v>
      </c>
    </row>
    <row r="3610" spans="1:24" x14ac:dyDescent="0.3">
      <c r="A3610">
        <v>12575</v>
      </c>
      <c r="B3610" t="s">
        <v>18</v>
      </c>
      <c r="C3610" t="s">
        <v>27</v>
      </c>
      <c r="D3610" t="s">
        <v>35</v>
      </c>
      <c r="E3610" s="1">
        <v>2025</v>
      </c>
      <c r="F3610" s="11">
        <v>0.62170000000000003</v>
      </c>
      <c r="G3610">
        <v>67.09</v>
      </c>
      <c r="H3610">
        <v>60.08</v>
      </c>
      <c r="I3610" s="2">
        <v>42917.67</v>
      </c>
      <c r="J3610" s="2">
        <v>44723.199999999997</v>
      </c>
      <c r="K3610" s="2">
        <f>Table1[[#This Row],[Salary_after]]-Table1[[#This Row],[Salary_before]]</f>
        <v>1805.5299999999988</v>
      </c>
      <c r="L3610" s="11">
        <v>4.2099999999999999E-2</v>
      </c>
      <c r="M3610" s="11">
        <v>0.28289999999999998</v>
      </c>
      <c r="N3610">
        <v>59.19</v>
      </c>
      <c r="O3610">
        <v>38.56</v>
      </c>
      <c r="P3610">
        <v>4</v>
      </c>
      <c r="Q3610" t="s">
        <v>37</v>
      </c>
      <c r="R3610">
        <v>61.125</v>
      </c>
      <c r="S3610">
        <v>4.21</v>
      </c>
      <c r="T3610" s="4">
        <v>44.154999999999902</v>
      </c>
      <c r="U3610" s="4">
        <v>23.972752</v>
      </c>
      <c r="V3610" t="str">
        <f>IF(Table1[[#This Row],[ai_disruption_intensity]]&gt;70,"High",
IF(Table1[[#This Row],[ai_disruption_intensity]]&gt;40,"Medium","Low"))</f>
        <v>Low</v>
      </c>
      <c r="W3610" t="str">
        <f>IF(Table1[[#This Row],[skill_gap_index]]&gt;70,"Large Gap",
IF(Table1[[#This Row],[skill_gap_index]]&gt;40,"Medium Gap","Small Gap"))</f>
        <v>Medium Gap</v>
      </c>
      <c r="X3610" s="3" t="str">
        <f>IF(Table1[[#This Row],[automation_risk_percent]]&gt;0.7,"Highly Automatable",
IF(Table1[[#This Row],[automation_risk_percent]]&gt;0.4,"Moderate Risk","Safe Job"))</f>
        <v>Moderate Risk</v>
      </c>
    </row>
    <row r="3611" spans="1:24" x14ac:dyDescent="0.3">
      <c r="A3611">
        <v>12579</v>
      </c>
      <c r="B3611" t="s">
        <v>29</v>
      </c>
      <c r="C3611" t="s">
        <v>19</v>
      </c>
      <c r="D3611" t="s">
        <v>42</v>
      </c>
      <c r="E3611" s="1">
        <v>2025</v>
      </c>
      <c r="F3611" s="11">
        <v>0.34470000000000001</v>
      </c>
      <c r="G3611">
        <v>31.51</v>
      </c>
      <c r="H3611">
        <v>58.02</v>
      </c>
      <c r="I3611" s="2">
        <v>57037.91</v>
      </c>
      <c r="J3611" s="2">
        <v>68042.92</v>
      </c>
      <c r="K3611" s="2">
        <f>Table1[[#This Row],[Salary_after]]-Table1[[#This Row],[Salary_before]]</f>
        <v>11005.009999999995</v>
      </c>
      <c r="L3611" s="11">
        <v>0.19289999999999999</v>
      </c>
      <c r="M3611" s="11">
        <v>1.9900000000000001E-2</v>
      </c>
      <c r="N3611">
        <v>65.02</v>
      </c>
      <c r="O3611">
        <v>76.41</v>
      </c>
      <c r="P3611">
        <v>1</v>
      </c>
      <c r="Q3611" t="s">
        <v>25</v>
      </c>
      <c r="R3611">
        <v>46.244999999999997</v>
      </c>
      <c r="S3611">
        <v>19.29</v>
      </c>
      <c r="T3611" s="4">
        <v>36.981000000000002</v>
      </c>
      <c r="U3611" s="4">
        <v>26.338526999999999</v>
      </c>
      <c r="V3611" t="str">
        <f>IF(Table1[[#This Row],[ai_disruption_intensity]]&gt;70,"High",
IF(Table1[[#This Row],[ai_disruption_intensity]]&gt;40,"Medium","Low"))</f>
        <v>Low</v>
      </c>
      <c r="W3611" t="str">
        <f>IF(Table1[[#This Row],[skill_gap_index]]&gt;70,"Large Gap",
IF(Table1[[#This Row],[skill_gap_index]]&gt;40,"Medium Gap","Small Gap"))</f>
        <v>Medium Gap</v>
      </c>
      <c r="X3611" s="3" t="str">
        <f>IF(Table1[[#This Row],[automation_risk_percent]]&gt;0.7,"Highly Automatable",
IF(Table1[[#This Row],[automation_risk_percent]]&gt;0.4,"Moderate Risk","Safe Job"))</f>
        <v>Safe Job</v>
      </c>
    </row>
    <row r="3612" spans="1:24" x14ac:dyDescent="0.3">
      <c r="A3612">
        <v>12580</v>
      </c>
      <c r="B3612" t="s">
        <v>18</v>
      </c>
      <c r="C3612" t="s">
        <v>30</v>
      </c>
      <c r="D3612" t="s">
        <v>32</v>
      </c>
      <c r="E3612" s="1">
        <v>2025</v>
      </c>
      <c r="F3612" s="11">
        <v>0.58440000000000003</v>
      </c>
      <c r="G3612">
        <v>58.07</v>
      </c>
      <c r="H3612">
        <v>51.97</v>
      </c>
      <c r="I3612" s="2">
        <v>61765.62</v>
      </c>
      <c r="J3612" s="2">
        <v>59584.9</v>
      </c>
      <c r="K3612" s="2">
        <f>Table1[[#This Row],[Salary_after]]-Table1[[#This Row],[Salary_before]]</f>
        <v>-2180.7200000000012</v>
      </c>
      <c r="L3612" s="11">
        <v>-3.5299999999999998E-2</v>
      </c>
      <c r="M3612" s="11">
        <v>8.1799999999999998E-2</v>
      </c>
      <c r="N3612">
        <v>79.510000000000005</v>
      </c>
      <c r="O3612">
        <v>92.75</v>
      </c>
      <c r="P3612">
        <v>1</v>
      </c>
      <c r="Q3612" t="s">
        <v>25</v>
      </c>
      <c r="R3612">
        <v>55.204999999999998</v>
      </c>
      <c r="S3612">
        <v>3.53</v>
      </c>
      <c r="T3612" s="4">
        <v>40.025999999999897</v>
      </c>
      <c r="U3612" s="4">
        <v>54.2030999999999</v>
      </c>
      <c r="V3612" t="str">
        <f>IF(Table1[[#This Row],[ai_disruption_intensity]]&gt;70,"High",
IF(Table1[[#This Row],[ai_disruption_intensity]]&gt;40,"Medium","Low"))</f>
        <v>Medium</v>
      </c>
      <c r="W3612" t="str">
        <f>IF(Table1[[#This Row],[skill_gap_index]]&gt;70,"Large Gap",
IF(Table1[[#This Row],[skill_gap_index]]&gt;40,"Medium Gap","Small Gap"))</f>
        <v>Medium Gap</v>
      </c>
      <c r="X3612" s="3" t="str">
        <f>IF(Table1[[#This Row],[automation_risk_percent]]&gt;0.7,"Highly Automatable",
IF(Table1[[#This Row],[automation_risk_percent]]&gt;0.4,"Moderate Risk","Safe Job"))</f>
        <v>Moderate Risk</v>
      </c>
    </row>
    <row r="3613" spans="1:24" x14ac:dyDescent="0.3">
      <c r="A3613">
        <v>12582</v>
      </c>
      <c r="B3613" t="s">
        <v>29</v>
      </c>
      <c r="C3613" t="s">
        <v>27</v>
      </c>
      <c r="D3613" t="s">
        <v>24</v>
      </c>
      <c r="E3613" s="1">
        <v>2026</v>
      </c>
      <c r="F3613" s="11">
        <v>0.40149999999999997</v>
      </c>
      <c r="G3613">
        <v>36.380000000000003</v>
      </c>
      <c r="H3613">
        <v>59.43</v>
      </c>
      <c r="I3613" s="2">
        <v>100556.84</v>
      </c>
      <c r="J3613" s="2">
        <v>89048.65</v>
      </c>
      <c r="K3613" s="2">
        <f>Table1[[#This Row],[Salary_after]]-Table1[[#This Row],[Salary_before]]</f>
        <v>-11508.190000000002</v>
      </c>
      <c r="L3613" s="11">
        <v>-0.1144</v>
      </c>
      <c r="M3613" s="11">
        <v>6.59E-2</v>
      </c>
      <c r="N3613">
        <v>51.71</v>
      </c>
      <c r="O3613">
        <v>92.85</v>
      </c>
      <c r="P3613">
        <v>4</v>
      </c>
      <c r="Q3613" t="s">
        <v>25</v>
      </c>
      <c r="R3613">
        <v>49.79</v>
      </c>
      <c r="S3613">
        <v>11.44</v>
      </c>
      <c r="T3613" s="4">
        <v>37.320999999999998</v>
      </c>
      <c r="U3613" s="4">
        <v>37.279274999999998</v>
      </c>
      <c r="V3613" t="str">
        <f>IF(Table1[[#This Row],[ai_disruption_intensity]]&gt;70,"High",
IF(Table1[[#This Row],[ai_disruption_intensity]]&gt;40,"Medium","Low"))</f>
        <v>Low</v>
      </c>
      <c r="W3613" t="str">
        <f>IF(Table1[[#This Row],[skill_gap_index]]&gt;70,"Large Gap",
IF(Table1[[#This Row],[skill_gap_index]]&gt;40,"Medium Gap","Small Gap"))</f>
        <v>Medium Gap</v>
      </c>
      <c r="X3613" s="3" t="str">
        <f>IF(Table1[[#This Row],[automation_risk_percent]]&gt;0.7,"Highly Automatable",
IF(Table1[[#This Row],[automation_risk_percent]]&gt;0.4,"Moderate Risk","Safe Job"))</f>
        <v>Moderate Risk</v>
      </c>
    </row>
    <row r="3614" spans="1:24" x14ac:dyDescent="0.3">
      <c r="A3614">
        <v>12584</v>
      </c>
      <c r="B3614" t="s">
        <v>43</v>
      </c>
      <c r="C3614" t="s">
        <v>23</v>
      </c>
      <c r="D3614" t="s">
        <v>42</v>
      </c>
      <c r="E3614" s="1">
        <v>2025</v>
      </c>
      <c r="F3614" s="11">
        <v>0.18329999999999999</v>
      </c>
      <c r="G3614">
        <v>16.98</v>
      </c>
      <c r="H3614">
        <v>64.3</v>
      </c>
      <c r="I3614" s="2">
        <v>41360.89</v>
      </c>
      <c r="J3614" s="2">
        <v>35032.03</v>
      </c>
      <c r="K3614" s="2">
        <f>Table1[[#This Row],[Salary_after]]-Table1[[#This Row],[Salary_before]]</f>
        <v>-6328.8600000000006</v>
      </c>
      <c r="L3614" s="11">
        <v>-0.153</v>
      </c>
      <c r="M3614" s="11">
        <v>-0.10580000000000001</v>
      </c>
      <c r="N3614">
        <v>56.01</v>
      </c>
      <c r="O3614">
        <v>0.36</v>
      </c>
      <c r="P3614">
        <v>1</v>
      </c>
      <c r="Q3614" t="s">
        <v>21</v>
      </c>
      <c r="R3614">
        <v>41.314999999999998</v>
      </c>
      <c r="S3614">
        <v>15.3</v>
      </c>
      <c r="T3614" s="4">
        <v>31.212</v>
      </c>
      <c r="U3614" s="4">
        <v>6.5987999999999894E-2</v>
      </c>
      <c r="V3614" t="str">
        <f>IF(Table1[[#This Row],[ai_disruption_intensity]]&gt;70,"High",
IF(Table1[[#This Row],[ai_disruption_intensity]]&gt;40,"Medium","Low"))</f>
        <v>Low</v>
      </c>
      <c r="W3614" t="str">
        <f>IF(Table1[[#This Row],[skill_gap_index]]&gt;70,"Large Gap",
IF(Table1[[#This Row],[skill_gap_index]]&gt;40,"Medium Gap","Small Gap"))</f>
        <v>Medium Gap</v>
      </c>
      <c r="X3614" s="3" t="str">
        <f>IF(Table1[[#This Row],[automation_risk_percent]]&gt;0.7,"Highly Automatable",
IF(Table1[[#This Row],[automation_risk_percent]]&gt;0.4,"Moderate Risk","Safe Job"))</f>
        <v>Safe Job</v>
      </c>
    </row>
    <row r="3615" spans="1:24" x14ac:dyDescent="0.3">
      <c r="A3615">
        <v>12593</v>
      </c>
      <c r="B3615" t="s">
        <v>18</v>
      </c>
      <c r="C3615" t="s">
        <v>30</v>
      </c>
      <c r="D3615" t="s">
        <v>24</v>
      </c>
      <c r="E3615" s="1">
        <v>2025</v>
      </c>
      <c r="F3615" s="11">
        <v>0.62290000000000001</v>
      </c>
      <c r="G3615">
        <v>54.42</v>
      </c>
      <c r="H3615">
        <v>27.09</v>
      </c>
      <c r="I3615" s="2">
        <v>82687.289999999994</v>
      </c>
      <c r="J3615" s="2">
        <v>71487.259999999995</v>
      </c>
      <c r="K3615" s="2">
        <f>Table1[[#This Row],[Salary_after]]-Table1[[#This Row],[Salary_before]]</f>
        <v>-11200.029999999999</v>
      </c>
      <c r="L3615" s="11">
        <v>-0.13550000000000001</v>
      </c>
      <c r="M3615" s="11">
        <v>0.1628</v>
      </c>
      <c r="N3615">
        <v>26</v>
      </c>
      <c r="O3615">
        <v>15.56</v>
      </c>
      <c r="P3615">
        <v>2</v>
      </c>
      <c r="Q3615" t="s">
        <v>37</v>
      </c>
      <c r="R3615">
        <v>44.69</v>
      </c>
      <c r="S3615">
        <v>13.55</v>
      </c>
      <c r="T3615" s="4">
        <v>37.107999999999997</v>
      </c>
      <c r="U3615" s="4">
        <v>9.6923239999999993</v>
      </c>
      <c r="V3615" t="str">
        <f>IF(Table1[[#This Row],[ai_disruption_intensity]]&gt;70,"High",
IF(Table1[[#This Row],[ai_disruption_intensity]]&gt;40,"Medium","Low"))</f>
        <v>Low</v>
      </c>
      <c r="W3615" t="str">
        <f>IF(Table1[[#This Row],[skill_gap_index]]&gt;70,"Large Gap",
IF(Table1[[#This Row],[skill_gap_index]]&gt;40,"Medium Gap","Small Gap"))</f>
        <v>Small Gap</v>
      </c>
      <c r="X3615" s="3" t="str">
        <f>IF(Table1[[#This Row],[automation_risk_percent]]&gt;0.7,"Highly Automatable",
IF(Table1[[#This Row],[automation_risk_percent]]&gt;0.4,"Moderate Risk","Safe Job"))</f>
        <v>Moderate Risk</v>
      </c>
    </row>
    <row r="3616" spans="1:24" x14ac:dyDescent="0.3">
      <c r="A3616">
        <v>12595</v>
      </c>
      <c r="B3616" t="s">
        <v>39</v>
      </c>
      <c r="C3616" t="s">
        <v>38</v>
      </c>
      <c r="D3616" t="s">
        <v>32</v>
      </c>
      <c r="E3616" s="1">
        <v>2025</v>
      </c>
      <c r="F3616" s="11">
        <v>0.11320000000000001</v>
      </c>
      <c r="G3616">
        <v>9.7799999999999994</v>
      </c>
      <c r="H3616">
        <v>54.64</v>
      </c>
      <c r="I3616" s="2">
        <v>141254.93</v>
      </c>
      <c r="J3616" s="2">
        <v>143937.63</v>
      </c>
      <c r="K3616" s="2">
        <f>Table1[[#This Row],[Salary_after]]-Table1[[#This Row],[Salary_before]]</f>
        <v>2682.7000000000116</v>
      </c>
      <c r="L3616" s="11">
        <v>1.9E-2</v>
      </c>
      <c r="M3616" s="11">
        <v>8.7899999999999992E-2</v>
      </c>
      <c r="N3616">
        <v>53.64</v>
      </c>
      <c r="O3616">
        <v>26.76</v>
      </c>
      <c r="P3616">
        <v>5</v>
      </c>
      <c r="Q3616" t="s">
        <v>21</v>
      </c>
      <c r="R3616">
        <v>32.979999999999997</v>
      </c>
      <c r="S3616">
        <v>1.9</v>
      </c>
      <c r="T3616" s="4">
        <v>21.49</v>
      </c>
      <c r="U3616" s="4">
        <v>3.0292319999999999</v>
      </c>
      <c r="V3616" t="str">
        <f>IF(Table1[[#This Row],[ai_disruption_intensity]]&gt;70,"High",
IF(Table1[[#This Row],[ai_disruption_intensity]]&gt;40,"Medium","Low"))</f>
        <v>Low</v>
      </c>
      <c r="W3616" t="str">
        <f>IF(Table1[[#This Row],[skill_gap_index]]&gt;70,"Large Gap",
IF(Table1[[#This Row],[skill_gap_index]]&gt;40,"Medium Gap","Small Gap"))</f>
        <v>Medium Gap</v>
      </c>
      <c r="X3616" s="3" t="str">
        <f>IF(Table1[[#This Row],[automation_risk_percent]]&gt;0.7,"Highly Automatable",
IF(Table1[[#This Row],[automation_risk_percent]]&gt;0.4,"Moderate Risk","Safe Job"))</f>
        <v>Safe Job</v>
      </c>
    </row>
    <row r="3617" spans="1:24" x14ac:dyDescent="0.3">
      <c r="A3617">
        <v>12598</v>
      </c>
      <c r="B3617" t="s">
        <v>41</v>
      </c>
      <c r="C3617" t="s">
        <v>40</v>
      </c>
      <c r="D3617" t="s">
        <v>31</v>
      </c>
      <c r="E3617" s="1">
        <v>2026</v>
      </c>
      <c r="F3617" s="11">
        <v>0.27850000000000003</v>
      </c>
      <c r="G3617">
        <v>25.13</v>
      </c>
      <c r="H3617">
        <v>39.58</v>
      </c>
      <c r="I3617" s="2">
        <v>101854.86</v>
      </c>
      <c r="J3617" s="2">
        <v>99031.89</v>
      </c>
      <c r="K3617" s="2">
        <f>Table1[[#This Row],[Salary_after]]-Table1[[#This Row],[Salary_before]]</f>
        <v>-2822.9700000000012</v>
      </c>
      <c r="L3617" s="11">
        <v>-2.7699999999999999E-2</v>
      </c>
      <c r="M3617" s="11">
        <v>-0.16820000000000002</v>
      </c>
      <c r="N3617">
        <v>71.19</v>
      </c>
      <c r="O3617">
        <v>4.37</v>
      </c>
      <c r="P3617">
        <v>4</v>
      </c>
      <c r="Q3617" t="s">
        <v>21</v>
      </c>
      <c r="R3617">
        <v>33.715000000000003</v>
      </c>
      <c r="S3617">
        <v>2.77</v>
      </c>
      <c r="T3617" s="4">
        <v>23.844999999999999</v>
      </c>
      <c r="U3617" s="4">
        <v>1.2170449999999999</v>
      </c>
      <c r="V3617" t="str">
        <f>IF(Table1[[#This Row],[ai_disruption_intensity]]&gt;70,"High",
IF(Table1[[#This Row],[ai_disruption_intensity]]&gt;40,"Medium","Low"))</f>
        <v>Low</v>
      </c>
      <c r="W3617" t="str">
        <f>IF(Table1[[#This Row],[skill_gap_index]]&gt;70,"Large Gap",
IF(Table1[[#This Row],[skill_gap_index]]&gt;40,"Medium Gap","Small Gap"))</f>
        <v>Small Gap</v>
      </c>
      <c r="X3617" s="3" t="str">
        <f>IF(Table1[[#This Row],[automation_risk_percent]]&gt;0.7,"Highly Automatable",
IF(Table1[[#This Row],[automation_risk_percent]]&gt;0.4,"Moderate Risk","Safe Job"))</f>
        <v>Safe Job</v>
      </c>
    </row>
    <row r="3618" spans="1:24" x14ac:dyDescent="0.3">
      <c r="A3618">
        <v>12599</v>
      </c>
      <c r="B3618" t="s">
        <v>45</v>
      </c>
      <c r="C3618" t="s">
        <v>27</v>
      </c>
      <c r="D3618" t="s">
        <v>28</v>
      </c>
      <c r="E3618" s="1">
        <v>2025</v>
      </c>
      <c r="F3618" s="11">
        <v>0.46740000000000004</v>
      </c>
      <c r="G3618">
        <v>42.72</v>
      </c>
      <c r="H3618">
        <v>78.2</v>
      </c>
      <c r="I3618" s="2">
        <v>68750.289999999994</v>
      </c>
      <c r="J3618" s="2">
        <v>72017.17</v>
      </c>
      <c r="K3618" s="2">
        <f>Table1[[#This Row],[Salary_after]]-Table1[[#This Row],[Salary_before]]</f>
        <v>3266.8800000000047</v>
      </c>
      <c r="L3618" s="11">
        <v>4.7500000000000001E-2</v>
      </c>
      <c r="M3618" s="11">
        <v>-4.1999999999999997E-3</v>
      </c>
      <c r="N3618">
        <v>79.19</v>
      </c>
      <c r="O3618">
        <v>46.39</v>
      </c>
      <c r="P3618">
        <v>5</v>
      </c>
      <c r="Q3618" t="s">
        <v>25</v>
      </c>
      <c r="R3618">
        <v>62.47</v>
      </c>
      <c r="S3618">
        <v>4.75</v>
      </c>
      <c r="T3618" s="4">
        <v>43.581000000000003</v>
      </c>
      <c r="U3618" s="4">
        <v>21.682686</v>
      </c>
      <c r="V3618" t="str">
        <f>IF(Table1[[#This Row],[ai_disruption_intensity]]&gt;70,"High",
IF(Table1[[#This Row],[ai_disruption_intensity]]&gt;40,"Medium","Low"))</f>
        <v>Low</v>
      </c>
      <c r="W3618" t="str">
        <f>IF(Table1[[#This Row],[skill_gap_index]]&gt;70,"Large Gap",
IF(Table1[[#This Row],[skill_gap_index]]&gt;40,"Medium Gap","Small Gap"))</f>
        <v>Large Gap</v>
      </c>
      <c r="X3618" s="3" t="str">
        <f>IF(Table1[[#This Row],[automation_risk_percent]]&gt;0.7,"Highly Automatable",
IF(Table1[[#This Row],[automation_risk_percent]]&gt;0.4,"Moderate Risk","Safe Job"))</f>
        <v>Moderate Risk</v>
      </c>
    </row>
    <row r="3619" spans="1:24" x14ac:dyDescent="0.3">
      <c r="A3619">
        <v>12607</v>
      </c>
      <c r="B3619" t="s">
        <v>29</v>
      </c>
      <c r="C3619" t="s">
        <v>38</v>
      </c>
      <c r="D3619" t="s">
        <v>28</v>
      </c>
      <c r="E3619" s="1">
        <v>2025</v>
      </c>
      <c r="F3619" s="11">
        <v>0.75749999999999995</v>
      </c>
      <c r="G3619">
        <v>80.069999999999993</v>
      </c>
      <c r="H3619">
        <v>15.26</v>
      </c>
      <c r="I3619" s="2">
        <v>102099.76</v>
      </c>
      <c r="J3619" s="2">
        <v>124209.47</v>
      </c>
      <c r="K3619" s="2">
        <f>Table1[[#This Row],[Salary_after]]-Table1[[#This Row],[Salary_before]]</f>
        <v>22109.710000000006</v>
      </c>
      <c r="L3619" s="11">
        <v>0.21660000000000001</v>
      </c>
      <c r="M3619" s="11">
        <v>6.2E-2</v>
      </c>
      <c r="N3619">
        <v>80.599999999999994</v>
      </c>
      <c r="O3619">
        <v>32.9</v>
      </c>
      <c r="P3619">
        <v>1</v>
      </c>
      <c r="Q3619" t="s">
        <v>37</v>
      </c>
      <c r="R3619">
        <v>45.505000000000003</v>
      </c>
      <c r="S3619">
        <v>21.66</v>
      </c>
      <c r="T3619" s="4">
        <v>41.375999999999998</v>
      </c>
      <c r="U3619" s="4">
        <v>24.9217499999999</v>
      </c>
      <c r="V3619" t="str">
        <f>IF(Table1[[#This Row],[ai_disruption_intensity]]&gt;70,"High",
IF(Table1[[#This Row],[ai_disruption_intensity]]&gt;40,"Medium","Low"))</f>
        <v>Low</v>
      </c>
      <c r="W3619" t="str">
        <f>IF(Table1[[#This Row],[skill_gap_index]]&gt;70,"Large Gap",
IF(Table1[[#This Row],[skill_gap_index]]&gt;40,"Medium Gap","Small Gap"))</f>
        <v>Small Gap</v>
      </c>
      <c r="X3619" s="3" t="str">
        <f>IF(Table1[[#This Row],[automation_risk_percent]]&gt;0.7,"Highly Automatable",
IF(Table1[[#This Row],[automation_risk_percent]]&gt;0.4,"Moderate Risk","Safe Job"))</f>
        <v>Highly Automatable</v>
      </c>
    </row>
    <row r="3620" spans="1:24" x14ac:dyDescent="0.3">
      <c r="A3620">
        <v>12609</v>
      </c>
      <c r="B3620" t="s">
        <v>39</v>
      </c>
      <c r="C3620" t="s">
        <v>27</v>
      </c>
      <c r="D3620" t="s">
        <v>28</v>
      </c>
      <c r="E3620" s="1">
        <v>2026</v>
      </c>
      <c r="F3620" s="11">
        <v>0.39229999999999998</v>
      </c>
      <c r="G3620">
        <v>33.69</v>
      </c>
      <c r="H3620">
        <v>46.03</v>
      </c>
      <c r="I3620" s="2">
        <v>106504.23</v>
      </c>
      <c r="J3620" s="2">
        <v>90088.41</v>
      </c>
      <c r="K3620" s="2">
        <f>Table1[[#This Row],[Salary_after]]-Table1[[#This Row],[Salary_before]]</f>
        <v>-16415.819999999992</v>
      </c>
      <c r="L3620" s="11">
        <v>-0.15410000000000001</v>
      </c>
      <c r="M3620" s="11">
        <v>4.8899999999999999E-2</v>
      </c>
      <c r="N3620">
        <v>53.83</v>
      </c>
      <c r="O3620">
        <v>87.32</v>
      </c>
      <c r="P3620">
        <v>4</v>
      </c>
      <c r="Q3620" t="s">
        <v>25</v>
      </c>
      <c r="R3620">
        <v>42.629999999999903</v>
      </c>
      <c r="S3620">
        <v>15.41</v>
      </c>
      <c r="T3620" s="4">
        <v>34.123999999999903</v>
      </c>
      <c r="U3620" s="4">
        <v>34.255635999999903</v>
      </c>
      <c r="V3620" t="str">
        <f>IF(Table1[[#This Row],[ai_disruption_intensity]]&gt;70,"High",
IF(Table1[[#This Row],[ai_disruption_intensity]]&gt;40,"Medium","Low"))</f>
        <v>Low</v>
      </c>
      <c r="W3620" t="str">
        <f>IF(Table1[[#This Row],[skill_gap_index]]&gt;70,"Large Gap",
IF(Table1[[#This Row],[skill_gap_index]]&gt;40,"Medium Gap","Small Gap"))</f>
        <v>Medium Gap</v>
      </c>
      <c r="X3620" s="3" t="str">
        <f>IF(Table1[[#This Row],[automation_risk_percent]]&gt;0.7,"Highly Automatable",
IF(Table1[[#This Row],[automation_risk_percent]]&gt;0.4,"Moderate Risk","Safe Job"))</f>
        <v>Safe Job</v>
      </c>
    </row>
    <row r="3621" spans="1:24" x14ac:dyDescent="0.3">
      <c r="A3621">
        <v>12617</v>
      </c>
      <c r="B3621" t="s">
        <v>45</v>
      </c>
      <c r="C3621" t="s">
        <v>34</v>
      </c>
      <c r="D3621" t="s">
        <v>35</v>
      </c>
      <c r="E3621" s="1">
        <v>2025</v>
      </c>
      <c r="F3621" s="11">
        <v>0.7793000000000001</v>
      </c>
      <c r="G3621">
        <v>73.180000000000007</v>
      </c>
      <c r="H3621">
        <v>97.33</v>
      </c>
      <c r="I3621" s="2">
        <v>94152.53</v>
      </c>
      <c r="J3621" s="2">
        <v>85883.86</v>
      </c>
      <c r="K3621" s="2">
        <f>Table1[[#This Row],[Salary_after]]-Table1[[#This Row],[Salary_before]]</f>
        <v>-8268.6699999999983</v>
      </c>
      <c r="L3621" s="11">
        <v>-8.7799999999999989E-2</v>
      </c>
      <c r="M3621" s="11">
        <v>4.2800000000000005E-2</v>
      </c>
      <c r="N3621">
        <v>17.63</v>
      </c>
      <c r="O3621">
        <v>51.37</v>
      </c>
      <c r="P3621">
        <v>3</v>
      </c>
      <c r="Q3621" t="s">
        <v>37</v>
      </c>
      <c r="R3621">
        <v>87.63</v>
      </c>
      <c r="S3621">
        <v>8.7799999999999994</v>
      </c>
      <c r="T3621" s="4">
        <v>63.005000000000003</v>
      </c>
      <c r="U3621" s="4">
        <v>40.032640999999998</v>
      </c>
      <c r="V3621" t="str">
        <f>IF(Table1[[#This Row],[ai_disruption_intensity]]&gt;70,"High",
IF(Table1[[#This Row],[ai_disruption_intensity]]&gt;40,"Medium","Low"))</f>
        <v>Medium</v>
      </c>
      <c r="W3621" t="str">
        <f>IF(Table1[[#This Row],[skill_gap_index]]&gt;70,"Large Gap",
IF(Table1[[#This Row],[skill_gap_index]]&gt;40,"Medium Gap","Small Gap"))</f>
        <v>Large Gap</v>
      </c>
      <c r="X3621" s="3" t="str">
        <f>IF(Table1[[#This Row],[automation_risk_percent]]&gt;0.7,"Highly Automatable",
IF(Table1[[#This Row],[automation_risk_percent]]&gt;0.4,"Moderate Risk","Safe Job"))</f>
        <v>Highly Automatable</v>
      </c>
    </row>
    <row r="3622" spans="1:24" x14ac:dyDescent="0.3">
      <c r="A3622">
        <v>12620</v>
      </c>
      <c r="B3622" t="s">
        <v>41</v>
      </c>
      <c r="C3622" t="s">
        <v>27</v>
      </c>
      <c r="D3622" t="s">
        <v>28</v>
      </c>
      <c r="E3622" s="1">
        <v>2026</v>
      </c>
      <c r="F3622" s="11">
        <v>0.93019999999999992</v>
      </c>
      <c r="G3622">
        <v>101.65</v>
      </c>
      <c r="H3622">
        <v>72.06</v>
      </c>
      <c r="I3622" s="2">
        <v>72410.94</v>
      </c>
      <c r="J3622" s="2">
        <v>76182.009999999995</v>
      </c>
      <c r="K3622" s="2">
        <f>Table1[[#This Row],[Salary_after]]-Table1[[#This Row],[Salary_before]]</f>
        <v>3771.0699999999924</v>
      </c>
      <c r="L3622" s="11">
        <v>5.21E-2</v>
      </c>
      <c r="M3622" s="11">
        <v>-0.1305</v>
      </c>
      <c r="N3622">
        <v>17.32</v>
      </c>
      <c r="O3622">
        <v>41.89</v>
      </c>
      <c r="P3622">
        <v>1</v>
      </c>
      <c r="Q3622" t="s">
        <v>37</v>
      </c>
      <c r="R3622">
        <v>82.539999999999907</v>
      </c>
      <c r="S3622">
        <v>5.21</v>
      </c>
      <c r="T3622" s="4">
        <v>60.388999999999903</v>
      </c>
      <c r="U3622" s="4">
        <v>38.966077999999897</v>
      </c>
      <c r="V3622" t="str">
        <f>IF(Table1[[#This Row],[ai_disruption_intensity]]&gt;70,"High",
IF(Table1[[#This Row],[ai_disruption_intensity]]&gt;40,"Medium","Low"))</f>
        <v>Low</v>
      </c>
      <c r="W3622" t="str">
        <f>IF(Table1[[#This Row],[skill_gap_index]]&gt;70,"Large Gap",
IF(Table1[[#This Row],[skill_gap_index]]&gt;40,"Medium Gap","Small Gap"))</f>
        <v>Large Gap</v>
      </c>
      <c r="X3622" s="3" t="str">
        <f>IF(Table1[[#This Row],[automation_risk_percent]]&gt;0.7,"Highly Automatable",
IF(Table1[[#This Row],[automation_risk_percent]]&gt;0.4,"Moderate Risk","Safe Job"))</f>
        <v>Highly Automatable</v>
      </c>
    </row>
    <row r="3623" spans="1:24" x14ac:dyDescent="0.3">
      <c r="A3623">
        <v>12628</v>
      </c>
      <c r="B3623" t="s">
        <v>45</v>
      </c>
      <c r="C3623" t="s">
        <v>27</v>
      </c>
      <c r="D3623" t="s">
        <v>20</v>
      </c>
      <c r="E3623" s="1">
        <v>2026</v>
      </c>
      <c r="F3623" s="11">
        <v>0.41520000000000001</v>
      </c>
      <c r="G3623">
        <v>33.78</v>
      </c>
      <c r="H3623">
        <v>43.27</v>
      </c>
      <c r="I3623" s="2">
        <v>88914.59</v>
      </c>
      <c r="J3623" s="2">
        <v>77335.25</v>
      </c>
      <c r="K3623" s="2">
        <f>Table1[[#This Row],[Salary_after]]-Table1[[#This Row],[Salary_before]]</f>
        <v>-11579.339999999997</v>
      </c>
      <c r="L3623" s="11">
        <v>-0.13019999999999998</v>
      </c>
      <c r="M3623" s="11">
        <v>4.9299999999999997E-2</v>
      </c>
      <c r="N3623">
        <v>90.61</v>
      </c>
      <c r="O3623">
        <v>58.33</v>
      </c>
      <c r="P3623">
        <v>5</v>
      </c>
      <c r="Q3623" t="s">
        <v>25</v>
      </c>
      <c r="R3623">
        <v>42.395000000000003</v>
      </c>
      <c r="S3623">
        <v>13.02</v>
      </c>
      <c r="T3623" s="4">
        <v>33.494999999999997</v>
      </c>
      <c r="U3623" s="4">
        <v>24.218616000000001</v>
      </c>
      <c r="V3623" t="str">
        <f>IF(Table1[[#This Row],[ai_disruption_intensity]]&gt;70,"High",
IF(Table1[[#This Row],[ai_disruption_intensity]]&gt;40,"Medium","Low"))</f>
        <v>Low</v>
      </c>
      <c r="W3623" t="str">
        <f>IF(Table1[[#This Row],[skill_gap_index]]&gt;70,"Large Gap",
IF(Table1[[#This Row],[skill_gap_index]]&gt;40,"Medium Gap","Small Gap"))</f>
        <v>Medium Gap</v>
      </c>
      <c r="X3623" s="3" t="str">
        <f>IF(Table1[[#This Row],[automation_risk_percent]]&gt;0.7,"Highly Automatable",
IF(Table1[[#This Row],[automation_risk_percent]]&gt;0.4,"Moderate Risk","Safe Job"))</f>
        <v>Moderate Risk</v>
      </c>
    </row>
    <row r="3624" spans="1:24" x14ac:dyDescent="0.3">
      <c r="A3624">
        <v>12629</v>
      </c>
      <c r="B3624" t="s">
        <v>46</v>
      </c>
      <c r="C3624" t="s">
        <v>27</v>
      </c>
      <c r="D3624" t="s">
        <v>20</v>
      </c>
      <c r="E3624" s="1">
        <v>2025</v>
      </c>
      <c r="F3624" s="11">
        <v>0.41830000000000001</v>
      </c>
      <c r="G3624">
        <v>34.56</v>
      </c>
      <c r="H3624">
        <v>8.0299999999999994</v>
      </c>
      <c r="I3624" s="2">
        <v>90565.38</v>
      </c>
      <c r="J3624" s="2">
        <v>96189.02</v>
      </c>
      <c r="K3624" s="2">
        <f>Table1[[#This Row],[Salary_after]]-Table1[[#This Row],[Salary_before]]</f>
        <v>5623.6399999999994</v>
      </c>
      <c r="L3624" s="11">
        <v>6.2100000000000002E-2</v>
      </c>
      <c r="M3624" s="11">
        <v>9.8100000000000007E-2</v>
      </c>
      <c r="N3624">
        <v>58.7</v>
      </c>
      <c r="O3624">
        <v>58.92</v>
      </c>
      <c r="P3624">
        <v>4</v>
      </c>
      <c r="Q3624" t="s">
        <v>25</v>
      </c>
      <c r="R3624">
        <v>24.93</v>
      </c>
      <c r="S3624">
        <v>6.21</v>
      </c>
      <c r="T3624" s="4">
        <v>21.003999999999898</v>
      </c>
      <c r="U3624" s="4">
        <v>24.646235999999998</v>
      </c>
      <c r="V3624" t="str">
        <f>IF(Table1[[#This Row],[ai_disruption_intensity]]&gt;70,"High",
IF(Table1[[#This Row],[ai_disruption_intensity]]&gt;40,"Medium","Low"))</f>
        <v>Low</v>
      </c>
      <c r="W3624" t="str">
        <f>IF(Table1[[#This Row],[skill_gap_index]]&gt;70,"Large Gap",
IF(Table1[[#This Row],[skill_gap_index]]&gt;40,"Medium Gap","Small Gap"))</f>
        <v>Small Gap</v>
      </c>
      <c r="X3624" s="3" t="str">
        <f>IF(Table1[[#This Row],[automation_risk_percent]]&gt;0.7,"Highly Automatable",
IF(Table1[[#This Row],[automation_risk_percent]]&gt;0.4,"Moderate Risk","Safe Job"))</f>
        <v>Moderate Risk</v>
      </c>
    </row>
    <row r="3625" spans="1:24" x14ac:dyDescent="0.3">
      <c r="A3625">
        <v>12632</v>
      </c>
      <c r="B3625" t="s">
        <v>26</v>
      </c>
      <c r="C3625" t="s">
        <v>33</v>
      </c>
      <c r="D3625" t="s">
        <v>35</v>
      </c>
      <c r="E3625" s="1">
        <v>2026</v>
      </c>
      <c r="F3625" s="11">
        <v>0.1258</v>
      </c>
      <c r="G3625">
        <v>14.9</v>
      </c>
      <c r="H3625">
        <v>51.2</v>
      </c>
      <c r="I3625" s="2">
        <v>41736.78</v>
      </c>
      <c r="J3625" s="2">
        <v>44488.55</v>
      </c>
      <c r="K3625" s="2">
        <f>Table1[[#This Row],[Salary_after]]-Table1[[#This Row],[Salary_before]]</f>
        <v>2751.7700000000041</v>
      </c>
      <c r="L3625" s="11">
        <v>6.59E-2</v>
      </c>
      <c r="M3625" s="11">
        <v>3.9900000000000005E-2</v>
      </c>
      <c r="N3625">
        <v>61.92</v>
      </c>
      <c r="O3625">
        <v>72.22</v>
      </c>
      <c r="P3625">
        <v>2</v>
      </c>
      <c r="Q3625" t="s">
        <v>21</v>
      </c>
      <c r="R3625">
        <v>31.89</v>
      </c>
      <c r="S3625">
        <v>6.59</v>
      </c>
      <c r="T3625" s="4">
        <v>22.369</v>
      </c>
      <c r="U3625" s="4">
        <v>9.0852760000000004</v>
      </c>
      <c r="V3625" t="str">
        <f>IF(Table1[[#This Row],[ai_disruption_intensity]]&gt;70,"High",
IF(Table1[[#This Row],[ai_disruption_intensity]]&gt;40,"Medium","Low"))</f>
        <v>Low</v>
      </c>
      <c r="W3625" t="str">
        <f>IF(Table1[[#This Row],[skill_gap_index]]&gt;70,"Large Gap",
IF(Table1[[#This Row],[skill_gap_index]]&gt;40,"Medium Gap","Small Gap"))</f>
        <v>Medium Gap</v>
      </c>
      <c r="X3625" s="3" t="str">
        <f>IF(Table1[[#This Row],[automation_risk_percent]]&gt;0.7,"Highly Automatable",
IF(Table1[[#This Row],[automation_risk_percent]]&gt;0.4,"Moderate Risk","Safe Job"))</f>
        <v>Safe Job</v>
      </c>
    </row>
    <row r="3626" spans="1:24" x14ac:dyDescent="0.3">
      <c r="A3626">
        <v>12634</v>
      </c>
      <c r="B3626" t="s">
        <v>26</v>
      </c>
      <c r="C3626" t="s">
        <v>34</v>
      </c>
      <c r="D3626" t="s">
        <v>20</v>
      </c>
      <c r="E3626" s="1">
        <v>2025</v>
      </c>
      <c r="F3626" s="11">
        <v>0.05</v>
      </c>
      <c r="G3626">
        <v>4.78</v>
      </c>
      <c r="H3626">
        <v>58.84</v>
      </c>
      <c r="I3626" s="2">
        <v>125795.78</v>
      </c>
      <c r="J3626" s="2">
        <v>135330.29999999999</v>
      </c>
      <c r="K3626" s="2">
        <f>Table1[[#This Row],[Salary_after]]-Table1[[#This Row],[Salary_before]]</f>
        <v>9534.5199999999895</v>
      </c>
      <c r="L3626" s="11">
        <v>7.5800000000000006E-2</v>
      </c>
      <c r="M3626" s="11">
        <v>-8.0000000000000002E-3</v>
      </c>
      <c r="N3626">
        <v>68.31</v>
      </c>
      <c r="O3626">
        <v>34.68</v>
      </c>
      <c r="P3626">
        <v>2</v>
      </c>
      <c r="Q3626" t="s">
        <v>21</v>
      </c>
      <c r="R3626">
        <v>31.92</v>
      </c>
      <c r="S3626">
        <v>7.58</v>
      </c>
      <c r="T3626" s="4">
        <v>21.925999999999998</v>
      </c>
      <c r="U3626" s="4">
        <v>1.734</v>
      </c>
      <c r="V3626" t="str">
        <f>IF(Table1[[#This Row],[ai_disruption_intensity]]&gt;70,"High",
IF(Table1[[#This Row],[ai_disruption_intensity]]&gt;40,"Medium","Low"))</f>
        <v>Low</v>
      </c>
      <c r="W3626" t="str">
        <f>IF(Table1[[#This Row],[skill_gap_index]]&gt;70,"Large Gap",
IF(Table1[[#This Row],[skill_gap_index]]&gt;40,"Medium Gap","Small Gap"))</f>
        <v>Medium Gap</v>
      </c>
      <c r="X3626" s="3" t="str">
        <f>IF(Table1[[#This Row],[automation_risk_percent]]&gt;0.7,"Highly Automatable",
IF(Table1[[#This Row],[automation_risk_percent]]&gt;0.4,"Moderate Risk","Safe Job"))</f>
        <v>Safe Job</v>
      </c>
    </row>
    <row r="3627" spans="1:24" x14ac:dyDescent="0.3">
      <c r="A3627">
        <v>12636</v>
      </c>
      <c r="B3627" t="s">
        <v>26</v>
      </c>
      <c r="C3627" t="s">
        <v>33</v>
      </c>
      <c r="D3627" t="s">
        <v>20</v>
      </c>
      <c r="E3627" s="1">
        <v>2026</v>
      </c>
      <c r="F3627" s="11">
        <v>0.16820000000000002</v>
      </c>
      <c r="G3627">
        <v>14.82</v>
      </c>
      <c r="H3627">
        <v>86.43</v>
      </c>
      <c r="I3627" s="2">
        <v>51582.400000000001</v>
      </c>
      <c r="J3627" s="2">
        <v>54314.5</v>
      </c>
      <c r="K3627" s="2">
        <f>Table1[[#This Row],[Salary_after]]-Table1[[#This Row],[Salary_before]]</f>
        <v>2732.0999999999985</v>
      </c>
      <c r="L3627" s="11">
        <v>5.2999999999999999E-2</v>
      </c>
      <c r="M3627" s="11">
        <v>-7.51E-2</v>
      </c>
      <c r="N3627">
        <v>38.72</v>
      </c>
      <c r="O3627">
        <v>44.11</v>
      </c>
      <c r="P3627">
        <v>2</v>
      </c>
      <c r="Q3627" t="s">
        <v>21</v>
      </c>
      <c r="R3627">
        <v>51.625</v>
      </c>
      <c r="S3627">
        <v>5.3</v>
      </c>
      <c r="T3627" s="4">
        <v>34.247</v>
      </c>
      <c r="U3627" s="4">
        <v>7.4193020000000001</v>
      </c>
      <c r="V3627" t="str">
        <f>IF(Table1[[#This Row],[ai_disruption_intensity]]&gt;70,"High",
IF(Table1[[#This Row],[ai_disruption_intensity]]&gt;40,"Medium","Low"))</f>
        <v>Low</v>
      </c>
      <c r="W3627" t="str">
        <f>IF(Table1[[#This Row],[skill_gap_index]]&gt;70,"Large Gap",
IF(Table1[[#This Row],[skill_gap_index]]&gt;40,"Medium Gap","Small Gap"))</f>
        <v>Large Gap</v>
      </c>
      <c r="X3627" s="3" t="str">
        <f>IF(Table1[[#This Row],[automation_risk_percent]]&gt;0.7,"Highly Automatable",
IF(Table1[[#This Row],[automation_risk_percent]]&gt;0.4,"Moderate Risk","Safe Job"))</f>
        <v>Safe Job</v>
      </c>
    </row>
    <row r="3628" spans="1:24" x14ac:dyDescent="0.3">
      <c r="A3628">
        <v>12637</v>
      </c>
      <c r="B3628" t="s">
        <v>44</v>
      </c>
      <c r="C3628" t="s">
        <v>40</v>
      </c>
      <c r="D3628" t="s">
        <v>28</v>
      </c>
      <c r="E3628" s="1">
        <v>2026</v>
      </c>
      <c r="F3628" s="11">
        <v>0.47110000000000002</v>
      </c>
      <c r="G3628">
        <v>55.23</v>
      </c>
      <c r="H3628">
        <v>26.05</v>
      </c>
      <c r="I3628" s="2">
        <v>35342.22</v>
      </c>
      <c r="J3628" s="2">
        <v>34565.230000000003</v>
      </c>
      <c r="K3628" s="2">
        <f>Table1[[#This Row],[Salary_after]]-Table1[[#This Row],[Salary_before]]</f>
        <v>-776.98999999999796</v>
      </c>
      <c r="L3628" s="11">
        <v>-2.2000000000000002E-2</v>
      </c>
      <c r="M3628" s="11">
        <v>7.1999999999999998E-3</v>
      </c>
      <c r="N3628">
        <v>86.84</v>
      </c>
      <c r="O3628">
        <v>89.75</v>
      </c>
      <c r="P3628">
        <v>2</v>
      </c>
      <c r="Q3628" t="s">
        <v>25</v>
      </c>
      <c r="R3628">
        <v>36.58</v>
      </c>
      <c r="S3628">
        <v>2.2000000000000002</v>
      </c>
      <c r="T3628" s="4">
        <v>27.318999999999999</v>
      </c>
      <c r="U3628" s="4">
        <v>42.281224999999999</v>
      </c>
      <c r="V3628" t="str">
        <f>IF(Table1[[#This Row],[ai_disruption_intensity]]&gt;70,"High",
IF(Table1[[#This Row],[ai_disruption_intensity]]&gt;40,"Medium","Low"))</f>
        <v>Medium</v>
      </c>
      <c r="W3628" t="str">
        <f>IF(Table1[[#This Row],[skill_gap_index]]&gt;70,"Large Gap",
IF(Table1[[#This Row],[skill_gap_index]]&gt;40,"Medium Gap","Small Gap"))</f>
        <v>Small Gap</v>
      </c>
      <c r="X3628" s="3" t="str">
        <f>IF(Table1[[#This Row],[automation_risk_percent]]&gt;0.7,"Highly Automatable",
IF(Table1[[#This Row],[automation_risk_percent]]&gt;0.4,"Moderate Risk","Safe Job"))</f>
        <v>Moderate Risk</v>
      </c>
    </row>
    <row r="3629" spans="1:24" x14ac:dyDescent="0.3">
      <c r="A3629">
        <v>12640</v>
      </c>
      <c r="B3629" t="s">
        <v>46</v>
      </c>
      <c r="C3629" t="s">
        <v>34</v>
      </c>
      <c r="D3629" t="s">
        <v>32</v>
      </c>
      <c r="E3629" s="1">
        <v>2026</v>
      </c>
      <c r="F3629" s="11">
        <v>0.37430000000000002</v>
      </c>
      <c r="G3629">
        <v>38.74</v>
      </c>
      <c r="H3629">
        <v>43.63</v>
      </c>
      <c r="I3629" s="2">
        <v>80128.77</v>
      </c>
      <c r="J3629" s="2">
        <v>68216.73</v>
      </c>
      <c r="K3629" s="2">
        <f>Table1[[#This Row],[Salary_after]]-Table1[[#This Row],[Salary_before]]</f>
        <v>-11912.040000000008</v>
      </c>
      <c r="L3629" s="11">
        <v>-0.1487</v>
      </c>
      <c r="M3629" s="11">
        <v>8.1000000000000013E-3</v>
      </c>
      <c r="N3629">
        <v>82.29</v>
      </c>
      <c r="O3629">
        <v>48.57</v>
      </c>
      <c r="P3629">
        <v>2</v>
      </c>
      <c r="Q3629" t="s">
        <v>25</v>
      </c>
      <c r="R3629">
        <v>40.53</v>
      </c>
      <c r="S3629">
        <v>14.87</v>
      </c>
      <c r="T3629" s="4">
        <v>32.521999999999998</v>
      </c>
      <c r="U3629" s="4">
        <v>18.179751</v>
      </c>
      <c r="V3629" t="str">
        <f>IF(Table1[[#This Row],[ai_disruption_intensity]]&gt;70,"High",
IF(Table1[[#This Row],[ai_disruption_intensity]]&gt;40,"Medium","Low"))</f>
        <v>Low</v>
      </c>
      <c r="W3629" t="str">
        <f>IF(Table1[[#This Row],[skill_gap_index]]&gt;70,"Large Gap",
IF(Table1[[#This Row],[skill_gap_index]]&gt;40,"Medium Gap","Small Gap"))</f>
        <v>Medium Gap</v>
      </c>
      <c r="X3629" s="3" t="str">
        <f>IF(Table1[[#This Row],[automation_risk_percent]]&gt;0.7,"Highly Automatable",
IF(Table1[[#This Row],[automation_risk_percent]]&gt;0.4,"Moderate Risk","Safe Job"))</f>
        <v>Safe Job</v>
      </c>
    </row>
    <row r="3630" spans="1:24" x14ac:dyDescent="0.3">
      <c r="A3630">
        <v>12646</v>
      </c>
      <c r="B3630" t="s">
        <v>45</v>
      </c>
      <c r="C3630" t="s">
        <v>23</v>
      </c>
      <c r="D3630" t="s">
        <v>32</v>
      </c>
      <c r="E3630" s="1">
        <v>2025</v>
      </c>
      <c r="F3630" s="11">
        <v>0.60250000000000004</v>
      </c>
      <c r="G3630">
        <v>63.2</v>
      </c>
      <c r="H3630">
        <v>35.81</v>
      </c>
      <c r="I3630" s="2">
        <v>37042.589999999997</v>
      </c>
      <c r="J3630" s="2">
        <v>36244.03</v>
      </c>
      <c r="K3630" s="2">
        <f>Table1[[#This Row],[Salary_after]]-Table1[[#This Row],[Salary_before]]</f>
        <v>-798.55999999999767</v>
      </c>
      <c r="L3630" s="11">
        <v>-2.1600000000000001E-2</v>
      </c>
      <c r="M3630" s="11">
        <v>7.6999999999999999E-2</v>
      </c>
      <c r="N3630">
        <v>38.92</v>
      </c>
      <c r="O3630">
        <v>0.99</v>
      </c>
      <c r="P3630">
        <v>1</v>
      </c>
      <c r="Q3630" t="s">
        <v>37</v>
      </c>
      <c r="R3630">
        <v>48.03</v>
      </c>
      <c r="S3630">
        <v>2.16</v>
      </c>
      <c r="T3630" s="4">
        <v>35.491</v>
      </c>
      <c r="U3630" s="4">
        <v>0.59647499999999998</v>
      </c>
      <c r="V3630" t="str">
        <f>IF(Table1[[#This Row],[ai_disruption_intensity]]&gt;70,"High",
IF(Table1[[#This Row],[ai_disruption_intensity]]&gt;40,"Medium","Low"))</f>
        <v>Low</v>
      </c>
      <c r="W3630" t="str">
        <f>IF(Table1[[#This Row],[skill_gap_index]]&gt;70,"Large Gap",
IF(Table1[[#This Row],[skill_gap_index]]&gt;40,"Medium Gap","Small Gap"))</f>
        <v>Small Gap</v>
      </c>
      <c r="X3630" s="3" t="str">
        <f>IF(Table1[[#This Row],[automation_risk_percent]]&gt;0.7,"Highly Automatable",
IF(Table1[[#This Row],[automation_risk_percent]]&gt;0.4,"Moderate Risk","Safe Job"))</f>
        <v>Moderate Risk</v>
      </c>
    </row>
    <row r="3631" spans="1:24" x14ac:dyDescent="0.3">
      <c r="A3631">
        <v>12649</v>
      </c>
      <c r="B3631" t="s">
        <v>46</v>
      </c>
      <c r="C3631" t="s">
        <v>33</v>
      </c>
      <c r="D3631" t="s">
        <v>42</v>
      </c>
      <c r="E3631" s="1">
        <v>2025</v>
      </c>
      <c r="F3631" s="11">
        <v>0.2195</v>
      </c>
      <c r="G3631">
        <v>25.38</v>
      </c>
      <c r="H3631">
        <v>87.36</v>
      </c>
      <c r="I3631" s="2">
        <v>128800.75</v>
      </c>
      <c r="J3631" s="2">
        <v>135147.47</v>
      </c>
      <c r="K3631" s="2">
        <f>Table1[[#This Row],[Salary_after]]-Table1[[#This Row],[Salary_before]]</f>
        <v>6346.7200000000012</v>
      </c>
      <c r="L3631" s="11">
        <v>4.9299999999999997E-2</v>
      </c>
      <c r="M3631" s="11">
        <v>2.3999999999999998E-3</v>
      </c>
      <c r="N3631">
        <v>70.61</v>
      </c>
      <c r="O3631">
        <v>70.14</v>
      </c>
      <c r="P3631">
        <v>3</v>
      </c>
      <c r="Q3631" t="s">
        <v>21</v>
      </c>
      <c r="R3631">
        <v>54.655000000000001</v>
      </c>
      <c r="S3631">
        <v>4.93</v>
      </c>
      <c r="T3631" s="4">
        <v>36.466999999999999</v>
      </c>
      <c r="U3631" s="4">
        <v>15.395729999999901</v>
      </c>
      <c r="V3631" t="str">
        <f>IF(Table1[[#This Row],[ai_disruption_intensity]]&gt;70,"High",
IF(Table1[[#This Row],[ai_disruption_intensity]]&gt;40,"Medium","Low"))</f>
        <v>Low</v>
      </c>
      <c r="W3631" t="str">
        <f>IF(Table1[[#This Row],[skill_gap_index]]&gt;70,"Large Gap",
IF(Table1[[#This Row],[skill_gap_index]]&gt;40,"Medium Gap","Small Gap"))</f>
        <v>Large Gap</v>
      </c>
      <c r="X3631" s="3" t="str">
        <f>IF(Table1[[#This Row],[automation_risk_percent]]&gt;0.7,"Highly Automatable",
IF(Table1[[#This Row],[automation_risk_percent]]&gt;0.4,"Moderate Risk","Safe Job"))</f>
        <v>Safe Job</v>
      </c>
    </row>
    <row r="3632" spans="1:24" x14ac:dyDescent="0.3">
      <c r="A3632">
        <v>12655</v>
      </c>
      <c r="B3632" t="s">
        <v>29</v>
      </c>
      <c r="C3632" t="s">
        <v>19</v>
      </c>
      <c r="D3632" t="s">
        <v>24</v>
      </c>
      <c r="E3632" s="1">
        <v>2025</v>
      </c>
      <c r="F3632" s="11">
        <v>0.81349999999999989</v>
      </c>
      <c r="G3632">
        <v>71.989999999999995</v>
      </c>
      <c r="H3632">
        <v>55.54</v>
      </c>
      <c r="I3632" s="2">
        <v>43178.18</v>
      </c>
      <c r="J3632" s="2">
        <v>41078.519999999997</v>
      </c>
      <c r="K3632" s="2">
        <f>Table1[[#This Row],[Salary_after]]-Table1[[#This Row],[Salary_before]]</f>
        <v>-2099.6600000000035</v>
      </c>
      <c r="L3632" s="11">
        <v>-4.8600000000000004E-2</v>
      </c>
      <c r="M3632" s="11">
        <v>9.7799999999999998E-2</v>
      </c>
      <c r="N3632">
        <v>60.9</v>
      </c>
      <c r="O3632">
        <v>3.9</v>
      </c>
      <c r="P3632">
        <v>2</v>
      </c>
      <c r="Q3632" t="s">
        <v>37</v>
      </c>
      <c r="R3632">
        <v>68.444999999999993</v>
      </c>
      <c r="S3632">
        <v>4.8600000000000003</v>
      </c>
      <c r="T3632" s="4">
        <v>50.66</v>
      </c>
      <c r="U3632" s="4">
        <v>3.17265</v>
      </c>
      <c r="V3632" t="str">
        <f>IF(Table1[[#This Row],[ai_disruption_intensity]]&gt;70,"High",
IF(Table1[[#This Row],[ai_disruption_intensity]]&gt;40,"Medium","Low"))</f>
        <v>Low</v>
      </c>
      <c r="W3632" t="str">
        <f>IF(Table1[[#This Row],[skill_gap_index]]&gt;70,"Large Gap",
IF(Table1[[#This Row],[skill_gap_index]]&gt;40,"Medium Gap","Small Gap"))</f>
        <v>Medium Gap</v>
      </c>
      <c r="X3632" s="3" t="str">
        <f>IF(Table1[[#This Row],[automation_risk_percent]]&gt;0.7,"Highly Automatable",
IF(Table1[[#This Row],[automation_risk_percent]]&gt;0.4,"Moderate Risk","Safe Job"))</f>
        <v>Highly Automatable</v>
      </c>
    </row>
    <row r="3633" spans="1:24" x14ac:dyDescent="0.3">
      <c r="A3633">
        <v>12656</v>
      </c>
      <c r="B3633" t="s">
        <v>18</v>
      </c>
      <c r="C3633" t="s">
        <v>40</v>
      </c>
      <c r="D3633" t="s">
        <v>28</v>
      </c>
      <c r="E3633" s="1">
        <v>2025</v>
      </c>
      <c r="F3633" s="11">
        <v>0.35960000000000003</v>
      </c>
      <c r="G3633">
        <v>30.88</v>
      </c>
      <c r="H3633">
        <v>37.24</v>
      </c>
      <c r="I3633" s="2">
        <v>99595.23</v>
      </c>
      <c r="J3633" s="2">
        <v>100204.46</v>
      </c>
      <c r="K3633" s="2">
        <f>Table1[[#This Row],[Salary_after]]-Table1[[#This Row],[Salary_before]]</f>
        <v>609.23000000001048</v>
      </c>
      <c r="L3633" s="11">
        <v>6.0999999999999995E-3</v>
      </c>
      <c r="M3633" s="11">
        <v>0.1905</v>
      </c>
      <c r="N3633">
        <v>93.83</v>
      </c>
      <c r="O3633">
        <v>10.11</v>
      </c>
      <c r="P3633">
        <v>4</v>
      </c>
      <c r="Q3633" t="s">
        <v>25</v>
      </c>
      <c r="R3633">
        <v>36.6</v>
      </c>
      <c r="S3633">
        <v>0.61</v>
      </c>
      <c r="T3633" s="4">
        <v>25.739000000000001</v>
      </c>
      <c r="U3633" s="4">
        <v>3.6355559999999998</v>
      </c>
      <c r="V3633" t="str">
        <f>IF(Table1[[#This Row],[ai_disruption_intensity]]&gt;70,"High",
IF(Table1[[#This Row],[ai_disruption_intensity]]&gt;40,"Medium","Low"))</f>
        <v>Low</v>
      </c>
      <c r="W3633" t="str">
        <f>IF(Table1[[#This Row],[skill_gap_index]]&gt;70,"Large Gap",
IF(Table1[[#This Row],[skill_gap_index]]&gt;40,"Medium Gap","Small Gap"))</f>
        <v>Small Gap</v>
      </c>
      <c r="X3633" s="3" t="str">
        <f>IF(Table1[[#This Row],[automation_risk_percent]]&gt;0.7,"Highly Automatable",
IF(Table1[[#This Row],[automation_risk_percent]]&gt;0.4,"Moderate Risk","Safe Job"))</f>
        <v>Safe Job</v>
      </c>
    </row>
    <row r="3634" spans="1:24" x14ac:dyDescent="0.3">
      <c r="A3634">
        <v>12658</v>
      </c>
      <c r="B3634" t="s">
        <v>18</v>
      </c>
      <c r="C3634" t="s">
        <v>23</v>
      </c>
      <c r="D3634" t="s">
        <v>47</v>
      </c>
      <c r="E3634" s="1">
        <v>2026</v>
      </c>
      <c r="F3634" s="11">
        <v>0.30459999999999998</v>
      </c>
      <c r="G3634">
        <v>28.24</v>
      </c>
      <c r="H3634">
        <v>58.88</v>
      </c>
      <c r="I3634" s="2">
        <v>93367.78</v>
      </c>
      <c r="J3634" s="2">
        <v>94217.24</v>
      </c>
      <c r="K3634" s="2">
        <f>Table1[[#This Row],[Salary_after]]-Table1[[#This Row],[Salary_before]]</f>
        <v>849.4600000000064</v>
      </c>
      <c r="L3634" s="11">
        <v>9.1000000000000004E-3</v>
      </c>
      <c r="M3634" s="11">
        <v>0.13849999999999998</v>
      </c>
      <c r="N3634">
        <v>55.97</v>
      </c>
      <c r="O3634">
        <v>44.84</v>
      </c>
      <c r="P3634">
        <v>4</v>
      </c>
      <c r="Q3634" t="s">
        <v>25</v>
      </c>
      <c r="R3634">
        <v>44.67</v>
      </c>
      <c r="S3634">
        <v>0.91</v>
      </c>
      <c r="T3634" s="4">
        <v>30.120999999999999</v>
      </c>
      <c r="U3634" s="4">
        <v>13.658264000000001</v>
      </c>
      <c r="V3634" t="str">
        <f>IF(Table1[[#This Row],[ai_disruption_intensity]]&gt;70,"High",
IF(Table1[[#This Row],[ai_disruption_intensity]]&gt;40,"Medium","Low"))</f>
        <v>Low</v>
      </c>
      <c r="W3634" t="str">
        <f>IF(Table1[[#This Row],[skill_gap_index]]&gt;70,"Large Gap",
IF(Table1[[#This Row],[skill_gap_index]]&gt;40,"Medium Gap","Small Gap"))</f>
        <v>Medium Gap</v>
      </c>
      <c r="X3634" s="3" t="str">
        <f>IF(Table1[[#This Row],[automation_risk_percent]]&gt;0.7,"Highly Automatable",
IF(Table1[[#This Row],[automation_risk_percent]]&gt;0.4,"Moderate Risk","Safe Job"))</f>
        <v>Safe Job</v>
      </c>
    </row>
    <row r="3635" spans="1:24" x14ac:dyDescent="0.3">
      <c r="A3635">
        <v>12659</v>
      </c>
      <c r="B3635" t="s">
        <v>26</v>
      </c>
      <c r="C3635" t="s">
        <v>19</v>
      </c>
      <c r="D3635" t="s">
        <v>42</v>
      </c>
      <c r="E3635" s="1">
        <v>2025</v>
      </c>
      <c r="F3635" s="11">
        <v>9.01E-2</v>
      </c>
      <c r="G3635">
        <v>7.64</v>
      </c>
      <c r="H3635">
        <v>66.790000000000006</v>
      </c>
      <c r="I3635" s="2">
        <v>85054.09</v>
      </c>
      <c r="J3635" s="2">
        <v>91643.54</v>
      </c>
      <c r="K3635" s="2">
        <f>Table1[[#This Row],[Salary_after]]-Table1[[#This Row],[Salary_before]]</f>
        <v>6589.4499999999971</v>
      </c>
      <c r="L3635" s="11">
        <v>7.7499999999999999E-2</v>
      </c>
      <c r="M3635" s="11">
        <v>5.8400000000000001E-2</v>
      </c>
      <c r="N3635">
        <v>80.47</v>
      </c>
      <c r="O3635">
        <v>37.950000000000003</v>
      </c>
      <c r="P3635">
        <v>4</v>
      </c>
      <c r="Q3635" t="s">
        <v>21</v>
      </c>
      <c r="R3635">
        <v>37.9</v>
      </c>
      <c r="S3635">
        <v>7.75</v>
      </c>
      <c r="T3635" s="4">
        <v>25.966000000000001</v>
      </c>
      <c r="U3635" s="4">
        <v>3.419295</v>
      </c>
      <c r="V3635" t="str">
        <f>IF(Table1[[#This Row],[ai_disruption_intensity]]&gt;70,"High",
IF(Table1[[#This Row],[ai_disruption_intensity]]&gt;40,"Medium","Low"))</f>
        <v>Low</v>
      </c>
      <c r="W3635" t="str">
        <f>IF(Table1[[#This Row],[skill_gap_index]]&gt;70,"Large Gap",
IF(Table1[[#This Row],[skill_gap_index]]&gt;40,"Medium Gap","Small Gap"))</f>
        <v>Medium Gap</v>
      </c>
      <c r="X3635" s="3" t="str">
        <f>IF(Table1[[#This Row],[automation_risk_percent]]&gt;0.7,"Highly Automatable",
IF(Table1[[#This Row],[automation_risk_percent]]&gt;0.4,"Moderate Risk","Safe Job"))</f>
        <v>Safe Job</v>
      </c>
    </row>
    <row r="3636" spans="1:24" x14ac:dyDescent="0.3">
      <c r="A3636">
        <v>12664</v>
      </c>
      <c r="B3636" t="s">
        <v>22</v>
      </c>
      <c r="C3636" t="s">
        <v>33</v>
      </c>
      <c r="D3636" t="s">
        <v>47</v>
      </c>
      <c r="E3636" s="1">
        <v>2026</v>
      </c>
      <c r="F3636" s="11">
        <v>0.21210000000000001</v>
      </c>
      <c r="G3636">
        <v>25.02</v>
      </c>
      <c r="H3636">
        <v>25.97</v>
      </c>
      <c r="I3636" s="2">
        <v>54210.46</v>
      </c>
      <c r="J3636" s="2">
        <v>55961.96</v>
      </c>
      <c r="K3636" s="2">
        <f>Table1[[#This Row],[Salary_after]]-Table1[[#This Row],[Salary_before]]</f>
        <v>1751.5</v>
      </c>
      <c r="L3636" s="11">
        <v>3.2300000000000002E-2</v>
      </c>
      <c r="M3636" s="11">
        <v>-7.0199999999999999E-2</v>
      </c>
      <c r="N3636">
        <v>45.55</v>
      </c>
      <c r="O3636">
        <v>58.39</v>
      </c>
      <c r="P3636">
        <v>1</v>
      </c>
      <c r="Q3636" t="s">
        <v>21</v>
      </c>
      <c r="R3636">
        <v>23.59</v>
      </c>
      <c r="S3636">
        <v>3.23</v>
      </c>
      <c r="T3636" s="4">
        <v>17.244</v>
      </c>
      <c r="U3636" s="4">
        <v>12.384518999999999</v>
      </c>
      <c r="V3636" t="str">
        <f>IF(Table1[[#This Row],[ai_disruption_intensity]]&gt;70,"High",
IF(Table1[[#This Row],[ai_disruption_intensity]]&gt;40,"Medium","Low"))</f>
        <v>Low</v>
      </c>
      <c r="W3636" t="str">
        <f>IF(Table1[[#This Row],[skill_gap_index]]&gt;70,"Large Gap",
IF(Table1[[#This Row],[skill_gap_index]]&gt;40,"Medium Gap","Small Gap"))</f>
        <v>Small Gap</v>
      </c>
      <c r="X3636" s="3" t="str">
        <f>IF(Table1[[#This Row],[automation_risk_percent]]&gt;0.7,"Highly Automatable",
IF(Table1[[#This Row],[automation_risk_percent]]&gt;0.4,"Moderate Risk","Safe Job"))</f>
        <v>Safe Job</v>
      </c>
    </row>
    <row r="3637" spans="1:24" x14ac:dyDescent="0.3">
      <c r="A3637">
        <v>12665</v>
      </c>
      <c r="B3637" t="s">
        <v>39</v>
      </c>
      <c r="C3637" t="s">
        <v>23</v>
      </c>
      <c r="D3637" t="s">
        <v>28</v>
      </c>
      <c r="E3637" s="1">
        <v>2025</v>
      </c>
      <c r="F3637" s="11">
        <v>0.78180000000000005</v>
      </c>
      <c r="G3637">
        <v>64.88</v>
      </c>
      <c r="H3637">
        <v>13.47</v>
      </c>
      <c r="I3637" s="2">
        <v>98831.88</v>
      </c>
      <c r="J3637" s="2">
        <v>103496.53</v>
      </c>
      <c r="K3637" s="2">
        <f>Table1[[#This Row],[Salary_after]]-Table1[[#This Row],[Salary_before]]</f>
        <v>4664.6499999999942</v>
      </c>
      <c r="L3637" s="11">
        <v>4.7199999999999999E-2</v>
      </c>
      <c r="M3637" s="11">
        <v>-4.7100000000000003E-2</v>
      </c>
      <c r="N3637">
        <v>83.28</v>
      </c>
      <c r="O3637">
        <v>72.77</v>
      </c>
      <c r="P3637">
        <v>5</v>
      </c>
      <c r="Q3637" t="s">
        <v>37</v>
      </c>
      <c r="R3637">
        <v>45.825000000000003</v>
      </c>
      <c r="S3637">
        <v>4.72</v>
      </c>
      <c r="T3637" s="4">
        <v>36.728999999999999</v>
      </c>
      <c r="U3637" s="4">
        <v>56.891585999999997</v>
      </c>
      <c r="V3637" t="str">
        <f>IF(Table1[[#This Row],[ai_disruption_intensity]]&gt;70,"High",
IF(Table1[[#This Row],[ai_disruption_intensity]]&gt;40,"Medium","Low"))</f>
        <v>Medium</v>
      </c>
      <c r="W3637" t="str">
        <f>IF(Table1[[#This Row],[skill_gap_index]]&gt;70,"Large Gap",
IF(Table1[[#This Row],[skill_gap_index]]&gt;40,"Medium Gap","Small Gap"))</f>
        <v>Small Gap</v>
      </c>
      <c r="X3637" s="3" t="str">
        <f>IF(Table1[[#This Row],[automation_risk_percent]]&gt;0.7,"Highly Automatable",
IF(Table1[[#This Row],[automation_risk_percent]]&gt;0.4,"Moderate Risk","Safe Job"))</f>
        <v>Highly Automatable</v>
      </c>
    </row>
    <row r="3638" spans="1:24" x14ac:dyDescent="0.3">
      <c r="A3638">
        <v>12666</v>
      </c>
      <c r="B3638" t="s">
        <v>43</v>
      </c>
      <c r="C3638" t="s">
        <v>38</v>
      </c>
      <c r="D3638" t="s">
        <v>24</v>
      </c>
      <c r="E3638" s="1">
        <v>2026</v>
      </c>
      <c r="F3638" s="11">
        <v>0.32219999999999999</v>
      </c>
      <c r="G3638">
        <v>36.57</v>
      </c>
      <c r="H3638">
        <v>51.03</v>
      </c>
      <c r="I3638" s="2">
        <v>123972.42</v>
      </c>
      <c r="J3638" s="2">
        <v>123457.12</v>
      </c>
      <c r="K3638" s="2">
        <f>Table1[[#This Row],[Salary_after]]-Table1[[#This Row],[Salary_before]]</f>
        <v>-515.30000000000291</v>
      </c>
      <c r="L3638" s="11">
        <v>-4.1999999999999997E-3</v>
      </c>
      <c r="M3638" s="11">
        <v>0.1052</v>
      </c>
      <c r="N3638">
        <v>51.86</v>
      </c>
      <c r="O3638">
        <v>24.92</v>
      </c>
      <c r="P3638">
        <v>1</v>
      </c>
      <c r="Q3638" t="s">
        <v>25</v>
      </c>
      <c r="R3638">
        <v>41.625</v>
      </c>
      <c r="S3638">
        <v>0.42</v>
      </c>
      <c r="T3638" s="4">
        <v>28.323</v>
      </c>
      <c r="U3638" s="4">
        <v>8.0292239999999993</v>
      </c>
      <c r="V3638" t="str">
        <f>IF(Table1[[#This Row],[ai_disruption_intensity]]&gt;70,"High",
IF(Table1[[#This Row],[ai_disruption_intensity]]&gt;40,"Medium","Low"))</f>
        <v>Low</v>
      </c>
      <c r="W3638" t="str">
        <f>IF(Table1[[#This Row],[skill_gap_index]]&gt;70,"Large Gap",
IF(Table1[[#This Row],[skill_gap_index]]&gt;40,"Medium Gap","Small Gap"))</f>
        <v>Medium Gap</v>
      </c>
      <c r="X3638" s="3" t="str">
        <f>IF(Table1[[#This Row],[automation_risk_percent]]&gt;0.7,"Highly Automatable",
IF(Table1[[#This Row],[automation_risk_percent]]&gt;0.4,"Moderate Risk","Safe Job"))</f>
        <v>Safe Job</v>
      </c>
    </row>
    <row r="3639" spans="1:24" x14ac:dyDescent="0.3">
      <c r="A3639">
        <v>12669</v>
      </c>
      <c r="B3639" t="s">
        <v>44</v>
      </c>
      <c r="C3639" t="s">
        <v>30</v>
      </c>
      <c r="D3639" t="s">
        <v>31</v>
      </c>
      <c r="E3639" s="1">
        <v>2026</v>
      </c>
      <c r="F3639" s="11">
        <v>0.34990000000000004</v>
      </c>
      <c r="G3639">
        <v>36.11</v>
      </c>
      <c r="H3639">
        <v>96.28</v>
      </c>
      <c r="I3639" s="2">
        <v>122385.17</v>
      </c>
      <c r="J3639" s="2">
        <v>117447.88</v>
      </c>
      <c r="K3639" s="2">
        <f>Table1[[#This Row],[Salary_after]]-Table1[[#This Row],[Salary_before]]</f>
        <v>-4937.2899999999936</v>
      </c>
      <c r="L3639" s="11">
        <v>-4.0300000000000002E-2</v>
      </c>
      <c r="M3639" s="11">
        <v>2.52E-2</v>
      </c>
      <c r="N3639">
        <v>90.74</v>
      </c>
      <c r="O3639">
        <v>57.87</v>
      </c>
      <c r="P3639">
        <v>5</v>
      </c>
      <c r="Q3639" t="s">
        <v>25</v>
      </c>
      <c r="R3639">
        <v>65.635000000000005</v>
      </c>
      <c r="S3639">
        <v>4.03</v>
      </c>
      <c r="T3639" s="4">
        <v>44.088999999999999</v>
      </c>
      <c r="U3639" s="4">
        <v>20.248712999999999</v>
      </c>
      <c r="V3639" t="str">
        <f>IF(Table1[[#This Row],[ai_disruption_intensity]]&gt;70,"High",
IF(Table1[[#This Row],[ai_disruption_intensity]]&gt;40,"Medium","Low"))</f>
        <v>Low</v>
      </c>
      <c r="W3639" t="str">
        <f>IF(Table1[[#This Row],[skill_gap_index]]&gt;70,"Large Gap",
IF(Table1[[#This Row],[skill_gap_index]]&gt;40,"Medium Gap","Small Gap"))</f>
        <v>Large Gap</v>
      </c>
      <c r="X3639" s="3" t="str">
        <f>IF(Table1[[#This Row],[automation_risk_percent]]&gt;0.7,"Highly Automatable",
IF(Table1[[#This Row],[automation_risk_percent]]&gt;0.4,"Moderate Risk","Safe Job"))</f>
        <v>Safe Job</v>
      </c>
    </row>
    <row r="3640" spans="1:24" x14ac:dyDescent="0.3">
      <c r="A3640">
        <v>12675</v>
      </c>
      <c r="B3640" t="s">
        <v>41</v>
      </c>
      <c r="C3640" t="s">
        <v>19</v>
      </c>
      <c r="D3640" t="s">
        <v>20</v>
      </c>
      <c r="E3640" s="1">
        <v>2026</v>
      </c>
      <c r="F3640" s="11">
        <v>0.39710000000000001</v>
      </c>
      <c r="G3640">
        <v>35.950000000000003</v>
      </c>
      <c r="H3640">
        <v>8.07</v>
      </c>
      <c r="I3640" s="2">
        <v>115433.94</v>
      </c>
      <c r="J3640" s="2">
        <v>121249.47</v>
      </c>
      <c r="K3640" s="2">
        <f>Table1[[#This Row],[Salary_after]]-Table1[[#This Row],[Salary_before]]</f>
        <v>5815.5299999999988</v>
      </c>
      <c r="L3640" s="11">
        <v>5.04E-2</v>
      </c>
      <c r="M3640" s="11">
        <v>-3.9300000000000002E-2</v>
      </c>
      <c r="N3640">
        <v>20.440000000000001</v>
      </c>
      <c r="O3640">
        <v>17.75</v>
      </c>
      <c r="P3640">
        <v>1</v>
      </c>
      <c r="Q3640" t="s">
        <v>25</v>
      </c>
      <c r="R3640">
        <v>23.89</v>
      </c>
      <c r="S3640">
        <v>5.04</v>
      </c>
      <c r="T3640" s="4">
        <v>19.817</v>
      </c>
      <c r="U3640" s="4">
        <v>7.0485249999999997</v>
      </c>
      <c r="V3640" t="str">
        <f>IF(Table1[[#This Row],[ai_disruption_intensity]]&gt;70,"High",
IF(Table1[[#This Row],[ai_disruption_intensity]]&gt;40,"Medium","Low"))</f>
        <v>Low</v>
      </c>
      <c r="W3640" t="str">
        <f>IF(Table1[[#This Row],[skill_gap_index]]&gt;70,"Large Gap",
IF(Table1[[#This Row],[skill_gap_index]]&gt;40,"Medium Gap","Small Gap"))</f>
        <v>Small Gap</v>
      </c>
      <c r="X3640" s="3" t="str">
        <f>IF(Table1[[#This Row],[automation_risk_percent]]&gt;0.7,"Highly Automatable",
IF(Table1[[#This Row],[automation_risk_percent]]&gt;0.4,"Moderate Risk","Safe Job"))</f>
        <v>Safe Job</v>
      </c>
    </row>
    <row r="3641" spans="1:24" x14ac:dyDescent="0.3">
      <c r="A3641">
        <v>12676</v>
      </c>
      <c r="B3641" t="s">
        <v>26</v>
      </c>
      <c r="C3641" t="s">
        <v>33</v>
      </c>
      <c r="D3641" t="s">
        <v>31</v>
      </c>
      <c r="E3641" s="1">
        <v>2026</v>
      </c>
      <c r="F3641" s="11">
        <v>0.65579999999999994</v>
      </c>
      <c r="G3641">
        <v>59.91</v>
      </c>
      <c r="H3641">
        <v>69.400000000000006</v>
      </c>
      <c r="I3641" s="2">
        <v>141947.63</v>
      </c>
      <c r="J3641" s="2">
        <v>141349.01999999999</v>
      </c>
      <c r="K3641" s="2">
        <f>Table1[[#This Row],[Salary_after]]-Table1[[#This Row],[Salary_before]]</f>
        <v>-598.61000000001513</v>
      </c>
      <c r="L3641" s="11">
        <v>-4.1999999999999997E-3</v>
      </c>
      <c r="M3641" s="11">
        <v>-7.8000000000000005E-3</v>
      </c>
      <c r="N3641">
        <v>58.16</v>
      </c>
      <c r="O3641">
        <v>76.08</v>
      </c>
      <c r="P3641">
        <v>1</v>
      </c>
      <c r="Q3641" t="s">
        <v>37</v>
      </c>
      <c r="R3641">
        <v>67.489999999999995</v>
      </c>
      <c r="S3641">
        <v>0.42</v>
      </c>
      <c r="T3641" s="4">
        <v>47.177999999999997</v>
      </c>
      <c r="U3641" s="4">
        <v>49.893264000000002</v>
      </c>
      <c r="V3641" t="str">
        <f>IF(Table1[[#This Row],[ai_disruption_intensity]]&gt;70,"High",
IF(Table1[[#This Row],[ai_disruption_intensity]]&gt;40,"Medium","Low"))</f>
        <v>Medium</v>
      </c>
      <c r="W3641" t="str">
        <f>IF(Table1[[#This Row],[skill_gap_index]]&gt;70,"Large Gap",
IF(Table1[[#This Row],[skill_gap_index]]&gt;40,"Medium Gap","Small Gap"))</f>
        <v>Medium Gap</v>
      </c>
      <c r="X3641" s="3" t="str">
        <f>IF(Table1[[#This Row],[automation_risk_percent]]&gt;0.7,"Highly Automatable",
IF(Table1[[#This Row],[automation_risk_percent]]&gt;0.4,"Moderate Risk","Safe Job"))</f>
        <v>Moderate Risk</v>
      </c>
    </row>
    <row r="3642" spans="1:24" x14ac:dyDescent="0.3">
      <c r="A3642">
        <v>12690</v>
      </c>
      <c r="B3642" t="s">
        <v>22</v>
      </c>
      <c r="C3642" t="s">
        <v>33</v>
      </c>
      <c r="D3642" t="s">
        <v>24</v>
      </c>
      <c r="E3642" s="1">
        <v>2025</v>
      </c>
      <c r="F3642" s="11">
        <v>0.79680000000000006</v>
      </c>
      <c r="G3642">
        <v>91.26</v>
      </c>
      <c r="H3642">
        <v>85.7</v>
      </c>
      <c r="I3642" s="2">
        <v>126716.39</v>
      </c>
      <c r="J3642" s="2">
        <v>115053.81</v>
      </c>
      <c r="K3642" s="2">
        <f>Table1[[#This Row],[Salary_after]]-Table1[[#This Row],[Salary_before]]</f>
        <v>-11662.580000000002</v>
      </c>
      <c r="L3642" s="11">
        <v>-9.1999999999999998E-2</v>
      </c>
      <c r="M3642" s="11">
        <v>0.1075</v>
      </c>
      <c r="N3642">
        <v>19.72</v>
      </c>
      <c r="O3642">
        <v>57.21</v>
      </c>
      <c r="P3642">
        <v>1</v>
      </c>
      <c r="Q3642" t="s">
        <v>37</v>
      </c>
      <c r="R3642">
        <v>82.69</v>
      </c>
      <c r="S3642">
        <v>9.1999999999999993</v>
      </c>
      <c r="T3642" s="4">
        <v>60.341999999999999</v>
      </c>
      <c r="U3642" s="4">
        <v>45.584927999999998</v>
      </c>
      <c r="V3642" t="str">
        <f>IF(Table1[[#This Row],[ai_disruption_intensity]]&gt;70,"High",
IF(Table1[[#This Row],[ai_disruption_intensity]]&gt;40,"Medium","Low"))</f>
        <v>Medium</v>
      </c>
      <c r="W3642" t="str">
        <f>IF(Table1[[#This Row],[skill_gap_index]]&gt;70,"Large Gap",
IF(Table1[[#This Row],[skill_gap_index]]&gt;40,"Medium Gap","Small Gap"))</f>
        <v>Large Gap</v>
      </c>
      <c r="X3642" s="3" t="str">
        <f>IF(Table1[[#This Row],[automation_risk_percent]]&gt;0.7,"Highly Automatable",
IF(Table1[[#This Row],[automation_risk_percent]]&gt;0.4,"Moderate Risk","Safe Job"))</f>
        <v>Highly Automatable</v>
      </c>
    </row>
    <row r="3643" spans="1:24" x14ac:dyDescent="0.3">
      <c r="A3643">
        <v>12698</v>
      </c>
      <c r="B3643" t="s">
        <v>22</v>
      </c>
      <c r="C3643" t="s">
        <v>23</v>
      </c>
      <c r="D3643" t="s">
        <v>47</v>
      </c>
      <c r="E3643" s="1">
        <v>2025</v>
      </c>
      <c r="F3643" s="11">
        <v>0.55509999999999993</v>
      </c>
      <c r="G3643">
        <v>59.13</v>
      </c>
      <c r="H3643">
        <v>86.43</v>
      </c>
      <c r="I3643" s="2">
        <v>68271.91</v>
      </c>
      <c r="J3643" s="2">
        <v>58876.31</v>
      </c>
      <c r="K3643" s="2">
        <f>Table1[[#This Row],[Salary_after]]-Table1[[#This Row],[Salary_before]]</f>
        <v>-9395.6000000000058</v>
      </c>
      <c r="L3643" s="11">
        <v>-0.1376</v>
      </c>
      <c r="M3643" s="11">
        <v>0.1741</v>
      </c>
      <c r="N3643">
        <v>91.45</v>
      </c>
      <c r="O3643">
        <v>32.43</v>
      </c>
      <c r="P3643">
        <v>5</v>
      </c>
      <c r="Q3643" t="s">
        <v>25</v>
      </c>
      <c r="R3643">
        <v>70.97</v>
      </c>
      <c r="S3643">
        <v>13.76</v>
      </c>
      <c r="T3643" s="4">
        <v>52.261000000000003</v>
      </c>
      <c r="U3643" s="4">
        <v>18.001892999999999</v>
      </c>
      <c r="V3643" t="str">
        <f>IF(Table1[[#This Row],[ai_disruption_intensity]]&gt;70,"High",
IF(Table1[[#This Row],[ai_disruption_intensity]]&gt;40,"Medium","Low"))</f>
        <v>Low</v>
      </c>
      <c r="W3643" t="str">
        <f>IF(Table1[[#This Row],[skill_gap_index]]&gt;70,"Large Gap",
IF(Table1[[#This Row],[skill_gap_index]]&gt;40,"Medium Gap","Small Gap"))</f>
        <v>Large Gap</v>
      </c>
      <c r="X3643" s="3" t="str">
        <f>IF(Table1[[#This Row],[automation_risk_percent]]&gt;0.7,"Highly Automatable",
IF(Table1[[#This Row],[automation_risk_percent]]&gt;0.4,"Moderate Risk","Safe Job"))</f>
        <v>Moderate Risk</v>
      </c>
    </row>
    <row r="3644" spans="1:24" x14ac:dyDescent="0.3">
      <c r="A3644">
        <v>12703</v>
      </c>
      <c r="B3644" t="s">
        <v>26</v>
      </c>
      <c r="C3644" t="s">
        <v>33</v>
      </c>
      <c r="D3644" t="s">
        <v>42</v>
      </c>
      <c r="E3644" s="1">
        <v>2025</v>
      </c>
      <c r="F3644" s="11">
        <v>0.28589999999999999</v>
      </c>
      <c r="G3644">
        <v>30.88</v>
      </c>
      <c r="H3644">
        <v>88.14</v>
      </c>
      <c r="I3644" s="2">
        <v>147235.26</v>
      </c>
      <c r="J3644" s="2">
        <v>153980.62</v>
      </c>
      <c r="K3644" s="2">
        <f>Table1[[#This Row],[Salary_after]]-Table1[[#This Row],[Salary_before]]</f>
        <v>6745.359999999986</v>
      </c>
      <c r="L3644" s="11">
        <v>4.58E-2</v>
      </c>
      <c r="M3644" s="11">
        <v>1.37E-2</v>
      </c>
      <c r="N3644">
        <v>93.37</v>
      </c>
      <c r="O3644">
        <v>63.42</v>
      </c>
      <c r="P3644">
        <v>5</v>
      </c>
      <c r="Q3644" t="s">
        <v>21</v>
      </c>
      <c r="R3644">
        <v>58.365000000000002</v>
      </c>
      <c r="S3644">
        <v>4.58</v>
      </c>
      <c r="T3644" s="4">
        <v>39.252000000000002</v>
      </c>
      <c r="U3644" s="4">
        <v>18.131778000000001</v>
      </c>
      <c r="V3644" t="str">
        <f>IF(Table1[[#This Row],[ai_disruption_intensity]]&gt;70,"High",
IF(Table1[[#This Row],[ai_disruption_intensity]]&gt;40,"Medium","Low"))</f>
        <v>Low</v>
      </c>
      <c r="W3644" t="str">
        <f>IF(Table1[[#This Row],[skill_gap_index]]&gt;70,"Large Gap",
IF(Table1[[#This Row],[skill_gap_index]]&gt;40,"Medium Gap","Small Gap"))</f>
        <v>Large Gap</v>
      </c>
      <c r="X3644" s="3" t="str">
        <f>IF(Table1[[#This Row],[automation_risk_percent]]&gt;0.7,"Highly Automatable",
IF(Table1[[#This Row],[automation_risk_percent]]&gt;0.4,"Moderate Risk","Safe Job"))</f>
        <v>Safe Job</v>
      </c>
    </row>
    <row r="3645" spans="1:24" x14ac:dyDescent="0.3">
      <c r="A3645">
        <v>12705</v>
      </c>
      <c r="B3645" t="s">
        <v>18</v>
      </c>
      <c r="C3645" t="s">
        <v>40</v>
      </c>
      <c r="D3645" t="s">
        <v>20</v>
      </c>
      <c r="E3645" s="1">
        <v>2025</v>
      </c>
      <c r="F3645" s="11">
        <v>0.78090000000000004</v>
      </c>
      <c r="G3645">
        <v>92.32</v>
      </c>
      <c r="H3645">
        <v>49.37</v>
      </c>
      <c r="I3645" s="2">
        <v>105473.08</v>
      </c>
      <c r="J3645" s="2">
        <v>102154.4</v>
      </c>
      <c r="K3645" s="2">
        <f>Table1[[#This Row],[Salary_after]]-Table1[[#This Row],[Salary_before]]</f>
        <v>-3318.6800000000076</v>
      </c>
      <c r="L3645" s="11">
        <v>-3.15E-2</v>
      </c>
      <c r="M3645" s="11">
        <v>1.83E-2</v>
      </c>
      <c r="N3645">
        <v>29.85</v>
      </c>
      <c r="O3645">
        <v>40.549999999999997</v>
      </c>
      <c r="P3645">
        <v>2</v>
      </c>
      <c r="Q3645" t="s">
        <v>37</v>
      </c>
      <c r="R3645">
        <v>63.73</v>
      </c>
      <c r="S3645">
        <v>3.15</v>
      </c>
      <c r="T3645" s="4">
        <v>46.991999999999997</v>
      </c>
      <c r="U3645" s="4">
        <v>31.665495</v>
      </c>
      <c r="V3645" t="str">
        <f>IF(Table1[[#This Row],[ai_disruption_intensity]]&gt;70,"High",
IF(Table1[[#This Row],[ai_disruption_intensity]]&gt;40,"Medium","Low"))</f>
        <v>Low</v>
      </c>
      <c r="W3645" t="str">
        <f>IF(Table1[[#This Row],[skill_gap_index]]&gt;70,"Large Gap",
IF(Table1[[#This Row],[skill_gap_index]]&gt;40,"Medium Gap","Small Gap"))</f>
        <v>Medium Gap</v>
      </c>
      <c r="X3645" s="3" t="str">
        <f>IF(Table1[[#This Row],[automation_risk_percent]]&gt;0.7,"Highly Automatable",
IF(Table1[[#This Row],[automation_risk_percent]]&gt;0.4,"Moderate Risk","Safe Job"))</f>
        <v>Highly Automatable</v>
      </c>
    </row>
    <row r="3646" spans="1:24" x14ac:dyDescent="0.3">
      <c r="A3646">
        <v>12707</v>
      </c>
      <c r="B3646" t="s">
        <v>43</v>
      </c>
      <c r="C3646" t="s">
        <v>27</v>
      </c>
      <c r="D3646" t="s">
        <v>24</v>
      </c>
      <c r="E3646" s="1">
        <v>2025</v>
      </c>
      <c r="F3646" s="11">
        <v>0.35249999999999998</v>
      </c>
      <c r="G3646">
        <v>33.9</v>
      </c>
      <c r="H3646">
        <v>88.49</v>
      </c>
      <c r="I3646" s="2">
        <v>114666.11</v>
      </c>
      <c r="J3646" s="2">
        <v>125926.58</v>
      </c>
      <c r="K3646" s="2">
        <f>Table1[[#This Row],[Salary_after]]-Table1[[#This Row],[Salary_before]]</f>
        <v>11260.470000000001</v>
      </c>
      <c r="L3646" s="11">
        <v>9.820000000000001E-2</v>
      </c>
      <c r="M3646" s="11">
        <v>0.1704</v>
      </c>
      <c r="N3646">
        <v>66.97</v>
      </c>
      <c r="O3646">
        <v>75.510000000000005</v>
      </c>
      <c r="P3646">
        <v>2</v>
      </c>
      <c r="Q3646" t="s">
        <v>25</v>
      </c>
      <c r="R3646">
        <v>61.87</v>
      </c>
      <c r="S3646">
        <v>9.82</v>
      </c>
      <c r="T3646" s="4">
        <v>43.592999999999897</v>
      </c>
      <c r="U3646" s="4">
        <v>26.617274999999999</v>
      </c>
      <c r="V3646" t="str">
        <f>IF(Table1[[#This Row],[ai_disruption_intensity]]&gt;70,"High",
IF(Table1[[#This Row],[ai_disruption_intensity]]&gt;40,"Medium","Low"))</f>
        <v>Low</v>
      </c>
      <c r="W3646" t="str">
        <f>IF(Table1[[#This Row],[skill_gap_index]]&gt;70,"Large Gap",
IF(Table1[[#This Row],[skill_gap_index]]&gt;40,"Medium Gap","Small Gap"))</f>
        <v>Large Gap</v>
      </c>
      <c r="X3646" s="3" t="str">
        <f>IF(Table1[[#This Row],[automation_risk_percent]]&gt;0.7,"Highly Automatable",
IF(Table1[[#This Row],[automation_risk_percent]]&gt;0.4,"Moderate Risk","Safe Job"))</f>
        <v>Safe Job</v>
      </c>
    </row>
    <row r="3647" spans="1:24" x14ac:dyDescent="0.3">
      <c r="A3647">
        <v>12709</v>
      </c>
      <c r="B3647" t="s">
        <v>26</v>
      </c>
      <c r="C3647" t="s">
        <v>30</v>
      </c>
      <c r="D3647" t="s">
        <v>32</v>
      </c>
      <c r="E3647" s="1">
        <v>2025</v>
      </c>
      <c r="F3647" s="11">
        <v>0.34670000000000001</v>
      </c>
      <c r="G3647">
        <v>40.67</v>
      </c>
      <c r="H3647">
        <v>96.58</v>
      </c>
      <c r="I3647" s="2">
        <v>105283.02</v>
      </c>
      <c r="J3647" s="2">
        <v>117688.37</v>
      </c>
      <c r="K3647" s="2">
        <f>Table1[[#This Row],[Salary_after]]-Table1[[#This Row],[Salary_before]]</f>
        <v>12405.349999999991</v>
      </c>
      <c r="L3647" s="11">
        <v>0.11779999999999999</v>
      </c>
      <c r="M3647" s="11">
        <v>0.23559999999999998</v>
      </c>
      <c r="N3647">
        <v>17.62</v>
      </c>
      <c r="O3647">
        <v>76.52</v>
      </c>
      <c r="P3647">
        <v>4</v>
      </c>
      <c r="Q3647" t="s">
        <v>25</v>
      </c>
      <c r="R3647">
        <v>65.625</v>
      </c>
      <c r="S3647">
        <v>11.78</v>
      </c>
      <c r="T3647" s="4">
        <v>46.375999999999998</v>
      </c>
      <c r="U3647" s="4">
        <v>26.529484</v>
      </c>
      <c r="V3647" t="str">
        <f>IF(Table1[[#This Row],[ai_disruption_intensity]]&gt;70,"High",
IF(Table1[[#This Row],[ai_disruption_intensity]]&gt;40,"Medium","Low"))</f>
        <v>Low</v>
      </c>
      <c r="W3647" t="str">
        <f>IF(Table1[[#This Row],[skill_gap_index]]&gt;70,"Large Gap",
IF(Table1[[#This Row],[skill_gap_index]]&gt;40,"Medium Gap","Small Gap"))</f>
        <v>Large Gap</v>
      </c>
      <c r="X3647" s="3" t="str">
        <f>IF(Table1[[#This Row],[automation_risk_percent]]&gt;0.7,"Highly Automatable",
IF(Table1[[#This Row],[automation_risk_percent]]&gt;0.4,"Moderate Risk","Safe Job"))</f>
        <v>Safe Job</v>
      </c>
    </row>
    <row r="3648" spans="1:24" x14ac:dyDescent="0.3">
      <c r="A3648">
        <v>12718</v>
      </c>
      <c r="B3648" t="s">
        <v>18</v>
      </c>
      <c r="C3648" t="s">
        <v>33</v>
      </c>
      <c r="D3648" t="s">
        <v>31</v>
      </c>
      <c r="E3648" s="1">
        <v>2026</v>
      </c>
      <c r="F3648" s="11">
        <v>0.65579999999999994</v>
      </c>
      <c r="G3648">
        <v>66.72</v>
      </c>
      <c r="H3648">
        <v>30.61</v>
      </c>
      <c r="I3648" s="2">
        <v>135048.38</v>
      </c>
      <c r="J3648" s="2">
        <v>142675.14000000001</v>
      </c>
      <c r="K3648" s="2">
        <f>Table1[[#This Row],[Salary_after]]-Table1[[#This Row],[Salary_before]]</f>
        <v>7626.7600000000093</v>
      </c>
      <c r="L3648" s="11">
        <v>5.6500000000000002E-2</v>
      </c>
      <c r="M3648" s="11">
        <v>0.1133</v>
      </c>
      <c r="N3648">
        <v>79.64</v>
      </c>
      <c r="O3648">
        <v>19.14</v>
      </c>
      <c r="P3648">
        <v>3</v>
      </c>
      <c r="Q3648" t="s">
        <v>37</v>
      </c>
      <c r="R3648">
        <v>48.094999999999999</v>
      </c>
      <c r="S3648">
        <v>5.65</v>
      </c>
      <c r="T3648" s="4">
        <v>37.11</v>
      </c>
      <c r="U3648" s="4">
        <v>12.552012</v>
      </c>
      <c r="V3648" t="str">
        <f>IF(Table1[[#This Row],[ai_disruption_intensity]]&gt;70,"High",
IF(Table1[[#This Row],[ai_disruption_intensity]]&gt;40,"Medium","Low"))</f>
        <v>Low</v>
      </c>
      <c r="W3648" t="str">
        <f>IF(Table1[[#This Row],[skill_gap_index]]&gt;70,"Large Gap",
IF(Table1[[#This Row],[skill_gap_index]]&gt;40,"Medium Gap","Small Gap"))</f>
        <v>Small Gap</v>
      </c>
      <c r="X3648" s="3" t="str">
        <f>IF(Table1[[#This Row],[automation_risk_percent]]&gt;0.7,"Highly Automatable",
IF(Table1[[#This Row],[automation_risk_percent]]&gt;0.4,"Moderate Risk","Safe Job"))</f>
        <v>Moderate Risk</v>
      </c>
    </row>
    <row r="3649" spans="1:24" x14ac:dyDescent="0.3">
      <c r="A3649">
        <v>12720</v>
      </c>
      <c r="B3649" t="s">
        <v>22</v>
      </c>
      <c r="C3649" t="s">
        <v>38</v>
      </c>
      <c r="D3649" t="s">
        <v>32</v>
      </c>
      <c r="E3649" s="1">
        <v>2025</v>
      </c>
      <c r="F3649" s="11">
        <v>0.50080000000000002</v>
      </c>
      <c r="G3649">
        <v>51.53</v>
      </c>
      <c r="H3649">
        <v>33.96</v>
      </c>
      <c r="I3649" s="2">
        <v>137582.49</v>
      </c>
      <c r="J3649" s="2">
        <v>133546.38</v>
      </c>
      <c r="K3649" s="2">
        <f>Table1[[#This Row],[Salary_after]]-Table1[[#This Row],[Salary_before]]</f>
        <v>-4036.109999999986</v>
      </c>
      <c r="L3649" s="11">
        <v>-2.9300000000000003E-2</v>
      </c>
      <c r="M3649" s="11">
        <v>-4.8000000000000001E-2</v>
      </c>
      <c r="N3649">
        <v>33.270000000000003</v>
      </c>
      <c r="O3649">
        <v>92.9</v>
      </c>
      <c r="P3649">
        <v>3</v>
      </c>
      <c r="Q3649" t="s">
        <v>25</v>
      </c>
      <c r="R3649">
        <v>42.019999999999897</v>
      </c>
      <c r="S3649">
        <v>2.93</v>
      </c>
      <c r="T3649" s="4">
        <v>31.099</v>
      </c>
      <c r="U3649" s="4">
        <v>46.524319999999904</v>
      </c>
      <c r="V3649" t="str">
        <f>IF(Table1[[#This Row],[ai_disruption_intensity]]&gt;70,"High",
IF(Table1[[#This Row],[ai_disruption_intensity]]&gt;40,"Medium","Low"))</f>
        <v>Medium</v>
      </c>
      <c r="W3649" t="str">
        <f>IF(Table1[[#This Row],[skill_gap_index]]&gt;70,"Large Gap",
IF(Table1[[#This Row],[skill_gap_index]]&gt;40,"Medium Gap","Small Gap"))</f>
        <v>Small Gap</v>
      </c>
      <c r="X3649" s="3" t="str">
        <f>IF(Table1[[#This Row],[automation_risk_percent]]&gt;0.7,"Highly Automatable",
IF(Table1[[#This Row],[automation_risk_percent]]&gt;0.4,"Moderate Risk","Safe Job"))</f>
        <v>Moderate Risk</v>
      </c>
    </row>
    <row r="3650" spans="1:24" x14ac:dyDescent="0.3">
      <c r="A3650">
        <v>12722</v>
      </c>
      <c r="B3650" t="s">
        <v>45</v>
      </c>
      <c r="C3650" t="s">
        <v>40</v>
      </c>
      <c r="D3650" t="s">
        <v>24</v>
      </c>
      <c r="E3650" s="1">
        <v>2026</v>
      </c>
      <c r="F3650" s="11">
        <v>0.77090000000000003</v>
      </c>
      <c r="G3650">
        <v>69.459999999999994</v>
      </c>
      <c r="H3650">
        <v>90.38</v>
      </c>
      <c r="I3650" s="2">
        <v>143706.34</v>
      </c>
      <c r="J3650" s="2">
        <v>121900.27</v>
      </c>
      <c r="K3650" s="2">
        <f>Table1[[#This Row],[Salary_after]]-Table1[[#This Row],[Salary_before]]</f>
        <v>-21806.069999999992</v>
      </c>
      <c r="L3650" s="11">
        <v>-0.1517</v>
      </c>
      <c r="M3650" s="11">
        <v>-5.9900000000000002E-2</v>
      </c>
      <c r="N3650">
        <v>35.49</v>
      </c>
      <c r="O3650">
        <v>84.27</v>
      </c>
      <c r="P3650">
        <v>5</v>
      </c>
      <c r="Q3650" t="s">
        <v>37</v>
      </c>
      <c r="R3650">
        <v>83.734999999999999</v>
      </c>
      <c r="S3650">
        <v>15.17</v>
      </c>
      <c r="T3650" s="4">
        <v>62.500999999999998</v>
      </c>
      <c r="U3650" s="4">
        <v>64.963742999999994</v>
      </c>
      <c r="V3650" t="str">
        <f>IF(Table1[[#This Row],[ai_disruption_intensity]]&gt;70,"High",
IF(Table1[[#This Row],[ai_disruption_intensity]]&gt;40,"Medium","Low"))</f>
        <v>Medium</v>
      </c>
      <c r="W3650" t="str">
        <f>IF(Table1[[#This Row],[skill_gap_index]]&gt;70,"Large Gap",
IF(Table1[[#This Row],[skill_gap_index]]&gt;40,"Medium Gap","Small Gap"))</f>
        <v>Large Gap</v>
      </c>
      <c r="X3650" s="3" t="str">
        <f>IF(Table1[[#This Row],[automation_risk_percent]]&gt;0.7,"Highly Automatable",
IF(Table1[[#This Row],[automation_risk_percent]]&gt;0.4,"Moderate Risk","Safe Job"))</f>
        <v>Highly Automatable</v>
      </c>
    </row>
    <row r="3651" spans="1:24" x14ac:dyDescent="0.3">
      <c r="A3651">
        <v>12724</v>
      </c>
      <c r="B3651" t="s">
        <v>41</v>
      </c>
      <c r="C3651" t="s">
        <v>23</v>
      </c>
      <c r="D3651" t="s">
        <v>32</v>
      </c>
      <c r="E3651" s="1">
        <v>2026</v>
      </c>
      <c r="F3651" s="11">
        <v>0.50360000000000005</v>
      </c>
      <c r="G3651">
        <v>42.39</v>
      </c>
      <c r="H3651">
        <v>54.59</v>
      </c>
      <c r="I3651" s="2">
        <v>140483.63</v>
      </c>
      <c r="J3651" s="2">
        <v>145441.78</v>
      </c>
      <c r="K3651" s="2">
        <f>Table1[[#This Row],[Salary_after]]-Table1[[#This Row],[Salary_before]]</f>
        <v>4958.1499999999942</v>
      </c>
      <c r="L3651" s="11">
        <v>3.5299999999999998E-2</v>
      </c>
      <c r="M3651" s="11">
        <v>0.18840000000000001</v>
      </c>
      <c r="N3651">
        <v>16.77</v>
      </c>
      <c r="O3651">
        <v>65.58</v>
      </c>
      <c r="P3651">
        <v>3</v>
      </c>
      <c r="Q3651" t="s">
        <v>25</v>
      </c>
      <c r="R3651">
        <v>52.475000000000001</v>
      </c>
      <c r="S3651">
        <v>3.53</v>
      </c>
      <c r="T3651" s="4">
        <v>37.58</v>
      </c>
      <c r="U3651" s="4">
        <v>33.026088000000001</v>
      </c>
      <c r="V3651" t="str">
        <f>IF(Table1[[#This Row],[ai_disruption_intensity]]&gt;70,"High",
IF(Table1[[#This Row],[ai_disruption_intensity]]&gt;40,"Medium","Low"))</f>
        <v>Low</v>
      </c>
      <c r="W3651" t="str">
        <f>IF(Table1[[#This Row],[skill_gap_index]]&gt;70,"Large Gap",
IF(Table1[[#This Row],[skill_gap_index]]&gt;40,"Medium Gap","Small Gap"))</f>
        <v>Medium Gap</v>
      </c>
      <c r="X3651" s="3" t="str">
        <f>IF(Table1[[#This Row],[automation_risk_percent]]&gt;0.7,"Highly Automatable",
IF(Table1[[#This Row],[automation_risk_percent]]&gt;0.4,"Moderate Risk","Safe Job"))</f>
        <v>Moderate Risk</v>
      </c>
    </row>
    <row r="3652" spans="1:24" x14ac:dyDescent="0.3">
      <c r="A3652">
        <v>12725</v>
      </c>
      <c r="B3652" t="s">
        <v>22</v>
      </c>
      <c r="C3652" t="s">
        <v>27</v>
      </c>
      <c r="D3652" t="s">
        <v>20</v>
      </c>
      <c r="E3652" s="1">
        <v>2026</v>
      </c>
      <c r="F3652" s="11">
        <v>0.34090000000000004</v>
      </c>
      <c r="G3652">
        <v>37.33</v>
      </c>
      <c r="H3652">
        <v>4.0599999999999996</v>
      </c>
      <c r="I3652" s="2">
        <v>87841.2</v>
      </c>
      <c r="J3652" s="2">
        <v>77363.23</v>
      </c>
      <c r="K3652" s="2">
        <f>Table1[[#This Row],[Salary_after]]-Table1[[#This Row],[Salary_before]]</f>
        <v>-10477.970000000001</v>
      </c>
      <c r="L3652" s="11">
        <v>-0.1193</v>
      </c>
      <c r="M3652" s="11">
        <v>3.9800000000000002E-2</v>
      </c>
      <c r="N3652">
        <v>11.97</v>
      </c>
      <c r="O3652">
        <v>61.51</v>
      </c>
      <c r="P3652">
        <v>2</v>
      </c>
      <c r="Q3652" t="s">
        <v>25</v>
      </c>
      <c r="R3652">
        <v>19.074999999999999</v>
      </c>
      <c r="S3652">
        <v>11.93</v>
      </c>
      <c r="T3652" s="4">
        <v>18.433</v>
      </c>
      <c r="U3652" s="4">
        <v>20.968758999999999</v>
      </c>
      <c r="V3652" t="str">
        <f>IF(Table1[[#This Row],[ai_disruption_intensity]]&gt;70,"High",
IF(Table1[[#This Row],[ai_disruption_intensity]]&gt;40,"Medium","Low"))</f>
        <v>Low</v>
      </c>
      <c r="W3652" t="str">
        <f>IF(Table1[[#This Row],[skill_gap_index]]&gt;70,"Large Gap",
IF(Table1[[#This Row],[skill_gap_index]]&gt;40,"Medium Gap","Small Gap"))</f>
        <v>Small Gap</v>
      </c>
      <c r="X3652" s="3" t="str">
        <f>IF(Table1[[#This Row],[automation_risk_percent]]&gt;0.7,"Highly Automatable",
IF(Table1[[#This Row],[automation_risk_percent]]&gt;0.4,"Moderate Risk","Safe Job"))</f>
        <v>Safe Job</v>
      </c>
    </row>
    <row r="3653" spans="1:24" x14ac:dyDescent="0.3">
      <c r="A3653">
        <v>12732</v>
      </c>
      <c r="B3653" t="s">
        <v>44</v>
      </c>
      <c r="C3653" t="s">
        <v>40</v>
      </c>
      <c r="D3653" t="s">
        <v>31</v>
      </c>
      <c r="E3653" s="1">
        <v>2026</v>
      </c>
      <c r="F3653" s="11">
        <v>0.73819999999999997</v>
      </c>
      <c r="G3653">
        <v>74.569999999999993</v>
      </c>
      <c r="H3653">
        <v>3.1</v>
      </c>
      <c r="I3653" s="2">
        <v>82162.91</v>
      </c>
      <c r="J3653" s="2">
        <v>79215.820000000007</v>
      </c>
      <c r="K3653" s="2">
        <f>Table1[[#This Row],[Salary_after]]-Table1[[#This Row],[Salary_before]]</f>
        <v>-2947.0899999999965</v>
      </c>
      <c r="L3653" s="11">
        <v>-3.5900000000000001E-2</v>
      </c>
      <c r="M3653" s="11">
        <v>0.1636</v>
      </c>
      <c r="N3653">
        <v>21.73</v>
      </c>
      <c r="O3653">
        <v>4.12</v>
      </c>
      <c r="P3653">
        <v>4</v>
      </c>
      <c r="Q3653" t="s">
        <v>37</v>
      </c>
      <c r="R3653">
        <v>38.459999999999901</v>
      </c>
      <c r="S3653">
        <v>3.59</v>
      </c>
      <c r="T3653" s="4">
        <v>31.534999999999901</v>
      </c>
      <c r="U3653" s="4">
        <v>3.0413839999999999</v>
      </c>
      <c r="V3653" t="str">
        <f>IF(Table1[[#This Row],[ai_disruption_intensity]]&gt;70,"High",
IF(Table1[[#This Row],[ai_disruption_intensity]]&gt;40,"Medium","Low"))</f>
        <v>Low</v>
      </c>
      <c r="W3653" t="str">
        <f>IF(Table1[[#This Row],[skill_gap_index]]&gt;70,"Large Gap",
IF(Table1[[#This Row],[skill_gap_index]]&gt;40,"Medium Gap","Small Gap"))</f>
        <v>Small Gap</v>
      </c>
      <c r="X3653" s="3" t="str">
        <f>IF(Table1[[#This Row],[automation_risk_percent]]&gt;0.7,"Highly Automatable",
IF(Table1[[#This Row],[automation_risk_percent]]&gt;0.4,"Moderate Risk","Safe Job"))</f>
        <v>Highly Automatable</v>
      </c>
    </row>
    <row r="3654" spans="1:24" x14ac:dyDescent="0.3">
      <c r="A3654">
        <v>12733</v>
      </c>
      <c r="B3654" t="s">
        <v>43</v>
      </c>
      <c r="C3654" t="s">
        <v>27</v>
      </c>
      <c r="D3654" t="s">
        <v>24</v>
      </c>
      <c r="E3654" s="1">
        <v>2026</v>
      </c>
      <c r="F3654" s="11">
        <v>0.64560000000000006</v>
      </c>
      <c r="G3654">
        <v>64.819999999999993</v>
      </c>
      <c r="H3654">
        <v>32.04</v>
      </c>
      <c r="I3654" s="2">
        <v>129160.43</v>
      </c>
      <c r="J3654" s="2">
        <v>123359.73</v>
      </c>
      <c r="K3654" s="2">
        <f>Table1[[#This Row],[Salary_after]]-Table1[[#This Row],[Salary_before]]</f>
        <v>-5800.6999999999971</v>
      </c>
      <c r="L3654" s="11">
        <v>-4.4900000000000002E-2</v>
      </c>
      <c r="M3654" s="11">
        <v>3.9199999999999999E-2</v>
      </c>
      <c r="N3654">
        <v>86.85</v>
      </c>
      <c r="O3654">
        <v>45.81</v>
      </c>
      <c r="P3654">
        <v>5</v>
      </c>
      <c r="Q3654" t="s">
        <v>37</v>
      </c>
      <c r="R3654">
        <v>48.3</v>
      </c>
      <c r="S3654">
        <v>4.49</v>
      </c>
      <c r="T3654" s="4">
        <v>36.783000000000001</v>
      </c>
      <c r="U3654" s="4">
        <v>29.574936000000001</v>
      </c>
      <c r="V3654" t="str">
        <f>IF(Table1[[#This Row],[ai_disruption_intensity]]&gt;70,"High",
IF(Table1[[#This Row],[ai_disruption_intensity]]&gt;40,"Medium","Low"))</f>
        <v>Low</v>
      </c>
      <c r="W3654" t="str">
        <f>IF(Table1[[#This Row],[skill_gap_index]]&gt;70,"Large Gap",
IF(Table1[[#This Row],[skill_gap_index]]&gt;40,"Medium Gap","Small Gap"))</f>
        <v>Small Gap</v>
      </c>
      <c r="X3654" s="3" t="str">
        <f>IF(Table1[[#This Row],[automation_risk_percent]]&gt;0.7,"Highly Automatable",
IF(Table1[[#This Row],[automation_risk_percent]]&gt;0.4,"Moderate Risk","Safe Job"))</f>
        <v>Moderate Risk</v>
      </c>
    </row>
    <row r="3655" spans="1:24" x14ac:dyDescent="0.3">
      <c r="A3655">
        <v>12738</v>
      </c>
      <c r="B3655" t="s">
        <v>22</v>
      </c>
      <c r="C3655" t="s">
        <v>27</v>
      </c>
      <c r="D3655" t="s">
        <v>42</v>
      </c>
      <c r="E3655" s="1">
        <v>2026</v>
      </c>
      <c r="F3655" s="11">
        <v>0.52859999999999996</v>
      </c>
      <c r="G3655">
        <v>51.89</v>
      </c>
      <c r="H3655">
        <v>60.18</v>
      </c>
      <c r="I3655" s="2">
        <v>40293.86</v>
      </c>
      <c r="J3655" s="2">
        <v>42380.73</v>
      </c>
      <c r="K3655" s="2">
        <f>Table1[[#This Row],[Salary_after]]-Table1[[#This Row],[Salary_before]]</f>
        <v>2086.8700000000026</v>
      </c>
      <c r="L3655" s="11">
        <v>5.1799999999999999E-2</v>
      </c>
      <c r="M3655" s="11">
        <v>0.14480000000000001</v>
      </c>
      <c r="N3655">
        <v>67.400000000000006</v>
      </c>
      <c r="O3655">
        <v>17.27</v>
      </c>
      <c r="P3655">
        <v>1</v>
      </c>
      <c r="Q3655" t="s">
        <v>25</v>
      </c>
      <c r="R3655">
        <v>56.519999999999897</v>
      </c>
      <c r="S3655">
        <v>5.18</v>
      </c>
      <c r="T3655" s="4">
        <v>40.752000000000002</v>
      </c>
      <c r="U3655" s="4">
        <v>9.1289219999999993</v>
      </c>
      <c r="V3655" t="str">
        <f>IF(Table1[[#This Row],[ai_disruption_intensity]]&gt;70,"High",
IF(Table1[[#This Row],[ai_disruption_intensity]]&gt;40,"Medium","Low"))</f>
        <v>Low</v>
      </c>
      <c r="W3655" t="str">
        <f>IF(Table1[[#This Row],[skill_gap_index]]&gt;70,"Large Gap",
IF(Table1[[#This Row],[skill_gap_index]]&gt;40,"Medium Gap","Small Gap"))</f>
        <v>Medium Gap</v>
      </c>
      <c r="X3655" s="3" t="str">
        <f>IF(Table1[[#This Row],[automation_risk_percent]]&gt;0.7,"Highly Automatable",
IF(Table1[[#This Row],[automation_risk_percent]]&gt;0.4,"Moderate Risk","Safe Job"))</f>
        <v>Moderate Risk</v>
      </c>
    </row>
    <row r="3656" spans="1:24" x14ac:dyDescent="0.3">
      <c r="A3656">
        <v>12743</v>
      </c>
      <c r="B3656" t="s">
        <v>29</v>
      </c>
      <c r="C3656" t="s">
        <v>34</v>
      </c>
      <c r="D3656" t="s">
        <v>31</v>
      </c>
      <c r="E3656" s="1">
        <v>2026</v>
      </c>
      <c r="F3656" s="11">
        <v>0.7772</v>
      </c>
      <c r="G3656">
        <v>73.55</v>
      </c>
      <c r="H3656">
        <v>46.96</v>
      </c>
      <c r="I3656" s="2">
        <v>77066.48</v>
      </c>
      <c r="J3656" s="2">
        <v>82278.53</v>
      </c>
      <c r="K3656" s="2">
        <f>Table1[[#This Row],[Salary_after]]-Table1[[#This Row],[Salary_before]]</f>
        <v>5212.0500000000029</v>
      </c>
      <c r="L3656" s="11">
        <v>6.7599999999999993E-2</v>
      </c>
      <c r="M3656" s="11">
        <v>-0.15390000000000001</v>
      </c>
      <c r="N3656">
        <v>24.72</v>
      </c>
      <c r="O3656">
        <v>43.59</v>
      </c>
      <c r="P3656">
        <v>1</v>
      </c>
      <c r="Q3656" t="s">
        <v>37</v>
      </c>
      <c r="R3656">
        <v>62.34</v>
      </c>
      <c r="S3656">
        <v>6.76</v>
      </c>
      <c r="T3656" s="4">
        <v>47.204000000000001</v>
      </c>
      <c r="U3656" s="4">
        <v>33.878148000000003</v>
      </c>
      <c r="V3656" t="str">
        <f>IF(Table1[[#This Row],[ai_disruption_intensity]]&gt;70,"High",
IF(Table1[[#This Row],[ai_disruption_intensity]]&gt;40,"Medium","Low"))</f>
        <v>Low</v>
      </c>
      <c r="W3656" t="str">
        <f>IF(Table1[[#This Row],[skill_gap_index]]&gt;70,"Large Gap",
IF(Table1[[#This Row],[skill_gap_index]]&gt;40,"Medium Gap","Small Gap"))</f>
        <v>Medium Gap</v>
      </c>
      <c r="X3656" s="3" t="str">
        <f>IF(Table1[[#This Row],[automation_risk_percent]]&gt;0.7,"Highly Automatable",
IF(Table1[[#This Row],[automation_risk_percent]]&gt;0.4,"Moderate Risk","Safe Job"))</f>
        <v>Highly Automatable</v>
      </c>
    </row>
    <row r="3657" spans="1:24" x14ac:dyDescent="0.3">
      <c r="A3657">
        <v>12744</v>
      </c>
      <c r="B3657" t="s">
        <v>39</v>
      </c>
      <c r="C3657" t="s">
        <v>38</v>
      </c>
      <c r="D3657" t="s">
        <v>35</v>
      </c>
      <c r="E3657" s="1">
        <v>2025</v>
      </c>
      <c r="F3657" s="11">
        <v>0.62819999999999998</v>
      </c>
      <c r="G3657">
        <v>50.49</v>
      </c>
      <c r="H3657">
        <v>60.28</v>
      </c>
      <c r="I3657" s="2">
        <v>147845.39000000001</v>
      </c>
      <c r="J3657" s="2">
        <v>161641.82</v>
      </c>
      <c r="K3657" s="2">
        <f>Table1[[#This Row],[Salary_after]]-Table1[[#This Row],[Salary_before]]</f>
        <v>13796.429999999993</v>
      </c>
      <c r="L3657" s="11">
        <v>9.3299999999999994E-2</v>
      </c>
      <c r="M3657" s="11">
        <v>-0.18190000000000001</v>
      </c>
      <c r="N3657">
        <v>22.62</v>
      </c>
      <c r="O3657">
        <v>70.64</v>
      </c>
      <c r="P3657">
        <v>5</v>
      </c>
      <c r="Q3657" t="s">
        <v>37</v>
      </c>
      <c r="R3657">
        <v>61.55</v>
      </c>
      <c r="S3657">
        <v>9.33</v>
      </c>
      <c r="T3657" s="4">
        <v>46.011000000000003</v>
      </c>
      <c r="U3657" s="4">
        <v>44.376047999999997</v>
      </c>
      <c r="V3657" t="str">
        <f>IF(Table1[[#This Row],[ai_disruption_intensity]]&gt;70,"High",
IF(Table1[[#This Row],[ai_disruption_intensity]]&gt;40,"Medium","Low"))</f>
        <v>Medium</v>
      </c>
      <c r="W3657" t="str">
        <f>IF(Table1[[#This Row],[skill_gap_index]]&gt;70,"Large Gap",
IF(Table1[[#This Row],[skill_gap_index]]&gt;40,"Medium Gap","Small Gap"))</f>
        <v>Medium Gap</v>
      </c>
      <c r="X3657" s="3" t="str">
        <f>IF(Table1[[#This Row],[automation_risk_percent]]&gt;0.7,"Highly Automatable",
IF(Table1[[#This Row],[automation_risk_percent]]&gt;0.4,"Moderate Risk","Safe Job"))</f>
        <v>Moderate Risk</v>
      </c>
    </row>
    <row r="3658" spans="1:24" x14ac:dyDescent="0.3">
      <c r="A3658">
        <v>12746</v>
      </c>
      <c r="B3658" t="s">
        <v>41</v>
      </c>
      <c r="C3658" t="s">
        <v>23</v>
      </c>
      <c r="D3658" t="s">
        <v>24</v>
      </c>
      <c r="E3658" s="1">
        <v>2025</v>
      </c>
      <c r="F3658" s="11">
        <v>0.92659999999999998</v>
      </c>
      <c r="G3658">
        <v>76.599999999999994</v>
      </c>
      <c r="H3658">
        <v>28.74</v>
      </c>
      <c r="I3658" s="2">
        <v>146456.95999999999</v>
      </c>
      <c r="J3658" s="2">
        <v>146086.18</v>
      </c>
      <c r="K3658" s="2">
        <f>Table1[[#This Row],[Salary_after]]-Table1[[#This Row],[Salary_before]]</f>
        <v>-370.77999999999884</v>
      </c>
      <c r="L3658" s="11">
        <v>-2.5000000000000001E-3</v>
      </c>
      <c r="M3658" s="11">
        <v>-4.7800000000000002E-2</v>
      </c>
      <c r="N3658">
        <v>69.03</v>
      </c>
      <c r="O3658">
        <v>22.75</v>
      </c>
      <c r="P3658">
        <v>1</v>
      </c>
      <c r="Q3658" t="s">
        <v>37</v>
      </c>
      <c r="R3658">
        <v>60.699999999999903</v>
      </c>
      <c r="S3658">
        <v>0.25</v>
      </c>
      <c r="T3658" s="4">
        <v>45.761000000000003</v>
      </c>
      <c r="U3658" s="4">
        <v>21.08015</v>
      </c>
      <c r="V3658" t="str">
        <f>IF(Table1[[#This Row],[ai_disruption_intensity]]&gt;70,"High",
IF(Table1[[#This Row],[ai_disruption_intensity]]&gt;40,"Medium","Low"))</f>
        <v>Low</v>
      </c>
      <c r="W3658" t="str">
        <f>IF(Table1[[#This Row],[skill_gap_index]]&gt;70,"Large Gap",
IF(Table1[[#This Row],[skill_gap_index]]&gt;40,"Medium Gap","Small Gap"))</f>
        <v>Small Gap</v>
      </c>
      <c r="X3658" s="3" t="str">
        <f>IF(Table1[[#This Row],[automation_risk_percent]]&gt;0.7,"Highly Automatable",
IF(Table1[[#This Row],[automation_risk_percent]]&gt;0.4,"Moderate Risk","Safe Job"))</f>
        <v>Highly Automatable</v>
      </c>
    </row>
    <row r="3659" spans="1:24" x14ac:dyDescent="0.3">
      <c r="A3659">
        <v>12747</v>
      </c>
      <c r="B3659" t="s">
        <v>45</v>
      </c>
      <c r="C3659" t="s">
        <v>19</v>
      </c>
      <c r="D3659" t="s">
        <v>28</v>
      </c>
      <c r="E3659" s="1">
        <v>2026</v>
      </c>
      <c r="F3659" s="11">
        <v>0.64329999999999998</v>
      </c>
      <c r="G3659">
        <v>73.39</v>
      </c>
      <c r="H3659">
        <v>39.770000000000003</v>
      </c>
      <c r="I3659" s="2">
        <v>114499.82</v>
      </c>
      <c r="J3659" s="2">
        <v>137144.01</v>
      </c>
      <c r="K3659" s="2">
        <f>Table1[[#This Row],[Salary_after]]-Table1[[#This Row],[Salary_before]]</f>
        <v>22644.190000000002</v>
      </c>
      <c r="L3659" s="11">
        <v>0.1978</v>
      </c>
      <c r="M3659" s="11">
        <v>8.3699999999999997E-2</v>
      </c>
      <c r="N3659">
        <v>50.49</v>
      </c>
      <c r="O3659">
        <v>3.39</v>
      </c>
      <c r="P3659">
        <v>2</v>
      </c>
      <c r="Q3659" t="s">
        <v>37</v>
      </c>
      <c r="R3659">
        <v>52.05</v>
      </c>
      <c r="S3659">
        <v>19.78</v>
      </c>
      <c r="T3659" s="4">
        <v>43.596999999999902</v>
      </c>
      <c r="U3659" s="4">
        <v>2.180787</v>
      </c>
      <c r="V3659" t="str">
        <f>IF(Table1[[#This Row],[ai_disruption_intensity]]&gt;70,"High",
IF(Table1[[#This Row],[ai_disruption_intensity]]&gt;40,"Medium","Low"))</f>
        <v>Low</v>
      </c>
      <c r="W3659" t="str">
        <f>IF(Table1[[#This Row],[skill_gap_index]]&gt;70,"Large Gap",
IF(Table1[[#This Row],[skill_gap_index]]&gt;40,"Medium Gap","Small Gap"))</f>
        <v>Small Gap</v>
      </c>
      <c r="X3659" s="3" t="str">
        <f>IF(Table1[[#This Row],[automation_risk_percent]]&gt;0.7,"Highly Automatable",
IF(Table1[[#This Row],[automation_risk_percent]]&gt;0.4,"Moderate Risk","Safe Job"))</f>
        <v>Moderate Risk</v>
      </c>
    </row>
    <row r="3660" spans="1:24" x14ac:dyDescent="0.3">
      <c r="A3660">
        <v>12749</v>
      </c>
      <c r="B3660" t="s">
        <v>26</v>
      </c>
      <c r="C3660" t="s">
        <v>23</v>
      </c>
      <c r="D3660" t="s">
        <v>32</v>
      </c>
      <c r="E3660" s="1">
        <v>2026</v>
      </c>
      <c r="F3660" s="11">
        <v>0.26869999999999999</v>
      </c>
      <c r="G3660">
        <v>23.79</v>
      </c>
      <c r="H3660">
        <v>7.88</v>
      </c>
      <c r="I3660" s="2">
        <v>124841.37</v>
      </c>
      <c r="J3660" s="2">
        <v>142848.43</v>
      </c>
      <c r="K3660" s="2">
        <f>Table1[[#This Row],[Salary_after]]-Table1[[#This Row],[Salary_before]]</f>
        <v>18007.059999999998</v>
      </c>
      <c r="L3660" s="11">
        <v>0.14419999999999999</v>
      </c>
      <c r="M3660" s="11">
        <v>0.22239999999999999</v>
      </c>
      <c r="N3660">
        <v>91.52</v>
      </c>
      <c r="O3660">
        <v>1.23</v>
      </c>
      <c r="P3660">
        <v>5</v>
      </c>
      <c r="Q3660" t="s">
        <v>21</v>
      </c>
      <c r="R3660">
        <v>17.375</v>
      </c>
      <c r="S3660">
        <v>14.42</v>
      </c>
      <c r="T3660" s="4">
        <v>17.437999999999999</v>
      </c>
      <c r="U3660" s="4">
        <v>0.33050099999999999</v>
      </c>
      <c r="V3660" t="str">
        <f>IF(Table1[[#This Row],[ai_disruption_intensity]]&gt;70,"High",
IF(Table1[[#This Row],[ai_disruption_intensity]]&gt;40,"Medium","Low"))</f>
        <v>Low</v>
      </c>
      <c r="W3660" t="str">
        <f>IF(Table1[[#This Row],[skill_gap_index]]&gt;70,"Large Gap",
IF(Table1[[#This Row],[skill_gap_index]]&gt;40,"Medium Gap","Small Gap"))</f>
        <v>Small Gap</v>
      </c>
      <c r="X3660" s="3" t="str">
        <f>IF(Table1[[#This Row],[automation_risk_percent]]&gt;0.7,"Highly Automatable",
IF(Table1[[#This Row],[automation_risk_percent]]&gt;0.4,"Moderate Risk","Safe Job"))</f>
        <v>Safe Job</v>
      </c>
    </row>
    <row r="3661" spans="1:24" x14ac:dyDescent="0.3">
      <c r="A3661">
        <v>12753</v>
      </c>
      <c r="B3661" t="s">
        <v>26</v>
      </c>
      <c r="C3661" t="s">
        <v>38</v>
      </c>
      <c r="D3661" t="s">
        <v>28</v>
      </c>
      <c r="E3661" s="1">
        <v>2025</v>
      </c>
      <c r="F3661" s="11">
        <v>0.3639</v>
      </c>
      <c r="G3661">
        <v>38.53</v>
      </c>
      <c r="H3661">
        <v>78.760000000000005</v>
      </c>
      <c r="I3661" s="2">
        <v>50225.43</v>
      </c>
      <c r="J3661" s="2">
        <v>48455.22</v>
      </c>
      <c r="K3661" s="2">
        <f>Table1[[#This Row],[Salary_after]]-Table1[[#This Row],[Salary_before]]</f>
        <v>-1770.2099999999991</v>
      </c>
      <c r="L3661" s="11">
        <v>-3.5200000000000002E-2</v>
      </c>
      <c r="M3661" s="11">
        <v>5.3200000000000004E-2</v>
      </c>
      <c r="N3661">
        <v>49.63</v>
      </c>
      <c r="O3661">
        <v>0.27</v>
      </c>
      <c r="P3661">
        <v>5</v>
      </c>
      <c r="Q3661" t="s">
        <v>25</v>
      </c>
      <c r="R3661">
        <v>57.575000000000003</v>
      </c>
      <c r="S3661">
        <v>3.52</v>
      </c>
      <c r="T3661" s="4">
        <v>39.239999999999903</v>
      </c>
      <c r="U3661" s="4">
        <v>9.8252999999999993E-2</v>
      </c>
      <c r="V3661" t="str">
        <f>IF(Table1[[#This Row],[ai_disruption_intensity]]&gt;70,"High",
IF(Table1[[#This Row],[ai_disruption_intensity]]&gt;40,"Medium","Low"))</f>
        <v>Low</v>
      </c>
      <c r="W3661" t="str">
        <f>IF(Table1[[#This Row],[skill_gap_index]]&gt;70,"Large Gap",
IF(Table1[[#This Row],[skill_gap_index]]&gt;40,"Medium Gap","Small Gap"))</f>
        <v>Large Gap</v>
      </c>
      <c r="X3661" s="3" t="str">
        <f>IF(Table1[[#This Row],[automation_risk_percent]]&gt;0.7,"Highly Automatable",
IF(Table1[[#This Row],[automation_risk_percent]]&gt;0.4,"Moderate Risk","Safe Job"))</f>
        <v>Safe Job</v>
      </c>
    </row>
    <row r="3662" spans="1:24" x14ac:dyDescent="0.3">
      <c r="A3662">
        <v>12756</v>
      </c>
      <c r="B3662" t="s">
        <v>22</v>
      </c>
      <c r="C3662" t="s">
        <v>30</v>
      </c>
      <c r="D3662" t="s">
        <v>32</v>
      </c>
      <c r="E3662" s="1">
        <v>2026</v>
      </c>
      <c r="F3662" s="11">
        <v>0.59360000000000002</v>
      </c>
      <c r="G3662">
        <v>54.23</v>
      </c>
      <c r="H3662">
        <v>16.170000000000002</v>
      </c>
      <c r="I3662" s="2">
        <v>58829.55</v>
      </c>
      <c r="J3662" s="2">
        <v>66355.34</v>
      </c>
      <c r="K3662" s="2">
        <f>Table1[[#This Row],[Salary_after]]-Table1[[#This Row],[Salary_before]]</f>
        <v>7525.7899999999936</v>
      </c>
      <c r="L3662" s="11">
        <v>0.12789999999999999</v>
      </c>
      <c r="M3662" s="11">
        <v>1.0700000000000001E-2</v>
      </c>
      <c r="N3662">
        <v>56.36</v>
      </c>
      <c r="O3662">
        <v>35.020000000000003</v>
      </c>
      <c r="P3662">
        <v>3</v>
      </c>
      <c r="Q3662" t="s">
        <v>25</v>
      </c>
      <c r="R3662">
        <v>37.765000000000001</v>
      </c>
      <c r="S3662">
        <v>12.79</v>
      </c>
      <c r="T3662" s="4">
        <v>32.432000000000002</v>
      </c>
      <c r="U3662" s="4">
        <v>20.787872</v>
      </c>
      <c r="V3662" t="str">
        <f>IF(Table1[[#This Row],[ai_disruption_intensity]]&gt;70,"High",
IF(Table1[[#This Row],[ai_disruption_intensity]]&gt;40,"Medium","Low"))</f>
        <v>Low</v>
      </c>
      <c r="W3662" t="str">
        <f>IF(Table1[[#This Row],[skill_gap_index]]&gt;70,"Large Gap",
IF(Table1[[#This Row],[skill_gap_index]]&gt;40,"Medium Gap","Small Gap"))</f>
        <v>Small Gap</v>
      </c>
      <c r="X3662" s="3" t="str">
        <f>IF(Table1[[#This Row],[automation_risk_percent]]&gt;0.7,"Highly Automatable",
IF(Table1[[#This Row],[automation_risk_percent]]&gt;0.4,"Moderate Risk","Safe Job"))</f>
        <v>Moderate Risk</v>
      </c>
    </row>
    <row r="3663" spans="1:24" x14ac:dyDescent="0.3">
      <c r="A3663">
        <v>12760</v>
      </c>
      <c r="B3663" t="s">
        <v>39</v>
      </c>
      <c r="C3663" t="s">
        <v>40</v>
      </c>
      <c r="D3663" t="s">
        <v>36</v>
      </c>
      <c r="E3663" s="1">
        <v>2025</v>
      </c>
      <c r="F3663" s="11">
        <v>0.48979999999999996</v>
      </c>
      <c r="G3663">
        <v>55.15</v>
      </c>
      <c r="H3663">
        <v>35.659999999999997</v>
      </c>
      <c r="I3663" s="2">
        <v>43374.74</v>
      </c>
      <c r="J3663" s="2">
        <v>48179.71</v>
      </c>
      <c r="K3663" s="2">
        <f>Table1[[#This Row],[Salary_after]]-Table1[[#This Row],[Salary_before]]</f>
        <v>4804.9700000000012</v>
      </c>
      <c r="L3663" s="11">
        <v>0.1108</v>
      </c>
      <c r="M3663" s="11">
        <v>5.7800000000000004E-2</v>
      </c>
      <c r="N3663">
        <v>62.96</v>
      </c>
      <c r="O3663">
        <v>21.79</v>
      </c>
      <c r="P3663">
        <v>4</v>
      </c>
      <c r="Q3663" t="s">
        <v>25</v>
      </c>
      <c r="R3663">
        <v>42.319999999999901</v>
      </c>
      <c r="S3663">
        <v>11.08</v>
      </c>
      <c r="T3663" s="4">
        <v>33.613999999999997</v>
      </c>
      <c r="U3663" s="4">
        <v>10.6727419999999</v>
      </c>
      <c r="V3663" t="str">
        <f>IF(Table1[[#This Row],[ai_disruption_intensity]]&gt;70,"High",
IF(Table1[[#This Row],[ai_disruption_intensity]]&gt;40,"Medium","Low"))</f>
        <v>Low</v>
      </c>
      <c r="W3663" t="str">
        <f>IF(Table1[[#This Row],[skill_gap_index]]&gt;70,"Large Gap",
IF(Table1[[#This Row],[skill_gap_index]]&gt;40,"Medium Gap","Small Gap"))</f>
        <v>Small Gap</v>
      </c>
      <c r="X3663" s="3" t="str">
        <f>IF(Table1[[#This Row],[automation_risk_percent]]&gt;0.7,"Highly Automatable",
IF(Table1[[#This Row],[automation_risk_percent]]&gt;0.4,"Moderate Risk","Safe Job"))</f>
        <v>Moderate Risk</v>
      </c>
    </row>
    <row r="3664" spans="1:24" x14ac:dyDescent="0.3">
      <c r="A3664">
        <v>12765</v>
      </c>
      <c r="B3664" t="s">
        <v>39</v>
      </c>
      <c r="C3664" t="s">
        <v>38</v>
      </c>
      <c r="D3664" t="s">
        <v>47</v>
      </c>
      <c r="E3664" s="1">
        <v>2026</v>
      </c>
      <c r="F3664" s="11">
        <v>0.67349999999999999</v>
      </c>
      <c r="G3664">
        <v>60.27</v>
      </c>
      <c r="H3664">
        <v>58.05</v>
      </c>
      <c r="I3664" s="2">
        <v>102218.24000000001</v>
      </c>
      <c r="J3664" s="2">
        <v>84661.17</v>
      </c>
      <c r="K3664" s="2">
        <f>Table1[[#This Row],[Salary_after]]-Table1[[#This Row],[Salary_before]]</f>
        <v>-17557.070000000007</v>
      </c>
      <c r="L3664" s="11">
        <v>-0.17180000000000001</v>
      </c>
      <c r="M3664" s="11">
        <v>3.4599999999999999E-2</v>
      </c>
      <c r="N3664">
        <v>85.32</v>
      </c>
      <c r="O3664">
        <v>30.2</v>
      </c>
      <c r="P3664">
        <v>5</v>
      </c>
      <c r="Q3664" t="s">
        <v>37</v>
      </c>
      <c r="R3664">
        <v>62.699999999999903</v>
      </c>
      <c r="S3664">
        <v>17.18</v>
      </c>
      <c r="T3664" s="4">
        <v>49.509</v>
      </c>
      <c r="U3664" s="4">
        <v>20.339699999999901</v>
      </c>
      <c r="V3664" t="str">
        <f>IF(Table1[[#This Row],[ai_disruption_intensity]]&gt;70,"High",
IF(Table1[[#This Row],[ai_disruption_intensity]]&gt;40,"Medium","Low"))</f>
        <v>Low</v>
      </c>
      <c r="W3664" t="str">
        <f>IF(Table1[[#This Row],[skill_gap_index]]&gt;70,"Large Gap",
IF(Table1[[#This Row],[skill_gap_index]]&gt;40,"Medium Gap","Small Gap"))</f>
        <v>Medium Gap</v>
      </c>
      <c r="X3664" s="3" t="str">
        <f>IF(Table1[[#This Row],[automation_risk_percent]]&gt;0.7,"Highly Automatable",
IF(Table1[[#This Row],[automation_risk_percent]]&gt;0.4,"Moderate Risk","Safe Job"))</f>
        <v>Moderate Risk</v>
      </c>
    </row>
    <row r="3665" spans="1:24" x14ac:dyDescent="0.3">
      <c r="A3665">
        <v>12769</v>
      </c>
      <c r="B3665" t="s">
        <v>29</v>
      </c>
      <c r="C3665" t="s">
        <v>34</v>
      </c>
      <c r="D3665" t="s">
        <v>24</v>
      </c>
      <c r="E3665" s="1">
        <v>2025</v>
      </c>
      <c r="F3665" s="11">
        <v>0.40399999999999997</v>
      </c>
      <c r="G3665">
        <v>36.29</v>
      </c>
      <c r="H3665">
        <v>60.06</v>
      </c>
      <c r="I3665" s="2">
        <v>108628.34</v>
      </c>
      <c r="J3665" s="2">
        <v>113949.66</v>
      </c>
      <c r="K3665" s="2">
        <f>Table1[[#This Row],[Salary_after]]-Table1[[#This Row],[Salary_before]]</f>
        <v>5321.320000000007</v>
      </c>
      <c r="L3665" s="11">
        <v>4.9000000000000002E-2</v>
      </c>
      <c r="M3665" s="11">
        <v>9.300000000000001E-3</v>
      </c>
      <c r="N3665">
        <v>79.08</v>
      </c>
      <c r="O3665">
        <v>48.92</v>
      </c>
      <c r="P3665">
        <v>3</v>
      </c>
      <c r="Q3665" t="s">
        <v>25</v>
      </c>
      <c r="R3665">
        <v>50.23</v>
      </c>
      <c r="S3665">
        <v>4.9000000000000004</v>
      </c>
      <c r="T3665" s="4">
        <v>35.647999999999897</v>
      </c>
      <c r="U3665" s="4">
        <v>19.763680000000001</v>
      </c>
      <c r="V3665" t="str">
        <f>IF(Table1[[#This Row],[ai_disruption_intensity]]&gt;70,"High",
IF(Table1[[#This Row],[ai_disruption_intensity]]&gt;40,"Medium","Low"))</f>
        <v>Low</v>
      </c>
      <c r="W3665" t="str">
        <f>IF(Table1[[#This Row],[skill_gap_index]]&gt;70,"Large Gap",
IF(Table1[[#This Row],[skill_gap_index]]&gt;40,"Medium Gap","Small Gap"))</f>
        <v>Medium Gap</v>
      </c>
      <c r="X3665" s="3" t="str">
        <f>IF(Table1[[#This Row],[automation_risk_percent]]&gt;0.7,"Highly Automatable",
IF(Table1[[#This Row],[automation_risk_percent]]&gt;0.4,"Moderate Risk","Safe Job"))</f>
        <v>Moderate Risk</v>
      </c>
    </row>
    <row r="3666" spans="1:24" x14ac:dyDescent="0.3">
      <c r="A3666">
        <v>12772</v>
      </c>
      <c r="B3666" t="s">
        <v>41</v>
      </c>
      <c r="C3666" t="s">
        <v>33</v>
      </c>
      <c r="D3666" t="s">
        <v>24</v>
      </c>
      <c r="E3666" s="1">
        <v>2025</v>
      </c>
      <c r="F3666" s="11">
        <v>0.72689999999999999</v>
      </c>
      <c r="G3666">
        <v>77.42</v>
      </c>
      <c r="H3666">
        <v>1.75</v>
      </c>
      <c r="I3666" s="2">
        <v>101914.68</v>
      </c>
      <c r="J3666" s="2">
        <v>86171.1</v>
      </c>
      <c r="K3666" s="2">
        <f>Table1[[#This Row],[Salary_after]]-Table1[[#This Row],[Salary_before]]</f>
        <v>-15743.579999999987</v>
      </c>
      <c r="L3666" s="11">
        <v>-0.1545</v>
      </c>
      <c r="M3666" s="11">
        <v>5.9900000000000002E-2</v>
      </c>
      <c r="N3666">
        <v>58.45</v>
      </c>
      <c r="O3666">
        <v>71.709999999999994</v>
      </c>
      <c r="P3666">
        <v>1</v>
      </c>
      <c r="Q3666" t="s">
        <v>37</v>
      </c>
      <c r="R3666">
        <v>37.22</v>
      </c>
      <c r="S3666">
        <v>15.45</v>
      </c>
      <c r="T3666" s="4">
        <v>34.235999999999997</v>
      </c>
      <c r="U3666" s="4">
        <v>52.125998999999901</v>
      </c>
      <c r="V3666" t="str">
        <f>IF(Table1[[#This Row],[ai_disruption_intensity]]&gt;70,"High",
IF(Table1[[#This Row],[ai_disruption_intensity]]&gt;40,"Medium","Low"))</f>
        <v>Medium</v>
      </c>
      <c r="W3666" t="str">
        <f>IF(Table1[[#This Row],[skill_gap_index]]&gt;70,"Large Gap",
IF(Table1[[#This Row],[skill_gap_index]]&gt;40,"Medium Gap","Small Gap"))</f>
        <v>Small Gap</v>
      </c>
      <c r="X3666" s="3" t="str">
        <f>IF(Table1[[#This Row],[automation_risk_percent]]&gt;0.7,"Highly Automatable",
IF(Table1[[#This Row],[automation_risk_percent]]&gt;0.4,"Moderate Risk","Safe Job"))</f>
        <v>Highly Automatable</v>
      </c>
    </row>
    <row r="3667" spans="1:24" x14ac:dyDescent="0.3">
      <c r="A3667">
        <v>12773</v>
      </c>
      <c r="B3667" t="s">
        <v>43</v>
      </c>
      <c r="C3667" t="s">
        <v>40</v>
      </c>
      <c r="D3667" t="s">
        <v>36</v>
      </c>
      <c r="E3667" s="1">
        <v>2025</v>
      </c>
      <c r="F3667" s="11">
        <v>0.74809999999999999</v>
      </c>
      <c r="G3667">
        <v>70.069999999999993</v>
      </c>
      <c r="H3667">
        <v>42.26</v>
      </c>
      <c r="I3667" s="2">
        <v>49633.599999999999</v>
      </c>
      <c r="J3667" s="2">
        <v>53678.38</v>
      </c>
      <c r="K3667" s="2">
        <f>Table1[[#This Row],[Salary_after]]-Table1[[#This Row],[Salary_before]]</f>
        <v>4044.7799999999988</v>
      </c>
      <c r="L3667" s="11">
        <v>8.1500000000000003E-2</v>
      </c>
      <c r="M3667" s="11">
        <v>0.10589999999999999</v>
      </c>
      <c r="N3667">
        <v>73.37</v>
      </c>
      <c r="O3667">
        <v>44.27</v>
      </c>
      <c r="P3667">
        <v>3</v>
      </c>
      <c r="Q3667" t="s">
        <v>37</v>
      </c>
      <c r="R3667">
        <v>58.534999999999997</v>
      </c>
      <c r="S3667">
        <v>8.15</v>
      </c>
      <c r="T3667" s="4">
        <v>45.046999999999997</v>
      </c>
      <c r="U3667" s="4">
        <v>33.118386999999998</v>
      </c>
      <c r="V3667" t="str">
        <f>IF(Table1[[#This Row],[ai_disruption_intensity]]&gt;70,"High",
IF(Table1[[#This Row],[ai_disruption_intensity]]&gt;40,"Medium","Low"))</f>
        <v>Low</v>
      </c>
      <c r="W3667" t="str">
        <f>IF(Table1[[#This Row],[skill_gap_index]]&gt;70,"Large Gap",
IF(Table1[[#This Row],[skill_gap_index]]&gt;40,"Medium Gap","Small Gap"))</f>
        <v>Medium Gap</v>
      </c>
      <c r="X3667" s="3" t="str">
        <f>IF(Table1[[#This Row],[automation_risk_percent]]&gt;0.7,"Highly Automatable",
IF(Table1[[#This Row],[automation_risk_percent]]&gt;0.4,"Moderate Risk","Safe Job"))</f>
        <v>Highly Automatable</v>
      </c>
    </row>
    <row r="3668" spans="1:24" x14ac:dyDescent="0.3">
      <c r="A3668">
        <v>12774</v>
      </c>
      <c r="B3668" t="s">
        <v>44</v>
      </c>
      <c r="C3668" t="s">
        <v>33</v>
      </c>
      <c r="D3668" t="s">
        <v>31</v>
      </c>
      <c r="E3668" s="1">
        <v>2025</v>
      </c>
      <c r="F3668" s="11">
        <v>0.49209999999999998</v>
      </c>
      <c r="G3668">
        <v>43.7</v>
      </c>
      <c r="H3668">
        <v>73.540000000000006</v>
      </c>
      <c r="I3668" s="2">
        <v>109361.59</v>
      </c>
      <c r="J3668" s="2">
        <v>110695.16</v>
      </c>
      <c r="K3668" s="2">
        <f>Table1[[#This Row],[Salary_after]]-Table1[[#This Row],[Salary_before]]</f>
        <v>1333.570000000007</v>
      </c>
      <c r="L3668" s="11">
        <v>1.2199999999999999E-2</v>
      </c>
      <c r="M3668" s="11">
        <v>0.12659999999999999</v>
      </c>
      <c r="N3668">
        <v>77.44</v>
      </c>
      <c r="O3668">
        <v>50.06</v>
      </c>
      <c r="P3668">
        <v>1</v>
      </c>
      <c r="Q3668" t="s">
        <v>25</v>
      </c>
      <c r="R3668">
        <v>61.375</v>
      </c>
      <c r="S3668">
        <v>1.22</v>
      </c>
      <c r="T3668" s="4">
        <v>42.112000000000002</v>
      </c>
      <c r="U3668" s="4">
        <v>24.634526000000001</v>
      </c>
      <c r="V3668" t="str">
        <f>IF(Table1[[#This Row],[ai_disruption_intensity]]&gt;70,"High",
IF(Table1[[#This Row],[ai_disruption_intensity]]&gt;40,"Medium","Low"))</f>
        <v>Low</v>
      </c>
      <c r="W3668" t="str">
        <f>IF(Table1[[#This Row],[skill_gap_index]]&gt;70,"Large Gap",
IF(Table1[[#This Row],[skill_gap_index]]&gt;40,"Medium Gap","Small Gap"))</f>
        <v>Large Gap</v>
      </c>
      <c r="X3668" s="3" t="str">
        <f>IF(Table1[[#This Row],[automation_risk_percent]]&gt;0.7,"Highly Automatable",
IF(Table1[[#This Row],[automation_risk_percent]]&gt;0.4,"Moderate Risk","Safe Job"))</f>
        <v>Moderate Risk</v>
      </c>
    </row>
    <row r="3669" spans="1:24" x14ac:dyDescent="0.3">
      <c r="A3669">
        <v>12776</v>
      </c>
      <c r="B3669" t="s">
        <v>46</v>
      </c>
      <c r="C3669" t="s">
        <v>30</v>
      </c>
      <c r="D3669" t="s">
        <v>20</v>
      </c>
      <c r="E3669" s="1">
        <v>2025</v>
      </c>
      <c r="F3669" s="11">
        <v>0.28889999999999999</v>
      </c>
      <c r="G3669">
        <v>27.02</v>
      </c>
      <c r="H3669">
        <v>49.47</v>
      </c>
      <c r="I3669" s="2">
        <v>90581.04</v>
      </c>
      <c r="J3669" s="2">
        <v>89063.11</v>
      </c>
      <c r="K3669" s="2">
        <f>Table1[[#This Row],[Salary_after]]-Table1[[#This Row],[Salary_before]]</f>
        <v>-1517.929999999993</v>
      </c>
      <c r="L3669" s="11">
        <v>-1.6799999999999999E-2</v>
      </c>
      <c r="M3669" s="11">
        <v>2.06E-2</v>
      </c>
      <c r="N3669">
        <v>15.02</v>
      </c>
      <c r="O3669">
        <v>72.72</v>
      </c>
      <c r="P3669">
        <v>3</v>
      </c>
      <c r="Q3669" t="s">
        <v>21</v>
      </c>
      <c r="R3669">
        <v>39.18</v>
      </c>
      <c r="S3669">
        <v>1.68</v>
      </c>
      <c r="T3669" s="4">
        <v>26.901</v>
      </c>
      <c r="U3669" s="4">
        <v>21.008807999999998</v>
      </c>
      <c r="V3669" t="str">
        <f>IF(Table1[[#This Row],[ai_disruption_intensity]]&gt;70,"High",
IF(Table1[[#This Row],[ai_disruption_intensity]]&gt;40,"Medium","Low"))</f>
        <v>Low</v>
      </c>
      <c r="W3669" t="str">
        <f>IF(Table1[[#This Row],[skill_gap_index]]&gt;70,"Large Gap",
IF(Table1[[#This Row],[skill_gap_index]]&gt;40,"Medium Gap","Small Gap"))</f>
        <v>Medium Gap</v>
      </c>
      <c r="X3669" s="3" t="str">
        <f>IF(Table1[[#This Row],[automation_risk_percent]]&gt;0.7,"Highly Automatable",
IF(Table1[[#This Row],[automation_risk_percent]]&gt;0.4,"Moderate Risk","Safe Job"))</f>
        <v>Safe Job</v>
      </c>
    </row>
    <row r="3670" spans="1:24" x14ac:dyDescent="0.3">
      <c r="A3670">
        <v>12777</v>
      </c>
      <c r="B3670" t="s">
        <v>43</v>
      </c>
      <c r="C3670" t="s">
        <v>33</v>
      </c>
      <c r="D3670" t="s">
        <v>20</v>
      </c>
      <c r="E3670" s="1">
        <v>2026</v>
      </c>
      <c r="F3670" s="11">
        <v>0.60299999999999998</v>
      </c>
      <c r="G3670">
        <v>55.23</v>
      </c>
      <c r="H3670">
        <v>58.08</v>
      </c>
      <c r="I3670" s="2">
        <v>81540.009999999995</v>
      </c>
      <c r="J3670" s="2">
        <v>85223.9</v>
      </c>
      <c r="K3670" s="2">
        <f>Table1[[#This Row],[Salary_after]]-Table1[[#This Row],[Salary_before]]</f>
        <v>3683.8899999999994</v>
      </c>
      <c r="L3670" s="11">
        <v>4.5199999999999997E-2</v>
      </c>
      <c r="M3670" s="11">
        <v>-4.1100000000000005E-2</v>
      </c>
      <c r="N3670">
        <v>79.650000000000006</v>
      </c>
      <c r="O3670">
        <v>33.47</v>
      </c>
      <c r="P3670">
        <v>3</v>
      </c>
      <c r="Q3670" t="s">
        <v>37</v>
      </c>
      <c r="R3670">
        <v>59.19</v>
      </c>
      <c r="S3670">
        <v>4.5199999999999996</v>
      </c>
      <c r="T3670" s="4">
        <v>42.9</v>
      </c>
      <c r="U3670" s="4">
        <v>20.182409999999901</v>
      </c>
      <c r="V3670" t="str">
        <f>IF(Table1[[#This Row],[ai_disruption_intensity]]&gt;70,"High",
IF(Table1[[#This Row],[ai_disruption_intensity]]&gt;40,"Medium","Low"))</f>
        <v>Low</v>
      </c>
      <c r="W3670" t="str">
        <f>IF(Table1[[#This Row],[skill_gap_index]]&gt;70,"Large Gap",
IF(Table1[[#This Row],[skill_gap_index]]&gt;40,"Medium Gap","Small Gap"))</f>
        <v>Medium Gap</v>
      </c>
      <c r="X3670" s="3" t="str">
        <f>IF(Table1[[#This Row],[automation_risk_percent]]&gt;0.7,"Highly Automatable",
IF(Table1[[#This Row],[automation_risk_percent]]&gt;0.4,"Moderate Risk","Safe Job"))</f>
        <v>Moderate Risk</v>
      </c>
    </row>
    <row r="3671" spans="1:24" x14ac:dyDescent="0.3">
      <c r="A3671">
        <v>12779</v>
      </c>
      <c r="B3671" t="s">
        <v>43</v>
      </c>
      <c r="C3671" t="s">
        <v>38</v>
      </c>
      <c r="D3671" t="s">
        <v>28</v>
      </c>
      <c r="E3671" s="1">
        <v>2026</v>
      </c>
      <c r="F3671" s="11">
        <v>0.67989999999999995</v>
      </c>
      <c r="G3671">
        <v>71.28</v>
      </c>
      <c r="H3671">
        <v>8.92</v>
      </c>
      <c r="I3671" s="2">
        <v>115315.3</v>
      </c>
      <c r="J3671" s="2">
        <v>102269.91</v>
      </c>
      <c r="K3671" s="2">
        <f>Table1[[#This Row],[Salary_after]]-Table1[[#This Row],[Salary_before]]</f>
        <v>-13045.39</v>
      </c>
      <c r="L3671" s="11">
        <v>-0.11310000000000001</v>
      </c>
      <c r="M3671" s="11">
        <v>5.62E-2</v>
      </c>
      <c r="N3671">
        <v>11.93</v>
      </c>
      <c r="O3671">
        <v>84.02</v>
      </c>
      <c r="P3671">
        <v>4</v>
      </c>
      <c r="Q3671" t="s">
        <v>37</v>
      </c>
      <c r="R3671">
        <v>38.454999999999998</v>
      </c>
      <c r="S3671">
        <v>11.31</v>
      </c>
      <c r="T3671" s="4">
        <v>33.264999999999901</v>
      </c>
      <c r="U3671" s="4">
        <v>57.125197999999898</v>
      </c>
      <c r="V3671" t="str">
        <f>IF(Table1[[#This Row],[ai_disruption_intensity]]&gt;70,"High",
IF(Table1[[#This Row],[ai_disruption_intensity]]&gt;40,"Medium","Low"))</f>
        <v>Medium</v>
      </c>
      <c r="W3671" t="str">
        <f>IF(Table1[[#This Row],[skill_gap_index]]&gt;70,"Large Gap",
IF(Table1[[#This Row],[skill_gap_index]]&gt;40,"Medium Gap","Small Gap"))</f>
        <v>Small Gap</v>
      </c>
      <c r="X3671" s="3" t="str">
        <f>IF(Table1[[#This Row],[automation_risk_percent]]&gt;0.7,"Highly Automatable",
IF(Table1[[#This Row],[automation_risk_percent]]&gt;0.4,"Moderate Risk","Safe Job"))</f>
        <v>Moderate Risk</v>
      </c>
    </row>
    <row r="3672" spans="1:24" x14ac:dyDescent="0.3">
      <c r="A3672">
        <v>12785</v>
      </c>
      <c r="B3672" t="s">
        <v>45</v>
      </c>
      <c r="C3672" t="s">
        <v>33</v>
      </c>
      <c r="D3672" t="s">
        <v>42</v>
      </c>
      <c r="E3672" s="1">
        <v>2026</v>
      </c>
      <c r="F3672" s="11">
        <v>0.11849999999999999</v>
      </c>
      <c r="G3672">
        <v>10.42</v>
      </c>
      <c r="H3672">
        <v>49.15</v>
      </c>
      <c r="I3672" s="2">
        <v>136694.37</v>
      </c>
      <c r="J3672" s="2">
        <v>119700.72</v>
      </c>
      <c r="K3672" s="2">
        <f>Table1[[#This Row],[Salary_after]]-Table1[[#This Row],[Salary_before]]</f>
        <v>-16993.649999999994</v>
      </c>
      <c r="L3672" s="11">
        <v>-0.12429999999999999</v>
      </c>
      <c r="M3672" s="11">
        <v>2.46E-2</v>
      </c>
      <c r="N3672">
        <v>54.05</v>
      </c>
      <c r="O3672">
        <v>62.89</v>
      </c>
      <c r="P3672">
        <v>4</v>
      </c>
      <c r="Q3672" t="s">
        <v>21</v>
      </c>
      <c r="R3672">
        <v>30.5</v>
      </c>
      <c r="S3672">
        <v>12.43</v>
      </c>
      <c r="T3672" s="4">
        <v>23.213999999999999</v>
      </c>
      <c r="U3672" s="4">
        <v>7.4524650000000001</v>
      </c>
      <c r="V3672" t="str">
        <f>IF(Table1[[#This Row],[ai_disruption_intensity]]&gt;70,"High",
IF(Table1[[#This Row],[ai_disruption_intensity]]&gt;40,"Medium","Low"))</f>
        <v>Low</v>
      </c>
      <c r="W3672" t="str">
        <f>IF(Table1[[#This Row],[skill_gap_index]]&gt;70,"Large Gap",
IF(Table1[[#This Row],[skill_gap_index]]&gt;40,"Medium Gap","Small Gap"))</f>
        <v>Medium Gap</v>
      </c>
      <c r="X3672" s="3" t="str">
        <f>IF(Table1[[#This Row],[automation_risk_percent]]&gt;0.7,"Highly Automatable",
IF(Table1[[#This Row],[automation_risk_percent]]&gt;0.4,"Moderate Risk","Safe Job"))</f>
        <v>Safe Job</v>
      </c>
    </row>
    <row r="3673" spans="1:24" x14ac:dyDescent="0.3">
      <c r="A3673">
        <v>12789</v>
      </c>
      <c r="B3673" t="s">
        <v>22</v>
      </c>
      <c r="C3673" t="s">
        <v>38</v>
      </c>
      <c r="D3673" t="s">
        <v>24</v>
      </c>
      <c r="E3673" s="1">
        <v>2026</v>
      </c>
      <c r="F3673" s="11">
        <v>0.54559999999999997</v>
      </c>
      <c r="G3673">
        <v>57.45</v>
      </c>
      <c r="H3673">
        <v>63.63</v>
      </c>
      <c r="I3673" s="2">
        <v>58085.93</v>
      </c>
      <c r="J3673" s="2">
        <v>53022.79</v>
      </c>
      <c r="K3673" s="2">
        <f>Table1[[#This Row],[Salary_after]]-Table1[[#This Row],[Salary_before]]</f>
        <v>-5063.1399999999994</v>
      </c>
      <c r="L3673" s="11">
        <v>-8.72E-2</v>
      </c>
      <c r="M3673" s="11">
        <v>6.4899999999999999E-2</v>
      </c>
      <c r="N3673">
        <v>45.83</v>
      </c>
      <c r="O3673">
        <v>87.62</v>
      </c>
      <c r="P3673">
        <v>1</v>
      </c>
      <c r="Q3673" t="s">
        <v>25</v>
      </c>
      <c r="R3673">
        <v>59.094999999999999</v>
      </c>
      <c r="S3673">
        <v>8.7200000000000006</v>
      </c>
      <c r="T3673" s="4">
        <v>43.528999999999897</v>
      </c>
      <c r="U3673" s="4">
        <v>47.805472000000002</v>
      </c>
      <c r="V3673" t="str">
        <f>IF(Table1[[#This Row],[ai_disruption_intensity]]&gt;70,"High",
IF(Table1[[#This Row],[ai_disruption_intensity]]&gt;40,"Medium","Low"))</f>
        <v>Medium</v>
      </c>
      <c r="W3673" t="str">
        <f>IF(Table1[[#This Row],[skill_gap_index]]&gt;70,"Large Gap",
IF(Table1[[#This Row],[skill_gap_index]]&gt;40,"Medium Gap","Small Gap"))</f>
        <v>Medium Gap</v>
      </c>
      <c r="X3673" s="3" t="str">
        <f>IF(Table1[[#This Row],[automation_risk_percent]]&gt;0.7,"Highly Automatable",
IF(Table1[[#This Row],[automation_risk_percent]]&gt;0.4,"Moderate Risk","Safe Job"))</f>
        <v>Moderate Risk</v>
      </c>
    </row>
    <row r="3674" spans="1:24" x14ac:dyDescent="0.3">
      <c r="A3674">
        <v>12790</v>
      </c>
      <c r="B3674" t="s">
        <v>44</v>
      </c>
      <c r="C3674" t="s">
        <v>19</v>
      </c>
      <c r="D3674" t="s">
        <v>47</v>
      </c>
      <c r="E3674" s="1">
        <v>2025</v>
      </c>
      <c r="F3674" s="11">
        <v>0.15410000000000001</v>
      </c>
      <c r="G3674">
        <v>16.329999999999998</v>
      </c>
      <c r="H3674">
        <v>42.85</v>
      </c>
      <c r="I3674" s="2">
        <v>133175.71</v>
      </c>
      <c r="J3674" s="2">
        <v>126060.96</v>
      </c>
      <c r="K3674" s="2">
        <f>Table1[[#This Row],[Salary_after]]-Table1[[#This Row],[Salary_before]]</f>
        <v>-7114.7499999999854</v>
      </c>
      <c r="L3674" s="11">
        <v>-5.3399999999999996E-2</v>
      </c>
      <c r="M3674" s="11">
        <v>8.4000000000000005E-2</v>
      </c>
      <c r="N3674">
        <v>36.31</v>
      </c>
      <c r="O3674">
        <v>63.7</v>
      </c>
      <c r="P3674">
        <v>2</v>
      </c>
      <c r="Q3674" t="s">
        <v>21</v>
      </c>
      <c r="R3674">
        <v>29.13</v>
      </c>
      <c r="S3674">
        <v>5.34</v>
      </c>
      <c r="T3674" s="4">
        <v>20.620999999999999</v>
      </c>
      <c r="U3674" s="4">
        <v>9.8161699999999996</v>
      </c>
      <c r="V3674" t="str">
        <f>IF(Table1[[#This Row],[ai_disruption_intensity]]&gt;70,"High",
IF(Table1[[#This Row],[ai_disruption_intensity]]&gt;40,"Medium","Low"))</f>
        <v>Low</v>
      </c>
      <c r="W3674" t="str">
        <f>IF(Table1[[#This Row],[skill_gap_index]]&gt;70,"Large Gap",
IF(Table1[[#This Row],[skill_gap_index]]&gt;40,"Medium Gap","Small Gap"))</f>
        <v>Medium Gap</v>
      </c>
      <c r="X3674" s="3" t="str">
        <f>IF(Table1[[#This Row],[automation_risk_percent]]&gt;0.7,"Highly Automatable",
IF(Table1[[#This Row],[automation_risk_percent]]&gt;0.4,"Moderate Risk","Safe Job"))</f>
        <v>Safe Job</v>
      </c>
    </row>
    <row r="3675" spans="1:24" x14ac:dyDescent="0.3">
      <c r="A3675">
        <v>12792</v>
      </c>
      <c r="B3675" t="s">
        <v>26</v>
      </c>
      <c r="C3675" t="s">
        <v>38</v>
      </c>
      <c r="D3675" t="s">
        <v>20</v>
      </c>
      <c r="E3675" s="1">
        <v>2025</v>
      </c>
      <c r="F3675" s="11">
        <v>0.37790000000000001</v>
      </c>
      <c r="G3675">
        <v>30.96</v>
      </c>
      <c r="H3675">
        <v>28.16</v>
      </c>
      <c r="I3675" s="2">
        <v>44841.52</v>
      </c>
      <c r="J3675" s="2">
        <v>42628.55</v>
      </c>
      <c r="K3675" s="2">
        <f>Table1[[#This Row],[Salary_after]]-Table1[[#This Row],[Salary_before]]</f>
        <v>-2212.9699999999939</v>
      </c>
      <c r="L3675" s="11">
        <v>-4.9400000000000006E-2</v>
      </c>
      <c r="M3675" s="11">
        <v>-2.0799999999999999E-2</v>
      </c>
      <c r="N3675">
        <v>22.23</v>
      </c>
      <c r="O3675">
        <v>89.96</v>
      </c>
      <c r="P3675">
        <v>5</v>
      </c>
      <c r="Q3675" t="s">
        <v>25</v>
      </c>
      <c r="R3675">
        <v>32.975000000000001</v>
      </c>
      <c r="S3675">
        <v>4.9400000000000004</v>
      </c>
      <c r="T3675" s="4">
        <v>25.045999999999999</v>
      </c>
      <c r="U3675" s="4">
        <v>33.995883999999997</v>
      </c>
      <c r="V3675" t="str">
        <f>IF(Table1[[#This Row],[ai_disruption_intensity]]&gt;70,"High",
IF(Table1[[#This Row],[ai_disruption_intensity]]&gt;40,"Medium","Low"))</f>
        <v>Low</v>
      </c>
      <c r="W3675" t="str">
        <f>IF(Table1[[#This Row],[skill_gap_index]]&gt;70,"Large Gap",
IF(Table1[[#This Row],[skill_gap_index]]&gt;40,"Medium Gap","Small Gap"))</f>
        <v>Small Gap</v>
      </c>
      <c r="X3675" s="3" t="str">
        <f>IF(Table1[[#This Row],[automation_risk_percent]]&gt;0.7,"Highly Automatable",
IF(Table1[[#This Row],[automation_risk_percent]]&gt;0.4,"Moderate Risk","Safe Job"))</f>
        <v>Safe Job</v>
      </c>
    </row>
    <row r="3676" spans="1:24" x14ac:dyDescent="0.3">
      <c r="A3676">
        <v>12793</v>
      </c>
      <c r="B3676" t="s">
        <v>22</v>
      </c>
      <c r="C3676" t="s">
        <v>40</v>
      </c>
      <c r="D3676" t="s">
        <v>28</v>
      </c>
      <c r="E3676" s="1">
        <v>2025</v>
      </c>
      <c r="F3676" s="11">
        <v>0.1595</v>
      </c>
      <c r="G3676">
        <v>18.239999999999998</v>
      </c>
      <c r="H3676">
        <v>47.92</v>
      </c>
      <c r="I3676" s="2">
        <v>48769.42</v>
      </c>
      <c r="J3676" s="2">
        <v>54293.73</v>
      </c>
      <c r="K3676" s="2">
        <f>Table1[[#This Row],[Salary_after]]-Table1[[#This Row],[Salary_before]]</f>
        <v>5524.3100000000049</v>
      </c>
      <c r="L3676" s="11">
        <v>0.1133</v>
      </c>
      <c r="M3676" s="11">
        <v>5.8499999999999996E-2</v>
      </c>
      <c r="N3676">
        <v>90.1</v>
      </c>
      <c r="O3676">
        <v>35.58</v>
      </c>
      <c r="P3676">
        <v>1</v>
      </c>
      <c r="Q3676" t="s">
        <v>21</v>
      </c>
      <c r="R3676">
        <v>31.934999999999999</v>
      </c>
      <c r="S3676">
        <v>11.33</v>
      </c>
      <c r="T3676" s="4">
        <v>24.155000000000001</v>
      </c>
      <c r="U3676" s="4">
        <v>5.6750099999999897</v>
      </c>
      <c r="V3676" t="str">
        <f>IF(Table1[[#This Row],[ai_disruption_intensity]]&gt;70,"High",
IF(Table1[[#This Row],[ai_disruption_intensity]]&gt;40,"Medium","Low"))</f>
        <v>Low</v>
      </c>
      <c r="W3676" t="str">
        <f>IF(Table1[[#This Row],[skill_gap_index]]&gt;70,"Large Gap",
IF(Table1[[#This Row],[skill_gap_index]]&gt;40,"Medium Gap","Small Gap"))</f>
        <v>Medium Gap</v>
      </c>
      <c r="X3676" s="3" t="str">
        <f>IF(Table1[[#This Row],[automation_risk_percent]]&gt;0.7,"Highly Automatable",
IF(Table1[[#This Row],[automation_risk_percent]]&gt;0.4,"Moderate Risk","Safe Job"))</f>
        <v>Safe Job</v>
      </c>
    </row>
    <row r="3677" spans="1:24" x14ac:dyDescent="0.3">
      <c r="A3677">
        <v>12798</v>
      </c>
      <c r="B3677" t="s">
        <v>22</v>
      </c>
      <c r="C3677" t="s">
        <v>27</v>
      </c>
      <c r="D3677" t="s">
        <v>31</v>
      </c>
      <c r="E3677" s="1">
        <v>2025</v>
      </c>
      <c r="F3677" s="11">
        <v>0.2208</v>
      </c>
      <c r="G3677">
        <v>25.84</v>
      </c>
      <c r="H3677">
        <v>44.67</v>
      </c>
      <c r="I3677" s="2">
        <v>56684.55</v>
      </c>
      <c r="J3677" s="2">
        <v>56157.06</v>
      </c>
      <c r="K3677" s="2">
        <f>Table1[[#This Row],[Salary_after]]-Table1[[#This Row],[Salary_before]]</f>
        <v>-527.49000000000524</v>
      </c>
      <c r="L3677" s="11">
        <v>-9.300000000000001E-3</v>
      </c>
      <c r="M3677" s="11">
        <v>0.11890000000000001</v>
      </c>
      <c r="N3677">
        <v>25.64</v>
      </c>
      <c r="O3677">
        <v>82.33</v>
      </c>
      <c r="P3677">
        <v>3</v>
      </c>
      <c r="Q3677" t="s">
        <v>21</v>
      </c>
      <c r="R3677">
        <v>33.375</v>
      </c>
      <c r="S3677">
        <v>0.93</v>
      </c>
      <c r="T3677" s="4">
        <v>22.511999999999901</v>
      </c>
      <c r="U3677" s="4">
        <v>18.178463999999899</v>
      </c>
      <c r="V3677" t="str">
        <f>IF(Table1[[#This Row],[ai_disruption_intensity]]&gt;70,"High",
IF(Table1[[#This Row],[ai_disruption_intensity]]&gt;40,"Medium","Low"))</f>
        <v>Low</v>
      </c>
      <c r="W3677" t="str">
        <f>IF(Table1[[#This Row],[skill_gap_index]]&gt;70,"Large Gap",
IF(Table1[[#This Row],[skill_gap_index]]&gt;40,"Medium Gap","Small Gap"))</f>
        <v>Medium Gap</v>
      </c>
      <c r="X3677" s="3" t="str">
        <f>IF(Table1[[#This Row],[automation_risk_percent]]&gt;0.7,"Highly Automatable",
IF(Table1[[#This Row],[automation_risk_percent]]&gt;0.4,"Moderate Risk","Safe Job"))</f>
        <v>Safe Job</v>
      </c>
    </row>
    <row r="3678" spans="1:24" x14ac:dyDescent="0.3">
      <c r="A3678">
        <v>12802</v>
      </c>
      <c r="B3678" t="s">
        <v>44</v>
      </c>
      <c r="C3678" t="s">
        <v>40</v>
      </c>
      <c r="D3678" t="s">
        <v>36</v>
      </c>
      <c r="E3678" s="1">
        <v>2026</v>
      </c>
      <c r="F3678" s="11">
        <v>0.1547</v>
      </c>
      <c r="G3678">
        <v>17.36</v>
      </c>
      <c r="H3678">
        <v>97.15</v>
      </c>
      <c r="I3678" s="2">
        <v>36285.760000000002</v>
      </c>
      <c r="J3678" s="2">
        <v>34110.61</v>
      </c>
      <c r="K3678" s="2">
        <f>Table1[[#This Row],[Salary_after]]-Table1[[#This Row],[Salary_before]]</f>
        <v>-2175.1500000000015</v>
      </c>
      <c r="L3678" s="11">
        <v>-5.9900000000000002E-2</v>
      </c>
      <c r="M3678" s="11">
        <v>-4.6399999999999997E-2</v>
      </c>
      <c r="N3678">
        <v>36.909999999999997</v>
      </c>
      <c r="O3678">
        <v>94.96</v>
      </c>
      <c r="P3678">
        <v>3</v>
      </c>
      <c r="Q3678" t="s">
        <v>21</v>
      </c>
      <c r="R3678">
        <v>56.31</v>
      </c>
      <c r="S3678">
        <v>5.99</v>
      </c>
      <c r="T3678" s="4">
        <v>37.129999999999903</v>
      </c>
      <c r="U3678" s="4">
        <v>14.690311999999899</v>
      </c>
      <c r="V3678" t="str">
        <f>IF(Table1[[#This Row],[ai_disruption_intensity]]&gt;70,"High",
IF(Table1[[#This Row],[ai_disruption_intensity]]&gt;40,"Medium","Low"))</f>
        <v>Low</v>
      </c>
      <c r="W3678" t="str">
        <f>IF(Table1[[#This Row],[skill_gap_index]]&gt;70,"Large Gap",
IF(Table1[[#This Row],[skill_gap_index]]&gt;40,"Medium Gap","Small Gap"))</f>
        <v>Large Gap</v>
      </c>
      <c r="X3678" s="3" t="str">
        <f>IF(Table1[[#This Row],[automation_risk_percent]]&gt;0.7,"Highly Automatable",
IF(Table1[[#This Row],[automation_risk_percent]]&gt;0.4,"Moderate Risk","Safe Job"))</f>
        <v>Safe Job</v>
      </c>
    </row>
    <row r="3679" spans="1:24" x14ac:dyDescent="0.3">
      <c r="A3679">
        <v>12809</v>
      </c>
      <c r="B3679" t="s">
        <v>43</v>
      </c>
      <c r="C3679" t="s">
        <v>27</v>
      </c>
      <c r="D3679" t="s">
        <v>20</v>
      </c>
      <c r="E3679" s="1">
        <v>2025</v>
      </c>
      <c r="F3679" s="11">
        <v>0.75980000000000003</v>
      </c>
      <c r="G3679">
        <v>70.099999999999994</v>
      </c>
      <c r="H3679">
        <v>65.88</v>
      </c>
      <c r="I3679" s="2">
        <v>131554.18</v>
      </c>
      <c r="J3679" s="2">
        <v>101181.21</v>
      </c>
      <c r="K3679" s="2">
        <f>Table1[[#This Row],[Salary_after]]-Table1[[#This Row],[Salary_before]]</f>
        <v>-30372.969999999987</v>
      </c>
      <c r="L3679" s="11">
        <v>-0.23089999999999999</v>
      </c>
      <c r="M3679" s="11">
        <v>-8.8699999999999987E-2</v>
      </c>
      <c r="N3679">
        <v>26.75</v>
      </c>
      <c r="O3679">
        <v>72.81</v>
      </c>
      <c r="P3679">
        <v>4</v>
      </c>
      <c r="Q3679" t="s">
        <v>37</v>
      </c>
      <c r="R3679">
        <v>70.930000000000007</v>
      </c>
      <c r="S3679">
        <v>23.09</v>
      </c>
      <c r="T3679" s="4">
        <v>57.082999999999998</v>
      </c>
      <c r="U3679" s="4">
        <v>55.321038000000001</v>
      </c>
      <c r="V3679" t="str">
        <f>IF(Table1[[#This Row],[ai_disruption_intensity]]&gt;70,"High",
IF(Table1[[#This Row],[ai_disruption_intensity]]&gt;40,"Medium","Low"))</f>
        <v>Medium</v>
      </c>
      <c r="W3679" t="str">
        <f>IF(Table1[[#This Row],[skill_gap_index]]&gt;70,"Large Gap",
IF(Table1[[#This Row],[skill_gap_index]]&gt;40,"Medium Gap","Small Gap"))</f>
        <v>Medium Gap</v>
      </c>
      <c r="X3679" s="3" t="str">
        <f>IF(Table1[[#This Row],[automation_risk_percent]]&gt;0.7,"Highly Automatable",
IF(Table1[[#This Row],[automation_risk_percent]]&gt;0.4,"Moderate Risk","Safe Job"))</f>
        <v>Highly Automatable</v>
      </c>
    </row>
    <row r="3680" spans="1:24" x14ac:dyDescent="0.3">
      <c r="A3680">
        <v>12810</v>
      </c>
      <c r="B3680" t="s">
        <v>39</v>
      </c>
      <c r="C3680" t="s">
        <v>34</v>
      </c>
      <c r="D3680" t="s">
        <v>31</v>
      </c>
      <c r="E3680" s="1">
        <v>2026</v>
      </c>
      <c r="F3680" s="11">
        <v>0.33750000000000002</v>
      </c>
      <c r="G3680">
        <v>35.479999999999997</v>
      </c>
      <c r="H3680">
        <v>24.66</v>
      </c>
      <c r="I3680" s="2">
        <v>118687.08</v>
      </c>
      <c r="J3680" s="2">
        <v>132011.82999999999</v>
      </c>
      <c r="K3680" s="2">
        <f>Table1[[#This Row],[Salary_after]]-Table1[[#This Row],[Salary_before]]</f>
        <v>13324.749999999985</v>
      </c>
      <c r="L3680" s="11">
        <v>0.11230000000000001</v>
      </c>
      <c r="M3680" s="11">
        <v>-2.3900000000000001E-2</v>
      </c>
      <c r="N3680">
        <v>57.95</v>
      </c>
      <c r="O3680">
        <v>10.62</v>
      </c>
      <c r="P3680">
        <v>5</v>
      </c>
      <c r="Q3680" t="s">
        <v>25</v>
      </c>
      <c r="R3680">
        <v>29.204999999999998</v>
      </c>
      <c r="S3680">
        <v>11.23</v>
      </c>
      <c r="T3680" s="4">
        <v>24.266999999999999</v>
      </c>
      <c r="U3680" s="4">
        <v>3.5842499999999902</v>
      </c>
      <c r="V3680" t="str">
        <f>IF(Table1[[#This Row],[ai_disruption_intensity]]&gt;70,"High",
IF(Table1[[#This Row],[ai_disruption_intensity]]&gt;40,"Medium","Low"))</f>
        <v>Low</v>
      </c>
      <c r="W3680" t="str">
        <f>IF(Table1[[#This Row],[skill_gap_index]]&gt;70,"Large Gap",
IF(Table1[[#This Row],[skill_gap_index]]&gt;40,"Medium Gap","Small Gap"))</f>
        <v>Small Gap</v>
      </c>
      <c r="X3680" s="3" t="str">
        <f>IF(Table1[[#This Row],[automation_risk_percent]]&gt;0.7,"Highly Automatable",
IF(Table1[[#This Row],[automation_risk_percent]]&gt;0.4,"Moderate Risk","Safe Job"))</f>
        <v>Safe Job</v>
      </c>
    </row>
    <row r="3681" spans="1:24" x14ac:dyDescent="0.3">
      <c r="A3681">
        <v>12812</v>
      </c>
      <c r="B3681" t="s">
        <v>18</v>
      </c>
      <c r="C3681" t="s">
        <v>30</v>
      </c>
      <c r="D3681" t="s">
        <v>28</v>
      </c>
      <c r="E3681" s="1">
        <v>2026</v>
      </c>
      <c r="F3681" s="11">
        <v>0.10099999999999999</v>
      </c>
      <c r="G3681">
        <v>9</v>
      </c>
      <c r="H3681">
        <v>7.8</v>
      </c>
      <c r="I3681" s="2">
        <v>66792.539999999994</v>
      </c>
      <c r="J3681" s="2">
        <v>56617.05</v>
      </c>
      <c r="K3681" s="2">
        <f>Table1[[#This Row],[Salary_after]]-Table1[[#This Row],[Salary_before]]</f>
        <v>-10175.489999999991</v>
      </c>
      <c r="L3681" s="11">
        <v>-0.15229999999999999</v>
      </c>
      <c r="M3681" s="11">
        <v>0.11349999999999999</v>
      </c>
      <c r="N3681">
        <v>27.09</v>
      </c>
      <c r="O3681">
        <v>38.68</v>
      </c>
      <c r="P3681">
        <v>2</v>
      </c>
      <c r="Q3681" t="s">
        <v>21</v>
      </c>
      <c r="R3681">
        <v>8.9499999999999993</v>
      </c>
      <c r="S3681">
        <v>15.23</v>
      </c>
      <c r="T3681" s="4">
        <v>10.949</v>
      </c>
      <c r="U3681" s="4">
        <v>3.9066800000000002</v>
      </c>
      <c r="V3681" t="str">
        <f>IF(Table1[[#This Row],[ai_disruption_intensity]]&gt;70,"High",
IF(Table1[[#This Row],[ai_disruption_intensity]]&gt;40,"Medium","Low"))</f>
        <v>Low</v>
      </c>
      <c r="W3681" t="str">
        <f>IF(Table1[[#This Row],[skill_gap_index]]&gt;70,"Large Gap",
IF(Table1[[#This Row],[skill_gap_index]]&gt;40,"Medium Gap","Small Gap"))</f>
        <v>Small Gap</v>
      </c>
      <c r="X3681" s="3" t="str">
        <f>IF(Table1[[#This Row],[automation_risk_percent]]&gt;0.7,"Highly Automatable",
IF(Table1[[#This Row],[automation_risk_percent]]&gt;0.4,"Moderate Risk","Safe Job"))</f>
        <v>Safe Job</v>
      </c>
    </row>
    <row r="3682" spans="1:24" x14ac:dyDescent="0.3">
      <c r="A3682">
        <v>12814</v>
      </c>
      <c r="B3682" t="s">
        <v>45</v>
      </c>
      <c r="C3682" t="s">
        <v>19</v>
      </c>
      <c r="D3682" t="s">
        <v>28</v>
      </c>
      <c r="E3682" s="1">
        <v>2025</v>
      </c>
      <c r="F3682" s="11">
        <v>0.13789999999999999</v>
      </c>
      <c r="G3682">
        <v>14.74</v>
      </c>
      <c r="H3682">
        <v>21.02</v>
      </c>
      <c r="I3682" s="2">
        <v>94593.84</v>
      </c>
      <c r="J3682" s="2">
        <v>96468.89</v>
      </c>
      <c r="K3682" s="2">
        <f>Table1[[#This Row],[Salary_after]]-Table1[[#This Row],[Salary_before]]</f>
        <v>1875.0500000000029</v>
      </c>
      <c r="L3682" s="11">
        <v>1.9799999999999998E-2</v>
      </c>
      <c r="M3682" s="11">
        <v>-0.12770000000000001</v>
      </c>
      <c r="N3682">
        <v>99.9</v>
      </c>
      <c r="O3682">
        <v>69.069999999999993</v>
      </c>
      <c r="P3682">
        <v>3</v>
      </c>
      <c r="Q3682" t="s">
        <v>21</v>
      </c>
      <c r="R3682">
        <v>17.405000000000001</v>
      </c>
      <c r="S3682">
        <v>1.98</v>
      </c>
      <c r="T3682" s="4">
        <v>12.415999999999899</v>
      </c>
      <c r="U3682" s="4">
        <v>9.5247529999999898</v>
      </c>
      <c r="V3682" t="str">
        <f>IF(Table1[[#This Row],[ai_disruption_intensity]]&gt;70,"High",
IF(Table1[[#This Row],[ai_disruption_intensity]]&gt;40,"Medium","Low"))</f>
        <v>Low</v>
      </c>
      <c r="W3682" t="str">
        <f>IF(Table1[[#This Row],[skill_gap_index]]&gt;70,"Large Gap",
IF(Table1[[#This Row],[skill_gap_index]]&gt;40,"Medium Gap","Small Gap"))</f>
        <v>Small Gap</v>
      </c>
      <c r="X3682" s="3" t="str">
        <f>IF(Table1[[#This Row],[automation_risk_percent]]&gt;0.7,"Highly Automatable",
IF(Table1[[#This Row],[automation_risk_percent]]&gt;0.4,"Moderate Risk","Safe Job"))</f>
        <v>Safe Job</v>
      </c>
    </row>
    <row r="3683" spans="1:24" x14ac:dyDescent="0.3">
      <c r="A3683">
        <v>12819</v>
      </c>
      <c r="B3683" t="s">
        <v>41</v>
      </c>
      <c r="C3683" t="s">
        <v>38</v>
      </c>
      <c r="D3683" t="s">
        <v>32</v>
      </c>
      <c r="E3683" s="1">
        <v>2025</v>
      </c>
      <c r="F3683" s="11">
        <v>0.62649999999999995</v>
      </c>
      <c r="G3683">
        <v>62.4</v>
      </c>
      <c r="H3683">
        <v>24.02</v>
      </c>
      <c r="I3683" s="2">
        <v>110130.75</v>
      </c>
      <c r="J3683" s="2">
        <v>120686.24</v>
      </c>
      <c r="K3683" s="2">
        <f>Table1[[#This Row],[Salary_after]]-Table1[[#This Row],[Salary_before]]</f>
        <v>10555.490000000005</v>
      </c>
      <c r="L3683" s="11">
        <v>9.5799999999999996E-2</v>
      </c>
      <c r="M3683" s="11">
        <v>9.1000000000000004E-3</v>
      </c>
      <c r="N3683">
        <v>17.52</v>
      </c>
      <c r="O3683">
        <v>77.010000000000005</v>
      </c>
      <c r="P3683">
        <v>4</v>
      </c>
      <c r="Q3683" t="s">
        <v>37</v>
      </c>
      <c r="R3683">
        <v>43.335000000000001</v>
      </c>
      <c r="S3683">
        <v>9.58</v>
      </c>
      <c r="T3683" s="4">
        <v>35.14</v>
      </c>
      <c r="U3683" s="4">
        <v>48.246765000000003</v>
      </c>
      <c r="V3683" t="str">
        <f>IF(Table1[[#This Row],[ai_disruption_intensity]]&gt;70,"High",
IF(Table1[[#This Row],[ai_disruption_intensity]]&gt;40,"Medium","Low"))</f>
        <v>Medium</v>
      </c>
      <c r="W3683" t="str">
        <f>IF(Table1[[#This Row],[skill_gap_index]]&gt;70,"Large Gap",
IF(Table1[[#This Row],[skill_gap_index]]&gt;40,"Medium Gap","Small Gap"))</f>
        <v>Small Gap</v>
      </c>
      <c r="X3683" s="3" t="str">
        <f>IF(Table1[[#This Row],[automation_risk_percent]]&gt;0.7,"Highly Automatable",
IF(Table1[[#This Row],[automation_risk_percent]]&gt;0.4,"Moderate Risk","Safe Job"))</f>
        <v>Moderate Risk</v>
      </c>
    </row>
    <row r="3684" spans="1:24" x14ac:dyDescent="0.3">
      <c r="A3684">
        <v>12820</v>
      </c>
      <c r="B3684" t="s">
        <v>44</v>
      </c>
      <c r="C3684" t="s">
        <v>19</v>
      </c>
      <c r="D3684" t="s">
        <v>24</v>
      </c>
      <c r="E3684" s="1">
        <v>2026</v>
      </c>
      <c r="F3684" s="11">
        <v>0.40639999999999998</v>
      </c>
      <c r="G3684">
        <v>37.590000000000003</v>
      </c>
      <c r="H3684">
        <v>93.89</v>
      </c>
      <c r="I3684" s="2">
        <v>54000.34</v>
      </c>
      <c r="J3684" s="2">
        <v>47912.56</v>
      </c>
      <c r="K3684" s="2">
        <f>Table1[[#This Row],[Salary_after]]-Table1[[#This Row],[Salary_before]]</f>
        <v>-6087.7799999999988</v>
      </c>
      <c r="L3684" s="11">
        <v>-0.11269999999999999</v>
      </c>
      <c r="M3684" s="11">
        <v>-0.1913</v>
      </c>
      <c r="N3684">
        <v>36.78</v>
      </c>
      <c r="O3684">
        <v>8.9</v>
      </c>
      <c r="P3684">
        <v>5</v>
      </c>
      <c r="Q3684" t="s">
        <v>25</v>
      </c>
      <c r="R3684">
        <v>67.265000000000001</v>
      </c>
      <c r="S3684">
        <v>11.27</v>
      </c>
      <c r="T3684" s="4">
        <v>47.804000000000002</v>
      </c>
      <c r="U3684" s="4">
        <v>3.6169600000000002</v>
      </c>
      <c r="V3684" t="str">
        <f>IF(Table1[[#This Row],[ai_disruption_intensity]]&gt;70,"High",
IF(Table1[[#This Row],[ai_disruption_intensity]]&gt;40,"Medium","Low"))</f>
        <v>Low</v>
      </c>
      <c r="W3684" t="str">
        <f>IF(Table1[[#This Row],[skill_gap_index]]&gt;70,"Large Gap",
IF(Table1[[#This Row],[skill_gap_index]]&gt;40,"Medium Gap","Small Gap"))</f>
        <v>Large Gap</v>
      </c>
      <c r="X3684" s="3" t="str">
        <f>IF(Table1[[#This Row],[automation_risk_percent]]&gt;0.7,"Highly Automatable",
IF(Table1[[#This Row],[automation_risk_percent]]&gt;0.4,"Moderate Risk","Safe Job"))</f>
        <v>Moderate Risk</v>
      </c>
    </row>
    <row r="3685" spans="1:24" x14ac:dyDescent="0.3">
      <c r="A3685">
        <v>12821</v>
      </c>
      <c r="B3685" t="s">
        <v>26</v>
      </c>
      <c r="C3685" t="s">
        <v>19</v>
      </c>
      <c r="D3685" t="s">
        <v>35</v>
      </c>
      <c r="E3685" s="1">
        <v>2026</v>
      </c>
      <c r="F3685" s="11">
        <v>0.63359999999999994</v>
      </c>
      <c r="G3685">
        <v>73.349999999999994</v>
      </c>
      <c r="H3685">
        <v>62.89</v>
      </c>
      <c r="I3685" s="2">
        <v>68925.100000000006</v>
      </c>
      <c r="J3685" s="2">
        <v>71489.38</v>
      </c>
      <c r="K3685" s="2">
        <f>Table1[[#This Row],[Salary_after]]-Table1[[#This Row],[Salary_before]]</f>
        <v>2564.2799999999988</v>
      </c>
      <c r="L3685" s="11">
        <v>3.7200000000000004E-2</v>
      </c>
      <c r="M3685" s="11">
        <v>6.0299999999999999E-2</v>
      </c>
      <c r="N3685">
        <v>89.51</v>
      </c>
      <c r="O3685">
        <v>16.559999999999999</v>
      </c>
      <c r="P3685">
        <v>3</v>
      </c>
      <c r="Q3685" t="s">
        <v>37</v>
      </c>
      <c r="R3685">
        <v>63.125</v>
      </c>
      <c r="S3685">
        <v>3.72</v>
      </c>
      <c r="T3685" s="4">
        <v>45.326999999999998</v>
      </c>
      <c r="U3685" s="4">
        <v>10.492415999999899</v>
      </c>
      <c r="V3685" t="str">
        <f>IF(Table1[[#This Row],[ai_disruption_intensity]]&gt;70,"High",
IF(Table1[[#This Row],[ai_disruption_intensity]]&gt;40,"Medium","Low"))</f>
        <v>Low</v>
      </c>
      <c r="W3685" t="str">
        <f>IF(Table1[[#This Row],[skill_gap_index]]&gt;70,"Large Gap",
IF(Table1[[#This Row],[skill_gap_index]]&gt;40,"Medium Gap","Small Gap"))</f>
        <v>Medium Gap</v>
      </c>
      <c r="X3685" s="3" t="str">
        <f>IF(Table1[[#This Row],[automation_risk_percent]]&gt;0.7,"Highly Automatable",
IF(Table1[[#This Row],[automation_risk_percent]]&gt;0.4,"Moderate Risk","Safe Job"))</f>
        <v>Moderate Risk</v>
      </c>
    </row>
    <row r="3686" spans="1:24" x14ac:dyDescent="0.3">
      <c r="A3686">
        <v>12822</v>
      </c>
      <c r="B3686" t="s">
        <v>43</v>
      </c>
      <c r="C3686" t="s">
        <v>23</v>
      </c>
      <c r="D3686" t="s">
        <v>31</v>
      </c>
      <c r="E3686" s="1">
        <v>2025</v>
      </c>
      <c r="F3686" s="11">
        <v>0.67130000000000001</v>
      </c>
      <c r="G3686">
        <v>75.13</v>
      </c>
      <c r="H3686">
        <v>91.73</v>
      </c>
      <c r="I3686" s="2">
        <v>35702.5</v>
      </c>
      <c r="J3686" s="2">
        <v>36656.81</v>
      </c>
      <c r="K3686" s="2">
        <f>Table1[[#This Row],[Salary_after]]-Table1[[#This Row],[Salary_before]]</f>
        <v>954.30999999999767</v>
      </c>
      <c r="L3686" s="11">
        <v>2.6699999999999998E-2</v>
      </c>
      <c r="M3686" s="11">
        <v>0.20449999999999999</v>
      </c>
      <c r="N3686">
        <v>58.45</v>
      </c>
      <c r="O3686">
        <v>34.93</v>
      </c>
      <c r="P3686">
        <v>3</v>
      </c>
      <c r="Q3686" t="s">
        <v>37</v>
      </c>
      <c r="R3686">
        <v>79.430000000000007</v>
      </c>
      <c r="S3686">
        <v>2.67</v>
      </c>
      <c r="T3686" s="4">
        <v>55.171999999999997</v>
      </c>
      <c r="U3686" s="4">
        <v>23.448508999999898</v>
      </c>
      <c r="V3686" t="str">
        <f>IF(Table1[[#This Row],[ai_disruption_intensity]]&gt;70,"High",
IF(Table1[[#This Row],[ai_disruption_intensity]]&gt;40,"Medium","Low"))</f>
        <v>Low</v>
      </c>
      <c r="W3686" t="str">
        <f>IF(Table1[[#This Row],[skill_gap_index]]&gt;70,"Large Gap",
IF(Table1[[#This Row],[skill_gap_index]]&gt;40,"Medium Gap","Small Gap"))</f>
        <v>Large Gap</v>
      </c>
      <c r="X3686" s="3" t="str">
        <f>IF(Table1[[#This Row],[automation_risk_percent]]&gt;0.7,"Highly Automatable",
IF(Table1[[#This Row],[automation_risk_percent]]&gt;0.4,"Moderate Risk","Safe Job"))</f>
        <v>Moderate Risk</v>
      </c>
    </row>
    <row r="3687" spans="1:24" x14ac:dyDescent="0.3">
      <c r="A3687">
        <v>12827</v>
      </c>
      <c r="B3687" t="s">
        <v>44</v>
      </c>
      <c r="C3687" t="s">
        <v>30</v>
      </c>
      <c r="D3687" t="s">
        <v>28</v>
      </c>
      <c r="E3687" s="1">
        <v>2025</v>
      </c>
      <c r="F3687" s="11">
        <v>0.53469999999999995</v>
      </c>
      <c r="G3687">
        <v>56.59</v>
      </c>
      <c r="H3687">
        <v>88.36</v>
      </c>
      <c r="I3687" s="2">
        <v>43626.74</v>
      </c>
      <c r="J3687" s="2">
        <v>45780.480000000003</v>
      </c>
      <c r="K3687" s="2">
        <f>Table1[[#This Row],[Salary_after]]-Table1[[#This Row],[Salary_before]]</f>
        <v>2153.7400000000052</v>
      </c>
      <c r="L3687" s="11">
        <v>4.9400000000000006E-2</v>
      </c>
      <c r="M3687" s="11">
        <v>-2.1899999999999999E-2</v>
      </c>
      <c r="N3687">
        <v>28.8</v>
      </c>
      <c r="O3687">
        <v>47.5</v>
      </c>
      <c r="P3687">
        <v>5</v>
      </c>
      <c r="Q3687" t="s">
        <v>25</v>
      </c>
      <c r="R3687">
        <v>70.914999999999907</v>
      </c>
      <c r="S3687">
        <v>4.9400000000000004</v>
      </c>
      <c r="T3687" s="4">
        <v>49.378</v>
      </c>
      <c r="U3687" s="4">
        <v>25.398249999999901</v>
      </c>
      <c r="V3687" t="str">
        <f>IF(Table1[[#This Row],[ai_disruption_intensity]]&gt;70,"High",
IF(Table1[[#This Row],[ai_disruption_intensity]]&gt;40,"Medium","Low"))</f>
        <v>Low</v>
      </c>
      <c r="W3687" t="str">
        <f>IF(Table1[[#This Row],[skill_gap_index]]&gt;70,"Large Gap",
IF(Table1[[#This Row],[skill_gap_index]]&gt;40,"Medium Gap","Small Gap"))</f>
        <v>Large Gap</v>
      </c>
      <c r="X3687" s="3" t="str">
        <f>IF(Table1[[#This Row],[automation_risk_percent]]&gt;0.7,"Highly Automatable",
IF(Table1[[#This Row],[automation_risk_percent]]&gt;0.4,"Moderate Risk","Safe Job"))</f>
        <v>Moderate Risk</v>
      </c>
    </row>
    <row r="3688" spans="1:24" x14ac:dyDescent="0.3">
      <c r="A3688">
        <v>12833</v>
      </c>
      <c r="B3688" t="s">
        <v>41</v>
      </c>
      <c r="C3688" t="s">
        <v>33</v>
      </c>
      <c r="D3688" t="s">
        <v>36</v>
      </c>
      <c r="E3688" s="1">
        <v>2026</v>
      </c>
      <c r="F3688" s="11">
        <v>0.42249999999999999</v>
      </c>
      <c r="G3688">
        <v>46.31</v>
      </c>
      <c r="H3688">
        <v>24.61</v>
      </c>
      <c r="I3688" s="2">
        <v>142677.72</v>
      </c>
      <c r="J3688" s="2">
        <v>164104.09</v>
      </c>
      <c r="K3688" s="2">
        <f>Table1[[#This Row],[Salary_after]]-Table1[[#This Row],[Salary_before]]</f>
        <v>21426.369999999995</v>
      </c>
      <c r="L3688" s="11">
        <v>0.1502</v>
      </c>
      <c r="M3688" s="11">
        <v>8.3499999999999991E-2</v>
      </c>
      <c r="N3688">
        <v>77.010000000000005</v>
      </c>
      <c r="O3688">
        <v>96.83</v>
      </c>
      <c r="P3688">
        <v>5</v>
      </c>
      <c r="Q3688" t="s">
        <v>25</v>
      </c>
      <c r="R3688">
        <v>33.43</v>
      </c>
      <c r="S3688">
        <v>15.02</v>
      </c>
      <c r="T3688" s="4">
        <v>28.789000000000001</v>
      </c>
      <c r="U3688" s="4">
        <v>40.910674999999998</v>
      </c>
      <c r="V3688" t="str">
        <f>IF(Table1[[#This Row],[ai_disruption_intensity]]&gt;70,"High",
IF(Table1[[#This Row],[ai_disruption_intensity]]&gt;40,"Medium","Low"))</f>
        <v>Medium</v>
      </c>
      <c r="W3688" t="str">
        <f>IF(Table1[[#This Row],[skill_gap_index]]&gt;70,"Large Gap",
IF(Table1[[#This Row],[skill_gap_index]]&gt;40,"Medium Gap","Small Gap"))</f>
        <v>Small Gap</v>
      </c>
      <c r="X3688" s="3" t="str">
        <f>IF(Table1[[#This Row],[automation_risk_percent]]&gt;0.7,"Highly Automatable",
IF(Table1[[#This Row],[automation_risk_percent]]&gt;0.4,"Moderate Risk","Safe Job"))</f>
        <v>Moderate Risk</v>
      </c>
    </row>
    <row r="3689" spans="1:24" x14ac:dyDescent="0.3">
      <c r="A3689">
        <v>12848</v>
      </c>
      <c r="B3689" t="s">
        <v>26</v>
      </c>
      <c r="C3689" t="s">
        <v>38</v>
      </c>
      <c r="D3689" t="s">
        <v>28</v>
      </c>
      <c r="E3689" s="1">
        <v>2026</v>
      </c>
      <c r="F3689" s="11">
        <v>0.69599999999999995</v>
      </c>
      <c r="G3689">
        <v>72.67</v>
      </c>
      <c r="H3689">
        <v>25.17</v>
      </c>
      <c r="I3689" s="2">
        <v>145558.99</v>
      </c>
      <c r="J3689" s="2">
        <v>154283.10999999999</v>
      </c>
      <c r="K3689" s="2">
        <f>Table1[[#This Row],[Salary_after]]-Table1[[#This Row],[Salary_before]]</f>
        <v>8724.1199999999953</v>
      </c>
      <c r="L3689" s="11">
        <v>5.9900000000000002E-2</v>
      </c>
      <c r="M3689" s="11">
        <v>1.7299999999999999E-2</v>
      </c>
      <c r="N3689">
        <v>54.3</v>
      </c>
      <c r="O3689">
        <v>70.489999999999995</v>
      </c>
      <c r="P3689">
        <v>3</v>
      </c>
      <c r="Q3689" t="s">
        <v>37</v>
      </c>
      <c r="R3689">
        <v>47.384999999999998</v>
      </c>
      <c r="S3689">
        <v>5.99</v>
      </c>
      <c r="T3689" s="4">
        <v>37.187999999999903</v>
      </c>
      <c r="U3689" s="4">
        <v>49.061039999999899</v>
      </c>
      <c r="V3689" t="str">
        <f>IF(Table1[[#This Row],[ai_disruption_intensity]]&gt;70,"High",
IF(Table1[[#This Row],[ai_disruption_intensity]]&gt;40,"Medium","Low"))</f>
        <v>Medium</v>
      </c>
      <c r="W3689" t="str">
        <f>IF(Table1[[#This Row],[skill_gap_index]]&gt;70,"Large Gap",
IF(Table1[[#This Row],[skill_gap_index]]&gt;40,"Medium Gap","Small Gap"))</f>
        <v>Small Gap</v>
      </c>
      <c r="X3689" s="3" t="str">
        <f>IF(Table1[[#This Row],[automation_risk_percent]]&gt;0.7,"Highly Automatable",
IF(Table1[[#This Row],[automation_risk_percent]]&gt;0.4,"Moderate Risk","Safe Job"))</f>
        <v>Moderate Risk</v>
      </c>
    </row>
    <row r="3690" spans="1:24" x14ac:dyDescent="0.3">
      <c r="A3690">
        <v>12853</v>
      </c>
      <c r="B3690" t="s">
        <v>18</v>
      </c>
      <c r="C3690" t="s">
        <v>34</v>
      </c>
      <c r="D3690" t="s">
        <v>32</v>
      </c>
      <c r="E3690" s="1">
        <v>2026</v>
      </c>
      <c r="F3690" s="11">
        <v>0.63629999999999998</v>
      </c>
      <c r="G3690">
        <v>63.46</v>
      </c>
      <c r="H3690">
        <v>62.16</v>
      </c>
      <c r="I3690" s="2">
        <v>124318.06</v>
      </c>
      <c r="J3690" s="2">
        <v>112979.33</v>
      </c>
      <c r="K3690" s="2">
        <f>Table1[[#This Row],[Salary_after]]-Table1[[#This Row],[Salary_before]]</f>
        <v>-11338.729999999996</v>
      </c>
      <c r="L3690" s="11">
        <v>-9.1199999999999989E-2</v>
      </c>
      <c r="M3690" s="11">
        <v>-5.2000000000000005E-2</v>
      </c>
      <c r="N3690">
        <v>89.52</v>
      </c>
      <c r="O3690">
        <v>22.9</v>
      </c>
      <c r="P3690">
        <v>5</v>
      </c>
      <c r="Q3690" t="s">
        <v>37</v>
      </c>
      <c r="R3690">
        <v>62.894999999999897</v>
      </c>
      <c r="S3690">
        <v>9.1199999999999992</v>
      </c>
      <c r="T3690" s="4">
        <v>46.835999999999999</v>
      </c>
      <c r="U3690" s="4">
        <v>14.57127</v>
      </c>
      <c r="V3690" t="str">
        <f>IF(Table1[[#This Row],[ai_disruption_intensity]]&gt;70,"High",
IF(Table1[[#This Row],[ai_disruption_intensity]]&gt;40,"Medium","Low"))</f>
        <v>Low</v>
      </c>
      <c r="W3690" t="str">
        <f>IF(Table1[[#This Row],[skill_gap_index]]&gt;70,"Large Gap",
IF(Table1[[#This Row],[skill_gap_index]]&gt;40,"Medium Gap","Small Gap"))</f>
        <v>Medium Gap</v>
      </c>
      <c r="X3690" s="3" t="str">
        <f>IF(Table1[[#This Row],[automation_risk_percent]]&gt;0.7,"Highly Automatable",
IF(Table1[[#This Row],[automation_risk_percent]]&gt;0.4,"Moderate Risk","Safe Job"))</f>
        <v>Moderate Risk</v>
      </c>
    </row>
    <row r="3691" spans="1:24" x14ac:dyDescent="0.3">
      <c r="A3691">
        <v>12860</v>
      </c>
      <c r="B3691" t="s">
        <v>44</v>
      </c>
      <c r="C3691" t="s">
        <v>40</v>
      </c>
      <c r="D3691" t="s">
        <v>35</v>
      </c>
      <c r="E3691" s="1">
        <v>2025</v>
      </c>
      <c r="F3691" s="11">
        <v>0.68010000000000004</v>
      </c>
      <c r="G3691">
        <v>73.03</v>
      </c>
      <c r="H3691">
        <v>44.88</v>
      </c>
      <c r="I3691" s="2">
        <v>94248.97</v>
      </c>
      <c r="J3691" s="2">
        <v>99230.21</v>
      </c>
      <c r="K3691" s="2">
        <f>Table1[[#This Row],[Salary_after]]-Table1[[#This Row],[Salary_before]]</f>
        <v>4981.2400000000052</v>
      </c>
      <c r="L3691" s="11">
        <v>5.2900000000000003E-2</v>
      </c>
      <c r="M3691" s="11">
        <v>-0.124</v>
      </c>
      <c r="N3691">
        <v>22.23</v>
      </c>
      <c r="O3691">
        <v>75.69</v>
      </c>
      <c r="P3691">
        <v>2</v>
      </c>
      <c r="Q3691" t="s">
        <v>37</v>
      </c>
      <c r="R3691">
        <v>56.445</v>
      </c>
      <c r="S3691">
        <v>5.29</v>
      </c>
      <c r="T3691" s="4">
        <v>42.255000000000003</v>
      </c>
      <c r="U3691" s="4">
        <v>51.476768999999997</v>
      </c>
      <c r="V3691" t="str">
        <f>IF(Table1[[#This Row],[ai_disruption_intensity]]&gt;70,"High",
IF(Table1[[#This Row],[ai_disruption_intensity]]&gt;40,"Medium","Low"))</f>
        <v>Medium</v>
      </c>
      <c r="W3691" t="str">
        <f>IF(Table1[[#This Row],[skill_gap_index]]&gt;70,"Large Gap",
IF(Table1[[#This Row],[skill_gap_index]]&gt;40,"Medium Gap","Small Gap"))</f>
        <v>Medium Gap</v>
      </c>
      <c r="X3691" s="3" t="str">
        <f>IF(Table1[[#This Row],[automation_risk_percent]]&gt;0.7,"Highly Automatable",
IF(Table1[[#This Row],[automation_risk_percent]]&gt;0.4,"Moderate Risk","Safe Job"))</f>
        <v>Moderate Risk</v>
      </c>
    </row>
    <row r="3692" spans="1:24" x14ac:dyDescent="0.3">
      <c r="A3692">
        <v>12865</v>
      </c>
      <c r="B3692" t="s">
        <v>39</v>
      </c>
      <c r="C3692" t="s">
        <v>30</v>
      </c>
      <c r="D3692" t="s">
        <v>47</v>
      </c>
      <c r="E3692" s="1">
        <v>2026</v>
      </c>
      <c r="F3692" s="11">
        <v>0.13780000000000001</v>
      </c>
      <c r="G3692">
        <v>11.94</v>
      </c>
      <c r="H3692">
        <v>39.67</v>
      </c>
      <c r="I3692" s="2">
        <v>97580.56</v>
      </c>
      <c r="J3692" s="2">
        <v>80950.11</v>
      </c>
      <c r="K3692" s="2">
        <f>Table1[[#This Row],[Salary_after]]-Table1[[#This Row],[Salary_before]]</f>
        <v>-16630.449999999997</v>
      </c>
      <c r="L3692" s="11">
        <v>-0.1704</v>
      </c>
      <c r="M3692" s="11">
        <v>-2.1499999999999998E-2</v>
      </c>
      <c r="N3692">
        <v>76.33</v>
      </c>
      <c r="O3692">
        <v>0.67</v>
      </c>
      <c r="P3692">
        <v>5</v>
      </c>
      <c r="Q3692" t="s">
        <v>21</v>
      </c>
      <c r="R3692">
        <v>26.725000000000001</v>
      </c>
      <c r="S3692">
        <v>17.04</v>
      </c>
      <c r="T3692" s="4">
        <v>22.524999999999999</v>
      </c>
      <c r="U3692" s="4">
        <v>9.2325999999999894E-2</v>
      </c>
      <c r="V3692" t="str">
        <f>IF(Table1[[#This Row],[ai_disruption_intensity]]&gt;70,"High",
IF(Table1[[#This Row],[ai_disruption_intensity]]&gt;40,"Medium","Low"))</f>
        <v>Low</v>
      </c>
      <c r="W3692" t="str">
        <f>IF(Table1[[#This Row],[skill_gap_index]]&gt;70,"Large Gap",
IF(Table1[[#This Row],[skill_gap_index]]&gt;40,"Medium Gap","Small Gap"))</f>
        <v>Small Gap</v>
      </c>
      <c r="X3692" s="3" t="str">
        <f>IF(Table1[[#This Row],[automation_risk_percent]]&gt;0.7,"Highly Automatable",
IF(Table1[[#This Row],[automation_risk_percent]]&gt;0.4,"Moderate Risk","Safe Job"))</f>
        <v>Safe Job</v>
      </c>
    </row>
    <row r="3693" spans="1:24" x14ac:dyDescent="0.3">
      <c r="A3693">
        <v>12869</v>
      </c>
      <c r="B3693" t="s">
        <v>22</v>
      </c>
      <c r="C3693" t="s">
        <v>33</v>
      </c>
      <c r="D3693" t="s">
        <v>28</v>
      </c>
      <c r="E3693" s="1">
        <v>2026</v>
      </c>
      <c r="F3693" s="11">
        <v>0.68420000000000003</v>
      </c>
      <c r="G3693">
        <v>68.67</v>
      </c>
      <c r="H3693">
        <v>58.78</v>
      </c>
      <c r="I3693" s="2">
        <v>54147.99</v>
      </c>
      <c r="J3693" s="2">
        <v>59497.56</v>
      </c>
      <c r="K3693" s="2">
        <f>Table1[[#This Row],[Salary_after]]-Table1[[#This Row],[Salary_before]]</f>
        <v>5349.57</v>
      </c>
      <c r="L3693" s="11">
        <v>9.8800000000000013E-2</v>
      </c>
      <c r="M3693" s="11">
        <v>9.5100000000000004E-2</v>
      </c>
      <c r="N3693">
        <v>28.01</v>
      </c>
      <c r="O3693">
        <v>5.84</v>
      </c>
      <c r="P3693">
        <v>5</v>
      </c>
      <c r="Q3693" t="s">
        <v>37</v>
      </c>
      <c r="R3693">
        <v>63.6</v>
      </c>
      <c r="S3693">
        <v>9.8800000000000008</v>
      </c>
      <c r="T3693" s="4">
        <v>47.966000000000001</v>
      </c>
      <c r="U3693" s="4">
        <v>3.99572799999999</v>
      </c>
      <c r="V3693" t="str">
        <f>IF(Table1[[#This Row],[ai_disruption_intensity]]&gt;70,"High",
IF(Table1[[#This Row],[ai_disruption_intensity]]&gt;40,"Medium","Low"))</f>
        <v>Low</v>
      </c>
      <c r="W3693" t="str">
        <f>IF(Table1[[#This Row],[skill_gap_index]]&gt;70,"Large Gap",
IF(Table1[[#This Row],[skill_gap_index]]&gt;40,"Medium Gap","Small Gap"))</f>
        <v>Medium Gap</v>
      </c>
      <c r="X3693" s="3" t="str">
        <f>IF(Table1[[#This Row],[automation_risk_percent]]&gt;0.7,"Highly Automatable",
IF(Table1[[#This Row],[automation_risk_percent]]&gt;0.4,"Moderate Risk","Safe Job"))</f>
        <v>Moderate Risk</v>
      </c>
    </row>
    <row r="3694" spans="1:24" x14ac:dyDescent="0.3">
      <c r="A3694">
        <v>12870</v>
      </c>
      <c r="B3694" t="s">
        <v>41</v>
      </c>
      <c r="C3694" t="s">
        <v>40</v>
      </c>
      <c r="D3694" t="s">
        <v>47</v>
      </c>
      <c r="E3694" s="1">
        <v>2026</v>
      </c>
      <c r="F3694" s="11">
        <v>0.71479999999999999</v>
      </c>
      <c r="G3694">
        <v>80.52</v>
      </c>
      <c r="H3694">
        <v>68.430000000000007</v>
      </c>
      <c r="I3694" s="2">
        <v>81412.210000000006</v>
      </c>
      <c r="J3694" s="2">
        <v>85645.94</v>
      </c>
      <c r="K3694" s="2">
        <f>Table1[[#This Row],[Salary_after]]-Table1[[#This Row],[Salary_before]]</f>
        <v>4233.7299999999959</v>
      </c>
      <c r="L3694" s="11">
        <v>5.2000000000000005E-2</v>
      </c>
      <c r="M3694" s="11">
        <v>0.27839999999999998</v>
      </c>
      <c r="N3694">
        <v>58.58</v>
      </c>
      <c r="O3694">
        <v>46.9</v>
      </c>
      <c r="P3694">
        <v>1</v>
      </c>
      <c r="Q3694" t="s">
        <v>37</v>
      </c>
      <c r="R3694">
        <v>69.954999999999998</v>
      </c>
      <c r="S3694">
        <v>5.2</v>
      </c>
      <c r="T3694" s="4">
        <v>50.680999999999997</v>
      </c>
      <c r="U3694" s="4">
        <v>33.524120000000003</v>
      </c>
      <c r="V3694" t="str">
        <f>IF(Table1[[#This Row],[ai_disruption_intensity]]&gt;70,"High",
IF(Table1[[#This Row],[ai_disruption_intensity]]&gt;40,"Medium","Low"))</f>
        <v>Low</v>
      </c>
      <c r="W3694" t="str">
        <f>IF(Table1[[#This Row],[skill_gap_index]]&gt;70,"Large Gap",
IF(Table1[[#This Row],[skill_gap_index]]&gt;40,"Medium Gap","Small Gap"))</f>
        <v>Medium Gap</v>
      </c>
      <c r="X3694" s="3" t="str">
        <f>IF(Table1[[#This Row],[automation_risk_percent]]&gt;0.7,"Highly Automatable",
IF(Table1[[#This Row],[automation_risk_percent]]&gt;0.4,"Moderate Risk","Safe Job"))</f>
        <v>Highly Automatable</v>
      </c>
    </row>
    <row r="3695" spans="1:24" x14ac:dyDescent="0.3">
      <c r="A3695">
        <v>12872</v>
      </c>
      <c r="B3695" t="s">
        <v>26</v>
      </c>
      <c r="C3695" t="s">
        <v>34</v>
      </c>
      <c r="D3695" t="s">
        <v>42</v>
      </c>
      <c r="E3695" s="1">
        <v>2025</v>
      </c>
      <c r="F3695" s="11">
        <v>0.13200000000000001</v>
      </c>
      <c r="G3695">
        <v>14.65</v>
      </c>
      <c r="H3695">
        <v>19.23</v>
      </c>
      <c r="I3695" s="2">
        <v>110707.01</v>
      </c>
      <c r="J3695" s="2">
        <v>124779.8</v>
      </c>
      <c r="K3695" s="2">
        <f>Table1[[#This Row],[Salary_after]]-Table1[[#This Row],[Salary_before]]</f>
        <v>14072.790000000008</v>
      </c>
      <c r="L3695" s="11">
        <v>0.12710000000000002</v>
      </c>
      <c r="M3695" s="11">
        <v>4.2000000000000003E-2</v>
      </c>
      <c r="N3695">
        <v>79.459999999999994</v>
      </c>
      <c r="O3695">
        <v>71.09</v>
      </c>
      <c r="P3695">
        <v>5</v>
      </c>
      <c r="Q3695" t="s">
        <v>21</v>
      </c>
      <c r="R3695">
        <v>16.215</v>
      </c>
      <c r="S3695">
        <v>12.71</v>
      </c>
      <c r="T3695" s="4">
        <v>14.862</v>
      </c>
      <c r="U3695" s="4">
        <v>9.3838799999999996</v>
      </c>
      <c r="V3695" t="str">
        <f>IF(Table1[[#This Row],[ai_disruption_intensity]]&gt;70,"High",
IF(Table1[[#This Row],[ai_disruption_intensity]]&gt;40,"Medium","Low"))</f>
        <v>Low</v>
      </c>
      <c r="W3695" t="str">
        <f>IF(Table1[[#This Row],[skill_gap_index]]&gt;70,"Large Gap",
IF(Table1[[#This Row],[skill_gap_index]]&gt;40,"Medium Gap","Small Gap"))</f>
        <v>Small Gap</v>
      </c>
      <c r="X3695" s="3" t="str">
        <f>IF(Table1[[#This Row],[automation_risk_percent]]&gt;0.7,"Highly Automatable",
IF(Table1[[#This Row],[automation_risk_percent]]&gt;0.4,"Moderate Risk","Safe Job"))</f>
        <v>Safe Job</v>
      </c>
    </row>
    <row r="3696" spans="1:24" x14ac:dyDescent="0.3">
      <c r="A3696">
        <v>12874</v>
      </c>
      <c r="B3696" t="s">
        <v>22</v>
      </c>
      <c r="C3696" t="s">
        <v>33</v>
      </c>
      <c r="D3696" t="s">
        <v>35</v>
      </c>
      <c r="E3696" s="1">
        <v>2025</v>
      </c>
      <c r="F3696" s="11">
        <v>0.4551</v>
      </c>
      <c r="G3696">
        <v>41.43</v>
      </c>
      <c r="H3696">
        <v>31.69</v>
      </c>
      <c r="I3696" s="2">
        <v>32743.31</v>
      </c>
      <c r="J3696" s="2">
        <v>30784.43</v>
      </c>
      <c r="K3696" s="2">
        <f>Table1[[#This Row],[Salary_after]]-Table1[[#This Row],[Salary_before]]</f>
        <v>-1958.880000000001</v>
      </c>
      <c r="L3696" s="11">
        <v>-5.9800000000000006E-2</v>
      </c>
      <c r="M3696" s="11">
        <v>0.08</v>
      </c>
      <c r="N3696">
        <v>13.12</v>
      </c>
      <c r="O3696">
        <v>46.83</v>
      </c>
      <c r="P3696">
        <v>4</v>
      </c>
      <c r="Q3696" t="s">
        <v>25</v>
      </c>
      <c r="R3696">
        <v>38.6</v>
      </c>
      <c r="S3696">
        <v>5.98</v>
      </c>
      <c r="T3696" s="4">
        <v>29.504999999999999</v>
      </c>
      <c r="U3696" s="4">
        <v>21.312332999999999</v>
      </c>
      <c r="V3696" t="str">
        <f>IF(Table1[[#This Row],[ai_disruption_intensity]]&gt;70,"High",
IF(Table1[[#This Row],[ai_disruption_intensity]]&gt;40,"Medium","Low"))</f>
        <v>Low</v>
      </c>
      <c r="W3696" t="str">
        <f>IF(Table1[[#This Row],[skill_gap_index]]&gt;70,"Large Gap",
IF(Table1[[#This Row],[skill_gap_index]]&gt;40,"Medium Gap","Small Gap"))</f>
        <v>Small Gap</v>
      </c>
      <c r="X3696" s="3" t="str">
        <f>IF(Table1[[#This Row],[automation_risk_percent]]&gt;0.7,"Highly Automatable",
IF(Table1[[#This Row],[automation_risk_percent]]&gt;0.4,"Moderate Risk","Safe Job"))</f>
        <v>Moderate Risk</v>
      </c>
    </row>
    <row r="3697" spans="1:24" x14ac:dyDescent="0.3">
      <c r="A3697">
        <v>12876</v>
      </c>
      <c r="B3697" t="s">
        <v>18</v>
      </c>
      <c r="C3697" t="s">
        <v>19</v>
      </c>
      <c r="D3697" t="s">
        <v>42</v>
      </c>
      <c r="E3697" s="1">
        <v>2026</v>
      </c>
      <c r="F3697" s="11">
        <v>0.36130000000000001</v>
      </c>
      <c r="G3697">
        <v>30.2</v>
      </c>
      <c r="H3697">
        <v>82.71</v>
      </c>
      <c r="I3697" s="2">
        <v>103571.67</v>
      </c>
      <c r="J3697" s="2">
        <v>92980.24</v>
      </c>
      <c r="K3697" s="2">
        <f>Table1[[#This Row],[Salary_after]]-Table1[[#This Row],[Salary_before]]</f>
        <v>-10591.429999999993</v>
      </c>
      <c r="L3697" s="11">
        <v>-0.1023</v>
      </c>
      <c r="M3697" s="11">
        <v>7.5600000000000001E-2</v>
      </c>
      <c r="N3697">
        <v>78.16</v>
      </c>
      <c r="O3697">
        <v>20.36</v>
      </c>
      <c r="P3697">
        <v>5</v>
      </c>
      <c r="Q3697" t="s">
        <v>25</v>
      </c>
      <c r="R3697">
        <v>59.42</v>
      </c>
      <c r="S3697">
        <v>10.23</v>
      </c>
      <c r="T3697" s="4">
        <v>42.334000000000003</v>
      </c>
      <c r="U3697" s="4">
        <v>7.3560679999999996</v>
      </c>
      <c r="V3697" t="str">
        <f>IF(Table1[[#This Row],[ai_disruption_intensity]]&gt;70,"High",
IF(Table1[[#This Row],[ai_disruption_intensity]]&gt;40,"Medium","Low"))</f>
        <v>Low</v>
      </c>
      <c r="W3697" t="str">
        <f>IF(Table1[[#This Row],[skill_gap_index]]&gt;70,"Large Gap",
IF(Table1[[#This Row],[skill_gap_index]]&gt;40,"Medium Gap","Small Gap"))</f>
        <v>Large Gap</v>
      </c>
      <c r="X3697" s="3" t="str">
        <f>IF(Table1[[#This Row],[automation_risk_percent]]&gt;0.7,"Highly Automatable",
IF(Table1[[#This Row],[automation_risk_percent]]&gt;0.4,"Moderate Risk","Safe Job"))</f>
        <v>Safe Job</v>
      </c>
    </row>
    <row r="3698" spans="1:24" x14ac:dyDescent="0.3">
      <c r="A3698">
        <v>12883</v>
      </c>
      <c r="B3698" t="s">
        <v>29</v>
      </c>
      <c r="C3698" t="s">
        <v>38</v>
      </c>
      <c r="D3698" t="s">
        <v>31</v>
      </c>
      <c r="E3698" s="1">
        <v>2025</v>
      </c>
      <c r="F3698" s="11">
        <v>0.9</v>
      </c>
      <c r="G3698">
        <v>79.88</v>
      </c>
      <c r="H3698">
        <v>78.739999999999995</v>
      </c>
      <c r="I3698" s="2">
        <v>141798.87</v>
      </c>
      <c r="J3698" s="2">
        <v>156590.57</v>
      </c>
      <c r="K3698" s="2">
        <f>Table1[[#This Row],[Salary_after]]-Table1[[#This Row],[Salary_before]]</f>
        <v>14791.700000000012</v>
      </c>
      <c r="L3698" s="11">
        <v>0.1043</v>
      </c>
      <c r="M3698" s="11">
        <v>0.1158</v>
      </c>
      <c r="N3698">
        <v>89.75</v>
      </c>
      <c r="O3698">
        <v>30.95</v>
      </c>
      <c r="P3698">
        <v>1</v>
      </c>
      <c r="Q3698" t="s">
        <v>37</v>
      </c>
      <c r="R3698">
        <v>84.37</v>
      </c>
      <c r="S3698">
        <v>10.43</v>
      </c>
      <c r="T3698" s="4">
        <v>62.750999999999998</v>
      </c>
      <c r="U3698" s="4">
        <v>27.855</v>
      </c>
      <c r="V3698" t="str">
        <f>IF(Table1[[#This Row],[ai_disruption_intensity]]&gt;70,"High",
IF(Table1[[#This Row],[ai_disruption_intensity]]&gt;40,"Medium","Low"))</f>
        <v>Low</v>
      </c>
      <c r="W3698" t="str">
        <f>IF(Table1[[#This Row],[skill_gap_index]]&gt;70,"Large Gap",
IF(Table1[[#This Row],[skill_gap_index]]&gt;40,"Medium Gap","Small Gap"))</f>
        <v>Large Gap</v>
      </c>
      <c r="X3698" s="3" t="str">
        <f>IF(Table1[[#This Row],[automation_risk_percent]]&gt;0.7,"Highly Automatable",
IF(Table1[[#This Row],[automation_risk_percent]]&gt;0.4,"Moderate Risk","Safe Job"))</f>
        <v>Highly Automatable</v>
      </c>
    </row>
    <row r="3699" spans="1:24" x14ac:dyDescent="0.3">
      <c r="A3699">
        <v>12890</v>
      </c>
      <c r="B3699" t="s">
        <v>45</v>
      </c>
      <c r="C3699" t="s">
        <v>34</v>
      </c>
      <c r="D3699" t="s">
        <v>31</v>
      </c>
      <c r="E3699" s="1">
        <v>2026</v>
      </c>
      <c r="F3699" s="11">
        <v>0.24079999999999999</v>
      </c>
      <c r="G3699">
        <v>25.44</v>
      </c>
      <c r="H3699">
        <v>78.650000000000006</v>
      </c>
      <c r="I3699" s="2">
        <v>38616.58</v>
      </c>
      <c r="J3699" s="2">
        <v>44132.73</v>
      </c>
      <c r="K3699" s="2">
        <f>Table1[[#This Row],[Salary_after]]-Table1[[#This Row],[Salary_before]]</f>
        <v>5516.1500000000015</v>
      </c>
      <c r="L3699" s="11">
        <v>0.14279999999999998</v>
      </c>
      <c r="M3699" s="11">
        <v>0.23760000000000001</v>
      </c>
      <c r="N3699">
        <v>33.770000000000003</v>
      </c>
      <c r="O3699">
        <v>99.54</v>
      </c>
      <c r="P3699">
        <v>3</v>
      </c>
      <c r="Q3699" t="s">
        <v>21</v>
      </c>
      <c r="R3699">
        <v>51.365000000000002</v>
      </c>
      <c r="S3699">
        <v>14.28</v>
      </c>
      <c r="T3699" s="4">
        <v>37.511000000000003</v>
      </c>
      <c r="U3699" s="4">
        <v>23.969232000000002</v>
      </c>
      <c r="V3699" t="str">
        <f>IF(Table1[[#This Row],[ai_disruption_intensity]]&gt;70,"High",
IF(Table1[[#This Row],[ai_disruption_intensity]]&gt;40,"Medium","Low"))</f>
        <v>Low</v>
      </c>
      <c r="W3699" t="str">
        <f>IF(Table1[[#This Row],[skill_gap_index]]&gt;70,"Large Gap",
IF(Table1[[#This Row],[skill_gap_index]]&gt;40,"Medium Gap","Small Gap"))</f>
        <v>Large Gap</v>
      </c>
      <c r="X3699" s="3" t="str">
        <f>IF(Table1[[#This Row],[automation_risk_percent]]&gt;0.7,"Highly Automatable",
IF(Table1[[#This Row],[automation_risk_percent]]&gt;0.4,"Moderate Risk","Safe Job"))</f>
        <v>Safe Job</v>
      </c>
    </row>
    <row r="3700" spans="1:24" x14ac:dyDescent="0.3">
      <c r="A3700">
        <v>12897</v>
      </c>
      <c r="B3700" t="s">
        <v>39</v>
      </c>
      <c r="C3700" t="s">
        <v>27</v>
      </c>
      <c r="D3700" t="s">
        <v>35</v>
      </c>
      <c r="E3700" s="1">
        <v>2026</v>
      </c>
      <c r="F3700" s="11">
        <v>0.2601</v>
      </c>
      <c r="G3700">
        <v>22.18</v>
      </c>
      <c r="H3700">
        <v>55.43</v>
      </c>
      <c r="I3700" s="2">
        <v>68978.64</v>
      </c>
      <c r="J3700" s="2">
        <v>73929.52</v>
      </c>
      <c r="K3700" s="2">
        <f>Table1[[#This Row],[Salary_after]]-Table1[[#This Row],[Salary_before]]</f>
        <v>4950.8800000000047</v>
      </c>
      <c r="L3700" s="11">
        <v>7.1800000000000003E-2</v>
      </c>
      <c r="M3700" s="11">
        <v>6.2899999999999998E-2</v>
      </c>
      <c r="N3700">
        <v>96.01</v>
      </c>
      <c r="O3700">
        <v>30.58</v>
      </c>
      <c r="P3700">
        <v>4</v>
      </c>
      <c r="Q3700" t="s">
        <v>21</v>
      </c>
      <c r="R3700">
        <v>40.72</v>
      </c>
      <c r="S3700">
        <v>7.18</v>
      </c>
      <c r="T3700" s="4">
        <v>29.187000000000001</v>
      </c>
      <c r="U3700" s="4">
        <v>7.9538580000000003</v>
      </c>
      <c r="V3700" t="str">
        <f>IF(Table1[[#This Row],[ai_disruption_intensity]]&gt;70,"High",
IF(Table1[[#This Row],[ai_disruption_intensity]]&gt;40,"Medium","Low"))</f>
        <v>Low</v>
      </c>
      <c r="W3700" t="str">
        <f>IF(Table1[[#This Row],[skill_gap_index]]&gt;70,"Large Gap",
IF(Table1[[#This Row],[skill_gap_index]]&gt;40,"Medium Gap","Small Gap"))</f>
        <v>Medium Gap</v>
      </c>
      <c r="X3700" s="3" t="str">
        <f>IF(Table1[[#This Row],[automation_risk_percent]]&gt;0.7,"Highly Automatable",
IF(Table1[[#This Row],[automation_risk_percent]]&gt;0.4,"Moderate Risk","Safe Job"))</f>
        <v>Safe Job</v>
      </c>
    </row>
    <row r="3701" spans="1:24" x14ac:dyDescent="0.3">
      <c r="A3701">
        <v>12899</v>
      </c>
      <c r="B3701" t="s">
        <v>44</v>
      </c>
      <c r="C3701" t="s">
        <v>40</v>
      </c>
      <c r="D3701" t="s">
        <v>28</v>
      </c>
      <c r="E3701" s="1">
        <v>2025</v>
      </c>
      <c r="F3701" s="11">
        <v>0.64329999999999998</v>
      </c>
      <c r="G3701">
        <v>58.42</v>
      </c>
      <c r="H3701">
        <v>56.91</v>
      </c>
      <c r="I3701" s="2">
        <v>85226.07</v>
      </c>
      <c r="J3701" s="2">
        <v>102900.42</v>
      </c>
      <c r="K3701" s="2">
        <f>Table1[[#This Row],[Salary_after]]-Table1[[#This Row],[Salary_before]]</f>
        <v>17674.349999999991</v>
      </c>
      <c r="L3701" s="11">
        <v>0.20739999999999997</v>
      </c>
      <c r="M3701" s="11">
        <v>2.1700000000000001E-2</v>
      </c>
      <c r="N3701">
        <v>46.94</v>
      </c>
      <c r="O3701">
        <v>24.98</v>
      </c>
      <c r="P3701">
        <v>3</v>
      </c>
      <c r="Q3701" t="s">
        <v>37</v>
      </c>
      <c r="R3701">
        <v>60.62</v>
      </c>
      <c r="S3701">
        <v>20.74</v>
      </c>
      <c r="T3701" s="4">
        <v>49.026999999999902</v>
      </c>
      <c r="U3701" s="4">
        <v>16.069634000000001</v>
      </c>
      <c r="V3701" t="str">
        <f>IF(Table1[[#This Row],[ai_disruption_intensity]]&gt;70,"High",
IF(Table1[[#This Row],[ai_disruption_intensity]]&gt;40,"Medium","Low"))</f>
        <v>Low</v>
      </c>
      <c r="W3701" t="str">
        <f>IF(Table1[[#This Row],[skill_gap_index]]&gt;70,"Large Gap",
IF(Table1[[#This Row],[skill_gap_index]]&gt;40,"Medium Gap","Small Gap"))</f>
        <v>Medium Gap</v>
      </c>
      <c r="X3701" s="3" t="str">
        <f>IF(Table1[[#This Row],[automation_risk_percent]]&gt;0.7,"Highly Automatable",
IF(Table1[[#This Row],[automation_risk_percent]]&gt;0.4,"Moderate Risk","Safe Job"))</f>
        <v>Moderate Risk</v>
      </c>
    </row>
    <row r="3702" spans="1:24" x14ac:dyDescent="0.3">
      <c r="A3702">
        <v>12907</v>
      </c>
      <c r="B3702" t="s">
        <v>29</v>
      </c>
      <c r="C3702" t="s">
        <v>34</v>
      </c>
      <c r="D3702" t="s">
        <v>35</v>
      </c>
      <c r="E3702" s="1">
        <v>2026</v>
      </c>
      <c r="F3702" s="11">
        <v>0.61509999999999998</v>
      </c>
      <c r="G3702">
        <v>63.62</v>
      </c>
      <c r="H3702">
        <v>78.86</v>
      </c>
      <c r="I3702" s="2">
        <v>129757.85</v>
      </c>
      <c r="J3702" s="2">
        <v>120107.22</v>
      </c>
      <c r="K3702" s="2">
        <f>Table1[[#This Row],[Salary_after]]-Table1[[#This Row],[Salary_before]]</f>
        <v>-9650.6300000000047</v>
      </c>
      <c r="L3702" s="11">
        <v>-7.4400000000000008E-2</v>
      </c>
      <c r="M3702" s="11">
        <v>-9.5999999999999992E-3</v>
      </c>
      <c r="N3702">
        <v>17.53</v>
      </c>
      <c r="O3702">
        <v>70.599999999999994</v>
      </c>
      <c r="P3702">
        <v>3</v>
      </c>
      <c r="Q3702" t="s">
        <v>37</v>
      </c>
      <c r="R3702">
        <v>70.185000000000002</v>
      </c>
      <c r="S3702">
        <v>7.44</v>
      </c>
      <c r="T3702" s="4">
        <v>50.494</v>
      </c>
      <c r="U3702" s="4">
        <v>43.42606</v>
      </c>
      <c r="V3702" t="str">
        <f>IF(Table1[[#This Row],[ai_disruption_intensity]]&gt;70,"High",
IF(Table1[[#This Row],[ai_disruption_intensity]]&gt;40,"Medium","Low"))</f>
        <v>Medium</v>
      </c>
      <c r="W3702" t="str">
        <f>IF(Table1[[#This Row],[skill_gap_index]]&gt;70,"Large Gap",
IF(Table1[[#This Row],[skill_gap_index]]&gt;40,"Medium Gap","Small Gap"))</f>
        <v>Large Gap</v>
      </c>
      <c r="X3702" s="3" t="str">
        <f>IF(Table1[[#This Row],[automation_risk_percent]]&gt;0.7,"Highly Automatable",
IF(Table1[[#This Row],[automation_risk_percent]]&gt;0.4,"Moderate Risk","Safe Job"))</f>
        <v>Moderate Risk</v>
      </c>
    </row>
    <row r="3703" spans="1:24" x14ac:dyDescent="0.3">
      <c r="A3703">
        <v>12909</v>
      </c>
      <c r="B3703" t="s">
        <v>45</v>
      </c>
      <c r="C3703" t="s">
        <v>27</v>
      </c>
      <c r="D3703" t="s">
        <v>20</v>
      </c>
      <c r="E3703" s="1">
        <v>2025</v>
      </c>
      <c r="F3703" s="11">
        <v>0.49070000000000003</v>
      </c>
      <c r="G3703">
        <v>49.85</v>
      </c>
      <c r="H3703">
        <v>13.77</v>
      </c>
      <c r="I3703" s="2">
        <v>84823.17</v>
      </c>
      <c r="J3703" s="2">
        <v>75122.720000000001</v>
      </c>
      <c r="K3703" s="2">
        <f>Table1[[#This Row],[Salary_after]]-Table1[[#This Row],[Salary_before]]</f>
        <v>-9700.4499999999971</v>
      </c>
      <c r="L3703" s="11">
        <v>-0.1144</v>
      </c>
      <c r="M3703" s="11">
        <v>4.5100000000000001E-2</v>
      </c>
      <c r="N3703">
        <v>40.200000000000003</v>
      </c>
      <c r="O3703">
        <v>87.89</v>
      </c>
      <c r="P3703">
        <v>2</v>
      </c>
      <c r="Q3703" t="s">
        <v>25</v>
      </c>
      <c r="R3703">
        <v>31.42</v>
      </c>
      <c r="S3703">
        <v>11.44</v>
      </c>
      <c r="T3703" s="4">
        <v>27.190999999999999</v>
      </c>
      <c r="U3703" s="4">
        <v>43.127623</v>
      </c>
      <c r="V3703" t="str">
        <f>IF(Table1[[#This Row],[ai_disruption_intensity]]&gt;70,"High",
IF(Table1[[#This Row],[ai_disruption_intensity]]&gt;40,"Medium","Low"))</f>
        <v>Medium</v>
      </c>
      <c r="W3703" t="str">
        <f>IF(Table1[[#This Row],[skill_gap_index]]&gt;70,"Large Gap",
IF(Table1[[#This Row],[skill_gap_index]]&gt;40,"Medium Gap","Small Gap"))</f>
        <v>Small Gap</v>
      </c>
      <c r="X3703" s="3" t="str">
        <f>IF(Table1[[#This Row],[automation_risk_percent]]&gt;0.7,"Highly Automatable",
IF(Table1[[#This Row],[automation_risk_percent]]&gt;0.4,"Moderate Risk","Safe Job"))</f>
        <v>Moderate Risk</v>
      </c>
    </row>
    <row r="3704" spans="1:24" x14ac:dyDescent="0.3">
      <c r="A3704">
        <v>12910</v>
      </c>
      <c r="B3704" t="s">
        <v>45</v>
      </c>
      <c r="C3704" t="s">
        <v>23</v>
      </c>
      <c r="D3704" t="s">
        <v>36</v>
      </c>
      <c r="E3704" s="1">
        <v>2025</v>
      </c>
      <c r="F3704" s="11">
        <v>0.1234</v>
      </c>
      <c r="G3704">
        <v>12.45</v>
      </c>
      <c r="H3704">
        <v>78.17</v>
      </c>
      <c r="I3704" s="2">
        <v>146128.85</v>
      </c>
      <c r="J3704" s="2">
        <v>141492.96</v>
      </c>
      <c r="K3704" s="2">
        <f>Table1[[#This Row],[Salary_after]]-Table1[[#This Row],[Salary_before]]</f>
        <v>-4635.890000000014</v>
      </c>
      <c r="L3704" s="11">
        <v>-3.1699999999999999E-2</v>
      </c>
      <c r="M3704" s="11">
        <v>6.0899999999999996E-2</v>
      </c>
      <c r="N3704">
        <v>74.72</v>
      </c>
      <c r="O3704">
        <v>72.91</v>
      </c>
      <c r="P3704">
        <v>5</v>
      </c>
      <c r="Q3704" t="s">
        <v>21</v>
      </c>
      <c r="R3704">
        <v>45.255000000000003</v>
      </c>
      <c r="S3704">
        <v>3.17</v>
      </c>
      <c r="T3704" s="4">
        <v>29.338000000000001</v>
      </c>
      <c r="U3704" s="4">
        <v>8.9970939999999899</v>
      </c>
      <c r="V3704" t="str">
        <f>IF(Table1[[#This Row],[ai_disruption_intensity]]&gt;70,"High",
IF(Table1[[#This Row],[ai_disruption_intensity]]&gt;40,"Medium","Low"))</f>
        <v>Low</v>
      </c>
      <c r="W3704" t="str">
        <f>IF(Table1[[#This Row],[skill_gap_index]]&gt;70,"Large Gap",
IF(Table1[[#This Row],[skill_gap_index]]&gt;40,"Medium Gap","Small Gap"))</f>
        <v>Large Gap</v>
      </c>
      <c r="X3704" s="3" t="str">
        <f>IF(Table1[[#This Row],[automation_risk_percent]]&gt;0.7,"Highly Automatable",
IF(Table1[[#This Row],[automation_risk_percent]]&gt;0.4,"Moderate Risk","Safe Job"))</f>
        <v>Safe Job</v>
      </c>
    </row>
    <row r="3705" spans="1:24" x14ac:dyDescent="0.3">
      <c r="A3705">
        <v>12913</v>
      </c>
      <c r="B3705" t="s">
        <v>29</v>
      </c>
      <c r="C3705" t="s">
        <v>38</v>
      </c>
      <c r="D3705" t="s">
        <v>32</v>
      </c>
      <c r="E3705" s="1">
        <v>2025</v>
      </c>
      <c r="F3705" s="11">
        <v>0.25059999999999999</v>
      </c>
      <c r="G3705">
        <v>24.15</v>
      </c>
      <c r="H3705">
        <v>31.3</v>
      </c>
      <c r="I3705" s="2">
        <v>131272.25</v>
      </c>
      <c r="J3705" s="2">
        <v>134733.51999999999</v>
      </c>
      <c r="K3705" s="2">
        <f>Table1[[#This Row],[Salary_after]]-Table1[[#This Row],[Salary_before]]</f>
        <v>3461.2699999999895</v>
      </c>
      <c r="L3705" s="11">
        <v>2.64E-2</v>
      </c>
      <c r="M3705" s="11">
        <v>-3.4700000000000002E-2</v>
      </c>
      <c r="N3705">
        <v>55.83</v>
      </c>
      <c r="O3705">
        <v>92.51</v>
      </c>
      <c r="P3705">
        <v>4</v>
      </c>
      <c r="Q3705" t="s">
        <v>21</v>
      </c>
      <c r="R3705">
        <v>28.18</v>
      </c>
      <c r="S3705">
        <v>2.64</v>
      </c>
      <c r="T3705" s="4">
        <v>20.206</v>
      </c>
      <c r="U3705" s="4">
        <v>23.183005999999999</v>
      </c>
      <c r="V3705" t="str">
        <f>IF(Table1[[#This Row],[ai_disruption_intensity]]&gt;70,"High",
IF(Table1[[#This Row],[ai_disruption_intensity]]&gt;40,"Medium","Low"))</f>
        <v>Low</v>
      </c>
      <c r="W3705" t="str">
        <f>IF(Table1[[#This Row],[skill_gap_index]]&gt;70,"Large Gap",
IF(Table1[[#This Row],[skill_gap_index]]&gt;40,"Medium Gap","Small Gap"))</f>
        <v>Small Gap</v>
      </c>
      <c r="X3705" s="3" t="str">
        <f>IF(Table1[[#This Row],[automation_risk_percent]]&gt;0.7,"Highly Automatable",
IF(Table1[[#This Row],[automation_risk_percent]]&gt;0.4,"Moderate Risk","Safe Job"))</f>
        <v>Safe Job</v>
      </c>
    </row>
    <row r="3706" spans="1:24" x14ac:dyDescent="0.3">
      <c r="A3706">
        <v>12917</v>
      </c>
      <c r="B3706" t="s">
        <v>18</v>
      </c>
      <c r="C3706" t="s">
        <v>27</v>
      </c>
      <c r="D3706" t="s">
        <v>36</v>
      </c>
      <c r="E3706" s="1">
        <v>2025</v>
      </c>
      <c r="F3706" s="11">
        <v>0.55390000000000006</v>
      </c>
      <c r="G3706">
        <v>66.03</v>
      </c>
      <c r="H3706">
        <v>72.760000000000005</v>
      </c>
      <c r="I3706" s="2">
        <v>91498.72</v>
      </c>
      <c r="J3706" s="2">
        <v>103746.59</v>
      </c>
      <c r="K3706" s="2">
        <f>Table1[[#This Row],[Salary_after]]-Table1[[#This Row],[Salary_before]]</f>
        <v>12247.869999999995</v>
      </c>
      <c r="L3706" s="11">
        <v>0.13390000000000002</v>
      </c>
      <c r="M3706" s="11">
        <v>0.1051</v>
      </c>
      <c r="N3706">
        <v>30.7</v>
      </c>
      <c r="O3706">
        <v>13.53</v>
      </c>
      <c r="P3706">
        <v>1</v>
      </c>
      <c r="Q3706" t="s">
        <v>25</v>
      </c>
      <c r="R3706">
        <v>64.075000000000003</v>
      </c>
      <c r="S3706">
        <v>13.39</v>
      </c>
      <c r="T3706" s="4">
        <v>48.000999999999998</v>
      </c>
      <c r="U3706" s="4">
        <v>7.4942669999999998</v>
      </c>
      <c r="V3706" t="str">
        <f>IF(Table1[[#This Row],[ai_disruption_intensity]]&gt;70,"High",
IF(Table1[[#This Row],[ai_disruption_intensity]]&gt;40,"Medium","Low"))</f>
        <v>Low</v>
      </c>
      <c r="W3706" t="str">
        <f>IF(Table1[[#This Row],[skill_gap_index]]&gt;70,"Large Gap",
IF(Table1[[#This Row],[skill_gap_index]]&gt;40,"Medium Gap","Small Gap"))</f>
        <v>Large Gap</v>
      </c>
      <c r="X3706" s="3" t="str">
        <f>IF(Table1[[#This Row],[automation_risk_percent]]&gt;0.7,"Highly Automatable",
IF(Table1[[#This Row],[automation_risk_percent]]&gt;0.4,"Moderate Risk","Safe Job"))</f>
        <v>Moderate Risk</v>
      </c>
    </row>
    <row r="3707" spans="1:24" x14ac:dyDescent="0.3">
      <c r="A3707">
        <v>12918</v>
      </c>
      <c r="B3707" t="s">
        <v>43</v>
      </c>
      <c r="C3707" t="s">
        <v>33</v>
      </c>
      <c r="D3707" t="s">
        <v>28</v>
      </c>
      <c r="E3707" s="1">
        <v>2026</v>
      </c>
      <c r="F3707" s="11">
        <v>0.50319999999999998</v>
      </c>
      <c r="G3707">
        <v>55.26</v>
      </c>
      <c r="H3707">
        <v>42.23</v>
      </c>
      <c r="I3707" s="2">
        <v>53254.879999999997</v>
      </c>
      <c r="J3707" s="2">
        <v>60769.760000000002</v>
      </c>
      <c r="K3707" s="2">
        <f>Table1[[#This Row],[Salary_after]]-Table1[[#This Row],[Salary_before]]</f>
        <v>7514.8800000000047</v>
      </c>
      <c r="L3707" s="11">
        <v>0.1411</v>
      </c>
      <c r="M3707" s="11">
        <v>0.16020000000000001</v>
      </c>
      <c r="N3707">
        <v>80.98</v>
      </c>
      <c r="O3707">
        <v>58.63</v>
      </c>
      <c r="P3707">
        <v>2</v>
      </c>
      <c r="Q3707" t="s">
        <v>25</v>
      </c>
      <c r="R3707">
        <v>46.274999999999999</v>
      </c>
      <c r="S3707">
        <v>14.11</v>
      </c>
      <c r="T3707" s="4">
        <v>37.029999999999902</v>
      </c>
      <c r="U3707" s="4">
        <v>29.502616</v>
      </c>
      <c r="V3707" t="str">
        <f>IF(Table1[[#This Row],[ai_disruption_intensity]]&gt;70,"High",
IF(Table1[[#This Row],[ai_disruption_intensity]]&gt;40,"Medium","Low"))</f>
        <v>Low</v>
      </c>
      <c r="W3707" t="str">
        <f>IF(Table1[[#This Row],[skill_gap_index]]&gt;70,"Large Gap",
IF(Table1[[#This Row],[skill_gap_index]]&gt;40,"Medium Gap","Small Gap"))</f>
        <v>Medium Gap</v>
      </c>
      <c r="X3707" s="3" t="str">
        <f>IF(Table1[[#This Row],[automation_risk_percent]]&gt;0.7,"Highly Automatable",
IF(Table1[[#This Row],[automation_risk_percent]]&gt;0.4,"Moderate Risk","Safe Job"))</f>
        <v>Moderate Risk</v>
      </c>
    </row>
    <row r="3708" spans="1:24" x14ac:dyDescent="0.3">
      <c r="A3708">
        <v>12919</v>
      </c>
      <c r="B3708" t="s">
        <v>29</v>
      </c>
      <c r="C3708" t="s">
        <v>27</v>
      </c>
      <c r="D3708" t="s">
        <v>20</v>
      </c>
      <c r="E3708" s="1">
        <v>2025</v>
      </c>
      <c r="F3708" s="11">
        <v>0.50619999999999998</v>
      </c>
      <c r="G3708">
        <v>44.93</v>
      </c>
      <c r="H3708">
        <v>4.25</v>
      </c>
      <c r="I3708" s="2">
        <v>78098.86</v>
      </c>
      <c r="J3708" s="2">
        <v>83953.98</v>
      </c>
      <c r="K3708" s="2">
        <f>Table1[[#This Row],[Salary_after]]-Table1[[#This Row],[Salary_before]]</f>
        <v>5855.1199999999953</v>
      </c>
      <c r="L3708" s="11">
        <v>7.4999999999999997E-2</v>
      </c>
      <c r="M3708" s="11">
        <v>0.13009999999999999</v>
      </c>
      <c r="N3708">
        <v>94.78</v>
      </c>
      <c r="O3708">
        <v>1.81</v>
      </c>
      <c r="P3708">
        <v>1</v>
      </c>
      <c r="Q3708" t="s">
        <v>25</v>
      </c>
      <c r="R3708">
        <v>27.434999999999999</v>
      </c>
      <c r="S3708">
        <v>7.5</v>
      </c>
      <c r="T3708" s="4">
        <v>23.773</v>
      </c>
      <c r="U3708" s="4">
        <v>0.91622199999999898</v>
      </c>
      <c r="V3708" t="str">
        <f>IF(Table1[[#This Row],[ai_disruption_intensity]]&gt;70,"High",
IF(Table1[[#This Row],[ai_disruption_intensity]]&gt;40,"Medium","Low"))</f>
        <v>Low</v>
      </c>
      <c r="W3708" t="str">
        <f>IF(Table1[[#This Row],[skill_gap_index]]&gt;70,"Large Gap",
IF(Table1[[#This Row],[skill_gap_index]]&gt;40,"Medium Gap","Small Gap"))</f>
        <v>Small Gap</v>
      </c>
      <c r="X3708" s="3" t="str">
        <f>IF(Table1[[#This Row],[automation_risk_percent]]&gt;0.7,"Highly Automatable",
IF(Table1[[#This Row],[automation_risk_percent]]&gt;0.4,"Moderate Risk","Safe Job"))</f>
        <v>Moderate Risk</v>
      </c>
    </row>
    <row r="3709" spans="1:24" x14ac:dyDescent="0.3">
      <c r="A3709">
        <v>12925</v>
      </c>
      <c r="B3709" t="s">
        <v>43</v>
      </c>
      <c r="C3709" t="s">
        <v>33</v>
      </c>
      <c r="D3709" t="s">
        <v>24</v>
      </c>
      <c r="E3709" s="1">
        <v>2026</v>
      </c>
      <c r="F3709" s="11">
        <v>0.2228</v>
      </c>
      <c r="G3709">
        <v>18.63</v>
      </c>
      <c r="H3709">
        <v>69.83</v>
      </c>
      <c r="I3709" s="2">
        <v>71066.06</v>
      </c>
      <c r="J3709" s="2">
        <v>81416.5</v>
      </c>
      <c r="K3709" s="2">
        <f>Table1[[#This Row],[Salary_after]]-Table1[[#This Row],[Salary_before]]</f>
        <v>10350.440000000002</v>
      </c>
      <c r="L3709" s="11">
        <v>0.14560000000000001</v>
      </c>
      <c r="M3709" s="11">
        <v>0.18690000000000001</v>
      </c>
      <c r="N3709">
        <v>87.2</v>
      </c>
      <c r="O3709">
        <v>16.170000000000002</v>
      </c>
      <c r="P3709">
        <v>3</v>
      </c>
      <c r="Q3709" t="s">
        <v>21</v>
      </c>
      <c r="R3709">
        <v>46.055</v>
      </c>
      <c r="S3709">
        <v>14.56</v>
      </c>
      <c r="T3709" s="4">
        <v>34.228999999999999</v>
      </c>
      <c r="U3709" s="4">
        <v>3.6026760000000002</v>
      </c>
      <c r="V3709" t="str">
        <f>IF(Table1[[#This Row],[ai_disruption_intensity]]&gt;70,"High",
IF(Table1[[#This Row],[ai_disruption_intensity]]&gt;40,"Medium","Low"))</f>
        <v>Low</v>
      </c>
      <c r="W3709" t="str">
        <f>IF(Table1[[#This Row],[skill_gap_index]]&gt;70,"Large Gap",
IF(Table1[[#This Row],[skill_gap_index]]&gt;40,"Medium Gap","Small Gap"))</f>
        <v>Medium Gap</v>
      </c>
      <c r="X3709" s="3" t="str">
        <f>IF(Table1[[#This Row],[automation_risk_percent]]&gt;0.7,"Highly Automatable",
IF(Table1[[#This Row],[automation_risk_percent]]&gt;0.4,"Moderate Risk","Safe Job"))</f>
        <v>Safe Job</v>
      </c>
    </row>
    <row r="3710" spans="1:24" x14ac:dyDescent="0.3">
      <c r="A3710">
        <v>12926</v>
      </c>
      <c r="B3710" t="s">
        <v>45</v>
      </c>
      <c r="C3710" t="s">
        <v>34</v>
      </c>
      <c r="D3710" t="s">
        <v>32</v>
      </c>
      <c r="E3710" s="1">
        <v>2025</v>
      </c>
      <c r="F3710" s="11">
        <v>0.71959999999999991</v>
      </c>
      <c r="G3710">
        <v>66.91</v>
      </c>
      <c r="H3710">
        <v>89.08</v>
      </c>
      <c r="I3710" s="2">
        <v>54433.5</v>
      </c>
      <c r="J3710" s="2">
        <v>56453.13</v>
      </c>
      <c r="K3710" s="2">
        <f>Table1[[#This Row],[Salary_after]]-Table1[[#This Row],[Salary_before]]</f>
        <v>2019.6299999999974</v>
      </c>
      <c r="L3710" s="11">
        <v>3.7100000000000001E-2</v>
      </c>
      <c r="M3710" s="11">
        <v>-5.8899999999999994E-2</v>
      </c>
      <c r="N3710">
        <v>91.35</v>
      </c>
      <c r="O3710">
        <v>48.68</v>
      </c>
      <c r="P3710">
        <v>2</v>
      </c>
      <c r="Q3710" t="s">
        <v>37</v>
      </c>
      <c r="R3710">
        <v>80.52</v>
      </c>
      <c r="S3710">
        <v>3.71</v>
      </c>
      <c r="T3710" s="4">
        <v>56.620999999999903</v>
      </c>
      <c r="U3710" s="4">
        <v>35.030127999999998</v>
      </c>
      <c r="V3710" t="str">
        <f>IF(Table1[[#This Row],[ai_disruption_intensity]]&gt;70,"High",
IF(Table1[[#This Row],[ai_disruption_intensity]]&gt;40,"Medium","Low"))</f>
        <v>Low</v>
      </c>
      <c r="W3710" t="str">
        <f>IF(Table1[[#This Row],[skill_gap_index]]&gt;70,"Large Gap",
IF(Table1[[#This Row],[skill_gap_index]]&gt;40,"Medium Gap","Small Gap"))</f>
        <v>Large Gap</v>
      </c>
      <c r="X3710" s="3" t="str">
        <f>IF(Table1[[#This Row],[automation_risk_percent]]&gt;0.7,"Highly Automatable",
IF(Table1[[#This Row],[automation_risk_percent]]&gt;0.4,"Moderate Risk","Safe Job"))</f>
        <v>Highly Automatable</v>
      </c>
    </row>
    <row r="3711" spans="1:24" x14ac:dyDescent="0.3">
      <c r="A3711">
        <v>12930</v>
      </c>
      <c r="B3711" t="s">
        <v>45</v>
      </c>
      <c r="C3711" t="s">
        <v>30</v>
      </c>
      <c r="D3711" t="s">
        <v>35</v>
      </c>
      <c r="E3711" s="1">
        <v>2026</v>
      </c>
      <c r="F3711" s="11">
        <v>0.41799999999999998</v>
      </c>
      <c r="G3711">
        <v>45.87</v>
      </c>
      <c r="H3711">
        <v>44.24</v>
      </c>
      <c r="I3711" s="2">
        <v>65018.42</v>
      </c>
      <c r="J3711" s="2">
        <v>62737.87</v>
      </c>
      <c r="K3711" s="2">
        <f>Table1[[#This Row],[Salary_after]]-Table1[[#This Row],[Salary_before]]</f>
        <v>-2280.5499999999956</v>
      </c>
      <c r="L3711" s="11">
        <v>-3.5099999999999999E-2</v>
      </c>
      <c r="M3711" s="11">
        <v>0.1779</v>
      </c>
      <c r="N3711">
        <v>50.24</v>
      </c>
      <c r="O3711">
        <v>8.23</v>
      </c>
      <c r="P3711">
        <v>5</v>
      </c>
      <c r="Q3711" t="s">
        <v>25</v>
      </c>
      <c r="R3711">
        <v>43.019999999999897</v>
      </c>
      <c r="S3711">
        <v>3.51</v>
      </c>
      <c r="T3711" s="4">
        <v>31.044999999999899</v>
      </c>
      <c r="U3711" s="4">
        <v>3.44014</v>
      </c>
      <c r="V3711" t="str">
        <f>IF(Table1[[#This Row],[ai_disruption_intensity]]&gt;70,"High",
IF(Table1[[#This Row],[ai_disruption_intensity]]&gt;40,"Medium","Low"))</f>
        <v>Low</v>
      </c>
      <c r="W3711" t="str">
        <f>IF(Table1[[#This Row],[skill_gap_index]]&gt;70,"Large Gap",
IF(Table1[[#This Row],[skill_gap_index]]&gt;40,"Medium Gap","Small Gap"))</f>
        <v>Medium Gap</v>
      </c>
      <c r="X3711" s="3" t="str">
        <f>IF(Table1[[#This Row],[automation_risk_percent]]&gt;0.7,"Highly Automatable",
IF(Table1[[#This Row],[automation_risk_percent]]&gt;0.4,"Moderate Risk","Safe Job"))</f>
        <v>Moderate Risk</v>
      </c>
    </row>
    <row r="3712" spans="1:24" x14ac:dyDescent="0.3">
      <c r="A3712">
        <v>12931</v>
      </c>
      <c r="B3712" t="s">
        <v>18</v>
      </c>
      <c r="C3712" t="s">
        <v>19</v>
      </c>
      <c r="D3712" t="s">
        <v>28</v>
      </c>
      <c r="E3712" s="1">
        <v>2025</v>
      </c>
      <c r="F3712" s="11">
        <v>0.35649999999999998</v>
      </c>
      <c r="G3712">
        <v>40.25</v>
      </c>
      <c r="H3712">
        <v>66.78</v>
      </c>
      <c r="I3712" s="2">
        <v>45806.28</v>
      </c>
      <c r="J3712" s="2">
        <v>49447.03</v>
      </c>
      <c r="K3712" s="2">
        <f>Table1[[#This Row],[Salary_after]]-Table1[[#This Row],[Salary_before]]</f>
        <v>3640.75</v>
      </c>
      <c r="L3712" s="11">
        <v>7.9500000000000001E-2</v>
      </c>
      <c r="M3712" s="11">
        <v>4.4199999999999996E-2</v>
      </c>
      <c r="N3712">
        <v>30.8</v>
      </c>
      <c r="O3712">
        <v>82.51</v>
      </c>
      <c r="P3712">
        <v>2</v>
      </c>
      <c r="Q3712" t="s">
        <v>25</v>
      </c>
      <c r="R3712">
        <v>51.215000000000003</v>
      </c>
      <c r="S3712">
        <v>7.95</v>
      </c>
      <c r="T3712" s="4">
        <v>36.678999999999903</v>
      </c>
      <c r="U3712" s="4">
        <v>29.414814999999901</v>
      </c>
      <c r="V3712" t="str">
        <f>IF(Table1[[#This Row],[ai_disruption_intensity]]&gt;70,"High",
IF(Table1[[#This Row],[ai_disruption_intensity]]&gt;40,"Medium","Low"))</f>
        <v>Low</v>
      </c>
      <c r="W3712" t="str">
        <f>IF(Table1[[#This Row],[skill_gap_index]]&gt;70,"Large Gap",
IF(Table1[[#This Row],[skill_gap_index]]&gt;40,"Medium Gap","Small Gap"))</f>
        <v>Medium Gap</v>
      </c>
      <c r="X3712" s="3" t="str">
        <f>IF(Table1[[#This Row],[automation_risk_percent]]&gt;0.7,"Highly Automatable",
IF(Table1[[#This Row],[automation_risk_percent]]&gt;0.4,"Moderate Risk","Safe Job"))</f>
        <v>Safe Job</v>
      </c>
    </row>
    <row r="3713" spans="1:24" x14ac:dyDescent="0.3">
      <c r="A3713">
        <v>12933</v>
      </c>
      <c r="B3713" t="s">
        <v>45</v>
      </c>
      <c r="C3713" t="s">
        <v>19</v>
      </c>
      <c r="D3713" t="s">
        <v>36</v>
      </c>
      <c r="E3713" s="1">
        <v>2026</v>
      </c>
      <c r="F3713" s="11">
        <v>0.12560000000000002</v>
      </c>
      <c r="G3713">
        <v>12.2</v>
      </c>
      <c r="H3713">
        <v>44.37</v>
      </c>
      <c r="I3713" s="2">
        <v>123053.16</v>
      </c>
      <c r="J3713" s="2">
        <v>119933.07</v>
      </c>
      <c r="K3713" s="2">
        <f>Table1[[#This Row],[Salary_after]]-Table1[[#This Row],[Salary_before]]</f>
        <v>-3120.0899999999965</v>
      </c>
      <c r="L3713" s="11">
        <v>-2.5399999999999999E-2</v>
      </c>
      <c r="M3713" s="11">
        <v>-0.10730000000000001</v>
      </c>
      <c r="N3713">
        <v>17.170000000000002</v>
      </c>
      <c r="O3713">
        <v>12.37</v>
      </c>
      <c r="P3713">
        <v>4</v>
      </c>
      <c r="Q3713" t="s">
        <v>21</v>
      </c>
      <c r="R3713">
        <v>28.465</v>
      </c>
      <c r="S3713">
        <v>2.54</v>
      </c>
      <c r="T3713" s="4">
        <v>19.097000000000001</v>
      </c>
      <c r="U3713" s="4">
        <v>1.5536719999999999</v>
      </c>
      <c r="V3713" t="str">
        <f>IF(Table1[[#This Row],[ai_disruption_intensity]]&gt;70,"High",
IF(Table1[[#This Row],[ai_disruption_intensity]]&gt;40,"Medium","Low"))</f>
        <v>Low</v>
      </c>
      <c r="W3713" t="str">
        <f>IF(Table1[[#This Row],[skill_gap_index]]&gt;70,"Large Gap",
IF(Table1[[#This Row],[skill_gap_index]]&gt;40,"Medium Gap","Small Gap"))</f>
        <v>Medium Gap</v>
      </c>
      <c r="X3713" s="3" t="str">
        <f>IF(Table1[[#This Row],[automation_risk_percent]]&gt;0.7,"Highly Automatable",
IF(Table1[[#This Row],[automation_risk_percent]]&gt;0.4,"Moderate Risk","Safe Job"))</f>
        <v>Safe Job</v>
      </c>
    </row>
    <row r="3714" spans="1:24" x14ac:dyDescent="0.3">
      <c r="A3714">
        <v>12936</v>
      </c>
      <c r="B3714" t="s">
        <v>29</v>
      </c>
      <c r="C3714" t="s">
        <v>34</v>
      </c>
      <c r="D3714" t="s">
        <v>42</v>
      </c>
      <c r="E3714" s="1">
        <v>2026</v>
      </c>
      <c r="F3714" s="11">
        <v>0.73799999999999999</v>
      </c>
      <c r="G3714">
        <v>61.89</v>
      </c>
      <c r="H3714">
        <v>31.93</v>
      </c>
      <c r="I3714" s="2">
        <v>63685.98</v>
      </c>
      <c r="J3714" s="2">
        <v>67124.639999999999</v>
      </c>
      <c r="K3714" s="2">
        <f>Table1[[#This Row],[Salary_after]]-Table1[[#This Row],[Salary_before]]</f>
        <v>3438.6599999999962</v>
      </c>
      <c r="L3714" s="11">
        <v>5.4000000000000006E-2</v>
      </c>
      <c r="M3714" s="11">
        <v>0.10830000000000001</v>
      </c>
      <c r="N3714">
        <v>25.89</v>
      </c>
      <c r="O3714">
        <v>59.97</v>
      </c>
      <c r="P3714">
        <v>3</v>
      </c>
      <c r="Q3714" t="s">
        <v>37</v>
      </c>
      <c r="R3714">
        <v>52.864999999999903</v>
      </c>
      <c r="S3714">
        <v>5.4</v>
      </c>
      <c r="T3714" s="4">
        <v>40.718999999999902</v>
      </c>
      <c r="U3714" s="4">
        <v>44.257860000000001</v>
      </c>
      <c r="V3714" t="str">
        <f>IF(Table1[[#This Row],[ai_disruption_intensity]]&gt;70,"High",
IF(Table1[[#This Row],[ai_disruption_intensity]]&gt;40,"Medium","Low"))</f>
        <v>Medium</v>
      </c>
      <c r="W3714" t="str">
        <f>IF(Table1[[#This Row],[skill_gap_index]]&gt;70,"Large Gap",
IF(Table1[[#This Row],[skill_gap_index]]&gt;40,"Medium Gap","Small Gap"))</f>
        <v>Small Gap</v>
      </c>
      <c r="X3714" s="3" t="str">
        <f>IF(Table1[[#This Row],[automation_risk_percent]]&gt;0.7,"Highly Automatable",
IF(Table1[[#This Row],[automation_risk_percent]]&gt;0.4,"Moderate Risk","Safe Job"))</f>
        <v>Highly Automatable</v>
      </c>
    </row>
    <row r="3715" spans="1:24" x14ac:dyDescent="0.3">
      <c r="A3715">
        <v>12939</v>
      </c>
      <c r="B3715" t="s">
        <v>41</v>
      </c>
      <c r="C3715" t="s">
        <v>33</v>
      </c>
      <c r="D3715" t="s">
        <v>20</v>
      </c>
      <c r="E3715" s="1">
        <v>2026</v>
      </c>
      <c r="F3715" s="11">
        <v>0.56240000000000001</v>
      </c>
      <c r="G3715">
        <v>50.29</v>
      </c>
      <c r="H3715">
        <v>5.47</v>
      </c>
      <c r="I3715" s="2">
        <v>65777.83</v>
      </c>
      <c r="J3715" s="2">
        <v>64064.69</v>
      </c>
      <c r="K3715" s="2">
        <f>Table1[[#This Row],[Salary_after]]-Table1[[#This Row],[Salary_before]]</f>
        <v>-1713.1399999999994</v>
      </c>
      <c r="L3715" s="11">
        <v>-2.6000000000000002E-2</v>
      </c>
      <c r="M3715" s="11">
        <v>0.14199999999999999</v>
      </c>
      <c r="N3715">
        <v>89.09</v>
      </c>
      <c r="O3715">
        <v>95.15</v>
      </c>
      <c r="P3715">
        <v>3</v>
      </c>
      <c r="Q3715" t="s">
        <v>25</v>
      </c>
      <c r="R3715">
        <v>30.855</v>
      </c>
      <c r="S3715">
        <v>2.6</v>
      </c>
      <c r="T3715" s="4">
        <v>24.917000000000002</v>
      </c>
      <c r="U3715" s="4">
        <v>53.512360000000001</v>
      </c>
      <c r="V3715" t="str">
        <f>IF(Table1[[#This Row],[ai_disruption_intensity]]&gt;70,"High",
IF(Table1[[#This Row],[ai_disruption_intensity]]&gt;40,"Medium","Low"))</f>
        <v>Medium</v>
      </c>
      <c r="W3715" t="str">
        <f>IF(Table1[[#This Row],[skill_gap_index]]&gt;70,"Large Gap",
IF(Table1[[#This Row],[skill_gap_index]]&gt;40,"Medium Gap","Small Gap"))</f>
        <v>Small Gap</v>
      </c>
      <c r="X3715" s="3" t="str">
        <f>IF(Table1[[#This Row],[automation_risk_percent]]&gt;0.7,"Highly Automatable",
IF(Table1[[#This Row],[automation_risk_percent]]&gt;0.4,"Moderate Risk","Safe Job"))</f>
        <v>Moderate Risk</v>
      </c>
    </row>
    <row r="3716" spans="1:24" x14ac:dyDescent="0.3">
      <c r="A3716">
        <v>12940</v>
      </c>
      <c r="B3716" t="s">
        <v>45</v>
      </c>
      <c r="C3716" t="s">
        <v>40</v>
      </c>
      <c r="D3716" t="s">
        <v>35</v>
      </c>
      <c r="E3716" s="1">
        <v>2026</v>
      </c>
      <c r="F3716" s="11">
        <v>0.77060000000000006</v>
      </c>
      <c r="G3716">
        <v>65.48</v>
      </c>
      <c r="H3716">
        <v>82.35</v>
      </c>
      <c r="I3716" s="2">
        <v>70382.67</v>
      </c>
      <c r="J3716" s="2">
        <v>84544.87</v>
      </c>
      <c r="K3716" s="2">
        <f>Table1[[#This Row],[Salary_after]]-Table1[[#This Row],[Salary_before]]</f>
        <v>14162.199999999997</v>
      </c>
      <c r="L3716" s="11">
        <v>0.20120000000000002</v>
      </c>
      <c r="M3716" s="11">
        <v>-1.4999999999999999E-2</v>
      </c>
      <c r="N3716">
        <v>78.19</v>
      </c>
      <c r="O3716">
        <v>89.98</v>
      </c>
      <c r="P3716">
        <v>3</v>
      </c>
      <c r="Q3716" t="s">
        <v>37</v>
      </c>
      <c r="R3716">
        <v>79.704999999999998</v>
      </c>
      <c r="S3716">
        <v>20.12</v>
      </c>
      <c r="T3716" s="4">
        <v>61.564999999999998</v>
      </c>
      <c r="U3716" s="4">
        <v>69.338588000000001</v>
      </c>
      <c r="V3716" t="str">
        <f>IF(Table1[[#This Row],[ai_disruption_intensity]]&gt;70,"High",
IF(Table1[[#This Row],[ai_disruption_intensity]]&gt;40,"Medium","Low"))</f>
        <v>Medium</v>
      </c>
      <c r="W3716" t="str">
        <f>IF(Table1[[#This Row],[skill_gap_index]]&gt;70,"Large Gap",
IF(Table1[[#This Row],[skill_gap_index]]&gt;40,"Medium Gap","Small Gap"))</f>
        <v>Large Gap</v>
      </c>
      <c r="X3716" s="3" t="str">
        <f>IF(Table1[[#This Row],[automation_risk_percent]]&gt;0.7,"Highly Automatable",
IF(Table1[[#This Row],[automation_risk_percent]]&gt;0.4,"Moderate Risk","Safe Job"))</f>
        <v>Highly Automatable</v>
      </c>
    </row>
    <row r="3717" spans="1:24" x14ac:dyDescent="0.3">
      <c r="A3717">
        <v>12945</v>
      </c>
      <c r="B3717" t="s">
        <v>46</v>
      </c>
      <c r="C3717" t="s">
        <v>38</v>
      </c>
      <c r="D3717" t="s">
        <v>20</v>
      </c>
      <c r="E3717" s="1">
        <v>2026</v>
      </c>
      <c r="F3717" s="11">
        <v>0.4108</v>
      </c>
      <c r="G3717">
        <v>44.86</v>
      </c>
      <c r="H3717">
        <v>39.9</v>
      </c>
      <c r="I3717" s="2">
        <v>65065.8</v>
      </c>
      <c r="J3717" s="2">
        <v>71707.64</v>
      </c>
      <c r="K3717" s="2">
        <f>Table1[[#This Row],[Salary_after]]-Table1[[#This Row],[Salary_before]]</f>
        <v>6641.8399999999965</v>
      </c>
      <c r="L3717" s="11">
        <v>0.10210000000000001</v>
      </c>
      <c r="M3717" s="11">
        <v>2.5000000000000001E-3</v>
      </c>
      <c r="N3717">
        <v>78.83</v>
      </c>
      <c r="O3717">
        <v>96.75</v>
      </c>
      <c r="P3717">
        <v>5</v>
      </c>
      <c r="Q3717" t="s">
        <v>25</v>
      </c>
      <c r="R3717">
        <v>40.489999999999903</v>
      </c>
      <c r="S3717">
        <v>10.210000000000001</v>
      </c>
      <c r="T3717" s="4">
        <v>31.4649999999999</v>
      </c>
      <c r="U3717" s="4">
        <v>39.744900000000001</v>
      </c>
      <c r="V3717" t="str">
        <f>IF(Table1[[#This Row],[ai_disruption_intensity]]&gt;70,"High",
IF(Table1[[#This Row],[ai_disruption_intensity]]&gt;40,"Medium","Low"))</f>
        <v>Low</v>
      </c>
      <c r="W3717" t="str">
        <f>IF(Table1[[#This Row],[skill_gap_index]]&gt;70,"Large Gap",
IF(Table1[[#This Row],[skill_gap_index]]&gt;40,"Medium Gap","Small Gap"))</f>
        <v>Small Gap</v>
      </c>
      <c r="X3717" s="3" t="str">
        <f>IF(Table1[[#This Row],[automation_risk_percent]]&gt;0.7,"Highly Automatable",
IF(Table1[[#This Row],[automation_risk_percent]]&gt;0.4,"Moderate Risk","Safe Job"))</f>
        <v>Moderate Risk</v>
      </c>
    </row>
    <row r="3718" spans="1:24" x14ac:dyDescent="0.3">
      <c r="A3718">
        <v>12947</v>
      </c>
      <c r="B3718" t="s">
        <v>43</v>
      </c>
      <c r="C3718" t="s">
        <v>38</v>
      </c>
      <c r="D3718" t="s">
        <v>42</v>
      </c>
      <c r="E3718" s="1">
        <v>2026</v>
      </c>
      <c r="F3718" s="11">
        <v>0.46110000000000001</v>
      </c>
      <c r="G3718">
        <v>46.13</v>
      </c>
      <c r="H3718">
        <v>44.12</v>
      </c>
      <c r="I3718" s="2">
        <v>54936.44</v>
      </c>
      <c r="J3718" s="2">
        <v>54983.63</v>
      </c>
      <c r="K3718" s="2">
        <f>Table1[[#This Row],[Salary_after]]-Table1[[#This Row],[Salary_before]]</f>
        <v>47.189999999995052</v>
      </c>
      <c r="L3718" s="11">
        <v>8.9999999999999998E-4</v>
      </c>
      <c r="M3718" s="11">
        <v>0.17730000000000001</v>
      </c>
      <c r="N3718">
        <v>22.12</v>
      </c>
      <c r="O3718">
        <v>91.42</v>
      </c>
      <c r="P3718">
        <v>3</v>
      </c>
      <c r="Q3718" t="s">
        <v>25</v>
      </c>
      <c r="R3718">
        <v>45.114999999999903</v>
      </c>
      <c r="S3718">
        <v>0.09</v>
      </c>
      <c r="T3718" s="4">
        <v>31.707000000000001</v>
      </c>
      <c r="U3718" s="4">
        <v>42.153762</v>
      </c>
      <c r="V3718" t="str">
        <f>IF(Table1[[#This Row],[ai_disruption_intensity]]&gt;70,"High",
IF(Table1[[#This Row],[ai_disruption_intensity]]&gt;40,"Medium","Low"))</f>
        <v>Medium</v>
      </c>
      <c r="W3718" t="str">
        <f>IF(Table1[[#This Row],[skill_gap_index]]&gt;70,"Large Gap",
IF(Table1[[#This Row],[skill_gap_index]]&gt;40,"Medium Gap","Small Gap"))</f>
        <v>Medium Gap</v>
      </c>
      <c r="X3718" s="3" t="str">
        <f>IF(Table1[[#This Row],[automation_risk_percent]]&gt;0.7,"Highly Automatable",
IF(Table1[[#This Row],[automation_risk_percent]]&gt;0.4,"Moderate Risk","Safe Job"))</f>
        <v>Moderate Risk</v>
      </c>
    </row>
    <row r="3719" spans="1:24" x14ac:dyDescent="0.3">
      <c r="A3719">
        <v>12949</v>
      </c>
      <c r="B3719" t="s">
        <v>26</v>
      </c>
      <c r="C3719" t="s">
        <v>23</v>
      </c>
      <c r="D3719" t="s">
        <v>42</v>
      </c>
      <c r="E3719" s="1">
        <v>2026</v>
      </c>
      <c r="F3719" s="11">
        <v>0.50450000000000006</v>
      </c>
      <c r="G3719">
        <v>52.87</v>
      </c>
      <c r="H3719">
        <v>10.46</v>
      </c>
      <c r="I3719" s="2">
        <v>86305.57</v>
      </c>
      <c r="J3719" s="2">
        <v>83861.86</v>
      </c>
      <c r="K3719" s="2">
        <f>Table1[[#This Row],[Salary_after]]-Table1[[#This Row],[Salary_before]]</f>
        <v>-2443.7100000000064</v>
      </c>
      <c r="L3719" s="11">
        <v>-2.8300000000000002E-2</v>
      </c>
      <c r="M3719" s="11">
        <v>4.3700000000000003E-2</v>
      </c>
      <c r="N3719">
        <v>35.700000000000003</v>
      </c>
      <c r="O3719">
        <v>74.33</v>
      </c>
      <c r="P3719">
        <v>2</v>
      </c>
      <c r="Q3719" t="s">
        <v>25</v>
      </c>
      <c r="R3719">
        <v>30.454999999999998</v>
      </c>
      <c r="S3719">
        <v>2.83</v>
      </c>
      <c r="T3719" s="4">
        <v>24.167000000000002</v>
      </c>
      <c r="U3719" s="4">
        <v>37.499485</v>
      </c>
      <c r="V3719" t="str">
        <f>IF(Table1[[#This Row],[ai_disruption_intensity]]&gt;70,"High",
IF(Table1[[#This Row],[ai_disruption_intensity]]&gt;40,"Medium","Low"))</f>
        <v>Low</v>
      </c>
      <c r="W3719" t="str">
        <f>IF(Table1[[#This Row],[skill_gap_index]]&gt;70,"Large Gap",
IF(Table1[[#This Row],[skill_gap_index]]&gt;40,"Medium Gap","Small Gap"))</f>
        <v>Small Gap</v>
      </c>
      <c r="X3719" s="3" t="str">
        <f>IF(Table1[[#This Row],[automation_risk_percent]]&gt;0.7,"Highly Automatable",
IF(Table1[[#This Row],[automation_risk_percent]]&gt;0.4,"Moderate Risk","Safe Job"))</f>
        <v>Moderate Risk</v>
      </c>
    </row>
    <row r="3720" spans="1:24" x14ac:dyDescent="0.3">
      <c r="A3720">
        <v>12954</v>
      </c>
      <c r="B3720" t="s">
        <v>18</v>
      </c>
      <c r="C3720" t="s">
        <v>27</v>
      </c>
      <c r="D3720" t="s">
        <v>42</v>
      </c>
      <c r="E3720" s="1">
        <v>2025</v>
      </c>
      <c r="F3720" s="11">
        <v>0.39289999999999997</v>
      </c>
      <c r="G3720">
        <v>38.67</v>
      </c>
      <c r="H3720">
        <v>8.0399999999999991</v>
      </c>
      <c r="I3720" s="2">
        <v>134141.65</v>
      </c>
      <c r="J3720" s="2">
        <v>117783.42</v>
      </c>
      <c r="K3720" s="2">
        <f>Table1[[#This Row],[Salary_after]]-Table1[[#This Row],[Salary_before]]</f>
        <v>-16358.229999999996</v>
      </c>
      <c r="L3720" s="11">
        <v>-0.12189999999999999</v>
      </c>
      <c r="M3720" s="11">
        <v>0.20269999999999999</v>
      </c>
      <c r="N3720">
        <v>86.96</v>
      </c>
      <c r="O3720">
        <v>41.2</v>
      </c>
      <c r="P3720">
        <v>5</v>
      </c>
      <c r="Q3720" t="s">
        <v>25</v>
      </c>
      <c r="R3720">
        <v>23.664999999999999</v>
      </c>
      <c r="S3720">
        <v>12.19</v>
      </c>
      <c r="T3720" s="4">
        <v>21.785</v>
      </c>
      <c r="U3720" s="4">
        <v>16.187480000000001</v>
      </c>
      <c r="V3720" t="str">
        <f>IF(Table1[[#This Row],[ai_disruption_intensity]]&gt;70,"High",
IF(Table1[[#This Row],[ai_disruption_intensity]]&gt;40,"Medium","Low"))</f>
        <v>Low</v>
      </c>
      <c r="W3720" t="str">
        <f>IF(Table1[[#This Row],[skill_gap_index]]&gt;70,"Large Gap",
IF(Table1[[#This Row],[skill_gap_index]]&gt;40,"Medium Gap","Small Gap"))</f>
        <v>Small Gap</v>
      </c>
      <c r="X3720" s="3" t="str">
        <f>IF(Table1[[#This Row],[automation_risk_percent]]&gt;0.7,"Highly Automatable",
IF(Table1[[#This Row],[automation_risk_percent]]&gt;0.4,"Moderate Risk","Safe Job"))</f>
        <v>Safe Job</v>
      </c>
    </row>
    <row r="3721" spans="1:24" x14ac:dyDescent="0.3">
      <c r="A3721">
        <v>12964</v>
      </c>
      <c r="B3721" t="s">
        <v>22</v>
      </c>
      <c r="C3721" t="s">
        <v>19</v>
      </c>
      <c r="D3721" t="s">
        <v>35</v>
      </c>
      <c r="E3721" s="1">
        <v>2025</v>
      </c>
      <c r="F3721" s="11">
        <v>0.75890000000000002</v>
      </c>
      <c r="G3721">
        <v>62.18</v>
      </c>
      <c r="H3721">
        <v>75.459999999999994</v>
      </c>
      <c r="I3721" s="2">
        <v>107428.89</v>
      </c>
      <c r="J3721" s="2">
        <v>104850.1</v>
      </c>
      <c r="K3721" s="2">
        <f>Table1[[#This Row],[Salary_after]]-Table1[[#This Row],[Salary_before]]</f>
        <v>-2578.7899999999936</v>
      </c>
      <c r="L3721" s="11">
        <v>-2.4E-2</v>
      </c>
      <c r="M3721" s="11">
        <v>-0.14880000000000002</v>
      </c>
      <c r="N3721">
        <v>92.62</v>
      </c>
      <c r="O3721">
        <v>85.36</v>
      </c>
      <c r="P3721">
        <v>5</v>
      </c>
      <c r="Q3721" t="s">
        <v>37</v>
      </c>
      <c r="R3721">
        <v>75.674999999999997</v>
      </c>
      <c r="S3721">
        <v>2.4</v>
      </c>
      <c r="T3721" s="4">
        <v>53.713999999999999</v>
      </c>
      <c r="U3721" s="4">
        <v>64.779703999999995</v>
      </c>
      <c r="V3721" t="str">
        <f>IF(Table1[[#This Row],[ai_disruption_intensity]]&gt;70,"High",
IF(Table1[[#This Row],[ai_disruption_intensity]]&gt;40,"Medium","Low"))</f>
        <v>Medium</v>
      </c>
      <c r="W3721" t="str">
        <f>IF(Table1[[#This Row],[skill_gap_index]]&gt;70,"Large Gap",
IF(Table1[[#This Row],[skill_gap_index]]&gt;40,"Medium Gap","Small Gap"))</f>
        <v>Large Gap</v>
      </c>
      <c r="X3721" s="3" t="str">
        <f>IF(Table1[[#This Row],[automation_risk_percent]]&gt;0.7,"Highly Automatable",
IF(Table1[[#This Row],[automation_risk_percent]]&gt;0.4,"Moderate Risk","Safe Job"))</f>
        <v>Highly Automatable</v>
      </c>
    </row>
    <row r="3722" spans="1:24" x14ac:dyDescent="0.3">
      <c r="A3722">
        <v>12966</v>
      </c>
      <c r="B3722" t="s">
        <v>41</v>
      </c>
      <c r="C3722" t="s">
        <v>40</v>
      </c>
      <c r="D3722" t="s">
        <v>28</v>
      </c>
      <c r="E3722" s="1">
        <v>2026</v>
      </c>
      <c r="F3722" s="11">
        <v>0.47409999999999997</v>
      </c>
      <c r="G3722">
        <v>50.41</v>
      </c>
      <c r="H3722">
        <v>54.35</v>
      </c>
      <c r="I3722" s="2">
        <v>42370.09</v>
      </c>
      <c r="J3722" s="2">
        <v>39542.92</v>
      </c>
      <c r="K3722" s="2">
        <f>Table1[[#This Row],[Salary_after]]-Table1[[#This Row],[Salary_before]]</f>
        <v>-2827.1699999999983</v>
      </c>
      <c r="L3722" s="11">
        <v>-6.6699999999999995E-2</v>
      </c>
      <c r="M3722" s="11">
        <v>1.2800000000000001E-2</v>
      </c>
      <c r="N3722">
        <v>82.33</v>
      </c>
      <c r="O3722">
        <v>69.98</v>
      </c>
      <c r="P3722">
        <v>5</v>
      </c>
      <c r="Q3722" t="s">
        <v>25</v>
      </c>
      <c r="R3722">
        <v>50.879999999999903</v>
      </c>
      <c r="S3722">
        <v>6.67</v>
      </c>
      <c r="T3722" s="4">
        <v>37.269999999999897</v>
      </c>
      <c r="U3722" s="4">
        <v>33.177517999999999</v>
      </c>
      <c r="V3722" t="str">
        <f>IF(Table1[[#This Row],[ai_disruption_intensity]]&gt;70,"High",
IF(Table1[[#This Row],[ai_disruption_intensity]]&gt;40,"Medium","Low"))</f>
        <v>Low</v>
      </c>
      <c r="W3722" t="str">
        <f>IF(Table1[[#This Row],[skill_gap_index]]&gt;70,"Large Gap",
IF(Table1[[#This Row],[skill_gap_index]]&gt;40,"Medium Gap","Small Gap"))</f>
        <v>Medium Gap</v>
      </c>
      <c r="X3722" s="3" t="str">
        <f>IF(Table1[[#This Row],[automation_risk_percent]]&gt;0.7,"Highly Automatable",
IF(Table1[[#This Row],[automation_risk_percent]]&gt;0.4,"Moderate Risk","Safe Job"))</f>
        <v>Moderate Risk</v>
      </c>
    </row>
    <row r="3723" spans="1:24" x14ac:dyDescent="0.3">
      <c r="A3723">
        <v>12967</v>
      </c>
      <c r="B3723" t="s">
        <v>46</v>
      </c>
      <c r="C3723" t="s">
        <v>34</v>
      </c>
      <c r="D3723" t="s">
        <v>20</v>
      </c>
      <c r="E3723" s="1">
        <v>2026</v>
      </c>
      <c r="F3723" s="11">
        <v>0.56210000000000004</v>
      </c>
      <c r="G3723">
        <v>59.39</v>
      </c>
      <c r="H3723">
        <v>51.86</v>
      </c>
      <c r="I3723" s="2">
        <v>87055.96</v>
      </c>
      <c r="J3723" s="2">
        <v>94167.360000000001</v>
      </c>
      <c r="K3723" s="2">
        <f>Table1[[#This Row],[Salary_after]]-Table1[[#This Row],[Salary_before]]</f>
        <v>7111.3999999999942</v>
      </c>
      <c r="L3723" s="11">
        <v>8.1699999999999995E-2</v>
      </c>
      <c r="M3723" s="11">
        <v>1.44E-2</v>
      </c>
      <c r="N3723">
        <v>51.94</v>
      </c>
      <c r="O3723">
        <v>21.44</v>
      </c>
      <c r="P3723">
        <v>2</v>
      </c>
      <c r="Q3723" t="s">
        <v>25</v>
      </c>
      <c r="R3723">
        <v>54.034999999999997</v>
      </c>
      <c r="S3723">
        <v>8.17</v>
      </c>
      <c r="T3723" s="4">
        <v>40.493000000000002</v>
      </c>
      <c r="U3723" s="4">
        <v>12.051424000000001</v>
      </c>
      <c r="V3723" t="str">
        <f>IF(Table1[[#This Row],[ai_disruption_intensity]]&gt;70,"High",
IF(Table1[[#This Row],[ai_disruption_intensity]]&gt;40,"Medium","Low"))</f>
        <v>Low</v>
      </c>
      <c r="W3723" t="str">
        <f>IF(Table1[[#This Row],[skill_gap_index]]&gt;70,"Large Gap",
IF(Table1[[#This Row],[skill_gap_index]]&gt;40,"Medium Gap","Small Gap"))</f>
        <v>Medium Gap</v>
      </c>
      <c r="X3723" s="3" t="str">
        <f>IF(Table1[[#This Row],[automation_risk_percent]]&gt;0.7,"Highly Automatable",
IF(Table1[[#This Row],[automation_risk_percent]]&gt;0.4,"Moderate Risk","Safe Job"))</f>
        <v>Moderate Risk</v>
      </c>
    </row>
    <row r="3724" spans="1:24" x14ac:dyDescent="0.3">
      <c r="A3724">
        <v>12968</v>
      </c>
      <c r="B3724" t="s">
        <v>22</v>
      </c>
      <c r="C3724" t="s">
        <v>27</v>
      </c>
      <c r="D3724" t="s">
        <v>24</v>
      </c>
      <c r="E3724" s="1">
        <v>2025</v>
      </c>
      <c r="F3724" s="11">
        <v>0.62290000000000001</v>
      </c>
      <c r="G3724">
        <v>58.24</v>
      </c>
      <c r="H3724">
        <v>22.35</v>
      </c>
      <c r="I3724" s="2">
        <v>124926.41</v>
      </c>
      <c r="J3724" s="2">
        <v>107433.31</v>
      </c>
      <c r="K3724" s="2">
        <f>Table1[[#This Row],[Salary_after]]-Table1[[#This Row],[Salary_before]]</f>
        <v>-17493.100000000006</v>
      </c>
      <c r="L3724" s="11">
        <v>-0.14000000000000001</v>
      </c>
      <c r="M3724" s="11">
        <v>2.52E-2</v>
      </c>
      <c r="N3724">
        <v>70.52</v>
      </c>
      <c r="O3724">
        <v>81.69</v>
      </c>
      <c r="P3724">
        <v>1</v>
      </c>
      <c r="Q3724" t="s">
        <v>37</v>
      </c>
      <c r="R3724">
        <v>42.32</v>
      </c>
      <c r="S3724">
        <v>14</v>
      </c>
      <c r="T3724" s="4">
        <v>35.820999999999998</v>
      </c>
      <c r="U3724" s="4">
        <v>50.8847009999999</v>
      </c>
      <c r="V3724" t="str">
        <f>IF(Table1[[#This Row],[ai_disruption_intensity]]&gt;70,"High",
IF(Table1[[#This Row],[ai_disruption_intensity]]&gt;40,"Medium","Low"))</f>
        <v>Medium</v>
      </c>
      <c r="W3724" t="str">
        <f>IF(Table1[[#This Row],[skill_gap_index]]&gt;70,"Large Gap",
IF(Table1[[#This Row],[skill_gap_index]]&gt;40,"Medium Gap","Small Gap"))</f>
        <v>Small Gap</v>
      </c>
      <c r="X3724" s="3" t="str">
        <f>IF(Table1[[#This Row],[automation_risk_percent]]&gt;0.7,"Highly Automatable",
IF(Table1[[#This Row],[automation_risk_percent]]&gt;0.4,"Moderate Risk","Safe Job"))</f>
        <v>Moderate Risk</v>
      </c>
    </row>
    <row r="3725" spans="1:24" x14ac:dyDescent="0.3">
      <c r="A3725">
        <v>12970</v>
      </c>
      <c r="B3725" t="s">
        <v>45</v>
      </c>
      <c r="C3725" t="s">
        <v>40</v>
      </c>
      <c r="D3725" t="s">
        <v>31</v>
      </c>
      <c r="E3725" s="1">
        <v>2026</v>
      </c>
      <c r="F3725" s="11">
        <v>0.58909999999999996</v>
      </c>
      <c r="G3725">
        <v>54.46</v>
      </c>
      <c r="H3725">
        <v>19.73</v>
      </c>
      <c r="I3725" s="2">
        <v>48079.519999999997</v>
      </c>
      <c r="J3725" s="2">
        <v>48971.17</v>
      </c>
      <c r="K3725" s="2">
        <f>Table1[[#This Row],[Salary_after]]-Table1[[#This Row],[Salary_before]]</f>
        <v>891.65000000000146</v>
      </c>
      <c r="L3725" s="11">
        <v>1.8500000000000003E-2</v>
      </c>
      <c r="M3725" s="11">
        <v>8.1699999999999995E-2</v>
      </c>
      <c r="N3725">
        <v>94.25</v>
      </c>
      <c r="O3725">
        <v>76.38</v>
      </c>
      <c r="P3725">
        <v>3</v>
      </c>
      <c r="Q3725" t="s">
        <v>25</v>
      </c>
      <c r="R3725">
        <v>39.32</v>
      </c>
      <c r="S3725">
        <v>1.85</v>
      </c>
      <c r="T3725" s="4">
        <v>30.038</v>
      </c>
      <c r="U3725" s="4">
        <v>44.995457999999999</v>
      </c>
      <c r="V3725" t="str">
        <f>IF(Table1[[#This Row],[ai_disruption_intensity]]&gt;70,"High",
IF(Table1[[#This Row],[ai_disruption_intensity]]&gt;40,"Medium","Low"))</f>
        <v>Medium</v>
      </c>
      <c r="W3725" t="str">
        <f>IF(Table1[[#This Row],[skill_gap_index]]&gt;70,"Large Gap",
IF(Table1[[#This Row],[skill_gap_index]]&gt;40,"Medium Gap","Small Gap"))</f>
        <v>Small Gap</v>
      </c>
      <c r="X3725" s="3" t="str">
        <f>IF(Table1[[#This Row],[automation_risk_percent]]&gt;0.7,"Highly Automatable",
IF(Table1[[#This Row],[automation_risk_percent]]&gt;0.4,"Moderate Risk","Safe Job"))</f>
        <v>Moderate Risk</v>
      </c>
    </row>
    <row r="3726" spans="1:24" x14ac:dyDescent="0.3">
      <c r="A3726">
        <v>12972</v>
      </c>
      <c r="B3726" t="s">
        <v>46</v>
      </c>
      <c r="C3726" t="s">
        <v>34</v>
      </c>
      <c r="D3726" t="s">
        <v>28</v>
      </c>
      <c r="E3726" s="1">
        <v>2026</v>
      </c>
      <c r="F3726" s="11">
        <v>0.48430000000000001</v>
      </c>
      <c r="G3726">
        <v>56.14</v>
      </c>
      <c r="H3726">
        <v>91.81</v>
      </c>
      <c r="I3726" s="2">
        <v>125643.18</v>
      </c>
      <c r="J3726" s="2">
        <v>117313.3</v>
      </c>
      <c r="K3726" s="2">
        <f>Table1[[#This Row],[Salary_after]]-Table1[[#This Row],[Salary_before]]</f>
        <v>-8329.8799999999901</v>
      </c>
      <c r="L3726" s="11">
        <v>-6.6299999999999998E-2</v>
      </c>
      <c r="M3726" s="11">
        <v>-9.1700000000000004E-2</v>
      </c>
      <c r="N3726">
        <v>39.79</v>
      </c>
      <c r="O3726">
        <v>44.93</v>
      </c>
      <c r="P3726">
        <v>1</v>
      </c>
      <c r="Q3726" t="s">
        <v>25</v>
      </c>
      <c r="R3726">
        <v>70.12</v>
      </c>
      <c r="S3726">
        <v>6.63</v>
      </c>
      <c r="T3726" s="4">
        <v>48.903999999999897</v>
      </c>
      <c r="U3726" s="4">
        <v>21.759598999999898</v>
      </c>
      <c r="V3726" t="str">
        <f>IF(Table1[[#This Row],[ai_disruption_intensity]]&gt;70,"High",
IF(Table1[[#This Row],[ai_disruption_intensity]]&gt;40,"Medium","Low"))</f>
        <v>Low</v>
      </c>
      <c r="W3726" t="str">
        <f>IF(Table1[[#This Row],[skill_gap_index]]&gt;70,"Large Gap",
IF(Table1[[#This Row],[skill_gap_index]]&gt;40,"Medium Gap","Small Gap"))</f>
        <v>Large Gap</v>
      </c>
      <c r="X3726" s="3" t="str">
        <f>IF(Table1[[#This Row],[automation_risk_percent]]&gt;0.7,"Highly Automatable",
IF(Table1[[#This Row],[automation_risk_percent]]&gt;0.4,"Moderate Risk","Safe Job"))</f>
        <v>Moderate Risk</v>
      </c>
    </row>
    <row r="3727" spans="1:24" x14ac:dyDescent="0.3">
      <c r="A3727">
        <v>12975</v>
      </c>
      <c r="B3727" t="s">
        <v>18</v>
      </c>
      <c r="C3727" t="s">
        <v>23</v>
      </c>
      <c r="D3727" t="s">
        <v>20</v>
      </c>
      <c r="E3727" s="1">
        <v>2026</v>
      </c>
      <c r="F3727" s="11">
        <v>0.24670000000000003</v>
      </c>
      <c r="G3727">
        <v>29.44</v>
      </c>
      <c r="H3727">
        <v>78.53</v>
      </c>
      <c r="I3727" s="2">
        <v>83632.78</v>
      </c>
      <c r="J3727" s="2">
        <v>66824.289999999994</v>
      </c>
      <c r="K3727" s="2">
        <f>Table1[[#This Row],[Salary_after]]-Table1[[#This Row],[Salary_before]]</f>
        <v>-16808.490000000005</v>
      </c>
      <c r="L3727" s="11">
        <v>-0.20100000000000001</v>
      </c>
      <c r="M3727" s="11">
        <v>-8.6999999999999994E-3</v>
      </c>
      <c r="N3727">
        <v>76.87</v>
      </c>
      <c r="O3727">
        <v>61.89</v>
      </c>
      <c r="P3727">
        <v>3</v>
      </c>
      <c r="Q3727" t="s">
        <v>21</v>
      </c>
      <c r="R3727">
        <v>51.6</v>
      </c>
      <c r="S3727">
        <v>20.100000000000001</v>
      </c>
      <c r="T3727" s="4">
        <v>39.457000000000001</v>
      </c>
      <c r="U3727" s="4">
        <v>15.268262999999999</v>
      </c>
      <c r="V3727" t="str">
        <f>IF(Table1[[#This Row],[ai_disruption_intensity]]&gt;70,"High",
IF(Table1[[#This Row],[ai_disruption_intensity]]&gt;40,"Medium","Low"))</f>
        <v>Low</v>
      </c>
      <c r="W3727" t="str">
        <f>IF(Table1[[#This Row],[skill_gap_index]]&gt;70,"Large Gap",
IF(Table1[[#This Row],[skill_gap_index]]&gt;40,"Medium Gap","Small Gap"))</f>
        <v>Large Gap</v>
      </c>
      <c r="X3727" s="3" t="str">
        <f>IF(Table1[[#This Row],[automation_risk_percent]]&gt;0.7,"Highly Automatable",
IF(Table1[[#This Row],[automation_risk_percent]]&gt;0.4,"Moderate Risk","Safe Job"))</f>
        <v>Safe Job</v>
      </c>
    </row>
    <row r="3728" spans="1:24" x14ac:dyDescent="0.3">
      <c r="A3728">
        <v>12980</v>
      </c>
      <c r="B3728" t="s">
        <v>45</v>
      </c>
      <c r="C3728" t="s">
        <v>38</v>
      </c>
      <c r="D3728" t="s">
        <v>24</v>
      </c>
      <c r="E3728" s="1">
        <v>2026</v>
      </c>
      <c r="F3728" s="11">
        <v>0.52859999999999996</v>
      </c>
      <c r="G3728">
        <v>43.24</v>
      </c>
      <c r="H3728">
        <v>47.61</v>
      </c>
      <c r="I3728" s="2">
        <v>99782.33</v>
      </c>
      <c r="J3728" s="2">
        <v>107220.81</v>
      </c>
      <c r="K3728" s="2">
        <f>Table1[[#This Row],[Salary_after]]-Table1[[#This Row],[Salary_before]]</f>
        <v>7438.4799999999959</v>
      </c>
      <c r="L3728" s="11">
        <v>7.4499999999999997E-2</v>
      </c>
      <c r="M3728" s="11">
        <v>1.72E-2</v>
      </c>
      <c r="N3728">
        <v>82.9</v>
      </c>
      <c r="O3728">
        <v>40.380000000000003</v>
      </c>
      <c r="P3728">
        <v>5</v>
      </c>
      <c r="Q3728" t="s">
        <v>25</v>
      </c>
      <c r="R3728">
        <v>50.234999999999999</v>
      </c>
      <c r="S3728">
        <v>7.45</v>
      </c>
      <c r="T3728" s="4">
        <v>37.661999999999999</v>
      </c>
      <c r="U3728" s="4">
        <v>21.344868000000002</v>
      </c>
      <c r="V3728" t="str">
        <f>IF(Table1[[#This Row],[ai_disruption_intensity]]&gt;70,"High",
IF(Table1[[#This Row],[ai_disruption_intensity]]&gt;40,"Medium","Low"))</f>
        <v>Low</v>
      </c>
      <c r="W3728" t="str">
        <f>IF(Table1[[#This Row],[skill_gap_index]]&gt;70,"Large Gap",
IF(Table1[[#This Row],[skill_gap_index]]&gt;40,"Medium Gap","Small Gap"))</f>
        <v>Medium Gap</v>
      </c>
      <c r="X3728" s="3" t="str">
        <f>IF(Table1[[#This Row],[automation_risk_percent]]&gt;0.7,"Highly Automatable",
IF(Table1[[#This Row],[automation_risk_percent]]&gt;0.4,"Moderate Risk","Safe Job"))</f>
        <v>Moderate Risk</v>
      </c>
    </row>
    <row r="3729" spans="1:24" x14ac:dyDescent="0.3">
      <c r="A3729">
        <v>12985</v>
      </c>
      <c r="B3729" t="s">
        <v>41</v>
      </c>
      <c r="C3729" t="s">
        <v>33</v>
      </c>
      <c r="D3729" t="s">
        <v>42</v>
      </c>
      <c r="E3729" s="1">
        <v>2025</v>
      </c>
      <c r="F3729" s="11">
        <v>0.32299999999999995</v>
      </c>
      <c r="G3729">
        <v>26.25</v>
      </c>
      <c r="H3729">
        <v>18.61</v>
      </c>
      <c r="I3729" s="2">
        <v>126043.59</v>
      </c>
      <c r="J3729" s="2">
        <v>126195.07</v>
      </c>
      <c r="K3729" s="2">
        <f>Table1[[#This Row],[Salary_after]]-Table1[[#This Row],[Salary_before]]</f>
        <v>151.48000000001048</v>
      </c>
      <c r="L3729" s="11">
        <v>1.1999999999999999E-3</v>
      </c>
      <c r="M3729" s="11">
        <v>8.9200000000000002E-2</v>
      </c>
      <c r="N3729">
        <v>82.5</v>
      </c>
      <c r="O3729">
        <v>25.51</v>
      </c>
      <c r="P3729">
        <v>4</v>
      </c>
      <c r="Q3729" t="s">
        <v>25</v>
      </c>
      <c r="R3729">
        <v>25.454999999999998</v>
      </c>
      <c r="S3729">
        <v>0.12</v>
      </c>
      <c r="T3729" s="4">
        <v>18.539000000000001</v>
      </c>
      <c r="U3729" s="4">
        <v>8.2397299999999998</v>
      </c>
      <c r="V3729" t="str">
        <f>IF(Table1[[#This Row],[ai_disruption_intensity]]&gt;70,"High",
IF(Table1[[#This Row],[ai_disruption_intensity]]&gt;40,"Medium","Low"))</f>
        <v>Low</v>
      </c>
      <c r="W3729" t="str">
        <f>IF(Table1[[#This Row],[skill_gap_index]]&gt;70,"Large Gap",
IF(Table1[[#This Row],[skill_gap_index]]&gt;40,"Medium Gap","Small Gap"))</f>
        <v>Small Gap</v>
      </c>
      <c r="X3729" s="3" t="str">
        <f>IF(Table1[[#This Row],[automation_risk_percent]]&gt;0.7,"Highly Automatable",
IF(Table1[[#This Row],[automation_risk_percent]]&gt;0.4,"Moderate Risk","Safe Job"))</f>
        <v>Safe Job</v>
      </c>
    </row>
    <row r="3730" spans="1:24" x14ac:dyDescent="0.3">
      <c r="A3730">
        <v>12990</v>
      </c>
      <c r="B3730" t="s">
        <v>41</v>
      </c>
      <c r="C3730" t="s">
        <v>34</v>
      </c>
      <c r="D3730" t="s">
        <v>20</v>
      </c>
      <c r="E3730" s="1">
        <v>2025</v>
      </c>
      <c r="F3730" s="11">
        <v>0.28139999999999998</v>
      </c>
      <c r="G3730">
        <v>24.85</v>
      </c>
      <c r="H3730">
        <v>28.95</v>
      </c>
      <c r="I3730" s="2">
        <v>53377.54</v>
      </c>
      <c r="J3730" s="2">
        <v>55764.25</v>
      </c>
      <c r="K3730" s="2">
        <f>Table1[[#This Row],[Salary_after]]-Table1[[#This Row],[Salary_before]]</f>
        <v>2386.7099999999991</v>
      </c>
      <c r="L3730" s="11">
        <v>4.4699999999999997E-2</v>
      </c>
      <c r="M3730" s="11">
        <v>0.26269999999999999</v>
      </c>
      <c r="N3730">
        <v>43.05</v>
      </c>
      <c r="O3730">
        <v>43.26</v>
      </c>
      <c r="P3730">
        <v>1</v>
      </c>
      <c r="Q3730" t="s">
        <v>21</v>
      </c>
      <c r="R3730">
        <v>28.545000000000002</v>
      </c>
      <c r="S3730">
        <v>4.47</v>
      </c>
      <c r="T3730" s="4">
        <v>21.282</v>
      </c>
      <c r="U3730" s="4">
        <v>12.173363999999999</v>
      </c>
      <c r="V3730" t="str">
        <f>IF(Table1[[#This Row],[ai_disruption_intensity]]&gt;70,"High",
IF(Table1[[#This Row],[ai_disruption_intensity]]&gt;40,"Medium","Low"))</f>
        <v>Low</v>
      </c>
      <c r="W3730" t="str">
        <f>IF(Table1[[#This Row],[skill_gap_index]]&gt;70,"Large Gap",
IF(Table1[[#This Row],[skill_gap_index]]&gt;40,"Medium Gap","Small Gap"))</f>
        <v>Small Gap</v>
      </c>
      <c r="X3730" s="3" t="str">
        <f>IF(Table1[[#This Row],[automation_risk_percent]]&gt;0.7,"Highly Automatable",
IF(Table1[[#This Row],[automation_risk_percent]]&gt;0.4,"Moderate Risk","Safe Job"))</f>
        <v>Safe Job</v>
      </c>
    </row>
    <row r="3731" spans="1:24" x14ac:dyDescent="0.3">
      <c r="A3731">
        <v>12992</v>
      </c>
      <c r="B3731" t="s">
        <v>39</v>
      </c>
      <c r="C3731" t="s">
        <v>19</v>
      </c>
      <c r="D3731" t="s">
        <v>32</v>
      </c>
      <c r="E3731" s="1">
        <v>2026</v>
      </c>
      <c r="F3731" s="11">
        <v>0.47799999999999998</v>
      </c>
      <c r="G3731">
        <v>39.42</v>
      </c>
      <c r="H3731">
        <v>39.869999999999997</v>
      </c>
      <c r="I3731" s="2">
        <v>55212.94</v>
      </c>
      <c r="J3731" s="2">
        <v>51180.7</v>
      </c>
      <c r="K3731" s="2">
        <f>Table1[[#This Row],[Salary_after]]-Table1[[#This Row],[Salary_before]]</f>
        <v>-4032.2400000000052</v>
      </c>
      <c r="L3731" s="11">
        <v>-7.2999999999999995E-2</v>
      </c>
      <c r="M3731" s="11">
        <v>7.7600000000000002E-2</v>
      </c>
      <c r="N3731">
        <v>80.78</v>
      </c>
      <c r="O3731">
        <v>57.08</v>
      </c>
      <c r="P3731">
        <v>2</v>
      </c>
      <c r="Q3731" t="s">
        <v>25</v>
      </c>
      <c r="R3731">
        <v>43.834999999999901</v>
      </c>
      <c r="S3731">
        <v>7.3</v>
      </c>
      <c r="T3731" s="4">
        <v>33.271000000000001</v>
      </c>
      <c r="U3731" s="4">
        <v>27.28424</v>
      </c>
      <c r="V3731" t="str">
        <f>IF(Table1[[#This Row],[ai_disruption_intensity]]&gt;70,"High",
IF(Table1[[#This Row],[ai_disruption_intensity]]&gt;40,"Medium","Low"))</f>
        <v>Low</v>
      </c>
      <c r="W3731" t="str">
        <f>IF(Table1[[#This Row],[skill_gap_index]]&gt;70,"Large Gap",
IF(Table1[[#This Row],[skill_gap_index]]&gt;40,"Medium Gap","Small Gap"))</f>
        <v>Small Gap</v>
      </c>
      <c r="X3731" s="3" t="str">
        <f>IF(Table1[[#This Row],[automation_risk_percent]]&gt;0.7,"Highly Automatable",
IF(Table1[[#This Row],[automation_risk_percent]]&gt;0.4,"Moderate Risk","Safe Job"))</f>
        <v>Moderate Risk</v>
      </c>
    </row>
    <row r="3732" spans="1:24" x14ac:dyDescent="0.3">
      <c r="A3732">
        <v>12993</v>
      </c>
      <c r="B3732" t="s">
        <v>46</v>
      </c>
      <c r="C3732" t="s">
        <v>27</v>
      </c>
      <c r="D3732" t="s">
        <v>32</v>
      </c>
      <c r="E3732" s="1">
        <v>2025</v>
      </c>
      <c r="F3732" s="11">
        <v>0.2611</v>
      </c>
      <c r="G3732">
        <v>22.35</v>
      </c>
      <c r="H3732">
        <v>67.16</v>
      </c>
      <c r="I3732" s="2">
        <v>130660.04</v>
      </c>
      <c r="J3732" s="2">
        <v>122030.14</v>
      </c>
      <c r="K3732" s="2">
        <f>Table1[[#This Row],[Salary_after]]-Table1[[#This Row],[Salary_before]]</f>
        <v>-8629.8999999999942</v>
      </c>
      <c r="L3732" s="11">
        <v>-6.6000000000000003E-2</v>
      </c>
      <c r="M3732" s="11">
        <v>-8.2299999999999998E-2</v>
      </c>
      <c r="N3732">
        <v>48.38</v>
      </c>
      <c r="O3732">
        <v>58.54</v>
      </c>
      <c r="P3732">
        <v>4</v>
      </c>
      <c r="Q3732" t="s">
        <v>21</v>
      </c>
      <c r="R3732">
        <v>46.634999999999998</v>
      </c>
      <c r="S3732">
        <v>6.6</v>
      </c>
      <c r="T3732" s="4">
        <v>32.571999999999903</v>
      </c>
      <c r="U3732" s="4">
        <v>15.284794</v>
      </c>
      <c r="V3732" t="str">
        <f>IF(Table1[[#This Row],[ai_disruption_intensity]]&gt;70,"High",
IF(Table1[[#This Row],[ai_disruption_intensity]]&gt;40,"Medium","Low"))</f>
        <v>Low</v>
      </c>
      <c r="W3732" t="str">
        <f>IF(Table1[[#This Row],[skill_gap_index]]&gt;70,"Large Gap",
IF(Table1[[#This Row],[skill_gap_index]]&gt;40,"Medium Gap","Small Gap"))</f>
        <v>Medium Gap</v>
      </c>
      <c r="X3732" s="3" t="str">
        <f>IF(Table1[[#This Row],[automation_risk_percent]]&gt;0.7,"Highly Automatable",
IF(Table1[[#This Row],[automation_risk_percent]]&gt;0.4,"Moderate Risk","Safe Job"))</f>
        <v>Safe Job</v>
      </c>
    </row>
    <row r="3733" spans="1:24" x14ac:dyDescent="0.3">
      <c r="A3733">
        <v>12995</v>
      </c>
      <c r="B3733" t="s">
        <v>39</v>
      </c>
      <c r="C3733" t="s">
        <v>27</v>
      </c>
      <c r="D3733" t="s">
        <v>42</v>
      </c>
      <c r="E3733" s="1">
        <v>2026</v>
      </c>
      <c r="F3733" s="11">
        <v>0.61840000000000006</v>
      </c>
      <c r="G3733">
        <v>55.89</v>
      </c>
      <c r="H3733">
        <v>42.15</v>
      </c>
      <c r="I3733" s="2">
        <v>86275.48</v>
      </c>
      <c r="J3733" s="2">
        <v>85005.07</v>
      </c>
      <c r="K3733" s="2">
        <f>Table1[[#This Row],[Salary_after]]-Table1[[#This Row],[Salary_before]]</f>
        <v>-1270.4099999999889</v>
      </c>
      <c r="L3733" s="11">
        <v>-1.47E-2</v>
      </c>
      <c r="M3733" s="11">
        <v>8.8599999999999998E-2</v>
      </c>
      <c r="N3733">
        <v>94.44</v>
      </c>
      <c r="O3733">
        <v>87.35</v>
      </c>
      <c r="P3733">
        <v>2</v>
      </c>
      <c r="Q3733" t="s">
        <v>37</v>
      </c>
      <c r="R3733">
        <v>51.994999999999997</v>
      </c>
      <c r="S3733">
        <v>1.47</v>
      </c>
      <c r="T3733" s="4">
        <v>37.822000000000003</v>
      </c>
      <c r="U3733" s="4">
        <v>54.017240000000001</v>
      </c>
      <c r="V3733" t="str">
        <f>IF(Table1[[#This Row],[ai_disruption_intensity]]&gt;70,"High",
IF(Table1[[#This Row],[ai_disruption_intensity]]&gt;40,"Medium","Low"))</f>
        <v>Medium</v>
      </c>
      <c r="W3733" t="str">
        <f>IF(Table1[[#This Row],[skill_gap_index]]&gt;70,"Large Gap",
IF(Table1[[#This Row],[skill_gap_index]]&gt;40,"Medium Gap","Small Gap"))</f>
        <v>Medium Gap</v>
      </c>
      <c r="X3733" s="3" t="str">
        <f>IF(Table1[[#This Row],[automation_risk_percent]]&gt;0.7,"Highly Automatable",
IF(Table1[[#This Row],[automation_risk_percent]]&gt;0.4,"Moderate Risk","Safe Job"))</f>
        <v>Moderate Risk</v>
      </c>
    </row>
    <row r="3734" spans="1:24" x14ac:dyDescent="0.3">
      <c r="A3734">
        <v>12996</v>
      </c>
      <c r="B3734" t="s">
        <v>29</v>
      </c>
      <c r="C3734" t="s">
        <v>30</v>
      </c>
      <c r="D3734" t="s">
        <v>31</v>
      </c>
      <c r="E3734" s="1">
        <v>2025</v>
      </c>
      <c r="F3734" s="11">
        <v>0.78549999999999998</v>
      </c>
      <c r="G3734">
        <v>84.44</v>
      </c>
      <c r="H3734">
        <v>49.59</v>
      </c>
      <c r="I3734" s="2">
        <v>44216.19</v>
      </c>
      <c r="J3734" s="2">
        <v>42264.31</v>
      </c>
      <c r="K3734" s="2">
        <f>Table1[[#This Row],[Salary_after]]-Table1[[#This Row],[Salary_before]]</f>
        <v>-1951.8800000000047</v>
      </c>
      <c r="L3734" s="11">
        <v>-4.41E-2</v>
      </c>
      <c r="M3734" s="11">
        <v>4.87E-2</v>
      </c>
      <c r="N3734">
        <v>54.02</v>
      </c>
      <c r="O3734">
        <v>63.14</v>
      </c>
      <c r="P3734">
        <v>3</v>
      </c>
      <c r="Q3734" t="s">
        <v>37</v>
      </c>
      <c r="R3734">
        <v>64.069999999999993</v>
      </c>
      <c r="S3734">
        <v>4.41</v>
      </c>
      <c r="T3734" s="4">
        <v>47.62</v>
      </c>
      <c r="U3734" s="4">
        <v>49.596469999999997</v>
      </c>
      <c r="V3734" t="str">
        <f>IF(Table1[[#This Row],[ai_disruption_intensity]]&gt;70,"High",
IF(Table1[[#This Row],[ai_disruption_intensity]]&gt;40,"Medium","Low"))</f>
        <v>Medium</v>
      </c>
      <c r="W3734" t="str">
        <f>IF(Table1[[#This Row],[skill_gap_index]]&gt;70,"Large Gap",
IF(Table1[[#This Row],[skill_gap_index]]&gt;40,"Medium Gap","Small Gap"))</f>
        <v>Medium Gap</v>
      </c>
      <c r="X3734" s="3" t="str">
        <f>IF(Table1[[#This Row],[automation_risk_percent]]&gt;0.7,"Highly Automatable",
IF(Table1[[#This Row],[automation_risk_percent]]&gt;0.4,"Moderate Risk","Safe Job"))</f>
        <v>Highly Automatable</v>
      </c>
    </row>
    <row r="3735" spans="1:24" x14ac:dyDescent="0.3">
      <c r="A3735">
        <v>12997</v>
      </c>
      <c r="B3735" t="s">
        <v>29</v>
      </c>
      <c r="C3735" t="s">
        <v>19</v>
      </c>
      <c r="D3735" t="s">
        <v>31</v>
      </c>
      <c r="E3735" s="1">
        <v>2025</v>
      </c>
      <c r="F3735" s="11">
        <v>0.53170000000000006</v>
      </c>
      <c r="G3735">
        <v>45.21</v>
      </c>
      <c r="H3735">
        <v>69.61</v>
      </c>
      <c r="I3735" s="2">
        <v>131049.85</v>
      </c>
      <c r="J3735" s="2">
        <v>144683.43</v>
      </c>
      <c r="K3735" s="2">
        <f>Table1[[#This Row],[Salary_after]]-Table1[[#This Row],[Salary_before]]</f>
        <v>13633.579999999987</v>
      </c>
      <c r="L3735" s="11">
        <v>0.10400000000000001</v>
      </c>
      <c r="M3735" s="11">
        <v>0.23480000000000001</v>
      </c>
      <c r="N3735">
        <v>48.11</v>
      </c>
      <c r="O3735">
        <v>67.209999999999994</v>
      </c>
      <c r="P3735">
        <v>4</v>
      </c>
      <c r="Q3735" t="s">
        <v>25</v>
      </c>
      <c r="R3735">
        <v>61.39</v>
      </c>
      <c r="S3735">
        <v>10.4</v>
      </c>
      <c r="T3735" s="4">
        <v>45.270999999999901</v>
      </c>
      <c r="U3735" s="4">
        <v>35.735557</v>
      </c>
      <c r="V3735" t="str">
        <f>IF(Table1[[#This Row],[ai_disruption_intensity]]&gt;70,"High",
IF(Table1[[#This Row],[ai_disruption_intensity]]&gt;40,"Medium","Low"))</f>
        <v>Low</v>
      </c>
      <c r="W3735" t="str">
        <f>IF(Table1[[#This Row],[skill_gap_index]]&gt;70,"Large Gap",
IF(Table1[[#This Row],[skill_gap_index]]&gt;40,"Medium Gap","Small Gap"))</f>
        <v>Medium Gap</v>
      </c>
      <c r="X3735" s="3" t="str">
        <f>IF(Table1[[#This Row],[automation_risk_percent]]&gt;0.7,"Highly Automatable",
IF(Table1[[#This Row],[automation_risk_percent]]&gt;0.4,"Moderate Risk","Safe Job"))</f>
        <v>Moderate Risk</v>
      </c>
    </row>
    <row r="3736" spans="1:24" x14ac:dyDescent="0.3">
      <c r="A3736">
        <v>12999</v>
      </c>
      <c r="B3736" t="s">
        <v>41</v>
      </c>
      <c r="C3736" t="s">
        <v>40</v>
      </c>
      <c r="D3736" t="s">
        <v>47</v>
      </c>
      <c r="E3736" s="1">
        <v>2026</v>
      </c>
      <c r="F3736" s="11">
        <v>0.36849999999999999</v>
      </c>
      <c r="G3736">
        <v>33.76</v>
      </c>
      <c r="H3736">
        <v>72.34</v>
      </c>
      <c r="I3736" s="2">
        <v>33313.769999999997</v>
      </c>
      <c r="J3736" s="2">
        <v>33806.129999999997</v>
      </c>
      <c r="K3736" s="2">
        <f>Table1[[#This Row],[Salary_after]]-Table1[[#This Row],[Salary_before]]</f>
        <v>492.36000000000058</v>
      </c>
      <c r="L3736" s="11">
        <v>1.4800000000000001E-2</v>
      </c>
      <c r="M3736" s="11">
        <v>0.14219999999999999</v>
      </c>
      <c r="N3736">
        <v>18.88</v>
      </c>
      <c r="O3736">
        <v>83.04</v>
      </c>
      <c r="P3736">
        <v>5</v>
      </c>
      <c r="Q3736" t="s">
        <v>25</v>
      </c>
      <c r="R3736">
        <v>54.594999999999999</v>
      </c>
      <c r="S3736">
        <v>1.48</v>
      </c>
      <c r="T3736" s="4">
        <v>36.886000000000003</v>
      </c>
      <c r="U3736" s="4">
        <v>30.600239999999999</v>
      </c>
      <c r="V3736" t="str">
        <f>IF(Table1[[#This Row],[ai_disruption_intensity]]&gt;70,"High",
IF(Table1[[#This Row],[ai_disruption_intensity]]&gt;40,"Medium","Low"))</f>
        <v>Low</v>
      </c>
      <c r="W3736" t="str">
        <f>IF(Table1[[#This Row],[skill_gap_index]]&gt;70,"Large Gap",
IF(Table1[[#This Row],[skill_gap_index]]&gt;40,"Medium Gap","Small Gap"))</f>
        <v>Large Gap</v>
      </c>
      <c r="X3736" s="3" t="str">
        <f>IF(Table1[[#This Row],[automation_risk_percent]]&gt;0.7,"Highly Automatable",
IF(Table1[[#This Row],[automation_risk_percent]]&gt;0.4,"Moderate Risk","Safe Job"))</f>
        <v>Safe Job</v>
      </c>
    </row>
    <row r="3737" spans="1:24" x14ac:dyDescent="0.3">
      <c r="A3737">
        <v>13002</v>
      </c>
      <c r="B3737" t="s">
        <v>29</v>
      </c>
      <c r="C3737" t="s">
        <v>19</v>
      </c>
      <c r="D3737" t="s">
        <v>36</v>
      </c>
      <c r="E3737" s="1">
        <v>2025</v>
      </c>
      <c r="F3737" s="11">
        <v>0.7659999999999999</v>
      </c>
      <c r="G3737">
        <v>82.12</v>
      </c>
      <c r="H3737">
        <v>87.57</v>
      </c>
      <c r="I3737" s="2">
        <v>120835.18</v>
      </c>
      <c r="J3737" s="2">
        <v>121612.12</v>
      </c>
      <c r="K3737" s="2">
        <f>Table1[[#This Row],[Salary_after]]-Table1[[#This Row],[Salary_before]]</f>
        <v>776.94000000000233</v>
      </c>
      <c r="L3737" s="11">
        <v>6.4000000000000003E-3</v>
      </c>
      <c r="M3737" s="11">
        <v>0.11650000000000001</v>
      </c>
      <c r="N3737">
        <v>33.68</v>
      </c>
      <c r="O3737">
        <v>13.11</v>
      </c>
      <c r="P3737">
        <v>3</v>
      </c>
      <c r="Q3737" t="s">
        <v>37</v>
      </c>
      <c r="R3737">
        <v>82.084999999999994</v>
      </c>
      <c r="S3737">
        <v>0.64</v>
      </c>
      <c r="T3737" s="4">
        <v>57.103000000000002</v>
      </c>
      <c r="U3737" s="4">
        <v>10.042259999999899</v>
      </c>
      <c r="V3737" t="str">
        <f>IF(Table1[[#This Row],[ai_disruption_intensity]]&gt;70,"High",
IF(Table1[[#This Row],[ai_disruption_intensity]]&gt;40,"Medium","Low"))</f>
        <v>Low</v>
      </c>
      <c r="W3737" t="str">
        <f>IF(Table1[[#This Row],[skill_gap_index]]&gt;70,"Large Gap",
IF(Table1[[#This Row],[skill_gap_index]]&gt;40,"Medium Gap","Small Gap"))</f>
        <v>Large Gap</v>
      </c>
      <c r="X3737" s="3" t="str">
        <f>IF(Table1[[#This Row],[automation_risk_percent]]&gt;0.7,"Highly Automatable",
IF(Table1[[#This Row],[automation_risk_percent]]&gt;0.4,"Moderate Risk","Safe Job"))</f>
        <v>Highly Automatable</v>
      </c>
    </row>
    <row r="3738" spans="1:24" x14ac:dyDescent="0.3">
      <c r="A3738">
        <v>13004</v>
      </c>
      <c r="B3738" t="s">
        <v>45</v>
      </c>
      <c r="C3738" t="s">
        <v>34</v>
      </c>
      <c r="D3738" t="s">
        <v>35</v>
      </c>
      <c r="E3738" s="1">
        <v>2025</v>
      </c>
      <c r="F3738" s="11">
        <v>0.75620000000000009</v>
      </c>
      <c r="G3738">
        <v>78.38</v>
      </c>
      <c r="H3738">
        <v>23.07</v>
      </c>
      <c r="I3738" s="2">
        <v>76967.53</v>
      </c>
      <c r="J3738" s="2">
        <v>88386.14</v>
      </c>
      <c r="K3738" s="2">
        <f>Table1[[#This Row],[Salary_after]]-Table1[[#This Row],[Salary_before]]</f>
        <v>11418.61</v>
      </c>
      <c r="L3738" s="11">
        <v>0.1484</v>
      </c>
      <c r="M3738" s="11">
        <v>0.1148</v>
      </c>
      <c r="N3738">
        <v>20.81</v>
      </c>
      <c r="O3738">
        <v>51.5</v>
      </c>
      <c r="P3738">
        <v>5</v>
      </c>
      <c r="Q3738" t="s">
        <v>37</v>
      </c>
      <c r="R3738">
        <v>49.344999999999999</v>
      </c>
      <c r="S3738">
        <v>14.84</v>
      </c>
      <c r="T3738" s="4">
        <v>41.621000000000002</v>
      </c>
      <c r="U3738" s="4">
        <v>38.944299999999998</v>
      </c>
      <c r="V3738" t="str">
        <f>IF(Table1[[#This Row],[ai_disruption_intensity]]&gt;70,"High",
IF(Table1[[#This Row],[ai_disruption_intensity]]&gt;40,"Medium","Low"))</f>
        <v>Low</v>
      </c>
      <c r="W3738" t="str">
        <f>IF(Table1[[#This Row],[skill_gap_index]]&gt;70,"Large Gap",
IF(Table1[[#This Row],[skill_gap_index]]&gt;40,"Medium Gap","Small Gap"))</f>
        <v>Small Gap</v>
      </c>
      <c r="X3738" s="3" t="str">
        <f>IF(Table1[[#This Row],[automation_risk_percent]]&gt;0.7,"Highly Automatable",
IF(Table1[[#This Row],[automation_risk_percent]]&gt;0.4,"Moderate Risk","Safe Job"))</f>
        <v>Highly Automatable</v>
      </c>
    </row>
    <row r="3739" spans="1:24" x14ac:dyDescent="0.3">
      <c r="A3739">
        <v>13010</v>
      </c>
      <c r="B3739" t="s">
        <v>41</v>
      </c>
      <c r="C3739" t="s">
        <v>34</v>
      </c>
      <c r="D3739" t="s">
        <v>31</v>
      </c>
      <c r="E3739" s="1">
        <v>2026</v>
      </c>
      <c r="F3739" s="11">
        <v>0.78500000000000003</v>
      </c>
      <c r="G3739">
        <v>84.27</v>
      </c>
      <c r="H3739">
        <v>45.06</v>
      </c>
      <c r="I3739" s="2">
        <v>81538.06</v>
      </c>
      <c r="J3739" s="2">
        <v>87055.28</v>
      </c>
      <c r="K3739" s="2">
        <f>Table1[[#This Row],[Salary_after]]-Table1[[#This Row],[Salary_before]]</f>
        <v>5517.2200000000012</v>
      </c>
      <c r="L3739" s="11">
        <v>6.7699999999999996E-2</v>
      </c>
      <c r="M3739" s="11">
        <v>0.24640000000000001</v>
      </c>
      <c r="N3739">
        <v>28.23</v>
      </c>
      <c r="O3739">
        <v>87.53</v>
      </c>
      <c r="P3739">
        <v>5</v>
      </c>
      <c r="Q3739" t="s">
        <v>37</v>
      </c>
      <c r="R3739">
        <v>61.78</v>
      </c>
      <c r="S3739">
        <v>6.77</v>
      </c>
      <c r="T3739" s="4">
        <v>46.948999999999998</v>
      </c>
      <c r="U3739" s="4">
        <v>68.71105</v>
      </c>
      <c r="V3739" t="str">
        <f>IF(Table1[[#This Row],[ai_disruption_intensity]]&gt;70,"High",
IF(Table1[[#This Row],[ai_disruption_intensity]]&gt;40,"Medium","Low"))</f>
        <v>Medium</v>
      </c>
      <c r="W3739" t="str">
        <f>IF(Table1[[#This Row],[skill_gap_index]]&gt;70,"Large Gap",
IF(Table1[[#This Row],[skill_gap_index]]&gt;40,"Medium Gap","Small Gap"))</f>
        <v>Medium Gap</v>
      </c>
      <c r="X3739" s="3" t="str">
        <f>IF(Table1[[#This Row],[automation_risk_percent]]&gt;0.7,"Highly Automatable",
IF(Table1[[#This Row],[automation_risk_percent]]&gt;0.4,"Moderate Risk","Safe Job"))</f>
        <v>Highly Automatable</v>
      </c>
    </row>
    <row r="3740" spans="1:24" x14ac:dyDescent="0.3">
      <c r="A3740">
        <v>13013</v>
      </c>
      <c r="B3740" t="s">
        <v>44</v>
      </c>
      <c r="C3740" t="s">
        <v>23</v>
      </c>
      <c r="D3740" t="s">
        <v>20</v>
      </c>
      <c r="E3740" s="1">
        <v>2025</v>
      </c>
      <c r="F3740" s="11">
        <v>0.22649999999999998</v>
      </c>
      <c r="G3740">
        <v>20.73</v>
      </c>
      <c r="H3740">
        <v>86.04</v>
      </c>
      <c r="I3740" s="2">
        <v>126355.24</v>
      </c>
      <c r="J3740" s="2">
        <v>102134.59</v>
      </c>
      <c r="K3740" s="2">
        <f>Table1[[#This Row],[Salary_after]]-Table1[[#This Row],[Salary_before]]</f>
        <v>-24220.650000000009</v>
      </c>
      <c r="L3740" s="11">
        <v>-0.19170000000000001</v>
      </c>
      <c r="M3740" s="11">
        <v>0.1464</v>
      </c>
      <c r="N3740">
        <v>67.260000000000005</v>
      </c>
      <c r="O3740">
        <v>17.25</v>
      </c>
      <c r="P3740">
        <v>5</v>
      </c>
      <c r="Q3740" t="s">
        <v>21</v>
      </c>
      <c r="R3740">
        <v>54.344999999999999</v>
      </c>
      <c r="S3740">
        <v>19.170000000000002</v>
      </c>
      <c r="T3740" s="4">
        <v>40.622999999999998</v>
      </c>
      <c r="U3740" s="4">
        <v>3.90712499999999</v>
      </c>
      <c r="V3740" t="str">
        <f>IF(Table1[[#This Row],[ai_disruption_intensity]]&gt;70,"High",
IF(Table1[[#This Row],[ai_disruption_intensity]]&gt;40,"Medium","Low"))</f>
        <v>Low</v>
      </c>
      <c r="W3740" t="str">
        <f>IF(Table1[[#This Row],[skill_gap_index]]&gt;70,"Large Gap",
IF(Table1[[#This Row],[skill_gap_index]]&gt;40,"Medium Gap","Small Gap"))</f>
        <v>Large Gap</v>
      </c>
      <c r="X3740" s="3" t="str">
        <f>IF(Table1[[#This Row],[automation_risk_percent]]&gt;0.7,"Highly Automatable",
IF(Table1[[#This Row],[automation_risk_percent]]&gt;0.4,"Moderate Risk","Safe Job"))</f>
        <v>Safe Job</v>
      </c>
    </row>
    <row r="3741" spans="1:24" x14ac:dyDescent="0.3">
      <c r="A3741">
        <v>13015</v>
      </c>
      <c r="B3741" t="s">
        <v>44</v>
      </c>
      <c r="C3741" t="s">
        <v>40</v>
      </c>
      <c r="D3741" t="s">
        <v>35</v>
      </c>
      <c r="E3741" s="1">
        <v>2025</v>
      </c>
      <c r="F3741" s="11">
        <v>0.46389999999999998</v>
      </c>
      <c r="G3741">
        <v>43.67</v>
      </c>
      <c r="H3741">
        <v>78.48</v>
      </c>
      <c r="I3741" s="2">
        <v>35144.42</v>
      </c>
      <c r="J3741" s="2">
        <v>35022.370000000003</v>
      </c>
      <c r="K3741" s="2">
        <f>Table1[[#This Row],[Salary_after]]-Table1[[#This Row],[Salary_before]]</f>
        <v>-122.04999999999563</v>
      </c>
      <c r="L3741" s="11">
        <v>-3.4999999999999996E-3</v>
      </c>
      <c r="M3741" s="11">
        <v>-0.126</v>
      </c>
      <c r="N3741">
        <v>92.15</v>
      </c>
      <c r="O3741">
        <v>7.21</v>
      </c>
      <c r="P3741">
        <v>3</v>
      </c>
      <c r="Q3741" t="s">
        <v>25</v>
      </c>
      <c r="R3741">
        <v>62.435000000000002</v>
      </c>
      <c r="S3741">
        <v>0.35</v>
      </c>
      <c r="T3741" s="4">
        <v>42.204999999999998</v>
      </c>
      <c r="U3741" s="4">
        <v>3.344719</v>
      </c>
      <c r="V3741" t="str">
        <f>IF(Table1[[#This Row],[ai_disruption_intensity]]&gt;70,"High",
IF(Table1[[#This Row],[ai_disruption_intensity]]&gt;40,"Medium","Low"))</f>
        <v>Low</v>
      </c>
      <c r="W3741" t="str">
        <f>IF(Table1[[#This Row],[skill_gap_index]]&gt;70,"Large Gap",
IF(Table1[[#This Row],[skill_gap_index]]&gt;40,"Medium Gap","Small Gap"))</f>
        <v>Large Gap</v>
      </c>
      <c r="X3741" s="3" t="str">
        <f>IF(Table1[[#This Row],[automation_risk_percent]]&gt;0.7,"Highly Automatable",
IF(Table1[[#This Row],[automation_risk_percent]]&gt;0.4,"Moderate Risk","Safe Job"))</f>
        <v>Moderate Risk</v>
      </c>
    </row>
    <row r="3742" spans="1:24" x14ac:dyDescent="0.3">
      <c r="A3742">
        <v>13016</v>
      </c>
      <c r="B3742" t="s">
        <v>39</v>
      </c>
      <c r="C3742" t="s">
        <v>19</v>
      </c>
      <c r="D3742" t="s">
        <v>47</v>
      </c>
      <c r="E3742" s="1">
        <v>2025</v>
      </c>
      <c r="F3742" s="11">
        <v>0.50859999999999994</v>
      </c>
      <c r="G3742">
        <v>44.15</v>
      </c>
      <c r="H3742">
        <v>1.22</v>
      </c>
      <c r="I3742" s="2">
        <v>134003.22</v>
      </c>
      <c r="J3742" s="2">
        <v>129030.69</v>
      </c>
      <c r="K3742" s="2">
        <f>Table1[[#This Row],[Salary_after]]-Table1[[#This Row],[Salary_before]]</f>
        <v>-4972.5299999999988</v>
      </c>
      <c r="L3742" s="11">
        <v>-3.7100000000000001E-2</v>
      </c>
      <c r="M3742" s="11">
        <v>0.11210000000000001</v>
      </c>
      <c r="N3742">
        <v>87.46</v>
      </c>
      <c r="O3742">
        <v>37.71</v>
      </c>
      <c r="P3742">
        <v>3</v>
      </c>
      <c r="Q3742" t="s">
        <v>25</v>
      </c>
      <c r="R3742">
        <v>26.04</v>
      </c>
      <c r="S3742">
        <v>3.71</v>
      </c>
      <c r="T3742" s="4">
        <v>21.823</v>
      </c>
      <c r="U3742" s="4">
        <v>19.179306</v>
      </c>
      <c r="V3742" t="str">
        <f>IF(Table1[[#This Row],[ai_disruption_intensity]]&gt;70,"High",
IF(Table1[[#This Row],[ai_disruption_intensity]]&gt;40,"Medium","Low"))</f>
        <v>Low</v>
      </c>
      <c r="W3742" t="str">
        <f>IF(Table1[[#This Row],[skill_gap_index]]&gt;70,"Large Gap",
IF(Table1[[#This Row],[skill_gap_index]]&gt;40,"Medium Gap","Small Gap"))</f>
        <v>Small Gap</v>
      </c>
      <c r="X3742" s="3" t="str">
        <f>IF(Table1[[#This Row],[automation_risk_percent]]&gt;0.7,"Highly Automatable",
IF(Table1[[#This Row],[automation_risk_percent]]&gt;0.4,"Moderate Risk","Safe Job"))</f>
        <v>Moderate Risk</v>
      </c>
    </row>
    <row r="3743" spans="1:24" x14ac:dyDescent="0.3">
      <c r="A3743">
        <v>13021</v>
      </c>
      <c r="B3743" t="s">
        <v>18</v>
      </c>
      <c r="C3743" t="s">
        <v>19</v>
      </c>
      <c r="D3743" t="s">
        <v>32</v>
      </c>
      <c r="E3743" s="1">
        <v>2026</v>
      </c>
      <c r="F3743" s="11">
        <v>0.29630000000000001</v>
      </c>
      <c r="G3743">
        <v>33.82</v>
      </c>
      <c r="H3743">
        <v>17.059999999999999</v>
      </c>
      <c r="I3743" s="2">
        <v>107363.46</v>
      </c>
      <c r="J3743" s="2">
        <v>108709.51</v>
      </c>
      <c r="K3743" s="2">
        <f>Table1[[#This Row],[Salary_after]]-Table1[[#This Row],[Salary_before]]</f>
        <v>1346.0499999999884</v>
      </c>
      <c r="L3743" s="11">
        <v>1.2500000000000001E-2</v>
      </c>
      <c r="M3743" s="11">
        <v>6.2400000000000004E-2</v>
      </c>
      <c r="N3743">
        <v>21.73</v>
      </c>
      <c r="O3743">
        <v>79.319999999999993</v>
      </c>
      <c r="P3743">
        <v>1</v>
      </c>
      <c r="Q3743" t="s">
        <v>21</v>
      </c>
      <c r="R3743">
        <v>23.344999999999999</v>
      </c>
      <c r="S3743">
        <v>1.25</v>
      </c>
      <c r="T3743" s="4">
        <v>17.344999999999999</v>
      </c>
      <c r="U3743" s="4">
        <v>23.5025159999999</v>
      </c>
      <c r="V3743" t="str">
        <f>IF(Table1[[#This Row],[ai_disruption_intensity]]&gt;70,"High",
IF(Table1[[#This Row],[ai_disruption_intensity]]&gt;40,"Medium","Low"))</f>
        <v>Low</v>
      </c>
      <c r="W3743" t="str">
        <f>IF(Table1[[#This Row],[skill_gap_index]]&gt;70,"Large Gap",
IF(Table1[[#This Row],[skill_gap_index]]&gt;40,"Medium Gap","Small Gap"))</f>
        <v>Small Gap</v>
      </c>
      <c r="X3743" s="3" t="str">
        <f>IF(Table1[[#This Row],[automation_risk_percent]]&gt;0.7,"Highly Automatable",
IF(Table1[[#This Row],[automation_risk_percent]]&gt;0.4,"Moderate Risk","Safe Job"))</f>
        <v>Safe Job</v>
      </c>
    </row>
    <row r="3744" spans="1:24" x14ac:dyDescent="0.3">
      <c r="A3744">
        <v>13024</v>
      </c>
      <c r="B3744" t="s">
        <v>26</v>
      </c>
      <c r="C3744" t="s">
        <v>27</v>
      </c>
      <c r="D3744" t="s">
        <v>47</v>
      </c>
      <c r="E3744" s="1">
        <v>2025</v>
      </c>
      <c r="F3744" s="11">
        <v>0.69310000000000005</v>
      </c>
      <c r="G3744">
        <v>80.92</v>
      </c>
      <c r="H3744">
        <v>85.41</v>
      </c>
      <c r="I3744" s="2">
        <v>93239.7</v>
      </c>
      <c r="J3744" s="2">
        <v>94511.76</v>
      </c>
      <c r="K3744" s="2">
        <f>Table1[[#This Row],[Salary_after]]-Table1[[#This Row],[Salary_before]]</f>
        <v>1272.0599999999977</v>
      </c>
      <c r="L3744" s="11">
        <v>1.3600000000000001E-2</v>
      </c>
      <c r="M3744" s="11">
        <v>-1.7500000000000002E-2</v>
      </c>
      <c r="N3744">
        <v>73.2</v>
      </c>
      <c r="O3744">
        <v>22.06</v>
      </c>
      <c r="P3744">
        <v>5</v>
      </c>
      <c r="Q3744" t="s">
        <v>37</v>
      </c>
      <c r="R3744">
        <v>77.36</v>
      </c>
      <c r="S3744">
        <v>1.36</v>
      </c>
      <c r="T3744" s="4">
        <v>53.755000000000003</v>
      </c>
      <c r="U3744" s="4">
        <v>15.289785999999999</v>
      </c>
      <c r="V3744" t="str">
        <f>IF(Table1[[#This Row],[ai_disruption_intensity]]&gt;70,"High",
IF(Table1[[#This Row],[ai_disruption_intensity]]&gt;40,"Medium","Low"))</f>
        <v>Low</v>
      </c>
      <c r="W3744" t="str">
        <f>IF(Table1[[#This Row],[skill_gap_index]]&gt;70,"Large Gap",
IF(Table1[[#This Row],[skill_gap_index]]&gt;40,"Medium Gap","Small Gap"))</f>
        <v>Large Gap</v>
      </c>
      <c r="X3744" s="3" t="str">
        <f>IF(Table1[[#This Row],[automation_risk_percent]]&gt;0.7,"Highly Automatable",
IF(Table1[[#This Row],[automation_risk_percent]]&gt;0.4,"Moderate Risk","Safe Job"))</f>
        <v>Moderate Risk</v>
      </c>
    </row>
    <row r="3745" spans="1:24" x14ac:dyDescent="0.3">
      <c r="A3745">
        <v>13030</v>
      </c>
      <c r="B3745" t="s">
        <v>43</v>
      </c>
      <c r="C3745" t="s">
        <v>27</v>
      </c>
      <c r="D3745" t="s">
        <v>32</v>
      </c>
      <c r="E3745" s="1">
        <v>2025</v>
      </c>
      <c r="F3745" s="11">
        <v>0.14369999999999999</v>
      </c>
      <c r="G3745">
        <v>15.55</v>
      </c>
      <c r="H3745">
        <v>80.959999999999994</v>
      </c>
      <c r="I3745" s="2">
        <v>125296.35</v>
      </c>
      <c r="J3745" s="2">
        <v>116148.41</v>
      </c>
      <c r="K3745" s="2">
        <f>Table1[[#This Row],[Salary_after]]-Table1[[#This Row],[Salary_before]]</f>
        <v>-9147.9400000000023</v>
      </c>
      <c r="L3745" s="11">
        <v>-7.2999999999999995E-2</v>
      </c>
      <c r="M3745" s="11">
        <v>0.1075</v>
      </c>
      <c r="N3745">
        <v>38.700000000000003</v>
      </c>
      <c r="O3745">
        <v>27.47</v>
      </c>
      <c r="P3745">
        <v>3</v>
      </c>
      <c r="Q3745" t="s">
        <v>21</v>
      </c>
      <c r="R3745">
        <v>47.664999999999999</v>
      </c>
      <c r="S3745">
        <v>7.3</v>
      </c>
      <c r="T3745" s="4">
        <v>32.225999999999999</v>
      </c>
      <c r="U3745" s="4">
        <v>3.9474389999999899</v>
      </c>
      <c r="V3745" t="str">
        <f>IF(Table1[[#This Row],[ai_disruption_intensity]]&gt;70,"High",
IF(Table1[[#This Row],[ai_disruption_intensity]]&gt;40,"Medium","Low"))</f>
        <v>Low</v>
      </c>
      <c r="W3745" t="str">
        <f>IF(Table1[[#This Row],[skill_gap_index]]&gt;70,"Large Gap",
IF(Table1[[#This Row],[skill_gap_index]]&gt;40,"Medium Gap","Small Gap"))</f>
        <v>Large Gap</v>
      </c>
      <c r="X3745" s="3" t="str">
        <f>IF(Table1[[#This Row],[automation_risk_percent]]&gt;0.7,"Highly Automatable",
IF(Table1[[#This Row],[automation_risk_percent]]&gt;0.4,"Moderate Risk","Safe Job"))</f>
        <v>Safe Job</v>
      </c>
    </row>
    <row r="3746" spans="1:24" x14ac:dyDescent="0.3">
      <c r="A3746">
        <v>13034</v>
      </c>
      <c r="B3746" t="s">
        <v>26</v>
      </c>
      <c r="C3746" t="s">
        <v>27</v>
      </c>
      <c r="D3746" t="s">
        <v>47</v>
      </c>
      <c r="E3746" s="1">
        <v>2025</v>
      </c>
      <c r="F3746" s="11">
        <v>0.43469999999999998</v>
      </c>
      <c r="G3746">
        <v>52.09</v>
      </c>
      <c r="H3746">
        <v>12.69</v>
      </c>
      <c r="I3746" s="2">
        <v>62540.75</v>
      </c>
      <c r="J3746" s="2">
        <v>60458.02</v>
      </c>
      <c r="K3746" s="2">
        <f>Table1[[#This Row],[Salary_after]]-Table1[[#This Row],[Salary_before]]</f>
        <v>-2082.7300000000032</v>
      </c>
      <c r="L3746" s="11">
        <v>-3.3300000000000003E-2</v>
      </c>
      <c r="M3746" s="11">
        <v>5.4000000000000006E-2</v>
      </c>
      <c r="N3746">
        <v>84.72</v>
      </c>
      <c r="O3746">
        <v>63.07</v>
      </c>
      <c r="P3746">
        <v>2</v>
      </c>
      <c r="Q3746" t="s">
        <v>25</v>
      </c>
      <c r="R3746">
        <v>28.08</v>
      </c>
      <c r="S3746">
        <v>3.33</v>
      </c>
      <c r="T3746" s="4">
        <v>22.193999999999999</v>
      </c>
      <c r="U3746" s="4">
        <v>27.416529000000001</v>
      </c>
      <c r="V3746" t="str">
        <f>IF(Table1[[#This Row],[ai_disruption_intensity]]&gt;70,"High",
IF(Table1[[#This Row],[ai_disruption_intensity]]&gt;40,"Medium","Low"))</f>
        <v>Low</v>
      </c>
      <c r="W3746" t="str">
        <f>IF(Table1[[#This Row],[skill_gap_index]]&gt;70,"Large Gap",
IF(Table1[[#This Row],[skill_gap_index]]&gt;40,"Medium Gap","Small Gap"))</f>
        <v>Small Gap</v>
      </c>
      <c r="X3746" s="3" t="str">
        <f>IF(Table1[[#This Row],[automation_risk_percent]]&gt;0.7,"Highly Automatable",
IF(Table1[[#This Row],[automation_risk_percent]]&gt;0.4,"Moderate Risk","Safe Job"))</f>
        <v>Moderate Risk</v>
      </c>
    </row>
    <row r="3747" spans="1:24" x14ac:dyDescent="0.3">
      <c r="A3747">
        <v>13038</v>
      </c>
      <c r="B3747" t="s">
        <v>43</v>
      </c>
      <c r="C3747" t="s">
        <v>38</v>
      </c>
      <c r="D3747" t="s">
        <v>36</v>
      </c>
      <c r="E3747" s="1">
        <v>2026</v>
      </c>
      <c r="F3747" s="11">
        <v>0.62729999999999997</v>
      </c>
      <c r="G3747">
        <v>52.52</v>
      </c>
      <c r="H3747">
        <v>8.99</v>
      </c>
      <c r="I3747" s="2">
        <v>94826.03</v>
      </c>
      <c r="J3747" s="2">
        <v>99906.68</v>
      </c>
      <c r="K3747" s="2">
        <f>Table1[[#This Row],[Salary_after]]-Table1[[#This Row],[Salary_before]]</f>
        <v>5080.6499999999942</v>
      </c>
      <c r="L3747" s="11">
        <v>5.3600000000000002E-2</v>
      </c>
      <c r="M3747" s="11">
        <v>2.7300000000000001E-2</v>
      </c>
      <c r="N3747">
        <v>27.31</v>
      </c>
      <c r="O3747">
        <v>77.58</v>
      </c>
      <c r="P3747">
        <v>4</v>
      </c>
      <c r="Q3747" t="s">
        <v>37</v>
      </c>
      <c r="R3747">
        <v>35.86</v>
      </c>
      <c r="S3747">
        <v>5.36</v>
      </c>
      <c r="T3747" s="4">
        <v>29.396999999999998</v>
      </c>
      <c r="U3747" s="4">
        <v>48.665934</v>
      </c>
      <c r="V3747" t="str">
        <f>IF(Table1[[#This Row],[ai_disruption_intensity]]&gt;70,"High",
IF(Table1[[#This Row],[ai_disruption_intensity]]&gt;40,"Medium","Low"))</f>
        <v>Medium</v>
      </c>
      <c r="W3747" t="str">
        <f>IF(Table1[[#This Row],[skill_gap_index]]&gt;70,"Large Gap",
IF(Table1[[#This Row],[skill_gap_index]]&gt;40,"Medium Gap","Small Gap"))</f>
        <v>Small Gap</v>
      </c>
      <c r="X3747" s="3" t="str">
        <f>IF(Table1[[#This Row],[automation_risk_percent]]&gt;0.7,"Highly Automatable",
IF(Table1[[#This Row],[automation_risk_percent]]&gt;0.4,"Moderate Risk","Safe Job"))</f>
        <v>Moderate Risk</v>
      </c>
    </row>
    <row r="3748" spans="1:24" x14ac:dyDescent="0.3">
      <c r="A3748">
        <v>13042</v>
      </c>
      <c r="B3748" t="s">
        <v>29</v>
      </c>
      <c r="C3748" t="s">
        <v>40</v>
      </c>
      <c r="D3748" t="s">
        <v>36</v>
      </c>
      <c r="E3748" s="1">
        <v>2025</v>
      </c>
      <c r="F3748" s="11">
        <v>0.58689999999999998</v>
      </c>
      <c r="G3748">
        <v>63.77</v>
      </c>
      <c r="H3748">
        <v>60.21</v>
      </c>
      <c r="I3748" s="2">
        <v>64982.5</v>
      </c>
      <c r="J3748" s="2">
        <v>71772.41</v>
      </c>
      <c r="K3748" s="2">
        <f>Table1[[#This Row],[Salary_after]]-Table1[[#This Row],[Salary_before]]</f>
        <v>6789.9100000000035</v>
      </c>
      <c r="L3748" s="11">
        <v>0.1045</v>
      </c>
      <c r="M3748" s="11">
        <v>0.27789999999999998</v>
      </c>
      <c r="N3748">
        <v>29.51</v>
      </c>
      <c r="O3748">
        <v>40.92</v>
      </c>
      <c r="P3748">
        <v>5</v>
      </c>
      <c r="Q3748" t="s">
        <v>25</v>
      </c>
      <c r="R3748">
        <v>59.45</v>
      </c>
      <c r="S3748">
        <v>10.45</v>
      </c>
      <c r="T3748" s="4">
        <v>44.673999999999999</v>
      </c>
      <c r="U3748" s="4">
        <v>24.015947999999899</v>
      </c>
      <c r="V3748" t="str">
        <f>IF(Table1[[#This Row],[ai_disruption_intensity]]&gt;70,"High",
IF(Table1[[#This Row],[ai_disruption_intensity]]&gt;40,"Medium","Low"))</f>
        <v>Low</v>
      </c>
      <c r="W3748" t="str">
        <f>IF(Table1[[#This Row],[skill_gap_index]]&gt;70,"Large Gap",
IF(Table1[[#This Row],[skill_gap_index]]&gt;40,"Medium Gap","Small Gap"))</f>
        <v>Medium Gap</v>
      </c>
      <c r="X3748" s="3" t="str">
        <f>IF(Table1[[#This Row],[automation_risk_percent]]&gt;0.7,"Highly Automatable",
IF(Table1[[#This Row],[automation_risk_percent]]&gt;0.4,"Moderate Risk","Safe Job"))</f>
        <v>Moderate Risk</v>
      </c>
    </row>
    <row r="3749" spans="1:24" x14ac:dyDescent="0.3">
      <c r="A3749">
        <v>13043</v>
      </c>
      <c r="B3749" t="s">
        <v>22</v>
      </c>
      <c r="C3749" t="s">
        <v>30</v>
      </c>
      <c r="D3749" t="s">
        <v>35</v>
      </c>
      <c r="E3749" s="1">
        <v>2025</v>
      </c>
      <c r="F3749" s="11">
        <v>0.71279999999999999</v>
      </c>
      <c r="G3749">
        <v>78.48</v>
      </c>
      <c r="H3749">
        <v>92.96</v>
      </c>
      <c r="I3749" s="2">
        <v>137041.54999999999</v>
      </c>
      <c r="J3749" s="2">
        <v>144968.06</v>
      </c>
      <c r="K3749" s="2">
        <f>Table1[[#This Row],[Salary_after]]-Table1[[#This Row],[Salary_before]]</f>
        <v>7926.5100000000093</v>
      </c>
      <c r="L3749" s="11">
        <v>5.7800000000000004E-2</v>
      </c>
      <c r="M3749" s="11">
        <v>9.7000000000000003E-3</v>
      </c>
      <c r="N3749">
        <v>65.36</v>
      </c>
      <c r="O3749">
        <v>96.21</v>
      </c>
      <c r="P3749">
        <v>1</v>
      </c>
      <c r="Q3749" t="s">
        <v>37</v>
      </c>
      <c r="R3749">
        <v>82.12</v>
      </c>
      <c r="S3749">
        <v>5.78</v>
      </c>
      <c r="T3749" s="4">
        <v>58.134</v>
      </c>
      <c r="U3749" s="4">
        <v>68.578487999999993</v>
      </c>
      <c r="V3749" t="str">
        <f>IF(Table1[[#This Row],[ai_disruption_intensity]]&gt;70,"High",
IF(Table1[[#This Row],[ai_disruption_intensity]]&gt;40,"Medium","Low"))</f>
        <v>Medium</v>
      </c>
      <c r="W3749" t="str">
        <f>IF(Table1[[#This Row],[skill_gap_index]]&gt;70,"Large Gap",
IF(Table1[[#This Row],[skill_gap_index]]&gt;40,"Medium Gap","Small Gap"))</f>
        <v>Large Gap</v>
      </c>
      <c r="X3749" s="3" t="str">
        <f>IF(Table1[[#This Row],[automation_risk_percent]]&gt;0.7,"Highly Automatable",
IF(Table1[[#This Row],[automation_risk_percent]]&gt;0.4,"Moderate Risk","Safe Job"))</f>
        <v>Highly Automatable</v>
      </c>
    </row>
    <row r="3750" spans="1:24" x14ac:dyDescent="0.3">
      <c r="A3750">
        <v>13046</v>
      </c>
      <c r="B3750" t="s">
        <v>44</v>
      </c>
      <c r="C3750" t="s">
        <v>33</v>
      </c>
      <c r="D3750" t="s">
        <v>28</v>
      </c>
      <c r="E3750" s="1">
        <v>2025</v>
      </c>
      <c r="F3750" s="11">
        <v>0.62659999999999993</v>
      </c>
      <c r="G3750">
        <v>62.32</v>
      </c>
      <c r="H3750">
        <v>62.4</v>
      </c>
      <c r="I3750" s="2">
        <v>125261.98</v>
      </c>
      <c r="J3750" s="2">
        <v>120690.28</v>
      </c>
      <c r="K3750" s="2">
        <f>Table1[[#This Row],[Salary_after]]-Table1[[#This Row],[Salary_before]]</f>
        <v>-4571.6999999999971</v>
      </c>
      <c r="L3750" s="11">
        <v>-3.6499999999999998E-2</v>
      </c>
      <c r="M3750" s="11">
        <v>-0.13200000000000001</v>
      </c>
      <c r="N3750">
        <v>70.06</v>
      </c>
      <c r="O3750">
        <v>27.14</v>
      </c>
      <c r="P3750">
        <v>3</v>
      </c>
      <c r="Q3750" t="s">
        <v>37</v>
      </c>
      <c r="R3750">
        <v>62.53</v>
      </c>
      <c r="S3750">
        <v>3.65</v>
      </c>
      <c r="T3750" s="4">
        <v>44.878999999999998</v>
      </c>
      <c r="U3750" s="4">
        <v>17.005924</v>
      </c>
      <c r="V3750" t="str">
        <f>IF(Table1[[#This Row],[ai_disruption_intensity]]&gt;70,"High",
IF(Table1[[#This Row],[ai_disruption_intensity]]&gt;40,"Medium","Low"))</f>
        <v>Low</v>
      </c>
      <c r="W3750" t="str">
        <f>IF(Table1[[#This Row],[skill_gap_index]]&gt;70,"Large Gap",
IF(Table1[[#This Row],[skill_gap_index]]&gt;40,"Medium Gap","Small Gap"))</f>
        <v>Medium Gap</v>
      </c>
      <c r="X3750" s="3" t="str">
        <f>IF(Table1[[#This Row],[automation_risk_percent]]&gt;0.7,"Highly Automatable",
IF(Table1[[#This Row],[automation_risk_percent]]&gt;0.4,"Moderate Risk","Safe Job"))</f>
        <v>Moderate Risk</v>
      </c>
    </row>
    <row r="3751" spans="1:24" x14ac:dyDescent="0.3">
      <c r="A3751">
        <v>13049</v>
      </c>
      <c r="B3751" t="s">
        <v>43</v>
      </c>
      <c r="C3751" t="s">
        <v>19</v>
      </c>
      <c r="D3751" t="s">
        <v>47</v>
      </c>
      <c r="E3751" s="1">
        <v>2025</v>
      </c>
      <c r="F3751" s="11">
        <v>0.38969999999999999</v>
      </c>
      <c r="G3751">
        <v>36.65</v>
      </c>
      <c r="H3751">
        <v>16.03</v>
      </c>
      <c r="I3751" s="2">
        <v>73490.59</v>
      </c>
      <c r="J3751" s="2">
        <v>62860.5</v>
      </c>
      <c r="K3751" s="2">
        <f>Table1[[#This Row],[Salary_after]]-Table1[[#This Row],[Salary_before]]</f>
        <v>-10630.089999999997</v>
      </c>
      <c r="L3751" s="11">
        <v>-0.14460000000000001</v>
      </c>
      <c r="M3751" s="11">
        <v>0.15259999999999999</v>
      </c>
      <c r="N3751">
        <v>27.44</v>
      </c>
      <c r="O3751">
        <v>95.73</v>
      </c>
      <c r="P3751">
        <v>5</v>
      </c>
      <c r="Q3751" t="s">
        <v>25</v>
      </c>
      <c r="R3751">
        <v>27.5</v>
      </c>
      <c r="S3751">
        <v>14.46</v>
      </c>
      <c r="T3751" s="4">
        <v>24.734999999999999</v>
      </c>
      <c r="U3751" s="4">
        <v>37.305981000000003</v>
      </c>
      <c r="V3751" t="str">
        <f>IF(Table1[[#This Row],[ai_disruption_intensity]]&gt;70,"High",
IF(Table1[[#This Row],[ai_disruption_intensity]]&gt;40,"Medium","Low"))</f>
        <v>Low</v>
      </c>
      <c r="W3751" t="str">
        <f>IF(Table1[[#This Row],[skill_gap_index]]&gt;70,"Large Gap",
IF(Table1[[#This Row],[skill_gap_index]]&gt;40,"Medium Gap","Small Gap"))</f>
        <v>Small Gap</v>
      </c>
      <c r="X3751" s="3" t="str">
        <f>IF(Table1[[#This Row],[automation_risk_percent]]&gt;0.7,"Highly Automatable",
IF(Table1[[#This Row],[automation_risk_percent]]&gt;0.4,"Moderate Risk","Safe Job"))</f>
        <v>Safe Job</v>
      </c>
    </row>
    <row r="3752" spans="1:24" x14ac:dyDescent="0.3">
      <c r="A3752">
        <v>13054</v>
      </c>
      <c r="B3752" t="s">
        <v>39</v>
      </c>
      <c r="C3752" t="s">
        <v>34</v>
      </c>
      <c r="D3752" t="s">
        <v>31</v>
      </c>
      <c r="E3752" s="1">
        <v>2025</v>
      </c>
      <c r="F3752" s="11">
        <v>0.316</v>
      </c>
      <c r="G3752">
        <v>30.6</v>
      </c>
      <c r="H3752">
        <v>23.44</v>
      </c>
      <c r="I3752" s="2">
        <v>42338.98</v>
      </c>
      <c r="J3752" s="2">
        <v>43633.440000000002</v>
      </c>
      <c r="K3752" s="2">
        <f>Table1[[#This Row],[Salary_after]]-Table1[[#This Row],[Salary_before]]</f>
        <v>1294.4599999999991</v>
      </c>
      <c r="L3752" s="11">
        <v>3.0600000000000002E-2</v>
      </c>
      <c r="M3752" s="11">
        <v>2.8999999999999998E-2</v>
      </c>
      <c r="N3752">
        <v>53.52</v>
      </c>
      <c r="O3752">
        <v>53.76</v>
      </c>
      <c r="P3752">
        <v>2</v>
      </c>
      <c r="Q3752" t="s">
        <v>25</v>
      </c>
      <c r="R3752">
        <v>27.52</v>
      </c>
      <c r="S3752">
        <v>3.06</v>
      </c>
      <c r="T3752" s="4">
        <v>20.59</v>
      </c>
      <c r="U3752" s="4">
        <v>16.988160000000001</v>
      </c>
      <c r="V3752" t="str">
        <f>IF(Table1[[#This Row],[ai_disruption_intensity]]&gt;70,"High",
IF(Table1[[#This Row],[ai_disruption_intensity]]&gt;40,"Medium","Low"))</f>
        <v>Low</v>
      </c>
      <c r="W3752" t="str">
        <f>IF(Table1[[#This Row],[skill_gap_index]]&gt;70,"Large Gap",
IF(Table1[[#This Row],[skill_gap_index]]&gt;40,"Medium Gap","Small Gap"))</f>
        <v>Small Gap</v>
      </c>
      <c r="X3752" s="3" t="str">
        <f>IF(Table1[[#This Row],[automation_risk_percent]]&gt;0.7,"Highly Automatable",
IF(Table1[[#This Row],[automation_risk_percent]]&gt;0.4,"Moderate Risk","Safe Job"))</f>
        <v>Safe Job</v>
      </c>
    </row>
    <row r="3753" spans="1:24" x14ac:dyDescent="0.3">
      <c r="A3753">
        <v>13056</v>
      </c>
      <c r="B3753" t="s">
        <v>22</v>
      </c>
      <c r="C3753" t="s">
        <v>23</v>
      </c>
      <c r="D3753" t="s">
        <v>47</v>
      </c>
      <c r="E3753" s="1">
        <v>2025</v>
      </c>
      <c r="F3753" s="11">
        <v>0.44310000000000005</v>
      </c>
      <c r="G3753">
        <v>47.49</v>
      </c>
      <c r="H3753">
        <v>1.92</v>
      </c>
      <c r="I3753" s="2">
        <v>95003.19</v>
      </c>
      <c r="J3753" s="2">
        <v>85571.67</v>
      </c>
      <c r="K3753" s="2">
        <f>Table1[[#This Row],[Salary_after]]-Table1[[#This Row],[Salary_before]]</f>
        <v>-9431.5200000000041</v>
      </c>
      <c r="L3753" s="11">
        <v>-9.9299999999999999E-2</v>
      </c>
      <c r="M3753" s="11">
        <v>-7.1399999999999991E-2</v>
      </c>
      <c r="N3753">
        <v>82.74</v>
      </c>
      <c r="O3753">
        <v>25.16</v>
      </c>
      <c r="P3753">
        <v>1</v>
      </c>
      <c r="Q3753" t="s">
        <v>25</v>
      </c>
      <c r="R3753">
        <v>23.114999999999998</v>
      </c>
      <c r="S3753">
        <v>9.93</v>
      </c>
      <c r="T3753" s="4">
        <v>21.279</v>
      </c>
      <c r="U3753" s="4">
        <v>11.148396</v>
      </c>
      <c r="V3753" t="str">
        <f>IF(Table1[[#This Row],[ai_disruption_intensity]]&gt;70,"High",
IF(Table1[[#This Row],[ai_disruption_intensity]]&gt;40,"Medium","Low"))</f>
        <v>Low</v>
      </c>
      <c r="W3753" t="str">
        <f>IF(Table1[[#This Row],[skill_gap_index]]&gt;70,"Large Gap",
IF(Table1[[#This Row],[skill_gap_index]]&gt;40,"Medium Gap","Small Gap"))</f>
        <v>Small Gap</v>
      </c>
      <c r="X3753" s="3" t="str">
        <f>IF(Table1[[#This Row],[automation_risk_percent]]&gt;0.7,"Highly Automatable",
IF(Table1[[#This Row],[automation_risk_percent]]&gt;0.4,"Moderate Risk","Safe Job"))</f>
        <v>Moderate Risk</v>
      </c>
    </row>
    <row r="3754" spans="1:24" x14ac:dyDescent="0.3">
      <c r="A3754">
        <v>13063</v>
      </c>
      <c r="B3754" t="s">
        <v>43</v>
      </c>
      <c r="C3754" t="s">
        <v>27</v>
      </c>
      <c r="D3754" t="s">
        <v>36</v>
      </c>
      <c r="E3754" s="1">
        <v>2026</v>
      </c>
      <c r="F3754" s="11">
        <v>0.1542</v>
      </c>
      <c r="G3754">
        <v>16.7</v>
      </c>
      <c r="H3754">
        <v>30.97</v>
      </c>
      <c r="I3754" s="2">
        <v>80906.820000000007</v>
      </c>
      <c r="J3754" s="2">
        <v>85240.44</v>
      </c>
      <c r="K3754" s="2">
        <f>Table1[[#This Row],[Salary_after]]-Table1[[#This Row],[Salary_before]]</f>
        <v>4333.6199999999953</v>
      </c>
      <c r="L3754" s="11">
        <v>5.3600000000000002E-2</v>
      </c>
      <c r="M3754" s="11">
        <v>6.2800000000000009E-2</v>
      </c>
      <c r="N3754">
        <v>88.61</v>
      </c>
      <c r="O3754">
        <v>73.400000000000006</v>
      </c>
      <c r="P3754">
        <v>4</v>
      </c>
      <c r="Q3754" t="s">
        <v>21</v>
      </c>
      <c r="R3754">
        <v>23.195</v>
      </c>
      <c r="S3754">
        <v>5.36</v>
      </c>
      <c r="T3754" s="4">
        <v>17.067</v>
      </c>
      <c r="U3754" s="4">
        <v>11.31828</v>
      </c>
      <c r="V3754" t="str">
        <f>IF(Table1[[#This Row],[ai_disruption_intensity]]&gt;70,"High",
IF(Table1[[#This Row],[ai_disruption_intensity]]&gt;40,"Medium","Low"))</f>
        <v>Low</v>
      </c>
      <c r="W3754" t="str">
        <f>IF(Table1[[#This Row],[skill_gap_index]]&gt;70,"Large Gap",
IF(Table1[[#This Row],[skill_gap_index]]&gt;40,"Medium Gap","Small Gap"))</f>
        <v>Small Gap</v>
      </c>
      <c r="X3754" s="3" t="str">
        <f>IF(Table1[[#This Row],[automation_risk_percent]]&gt;0.7,"Highly Automatable",
IF(Table1[[#This Row],[automation_risk_percent]]&gt;0.4,"Moderate Risk","Safe Job"))</f>
        <v>Safe Job</v>
      </c>
    </row>
    <row r="3755" spans="1:24" x14ac:dyDescent="0.3">
      <c r="A3755">
        <v>13072</v>
      </c>
      <c r="B3755" t="s">
        <v>44</v>
      </c>
      <c r="C3755" t="s">
        <v>34</v>
      </c>
      <c r="D3755" t="s">
        <v>47</v>
      </c>
      <c r="E3755" s="1">
        <v>2025</v>
      </c>
      <c r="F3755" s="11">
        <v>0.27750000000000002</v>
      </c>
      <c r="G3755">
        <v>31.22</v>
      </c>
      <c r="H3755">
        <v>80.87</v>
      </c>
      <c r="I3755" s="2">
        <v>136704.35</v>
      </c>
      <c r="J3755" s="2">
        <v>131915.68</v>
      </c>
      <c r="K3755" s="2">
        <f>Table1[[#This Row],[Salary_after]]-Table1[[#This Row],[Salary_before]]</f>
        <v>-4788.6700000000128</v>
      </c>
      <c r="L3755" s="11">
        <v>-3.5000000000000003E-2</v>
      </c>
      <c r="M3755" s="11">
        <v>-4.4500000000000005E-2</v>
      </c>
      <c r="N3755">
        <v>31.02</v>
      </c>
      <c r="O3755">
        <v>21.63</v>
      </c>
      <c r="P3755">
        <v>4</v>
      </c>
      <c r="Q3755" t="s">
        <v>21</v>
      </c>
      <c r="R3755">
        <v>54.31</v>
      </c>
      <c r="S3755">
        <v>3.5</v>
      </c>
      <c r="T3755" s="4">
        <v>36.411000000000001</v>
      </c>
      <c r="U3755" s="4">
        <v>6.0023249999999999</v>
      </c>
      <c r="V3755" t="str">
        <f>IF(Table1[[#This Row],[ai_disruption_intensity]]&gt;70,"High",
IF(Table1[[#This Row],[ai_disruption_intensity]]&gt;40,"Medium","Low"))</f>
        <v>Low</v>
      </c>
      <c r="W3755" t="str">
        <f>IF(Table1[[#This Row],[skill_gap_index]]&gt;70,"Large Gap",
IF(Table1[[#This Row],[skill_gap_index]]&gt;40,"Medium Gap","Small Gap"))</f>
        <v>Large Gap</v>
      </c>
      <c r="X3755" s="3" t="str">
        <f>IF(Table1[[#This Row],[automation_risk_percent]]&gt;0.7,"Highly Automatable",
IF(Table1[[#This Row],[automation_risk_percent]]&gt;0.4,"Moderate Risk","Safe Job"))</f>
        <v>Safe Job</v>
      </c>
    </row>
    <row r="3756" spans="1:24" x14ac:dyDescent="0.3">
      <c r="A3756">
        <v>13073</v>
      </c>
      <c r="B3756" t="s">
        <v>46</v>
      </c>
      <c r="C3756" t="s">
        <v>27</v>
      </c>
      <c r="D3756" t="s">
        <v>32</v>
      </c>
      <c r="E3756" s="1">
        <v>2026</v>
      </c>
      <c r="F3756" s="11">
        <v>0.25579999999999997</v>
      </c>
      <c r="G3756">
        <v>20.95</v>
      </c>
      <c r="H3756">
        <v>84.8</v>
      </c>
      <c r="I3756" s="2">
        <v>132218.03</v>
      </c>
      <c r="J3756" s="2">
        <v>130862.28</v>
      </c>
      <c r="K3756" s="2">
        <f>Table1[[#This Row],[Salary_after]]-Table1[[#This Row],[Salary_before]]</f>
        <v>-1355.75</v>
      </c>
      <c r="L3756" s="11">
        <v>-1.03E-2</v>
      </c>
      <c r="M3756" s="11">
        <v>5.1500000000000004E-2</v>
      </c>
      <c r="N3756">
        <v>63.08</v>
      </c>
      <c r="O3756">
        <v>9.75</v>
      </c>
      <c r="P3756">
        <v>5</v>
      </c>
      <c r="Q3756" t="s">
        <v>21</v>
      </c>
      <c r="R3756">
        <v>55.19</v>
      </c>
      <c r="S3756">
        <v>1.03</v>
      </c>
      <c r="T3756" s="4">
        <v>35.980999999999902</v>
      </c>
      <c r="U3756" s="4">
        <v>2.4940499999999899</v>
      </c>
      <c r="V3756" t="str">
        <f>IF(Table1[[#This Row],[ai_disruption_intensity]]&gt;70,"High",
IF(Table1[[#This Row],[ai_disruption_intensity]]&gt;40,"Medium","Low"))</f>
        <v>Low</v>
      </c>
      <c r="W3756" t="str">
        <f>IF(Table1[[#This Row],[skill_gap_index]]&gt;70,"Large Gap",
IF(Table1[[#This Row],[skill_gap_index]]&gt;40,"Medium Gap","Small Gap"))</f>
        <v>Large Gap</v>
      </c>
      <c r="X3756" s="3" t="str">
        <f>IF(Table1[[#This Row],[automation_risk_percent]]&gt;0.7,"Highly Automatable",
IF(Table1[[#This Row],[automation_risk_percent]]&gt;0.4,"Moderate Risk","Safe Job"))</f>
        <v>Safe Job</v>
      </c>
    </row>
    <row r="3757" spans="1:24" x14ac:dyDescent="0.3">
      <c r="A3757">
        <v>13081</v>
      </c>
      <c r="B3757" t="s">
        <v>39</v>
      </c>
      <c r="C3757" t="s">
        <v>38</v>
      </c>
      <c r="D3757" t="s">
        <v>24</v>
      </c>
      <c r="E3757" s="1">
        <v>2025</v>
      </c>
      <c r="F3757" s="11">
        <v>0.5464</v>
      </c>
      <c r="G3757">
        <v>45.3</v>
      </c>
      <c r="H3757">
        <v>41.63</v>
      </c>
      <c r="I3757" s="2">
        <v>133855.5</v>
      </c>
      <c r="J3757" s="2">
        <v>121072.31</v>
      </c>
      <c r="K3757" s="2">
        <f>Table1[[#This Row],[Salary_after]]-Table1[[#This Row],[Salary_before]]</f>
        <v>-12783.190000000002</v>
      </c>
      <c r="L3757" s="11">
        <v>-9.5500000000000002E-2</v>
      </c>
      <c r="M3757" s="11">
        <v>7.0699999999999999E-2</v>
      </c>
      <c r="N3757">
        <v>18.86</v>
      </c>
      <c r="O3757">
        <v>96.22</v>
      </c>
      <c r="P3757">
        <v>1</v>
      </c>
      <c r="Q3757" t="s">
        <v>25</v>
      </c>
      <c r="R3757">
        <v>48.134999999999998</v>
      </c>
      <c r="S3757">
        <v>9.5500000000000007</v>
      </c>
      <c r="T3757" s="4">
        <v>37.21</v>
      </c>
      <c r="U3757" s="4">
        <v>52.574607999999998</v>
      </c>
      <c r="V3757" t="str">
        <f>IF(Table1[[#This Row],[ai_disruption_intensity]]&gt;70,"High",
IF(Table1[[#This Row],[ai_disruption_intensity]]&gt;40,"Medium","Low"))</f>
        <v>Medium</v>
      </c>
      <c r="W3757" t="str">
        <f>IF(Table1[[#This Row],[skill_gap_index]]&gt;70,"Large Gap",
IF(Table1[[#This Row],[skill_gap_index]]&gt;40,"Medium Gap","Small Gap"))</f>
        <v>Medium Gap</v>
      </c>
      <c r="X3757" s="3" t="str">
        <f>IF(Table1[[#This Row],[automation_risk_percent]]&gt;0.7,"Highly Automatable",
IF(Table1[[#This Row],[automation_risk_percent]]&gt;0.4,"Moderate Risk","Safe Job"))</f>
        <v>Moderate Risk</v>
      </c>
    </row>
    <row r="3758" spans="1:24" x14ac:dyDescent="0.3">
      <c r="A3758">
        <v>13086</v>
      </c>
      <c r="B3758" t="s">
        <v>41</v>
      </c>
      <c r="C3758" t="s">
        <v>30</v>
      </c>
      <c r="D3758" t="s">
        <v>36</v>
      </c>
      <c r="E3758" s="1">
        <v>2025</v>
      </c>
      <c r="F3758" s="11">
        <v>0.59560000000000002</v>
      </c>
      <c r="G3758">
        <v>52.2</v>
      </c>
      <c r="H3758">
        <v>98.37</v>
      </c>
      <c r="I3758" s="2">
        <v>108216.44</v>
      </c>
      <c r="J3758" s="2">
        <v>77038.929999999993</v>
      </c>
      <c r="K3758" s="2">
        <f>Table1[[#This Row],[Salary_after]]-Table1[[#This Row],[Salary_before]]</f>
        <v>-31177.510000000009</v>
      </c>
      <c r="L3758" s="11">
        <v>-0.28809999999999997</v>
      </c>
      <c r="M3758" s="11">
        <v>7.6600000000000001E-2</v>
      </c>
      <c r="N3758">
        <v>65.55</v>
      </c>
      <c r="O3758">
        <v>35.75</v>
      </c>
      <c r="P3758">
        <v>4</v>
      </c>
      <c r="Q3758" t="s">
        <v>25</v>
      </c>
      <c r="R3758">
        <v>78.965000000000003</v>
      </c>
      <c r="S3758">
        <v>28.81</v>
      </c>
      <c r="T3758" s="4">
        <v>61.978000000000002</v>
      </c>
      <c r="U3758" s="4">
        <v>21.2927</v>
      </c>
      <c r="V3758" t="str">
        <f>IF(Table1[[#This Row],[ai_disruption_intensity]]&gt;70,"High",
IF(Table1[[#This Row],[ai_disruption_intensity]]&gt;40,"Medium","Low"))</f>
        <v>Low</v>
      </c>
      <c r="W3758" t="str">
        <f>IF(Table1[[#This Row],[skill_gap_index]]&gt;70,"Large Gap",
IF(Table1[[#This Row],[skill_gap_index]]&gt;40,"Medium Gap","Small Gap"))</f>
        <v>Large Gap</v>
      </c>
      <c r="X3758" s="3" t="str">
        <f>IF(Table1[[#This Row],[automation_risk_percent]]&gt;0.7,"Highly Automatable",
IF(Table1[[#This Row],[automation_risk_percent]]&gt;0.4,"Moderate Risk","Safe Job"))</f>
        <v>Moderate Risk</v>
      </c>
    </row>
    <row r="3759" spans="1:24" x14ac:dyDescent="0.3">
      <c r="A3759">
        <v>13088</v>
      </c>
      <c r="B3759" t="s">
        <v>26</v>
      </c>
      <c r="C3759" t="s">
        <v>40</v>
      </c>
      <c r="D3759" t="s">
        <v>35</v>
      </c>
      <c r="E3759" s="1">
        <v>2025</v>
      </c>
      <c r="F3759" s="11">
        <v>5.3899999999999997E-2</v>
      </c>
      <c r="G3759">
        <v>4.6100000000000003</v>
      </c>
      <c r="H3759">
        <v>22.27</v>
      </c>
      <c r="I3759" s="2">
        <v>139568.6</v>
      </c>
      <c r="J3759" s="2">
        <v>137935.04999999999</v>
      </c>
      <c r="K3759" s="2">
        <f>Table1[[#This Row],[Salary_after]]-Table1[[#This Row],[Salary_before]]</f>
        <v>-1633.5500000000175</v>
      </c>
      <c r="L3759" s="11">
        <v>-1.1699999999999999E-2</v>
      </c>
      <c r="M3759" s="11">
        <v>0.1079</v>
      </c>
      <c r="N3759">
        <v>31.78</v>
      </c>
      <c r="O3759">
        <v>32.380000000000003</v>
      </c>
      <c r="P3759">
        <v>3</v>
      </c>
      <c r="Q3759" t="s">
        <v>21</v>
      </c>
      <c r="R3759">
        <v>13.83</v>
      </c>
      <c r="S3759">
        <v>1.17</v>
      </c>
      <c r="T3759" s="4">
        <v>9.18799999999999</v>
      </c>
      <c r="U3759" s="4">
        <v>1.745282</v>
      </c>
      <c r="V3759" t="str">
        <f>IF(Table1[[#This Row],[ai_disruption_intensity]]&gt;70,"High",
IF(Table1[[#This Row],[ai_disruption_intensity]]&gt;40,"Medium","Low"))</f>
        <v>Low</v>
      </c>
      <c r="W3759" t="str">
        <f>IF(Table1[[#This Row],[skill_gap_index]]&gt;70,"Large Gap",
IF(Table1[[#This Row],[skill_gap_index]]&gt;40,"Medium Gap","Small Gap"))</f>
        <v>Small Gap</v>
      </c>
      <c r="X3759" s="3" t="str">
        <f>IF(Table1[[#This Row],[automation_risk_percent]]&gt;0.7,"Highly Automatable",
IF(Table1[[#This Row],[automation_risk_percent]]&gt;0.4,"Moderate Risk","Safe Job"))</f>
        <v>Safe Job</v>
      </c>
    </row>
    <row r="3760" spans="1:24" x14ac:dyDescent="0.3">
      <c r="A3760">
        <v>13093</v>
      </c>
      <c r="B3760" t="s">
        <v>29</v>
      </c>
      <c r="C3760" t="s">
        <v>19</v>
      </c>
      <c r="D3760" t="s">
        <v>28</v>
      </c>
      <c r="E3760" s="1">
        <v>2026</v>
      </c>
      <c r="F3760" s="11">
        <v>0.93379999999999996</v>
      </c>
      <c r="G3760">
        <v>92.69</v>
      </c>
      <c r="H3760">
        <v>38.51</v>
      </c>
      <c r="I3760" s="2">
        <v>92217.95</v>
      </c>
      <c r="J3760" s="2">
        <v>93953.33</v>
      </c>
      <c r="K3760" s="2">
        <f>Table1[[#This Row],[Salary_after]]-Table1[[#This Row],[Salary_before]]</f>
        <v>1735.3800000000047</v>
      </c>
      <c r="L3760" s="11">
        <v>1.8799999999999997E-2</v>
      </c>
      <c r="M3760" s="11">
        <v>9.6500000000000002E-2</v>
      </c>
      <c r="N3760">
        <v>23.93</v>
      </c>
      <c r="O3760">
        <v>48.56</v>
      </c>
      <c r="P3760">
        <v>3</v>
      </c>
      <c r="Q3760" t="s">
        <v>37</v>
      </c>
      <c r="R3760">
        <v>65.944999999999993</v>
      </c>
      <c r="S3760">
        <v>1.88</v>
      </c>
      <c r="T3760" s="4">
        <v>49.468999999999902</v>
      </c>
      <c r="U3760" s="4">
        <v>45.345328000000002</v>
      </c>
      <c r="V3760" t="str">
        <f>IF(Table1[[#This Row],[ai_disruption_intensity]]&gt;70,"High",
IF(Table1[[#This Row],[ai_disruption_intensity]]&gt;40,"Medium","Low"))</f>
        <v>Medium</v>
      </c>
      <c r="W3760" t="str">
        <f>IF(Table1[[#This Row],[skill_gap_index]]&gt;70,"Large Gap",
IF(Table1[[#This Row],[skill_gap_index]]&gt;40,"Medium Gap","Small Gap"))</f>
        <v>Small Gap</v>
      </c>
      <c r="X3760" s="3" t="str">
        <f>IF(Table1[[#This Row],[automation_risk_percent]]&gt;0.7,"Highly Automatable",
IF(Table1[[#This Row],[automation_risk_percent]]&gt;0.4,"Moderate Risk","Safe Job"))</f>
        <v>Highly Automatable</v>
      </c>
    </row>
    <row r="3761" spans="1:24" x14ac:dyDescent="0.3">
      <c r="A3761">
        <v>13097</v>
      </c>
      <c r="B3761" t="s">
        <v>46</v>
      </c>
      <c r="C3761" t="s">
        <v>30</v>
      </c>
      <c r="D3761" t="s">
        <v>47</v>
      </c>
      <c r="E3761" s="1">
        <v>2026</v>
      </c>
      <c r="F3761" s="11">
        <v>0.1361</v>
      </c>
      <c r="G3761">
        <v>11.59</v>
      </c>
      <c r="H3761">
        <v>3.51</v>
      </c>
      <c r="I3761" s="2">
        <v>130878.7</v>
      </c>
      <c r="J3761" s="2">
        <v>97881.1</v>
      </c>
      <c r="K3761" s="2">
        <f>Table1[[#This Row],[Salary_after]]-Table1[[#This Row],[Salary_before]]</f>
        <v>-32997.599999999991</v>
      </c>
      <c r="L3761" s="11">
        <v>-0.25209999999999999</v>
      </c>
      <c r="M3761" s="11">
        <v>-4.2699999999999995E-2</v>
      </c>
      <c r="N3761">
        <v>33.770000000000003</v>
      </c>
      <c r="O3761">
        <v>43.01</v>
      </c>
      <c r="P3761">
        <v>4</v>
      </c>
      <c r="Q3761" t="s">
        <v>21</v>
      </c>
      <c r="R3761">
        <v>8.5599999999999898</v>
      </c>
      <c r="S3761">
        <v>25.21</v>
      </c>
      <c r="T3761" s="4">
        <v>14.059999999999899</v>
      </c>
      <c r="U3761" s="4">
        <v>5.8536609999999998</v>
      </c>
      <c r="V3761" t="str">
        <f>IF(Table1[[#This Row],[ai_disruption_intensity]]&gt;70,"High",
IF(Table1[[#This Row],[ai_disruption_intensity]]&gt;40,"Medium","Low"))</f>
        <v>Low</v>
      </c>
      <c r="W3761" t="str">
        <f>IF(Table1[[#This Row],[skill_gap_index]]&gt;70,"Large Gap",
IF(Table1[[#This Row],[skill_gap_index]]&gt;40,"Medium Gap","Small Gap"))</f>
        <v>Small Gap</v>
      </c>
      <c r="X3761" s="3" t="str">
        <f>IF(Table1[[#This Row],[automation_risk_percent]]&gt;0.7,"Highly Automatable",
IF(Table1[[#This Row],[automation_risk_percent]]&gt;0.4,"Moderate Risk","Safe Job"))</f>
        <v>Safe Job</v>
      </c>
    </row>
    <row r="3762" spans="1:24" x14ac:dyDescent="0.3">
      <c r="A3762">
        <v>13098</v>
      </c>
      <c r="B3762" t="s">
        <v>44</v>
      </c>
      <c r="C3762" t="s">
        <v>38</v>
      </c>
      <c r="D3762" t="s">
        <v>36</v>
      </c>
      <c r="E3762" s="1">
        <v>2026</v>
      </c>
      <c r="F3762" s="11">
        <v>0.34670000000000001</v>
      </c>
      <c r="G3762">
        <v>38.049999999999997</v>
      </c>
      <c r="H3762">
        <v>70.69</v>
      </c>
      <c r="I3762" s="2">
        <v>83522.929999999993</v>
      </c>
      <c r="J3762" s="2">
        <v>92055.23</v>
      </c>
      <c r="K3762" s="2">
        <f>Table1[[#This Row],[Salary_after]]-Table1[[#This Row],[Salary_before]]</f>
        <v>8532.3000000000029</v>
      </c>
      <c r="L3762" s="11">
        <v>0.10220000000000001</v>
      </c>
      <c r="M3762" s="11">
        <v>0.22579999999999997</v>
      </c>
      <c r="N3762">
        <v>67.69</v>
      </c>
      <c r="O3762">
        <v>75.94</v>
      </c>
      <c r="P3762">
        <v>5</v>
      </c>
      <c r="Q3762" t="s">
        <v>25</v>
      </c>
      <c r="R3762">
        <v>52.68</v>
      </c>
      <c r="S3762">
        <v>10.220000000000001</v>
      </c>
      <c r="T3762" s="4">
        <v>38.140999999999998</v>
      </c>
      <c r="U3762" s="4">
        <v>26.328398</v>
      </c>
      <c r="V3762" t="str">
        <f>IF(Table1[[#This Row],[ai_disruption_intensity]]&gt;70,"High",
IF(Table1[[#This Row],[ai_disruption_intensity]]&gt;40,"Medium","Low"))</f>
        <v>Low</v>
      </c>
      <c r="W3762" t="str">
        <f>IF(Table1[[#This Row],[skill_gap_index]]&gt;70,"Large Gap",
IF(Table1[[#This Row],[skill_gap_index]]&gt;40,"Medium Gap","Small Gap"))</f>
        <v>Large Gap</v>
      </c>
      <c r="X3762" s="3" t="str">
        <f>IF(Table1[[#This Row],[automation_risk_percent]]&gt;0.7,"Highly Automatable",
IF(Table1[[#This Row],[automation_risk_percent]]&gt;0.4,"Moderate Risk","Safe Job"))</f>
        <v>Safe Job</v>
      </c>
    </row>
    <row r="3763" spans="1:24" x14ac:dyDescent="0.3">
      <c r="A3763">
        <v>13102</v>
      </c>
      <c r="B3763" t="s">
        <v>26</v>
      </c>
      <c r="C3763" t="s">
        <v>38</v>
      </c>
      <c r="D3763" t="s">
        <v>35</v>
      </c>
      <c r="E3763" s="1">
        <v>2025</v>
      </c>
      <c r="F3763" s="11">
        <v>0.29530000000000001</v>
      </c>
      <c r="G3763">
        <v>31.82</v>
      </c>
      <c r="H3763">
        <v>15.94</v>
      </c>
      <c r="I3763" s="2">
        <v>123096.53</v>
      </c>
      <c r="J3763" s="2">
        <v>103720.4</v>
      </c>
      <c r="K3763" s="2">
        <f>Table1[[#This Row],[Salary_after]]-Table1[[#This Row],[Salary_before]]</f>
        <v>-19376.130000000005</v>
      </c>
      <c r="L3763" s="11">
        <v>-0.15740000000000001</v>
      </c>
      <c r="M3763" s="11">
        <v>0.15609999999999999</v>
      </c>
      <c r="N3763">
        <v>86.37</v>
      </c>
      <c r="O3763">
        <v>64.31</v>
      </c>
      <c r="P3763">
        <v>4</v>
      </c>
      <c r="Q3763" t="s">
        <v>21</v>
      </c>
      <c r="R3763">
        <v>22.734999999999999</v>
      </c>
      <c r="S3763">
        <v>15.74</v>
      </c>
      <c r="T3763" s="4">
        <v>21.315999999999999</v>
      </c>
      <c r="U3763" s="4">
        <v>18.990742999999998</v>
      </c>
      <c r="V3763" t="str">
        <f>IF(Table1[[#This Row],[ai_disruption_intensity]]&gt;70,"High",
IF(Table1[[#This Row],[ai_disruption_intensity]]&gt;40,"Medium","Low"))</f>
        <v>Low</v>
      </c>
      <c r="W3763" t="str">
        <f>IF(Table1[[#This Row],[skill_gap_index]]&gt;70,"Large Gap",
IF(Table1[[#This Row],[skill_gap_index]]&gt;40,"Medium Gap","Small Gap"))</f>
        <v>Small Gap</v>
      </c>
      <c r="X3763" s="3" t="str">
        <f>IF(Table1[[#This Row],[automation_risk_percent]]&gt;0.7,"Highly Automatable",
IF(Table1[[#This Row],[automation_risk_percent]]&gt;0.4,"Moderate Risk","Safe Job"))</f>
        <v>Safe Job</v>
      </c>
    </row>
    <row r="3764" spans="1:24" x14ac:dyDescent="0.3">
      <c r="A3764">
        <v>13103</v>
      </c>
      <c r="B3764" t="s">
        <v>46</v>
      </c>
      <c r="C3764" t="s">
        <v>38</v>
      </c>
      <c r="D3764" t="s">
        <v>36</v>
      </c>
      <c r="E3764" s="1">
        <v>2025</v>
      </c>
      <c r="F3764" s="11">
        <v>0.21239999999999998</v>
      </c>
      <c r="G3764">
        <v>18.670000000000002</v>
      </c>
      <c r="H3764">
        <v>15.69</v>
      </c>
      <c r="I3764" s="2">
        <v>148405.62</v>
      </c>
      <c r="J3764" s="2">
        <v>154258.04999999999</v>
      </c>
      <c r="K3764" s="2">
        <f>Table1[[#This Row],[Salary_after]]-Table1[[#This Row],[Salary_before]]</f>
        <v>5852.429999999993</v>
      </c>
      <c r="L3764" s="11">
        <v>3.9399999999999998E-2</v>
      </c>
      <c r="M3764" s="11">
        <v>0.1273</v>
      </c>
      <c r="N3764">
        <v>52.35</v>
      </c>
      <c r="O3764">
        <v>84.81</v>
      </c>
      <c r="P3764">
        <v>3</v>
      </c>
      <c r="Q3764" t="s">
        <v>21</v>
      </c>
      <c r="R3764">
        <v>18.465</v>
      </c>
      <c r="S3764">
        <v>3.94</v>
      </c>
      <c r="T3764" s="4">
        <v>14.385</v>
      </c>
      <c r="U3764" s="4">
        <v>18.013643999999999</v>
      </c>
      <c r="V3764" t="str">
        <f>IF(Table1[[#This Row],[ai_disruption_intensity]]&gt;70,"High",
IF(Table1[[#This Row],[ai_disruption_intensity]]&gt;40,"Medium","Low"))</f>
        <v>Low</v>
      </c>
      <c r="W3764" t="str">
        <f>IF(Table1[[#This Row],[skill_gap_index]]&gt;70,"Large Gap",
IF(Table1[[#This Row],[skill_gap_index]]&gt;40,"Medium Gap","Small Gap"))</f>
        <v>Small Gap</v>
      </c>
      <c r="X3764" s="3" t="str">
        <f>IF(Table1[[#This Row],[automation_risk_percent]]&gt;0.7,"Highly Automatable",
IF(Table1[[#This Row],[automation_risk_percent]]&gt;0.4,"Moderate Risk","Safe Job"))</f>
        <v>Safe Job</v>
      </c>
    </row>
    <row r="3765" spans="1:24" x14ac:dyDescent="0.3">
      <c r="A3765">
        <v>13119</v>
      </c>
      <c r="B3765" t="s">
        <v>26</v>
      </c>
      <c r="C3765" t="s">
        <v>27</v>
      </c>
      <c r="D3765" t="s">
        <v>32</v>
      </c>
      <c r="E3765" s="1">
        <v>2026</v>
      </c>
      <c r="F3765" s="11">
        <v>0.23199999999999998</v>
      </c>
      <c r="G3765">
        <v>21.91</v>
      </c>
      <c r="H3765">
        <v>43.04</v>
      </c>
      <c r="I3765" s="2">
        <v>131705.35999999999</v>
      </c>
      <c r="J3765" s="2">
        <v>130616.25</v>
      </c>
      <c r="K3765" s="2">
        <f>Table1[[#This Row],[Salary_after]]-Table1[[#This Row],[Salary_before]]</f>
        <v>-1089.109999999986</v>
      </c>
      <c r="L3765" s="11">
        <v>-8.3000000000000001E-3</v>
      </c>
      <c r="M3765" s="11">
        <v>2.3399999999999997E-2</v>
      </c>
      <c r="N3765">
        <v>96.35</v>
      </c>
      <c r="O3765">
        <v>83.12</v>
      </c>
      <c r="P3765">
        <v>5</v>
      </c>
      <c r="Q3765" t="s">
        <v>21</v>
      </c>
      <c r="R3765">
        <v>33.119999999999997</v>
      </c>
      <c r="S3765">
        <v>0.83</v>
      </c>
      <c r="T3765" s="4">
        <v>22.440999999999999</v>
      </c>
      <c r="U3765" s="4">
        <v>19.283840000000001</v>
      </c>
      <c r="V3765" t="str">
        <f>IF(Table1[[#This Row],[ai_disruption_intensity]]&gt;70,"High",
IF(Table1[[#This Row],[ai_disruption_intensity]]&gt;40,"Medium","Low"))</f>
        <v>Low</v>
      </c>
      <c r="W3765" t="str">
        <f>IF(Table1[[#This Row],[skill_gap_index]]&gt;70,"Large Gap",
IF(Table1[[#This Row],[skill_gap_index]]&gt;40,"Medium Gap","Small Gap"))</f>
        <v>Medium Gap</v>
      </c>
      <c r="X3765" s="3" t="str">
        <f>IF(Table1[[#This Row],[automation_risk_percent]]&gt;0.7,"Highly Automatable",
IF(Table1[[#This Row],[automation_risk_percent]]&gt;0.4,"Moderate Risk","Safe Job"))</f>
        <v>Safe Job</v>
      </c>
    </row>
    <row r="3766" spans="1:24" x14ac:dyDescent="0.3">
      <c r="A3766">
        <v>13122</v>
      </c>
      <c r="B3766" t="s">
        <v>18</v>
      </c>
      <c r="C3766" t="s">
        <v>40</v>
      </c>
      <c r="D3766" t="s">
        <v>36</v>
      </c>
      <c r="E3766" s="1">
        <v>2025</v>
      </c>
      <c r="F3766" s="11">
        <v>0.64209999999999989</v>
      </c>
      <c r="G3766">
        <v>58.01</v>
      </c>
      <c r="H3766">
        <v>82.8</v>
      </c>
      <c r="I3766" s="2">
        <v>98780.4</v>
      </c>
      <c r="J3766" s="2">
        <v>88191.99</v>
      </c>
      <c r="K3766" s="2">
        <f>Table1[[#This Row],[Salary_after]]-Table1[[#This Row],[Salary_before]]</f>
        <v>-10588.409999999989</v>
      </c>
      <c r="L3766" s="11">
        <v>-0.1072</v>
      </c>
      <c r="M3766" s="11">
        <v>-0.1333</v>
      </c>
      <c r="N3766">
        <v>79.39</v>
      </c>
      <c r="O3766">
        <v>31.62</v>
      </c>
      <c r="P3766">
        <v>4</v>
      </c>
      <c r="Q3766" t="s">
        <v>37</v>
      </c>
      <c r="R3766">
        <v>73.504999999999995</v>
      </c>
      <c r="S3766">
        <v>10.72</v>
      </c>
      <c r="T3766" s="4">
        <v>53.74</v>
      </c>
      <c r="U3766" s="4">
        <v>20.303201999999999</v>
      </c>
      <c r="V3766" t="str">
        <f>IF(Table1[[#This Row],[ai_disruption_intensity]]&gt;70,"High",
IF(Table1[[#This Row],[ai_disruption_intensity]]&gt;40,"Medium","Low"))</f>
        <v>Low</v>
      </c>
      <c r="W3766" t="str">
        <f>IF(Table1[[#This Row],[skill_gap_index]]&gt;70,"Large Gap",
IF(Table1[[#This Row],[skill_gap_index]]&gt;40,"Medium Gap","Small Gap"))</f>
        <v>Large Gap</v>
      </c>
      <c r="X3766" s="3" t="str">
        <f>IF(Table1[[#This Row],[automation_risk_percent]]&gt;0.7,"Highly Automatable",
IF(Table1[[#This Row],[automation_risk_percent]]&gt;0.4,"Moderate Risk","Safe Job"))</f>
        <v>Moderate Risk</v>
      </c>
    </row>
    <row r="3767" spans="1:24" x14ac:dyDescent="0.3">
      <c r="A3767">
        <v>13125</v>
      </c>
      <c r="B3767" t="s">
        <v>26</v>
      </c>
      <c r="C3767" t="s">
        <v>33</v>
      </c>
      <c r="D3767" t="s">
        <v>42</v>
      </c>
      <c r="E3767" s="1">
        <v>2025</v>
      </c>
      <c r="F3767" s="11">
        <v>0.52139999999999997</v>
      </c>
      <c r="G3767">
        <v>46.17</v>
      </c>
      <c r="H3767">
        <v>59.4</v>
      </c>
      <c r="I3767" s="2">
        <v>140352.5</v>
      </c>
      <c r="J3767" s="2">
        <v>141943.38</v>
      </c>
      <c r="K3767" s="2">
        <f>Table1[[#This Row],[Salary_after]]-Table1[[#This Row],[Salary_before]]</f>
        <v>1590.8800000000047</v>
      </c>
      <c r="L3767" s="11">
        <v>1.1299999999999999E-2</v>
      </c>
      <c r="M3767" s="11">
        <v>-0.1512</v>
      </c>
      <c r="N3767">
        <v>42.14</v>
      </c>
      <c r="O3767">
        <v>13.26</v>
      </c>
      <c r="P3767">
        <v>1</v>
      </c>
      <c r="Q3767" t="s">
        <v>25</v>
      </c>
      <c r="R3767">
        <v>55.769999999999897</v>
      </c>
      <c r="S3767">
        <v>1.1299999999999999</v>
      </c>
      <c r="T3767" s="4">
        <v>39.015000000000001</v>
      </c>
      <c r="U3767" s="4">
        <v>6.9137639999999996</v>
      </c>
      <c r="V3767" t="str">
        <f>IF(Table1[[#This Row],[ai_disruption_intensity]]&gt;70,"High",
IF(Table1[[#This Row],[ai_disruption_intensity]]&gt;40,"Medium","Low"))</f>
        <v>Low</v>
      </c>
      <c r="W3767" t="str">
        <f>IF(Table1[[#This Row],[skill_gap_index]]&gt;70,"Large Gap",
IF(Table1[[#This Row],[skill_gap_index]]&gt;40,"Medium Gap","Small Gap"))</f>
        <v>Medium Gap</v>
      </c>
      <c r="X3767" s="3" t="str">
        <f>IF(Table1[[#This Row],[automation_risk_percent]]&gt;0.7,"Highly Automatable",
IF(Table1[[#This Row],[automation_risk_percent]]&gt;0.4,"Moderate Risk","Safe Job"))</f>
        <v>Moderate Risk</v>
      </c>
    </row>
    <row r="3768" spans="1:24" x14ac:dyDescent="0.3">
      <c r="A3768">
        <v>13126</v>
      </c>
      <c r="B3768" t="s">
        <v>26</v>
      </c>
      <c r="C3768" t="s">
        <v>40</v>
      </c>
      <c r="D3768" t="s">
        <v>42</v>
      </c>
      <c r="E3768" s="1">
        <v>2026</v>
      </c>
      <c r="F3768" s="11">
        <v>0.3337</v>
      </c>
      <c r="G3768">
        <v>26.72</v>
      </c>
      <c r="H3768">
        <v>0.95</v>
      </c>
      <c r="I3768" s="2">
        <v>129754.41</v>
      </c>
      <c r="J3768" s="2">
        <v>104474.86</v>
      </c>
      <c r="K3768" s="2">
        <f>Table1[[#This Row],[Salary_after]]-Table1[[#This Row],[Salary_before]]</f>
        <v>-25279.550000000003</v>
      </c>
      <c r="L3768" s="11">
        <v>-0.1948</v>
      </c>
      <c r="M3768" s="11">
        <v>0.14749999999999999</v>
      </c>
      <c r="N3768">
        <v>46.26</v>
      </c>
      <c r="O3768">
        <v>45.62</v>
      </c>
      <c r="P3768">
        <v>3</v>
      </c>
      <c r="Q3768" t="s">
        <v>25</v>
      </c>
      <c r="R3768">
        <v>17.16</v>
      </c>
      <c r="S3768">
        <v>19.48</v>
      </c>
      <c r="T3768" s="4">
        <v>19.477</v>
      </c>
      <c r="U3768" s="4">
        <v>15.2233939999999</v>
      </c>
      <c r="V3768" t="str">
        <f>IF(Table1[[#This Row],[ai_disruption_intensity]]&gt;70,"High",
IF(Table1[[#This Row],[ai_disruption_intensity]]&gt;40,"Medium","Low"))</f>
        <v>Low</v>
      </c>
      <c r="W3768" t="str">
        <f>IF(Table1[[#This Row],[skill_gap_index]]&gt;70,"Large Gap",
IF(Table1[[#This Row],[skill_gap_index]]&gt;40,"Medium Gap","Small Gap"))</f>
        <v>Small Gap</v>
      </c>
      <c r="X3768" s="3" t="str">
        <f>IF(Table1[[#This Row],[automation_risk_percent]]&gt;0.7,"Highly Automatable",
IF(Table1[[#This Row],[automation_risk_percent]]&gt;0.4,"Moderate Risk","Safe Job"))</f>
        <v>Safe Job</v>
      </c>
    </row>
    <row r="3769" spans="1:24" x14ac:dyDescent="0.3">
      <c r="A3769">
        <v>13133</v>
      </c>
      <c r="B3769" t="s">
        <v>22</v>
      </c>
      <c r="C3769" t="s">
        <v>30</v>
      </c>
      <c r="D3769" t="s">
        <v>20</v>
      </c>
      <c r="E3769" s="1">
        <v>2026</v>
      </c>
      <c r="F3769" s="11">
        <v>0.5242</v>
      </c>
      <c r="G3769">
        <v>53.09</v>
      </c>
      <c r="H3769">
        <v>72.47</v>
      </c>
      <c r="I3769" s="2">
        <v>70626.16</v>
      </c>
      <c r="J3769" s="2">
        <v>80090.100000000006</v>
      </c>
      <c r="K3769" s="2">
        <f>Table1[[#This Row],[Salary_after]]-Table1[[#This Row],[Salary_before]]</f>
        <v>9463.9400000000023</v>
      </c>
      <c r="L3769" s="11">
        <v>0.13400000000000001</v>
      </c>
      <c r="M3769" s="11">
        <v>0.11380000000000001</v>
      </c>
      <c r="N3769">
        <v>31.77</v>
      </c>
      <c r="O3769">
        <v>78</v>
      </c>
      <c r="P3769">
        <v>2</v>
      </c>
      <c r="Q3769" t="s">
        <v>25</v>
      </c>
      <c r="R3769">
        <v>62.445</v>
      </c>
      <c r="S3769">
        <v>13.4</v>
      </c>
      <c r="T3769" s="4">
        <v>46.728999999999999</v>
      </c>
      <c r="U3769" s="4">
        <v>40.887599999999999</v>
      </c>
      <c r="V3769" t="str">
        <f>IF(Table1[[#This Row],[ai_disruption_intensity]]&gt;70,"High",
IF(Table1[[#This Row],[ai_disruption_intensity]]&gt;40,"Medium","Low"))</f>
        <v>Medium</v>
      </c>
      <c r="W3769" t="str">
        <f>IF(Table1[[#This Row],[skill_gap_index]]&gt;70,"Large Gap",
IF(Table1[[#This Row],[skill_gap_index]]&gt;40,"Medium Gap","Small Gap"))</f>
        <v>Large Gap</v>
      </c>
      <c r="X3769" s="3" t="str">
        <f>IF(Table1[[#This Row],[automation_risk_percent]]&gt;0.7,"Highly Automatable",
IF(Table1[[#This Row],[automation_risk_percent]]&gt;0.4,"Moderate Risk","Safe Job"))</f>
        <v>Moderate Risk</v>
      </c>
    </row>
    <row r="3770" spans="1:24" x14ac:dyDescent="0.3">
      <c r="A3770">
        <v>13135</v>
      </c>
      <c r="B3770" t="s">
        <v>43</v>
      </c>
      <c r="C3770" t="s">
        <v>19</v>
      </c>
      <c r="D3770" t="s">
        <v>28</v>
      </c>
      <c r="E3770" s="1">
        <v>2025</v>
      </c>
      <c r="F3770" s="11">
        <v>0.79319999999999991</v>
      </c>
      <c r="G3770">
        <v>72.010000000000005</v>
      </c>
      <c r="H3770">
        <v>66.03</v>
      </c>
      <c r="I3770" s="2">
        <v>53341.03</v>
      </c>
      <c r="J3770" s="2">
        <v>56141.7</v>
      </c>
      <c r="K3770" s="2">
        <f>Table1[[#This Row],[Salary_after]]-Table1[[#This Row],[Salary_before]]</f>
        <v>2800.6699999999983</v>
      </c>
      <c r="L3770" s="11">
        <v>5.2499999999999998E-2</v>
      </c>
      <c r="M3770" s="11">
        <v>-2.2000000000000001E-3</v>
      </c>
      <c r="N3770">
        <v>93.32</v>
      </c>
      <c r="O3770">
        <v>89.43</v>
      </c>
      <c r="P3770">
        <v>4</v>
      </c>
      <c r="Q3770" t="s">
        <v>37</v>
      </c>
      <c r="R3770">
        <v>72.674999999999997</v>
      </c>
      <c r="S3770">
        <v>5.25</v>
      </c>
      <c r="T3770" s="4">
        <v>53.112000000000002</v>
      </c>
      <c r="U3770" s="4">
        <v>70.935875999999993</v>
      </c>
      <c r="V3770" t="str">
        <f>IF(Table1[[#This Row],[ai_disruption_intensity]]&gt;70,"High",
IF(Table1[[#This Row],[ai_disruption_intensity]]&gt;40,"Medium","Low"))</f>
        <v>High</v>
      </c>
      <c r="W3770" t="str">
        <f>IF(Table1[[#This Row],[skill_gap_index]]&gt;70,"Large Gap",
IF(Table1[[#This Row],[skill_gap_index]]&gt;40,"Medium Gap","Small Gap"))</f>
        <v>Medium Gap</v>
      </c>
      <c r="X3770" s="3" t="str">
        <f>IF(Table1[[#This Row],[automation_risk_percent]]&gt;0.7,"Highly Automatable",
IF(Table1[[#This Row],[automation_risk_percent]]&gt;0.4,"Moderate Risk","Safe Job"))</f>
        <v>Highly Automatable</v>
      </c>
    </row>
    <row r="3771" spans="1:24" x14ac:dyDescent="0.3">
      <c r="A3771">
        <v>13141</v>
      </c>
      <c r="B3771" t="s">
        <v>18</v>
      </c>
      <c r="C3771" t="s">
        <v>30</v>
      </c>
      <c r="D3771" t="s">
        <v>35</v>
      </c>
      <c r="E3771" s="1">
        <v>2025</v>
      </c>
      <c r="F3771" s="11">
        <v>0.71530000000000005</v>
      </c>
      <c r="G3771">
        <v>70.5</v>
      </c>
      <c r="H3771">
        <v>42.17</v>
      </c>
      <c r="I3771" s="2">
        <v>101139.88</v>
      </c>
      <c r="J3771" s="2">
        <v>88327.11</v>
      </c>
      <c r="K3771" s="2">
        <f>Table1[[#This Row],[Salary_after]]-Table1[[#This Row],[Salary_before]]</f>
        <v>-12812.770000000004</v>
      </c>
      <c r="L3771" s="11">
        <v>-0.12670000000000001</v>
      </c>
      <c r="M3771" s="11">
        <v>3.2899999999999999E-2</v>
      </c>
      <c r="N3771">
        <v>84.28</v>
      </c>
      <c r="O3771">
        <v>19.05</v>
      </c>
      <c r="P3771">
        <v>5</v>
      </c>
      <c r="Q3771" t="s">
        <v>37</v>
      </c>
      <c r="R3771">
        <v>56.85</v>
      </c>
      <c r="S3771">
        <v>12.67</v>
      </c>
      <c r="T3771" s="4">
        <v>45.064</v>
      </c>
      <c r="U3771" s="4">
        <v>13.626465</v>
      </c>
      <c r="V3771" t="str">
        <f>IF(Table1[[#This Row],[ai_disruption_intensity]]&gt;70,"High",
IF(Table1[[#This Row],[ai_disruption_intensity]]&gt;40,"Medium","Low"))</f>
        <v>Low</v>
      </c>
      <c r="W3771" t="str">
        <f>IF(Table1[[#This Row],[skill_gap_index]]&gt;70,"Large Gap",
IF(Table1[[#This Row],[skill_gap_index]]&gt;40,"Medium Gap","Small Gap"))</f>
        <v>Medium Gap</v>
      </c>
      <c r="X3771" s="3" t="str">
        <f>IF(Table1[[#This Row],[automation_risk_percent]]&gt;0.7,"Highly Automatable",
IF(Table1[[#This Row],[automation_risk_percent]]&gt;0.4,"Moderate Risk","Safe Job"))</f>
        <v>Highly Automatable</v>
      </c>
    </row>
    <row r="3772" spans="1:24" x14ac:dyDescent="0.3">
      <c r="A3772">
        <v>13145</v>
      </c>
      <c r="B3772" t="s">
        <v>41</v>
      </c>
      <c r="C3772" t="s">
        <v>33</v>
      </c>
      <c r="D3772" t="s">
        <v>47</v>
      </c>
      <c r="E3772" s="1">
        <v>2026</v>
      </c>
      <c r="F3772" s="11">
        <v>0.26719999999999999</v>
      </c>
      <c r="G3772">
        <v>22.34</v>
      </c>
      <c r="H3772">
        <v>39.25</v>
      </c>
      <c r="I3772" s="2">
        <v>117616.37</v>
      </c>
      <c r="J3772" s="2">
        <v>108670.39</v>
      </c>
      <c r="K3772" s="2">
        <f>Table1[[#This Row],[Salary_after]]-Table1[[#This Row],[Salary_before]]</f>
        <v>-8945.9799999999959</v>
      </c>
      <c r="L3772" s="11">
        <v>-7.6100000000000001E-2</v>
      </c>
      <c r="M3772" s="11">
        <v>0.23250000000000001</v>
      </c>
      <c r="N3772">
        <v>27.17</v>
      </c>
      <c r="O3772">
        <v>30.59</v>
      </c>
      <c r="P3772">
        <v>5</v>
      </c>
      <c r="Q3772" t="s">
        <v>21</v>
      </c>
      <c r="R3772">
        <v>32.984999999999999</v>
      </c>
      <c r="S3772">
        <v>7.61</v>
      </c>
      <c r="T3772" s="4">
        <v>24.745999999999999</v>
      </c>
      <c r="U3772" s="4">
        <v>8.173648</v>
      </c>
      <c r="V3772" t="str">
        <f>IF(Table1[[#This Row],[ai_disruption_intensity]]&gt;70,"High",
IF(Table1[[#This Row],[ai_disruption_intensity]]&gt;40,"Medium","Low"))</f>
        <v>Low</v>
      </c>
      <c r="W3772" t="str">
        <f>IF(Table1[[#This Row],[skill_gap_index]]&gt;70,"Large Gap",
IF(Table1[[#This Row],[skill_gap_index]]&gt;40,"Medium Gap","Small Gap"))</f>
        <v>Small Gap</v>
      </c>
      <c r="X3772" s="3" t="str">
        <f>IF(Table1[[#This Row],[automation_risk_percent]]&gt;0.7,"Highly Automatable",
IF(Table1[[#This Row],[automation_risk_percent]]&gt;0.4,"Moderate Risk","Safe Job"))</f>
        <v>Safe Job</v>
      </c>
    </row>
    <row r="3773" spans="1:24" x14ac:dyDescent="0.3">
      <c r="A3773">
        <v>13146</v>
      </c>
      <c r="B3773" t="s">
        <v>22</v>
      </c>
      <c r="C3773" t="s">
        <v>19</v>
      </c>
      <c r="D3773" t="s">
        <v>47</v>
      </c>
      <c r="E3773" s="1">
        <v>2025</v>
      </c>
      <c r="F3773" s="11">
        <v>0.44579999999999997</v>
      </c>
      <c r="G3773">
        <v>52.58</v>
      </c>
      <c r="H3773">
        <v>64.02</v>
      </c>
      <c r="I3773" s="2">
        <v>45306.47</v>
      </c>
      <c r="J3773" s="2">
        <v>48148.01</v>
      </c>
      <c r="K3773" s="2">
        <f>Table1[[#This Row],[Salary_after]]-Table1[[#This Row],[Salary_before]]</f>
        <v>2841.5400000000009</v>
      </c>
      <c r="L3773" s="11">
        <v>6.2699999999999992E-2</v>
      </c>
      <c r="M3773" s="11">
        <v>0.1363</v>
      </c>
      <c r="N3773">
        <v>89.96</v>
      </c>
      <c r="O3773">
        <v>61.12</v>
      </c>
      <c r="P3773">
        <v>5</v>
      </c>
      <c r="Q3773" t="s">
        <v>25</v>
      </c>
      <c r="R3773">
        <v>54.3</v>
      </c>
      <c r="S3773">
        <v>6.27</v>
      </c>
      <c r="T3773" s="4">
        <v>38.918999999999997</v>
      </c>
      <c r="U3773" s="4">
        <v>27.247295999999899</v>
      </c>
      <c r="V3773" t="str">
        <f>IF(Table1[[#This Row],[ai_disruption_intensity]]&gt;70,"High",
IF(Table1[[#This Row],[ai_disruption_intensity]]&gt;40,"Medium","Low"))</f>
        <v>Low</v>
      </c>
      <c r="W3773" t="str">
        <f>IF(Table1[[#This Row],[skill_gap_index]]&gt;70,"Large Gap",
IF(Table1[[#This Row],[skill_gap_index]]&gt;40,"Medium Gap","Small Gap"))</f>
        <v>Medium Gap</v>
      </c>
      <c r="X3773" s="3" t="str">
        <f>IF(Table1[[#This Row],[automation_risk_percent]]&gt;0.7,"Highly Automatable",
IF(Table1[[#This Row],[automation_risk_percent]]&gt;0.4,"Moderate Risk","Safe Job"))</f>
        <v>Moderate Risk</v>
      </c>
    </row>
    <row r="3774" spans="1:24" x14ac:dyDescent="0.3">
      <c r="A3774">
        <v>13149</v>
      </c>
      <c r="B3774" t="s">
        <v>45</v>
      </c>
      <c r="C3774" t="s">
        <v>40</v>
      </c>
      <c r="D3774" t="s">
        <v>20</v>
      </c>
      <c r="E3774" s="1">
        <v>2025</v>
      </c>
      <c r="F3774" s="11">
        <v>0.16140000000000002</v>
      </c>
      <c r="G3774">
        <v>13.51</v>
      </c>
      <c r="H3774">
        <v>78.430000000000007</v>
      </c>
      <c r="I3774" s="2">
        <v>76258.87</v>
      </c>
      <c r="J3774" s="2">
        <v>85865.67</v>
      </c>
      <c r="K3774" s="2">
        <f>Table1[[#This Row],[Salary_after]]-Table1[[#This Row],[Salary_before]]</f>
        <v>9606.8000000000029</v>
      </c>
      <c r="L3774" s="11">
        <v>0.126</v>
      </c>
      <c r="M3774" s="11">
        <v>5.8799999999999998E-2</v>
      </c>
      <c r="N3774">
        <v>68.930000000000007</v>
      </c>
      <c r="O3774">
        <v>94.23</v>
      </c>
      <c r="P3774">
        <v>4</v>
      </c>
      <c r="Q3774" t="s">
        <v>21</v>
      </c>
      <c r="R3774">
        <v>47.284999999999997</v>
      </c>
      <c r="S3774">
        <v>12.6</v>
      </c>
      <c r="T3774" s="4">
        <v>33.765000000000001</v>
      </c>
      <c r="U3774" s="4">
        <v>15.208722</v>
      </c>
      <c r="V3774" t="str">
        <f>IF(Table1[[#This Row],[ai_disruption_intensity]]&gt;70,"High",
IF(Table1[[#This Row],[ai_disruption_intensity]]&gt;40,"Medium","Low"))</f>
        <v>Low</v>
      </c>
      <c r="W3774" t="str">
        <f>IF(Table1[[#This Row],[skill_gap_index]]&gt;70,"Large Gap",
IF(Table1[[#This Row],[skill_gap_index]]&gt;40,"Medium Gap","Small Gap"))</f>
        <v>Large Gap</v>
      </c>
      <c r="X3774" s="3" t="str">
        <f>IF(Table1[[#This Row],[automation_risk_percent]]&gt;0.7,"Highly Automatable",
IF(Table1[[#This Row],[automation_risk_percent]]&gt;0.4,"Moderate Risk","Safe Job"))</f>
        <v>Safe Job</v>
      </c>
    </row>
    <row r="3775" spans="1:24" x14ac:dyDescent="0.3">
      <c r="A3775">
        <v>13157</v>
      </c>
      <c r="B3775" t="s">
        <v>44</v>
      </c>
      <c r="C3775" t="s">
        <v>27</v>
      </c>
      <c r="D3775" t="s">
        <v>20</v>
      </c>
      <c r="E3775" s="1">
        <v>2025</v>
      </c>
      <c r="F3775" s="11">
        <v>0.75919999999999999</v>
      </c>
      <c r="G3775">
        <v>72.290000000000006</v>
      </c>
      <c r="H3775">
        <v>61.91</v>
      </c>
      <c r="I3775" s="2">
        <v>58292.45</v>
      </c>
      <c r="J3775" s="2">
        <v>60078.03</v>
      </c>
      <c r="K3775" s="2">
        <f>Table1[[#This Row],[Salary_after]]-Table1[[#This Row],[Salary_before]]</f>
        <v>1785.5800000000017</v>
      </c>
      <c r="L3775" s="11">
        <v>3.0600000000000002E-2</v>
      </c>
      <c r="M3775" s="11">
        <v>6.9699999999999998E-2</v>
      </c>
      <c r="N3775">
        <v>52.86</v>
      </c>
      <c r="O3775">
        <v>87.22</v>
      </c>
      <c r="P3775">
        <v>3</v>
      </c>
      <c r="Q3775" t="s">
        <v>37</v>
      </c>
      <c r="R3775">
        <v>68.914999999999907</v>
      </c>
      <c r="S3775">
        <v>3.06</v>
      </c>
      <c r="T3775" s="4">
        <v>49.859000000000002</v>
      </c>
      <c r="U3775" s="4">
        <v>66.217423999999994</v>
      </c>
      <c r="V3775" t="str">
        <f>IF(Table1[[#This Row],[ai_disruption_intensity]]&gt;70,"High",
IF(Table1[[#This Row],[ai_disruption_intensity]]&gt;40,"Medium","Low"))</f>
        <v>Medium</v>
      </c>
      <c r="W3775" t="str">
        <f>IF(Table1[[#This Row],[skill_gap_index]]&gt;70,"Large Gap",
IF(Table1[[#This Row],[skill_gap_index]]&gt;40,"Medium Gap","Small Gap"))</f>
        <v>Medium Gap</v>
      </c>
      <c r="X3775" s="3" t="str">
        <f>IF(Table1[[#This Row],[automation_risk_percent]]&gt;0.7,"Highly Automatable",
IF(Table1[[#This Row],[automation_risk_percent]]&gt;0.4,"Moderate Risk","Safe Job"))</f>
        <v>Highly Automatable</v>
      </c>
    </row>
    <row r="3776" spans="1:24" x14ac:dyDescent="0.3">
      <c r="A3776">
        <v>13160</v>
      </c>
      <c r="B3776" t="s">
        <v>18</v>
      </c>
      <c r="C3776" t="s">
        <v>27</v>
      </c>
      <c r="D3776" t="s">
        <v>24</v>
      </c>
      <c r="E3776" s="1">
        <v>2025</v>
      </c>
      <c r="F3776" s="11">
        <v>0.38490000000000002</v>
      </c>
      <c r="G3776">
        <v>36.53</v>
      </c>
      <c r="H3776">
        <v>65.180000000000007</v>
      </c>
      <c r="I3776" s="2">
        <v>34432.43</v>
      </c>
      <c r="J3776" s="2">
        <v>32399.65</v>
      </c>
      <c r="K3776" s="2">
        <f>Table1[[#This Row],[Salary_after]]-Table1[[#This Row],[Salary_before]]</f>
        <v>-2032.7799999999988</v>
      </c>
      <c r="L3776" s="11">
        <v>-5.9000000000000004E-2</v>
      </c>
      <c r="M3776" s="11">
        <v>2.7000000000000003E-2</v>
      </c>
      <c r="N3776">
        <v>76.19</v>
      </c>
      <c r="O3776">
        <v>27.44</v>
      </c>
      <c r="P3776">
        <v>4</v>
      </c>
      <c r="Q3776" t="s">
        <v>25</v>
      </c>
      <c r="R3776">
        <v>51.835000000000001</v>
      </c>
      <c r="S3776">
        <v>5.9</v>
      </c>
      <c r="T3776" s="4">
        <v>36.72</v>
      </c>
      <c r="U3776" s="4">
        <v>10.561655999999999</v>
      </c>
      <c r="V3776" t="str">
        <f>IF(Table1[[#This Row],[ai_disruption_intensity]]&gt;70,"High",
IF(Table1[[#This Row],[ai_disruption_intensity]]&gt;40,"Medium","Low"))</f>
        <v>Low</v>
      </c>
      <c r="W3776" t="str">
        <f>IF(Table1[[#This Row],[skill_gap_index]]&gt;70,"Large Gap",
IF(Table1[[#This Row],[skill_gap_index]]&gt;40,"Medium Gap","Small Gap"))</f>
        <v>Medium Gap</v>
      </c>
      <c r="X3776" s="3" t="str">
        <f>IF(Table1[[#This Row],[automation_risk_percent]]&gt;0.7,"Highly Automatable",
IF(Table1[[#This Row],[automation_risk_percent]]&gt;0.4,"Moderate Risk","Safe Job"))</f>
        <v>Safe Job</v>
      </c>
    </row>
    <row r="3777" spans="1:24" x14ac:dyDescent="0.3">
      <c r="A3777">
        <v>13162</v>
      </c>
      <c r="B3777" t="s">
        <v>22</v>
      </c>
      <c r="C3777" t="s">
        <v>40</v>
      </c>
      <c r="D3777" t="s">
        <v>32</v>
      </c>
      <c r="E3777" s="1">
        <v>2025</v>
      </c>
      <c r="F3777" s="11">
        <v>0.48759999999999998</v>
      </c>
      <c r="G3777">
        <v>47.44</v>
      </c>
      <c r="H3777">
        <v>50.6</v>
      </c>
      <c r="I3777" s="2">
        <v>87103.48</v>
      </c>
      <c r="J3777" s="2">
        <v>88048.59</v>
      </c>
      <c r="K3777" s="2">
        <f>Table1[[#This Row],[Salary_after]]-Table1[[#This Row],[Salary_before]]</f>
        <v>945.11000000000058</v>
      </c>
      <c r="L3777" s="11">
        <v>1.09E-2</v>
      </c>
      <c r="M3777" s="11">
        <v>-0.12369999999999999</v>
      </c>
      <c r="N3777">
        <v>23.29</v>
      </c>
      <c r="O3777">
        <v>58.29</v>
      </c>
      <c r="P3777">
        <v>2</v>
      </c>
      <c r="Q3777" t="s">
        <v>25</v>
      </c>
      <c r="R3777">
        <v>49.68</v>
      </c>
      <c r="S3777">
        <v>1.0900000000000001</v>
      </c>
      <c r="T3777" s="4">
        <v>35.010999999999903</v>
      </c>
      <c r="U3777" s="4">
        <v>28.422203999999901</v>
      </c>
      <c r="V3777" t="str">
        <f>IF(Table1[[#This Row],[ai_disruption_intensity]]&gt;70,"High",
IF(Table1[[#This Row],[ai_disruption_intensity]]&gt;40,"Medium","Low"))</f>
        <v>Low</v>
      </c>
      <c r="W3777" t="str">
        <f>IF(Table1[[#This Row],[skill_gap_index]]&gt;70,"Large Gap",
IF(Table1[[#This Row],[skill_gap_index]]&gt;40,"Medium Gap","Small Gap"))</f>
        <v>Medium Gap</v>
      </c>
      <c r="X3777" s="3" t="str">
        <f>IF(Table1[[#This Row],[automation_risk_percent]]&gt;0.7,"Highly Automatable",
IF(Table1[[#This Row],[automation_risk_percent]]&gt;0.4,"Moderate Risk","Safe Job"))</f>
        <v>Moderate Risk</v>
      </c>
    </row>
    <row r="3778" spans="1:24" x14ac:dyDescent="0.3">
      <c r="A3778">
        <v>13163</v>
      </c>
      <c r="B3778" t="s">
        <v>39</v>
      </c>
      <c r="C3778" t="s">
        <v>34</v>
      </c>
      <c r="D3778" t="s">
        <v>28</v>
      </c>
      <c r="E3778" s="1">
        <v>2025</v>
      </c>
      <c r="F3778" s="11">
        <v>0.40600000000000003</v>
      </c>
      <c r="G3778">
        <v>48.28</v>
      </c>
      <c r="H3778">
        <v>9.5</v>
      </c>
      <c r="I3778" s="2">
        <v>120221.59</v>
      </c>
      <c r="J3778" s="2">
        <v>136209.26</v>
      </c>
      <c r="K3778" s="2">
        <f>Table1[[#This Row],[Salary_after]]-Table1[[#This Row],[Salary_before]]</f>
        <v>15987.670000000013</v>
      </c>
      <c r="L3778" s="11">
        <v>0.13300000000000001</v>
      </c>
      <c r="M3778" s="11">
        <v>-5.16E-2</v>
      </c>
      <c r="N3778">
        <v>96.19</v>
      </c>
      <c r="O3778">
        <v>89.77</v>
      </c>
      <c r="P3778">
        <v>5</v>
      </c>
      <c r="Q3778" t="s">
        <v>25</v>
      </c>
      <c r="R3778">
        <v>25.05</v>
      </c>
      <c r="S3778">
        <v>13.3</v>
      </c>
      <c r="T3778" s="4">
        <v>23.08</v>
      </c>
      <c r="U3778" s="4">
        <v>36.446619999999903</v>
      </c>
      <c r="V3778" t="str">
        <f>IF(Table1[[#This Row],[ai_disruption_intensity]]&gt;70,"High",
IF(Table1[[#This Row],[ai_disruption_intensity]]&gt;40,"Medium","Low"))</f>
        <v>Low</v>
      </c>
      <c r="W3778" t="str">
        <f>IF(Table1[[#This Row],[skill_gap_index]]&gt;70,"Large Gap",
IF(Table1[[#This Row],[skill_gap_index]]&gt;40,"Medium Gap","Small Gap"))</f>
        <v>Small Gap</v>
      </c>
      <c r="X3778" s="3" t="str">
        <f>IF(Table1[[#This Row],[automation_risk_percent]]&gt;0.7,"Highly Automatable",
IF(Table1[[#This Row],[automation_risk_percent]]&gt;0.4,"Moderate Risk","Safe Job"))</f>
        <v>Moderate Risk</v>
      </c>
    </row>
    <row r="3779" spans="1:24" x14ac:dyDescent="0.3">
      <c r="A3779">
        <v>13170</v>
      </c>
      <c r="B3779" t="s">
        <v>29</v>
      </c>
      <c r="C3779" t="s">
        <v>27</v>
      </c>
      <c r="D3779" t="s">
        <v>36</v>
      </c>
      <c r="E3779" s="1">
        <v>2026</v>
      </c>
      <c r="F3779" s="11">
        <v>0.42599999999999999</v>
      </c>
      <c r="G3779">
        <v>42.87</v>
      </c>
      <c r="H3779">
        <v>36.89</v>
      </c>
      <c r="I3779" s="2">
        <v>138474.23999999999</v>
      </c>
      <c r="J3779" s="2">
        <v>166746.73000000001</v>
      </c>
      <c r="K3779" s="2">
        <f>Table1[[#This Row],[Salary_after]]-Table1[[#This Row],[Salary_before]]</f>
        <v>28272.49000000002</v>
      </c>
      <c r="L3779" s="11">
        <v>0.20420000000000002</v>
      </c>
      <c r="M3779" s="11">
        <v>7.6100000000000001E-2</v>
      </c>
      <c r="N3779">
        <v>29.76</v>
      </c>
      <c r="O3779">
        <v>94.59</v>
      </c>
      <c r="P3779">
        <v>2</v>
      </c>
      <c r="Q3779" t="s">
        <v>25</v>
      </c>
      <c r="R3779">
        <v>39.744999999999997</v>
      </c>
      <c r="S3779">
        <v>20.420000000000002</v>
      </c>
      <c r="T3779" s="4">
        <v>34.232999999999997</v>
      </c>
      <c r="U3779" s="4">
        <v>40.295340000000003</v>
      </c>
      <c r="V3779" t="str">
        <f>IF(Table1[[#This Row],[ai_disruption_intensity]]&gt;70,"High",
IF(Table1[[#This Row],[ai_disruption_intensity]]&gt;40,"Medium","Low"))</f>
        <v>Medium</v>
      </c>
      <c r="W3779" t="str">
        <f>IF(Table1[[#This Row],[skill_gap_index]]&gt;70,"Large Gap",
IF(Table1[[#This Row],[skill_gap_index]]&gt;40,"Medium Gap","Small Gap"))</f>
        <v>Small Gap</v>
      </c>
      <c r="X3779" s="3" t="str">
        <f>IF(Table1[[#This Row],[automation_risk_percent]]&gt;0.7,"Highly Automatable",
IF(Table1[[#This Row],[automation_risk_percent]]&gt;0.4,"Moderate Risk","Safe Job"))</f>
        <v>Moderate Risk</v>
      </c>
    </row>
    <row r="3780" spans="1:24" x14ac:dyDescent="0.3">
      <c r="A3780">
        <v>13175</v>
      </c>
      <c r="B3780" t="s">
        <v>29</v>
      </c>
      <c r="C3780" t="s">
        <v>33</v>
      </c>
      <c r="D3780" t="s">
        <v>47</v>
      </c>
      <c r="E3780" s="1">
        <v>2025</v>
      </c>
      <c r="F3780" s="11">
        <v>0.79590000000000005</v>
      </c>
      <c r="G3780">
        <v>77.489999999999995</v>
      </c>
      <c r="H3780">
        <v>76.099999999999994</v>
      </c>
      <c r="I3780" s="2">
        <v>69064.77</v>
      </c>
      <c r="J3780" s="2">
        <v>65737.72</v>
      </c>
      <c r="K3780" s="2">
        <f>Table1[[#This Row],[Salary_after]]-Table1[[#This Row],[Salary_before]]</f>
        <v>-3327.0500000000029</v>
      </c>
      <c r="L3780" s="11">
        <v>-4.82E-2</v>
      </c>
      <c r="M3780" s="11">
        <v>0.1605</v>
      </c>
      <c r="N3780">
        <v>52.88</v>
      </c>
      <c r="O3780">
        <v>93.73</v>
      </c>
      <c r="P3780">
        <v>3</v>
      </c>
      <c r="Q3780" t="s">
        <v>37</v>
      </c>
      <c r="R3780">
        <v>77.844999999999999</v>
      </c>
      <c r="S3780">
        <v>4.82</v>
      </c>
      <c r="T3780" s="4">
        <v>56.111999999999902</v>
      </c>
      <c r="U3780" s="4">
        <v>74.599706999999995</v>
      </c>
      <c r="V3780" t="str">
        <f>IF(Table1[[#This Row],[ai_disruption_intensity]]&gt;70,"High",
IF(Table1[[#This Row],[ai_disruption_intensity]]&gt;40,"Medium","Low"))</f>
        <v>High</v>
      </c>
      <c r="W3780" t="str">
        <f>IF(Table1[[#This Row],[skill_gap_index]]&gt;70,"Large Gap",
IF(Table1[[#This Row],[skill_gap_index]]&gt;40,"Medium Gap","Small Gap"))</f>
        <v>Large Gap</v>
      </c>
      <c r="X3780" s="3" t="str">
        <f>IF(Table1[[#This Row],[automation_risk_percent]]&gt;0.7,"Highly Automatable",
IF(Table1[[#This Row],[automation_risk_percent]]&gt;0.4,"Moderate Risk","Safe Job"))</f>
        <v>Highly Automatable</v>
      </c>
    </row>
    <row r="3781" spans="1:24" x14ac:dyDescent="0.3">
      <c r="A3781">
        <v>13177</v>
      </c>
      <c r="B3781" t="s">
        <v>18</v>
      </c>
      <c r="C3781" t="s">
        <v>40</v>
      </c>
      <c r="D3781" t="s">
        <v>31</v>
      </c>
      <c r="E3781" s="1">
        <v>2026</v>
      </c>
      <c r="F3781" s="11">
        <v>0.33500000000000002</v>
      </c>
      <c r="G3781">
        <v>27.57</v>
      </c>
      <c r="H3781">
        <v>20.46</v>
      </c>
      <c r="I3781" s="2">
        <v>86098.96</v>
      </c>
      <c r="J3781" s="2">
        <v>76358.100000000006</v>
      </c>
      <c r="K3781" s="2">
        <f>Table1[[#This Row],[Salary_after]]-Table1[[#This Row],[Salary_before]]</f>
        <v>-9740.86</v>
      </c>
      <c r="L3781" s="11">
        <v>-0.11310000000000001</v>
      </c>
      <c r="M3781" s="11">
        <v>-7.22E-2</v>
      </c>
      <c r="N3781">
        <v>80.05</v>
      </c>
      <c r="O3781">
        <v>54.37</v>
      </c>
      <c r="P3781">
        <v>1</v>
      </c>
      <c r="Q3781" t="s">
        <v>25</v>
      </c>
      <c r="R3781">
        <v>26.98</v>
      </c>
      <c r="S3781">
        <v>11.31</v>
      </c>
      <c r="T3781" s="4">
        <v>22.931000000000001</v>
      </c>
      <c r="U3781" s="4">
        <v>18.213950000000001</v>
      </c>
      <c r="V3781" t="str">
        <f>IF(Table1[[#This Row],[ai_disruption_intensity]]&gt;70,"High",
IF(Table1[[#This Row],[ai_disruption_intensity]]&gt;40,"Medium","Low"))</f>
        <v>Low</v>
      </c>
      <c r="W3781" t="str">
        <f>IF(Table1[[#This Row],[skill_gap_index]]&gt;70,"Large Gap",
IF(Table1[[#This Row],[skill_gap_index]]&gt;40,"Medium Gap","Small Gap"))</f>
        <v>Small Gap</v>
      </c>
      <c r="X3781" s="3" t="str">
        <f>IF(Table1[[#This Row],[automation_risk_percent]]&gt;0.7,"Highly Automatable",
IF(Table1[[#This Row],[automation_risk_percent]]&gt;0.4,"Moderate Risk","Safe Job"))</f>
        <v>Safe Job</v>
      </c>
    </row>
    <row r="3782" spans="1:24" x14ac:dyDescent="0.3">
      <c r="A3782">
        <v>13178</v>
      </c>
      <c r="B3782" t="s">
        <v>26</v>
      </c>
      <c r="C3782" t="s">
        <v>33</v>
      </c>
      <c r="D3782" t="s">
        <v>35</v>
      </c>
      <c r="E3782" s="1">
        <v>2026</v>
      </c>
      <c r="F3782" s="11">
        <v>0.29120000000000001</v>
      </c>
      <c r="G3782">
        <v>24.02</v>
      </c>
      <c r="H3782">
        <v>97.05</v>
      </c>
      <c r="I3782" s="2">
        <v>126859.21</v>
      </c>
      <c r="J3782" s="2">
        <v>116612.05</v>
      </c>
      <c r="K3782" s="2">
        <f>Table1[[#This Row],[Salary_after]]-Table1[[#This Row],[Salary_before]]</f>
        <v>-10247.160000000003</v>
      </c>
      <c r="L3782" s="11">
        <v>-8.0799999999999997E-2</v>
      </c>
      <c r="M3782" s="11">
        <v>0.11599999999999999</v>
      </c>
      <c r="N3782">
        <v>89.32</v>
      </c>
      <c r="O3782">
        <v>61.04</v>
      </c>
      <c r="P3782">
        <v>3</v>
      </c>
      <c r="Q3782" t="s">
        <v>21</v>
      </c>
      <c r="R3782">
        <v>63.085000000000001</v>
      </c>
      <c r="S3782">
        <v>8.08</v>
      </c>
      <c r="T3782" s="4">
        <v>43.186999999999998</v>
      </c>
      <c r="U3782" s="4">
        <v>17.774847999999999</v>
      </c>
      <c r="V3782" t="str">
        <f>IF(Table1[[#This Row],[ai_disruption_intensity]]&gt;70,"High",
IF(Table1[[#This Row],[ai_disruption_intensity]]&gt;40,"Medium","Low"))</f>
        <v>Low</v>
      </c>
      <c r="W3782" t="str">
        <f>IF(Table1[[#This Row],[skill_gap_index]]&gt;70,"Large Gap",
IF(Table1[[#This Row],[skill_gap_index]]&gt;40,"Medium Gap","Small Gap"))</f>
        <v>Large Gap</v>
      </c>
      <c r="X3782" s="3" t="str">
        <f>IF(Table1[[#This Row],[automation_risk_percent]]&gt;0.7,"Highly Automatable",
IF(Table1[[#This Row],[automation_risk_percent]]&gt;0.4,"Moderate Risk","Safe Job"))</f>
        <v>Safe Job</v>
      </c>
    </row>
    <row r="3783" spans="1:24" x14ac:dyDescent="0.3">
      <c r="A3783">
        <v>13180</v>
      </c>
      <c r="B3783" t="s">
        <v>18</v>
      </c>
      <c r="C3783" t="s">
        <v>33</v>
      </c>
      <c r="D3783" t="s">
        <v>24</v>
      </c>
      <c r="E3783" s="1">
        <v>2026</v>
      </c>
      <c r="F3783" s="11">
        <v>0.2026</v>
      </c>
      <c r="G3783">
        <v>18.63</v>
      </c>
      <c r="H3783">
        <v>44.97</v>
      </c>
      <c r="I3783" s="2">
        <v>103660.72</v>
      </c>
      <c r="J3783" s="2">
        <v>109822.08</v>
      </c>
      <c r="K3783" s="2">
        <f>Table1[[#This Row],[Salary_after]]-Table1[[#This Row],[Salary_before]]</f>
        <v>6161.3600000000006</v>
      </c>
      <c r="L3783" s="11">
        <v>5.9400000000000001E-2</v>
      </c>
      <c r="M3783" s="11">
        <v>-8.6999999999999994E-2</v>
      </c>
      <c r="N3783">
        <v>26.55</v>
      </c>
      <c r="O3783">
        <v>62.74</v>
      </c>
      <c r="P3783">
        <v>3</v>
      </c>
      <c r="Q3783" t="s">
        <v>21</v>
      </c>
      <c r="R3783">
        <v>32.615000000000002</v>
      </c>
      <c r="S3783">
        <v>5.94</v>
      </c>
      <c r="T3783" s="4">
        <v>23.376999999999999</v>
      </c>
      <c r="U3783" s="4">
        <v>12.711124</v>
      </c>
      <c r="V3783" t="str">
        <f>IF(Table1[[#This Row],[ai_disruption_intensity]]&gt;70,"High",
IF(Table1[[#This Row],[ai_disruption_intensity]]&gt;40,"Medium","Low"))</f>
        <v>Low</v>
      </c>
      <c r="W3783" t="str">
        <f>IF(Table1[[#This Row],[skill_gap_index]]&gt;70,"Large Gap",
IF(Table1[[#This Row],[skill_gap_index]]&gt;40,"Medium Gap","Small Gap"))</f>
        <v>Medium Gap</v>
      </c>
      <c r="X3783" s="3" t="str">
        <f>IF(Table1[[#This Row],[automation_risk_percent]]&gt;0.7,"Highly Automatable",
IF(Table1[[#This Row],[automation_risk_percent]]&gt;0.4,"Moderate Risk","Safe Job"))</f>
        <v>Safe Job</v>
      </c>
    </row>
    <row r="3784" spans="1:24" x14ac:dyDescent="0.3">
      <c r="A3784">
        <v>13186</v>
      </c>
      <c r="B3784" t="s">
        <v>39</v>
      </c>
      <c r="C3784" t="s">
        <v>23</v>
      </c>
      <c r="D3784" t="s">
        <v>36</v>
      </c>
      <c r="E3784" s="1">
        <v>2026</v>
      </c>
      <c r="F3784" s="11">
        <v>0.28070000000000001</v>
      </c>
      <c r="G3784">
        <v>29.42</v>
      </c>
      <c r="H3784">
        <v>60.51</v>
      </c>
      <c r="I3784" s="2">
        <v>57058.15</v>
      </c>
      <c r="J3784" s="2">
        <v>55538.3</v>
      </c>
      <c r="K3784" s="2">
        <f>Table1[[#This Row],[Salary_after]]-Table1[[#This Row],[Salary_before]]</f>
        <v>-1519.8499999999985</v>
      </c>
      <c r="L3784" s="11">
        <v>-2.6600000000000002E-2</v>
      </c>
      <c r="M3784" s="11">
        <v>0.2165</v>
      </c>
      <c r="N3784">
        <v>81.94</v>
      </c>
      <c r="O3784">
        <v>92.44</v>
      </c>
      <c r="P3784">
        <v>3</v>
      </c>
      <c r="Q3784" t="s">
        <v>21</v>
      </c>
      <c r="R3784">
        <v>44.29</v>
      </c>
      <c r="S3784">
        <v>2.66</v>
      </c>
      <c r="T3784" s="4">
        <v>30.178999999999998</v>
      </c>
      <c r="U3784" s="4">
        <v>25.947907999999899</v>
      </c>
      <c r="V3784" t="str">
        <f>IF(Table1[[#This Row],[ai_disruption_intensity]]&gt;70,"High",
IF(Table1[[#This Row],[ai_disruption_intensity]]&gt;40,"Medium","Low"))</f>
        <v>Low</v>
      </c>
      <c r="W3784" t="str">
        <f>IF(Table1[[#This Row],[skill_gap_index]]&gt;70,"Large Gap",
IF(Table1[[#This Row],[skill_gap_index]]&gt;40,"Medium Gap","Small Gap"))</f>
        <v>Medium Gap</v>
      </c>
      <c r="X3784" s="3" t="str">
        <f>IF(Table1[[#This Row],[automation_risk_percent]]&gt;0.7,"Highly Automatable",
IF(Table1[[#This Row],[automation_risk_percent]]&gt;0.4,"Moderate Risk","Safe Job"))</f>
        <v>Safe Job</v>
      </c>
    </row>
    <row r="3785" spans="1:24" x14ac:dyDescent="0.3">
      <c r="A3785">
        <v>13189</v>
      </c>
      <c r="B3785" t="s">
        <v>44</v>
      </c>
      <c r="C3785" t="s">
        <v>23</v>
      </c>
      <c r="D3785" t="s">
        <v>32</v>
      </c>
      <c r="E3785" s="1">
        <v>2025</v>
      </c>
      <c r="F3785" s="11">
        <v>0.60840000000000005</v>
      </c>
      <c r="G3785">
        <v>55.94</v>
      </c>
      <c r="H3785">
        <v>19.16</v>
      </c>
      <c r="I3785" s="2">
        <v>38143.43</v>
      </c>
      <c r="J3785" s="2">
        <v>34731.35</v>
      </c>
      <c r="K3785" s="2">
        <f>Table1[[#This Row],[Salary_after]]-Table1[[#This Row],[Salary_before]]</f>
        <v>-3412.0800000000017</v>
      </c>
      <c r="L3785" s="11">
        <v>-8.9499999999999996E-2</v>
      </c>
      <c r="M3785" s="11">
        <v>4.4900000000000002E-2</v>
      </c>
      <c r="N3785">
        <v>51.42</v>
      </c>
      <c r="O3785">
        <v>81.28</v>
      </c>
      <c r="P3785">
        <v>4</v>
      </c>
      <c r="Q3785" t="s">
        <v>37</v>
      </c>
      <c r="R3785">
        <v>40</v>
      </c>
      <c r="S3785">
        <v>8.9499999999999993</v>
      </c>
      <c r="T3785" s="4">
        <v>32.768999999999998</v>
      </c>
      <c r="U3785" s="4">
        <v>49.450752000000001</v>
      </c>
      <c r="V3785" t="str">
        <f>IF(Table1[[#This Row],[ai_disruption_intensity]]&gt;70,"High",
IF(Table1[[#This Row],[ai_disruption_intensity]]&gt;40,"Medium","Low"))</f>
        <v>Medium</v>
      </c>
      <c r="W3785" t="str">
        <f>IF(Table1[[#This Row],[skill_gap_index]]&gt;70,"Large Gap",
IF(Table1[[#This Row],[skill_gap_index]]&gt;40,"Medium Gap","Small Gap"))</f>
        <v>Small Gap</v>
      </c>
      <c r="X3785" s="3" t="str">
        <f>IF(Table1[[#This Row],[automation_risk_percent]]&gt;0.7,"Highly Automatable",
IF(Table1[[#This Row],[automation_risk_percent]]&gt;0.4,"Moderate Risk","Safe Job"))</f>
        <v>Moderate Risk</v>
      </c>
    </row>
    <row r="3786" spans="1:24" x14ac:dyDescent="0.3">
      <c r="A3786">
        <v>13194</v>
      </c>
      <c r="B3786" t="s">
        <v>22</v>
      </c>
      <c r="C3786" t="s">
        <v>27</v>
      </c>
      <c r="D3786" t="s">
        <v>20</v>
      </c>
      <c r="E3786" s="1">
        <v>2025</v>
      </c>
      <c r="F3786" s="11">
        <v>0.49560000000000004</v>
      </c>
      <c r="G3786">
        <v>52.33</v>
      </c>
      <c r="H3786">
        <v>34.08</v>
      </c>
      <c r="I3786" s="2">
        <v>86733.2</v>
      </c>
      <c r="J3786" s="2">
        <v>93303.12</v>
      </c>
      <c r="K3786" s="2">
        <f>Table1[[#This Row],[Salary_after]]-Table1[[#This Row],[Salary_before]]</f>
        <v>6569.9199999999983</v>
      </c>
      <c r="L3786" s="11">
        <v>7.5700000000000003E-2</v>
      </c>
      <c r="M3786" s="11">
        <v>0.14360000000000001</v>
      </c>
      <c r="N3786">
        <v>25.98</v>
      </c>
      <c r="O3786">
        <v>23.79</v>
      </c>
      <c r="P3786">
        <v>2</v>
      </c>
      <c r="Q3786" t="s">
        <v>25</v>
      </c>
      <c r="R3786">
        <v>41.82</v>
      </c>
      <c r="S3786">
        <v>7.57</v>
      </c>
      <c r="T3786" s="4">
        <v>32.319000000000003</v>
      </c>
      <c r="U3786" s="4">
        <v>11.790324</v>
      </c>
      <c r="V3786" t="str">
        <f>IF(Table1[[#This Row],[ai_disruption_intensity]]&gt;70,"High",
IF(Table1[[#This Row],[ai_disruption_intensity]]&gt;40,"Medium","Low"))</f>
        <v>Low</v>
      </c>
      <c r="W3786" t="str">
        <f>IF(Table1[[#This Row],[skill_gap_index]]&gt;70,"Large Gap",
IF(Table1[[#This Row],[skill_gap_index]]&gt;40,"Medium Gap","Small Gap"))</f>
        <v>Small Gap</v>
      </c>
      <c r="X3786" s="3" t="str">
        <f>IF(Table1[[#This Row],[automation_risk_percent]]&gt;0.7,"Highly Automatable",
IF(Table1[[#This Row],[automation_risk_percent]]&gt;0.4,"Moderate Risk","Safe Job"))</f>
        <v>Moderate Risk</v>
      </c>
    </row>
    <row r="3787" spans="1:24" x14ac:dyDescent="0.3">
      <c r="A3787">
        <v>13202</v>
      </c>
      <c r="B3787" t="s">
        <v>39</v>
      </c>
      <c r="C3787" t="s">
        <v>27</v>
      </c>
      <c r="D3787" t="s">
        <v>42</v>
      </c>
      <c r="E3787" s="1">
        <v>2026</v>
      </c>
      <c r="F3787" s="11">
        <v>0.51270000000000004</v>
      </c>
      <c r="G3787">
        <v>60.07</v>
      </c>
      <c r="H3787">
        <v>76.39</v>
      </c>
      <c r="I3787" s="2">
        <v>148359.26</v>
      </c>
      <c r="J3787" s="2">
        <v>149943.85</v>
      </c>
      <c r="K3787" s="2">
        <f>Table1[[#This Row],[Salary_after]]-Table1[[#This Row],[Salary_before]]</f>
        <v>1584.5899999999965</v>
      </c>
      <c r="L3787" s="11">
        <v>1.0700000000000001E-2</v>
      </c>
      <c r="M3787" s="11">
        <v>-9.8299999999999998E-2</v>
      </c>
      <c r="N3787">
        <v>94.48</v>
      </c>
      <c r="O3787">
        <v>13.75</v>
      </c>
      <c r="P3787">
        <v>4</v>
      </c>
      <c r="Q3787" t="s">
        <v>25</v>
      </c>
      <c r="R3787">
        <v>63.83</v>
      </c>
      <c r="S3787">
        <v>1.07</v>
      </c>
      <c r="T3787" s="4">
        <v>43.745999999999903</v>
      </c>
      <c r="U3787" s="4">
        <v>7.0496249999999998</v>
      </c>
      <c r="V3787" t="str">
        <f>IF(Table1[[#This Row],[ai_disruption_intensity]]&gt;70,"High",
IF(Table1[[#This Row],[ai_disruption_intensity]]&gt;40,"Medium","Low"))</f>
        <v>Low</v>
      </c>
      <c r="W3787" t="str">
        <f>IF(Table1[[#This Row],[skill_gap_index]]&gt;70,"Large Gap",
IF(Table1[[#This Row],[skill_gap_index]]&gt;40,"Medium Gap","Small Gap"))</f>
        <v>Large Gap</v>
      </c>
      <c r="X3787" s="3" t="str">
        <f>IF(Table1[[#This Row],[automation_risk_percent]]&gt;0.7,"Highly Automatable",
IF(Table1[[#This Row],[automation_risk_percent]]&gt;0.4,"Moderate Risk","Safe Job"))</f>
        <v>Moderate Risk</v>
      </c>
    </row>
    <row r="3788" spans="1:24" x14ac:dyDescent="0.3">
      <c r="A3788">
        <v>13203</v>
      </c>
      <c r="B3788" t="s">
        <v>39</v>
      </c>
      <c r="C3788" t="s">
        <v>19</v>
      </c>
      <c r="D3788" t="s">
        <v>36</v>
      </c>
      <c r="E3788" s="1">
        <v>2026</v>
      </c>
      <c r="F3788" s="11">
        <v>0.64599999999999991</v>
      </c>
      <c r="G3788">
        <v>75.3</v>
      </c>
      <c r="H3788">
        <v>37.49</v>
      </c>
      <c r="I3788" s="2">
        <v>83167.47</v>
      </c>
      <c r="J3788" s="2">
        <v>85203.92</v>
      </c>
      <c r="K3788" s="2">
        <f>Table1[[#This Row],[Salary_after]]-Table1[[#This Row],[Salary_before]]</f>
        <v>2036.4499999999971</v>
      </c>
      <c r="L3788" s="11">
        <v>2.4500000000000001E-2</v>
      </c>
      <c r="M3788" s="11">
        <v>0.1724</v>
      </c>
      <c r="N3788">
        <v>53.07</v>
      </c>
      <c r="O3788">
        <v>27.41</v>
      </c>
      <c r="P3788">
        <v>5</v>
      </c>
      <c r="Q3788" t="s">
        <v>37</v>
      </c>
      <c r="R3788">
        <v>51.045000000000002</v>
      </c>
      <c r="S3788">
        <v>2.4500000000000002</v>
      </c>
      <c r="T3788" s="4">
        <v>37.822000000000003</v>
      </c>
      <c r="U3788" s="4">
        <v>17.706859999999999</v>
      </c>
      <c r="V3788" t="str">
        <f>IF(Table1[[#This Row],[ai_disruption_intensity]]&gt;70,"High",
IF(Table1[[#This Row],[ai_disruption_intensity]]&gt;40,"Medium","Low"))</f>
        <v>Low</v>
      </c>
      <c r="W3788" t="str">
        <f>IF(Table1[[#This Row],[skill_gap_index]]&gt;70,"Large Gap",
IF(Table1[[#This Row],[skill_gap_index]]&gt;40,"Medium Gap","Small Gap"))</f>
        <v>Small Gap</v>
      </c>
      <c r="X3788" s="3" t="str">
        <f>IF(Table1[[#This Row],[automation_risk_percent]]&gt;0.7,"Highly Automatable",
IF(Table1[[#This Row],[automation_risk_percent]]&gt;0.4,"Moderate Risk","Safe Job"))</f>
        <v>Moderate Risk</v>
      </c>
    </row>
    <row r="3789" spans="1:24" x14ac:dyDescent="0.3">
      <c r="A3789">
        <v>13204</v>
      </c>
      <c r="B3789" t="s">
        <v>18</v>
      </c>
      <c r="C3789" t="s">
        <v>30</v>
      </c>
      <c r="D3789" t="s">
        <v>47</v>
      </c>
      <c r="E3789" s="1">
        <v>2025</v>
      </c>
      <c r="F3789" s="11">
        <v>0.4753</v>
      </c>
      <c r="G3789">
        <v>45.17</v>
      </c>
      <c r="H3789">
        <v>47.11</v>
      </c>
      <c r="I3789" s="2">
        <v>132014.01999999999</v>
      </c>
      <c r="J3789" s="2">
        <v>140261.59</v>
      </c>
      <c r="K3789" s="2">
        <f>Table1[[#This Row],[Salary_after]]-Table1[[#This Row],[Salary_before]]</f>
        <v>8247.570000000007</v>
      </c>
      <c r="L3789" s="11">
        <v>6.25E-2</v>
      </c>
      <c r="M3789" s="11">
        <v>5.6399999999999999E-2</v>
      </c>
      <c r="N3789">
        <v>50.14</v>
      </c>
      <c r="O3789">
        <v>11.04</v>
      </c>
      <c r="P3789">
        <v>5</v>
      </c>
      <c r="Q3789" t="s">
        <v>25</v>
      </c>
      <c r="R3789">
        <v>47.32</v>
      </c>
      <c r="S3789">
        <v>6.25</v>
      </c>
      <c r="T3789" s="4">
        <v>35.019999999999897</v>
      </c>
      <c r="U3789" s="4">
        <v>5.2473119999999902</v>
      </c>
      <c r="V3789" t="str">
        <f>IF(Table1[[#This Row],[ai_disruption_intensity]]&gt;70,"High",
IF(Table1[[#This Row],[ai_disruption_intensity]]&gt;40,"Medium","Low"))</f>
        <v>Low</v>
      </c>
      <c r="W3789" t="str">
        <f>IF(Table1[[#This Row],[skill_gap_index]]&gt;70,"Large Gap",
IF(Table1[[#This Row],[skill_gap_index]]&gt;40,"Medium Gap","Small Gap"))</f>
        <v>Medium Gap</v>
      </c>
      <c r="X3789" s="3" t="str">
        <f>IF(Table1[[#This Row],[automation_risk_percent]]&gt;0.7,"Highly Automatable",
IF(Table1[[#This Row],[automation_risk_percent]]&gt;0.4,"Moderate Risk","Safe Job"))</f>
        <v>Moderate Risk</v>
      </c>
    </row>
    <row r="3790" spans="1:24" x14ac:dyDescent="0.3">
      <c r="A3790">
        <v>13205</v>
      </c>
      <c r="B3790" t="s">
        <v>18</v>
      </c>
      <c r="C3790" t="s">
        <v>40</v>
      </c>
      <c r="D3790" t="s">
        <v>24</v>
      </c>
      <c r="E3790" s="1">
        <v>2025</v>
      </c>
      <c r="F3790" s="11">
        <v>0.1079</v>
      </c>
      <c r="G3790">
        <v>10.39</v>
      </c>
      <c r="H3790">
        <v>87.69</v>
      </c>
      <c r="I3790" s="2">
        <v>137126.62</v>
      </c>
      <c r="J3790" s="2">
        <v>142219.42000000001</v>
      </c>
      <c r="K3790" s="2">
        <f>Table1[[#This Row],[Salary_after]]-Table1[[#This Row],[Salary_before]]</f>
        <v>5092.8000000000175</v>
      </c>
      <c r="L3790" s="11">
        <v>3.7100000000000001E-2</v>
      </c>
      <c r="M3790" s="11">
        <v>6.3299999999999995E-2</v>
      </c>
      <c r="N3790">
        <v>16.5</v>
      </c>
      <c r="O3790">
        <v>37.049999999999997</v>
      </c>
      <c r="P3790">
        <v>1</v>
      </c>
      <c r="Q3790" t="s">
        <v>21</v>
      </c>
      <c r="R3790">
        <v>49.239999999999903</v>
      </c>
      <c r="S3790">
        <v>3.71</v>
      </c>
      <c r="T3790" s="4">
        <v>31.735999999999901</v>
      </c>
      <c r="U3790" s="4">
        <v>3.99769499999999</v>
      </c>
      <c r="V3790" t="str">
        <f>IF(Table1[[#This Row],[ai_disruption_intensity]]&gt;70,"High",
IF(Table1[[#This Row],[ai_disruption_intensity]]&gt;40,"Medium","Low"))</f>
        <v>Low</v>
      </c>
      <c r="W3790" t="str">
        <f>IF(Table1[[#This Row],[skill_gap_index]]&gt;70,"Large Gap",
IF(Table1[[#This Row],[skill_gap_index]]&gt;40,"Medium Gap","Small Gap"))</f>
        <v>Large Gap</v>
      </c>
      <c r="X3790" s="3" t="str">
        <f>IF(Table1[[#This Row],[automation_risk_percent]]&gt;0.7,"Highly Automatable",
IF(Table1[[#This Row],[automation_risk_percent]]&gt;0.4,"Moderate Risk","Safe Job"))</f>
        <v>Safe Job</v>
      </c>
    </row>
    <row r="3791" spans="1:24" x14ac:dyDescent="0.3">
      <c r="A3791">
        <v>13207</v>
      </c>
      <c r="B3791" t="s">
        <v>26</v>
      </c>
      <c r="C3791" t="s">
        <v>19</v>
      </c>
      <c r="D3791" t="s">
        <v>35</v>
      </c>
      <c r="E3791" s="1">
        <v>2025</v>
      </c>
      <c r="F3791" s="11">
        <v>0.25129999999999997</v>
      </c>
      <c r="G3791">
        <v>21.39</v>
      </c>
      <c r="H3791">
        <v>57.12</v>
      </c>
      <c r="I3791" s="2">
        <v>59996.47</v>
      </c>
      <c r="J3791" s="2">
        <v>52559</v>
      </c>
      <c r="K3791" s="2">
        <f>Table1[[#This Row],[Salary_after]]-Table1[[#This Row],[Salary_before]]</f>
        <v>-7437.4700000000012</v>
      </c>
      <c r="L3791" s="11">
        <v>-0.124</v>
      </c>
      <c r="M3791" s="11">
        <v>-7.9100000000000004E-2</v>
      </c>
      <c r="N3791">
        <v>93.82</v>
      </c>
      <c r="O3791">
        <v>86.16</v>
      </c>
      <c r="P3791">
        <v>2</v>
      </c>
      <c r="Q3791" t="s">
        <v>21</v>
      </c>
      <c r="R3791">
        <v>41.125</v>
      </c>
      <c r="S3791">
        <v>12.4</v>
      </c>
      <c r="T3791" s="4">
        <v>30.907999999999902</v>
      </c>
      <c r="U3791" s="4">
        <v>21.652007999999899</v>
      </c>
      <c r="V3791" t="str">
        <f>IF(Table1[[#This Row],[ai_disruption_intensity]]&gt;70,"High",
IF(Table1[[#This Row],[ai_disruption_intensity]]&gt;40,"Medium","Low"))</f>
        <v>Low</v>
      </c>
      <c r="W3791" t="str">
        <f>IF(Table1[[#This Row],[skill_gap_index]]&gt;70,"Large Gap",
IF(Table1[[#This Row],[skill_gap_index]]&gt;40,"Medium Gap","Small Gap"))</f>
        <v>Medium Gap</v>
      </c>
      <c r="X3791" s="3" t="str">
        <f>IF(Table1[[#This Row],[automation_risk_percent]]&gt;0.7,"Highly Automatable",
IF(Table1[[#This Row],[automation_risk_percent]]&gt;0.4,"Moderate Risk","Safe Job"))</f>
        <v>Safe Job</v>
      </c>
    </row>
    <row r="3792" spans="1:24" x14ac:dyDescent="0.3">
      <c r="A3792">
        <v>13211</v>
      </c>
      <c r="B3792" t="s">
        <v>39</v>
      </c>
      <c r="C3792" t="s">
        <v>23</v>
      </c>
      <c r="D3792" t="s">
        <v>47</v>
      </c>
      <c r="E3792" s="1">
        <v>2026</v>
      </c>
      <c r="F3792" s="11">
        <v>0.48210000000000003</v>
      </c>
      <c r="G3792">
        <v>51.52</v>
      </c>
      <c r="H3792">
        <v>41.54</v>
      </c>
      <c r="I3792" s="2">
        <v>66929.100000000006</v>
      </c>
      <c r="J3792" s="2">
        <v>66734.86</v>
      </c>
      <c r="K3792" s="2">
        <f>Table1[[#This Row],[Salary_after]]-Table1[[#This Row],[Salary_before]]</f>
        <v>-194.24000000000524</v>
      </c>
      <c r="L3792" s="11">
        <v>-2.8999999999999998E-3</v>
      </c>
      <c r="M3792" s="11">
        <v>0.28079999999999999</v>
      </c>
      <c r="N3792">
        <v>84.58</v>
      </c>
      <c r="O3792">
        <v>5.39</v>
      </c>
      <c r="P3792">
        <v>1</v>
      </c>
      <c r="Q3792" t="s">
        <v>25</v>
      </c>
      <c r="R3792">
        <v>44.875</v>
      </c>
      <c r="S3792">
        <v>0.28999999999999998</v>
      </c>
      <c r="T3792" s="4">
        <v>31.832999999999998</v>
      </c>
      <c r="U3792" s="4">
        <v>2.598519</v>
      </c>
      <c r="V3792" t="str">
        <f>IF(Table1[[#This Row],[ai_disruption_intensity]]&gt;70,"High",
IF(Table1[[#This Row],[ai_disruption_intensity]]&gt;40,"Medium","Low"))</f>
        <v>Low</v>
      </c>
      <c r="W3792" t="str">
        <f>IF(Table1[[#This Row],[skill_gap_index]]&gt;70,"Large Gap",
IF(Table1[[#This Row],[skill_gap_index]]&gt;40,"Medium Gap","Small Gap"))</f>
        <v>Medium Gap</v>
      </c>
      <c r="X3792" s="3" t="str">
        <f>IF(Table1[[#This Row],[automation_risk_percent]]&gt;0.7,"Highly Automatable",
IF(Table1[[#This Row],[automation_risk_percent]]&gt;0.4,"Moderate Risk","Safe Job"))</f>
        <v>Moderate Risk</v>
      </c>
    </row>
    <row r="3793" spans="1:24" x14ac:dyDescent="0.3">
      <c r="A3793">
        <v>13212</v>
      </c>
      <c r="B3793" t="s">
        <v>46</v>
      </c>
      <c r="C3793" t="s">
        <v>40</v>
      </c>
      <c r="D3793" t="s">
        <v>35</v>
      </c>
      <c r="E3793" s="1">
        <v>2026</v>
      </c>
      <c r="F3793" s="11">
        <v>0.51529999999999998</v>
      </c>
      <c r="G3793">
        <v>55.5</v>
      </c>
      <c r="H3793">
        <v>86.67</v>
      </c>
      <c r="I3793" s="2">
        <v>131393.75</v>
      </c>
      <c r="J3793" s="2">
        <v>136621.82</v>
      </c>
      <c r="K3793" s="2">
        <f>Table1[[#This Row],[Salary_after]]-Table1[[#This Row],[Salary_before]]</f>
        <v>5228.070000000007</v>
      </c>
      <c r="L3793" s="11">
        <v>3.9800000000000002E-2</v>
      </c>
      <c r="M3793" s="11">
        <v>-4.8499999999999995E-2</v>
      </c>
      <c r="N3793">
        <v>64.37</v>
      </c>
      <c r="O3793">
        <v>69.44</v>
      </c>
      <c r="P3793">
        <v>5</v>
      </c>
      <c r="Q3793" t="s">
        <v>25</v>
      </c>
      <c r="R3793">
        <v>69.099999999999994</v>
      </c>
      <c r="S3793">
        <v>3.98</v>
      </c>
      <c r="T3793" s="4">
        <v>47.807000000000002</v>
      </c>
      <c r="U3793" s="4">
        <v>35.782432</v>
      </c>
      <c r="V3793" t="str">
        <f>IF(Table1[[#This Row],[ai_disruption_intensity]]&gt;70,"High",
IF(Table1[[#This Row],[ai_disruption_intensity]]&gt;40,"Medium","Low"))</f>
        <v>Low</v>
      </c>
      <c r="W3793" t="str">
        <f>IF(Table1[[#This Row],[skill_gap_index]]&gt;70,"Large Gap",
IF(Table1[[#This Row],[skill_gap_index]]&gt;40,"Medium Gap","Small Gap"))</f>
        <v>Large Gap</v>
      </c>
      <c r="X3793" s="3" t="str">
        <f>IF(Table1[[#This Row],[automation_risk_percent]]&gt;0.7,"Highly Automatable",
IF(Table1[[#This Row],[automation_risk_percent]]&gt;0.4,"Moderate Risk","Safe Job"))</f>
        <v>Moderate Risk</v>
      </c>
    </row>
    <row r="3794" spans="1:24" x14ac:dyDescent="0.3">
      <c r="A3794">
        <v>13218</v>
      </c>
      <c r="B3794" t="s">
        <v>29</v>
      </c>
      <c r="C3794" t="s">
        <v>30</v>
      </c>
      <c r="D3794" t="s">
        <v>47</v>
      </c>
      <c r="E3794" s="1">
        <v>2026</v>
      </c>
      <c r="F3794" s="11">
        <v>0.94599999999999995</v>
      </c>
      <c r="G3794">
        <v>96.49</v>
      </c>
      <c r="H3794">
        <v>22.22</v>
      </c>
      <c r="I3794" s="2">
        <v>63519.95</v>
      </c>
      <c r="J3794" s="2">
        <v>59915.12</v>
      </c>
      <c r="K3794" s="2">
        <f>Table1[[#This Row],[Salary_after]]-Table1[[#This Row],[Salary_before]]</f>
        <v>-3604.8299999999945</v>
      </c>
      <c r="L3794" s="11">
        <v>-5.6799999999999996E-2</v>
      </c>
      <c r="M3794" s="11">
        <v>0.1696</v>
      </c>
      <c r="N3794">
        <v>29.35</v>
      </c>
      <c r="O3794">
        <v>92.19</v>
      </c>
      <c r="P3794">
        <v>4</v>
      </c>
      <c r="Q3794" t="s">
        <v>37</v>
      </c>
      <c r="R3794">
        <v>58.41</v>
      </c>
      <c r="S3794">
        <v>5.68</v>
      </c>
      <c r="T3794" s="4">
        <v>46.209999999999901</v>
      </c>
      <c r="U3794" s="4">
        <v>87.211739999999907</v>
      </c>
      <c r="V3794" t="str">
        <f>IF(Table1[[#This Row],[ai_disruption_intensity]]&gt;70,"High",
IF(Table1[[#This Row],[ai_disruption_intensity]]&gt;40,"Medium","Low"))</f>
        <v>High</v>
      </c>
      <c r="W3794" t="str">
        <f>IF(Table1[[#This Row],[skill_gap_index]]&gt;70,"Large Gap",
IF(Table1[[#This Row],[skill_gap_index]]&gt;40,"Medium Gap","Small Gap"))</f>
        <v>Small Gap</v>
      </c>
      <c r="X3794" s="3" t="str">
        <f>IF(Table1[[#This Row],[automation_risk_percent]]&gt;0.7,"Highly Automatable",
IF(Table1[[#This Row],[automation_risk_percent]]&gt;0.4,"Moderate Risk","Safe Job"))</f>
        <v>Highly Automatable</v>
      </c>
    </row>
    <row r="3795" spans="1:24" x14ac:dyDescent="0.3">
      <c r="A3795">
        <v>13220</v>
      </c>
      <c r="B3795" t="s">
        <v>46</v>
      </c>
      <c r="C3795" t="s">
        <v>23</v>
      </c>
      <c r="D3795" t="s">
        <v>31</v>
      </c>
      <c r="E3795" s="1">
        <v>2026</v>
      </c>
      <c r="F3795" s="11">
        <v>0.34060000000000001</v>
      </c>
      <c r="G3795">
        <v>40.49</v>
      </c>
      <c r="H3795">
        <v>98.01</v>
      </c>
      <c r="I3795" s="2">
        <v>40462.9</v>
      </c>
      <c r="J3795" s="2">
        <v>39939.82</v>
      </c>
      <c r="K3795" s="2">
        <f>Table1[[#This Row],[Salary_after]]-Table1[[#This Row],[Salary_before]]</f>
        <v>-523.08000000000175</v>
      </c>
      <c r="L3795" s="11">
        <v>-1.29E-2</v>
      </c>
      <c r="M3795" s="11">
        <v>0.13769999999999999</v>
      </c>
      <c r="N3795">
        <v>51.32</v>
      </c>
      <c r="O3795">
        <v>35.93</v>
      </c>
      <c r="P3795">
        <v>1</v>
      </c>
      <c r="Q3795" t="s">
        <v>25</v>
      </c>
      <c r="R3795">
        <v>66.034999999999997</v>
      </c>
      <c r="S3795">
        <v>1.29</v>
      </c>
      <c r="T3795" s="4">
        <v>43.414000000000001</v>
      </c>
      <c r="U3795" s="4">
        <v>12.237757999999999</v>
      </c>
      <c r="V3795" t="str">
        <f>IF(Table1[[#This Row],[ai_disruption_intensity]]&gt;70,"High",
IF(Table1[[#This Row],[ai_disruption_intensity]]&gt;40,"Medium","Low"))</f>
        <v>Low</v>
      </c>
      <c r="W3795" t="str">
        <f>IF(Table1[[#This Row],[skill_gap_index]]&gt;70,"Large Gap",
IF(Table1[[#This Row],[skill_gap_index]]&gt;40,"Medium Gap","Small Gap"))</f>
        <v>Large Gap</v>
      </c>
      <c r="X3795" s="3" t="str">
        <f>IF(Table1[[#This Row],[automation_risk_percent]]&gt;0.7,"Highly Automatable",
IF(Table1[[#This Row],[automation_risk_percent]]&gt;0.4,"Moderate Risk","Safe Job"))</f>
        <v>Safe Job</v>
      </c>
    </row>
    <row r="3796" spans="1:24" x14ac:dyDescent="0.3">
      <c r="A3796">
        <v>13224</v>
      </c>
      <c r="B3796" t="s">
        <v>41</v>
      </c>
      <c r="C3796" t="s">
        <v>30</v>
      </c>
      <c r="D3796" t="s">
        <v>20</v>
      </c>
      <c r="E3796" s="1">
        <v>2025</v>
      </c>
      <c r="F3796" s="11">
        <v>0.54659999999999997</v>
      </c>
      <c r="G3796">
        <v>48.52</v>
      </c>
      <c r="H3796">
        <v>7.21</v>
      </c>
      <c r="I3796" s="2">
        <v>63016.08</v>
      </c>
      <c r="J3796" s="2">
        <v>56533.62</v>
      </c>
      <c r="K3796" s="2">
        <f>Table1[[#This Row],[Salary_after]]-Table1[[#This Row],[Salary_before]]</f>
        <v>-6482.4599999999991</v>
      </c>
      <c r="L3796" s="11">
        <v>-0.10289999999999999</v>
      </c>
      <c r="M3796" s="11">
        <v>-0.19719999999999999</v>
      </c>
      <c r="N3796">
        <v>45.34</v>
      </c>
      <c r="O3796">
        <v>55.09</v>
      </c>
      <c r="P3796">
        <v>2</v>
      </c>
      <c r="Q3796" t="s">
        <v>25</v>
      </c>
      <c r="R3796">
        <v>30.934999999999999</v>
      </c>
      <c r="S3796">
        <v>10.29</v>
      </c>
      <c r="T3796" s="4">
        <v>27.114000000000001</v>
      </c>
      <c r="U3796" s="4">
        <v>30.112193999999999</v>
      </c>
      <c r="V3796" t="str">
        <f>IF(Table1[[#This Row],[ai_disruption_intensity]]&gt;70,"High",
IF(Table1[[#This Row],[ai_disruption_intensity]]&gt;40,"Medium","Low"))</f>
        <v>Low</v>
      </c>
      <c r="W3796" t="str">
        <f>IF(Table1[[#This Row],[skill_gap_index]]&gt;70,"Large Gap",
IF(Table1[[#This Row],[skill_gap_index]]&gt;40,"Medium Gap","Small Gap"))</f>
        <v>Small Gap</v>
      </c>
      <c r="X3796" s="3" t="str">
        <f>IF(Table1[[#This Row],[automation_risk_percent]]&gt;0.7,"Highly Automatable",
IF(Table1[[#This Row],[automation_risk_percent]]&gt;0.4,"Moderate Risk","Safe Job"))</f>
        <v>Moderate Risk</v>
      </c>
    </row>
    <row r="3797" spans="1:24" x14ac:dyDescent="0.3">
      <c r="A3797">
        <v>13225</v>
      </c>
      <c r="B3797" t="s">
        <v>29</v>
      </c>
      <c r="C3797" t="s">
        <v>27</v>
      </c>
      <c r="D3797" t="s">
        <v>42</v>
      </c>
      <c r="E3797" s="1">
        <v>2025</v>
      </c>
      <c r="F3797" s="11">
        <v>0.58460000000000001</v>
      </c>
      <c r="G3797">
        <v>62.76</v>
      </c>
      <c r="H3797">
        <v>27.47</v>
      </c>
      <c r="I3797" s="2">
        <v>78359.16</v>
      </c>
      <c r="J3797" s="2">
        <v>65352.53</v>
      </c>
      <c r="K3797" s="2">
        <f>Table1[[#This Row],[Salary_after]]-Table1[[#This Row],[Salary_before]]</f>
        <v>-13006.630000000005</v>
      </c>
      <c r="L3797" s="11">
        <v>-0.16600000000000001</v>
      </c>
      <c r="M3797" s="11">
        <v>-3.9199999999999999E-2</v>
      </c>
      <c r="N3797">
        <v>81.84</v>
      </c>
      <c r="O3797">
        <v>54.03</v>
      </c>
      <c r="P3797">
        <v>1</v>
      </c>
      <c r="Q3797" t="s">
        <v>25</v>
      </c>
      <c r="R3797">
        <v>42.965000000000003</v>
      </c>
      <c r="S3797">
        <v>16.600000000000001</v>
      </c>
      <c r="T3797" s="4">
        <v>36.604999999999997</v>
      </c>
      <c r="U3797" s="4">
        <v>31.585937999999999</v>
      </c>
      <c r="V3797" t="str">
        <f>IF(Table1[[#This Row],[ai_disruption_intensity]]&gt;70,"High",
IF(Table1[[#This Row],[ai_disruption_intensity]]&gt;40,"Medium","Low"))</f>
        <v>Low</v>
      </c>
      <c r="W3797" t="str">
        <f>IF(Table1[[#This Row],[skill_gap_index]]&gt;70,"Large Gap",
IF(Table1[[#This Row],[skill_gap_index]]&gt;40,"Medium Gap","Small Gap"))</f>
        <v>Small Gap</v>
      </c>
      <c r="X3797" s="3" t="str">
        <f>IF(Table1[[#This Row],[automation_risk_percent]]&gt;0.7,"Highly Automatable",
IF(Table1[[#This Row],[automation_risk_percent]]&gt;0.4,"Moderate Risk","Safe Job"))</f>
        <v>Moderate Risk</v>
      </c>
    </row>
    <row r="3798" spans="1:24" x14ac:dyDescent="0.3">
      <c r="A3798">
        <v>13228</v>
      </c>
      <c r="B3798" t="s">
        <v>29</v>
      </c>
      <c r="C3798" t="s">
        <v>33</v>
      </c>
      <c r="D3798" t="s">
        <v>24</v>
      </c>
      <c r="E3798" s="1">
        <v>2026</v>
      </c>
      <c r="F3798" s="11">
        <v>0.30670000000000003</v>
      </c>
      <c r="G3798">
        <v>25.12</v>
      </c>
      <c r="H3798">
        <v>84.23</v>
      </c>
      <c r="I3798" s="2">
        <v>131169.79</v>
      </c>
      <c r="J3798" s="2">
        <v>120428.41</v>
      </c>
      <c r="K3798" s="2">
        <f>Table1[[#This Row],[Salary_after]]-Table1[[#This Row],[Salary_before]]</f>
        <v>-10741.380000000005</v>
      </c>
      <c r="L3798" s="11">
        <v>-8.1900000000000001E-2</v>
      </c>
      <c r="M3798" s="11">
        <v>-2.2599999999999999E-2</v>
      </c>
      <c r="N3798">
        <v>60.58</v>
      </c>
      <c r="O3798">
        <v>45.79</v>
      </c>
      <c r="P3798">
        <v>3</v>
      </c>
      <c r="Q3798" t="s">
        <v>25</v>
      </c>
      <c r="R3798">
        <v>57.45</v>
      </c>
      <c r="S3798">
        <v>8.19</v>
      </c>
      <c r="T3798" s="4">
        <v>39.994</v>
      </c>
      <c r="U3798" s="4">
        <v>14.043793000000001</v>
      </c>
      <c r="V3798" t="str">
        <f>IF(Table1[[#This Row],[ai_disruption_intensity]]&gt;70,"High",
IF(Table1[[#This Row],[ai_disruption_intensity]]&gt;40,"Medium","Low"))</f>
        <v>Low</v>
      </c>
      <c r="W3798" t="str">
        <f>IF(Table1[[#This Row],[skill_gap_index]]&gt;70,"Large Gap",
IF(Table1[[#This Row],[skill_gap_index]]&gt;40,"Medium Gap","Small Gap"))</f>
        <v>Large Gap</v>
      </c>
      <c r="X3798" s="3" t="str">
        <f>IF(Table1[[#This Row],[automation_risk_percent]]&gt;0.7,"Highly Automatable",
IF(Table1[[#This Row],[automation_risk_percent]]&gt;0.4,"Moderate Risk","Safe Job"))</f>
        <v>Safe Job</v>
      </c>
    </row>
    <row r="3799" spans="1:24" x14ac:dyDescent="0.3">
      <c r="A3799">
        <v>13232</v>
      </c>
      <c r="B3799" t="s">
        <v>26</v>
      </c>
      <c r="C3799" t="s">
        <v>38</v>
      </c>
      <c r="D3799" t="s">
        <v>42</v>
      </c>
      <c r="E3799" s="1">
        <v>2026</v>
      </c>
      <c r="F3799" s="11">
        <v>0.47859999999999997</v>
      </c>
      <c r="G3799">
        <v>50.69</v>
      </c>
      <c r="H3799">
        <v>5.93</v>
      </c>
      <c r="I3799" s="2">
        <v>32708.28</v>
      </c>
      <c r="J3799" s="2">
        <v>35240.78</v>
      </c>
      <c r="K3799" s="2">
        <f>Table1[[#This Row],[Salary_after]]-Table1[[#This Row],[Salary_before]]</f>
        <v>2532.5</v>
      </c>
      <c r="L3799" s="11">
        <v>7.7399999999999997E-2</v>
      </c>
      <c r="M3799" s="11">
        <v>0.04</v>
      </c>
      <c r="N3799">
        <v>67.540000000000006</v>
      </c>
      <c r="O3799">
        <v>85.69</v>
      </c>
      <c r="P3799">
        <v>1</v>
      </c>
      <c r="Q3799" t="s">
        <v>25</v>
      </c>
      <c r="R3799">
        <v>26.895</v>
      </c>
      <c r="S3799">
        <v>7.74</v>
      </c>
      <c r="T3799" s="4">
        <v>23.245000000000001</v>
      </c>
      <c r="U3799" s="4">
        <v>41.011233999999902</v>
      </c>
      <c r="V3799" t="str">
        <f>IF(Table1[[#This Row],[ai_disruption_intensity]]&gt;70,"High",
IF(Table1[[#This Row],[ai_disruption_intensity]]&gt;40,"Medium","Low"))</f>
        <v>Medium</v>
      </c>
      <c r="W3799" t="str">
        <f>IF(Table1[[#This Row],[skill_gap_index]]&gt;70,"Large Gap",
IF(Table1[[#This Row],[skill_gap_index]]&gt;40,"Medium Gap","Small Gap"))</f>
        <v>Small Gap</v>
      </c>
      <c r="X3799" s="3" t="str">
        <f>IF(Table1[[#This Row],[automation_risk_percent]]&gt;0.7,"Highly Automatable",
IF(Table1[[#This Row],[automation_risk_percent]]&gt;0.4,"Moderate Risk","Safe Job"))</f>
        <v>Moderate Risk</v>
      </c>
    </row>
    <row r="3800" spans="1:24" x14ac:dyDescent="0.3">
      <c r="A3800">
        <v>13233</v>
      </c>
      <c r="B3800" t="s">
        <v>26</v>
      </c>
      <c r="C3800" t="s">
        <v>40</v>
      </c>
      <c r="D3800" t="s">
        <v>28</v>
      </c>
      <c r="E3800" s="1">
        <v>2026</v>
      </c>
      <c r="F3800" s="11">
        <v>0.05</v>
      </c>
      <c r="G3800">
        <v>4.76</v>
      </c>
      <c r="H3800">
        <v>5.89</v>
      </c>
      <c r="I3800" s="2">
        <v>70920.27</v>
      </c>
      <c r="J3800" s="2">
        <v>73865.279999999999</v>
      </c>
      <c r="K3800" s="2">
        <f>Table1[[#This Row],[Salary_after]]-Table1[[#This Row],[Salary_before]]</f>
        <v>2945.0099999999948</v>
      </c>
      <c r="L3800" s="11">
        <v>4.1500000000000002E-2</v>
      </c>
      <c r="M3800" s="11">
        <v>2.87E-2</v>
      </c>
      <c r="N3800">
        <v>83.64</v>
      </c>
      <c r="O3800">
        <v>80.64</v>
      </c>
      <c r="P3800">
        <v>2</v>
      </c>
      <c r="Q3800" t="s">
        <v>21</v>
      </c>
      <c r="R3800">
        <v>5.4450000000000003</v>
      </c>
      <c r="S3800">
        <v>4.1500000000000004</v>
      </c>
      <c r="T3800" s="4">
        <v>5.0119999999999996</v>
      </c>
      <c r="U3800" s="4">
        <v>4.032</v>
      </c>
      <c r="V3800" t="str">
        <f>IF(Table1[[#This Row],[ai_disruption_intensity]]&gt;70,"High",
IF(Table1[[#This Row],[ai_disruption_intensity]]&gt;40,"Medium","Low"))</f>
        <v>Low</v>
      </c>
      <c r="W3800" t="str">
        <f>IF(Table1[[#This Row],[skill_gap_index]]&gt;70,"Large Gap",
IF(Table1[[#This Row],[skill_gap_index]]&gt;40,"Medium Gap","Small Gap"))</f>
        <v>Small Gap</v>
      </c>
      <c r="X3800" s="3" t="str">
        <f>IF(Table1[[#This Row],[automation_risk_percent]]&gt;0.7,"Highly Automatable",
IF(Table1[[#This Row],[automation_risk_percent]]&gt;0.4,"Moderate Risk","Safe Job"))</f>
        <v>Safe Job</v>
      </c>
    </row>
    <row r="3801" spans="1:24" x14ac:dyDescent="0.3">
      <c r="A3801">
        <v>13238</v>
      </c>
      <c r="B3801" t="s">
        <v>26</v>
      </c>
      <c r="C3801" t="s">
        <v>34</v>
      </c>
      <c r="D3801" t="s">
        <v>47</v>
      </c>
      <c r="E3801" s="1">
        <v>2025</v>
      </c>
      <c r="F3801" s="11">
        <v>0.23760000000000001</v>
      </c>
      <c r="G3801">
        <v>27.56</v>
      </c>
      <c r="H3801">
        <v>60.61</v>
      </c>
      <c r="I3801" s="2">
        <v>38103.19</v>
      </c>
      <c r="J3801" s="2">
        <v>33912.160000000003</v>
      </c>
      <c r="K3801" s="2">
        <f>Table1[[#This Row],[Salary_after]]-Table1[[#This Row],[Salary_before]]</f>
        <v>-4191.0299999999988</v>
      </c>
      <c r="L3801" s="11">
        <v>-0.11</v>
      </c>
      <c r="M3801" s="11">
        <v>0.11460000000000001</v>
      </c>
      <c r="N3801">
        <v>22.72</v>
      </c>
      <c r="O3801">
        <v>98.6</v>
      </c>
      <c r="P3801">
        <v>1</v>
      </c>
      <c r="Q3801" t="s">
        <v>21</v>
      </c>
      <c r="R3801">
        <v>42.185000000000002</v>
      </c>
      <c r="S3801">
        <v>11</v>
      </c>
      <c r="T3801" s="4">
        <v>30.986999999999998</v>
      </c>
      <c r="U3801" s="4">
        <v>23.42736</v>
      </c>
      <c r="V3801" t="str">
        <f>IF(Table1[[#This Row],[ai_disruption_intensity]]&gt;70,"High",
IF(Table1[[#This Row],[ai_disruption_intensity]]&gt;40,"Medium","Low"))</f>
        <v>Low</v>
      </c>
      <c r="W3801" t="str">
        <f>IF(Table1[[#This Row],[skill_gap_index]]&gt;70,"Large Gap",
IF(Table1[[#This Row],[skill_gap_index]]&gt;40,"Medium Gap","Small Gap"))</f>
        <v>Medium Gap</v>
      </c>
      <c r="X3801" s="3" t="str">
        <f>IF(Table1[[#This Row],[automation_risk_percent]]&gt;0.7,"Highly Automatable",
IF(Table1[[#This Row],[automation_risk_percent]]&gt;0.4,"Moderate Risk","Safe Job"))</f>
        <v>Safe Job</v>
      </c>
    </row>
    <row r="3802" spans="1:24" x14ac:dyDescent="0.3">
      <c r="A3802">
        <v>13240</v>
      </c>
      <c r="B3802" t="s">
        <v>22</v>
      </c>
      <c r="C3802" t="s">
        <v>40</v>
      </c>
      <c r="D3802" t="s">
        <v>31</v>
      </c>
      <c r="E3802" s="1">
        <v>2025</v>
      </c>
      <c r="F3802" s="11">
        <v>0.25730000000000003</v>
      </c>
      <c r="G3802">
        <v>29.98</v>
      </c>
      <c r="H3802">
        <v>75.88</v>
      </c>
      <c r="I3802" s="2">
        <v>106942.84</v>
      </c>
      <c r="J3802" s="2">
        <v>121491.31</v>
      </c>
      <c r="K3802" s="2">
        <f>Table1[[#This Row],[Salary_after]]-Table1[[#This Row],[Salary_before]]</f>
        <v>14548.470000000001</v>
      </c>
      <c r="L3802" s="11">
        <v>0.13600000000000001</v>
      </c>
      <c r="M3802" s="11">
        <v>2.4399999999999998E-2</v>
      </c>
      <c r="N3802">
        <v>24.49</v>
      </c>
      <c r="O3802">
        <v>13.93</v>
      </c>
      <c r="P3802">
        <v>5</v>
      </c>
      <c r="Q3802" t="s">
        <v>21</v>
      </c>
      <c r="R3802">
        <v>50.805</v>
      </c>
      <c r="S3802">
        <v>13.6</v>
      </c>
      <c r="T3802" s="4">
        <v>37.135999999999903</v>
      </c>
      <c r="U3802" s="4">
        <v>3.5841889999999998</v>
      </c>
      <c r="V3802" t="str">
        <f>IF(Table1[[#This Row],[ai_disruption_intensity]]&gt;70,"High",
IF(Table1[[#This Row],[ai_disruption_intensity]]&gt;40,"Medium","Low"))</f>
        <v>Low</v>
      </c>
      <c r="W3802" t="str">
        <f>IF(Table1[[#This Row],[skill_gap_index]]&gt;70,"Large Gap",
IF(Table1[[#This Row],[skill_gap_index]]&gt;40,"Medium Gap","Small Gap"))</f>
        <v>Large Gap</v>
      </c>
      <c r="X3802" s="3" t="str">
        <f>IF(Table1[[#This Row],[automation_risk_percent]]&gt;0.7,"Highly Automatable",
IF(Table1[[#This Row],[automation_risk_percent]]&gt;0.4,"Moderate Risk","Safe Job"))</f>
        <v>Safe Job</v>
      </c>
    </row>
    <row r="3803" spans="1:24" x14ac:dyDescent="0.3">
      <c r="A3803">
        <v>13244</v>
      </c>
      <c r="B3803" t="s">
        <v>41</v>
      </c>
      <c r="C3803" t="s">
        <v>27</v>
      </c>
      <c r="D3803" t="s">
        <v>20</v>
      </c>
      <c r="E3803" s="1">
        <v>2026</v>
      </c>
      <c r="F3803" s="11">
        <v>0.58789999999999998</v>
      </c>
      <c r="G3803">
        <v>53.53</v>
      </c>
      <c r="H3803">
        <v>80.599999999999994</v>
      </c>
      <c r="I3803" s="2">
        <v>72193.97</v>
      </c>
      <c r="J3803" s="2">
        <v>69503.17</v>
      </c>
      <c r="K3803" s="2">
        <f>Table1[[#This Row],[Salary_after]]-Table1[[#This Row],[Salary_before]]</f>
        <v>-2690.8000000000029</v>
      </c>
      <c r="L3803" s="11">
        <v>-3.73E-2</v>
      </c>
      <c r="M3803" s="11">
        <v>-8.0600000000000005E-2</v>
      </c>
      <c r="N3803">
        <v>73.53</v>
      </c>
      <c r="O3803">
        <v>32.369999999999997</v>
      </c>
      <c r="P3803">
        <v>4</v>
      </c>
      <c r="Q3803" t="s">
        <v>25</v>
      </c>
      <c r="R3803">
        <v>69.694999999999993</v>
      </c>
      <c r="S3803">
        <v>3.73</v>
      </c>
      <c r="T3803" s="4">
        <v>48.814999999999998</v>
      </c>
      <c r="U3803" s="4">
        <v>19.030322999999999</v>
      </c>
      <c r="V3803" t="str">
        <f>IF(Table1[[#This Row],[ai_disruption_intensity]]&gt;70,"High",
IF(Table1[[#This Row],[ai_disruption_intensity]]&gt;40,"Medium","Low"))</f>
        <v>Low</v>
      </c>
      <c r="W3803" t="str">
        <f>IF(Table1[[#This Row],[skill_gap_index]]&gt;70,"Large Gap",
IF(Table1[[#This Row],[skill_gap_index]]&gt;40,"Medium Gap","Small Gap"))</f>
        <v>Large Gap</v>
      </c>
      <c r="X3803" s="3" t="str">
        <f>IF(Table1[[#This Row],[automation_risk_percent]]&gt;0.7,"Highly Automatable",
IF(Table1[[#This Row],[automation_risk_percent]]&gt;0.4,"Moderate Risk","Safe Job"))</f>
        <v>Moderate Risk</v>
      </c>
    </row>
    <row r="3804" spans="1:24" x14ac:dyDescent="0.3">
      <c r="A3804">
        <v>13245</v>
      </c>
      <c r="B3804" t="s">
        <v>45</v>
      </c>
      <c r="C3804" t="s">
        <v>19</v>
      </c>
      <c r="D3804" t="s">
        <v>47</v>
      </c>
      <c r="E3804" s="1">
        <v>2025</v>
      </c>
      <c r="F3804" s="11">
        <v>0.32299999999999995</v>
      </c>
      <c r="G3804">
        <v>27.34</v>
      </c>
      <c r="H3804">
        <v>10.16</v>
      </c>
      <c r="I3804" s="2">
        <v>65154.57</v>
      </c>
      <c r="J3804" s="2">
        <v>67144.09</v>
      </c>
      <c r="K3804" s="2">
        <f>Table1[[#This Row],[Salary_after]]-Table1[[#This Row],[Salary_before]]</f>
        <v>1989.5199999999968</v>
      </c>
      <c r="L3804" s="11">
        <v>3.0499999999999999E-2</v>
      </c>
      <c r="M3804" s="11">
        <v>0.22719999999999999</v>
      </c>
      <c r="N3804">
        <v>84.24</v>
      </c>
      <c r="O3804">
        <v>71.83</v>
      </c>
      <c r="P3804">
        <v>5</v>
      </c>
      <c r="Q3804" t="s">
        <v>25</v>
      </c>
      <c r="R3804">
        <v>21.229999999999901</v>
      </c>
      <c r="S3804">
        <v>3.05</v>
      </c>
      <c r="T3804" s="4">
        <v>16.882999999999999</v>
      </c>
      <c r="U3804" s="4">
        <v>23.201090000000001</v>
      </c>
      <c r="V3804" t="str">
        <f>IF(Table1[[#This Row],[ai_disruption_intensity]]&gt;70,"High",
IF(Table1[[#This Row],[ai_disruption_intensity]]&gt;40,"Medium","Low"))</f>
        <v>Low</v>
      </c>
      <c r="W3804" t="str">
        <f>IF(Table1[[#This Row],[skill_gap_index]]&gt;70,"Large Gap",
IF(Table1[[#This Row],[skill_gap_index]]&gt;40,"Medium Gap","Small Gap"))</f>
        <v>Small Gap</v>
      </c>
      <c r="X3804" s="3" t="str">
        <f>IF(Table1[[#This Row],[automation_risk_percent]]&gt;0.7,"Highly Automatable",
IF(Table1[[#This Row],[automation_risk_percent]]&gt;0.4,"Moderate Risk","Safe Job"))</f>
        <v>Safe Job</v>
      </c>
    </row>
    <row r="3805" spans="1:24" x14ac:dyDescent="0.3">
      <c r="A3805">
        <v>13249</v>
      </c>
      <c r="B3805" t="s">
        <v>46</v>
      </c>
      <c r="C3805" t="s">
        <v>38</v>
      </c>
      <c r="D3805" t="s">
        <v>36</v>
      </c>
      <c r="E3805" s="1">
        <v>2026</v>
      </c>
      <c r="F3805" s="11">
        <v>0.41229999999999994</v>
      </c>
      <c r="G3805">
        <v>39.67</v>
      </c>
      <c r="H3805">
        <v>81.22</v>
      </c>
      <c r="I3805" s="2">
        <v>124537.11</v>
      </c>
      <c r="J3805" s="2">
        <v>131253.32</v>
      </c>
      <c r="K3805" s="2">
        <f>Table1[[#This Row],[Salary_after]]-Table1[[#This Row],[Salary_before]]</f>
        <v>6716.2100000000064</v>
      </c>
      <c r="L3805" s="11">
        <v>5.3899999999999997E-2</v>
      </c>
      <c r="M3805" s="11">
        <v>7.5800000000000006E-2</v>
      </c>
      <c r="N3805">
        <v>14.93</v>
      </c>
      <c r="O3805">
        <v>18.98</v>
      </c>
      <c r="P3805">
        <v>4</v>
      </c>
      <c r="Q3805" t="s">
        <v>25</v>
      </c>
      <c r="R3805">
        <v>61.224999999999902</v>
      </c>
      <c r="S3805">
        <v>5.39</v>
      </c>
      <c r="T3805" s="4">
        <v>42.475000000000001</v>
      </c>
      <c r="U3805" s="4">
        <v>7.8254539999999997</v>
      </c>
      <c r="V3805" t="str">
        <f>IF(Table1[[#This Row],[ai_disruption_intensity]]&gt;70,"High",
IF(Table1[[#This Row],[ai_disruption_intensity]]&gt;40,"Medium","Low"))</f>
        <v>Low</v>
      </c>
      <c r="W3805" t="str">
        <f>IF(Table1[[#This Row],[skill_gap_index]]&gt;70,"Large Gap",
IF(Table1[[#This Row],[skill_gap_index]]&gt;40,"Medium Gap","Small Gap"))</f>
        <v>Large Gap</v>
      </c>
      <c r="X3805" s="3" t="str">
        <f>IF(Table1[[#This Row],[automation_risk_percent]]&gt;0.7,"Highly Automatable",
IF(Table1[[#This Row],[automation_risk_percent]]&gt;0.4,"Moderate Risk","Safe Job"))</f>
        <v>Moderate Risk</v>
      </c>
    </row>
    <row r="3806" spans="1:24" x14ac:dyDescent="0.3">
      <c r="A3806">
        <v>13253</v>
      </c>
      <c r="B3806" t="s">
        <v>22</v>
      </c>
      <c r="C3806" t="s">
        <v>27</v>
      </c>
      <c r="D3806" t="s">
        <v>31</v>
      </c>
      <c r="E3806" s="1">
        <v>2025</v>
      </c>
      <c r="F3806" s="11">
        <v>0.39219999999999999</v>
      </c>
      <c r="G3806">
        <v>42.23</v>
      </c>
      <c r="H3806">
        <v>83.71</v>
      </c>
      <c r="I3806" s="2">
        <v>50260.53</v>
      </c>
      <c r="J3806" s="2">
        <v>64462.09</v>
      </c>
      <c r="K3806" s="2">
        <f>Table1[[#This Row],[Salary_after]]-Table1[[#This Row],[Salary_before]]</f>
        <v>14201.559999999998</v>
      </c>
      <c r="L3806" s="11">
        <v>0.28260000000000002</v>
      </c>
      <c r="M3806" s="11">
        <v>-4.2599999999999999E-2</v>
      </c>
      <c r="N3806">
        <v>61.31</v>
      </c>
      <c r="O3806">
        <v>14.9</v>
      </c>
      <c r="P3806">
        <v>1</v>
      </c>
      <c r="Q3806" t="s">
        <v>25</v>
      </c>
      <c r="R3806">
        <v>61.464999999999897</v>
      </c>
      <c r="S3806">
        <v>28.26</v>
      </c>
      <c r="T3806" s="4">
        <v>49.278999999999897</v>
      </c>
      <c r="U3806" s="4">
        <v>5.8437799999999998</v>
      </c>
      <c r="V3806" t="str">
        <f>IF(Table1[[#This Row],[ai_disruption_intensity]]&gt;70,"High",
IF(Table1[[#This Row],[ai_disruption_intensity]]&gt;40,"Medium","Low"))</f>
        <v>Low</v>
      </c>
      <c r="W3806" t="str">
        <f>IF(Table1[[#This Row],[skill_gap_index]]&gt;70,"Large Gap",
IF(Table1[[#This Row],[skill_gap_index]]&gt;40,"Medium Gap","Small Gap"))</f>
        <v>Large Gap</v>
      </c>
      <c r="X3806" s="3" t="str">
        <f>IF(Table1[[#This Row],[automation_risk_percent]]&gt;0.7,"Highly Automatable",
IF(Table1[[#This Row],[automation_risk_percent]]&gt;0.4,"Moderate Risk","Safe Job"))</f>
        <v>Safe Job</v>
      </c>
    </row>
    <row r="3807" spans="1:24" x14ac:dyDescent="0.3">
      <c r="A3807">
        <v>13255</v>
      </c>
      <c r="B3807" t="s">
        <v>22</v>
      </c>
      <c r="C3807" t="s">
        <v>19</v>
      </c>
      <c r="D3807" t="s">
        <v>24</v>
      </c>
      <c r="E3807" s="1">
        <v>2026</v>
      </c>
      <c r="F3807" s="11">
        <v>0.2445</v>
      </c>
      <c r="G3807">
        <v>28.18</v>
      </c>
      <c r="H3807">
        <v>15.42</v>
      </c>
      <c r="I3807" s="2">
        <v>49702.559999999998</v>
      </c>
      <c r="J3807" s="2">
        <v>52708.42</v>
      </c>
      <c r="K3807" s="2">
        <f>Table1[[#This Row],[Salary_after]]-Table1[[#This Row],[Salary_before]]</f>
        <v>3005.8600000000006</v>
      </c>
      <c r="L3807" s="11">
        <v>6.0499999999999998E-2</v>
      </c>
      <c r="M3807" s="11">
        <v>8.4900000000000003E-2</v>
      </c>
      <c r="N3807">
        <v>97.39</v>
      </c>
      <c r="O3807">
        <v>83.63</v>
      </c>
      <c r="P3807">
        <v>4</v>
      </c>
      <c r="Q3807" t="s">
        <v>21</v>
      </c>
      <c r="R3807">
        <v>19.934999999999999</v>
      </c>
      <c r="S3807">
        <v>6.05</v>
      </c>
      <c r="T3807" s="4">
        <v>16.221</v>
      </c>
      <c r="U3807" s="4">
        <v>20.447534999999998</v>
      </c>
      <c r="V3807" t="str">
        <f>IF(Table1[[#This Row],[ai_disruption_intensity]]&gt;70,"High",
IF(Table1[[#This Row],[ai_disruption_intensity]]&gt;40,"Medium","Low"))</f>
        <v>Low</v>
      </c>
      <c r="W3807" t="str">
        <f>IF(Table1[[#This Row],[skill_gap_index]]&gt;70,"Large Gap",
IF(Table1[[#This Row],[skill_gap_index]]&gt;40,"Medium Gap","Small Gap"))</f>
        <v>Small Gap</v>
      </c>
      <c r="X3807" s="3" t="str">
        <f>IF(Table1[[#This Row],[automation_risk_percent]]&gt;0.7,"Highly Automatable",
IF(Table1[[#This Row],[automation_risk_percent]]&gt;0.4,"Moderate Risk","Safe Job"))</f>
        <v>Safe Job</v>
      </c>
    </row>
    <row r="3808" spans="1:24" x14ac:dyDescent="0.3">
      <c r="A3808">
        <v>13262</v>
      </c>
      <c r="B3808" t="s">
        <v>41</v>
      </c>
      <c r="C3808" t="s">
        <v>40</v>
      </c>
      <c r="D3808" t="s">
        <v>35</v>
      </c>
      <c r="E3808" s="1">
        <v>2025</v>
      </c>
      <c r="F3808" s="11">
        <v>0.92870000000000008</v>
      </c>
      <c r="G3808">
        <v>108.22</v>
      </c>
      <c r="H3808">
        <v>65.25</v>
      </c>
      <c r="I3808" s="2">
        <v>93062.65</v>
      </c>
      <c r="J3808" s="2">
        <v>85414.03</v>
      </c>
      <c r="K3808" s="2">
        <f>Table1[[#This Row],[Salary_after]]-Table1[[#This Row],[Salary_before]]</f>
        <v>-7648.6199999999953</v>
      </c>
      <c r="L3808" s="11">
        <v>-8.2200000000000009E-2</v>
      </c>
      <c r="M3808" s="11">
        <v>2.9600000000000001E-2</v>
      </c>
      <c r="N3808">
        <v>93.59</v>
      </c>
      <c r="O3808">
        <v>19.510000000000002</v>
      </c>
      <c r="P3808">
        <v>4</v>
      </c>
      <c r="Q3808" t="s">
        <v>37</v>
      </c>
      <c r="R3808">
        <v>79.06</v>
      </c>
      <c r="S3808">
        <v>8.2200000000000006</v>
      </c>
      <c r="T3808" s="4">
        <v>59.189</v>
      </c>
      <c r="U3808" s="4">
        <v>18.118936999999999</v>
      </c>
      <c r="V3808" t="str">
        <f>IF(Table1[[#This Row],[ai_disruption_intensity]]&gt;70,"High",
IF(Table1[[#This Row],[ai_disruption_intensity]]&gt;40,"Medium","Low"))</f>
        <v>Low</v>
      </c>
      <c r="W3808" t="str">
        <f>IF(Table1[[#This Row],[skill_gap_index]]&gt;70,"Large Gap",
IF(Table1[[#This Row],[skill_gap_index]]&gt;40,"Medium Gap","Small Gap"))</f>
        <v>Medium Gap</v>
      </c>
      <c r="X3808" s="3" t="str">
        <f>IF(Table1[[#This Row],[automation_risk_percent]]&gt;0.7,"Highly Automatable",
IF(Table1[[#This Row],[automation_risk_percent]]&gt;0.4,"Moderate Risk","Safe Job"))</f>
        <v>Highly Automatable</v>
      </c>
    </row>
    <row r="3809" spans="1:24" x14ac:dyDescent="0.3">
      <c r="A3809">
        <v>13267</v>
      </c>
      <c r="B3809" t="s">
        <v>44</v>
      </c>
      <c r="C3809" t="s">
        <v>33</v>
      </c>
      <c r="D3809" t="s">
        <v>20</v>
      </c>
      <c r="E3809" s="1">
        <v>2025</v>
      </c>
      <c r="F3809" s="11">
        <v>0.20079999999999998</v>
      </c>
      <c r="G3809">
        <v>20.57</v>
      </c>
      <c r="H3809">
        <v>66.14</v>
      </c>
      <c r="I3809" s="2">
        <v>30309.71</v>
      </c>
      <c r="J3809" s="2">
        <v>27109.65</v>
      </c>
      <c r="K3809" s="2">
        <f>Table1[[#This Row],[Salary_after]]-Table1[[#This Row],[Salary_before]]</f>
        <v>-3200.0599999999977</v>
      </c>
      <c r="L3809" s="11">
        <v>-0.1056</v>
      </c>
      <c r="M3809" s="11">
        <v>6.5599999999999992E-2</v>
      </c>
      <c r="N3809">
        <v>22.83</v>
      </c>
      <c r="O3809">
        <v>37.69</v>
      </c>
      <c r="P3809">
        <v>3</v>
      </c>
      <c r="Q3809" t="s">
        <v>21</v>
      </c>
      <c r="R3809">
        <v>43.11</v>
      </c>
      <c r="S3809">
        <v>10.56</v>
      </c>
      <c r="T3809" s="4">
        <v>31.041999999999899</v>
      </c>
      <c r="U3809" s="4">
        <v>7.5681519999999898</v>
      </c>
      <c r="V3809" t="str">
        <f>IF(Table1[[#This Row],[ai_disruption_intensity]]&gt;70,"High",
IF(Table1[[#This Row],[ai_disruption_intensity]]&gt;40,"Medium","Low"))</f>
        <v>Low</v>
      </c>
      <c r="W3809" t="str">
        <f>IF(Table1[[#This Row],[skill_gap_index]]&gt;70,"Large Gap",
IF(Table1[[#This Row],[skill_gap_index]]&gt;40,"Medium Gap","Small Gap"))</f>
        <v>Medium Gap</v>
      </c>
      <c r="X3809" s="3" t="str">
        <f>IF(Table1[[#This Row],[automation_risk_percent]]&gt;0.7,"Highly Automatable",
IF(Table1[[#This Row],[automation_risk_percent]]&gt;0.4,"Moderate Risk","Safe Job"))</f>
        <v>Safe Job</v>
      </c>
    </row>
    <row r="3810" spans="1:24" x14ac:dyDescent="0.3">
      <c r="A3810">
        <v>13268</v>
      </c>
      <c r="B3810" t="s">
        <v>46</v>
      </c>
      <c r="C3810" t="s">
        <v>27</v>
      </c>
      <c r="D3810" t="s">
        <v>24</v>
      </c>
      <c r="E3810" s="1">
        <v>2025</v>
      </c>
      <c r="F3810" s="11">
        <v>6.5000000000000002E-2</v>
      </c>
      <c r="G3810">
        <v>6.69</v>
      </c>
      <c r="H3810">
        <v>73.72</v>
      </c>
      <c r="I3810" s="2">
        <v>69171.3</v>
      </c>
      <c r="J3810" s="2">
        <v>70279.33</v>
      </c>
      <c r="K3810" s="2">
        <f>Table1[[#This Row],[Salary_after]]-Table1[[#This Row],[Salary_before]]</f>
        <v>1108.0299999999988</v>
      </c>
      <c r="L3810" s="11">
        <v>1.6E-2</v>
      </c>
      <c r="M3810" s="11">
        <v>8.3100000000000007E-2</v>
      </c>
      <c r="N3810">
        <v>99.01</v>
      </c>
      <c r="O3810">
        <v>60.68</v>
      </c>
      <c r="P3810">
        <v>3</v>
      </c>
      <c r="Q3810" t="s">
        <v>21</v>
      </c>
      <c r="R3810">
        <v>40.11</v>
      </c>
      <c r="S3810">
        <v>1.6</v>
      </c>
      <c r="T3810" s="4">
        <v>25.196000000000002</v>
      </c>
      <c r="U3810" s="4">
        <v>3.9441999999999999</v>
      </c>
      <c r="V3810" t="str">
        <f>IF(Table1[[#This Row],[ai_disruption_intensity]]&gt;70,"High",
IF(Table1[[#This Row],[ai_disruption_intensity]]&gt;40,"Medium","Low"))</f>
        <v>Low</v>
      </c>
      <c r="W3810" t="str">
        <f>IF(Table1[[#This Row],[skill_gap_index]]&gt;70,"Large Gap",
IF(Table1[[#This Row],[skill_gap_index]]&gt;40,"Medium Gap","Small Gap"))</f>
        <v>Large Gap</v>
      </c>
      <c r="X3810" s="3" t="str">
        <f>IF(Table1[[#This Row],[automation_risk_percent]]&gt;0.7,"Highly Automatable",
IF(Table1[[#This Row],[automation_risk_percent]]&gt;0.4,"Moderate Risk","Safe Job"))</f>
        <v>Safe Job</v>
      </c>
    </row>
    <row r="3811" spans="1:24" x14ac:dyDescent="0.3">
      <c r="A3811">
        <v>13271</v>
      </c>
      <c r="B3811" t="s">
        <v>29</v>
      </c>
      <c r="C3811" t="s">
        <v>23</v>
      </c>
      <c r="D3811" t="s">
        <v>20</v>
      </c>
      <c r="E3811" s="1">
        <v>2026</v>
      </c>
      <c r="F3811" s="11">
        <v>0.55120000000000002</v>
      </c>
      <c r="G3811">
        <v>51.37</v>
      </c>
      <c r="H3811">
        <v>4.47</v>
      </c>
      <c r="I3811" s="2">
        <v>140704.07999999999</v>
      </c>
      <c r="J3811" s="2">
        <v>154812.4</v>
      </c>
      <c r="K3811" s="2">
        <f>Table1[[#This Row],[Salary_after]]-Table1[[#This Row],[Salary_before]]</f>
        <v>14108.320000000007</v>
      </c>
      <c r="L3811" s="11">
        <v>0.1003</v>
      </c>
      <c r="M3811" s="11">
        <v>-2.23E-2</v>
      </c>
      <c r="N3811">
        <v>54</v>
      </c>
      <c r="O3811">
        <v>51.13</v>
      </c>
      <c r="P3811">
        <v>1</v>
      </c>
      <c r="Q3811" t="s">
        <v>25</v>
      </c>
      <c r="R3811">
        <v>29.794999999999899</v>
      </c>
      <c r="S3811">
        <v>10.029999999999999</v>
      </c>
      <c r="T3811" s="4">
        <v>26.398</v>
      </c>
      <c r="U3811" s="4">
        <v>28.182856000000001</v>
      </c>
      <c r="V3811" t="str">
        <f>IF(Table1[[#This Row],[ai_disruption_intensity]]&gt;70,"High",
IF(Table1[[#This Row],[ai_disruption_intensity]]&gt;40,"Medium","Low"))</f>
        <v>Low</v>
      </c>
      <c r="W3811" t="str">
        <f>IF(Table1[[#This Row],[skill_gap_index]]&gt;70,"Large Gap",
IF(Table1[[#This Row],[skill_gap_index]]&gt;40,"Medium Gap","Small Gap"))</f>
        <v>Small Gap</v>
      </c>
      <c r="X3811" s="3" t="str">
        <f>IF(Table1[[#This Row],[automation_risk_percent]]&gt;0.7,"Highly Automatable",
IF(Table1[[#This Row],[automation_risk_percent]]&gt;0.4,"Moderate Risk","Safe Job"))</f>
        <v>Moderate Risk</v>
      </c>
    </row>
    <row r="3812" spans="1:24" x14ac:dyDescent="0.3">
      <c r="A3812">
        <v>13272</v>
      </c>
      <c r="B3812" t="s">
        <v>44</v>
      </c>
      <c r="C3812" t="s">
        <v>30</v>
      </c>
      <c r="D3812" t="s">
        <v>47</v>
      </c>
      <c r="E3812" s="1">
        <v>2025</v>
      </c>
      <c r="F3812" s="11">
        <v>0.53200000000000003</v>
      </c>
      <c r="G3812">
        <v>43.41</v>
      </c>
      <c r="H3812">
        <v>95.88</v>
      </c>
      <c r="I3812" s="2">
        <v>95940.67</v>
      </c>
      <c r="J3812" s="2">
        <v>93306.3</v>
      </c>
      <c r="K3812" s="2">
        <f>Table1[[#This Row],[Salary_after]]-Table1[[#This Row],[Salary_before]]</f>
        <v>-2634.3699999999953</v>
      </c>
      <c r="L3812" s="11">
        <v>-2.75E-2</v>
      </c>
      <c r="M3812" s="11">
        <v>0.17530000000000001</v>
      </c>
      <c r="N3812">
        <v>49.22</v>
      </c>
      <c r="O3812">
        <v>16.84</v>
      </c>
      <c r="P3812">
        <v>4</v>
      </c>
      <c r="Q3812" t="s">
        <v>25</v>
      </c>
      <c r="R3812">
        <v>74.539999999999907</v>
      </c>
      <c r="S3812">
        <v>2.75</v>
      </c>
      <c r="T3812" s="4">
        <v>50.869</v>
      </c>
      <c r="U3812" s="4">
        <v>8.9588800000000006</v>
      </c>
      <c r="V3812" t="str">
        <f>IF(Table1[[#This Row],[ai_disruption_intensity]]&gt;70,"High",
IF(Table1[[#This Row],[ai_disruption_intensity]]&gt;40,"Medium","Low"))</f>
        <v>Low</v>
      </c>
      <c r="W3812" t="str">
        <f>IF(Table1[[#This Row],[skill_gap_index]]&gt;70,"Large Gap",
IF(Table1[[#This Row],[skill_gap_index]]&gt;40,"Medium Gap","Small Gap"))</f>
        <v>Large Gap</v>
      </c>
      <c r="X3812" s="3" t="str">
        <f>IF(Table1[[#This Row],[automation_risk_percent]]&gt;0.7,"Highly Automatable",
IF(Table1[[#This Row],[automation_risk_percent]]&gt;0.4,"Moderate Risk","Safe Job"))</f>
        <v>Moderate Risk</v>
      </c>
    </row>
    <row r="3813" spans="1:24" x14ac:dyDescent="0.3">
      <c r="A3813">
        <v>13276</v>
      </c>
      <c r="B3813" t="s">
        <v>18</v>
      </c>
      <c r="C3813" t="s">
        <v>40</v>
      </c>
      <c r="D3813" t="s">
        <v>28</v>
      </c>
      <c r="E3813" s="1">
        <v>2025</v>
      </c>
      <c r="F3813" s="11">
        <v>0.7702</v>
      </c>
      <c r="G3813">
        <v>66.010000000000005</v>
      </c>
      <c r="H3813">
        <v>10.75</v>
      </c>
      <c r="I3813" s="2">
        <v>53748.68</v>
      </c>
      <c r="J3813" s="2">
        <v>53068.12</v>
      </c>
      <c r="K3813" s="2">
        <f>Table1[[#This Row],[Salary_after]]-Table1[[#This Row],[Salary_before]]</f>
        <v>-680.55999999999767</v>
      </c>
      <c r="L3813" s="11">
        <v>-1.2699999999999999E-2</v>
      </c>
      <c r="M3813" s="11">
        <v>7.5399999999999995E-2</v>
      </c>
      <c r="N3813">
        <v>64.63</v>
      </c>
      <c r="O3813">
        <v>28.86</v>
      </c>
      <c r="P3813">
        <v>3</v>
      </c>
      <c r="Q3813" t="s">
        <v>37</v>
      </c>
      <c r="R3813">
        <v>43.884999999999998</v>
      </c>
      <c r="S3813">
        <v>1.27</v>
      </c>
      <c r="T3813" s="4">
        <v>34.414000000000001</v>
      </c>
      <c r="U3813" s="4">
        <v>22.227972000000001</v>
      </c>
      <c r="V3813" t="str">
        <f>IF(Table1[[#This Row],[ai_disruption_intensity]]&gt;70,"High",
IF(Table1[[#This Row],[ai_disruption_intensity]]&gt;40,"Medium","Low"))</f>
        <v>Low</v>
      </c>
      <c r="W3813" t="str">
        <f>IF(Table1[[#This Row],[skill_gap_index]]&gt;70,"Large Gap",
IF(Table1[[#This Row],[skill_gap_index]]&gt;40,"Medium Gap","Small Gap"))</f>
        <v>Small Gap</v>
      </c>
      <c r="X3813" s="3" t="str">
        <f>IF(Table1[[#This Row],[automation_risk_percent]]&gt;0.7,"Highly Automatable",
IF(Table1[[#This Row],[automation_risk_percent]]&gt;0.4,"Moderate Risk","Safe Job"))</f>
        <v>Highly Automatable</v>
      </c>
    </row>
    <row r="3814" spans="1:24" x14ac:dyDescent="0.3">
      <c r="A3814">
        <v>13282</v>
      </c>
      <c r="B3814" t="s">
        <v>43</v>
      </c>
      <c r="C3814" t="s">
        <v>34</v>
      </c>
      <c r="D3814" t="s">
        <v>24</v>
      </c>
      <c r="E3814" s="1">
        <v>2026</v>
      </c>
      <c r="F3814" s="11">
        <v>0.13600000000000001</v>
      </c>
      <c r="G3814">
        <v>12.75</v>
      </c>
      <c r="H3814">
        <v>97.13</v>
      </c>
      <c r="I3814" s="2">
        <v>86706.25</v>
      </c>
      <c r="J3814" s="2">
        <v>87361.84</v>
      </c>
      <c r="K3814" s="2">
        <f>Table1[[#This Row],[Salary_after]]-Table1[[#This Row],[Salary_before]]</f>
        <v>655.58999999999651</v>
      </c>
      <c r="L3814" s="11">
        <v>7.6E-3</v>
      </c>
      <c r="M3814" s="11">
        <v>0.03</v>
      </c>
      <c r="N3814">
        <v>28.16</v>
      </c>
      <c r="O3814">
        <v>5.84</v>
      </c>
      <c r="P3814">
        <v>3</v>
      </c>
      <c r="Q3814" t="s">
        <v>21</v>
      </c>
      <c r="R3814">
        <v>55.364999999999903</v>
      </c>
      <c r="S3814">
        <v>0.76</v>
      </c>
      <c r="T3814" s="4">
        <v>34.806999999999903</v>
      </c>
      <c r="U3814" s="4">
        <v>0.79423999999999995</v>
      </c>
      <c r="V3814" t="str">
        <f>IF(Table1[[#This Row],[ai_disruption_intensity]]&gt;70,"High",
IF(Table1[[#This Row],[ai_disruption_intensity]]&gt;40,"Medium","Low"))</f>
        <v>Low</v>
      </c>
      <c r="W3814" t="str">
        <f>IF(Table1[[#This Row],[skill_gap_index]]&gt;70,"Large Gap",
IF(Table1[[#This Row],[skill_gap_index]]&gt;40,"Medium Gap","Small Gap"))</f>
        <v>Large Gap</v>
      </c>
      <c r="X3814" s="3" t="str">
        <f>IF(Table1[[#This Row],[automation_risk_percent]]&gt;0.7,"Highly Automatable",
IF(Table1[[#This Row],[automation_risk_percent]]&gt;0.4,"Moderate Risk","Safe Job"))</f>
        <v>Safe Job</v>
      </c>
    </row>
    <row r="3815" spans="1:24" x14ac:dyDescent="0.3">
      <c r="A3815">
        <v>13286</v>
      </c>
      <c r="B3815" t="s">
        <v>22</v>
      </c>
      <c r="C3815" t="s">
        <v>30</v>
      </c>
      <c r="D3815" t="s">
        <v>31</v>
      </c>
      <c r="E3815" s="1">
        <v>2025</v>
      </c>
      <c r="F3815" s="11">
        <v>0.22670000000000001</v>
      </c>
      <c r="G3815">
        <v>26.37</v>
      </c>
      <c r="H3815">
        <v>87.99</v>
      </c>
      <c r="I3815" s="2">
        <v>78913.34</v>
      </c>
      <c r="J3815" s="2">
        <v>78127.77</v>
      </c>
      <c r="K3815" s="2">
        <f>Table1[[#This Row],[Salary_after]]-Table1[[#This Row],[Salary_before]]</f>
        <v>-785.56999999999243</v>
      </c>
      <c r="L3815" s="11">
        <v>-0.01</v>
      </c>
      <c r="M3815" s="11">
        <v>0.40210000000000001</v>
      </c>
      <c r="N3815">
        <v>49.63</v>
      </c>
      <c r="O3815">
        <v>32.979999999999997</v>
      </c>
      <c r="P3815">
        <v>3</v>
      </c>
      <c r="Q3815" t="s">
        <v>21</v>
      </c>
      <c r="R3815">
        <v>55.33</v>
      </c>
      <c r="S3815">
        <v>1</v>
      </c>
      <c r="T3815" s="4">
        <v>35.765000000000001</v>
      </c>
      <c r="U3815" s="4">
        <v>7.476566</v>
      </c>
      <c r="V3815" t="str">
        <f>IF(Table1[[#This Row],[ai_disruption_intensity]]&gt;70,"High",
IF(Table1[[#This Row],[ai_disruption_intensity]]&gt;40,"Medium","Low"))</f>
        <v>Low</v>
      </c>
      <c r="W3815" t="str">
        <f>IF(Table1[[#This Row],[skill_gap_index]]&gt;70,"Large Gap",
IF(Table1[[#This Row],[skill_gap_index]]&gt;40,"Medium Gap","Small Gap"))</f>
        <v>Large Gap</v>
      </c>
      <c r="X3815" s="3" t="str">
        <f>IF(Table1[[#This Row],[automation_risk_percent]]&gt;0.7,"Highly Automatable",
IF(Table1[[#This Row],[automation_risk_percent]]&gt;0.4,"Moderate Risk","Safe Job"))</f>
        <v>Safe Job</v>
      </c>
    </row>
    <row r="3816" spans="1:24" x14ac:dyDescent="0.3">
      <c r="A3816">
        <v>13287</v>
      </c>
      <c r="B3816" t="s">
        <v>46</v>
      </c>
      <c r="C3816" t="s">
        <v>38</v>
      </c>
      <c r="D3816" t="s">
        <v>47</v>
      </c>
      <c r="E3816" s="1">
        <v>2025</v>
      </c>
      <c r="F3816" s="11">
        <v>0.69079999999999997</v>
      </c>
      <c r="G3816">
        <v>80.36</v>
      </c>
      <c r="H3816">
        <v>33.340000000000003</v>
      </c>
      <c r="I3816" s="2">
        <v>103707.66</v>
      </c>
      <c r="J3816" s="2">
        <v>105745.98</v>
      </c>
      <c r="K3816" s="2">
        <f>Table1[[#This Row],[Salary_after]]-Table1[[#This Row],[Salary_before]]</f>
        <v>2038.3199999999924</v>
      </c>
      <c r="L3816" s="11">
        <v>1.9699999999999999E-2</v>
      </c>
      <c r="M3816" s="11">
        <v>1.6799999999999999E-2</v>
      </c>
      <c r="N3816">
        <v>85.93</v>
      </c>
      <c r="O3816">
        <v>46.68</v>
      </c>
      <c r="P3816">
        <v>3</v>
      </c>
      <c r="Q3816" t="s">
        <v>37</v>
      </c>
      <c r="R3816">
        <v>51.21</v>
      </c>
      <c r="S3816">
        <v>1.97</v>
      </c>
      <c r="T3816" s="4">
        <v>38.225000000000001</v>
      </c>
      <c r="U3816" s="4">
        <v>32.246544</v>
      </c>
      <c r="V3816" t="str">
        <f>IF(Table1[[#This Row],[ai_disruption_intensity]]&gt;70,"High",
IF(Table1[[#This Row],[ai_disruption_intensity]]&gt;40,"Medium","Low"))</f>
        <v>Low</v>
      </c>
      <c r="W3816" t="str">
        <f>IF(Table1[[#This Row],[skill_gap_index]]&gt;70,"Large Gap",
IF(Table1[[#This Row],[skill_gap_index]]&gt;40,"Medium Gap","Small Gap"))</f>
        <v>Small Gap</v>
      </c>
      <c r="X3816" s="3" t="str">
        <f>IF(Table1[[#This Row],[automation_risk_percent]]&gt;0.7,"Highly Automatable",
IF(Table1[[#This Row],[automation_risk_percent]]&gt;0.4,"Moderate Risk","Safe Job"))</f>
        <v>Moderate Risk</v>
      </c>
    </row>
    <row r="3817" spans="1:24" x14ac:dyDescent="0.3">
      <c r="A3817">
        <v>13294</v>
      </c>
      <c r="B3817" t="s">
        <v>45</v>
      </c>
      <c r="C3817" t="s">
        <v>27</v>
      </c>
      <c r="D3817" t="s">
        <v>32</v>
      </c>
      <c r="E3817" s="1">
        <v>2025</v>
      </c>
      <c r="F3817" s="11">
        <v>0.74349999999999994</v>
      </c>
      <c r="G3817">
        <v>62.27</v>
      </c>
      <c r="H3817">
        <v>99.47</v>
      </c>
      <c r="I3817" s="2">
        <v>47219.67</v>
      </c>
      <c r="J3817" s="2">
        <v>45726.67</v>
      </c>
      <c r="K3817" s="2">
        <f>Table1[[#This Row],[Salary_after]]-Table1[[#This Row],[Salary_before]]</f>
        <v>-1493</v>
      </c>
      <c r="L3817" s="11">
        <v>-3.1600000000000003E-2</v>
      </c>
      <c r="M3817" s="11">
        <v>0.1444</v>
      </c>
      <c r="N3817">
        <v>95.96</v>
      </c>
      <c r="O3817">
        <v>0.1</v>
      </c>
      <c r="P3817">
        <v>2</v>
      </c>
      <c r="Q3817" t="s">
        <v>37</v>
      </c>
      <c r="R3817">
        <v>86.91</v>
      </c>
      <c r="S3817">
        <v>3.16</v>
      </c>
      <c r="T3817" s="4">
        <v>60.528999999999897</v>
      </c>
      <c r="U3817" s="4">
        <v>7.4349999999999999E-2</v>
      </c>
      <c r="V3817" t="str">
        <f>IF(Table1[[#This Row],[ai_disruption_intensity]]&gt;70,"High",
IF(Table1[[#This Row],[ai_disruption_intensity]]&gt;40,"Medium","Low"))</f>
        <v>Low</v>
      </c>
      <c r="W3817" t="str">
        <f>IF(Table1[[#This Row],[skill_gap_index]]&gt;70,"Large Gap",
IF(Table1[[#This Row],[skill_gap_index]]&gt;40,"Medium Gap","Small Gap"))</f>
        <v>Large Gap</v>
      </c>
      <c r="X3817" s="3" t="str">
        <f>IF(Table1[[#This Row],[automation_risk_percent]]&gt;0.7,"Highly Automatable",
IF(Table1[[#This Row],[automation_risk_percent]]&gt;0.4,"Moderate Risk","Safe Job"))</f>
        <v>Highly Automatable</v>
      </c>
    </row>
    <row r="3818" spans="1:24" x14ac:dyDescent="0.3">
      <c r="A3818">
        <v>13298</v>
      </c>
      <c r="B3818" t="s">
        <v>45</v>
      </c>
      <c r="C3818" t="s">
        <v>34</v>
      </c>
      <c r="D3818" t="s">
        <v>24</v>
      </c>
      <c r="E3818" s="1">
        <v>2026</v>
      </c>
      <c r="F3818" s="11">
        <v>0.19450000000000001</v>
      </c>
      <c r="G3818">
        <v>16.45</v>
      </c>
      <c r="H3818">
        <v>35.44</v>
      </c>
      <c r="I3818" s="2">
        <v>110773.73</v>
      </c>
      <c r="J3818" s="2">
        <v>127392.5</v>
      </c>
      <c r="K3818" s="2">
        <f>Table1[[#This Row],[Salary_after]]-Table1[[#This Row],[Salary_before]]</f>
        <v>16618.770000000004</v>
      </c>
      <c r="L3818" s="11">
        <v>0.15</v>
      </c>
      <c r="M3818" s="11">
        <v>0.16699999999999998</v>
      </c>
      <c r="N3818">
        <v>13.48</v>
      </c>
      <c r="O3818">
        <v>56.59</v>
      </c>
      <c r="P3818">
        <v>3</v>
      </c>
      <c r="Q3818" t="s">
        <v>21</v>
      </c>
      <c r="R3818">
        <v>27.445</v>
      </c>
      <c r="S3818">
        <v>15</v>
      </c>
      <c r="T3818" s="4">
        <v>22.911999999999999</v>
      </c>
      <c r="U3818" s="4">
        <v>11.006755</v>
      </c>
      <c r="V3818" t="str">
        <f>IF(Table1[[#This Row],[ai_disruption_intensity]]&gt;70,"High",
IF(Table1[[#This Row],[ai_disruption_intensity]]&gt;40,"Medium","Low"))</f>
        <v>Low</v>
      </c>
      <c r="W3818" t="str">
        <f>IF(Table1[[#This Row],[skill_gap_index]]&gt;70,"Large Gap",
IF(Table1[[#This Row],[skill_gap_index]]&gt;40,"Medium Gap","Small Gap"))</f>
        <v>Small Gap</v>
      </c>
      <c r="X3818" s="3" t="str">
        <f>IF(Table1[[#This Row],[automation_risk_percent]]&gt;0.7,"Highly Automatable",
IF(Table1[[#This Row],[automation_risk_percent]]&gt;0.4,"Moderate Risk","Safe Job"))</f>
        <v>Safe Job</v>
      </c>
    </row>
    <row r="3819" spans="1:24" x14ac:dyDescent="0.3">
      <c r="A3819">
        <v>13301</v>
      </c>
      <c r="B3819" t="s">
        <v>44</v>
      </c>
      <c r="C3819" t="s">
        <v>23</v>
      </c>
      <c r="D3819" t="s">
        <v>32</v>
      </c>
      <c r="E3819" s="1">
        <v>2026</v>
      </c>
      <c r="F3819" s="11">
        <v>0.25980000000000003</v>
      </c>
      <c r="G3819">
        <v>24.56</v>
      </c>
      <c r="H3819">
        <v>41.34</v>
      </c>
      <c r="I3819" s="2">
        <v>109647.61</v>
      </c>
      <c r="J3819" s="2">
        <v>105142.69</v>
      </c>
      <c r="K3819" s="2">
        <f>Table1[[#This Row],[Salary_after]]-Table1[[#This Row],[Salary_before]]</f>
        <v>-4504.9199999999983</v>
      </c>
      <c r="L3819" s="11">
        <v>-4.1100000000000005E-2</v>
      </c>
      <c r="M3819" s="11">
        <v>-6.9999999999999993E-3</v>
      </c>
      <c r="N3819">
        <v>35.549999999999997</v>
      </c>
      <c r="O3819">
        <v>51.84</v>
      </c>
      <c r="P3819">
        <v>5</v>
      </c>
      <c r="Q3819" t="s">
        <v>21</v>
      </c>
      <c r="R3819">
        <v>33.659999999999997</v>
      </c>
      <c r="S3819">
        <v>4.1100000000000003</v>
      </c>
      <c r="T3819" s="4">
        <v>24.027000000000001</v>
      </c>
      <c r="U3819" s="4">
        <v>13.468031999999999</v>
      </c>
      <c r="V3819" t="str">
        <f>IF(Table1[[#This Row],[ai_disruption_intensity]]&gt;70,"High",
IF(Table1[[#This Row],[ai_disruption_intensity]]&gt;40,"Medium","Low"))</f>
        <v>Low</v>
      </c>
      <c r="W3819" t="str">
        <f>IF(Table1[[#This Row],[skill_gap_index]]&gt;70,"Large Gap",
IF(Table1[[#This Row],[skill_gap_index]]&gt;40,"Medium Gap","Small Gap"))</f>
        <v>Medium Gap</v>
      </c>
      <c r="X3819" s="3" t="str">
        <f>IF(Table1[[#This Row],[automation_risk_percent]]&gt;0.7,"Highly Automatable",
IF(Table1[[#This Row],[automation_risk_percent]]&gt;0.4,"Moderate Risk","Safe Job"))</f>
        <v>Safe Job</v>
      </c>
    </row>
    <row r="3820" spans="1:24" x14ac:dyDescent="0.3">
      <c r="A3820">
        <v>13304</v>
      </c>
      <c r="B3820" t="s">
        <v>26</v>
      </c>
      <c r="C3820" t="s">
        <v>30</v>
      </c>
      <c r="D3820" t="s">
        <v>36</v>
      </c>
      <c r="E3820" s="1">
        <v>2025</v>
      </c>
      <c r="F3820" s="11">
        <v>0.37140000000000001</v>
      </c>
      <c r="G3820">
        <v>43.46</v>
      </c>
      <c r="H3820">
        <v>41.31</v>
      </c>
      <c r="I3820" s="2">
        <v>69333.8</v>
      </c>
      <c r="J3820" s="2">
        <v>68800.39</v>
      </c>
      <c r="K3820" s="2">
        <f>Table1[[#This Row],[Salary_after]]-Table1[[#This Row],[Salary_before]]</f>
        <v>-533.41000000000349</v>
      </c>
      <c r="L3820" s="11">
        <v>-7.7000000000000002E-3</v>
      </c>
      <c r="M3820" s="11">
        <v>9.7299999999999998E-2</v>
      </c>
      <c r="N3820">
        <v>72.900000000000006</v>
      </c>
      <c r="O3820">
        <v>91.99</v>
      </c>
      <c r="P3820">
        <v>5</v>
      </c>
      <c r="Q3820" t="s">
        <v>25</v>
      </c>
      <c r="R3820">
        <v>39.225000000000001</v>
      </c>
      <c r="S3820">
        <v>0.77</v>
      </c>
      <c r="T3820" s="4">
        <v>27.48</v>
      </c>
      <c r="U3820" s="4">
        <v>34.165085999999903</v>
      </c>
      <c r="V3820" t="str">
        <f>IF(Table1[[#This Row],[ai_disruption_intensity]]&gt;70,"High",
IF(Table1[[#This Row],[ai_disruption_intensity]]&gt;40,"Medium","Low"))</f>
        <v>Low</v>
      </c>
      <c r="W3820" t="str">
        <f>IF(Table1[[#This Row],[skill_gap_index]]&gt;70,"Large Gap",
IF(Table1[[#This Row],[skill_gap_index]]&gt;40,"Medium Gap","Small Gap"))</f>
        <v>Medium Gap</v>
      </c>
      <c r="X3820" s="3" t="str">
        <f>IF(Table1[[#This Row],[automation_risk_percent]]&gt;0.7,"Highly Automatable",
IF(Table1[[#This Row],[automation_risk_percent]]&gt;0.4,"Moderate Risk","Safe Job"))</f>
        <v>Safe Job</v>
      </c>
    </row>
    <row r="3821" spans="1:24" x14ac:dyDescent="0.3">
      <c r="A3821">
        <v>13305</v>
      </c>
      <c r="B3821" t="s">
        <v>43</v>
      </c>
      <c r="C3821" t="s">
        <v>40</v>
      </c>
      <c r="D3821" t="s">
        <v>35</v>
      </c>
      <c r="E3821" s="1">
        <v>2026</v>
      </c>
      <c r="F3821" s="11">
        <v>0.1075</v>
      </c>
      <c r="G3821">
        <v>11.05</v>
      </c>
      <c r="H3821">
        <v>71.34</v>
      </c>
      <c r="I3821" s="2">
        <v>80279.03</v>
      </c>
      <c r="J3821" s="2">
        <v>88567.85</v>
      </c>
      <c r="K3821" s="2">
        <f>Table1[[#This Row],[Salary_after]]-Table1[[#This Row],[Salary_before]]</f>
        <v>8288.820000000007</v>
      </c>
      <c r="L3821" s="11">
        <v>0.1033</v>
      </c>
      <c r="M3821" s="11">
        <v>0.10830000000000001</v>
      </c>
      <c r="N3821">
        <v>38.4</v>
      </c>
      <c r="O3821">
        <v>32.31</v>
      </c>
      <c r="P3821">
        <v>3</v>
      </c>
      <c r="Q3821" t="s">
        <v>21</v>
      </c>
      <c r="R3821">
        <v>41.045000000000002</v>
      </c>
      <c r="S3821">
        <v>10.33</v>
      </c>
      <c r="T3821" s="4">
        <v>28.800999999999998</v>
      </c>
      <c r="U3821" s="4">
        <v>3.473325</v>
      </c>
      <c r="V3821" t="str">
        <f>IF(Table1[[#This Row],[ai_disruption_intensity]]&gt;70,"High",
IF(Table1[[#This Row],[ai_disruption_intensity]]&gt;40,"Medium","Low"))</f>
        <v>Low</v>
      </c>
      <c r="W3821" t="str">
        <f>IF(Table1[[#This Row],[skill_gap_index]]&gt;70,"Large Gap",
IF(Table1[[#This Row],[skill_gap_index]]&gt;40,"Medium Gap","Small Gap"))</f>
        <v>Large Gap</v>
      </c>
      <c r="X3821" s="3" t="str">
        <f>IF(Table1[[#This Row],[automation_risk_percent]]&gt;0.7,"Highly Automatable",
IF(Table1[[#This Row],[automation_risk_percent]]&gt;0.4,"Moderate Risk","Safe Job"))</f>
        <v>Safe Job</v>
      </c>
    </row>
    <row r="3822" spans="1:24" x14ac:dyDescent="0.3">
      <c r="A3822">
        <v>13312</v>
      </c>
      <c r="B3822" t="s">
        <v>45</v>
      </c>
      <c r="C3822" t="s">
        <v>40</v>
      </c>
      <c r="D3822" t="s">
        <v>35</v>
      </c>
      <c r="E3822" s="1">
        <v>2026</v>
      </c>
      <c r="F3822" s="11">
        <v>0.58160000000000001</v>
      </c>
      <c r="G3822">
        <v>69.2</v>
      </c>
      <c r="H3822">
        <v>59.84</v>
      </c>
      <c r="I3822" s="2">
        <v>30786.880000000001</v>
      </c>
      <c r="J3822" s="2">
        <v>35007.93</v>
      </c>
      <c r="K3822" s="2">
        <f>Table1[[#This Row],[Salary_after]]-Table1[[#This Row],[Salary_before]]</f>
        <v>4221.0499999999993</v>
      </c>
      <c r="L3822" s="11">
        <v>0.1371</v>
      </c>
      <c r="M3822" s="11">
        <v>0.1118</v>
      </c>
      <c r="N3822">
        <v>92.63</v>
      </c>
      <c r="O3822">
        <v>39.229999999999997</v>
      </c>
      <c r="P3822">
        <v>1</v>
      </c>
      <c r="Q3822" t="s">
        <v>25</v>
      </c>
      <c r="R3822">
        <v>59</v>
      </c>
      <c r="S3822">
        <v>13.71</v>
      </c>
      <c r="T3822" s="4">
        <v>45.329000000000001</v>
      </c>
      <c r="U3822" s="4">
        <v>22.816167999999902</v>
      </c>
      <c r="V3822" t="str">
        <f>IF(Table1[[#This Row],[ai_disruption_intensity]]&gt;70,"High",
IF(Table1[[#This Row],[ai_disruption_intensity]]&gt;40,"Medium","Low"))</f>
        <v>Low</v>
      </c>
      <c r="W3822" t="str">
        <f>IF(Table1[[#This Row],[skill_gap_index]]&gt;70,"Large Gap",
IF(Table1[[#This Row],[skill_gap_index]]&gt;40,"Medium Gap","Small Gap"))</f>
        <v>Medium Gap</v>
      </c>
      <c r="X3822" s="3" t="str">
        <f>IF(Table1[[#This Row],[automation_risk_percent]]&gt;0.7,"Highly Automatable",
IF(Table1[[#This Row],[automation_risk_percent]]&gt;0.4,"Moderate Risk","Safe Job"))</f>
        <v>Moderate Risk</v>
      </c>
    </row>
    <row r="3823" spans="1:24" x14ac:dyDescent="0.3">
      <c r="A3823">
        <v>13314</v>
      </c>
      <c r="B3823" t="s">
        <v>18</v>
      </c>
      <c r="C3823" t="s">
        <v>19</v>
      </c>
      <c r="D3823" t="s">
        <v>28</v>
      </c>
      <c r="E3823" s="1">
        <v>2025</v>
      </c>
      <c r="F3823" s="11">
        <v>0.13519999999999999</v>
      </c>
      <c r="G3823">
        <v>16.03</v>
      </c>
      <c r="H3823">
        <v>47.16</v>
      </c>
      <c r="I3823" s="2">
        <v>122714.85</v>
      </c>
      <c r="J3823" s="2">
        <v>136935.24</v>
      </c>
      <c r="K3823" s="2">
        <f>Table1[[#This Row],[Salary_after]]-Table1[[#This Row],[Salary_before]]</f>
        <v>14220.389999999985</v>
      </c>
      <c r="L3823" s="11">
        <v>0.1159</v>
      </c>
      <c r="M3823" s="11">
        <v>5.5399999999999998E-2</v>
      </c>
      <c r="N3823">
        <v>66.959999999999994</v>
      </c>
      <c r="O3823">
        <v>32.07</v>
      </c>
      <c r="P3823">
        <v>3</v>
      </c>
      <c r="Q3823" t="s">
        <v>21</v>
      </c>
      <c r="R3823">
        <v>30.3399999999999</v>
      </c>
      <c r="S3823">
        <v>11.59</v>
      </c>
      <c r="T3823" s="4">
        <v>23.032999999999902</v>
      </c>
      <c r="U3823" s="4">
        <v>4.3358639999999999</v>
      </c>
      <c r="V3823" t="str">
        <f>IF(Table1[[#This Row],[ai_disruption_intensity]]&gt;70,"High",
IF(Table1[[#This Row],[ai_disruption_intensity]]&gt;40,"Medium","Low"))</f>
        <v>Low</v>
      </c>
      <c r="W3823" t="str">
        <f>IF(Table1[[#This Row],[skill_gap_index]]&gt;70,"Large Gap",
IF(Table1[[#This Row],[skill_gap_index]]&gt;40,"Medium Gap","Small Gap"))</f>
        <v>Medium Gap</v>
      </c>
      <c r="X3823" s="3" t="str">
        <f>IF(Table1[[#This Row],[automation_risk_percent]]&gt;0.7,"Highly Automatable",
IF(Table1[[#This Row],[automation_risk_percent]]&gt;0.4,"Moderate Risk","Safe Job"))</f>
        <v>Safe Job</v>
      </c>
    </row>
    <row r="3824" spans="1:24" x14ac:dyDescent="0.3">
      <c r="A3824">
        <v>13324</v>
      </c>
      <c r="B3824" t="s">
        <v>44</v>
      </c>
      <c r="C3824" t="s">
        <v>23</v>
      </c>
      <c r="D3824" t="s">
        <v>35</v>
      </c>
      <c r="E3824" s="1">
        <v>2025</v>
      </c>
      <c r="F3824" s="11">
        <v>0.31240000000000001</v>
      </c>
      <c r="G3824">
        <v>30.51</v>
      </c>
      <c r="H3824">
        <v>7.36</v>
      </c>
      <c r="I3824" s="2">
        <v>127959.67</v>
      </c>
      <c r="J3824" s="2">
        <v>127407.76</v>
      </c>
      <c r="K3824" s="2">
        <f>Table1[[#This Row],[Salary_after]]-Table1[[#This Row],[Salary_before]]</f>
        <v>-551.91000000000349</v>
      </c>
      <c r="L3824" s="11">
        <v>-4.3E-3</v>
      </c>
      <c r="M3824" s="11">
        <v>-3.4200000000000001E-2</v>
      </c>
      <c r="N3824">
        <v>16.25</v>
      </c>
      <c r="O3824">
        <v>65.48</v>
      </c>
      <c r="P3824">
        <v>5</v>
      </c>
      <c r="Q3824" t="s">
        <v>25</v>
      </c>
      <c r="R3824">
        <v>19.3</v>
      </c>
      <c r="S3824">
        <v>0.43</v>
      </c>
      <c r="T3824" s="4">
        <v>14.833</v>
      </c>
      <c r="U3824" s="4">
        <v>20.455952</v>
      </c>
      <c r="V3824" t="str">
        <f>IF(Table1[[#This Row],[ai_disruption_intensity]]&gt;70,"High",
IF(Table1[[#This Row],[ai_disruption_intensity]]&gt;40,"Medium","Low"))</f>
        <v>Low</v>
      </c>
      <c r="W3824" t="str">
        <f>IF(Table1[[#This Row],[skill_gap_index]]&gt;70,"Large Gap",
IF(Table1[[#This Row],[skill_gap_index]]&gt;40,"Medium Gap","Small Gap"))</f>
        <v>Small Gap</v>
      </c>
      <c r="X3824" s="3" t="str">
        <f>IF(Table1[[#This Row],[automation_risk_percent]]&gt;0.7,"Highly Automatable",
IF(Table1[[#This Row],[automation_risk_percent]]&gt;0.4,"Moderate Risk","Safe Job"))</f>
        <v>Safe Job</v>
      </c>
    </row>
    <row r="3825" spans="1:24" x14ac:dyDescent="0.3">
      <c r="A3825">
        <v>13328</v>
      </c>
      <c r="B3825" t="s">
        <v>22</v>
      </c>
      <c r="C3825" t="s">
        <v>27</v>
      </c>
      <c r="D3825" t="s">
        <v>47</v>
      </c>
      <c r="E3825" s="1">
        <v>2026</v>
      </c>
      <c r="F3825" s="11">
        <v>0.37810000000000005</v>
      </c>
      <c r="G3825">
        <v>43.92</v>
      </c>
      <c r="H3825">
        <v>77.489999999999995</v>
      </c>
      <c r="I3825" s="2">
        <v>119630.04</v>
      </c>
      <c r="J3825" s="2">
        <v>128156.02</v>
      </c>
      <c r="K3825" s="2">
        <f>Table1[[#This Row],[Salary_after]]-Table1[[#This Row],[Salary_before]]</f>
        <v>8525.9800000000105</v>
      </c>
      <c r="L3825" s="11">
        <v>7.1300000000000002E-2</v>
      </c>
      <c r="M3825" s="11">
        <v>0.14510000000000001</v>
      </c>
      <c r="N3825">
        <v>28.29</v>
      </c>
      <c r="O3825">
        <v>83.84</v>
      </c>
      <c r="P3825">
        <v>4</v>
      </c>
      <c r="Q3825" t="s">
        <v>25</v>
      </c>
      <c r="R3825">
        <v>57.65</v>
      </c>
      <c r="S3825">
        <v>7.13</v>
      </c>
      <c r="T3825" s="4">
        <v>40.51</v>
      </c>
      <c r="U3825" s="4">
        <v>31.699904</v>
      </c>
      <c r="V3825" t="str">
        <f>IF(Table1[[#This Row],[ai_disruption_intensity]]&gt;70,"High",
IF(Table1[[#This Row],[ai_disruption_intensity]]&gt;40,"Medium","Low"))</f>
        <v>Low</v>
      </c>
      <c r="W3825" t="str">
        <f>IF(Table1[[#This Row],[skill_gap_index]]&gt;70,"Large Gap",
IF(Table1[[#This Row],[skill_gap_index]]&gt;40,"Medium Gap","Small Gap"))</f>
        <v>Large Gap</v>
      </c>
      <c r="X3825" s="3" t="str">
        <f>IF(Table1[[#This Row],[automation_risk_percent]]&gt;0.7,"Highly Automatable",
IF(Table1[[#This Row],[automation_risk_percent]]&gt;0.4,"Moderate Risk","Safe Job"))</f>
        <v>Safe Job</v>
      </c>
    </row>
    <row r="3826" spans="1:24" x14ac:dyDescent="0.3">
      <c r="A3826">
        <v>13333</v>
      </c>
      <c r="B3826" t="s">
        <v>45</v>
      </c>
      <c r="C3826" t="s">
        <v>38</v>
      </c>
      <c r="D3826" t="s">
        <v>35</v>
      </c>
      <c r="E3826" s="1">
        <v>2026</v>
      </c>
      <c r="F3826" s="11">
        <v>0.73719999999999997</v>
      </c>
      <c r="G3826">
        <v>78.86</v>
      </c>
      <c r="H3826">
        <v>65.95</v>
      </c>
      <c r="I3826" s="2">
        <v>149046.72</v>
      </c>
      <c r="J3826" s="2">
        <v>131949.21</v>
      </c>
      <c r="K3826" s="2">
        <f>Table1[[#This Row],[Salary_after]]-Table1[[#This Row],[Salary_before]]</f>
        <v>-17097.510000000009</v>
      </c>
      <c r="L3826" s="11">
        <v>-0.11470000000000001</v>
      </c>
      <c r="M3826" s="11">
        <v>8.1699999999999995E-2</v>
      </c>
      <c r="N3826">
        <v>79.37</v>
      </c>
      <c r="O3826">
        <v>35.86</v>
      </c>
      <c r="P3826">
        <v>5</v>
      </c>
      <c r="Q3826" t="s">
        <v>37</v>
      </c>
      <c r="R3826">
        <v>69.834999999999994</v>
      </c>
      <c r="S3826">
        <v>11.47</v>
      </c>
      <c r="T3826" s="4">
        <v>52.713999999999999</v>
      </c>
      <c r="U3826" s="4">
        <v>26.435991999999999</v>
      </c>
      <c r="V3826" t="str">
        <f>IF(Table1[[#This Row],[ai_disruption_intensity]]&gt;70,"High",
IF(Table1[[#This Row],[ai_disruption_intensity]]&gt;40,"Medium","Low"))</f>
        <v>Low</v>
      </c>
      <c r="W3826" t="str">
        <f>IF(Table1[[#This Row],[skill_gap_index]]&gt;70,"Large Gap",
IF(Table1[[#This Row],[skill_gap_index]]&gt;40,"Medium Gap","Small Gap"))</f>
        <v>Medium Gap</v>
      </c>
      <c r="X3826" s="3" t="str">
        <f>IF(Table1[[#This Row],[automation_risk_percent]]&gt;0.7,"Highly Automatable",
IF(Table1[[#This Row],[automation_risk_percent]]&gt;0.4,"Moderate Risk","Safe Job"))</f>
        <v>Highly Automatable</v>
      </c>
    </row>
    <row r="3827" spans="1:24" x14ac:dyDescent="0.3">
      <c r="A3827">
        <v>13338</v>
      </c>
      <c r="B3827" t="s">
        <v>44</v>
      </c>
      <c r="C3827" t="s">
        <v>38</v>
      </c>
      <c r="D3827" t="s">
        <v>35</v>
      </c>
      <c r="E3827" s="1">
        <v>2025</v>
      </c>
      <c r="F3827" s="11">
        <v>0.45939999999999998</v>
      </c>
      <c r="G3827">
        <v>50.59</v>
      </c>
      <c r="H3827">
        <v>20.239999999999998</v>
      </c>
      <c r="I3827" s="2">
        <v>122602.77</v>
      </c>
      <c r="J3827" s="2">
        <v>114533.38</v>
      </c>
      <c r="K3827" s="2">
        <f>Table1[[#This Row],[Salary_after]]-Table1[[#This Row],[Salary_before]]</f>
        <v>-8069.3899999999994</v>
      </c>
      <c r="L3827" s="11">
        <v>-6.5799999999999997E-2</v>
      </c>
      <c r="M3827" s="11">
        <v>8.4700000000000011E-2</v>
      </c>
      <c r="N3827">
        <v>55.36</v>
      </c>
      <c r="O3827">
        <v>76.61</v>
      </c>
      <c r="P3827">
        <v>2</v>
      </c>
      <c r="Q3827" t="s">
        <v>25</v>
      </c>
      <c r="R3827">
        <v>33.089999999999897</v>
      </c>
      <c r="S3827">
        <v>6.58</v>
      </c>
      <c r="T3827" s="4">
        <v>26.422000000000001</v>
      </c>
      <c r="U3827" s="4">
        <v>35.194633999999901</v>
      </c>
      <c r="V3827" t="str">
        <f>IF(Table1[[#This Row],[ai_disruption_intensity]]&gt;70,"High",
IF(Table1[[#This Row],[ai_disruption_intensity]]&gt;40,"Medium","Low"))</f>
        <v>Low</v>
      </c>
      <c r="W3827" t="str">
        <f>IF(Table1[[#This Row],[skill_gap_index]]&gt;70,"Large Gap",
IF(Table1[[#This Row],[skill_gap_index]]&gt;40,"Medium Gap","Small Gap"))</f>
        <v>Small Gap</v>
      </c>
      <c r="X3827" s="3" t="str">
        <f>IF(Table1[[#This Row],[automation_risk_percent]]&gt;0.7,"Highly Automatable",
IF(Table1[[#This Row],[automation_risk_percent]]&gt;0.4,"Moderate Risk","Safe Job"))</f>
        <v>Moderate Risk</v>
      </c>
    </row>
    <row r="3828" spans="1:24" x14ac:dyDescent="0.3">
      <c r="A3828">
        <v>13340</v>
      </c>
      <c r="B3828" t="s">
        <v>45</v>
      </c>
      <c r="C3828" t="s">
        <v>40</v>
      </c>
      <c r="D3828" t="s">
        <v>20</v>
      </c>
      <c r="E3828" s="1">
        <v>2025</v>
      </c>
      <c r="F3828" s="11">
        <v>0.59250000000000003</v>
      </c>
      <c r="G3828">
        <v>48.65</v>
      </c>
      <c r="H3828">
        <v>92.77</v>
      </c>
      <c r="I3828" s="2">
        <v>43860.67</v>
      </c>
      <c r="J3828" s="2">
        <v>43466.34</v>
      </c>
      <c r="K3828" s="2">
        <f>Table1[[#This Row],[Salary_after]]-Table1[[#This Row],[Salary_before]]</f>
        <v>-394.33000000000175</v>
      </c>
      <c r="L3828" s="11">
        <v>-9.0000000000000011E-3</v>
      </c>
      <c r="M3828" s="11">
        <v>0.12909999999999999</v>
      </c>
      <c r="N3828">
        <v>53.71</v>
      </c>
      <c r="O3828">
        <v>54.01</v>
      </c>
      <c r="P3828">
        <v>3</v>
      </c>
      <c r="Q3828" t="s">
        <v>25</v>
      </c>
      <c r="R3828">
        <v>76.009999999999906</v>
      </c>
      <c r="S3828">
        <v>0.9</v>
      </c>
      <c r="T3828" s="4">
        <v>51.801000000000002</v>
      </c>
      <c r="U3828" s="4">
        <v>32.000924999999903</v>
      </c>
      <c r="V3828" t="str">
        <f>IF(Table1[[#This Row],[ai_disruption_intensity]]&gt;70,"High",
IF(Table1[[#This Row],[ai_disruption_intensity]]&gt;40,"Medium","Low"))</f>
        <v>Low</v>
      </c>
      <c r="W3828" t="str">
        <f>IF(Table1[[#This Row],[skill_gap_index]]&gt;70,"Large Gap",
IF(Table1[[#This Row],[skill_gap_index]]&gt;40,"Medium Gap","Small Gap"))</f>
        <v>Large Gap</v>
      </c>
      <c r="X3828" s="3" t="str">
        <f>IF(Table1[[#This Row],[automation_risk_percent]]&gt;0.7,"Highly Automatable",
IF(Table1[[#This Row],[automation_risk_percent]]&gt;0.4,"Moderate Risk","Safe Job"))</f>
        <v>Moderate Risk</v>
      </c>
    </row>
    <row r="3829" spans="1:24" x14ac:dyDescent="0.3">
      <c r="A3829">
        <v>13342</v>
      </c>
      <c r="B3829" t="s">
        <v>45</v>
      </c>
      <c r="C3829" t="s">
        <v>19</v>
      </c>
      <c r="D3829" t="s">
        <v>42</v>
      </c>
      <c r="E3829" s="1">
        <v>2025</v>
      </c>
      <c r="F3829" s="11">
        <v>0.74719999999999998</v>
      </c>
      <c r="G3829">
        <v>87.64</v>
      </c>
      <c r="H3829">
        <v>48.21</v>
      </c>
      <c r="I3829" s="2">
        <v>118314.58</v>
      </c>
      <c r="J3829" s="2">
        <v>126249.97</v>
      </c>
      <c r="K3829" s="2">
        <f>Table1[[#This Row],[Salary_after]]-Table1[[#This Row],[Salary_before]]</f>
        <v>7935.3899999999994</v>
      </c>
      <c r="L3829" s="11">
        <v>6.7099999999999993E-2</v>
      </c>
      <c r="M3829" s="11">
        <v>-7.4700000000000003E-2</v>
      </c>
      <c r="N3829">
        <v>17.66</v>
      </c>
      <c r="O3829">
        <v>86.26</v>
      </c>
      <c r="P3829">
        <v>3</v>
      </c>
      <c r="Q3829" t="s">
        <v>37</v>
      </c>
      <c r="R3829">
        <v>61.465000000000003</v>
      </c>
      <c r="S3829">
        <v>6.71</v>
      </c>
      <c r="T3829" s="4">
        <v>46.363999999999997</v>
      </c>
      <c r="U3829" s="4">
        <v>64.453472000000005</v>
      </c>
      <c r="V3829" t="str">
        <f>IF(Table1[[#This Row],[ai_disruption_intensity]]&gt;70,"High",
IF(Table1[[#This Row],[ai_disruption_intensity]]&gt;40,"Medium","Low"))</f>
        <v>Medium</v>
      </c>
      <c r="W3829" t="str">
        <f>IF(Table1[[#This Row],[skill_gap_index]]&gt;70,"Large Gap",
IF(Table1[[#This Row],[skill_gap_index]]&gt;40,"Medium Gap","Small Gap"))</f>
        <v>Medium Gap</v>
      </c>
      <c r="X3829" s="3" t="str">
        <f>IF(Table1[[#This Row],[automation_risk_percent]]&gt;0.7,"Highly Automatable",
IF(Table1[[#This Row],[automation_risk_percent]]&gt;0.4,"Moderate Risk","Safe Job"))</f>
        <v>Highly Automatable</v>
      </c>
    </row>
    <row r="3830" spans="1:24" x14ac:dyDescent="0.3">
      <c r="A3830">
        <v>13343</v>
      </c>
      <c r="B3830" t="s">
        <v>22</v>
      </c>
      <c r="C3830" t="s">
        <v>40</v>
      </c>
      <c r="D3830" t="s">
        <v>20</v>
      </c>
      <c r="E3830" s="1">
        <v>2025</v>
      </c>
      <c r="F3830" s="11">
        <v>0.60509999999999997</v>
      </c>
      <c r="G3830">
        <v>71.52</v>
      </c>
      <c r="H3830">
        <v>77.819999999999993</v>
      </c>
      <c r="I3830" s="2">
        <v>51961.7</v>
      </c>
      <c r="J3830" s="2">
        <v>64294.36</v>
      </c>
      <c r="K3830" s="2">
        <f>Table1[[#This Row],[Salary_after]]-Table1[[#This Row],[Salary_before]]</f>
        <v>12332.660000000003</v>
      </c>
      <c r="L3830" s="11">
        <v>0.23730000000000001</v>
      </c>
      <c r="M3830" s="11">
        <v>-0.13189999999999999</v>
      </c>
      <c r="N3830">
        <v>84.56</v>
      </c>
      <c r="O3830">
        <v>55.04</v>
      </c>
      <c r="P3830">
        <v>1</v>
      </c>
      <c r="Q3830" t="s">
        <v>37</v>
      </c>
      <c r="R3830">
        <v>69.164999999999907</v>
      </c>
      <c r="S3830">
        <v>23.73</v>
      </c>
      <c r="T3830" s="4">
        <v>54.668999999999997</v>
      </c>
      <c r="U3830" s="4">
        <v>33.304703999999901</v>
      </c>
      <c r="V3830" t="str">
        <f>IF(Table1[[#This Row],[ai_disruption_intensity]]&gt;70,"High",
IF(Table1[[#This Row],[ai_disruption_intensity]]&gt;40,"Medium","Low"))</f>
        <v>Low</v>
      </c>
      <c r="W3830" t="str">
        <f>IF(Table1[[#This Row],[skill_gap_index]]&gt;70,"Large Gap",
IF(Table1[[#This Row],[skill_gap_index]]&gt;40,"Medium Gap","Small Gap"))</f>
        <v>Large Gap</v>
      </c>
      <c r="X3830" s="3" t="str">
        <f>IF(Table1[[#This Row],[automation_risk_percent]]&gt;0.7,"Highly Automatable",
IF(Table1[[#This Row],[automation_risk_percent]]&gt;0.4,"Moderate Risk","Safe Job"))</f>
        <v>Moderate Risk</v>
      </c>
    </row>
    <row r="3831" spans="1:24" x14ac:dyDescent="0.3">
      <c r="A3831">
        <v>13346</v>
      </c>
      <c r="B3831" t="s">
        <v>45</v>
      </c>
      <c r="C3831" t="s">
        <v>23</v>
      </c>
      <c r="D3831" t="s">
        <v>36</v>
      </c>
      <c r="E3831" s="1">
        <v>2025</v>
      </c>
      <c r="F3831" s="11">
        <v>0.27110000000000001</v>
      </c>
      <c r="G3831">
        <v>26.39</v>
      </c>
      <c r="H3831">
        <v>3.9</v>
      </c>
      <c r="I3831" s="2">
        <v>37621.75</v>
      </c>
      <c r="J3831" s="2">
        <v>39921.89</v>
      </c>
      <c r="K3831" s="2">
        <f>Table1[[#This Row],[Salary_after]]-Table1[[#This Row],[Salary_before]]</f>
        <v>2300.1399999999994</v>
      </c>
      <c r="L3831" s="11">
        <v>6.1100000000000002E-2</v>
      </c>
      <c r="M3831" s="11">
        <v>-3.6400000000000002E-2</v>
      </c>
      <c r="N3831">
        <v>81.099999999999994</v>
      </c>
      <c r="O3831">
        <v>34.380000000000003</v>
      </c>
      <c r="P3831">
        <v>1</v>
      </c>
      <c r="Q3831" t="s">
        <v>21</v>
      </c>
      <c r="R3831">
        <v>15.5049999999999</v>
      </c>
      <c r="S3831">
        <v>6.11</v>
      </c>
      <c r="T3831" s="4">
        <v>13.847</v>
      </c>
      <c r="U3831" s="4">
        <v>9.3204180000000001</v>
      </c>
      <c r="V3831" t="str">
        <f>IF(Table1[[#This Row],[ai_disruption_intensity]]&gt;70,"High",
IF(Table1[[#This Row],[ai_disruption_intensity]]&gt;40,"Medium","Low"))</f>
        <v>Low</v>
      </c>
      <c r="W3831" t="str">
        <f>IF(Table1[[#This Row],[skill_gap_index]]&gt;70,"Large Gap",
IF(Table1[[#This Row],[skill_gap_index]]&gt;40,"Medium Gap","Small Gap"))</f>
        <v>Small Gap</v>
      </c>
      <c r="X3831" s="3" t="str">
        <f>IF(Table1[[#This Row],[automation_risk_percent]]&gt;0.7,"Highly Automatable",
IF(Table1[[#This Row],[automation_risk_percent]]&gt;0.4,"Moderate Risk","Safe Job"))</f>
        <v>Safe Job</v>
      </c>
    </row>
    <row r="3832" spans="1:24" x14ac:dyDescent="0.3">
      <c r="A3832">
        <v>13348</v>
      </c>
      <c r="B3832" t="s">
        <v>45</v>
      </c>
      <c r="C3832" t="s">
        <v>38</v>
      </c>
      <c r="D3832" t="s">
        <v>42</v>
      </c>
      <c r="E3832" s="1">
        <v>2026</v>
      </c>
      <c r="F3832" s="11">
        <v>0.3624</v>
      </c>
      <c r="G3832">
        <v>29.99</v>
      </c>
      <c r="H3832">
        <v>62.85</v>
      </c>
      <c r="I3832" s="2">
        <v>61920.79</v>
      </c>
      <c r="J3832" s="2">
        <v>79314.75</v>
      </c>
      <c r="K3832" s="2">
        <f>Table1[[#This Row],[Salary_after]]-Table1[[#This Row],[Salary_before]]</f>
        <v>17393.96</v>
      </c>
      <c r="L3832" s="11">
        <v>0.28089999999999998</v>
      </c>
      <c r="M3832" s="11">
        <v>0.10949999999999999</v>
      </c>
      <c r="N3832">
        <v>74.17</v>
      </c>
      <c r="O3832">
        <v>20.91</v>
      </c>
      <c r="P3832">
        <v>4</v>
      </c>
      <c r="Q3832" t="s">
        <v>25</v>
      </c>
      <c r="R3832">
        <v>49.545000000000002</v>
      </c>
      <c r="S3832">
        <v>28.09</v>
      </c>
      <c r="T3832" s="4">
        <v>41.777999999999999</v>
      </c>
      <c r="U3832" s="4">
        <v>7.5777840000000003</v>
      </c>
      <c r="V3832" t="str">
        <f>IF(Table1[[#This Row],[ai_disruption_intensity]]&gt;70,"High",
IF(Table1[[#This Row],[ai_disruption_intensity]]&gt;40,"Medium","Low"))</f>
        <v>Low</v>
      </c>
      <c r="W3832" t="str">
        <f>IF(Table1[[#This Row],[skill_gap_index]]&gt;70,"Large Gap",
IF(Table1[[#This Row],[skill_gap_index]]&gt;40,"Medium Gap","Small Gap"))</f>
        <v>Medium Gap</v>
      </c>
      <c r="X3832" s="3" t="str">
        <f>IF(Table1[[#This Row],[automation_risk_percent]]&gt;0.7,"Highly Automatable",
IF(Table1[[#This Row],[automation_risk_percent]]&gt;0.4,"Moderate Risk","Safe Job"))</f>
        <v>Safe Job</v>
      </c>
    </row>
    <row r="3833" spans="1:24" x14ac:dyDescent="0.3">
      <c r="A3833">
        <v>13349</v>
      </c>
      <c r="B3833" t="s">
        <v>45</v>
      </c>
      <c r="C3833" t="s">
        <v>23</v>
      </c>
      <c r="D3833" t="s">
        <v>24</v>
      </c>
      <c r="E3833" s="1">
        <v>2025</v>
      </c>
      <c r="F3833" s="11">
        <v>0.37579999999999997</v>
      </c>
      <c r="G3833">
        <v>34.380000000000003</v>
      </c>
      <c r="H3833">
        <v>83.45</v>
      </c>
      <c r="I3833" s="2">
        <v>73176.41</v>
      </c>
      <c r="J3833" s="2">
        <v>78285.66</v>
      </c>
      <c r="K3833" s="2">
        <f>Table1[[#This Row],[Salary_after]]-Table1[[#This Row],[Salary_before]]</f>
        <v>5109.25</v>
      </c>
      <c r="L3833" s="11">
        <v>6.9800000000000001E-2</v>
      </c>
      <c r="M3833" s="11">
        <v>-9.2799999999999994E-2</v>
      </c>
      <c r="N3833">
        <v>19.68</v>
      </c>
      <c r="O3833">
        <v>84.9</v>
      </c>
      <c r="P3833">
        <v>2</v>
      </c>
      <c r="Q3833" t="s">
        <v>25</v>
      </c>
      <c r="R3833">
        <v>60.515000000000001</v>
      </c>
      <c r="S3833">
        <v>6.98</v>
      </c>
      <c r="T3833" s="4">
        <v>42.161000000000001</v>
      </c>
      <c r="U3833" s="4">
        <v>31.905419999999999</v>
      </c>
      <c r="V3833" t="str">
        <f>IF(Table1[[#This Row],[ai_disruption_intensity]]&gt;70,"High",
IF(Table1[[#This Row],[ai_disruption_intensity]]&gt;40,"Medium","Low"))</f>
        <v>Low</v>
      </c>
      <c r="W3833" t="str">
        <f>IF(Table1[[#This Row],[skill_gap_index]]&gt;70,"Large Gap",
IF(Table1[[#This Row],[skill_gap_index]]&gt;40,"Medium Gap","Small Gap"))</f>
        <v>Large Gap</v>
      </c>
      <c r="X3833" s="3" t="str">
        <f>IF(Table1[[#This Row],[automation_risk_percent]]&gt;0.7,"Highly Automatable",
IF(Table1[[#This Row],[automation_risk_percent]]&gt;0.4,"Moderate Risk","Safe Job"))</f>
        <v>Safe Job</v>
      </c>
    </row>
    <row r="3834" spans="1:24" x14ac:dyDescent="0.3">
      <c r="A3834">
        <v>13350</v>
      </c>
      <c r="B3834" t="s">
        <v>22</v>
      </c>
      <c r="C3834" t="s">
        <v>40</v>
      </c>
      <c r="D3834" t="s">
        <v>47</v>
      </c>
      <c r="E3834" s="1">
        <v>2026</v>
      </c>
      <c r="F3834" s="11">
        <v>0.29530000000000001</v>
      </c>
      <c r="G3834">
        <v>33.36</v>
      </c>
      <c r="H3834">
        <v>99.14</v>
      </c>
      <c r="I3834" s="2">
        <v>32559.02</v>
      </c>
      <c r="J3834" s="2">
        <v>34539.089999999997</v>
      </c>
      <c r="K3834" s="2">
        <f>Table1[[#This Row],[Salary_after]]-Table1[[#This Row],[Salary_before]]</f>
        <v>1980.0699999999961</v>
      </c>
      <c r="L3834" s="11">
        <v>6.08E-2</v>
      </c>
      <c r="M3834" s="11">
        <v>-2.5899999999999999E-2</v>
      </c>
      <c r="N3834">
        <v>17.45</v>
      </c>
      <c r="O3834">
        <v>44.65</v>
      </c>
      <c r="P3834">
        <v>2</v>
      </c>
      <c r="Q3834" t="s">
        <v>21</v>
      </c>
      <c r="R3834">
        <v>64.334999999999994</v>
      </c>
      <c r="S3834">
        <v>6.08</v>
      </c>
      <c r="T3834" s="4">
        <v>43.378</v>
      </c>
      <c r="U3834" s="4">
        <v>13.185145</v>
      </c>
      <c r="V3834" t="str">
        <f>IF(Table1[[#This Row],[ai_disruption_intensity]]&gt;70,"High",
IF(Table1[[#This Row],[ai_disruption_intensity]]&gt;40,"Medium","Low"))</f>
        <v>Low</v>
      </c>
      <c r="W3834" t="str">
        <f>IF(Table1[[#This Row],[skill_gap_index]]&gt;70,"Large Gap",
IF(Table1[[#This Row],[skill_gap_index]]&gt;40,"Medium Gap","Small Gap"))</f>
        <v>Large Gap</v>
      </c>
      <c r="X3834" s="3" t="str">
        <f>IF(Table1[[#This Row],[automation_risk_percent]]&gt;0.7,"Highly Automatable",
IF(Table1[[#This Row],[automation_risk_percent]]&gt;0.4,"Moderate Risk","Safe Job"))</f>
        <v>Safe Job</v>
      </c>
    </row>
    <row r="3835" spans="1:24" x14ac:dyDescent="0.3">
      <c r="A3835">
        <v>13353</v>
      </c>
      <c r="B3835" t="s">
        <v>29</v>
      </c>
      <c r="C3835" t="s">
        <v>38</v>
      </c>
      <c r="D3835" t="s">
        <v>31</v>
      </c>
      <c r="E3835" s="1">
        <v>2025</v>
      </c>
      <c r="F3835" s="11">
        <v>0.69030000000000002</v>
      </c>
      <c r="G3835">
        <v>69.900000000000006</v>
      </c>
      <c r="H3835">
        <v>3.83</v>
      </c>
      <c r="I3835" s="2">
        <v>96002.71</v>
      </c>
      <c r="J3835" s="2">
        <v>105240.54</v>
      </c>
      <c r="K3835" s="2">
        <f>Table1[[#This Row],[Salary_after]]-Table1[[#This Row],[Salary_before]]</f>
        <v>9237.8299999999872</v>
      </c>
      <c r="L3835" s="11">
        <v>9.6199999999999994E-2</v>
      </c>
      <c r="M3835" s="11">
        <v>4.8799999999999996E-2</v>
      </c>
      <c r="N3835">
        <v>75.03</v>
      </c>
      <c r="O3835">
        <v>47.96</v>
      </c>
      <c r="P3835">
        <v>3</v>
      </c>
      <c r="Q3835" t="s">
        <v>37</v>
      </c>
      <c r="R3835">
        <v>36.43</v>
      </c>
      <c r="S3835">
        <v>9.6199999999999992</v>
      </c>
      <c r="T3835" s="4">
        <v>31.646999999999998</v>
      </c>
      <c r="U3835" s="4">
        <v>33.106788000000002</v>
      </c>
      <c r="V3835" t="str">
        <f>IF(Table1[[#This Row],[ai_disruption_intensity]]&gt;70,"High",
IF(Table1[[#This Row],[ai_disruption_intensity]]&gt;40,"Medium","Low"))</f>
        <v>Low</v>
      </c>
      <c r="W3835" t="str">
        <f>IF(Table1[[#This Row],[skill_gap_index]]&gt;70,"Large Gap",
IF(Table1[[#This Row],[skill_gap_index]]&gt;40,"Medium Gap","Small Gap"))</f>
        <v>Small Gap</v>
      </c>
      <c r="X3835" s="3" t="str">
        <f>IF(Table1[[#This Row],[automation_risk_percent]]&gt;0.7,"Highly Automatable",
IF(Table1[[#This Row],[automation_risk_percent]]&gt;0.4,"Moderate Risk","Safe Job"))</f>
        <v>Moderate Risk</v>
      </c>
    </row>
    <row r="3836" spans="1:24" x14ac:dyDescent="0.3">
      <c r="A3836">
        <v>13354</v>
      </c>
      <c r="B3836" t="s">
        <v>41</v>
      </c>
      <c r="C3836" t="s">
        <v>19</v>
      </c>
      <c r="D3836" t="s">
        <v>32</v>
      </c>
      <c r="E3836" s="1">
        <v>2026</v>
      </c>
      <c r="F3836" s="11">
        <v>0.40970000000000001</v>
      </c>
      <c r="G3836">
        <v>44.48</v>
      </c>
      <c r="H3836">
        <v>28.69</v>
      </c>
      <c r="I3836" s="2">
        <v>72350.98</v>
      </c>
      <c r="J3836" s="2">
        <v>64389.43</v>
      </c>
      <c r="K3836" s="2">
        <f>Table1[[#This Row],[Salary_after]]-Table1[[#This Row],[Salary_before]]</f>
        <v>-7961.5499999999956</v>
      </c>
      <c r="L3836" s="11">
        <v>-0.11</v>
      </c>
      <c r="M3836" s="11">
        <v>0.1628</v>
      </c>
      <c r="N3836">
        <v>36.72</v>
      </c>
      <c r="O3836">
        <v>44.22</v>
      </c>
      <c r="P3836">
        <v>2</v>
      </c>
      <c r="Q3836" t="s">
        <v>25</v>
      </c>
      <c r="R3836">
        <v>34.83</v>
      </c>
      <c r="S3836">
        <v>11</v>
      </c>
      <c r="T3836" s="4">
        <v>28.295000000000002</v>
      </c>
      <c r="U3836" s="4">
        <v>18.116934000000001</v>
      </c>
      <c r="V3836" t="str">
        <f>IF(Table1[[#This Row],[ai_disruption_intensity]]&gt;70,"High",
IF(Table1[[#This Row],[ai_disruption_intensity]]&gt;40,"Medium","Low"))</f>
        <v>Low</v>
      </c>
      <c r="W3836" t="str">
        <f>IF(Table1[[#This Row],[skill_gap_index]]&gt;70,"Large Gap",
IF(Table1[[#This Row],[skill_gap_index]]&gt;40,"Medium Gap","Small Gap"))</f>
        <v>Small Gap</v>
      </c>
      <c r="X3836" s="3" t="str">
        <f>IF(Table1[[#This Row],[automation_risk_percent]]&gt;0.7,"Highly Automatable",
IF(Table1[[#This Row],[automation_risk_percent]]&gt;0.4,"Moderate Risk","Safe Job"))</f>
        <v>Moderate Risk</v>
      </c>
    </row>
    <row r="3837" spans="1:24" x14ac:dyDescent="0.3">
      <c r="A3837">
        <v>13355</v>
      </c>
      <c r="B3837" t="s">
        <v>43</v>
      </c>
      <c r="C3837" t="s">
        <v>34</v>
      </c>
      <c r="D3837" t="s">
        <v>42</v>
      </c>
      <c r="E3837" s="1">
        <v>2025</v>
      </c>
      <c r="F3837" s="11">
        <v>0.56440000000000001</v>
      </c>
      <c r="G3837">
        <v>66.42</v>
      </c>
      <c r="H3837">
        <v>14.87</v>
      </c>
      <c r="I3837" s="2">
        <v>60309.06</v>
      </c>
      <c r="J3837" s="2">
        <v>60415.7</v>
      </c>
      <c r="K3837" s="2">
        <f>Table1[[#This Row],[Salary_after]]-Table1[[#This Row],[Salary_before]]</f>
        <v>106.63999999999942</v>
      </c>
      <c r="L3837" s="11">
        <v>1.8E-3</v>
      </c>
      <c r="M3837" s="11">
        <v>5.7300000000000004E-2</v>
      </c>
      <c r="N3837">
        <v>10.87</v>
      </c>
      <c r="O3837">
        <v>89.46</v>
      </c>
      <c r="P3837">
        <v>5</v>
      </c>
      <c r="Q3837" t="s">
        <v>25</v>
      </c>
      <c r="R3837">
        <v>35.655000000000001</v>
      </c>
      <c r="S3837">
        <v>0.18</v>
      </c>
      <c r="T3837" s="4">
        <v>27.090999999999902</v>
      </c>
      <c r="U3837" s="4">
        <v>50.491223999999903</v>
      </c>
      <c r="V3837" t="str">
        <f>IF(Table1[[#This Row],[ai_disruption_intensity]]&gt;70,"High",
IF(Table1[[#This Row],[ai_disruption_intensity]]&gt;40,"Medium","Low"))</f>
        <v>Medium</v>
      </c>
      <c r="W3837" t="str">
        <f>IF(Table1[[#This Row],[skill_gap_index]]&gt;70,"Large Gap",
IF(Table1[[#This Row],[skill_gap_index]]&gt;40,"Medium Gap","Small Gap"))</f>
        <v>Small Gap</v>
      </c>
      <c r="X3837" s="3" t="str">
        <f>IF(Table1[[#This Row],[automation_risk_percent]]&gt;0.7,"Highly Automatable",
IF(Table1[[#This Row],[automation_risk_percent]]&gt;0.4,"Moderate Risk","Safe Job"))</f>
        <v>Moderate Risk</v>
      </c>
    </row>
    <row r="3838" spans="1:24" x14ac:dyDescent="0.3">
      <c r="A3838">
        <v>13359</v>
      </c>
      <c r="B3838" t="s">
        <v>44</v>
      </c>
      <c r="C3838" t="s">
        <v>33</v>
      </c>
      <c r="D3838" t="s">
        <v>35</v>
      </c>
      <c r="E3838" s="1">
        <v>2026</v>
      </c>
      <c r="F3838" s="11">
        <v>0.49439999999999995</v>
      </c>
      <c r="G3838">
        <v>57</v>
      </c>
      <c r="H3838">
        <v>2.93</v>
      </c>
      <c r="I3838" s="2">
        <v>124709.34</v>
      </c>
      <c r="J3838" s="2">
        <v>107013.39</v>
      </c>
      <c r="K3838" s="2">
        <f>Table1[[#This Row],[Salary_after]]-Table1[[#This Row],[Salary_before]]</f>
        <v>-17695.949999999997</v>
      </c>
      <c r="L3838" s="11">
        <v>-0.1419</v>
      </c>
      <c r="M3838" s="11">
        <v>-0.1018</v>
      </c>
      <c r="N3838">
        <v>63.12</v>
      </c>
      <c r="O3838">
        <v>59.36</v>
      </c>
      <c r="P3838">
        <v>4</v>
      </c>
      <c r="Q3838" t="s">
        <v>25</v>
      </c>
      <c r="R3838">
        <v>26.184999999999999</v>
      </c>
      <c r="S3838">
        <v>14.19</v>
      </c>
      <c r="T3838" s="4">
        <v>24.911999999999999</v>
      </c>
      <c r="U3838" s="4">
        <v>29.347583999999902</v>
      </c>
      <c r="V3838" t="str">
        <f>IF(Table1[[#This Row],[ai_disruption_intensity]]&gt;70,"High",
IF(Table1[[#This Row],[ai_disruption_intensity]]&gt;40,"Medium","Low"))</f>
        <v>Low</v>
      </c>
      <c r="W3838" t="str">
        <f>IF(Table1[[#This Row],[skill_gap_index]]&gt;70,"Large Gap",
IF(Table1[[#This Row],[skill_gap_index]]&gt;40,"Medium Gap","Small Gap"))</f>
        <v>Small Gap</v>
      </c>
      <c r="X3838" s="3" t="str">
        <f>IF(Table1[[#This Row],[automation_risk_percent]]&gt;0.7,"Highly Automatable",
IF(Table1[[#This Row],[automation_risk_percent]]&gt;0.4,"Moderate Risk","Safe Job"))</f>
        <v>Moderate Risk</v>
      </c>
    </row>
    <row r="3839" spans="1:24" x14ac:dyDescent="0.3">
      <c r="A3839">
        <v>13361</v>
      </c>
      <c r="B3839" t="s">
        <v>43</v>
      </c>
      <c r="C3839" t="s">
        <v>38</v>
      </c>
      <c r="D3839" t="s">
        <v>24</v>
      </c>
      <c r="E3839" s="1">
        <v>2025</v>
      </c>
      <c r="F3839" s="11">
        <v>0.4642</v>
      </c>
      <c r="G3839">
        <v>40.29</v>
      </c>
      <c r="H3839">
        <v>67.680000000000007</v>
      </c>
      <c r="I3839" s="2">
        <v>147192.39000000001</v>
      </c>
      <c r="J3839" s="2">
        <v>143055.66</v>
      </c>
      <c r="K3839" s="2">
        <f>Table1[[#This Row],[Salary_after]]-Table1[[#This Row],[Salary_before]]</f>
        <v>-4136.7300000000105</v>
      </c>
      <c r="L3839" s="11">
        <v>-2.81E-2</v>
      </c>
      <c r="M3839" s="11">
        <v>0.17879999999999999</v>
      </c>
      <c r="N3839">
        <v>51.33</v>
      </c>
      <c r="O3839">
        <v>95.44</v>
      </c>
      <c r="P3839">
        <v>4</v>
      </c>
      <c r="Q3839" t="s">
        <v>25</v>
      </c>
      <c r="R3839">
        <v>57.05</v>
      </c>
      <c r="S3839">
        <v>2.81</v>
      </c>
      <c r="T3839" s="4">
        <v>39.715000000000003</v>
      </c>
      <c r="U3839" s="4">
        <v>44.303248000000004</v>
      </c>
      <c r="V3839" t="str">
        <f>IF(Table1[[#This Row],[ai_disruption_intensity]]&gt;70,"High",
IF(Table1[[#This Row],[ai_disruption_intensity]]&gt;40,"Medium","Low"))</f>
        <v>Medium</v>
      </c>
      <c r="W3839" t="str">
        <f>IF(Table1[[#This Row],[skill_gap_index]]&gt;70,"Large Gap",
IF(Table1[[#This Row],[skill_gap_index]]&gt;40,"Medium Gap","Small Gap"))</f>
        <v>Medium Gap</v>
      </c>
      <c r="X3839" s="3" t="str">
        <f>IF(Table1[[#This Row],[automation_risk_percent]]&gt;0.7,"Highly Automatable",
IF(Table1[[#This Row],[automation_risk_percent]]&gt;0.4,"Moderate Risk","Safe Job"))</f>
        <v>Moderate Risk</v>
      </c>
    </row>
    <row r="3840" spans="1:24" x14ac:dyDescent="0.3">
      <c r="A3840">
        <v>13362</v>
      </c>
      <c r="B3840" t="s">
        <v>29</v>
      </c>
      <c r="C3840" t="s">
        <v>38</v>
      </c>
      <c r="D3840" t="s">
        <v>24</v>
      </c>
      <c r="E3840" s="1">
        <v>2025</v>
      </c>
      <c r="F3840" s="11">
        <v>0.2974</v>
      </c>
      <c r="G3840">
        <v>30.85</v>
      </c>
      <c r="H3840">
        <v>14.1</v>
      </c>
      <c r="I3840" s="2">
        <v>39046</v>
      </c>
      <c r="J3840" s="2">
        <v>35339.9</v>
      </c>
      <c r="K3840" s="2">
        <f>Table1[[#This Row],[Salary_after]]-Table1[[#This Row],[Salary_before]]</f>
        <v>-3706.0999999999985</v>
      </c>
      <c r="L3840" s="11">
        <v>-9.4899999999999998E-2</v>
      </c>
      <c r="M3840" s="11">
        <v>-2.5600000000000001E-2</v>
      </c>
      <c r="N3840">
        <v>14.1</v>
      </c>
      <c r="O3840">
        <v>85.3</v>
      </c>
      <c r="P3840">
        <v>5</v>
      </c>
      <c r="Q3840" t="s">
        <v>21</v>
      </c>
      <c r="R3840">
        <v>21.919999999999899</v>
      </c>
      <c r="S3840">
        <v>9.49</v>
      </c>
      <c r="T3840" s="4">
        <v>18.972999999999999</v>
      </c>
      <c r="U3840" s="4">
        <v>25.368219999999901</v>
      </c>
      <c r="V3840" t="str">
        <f>IF(Table1[[#This Row],[ai_disruption_intensity]]&gt;70,"High",
IF(Table1[[#This Row],[ai_disruption_intensity]]&gt;40,"Medium","Low"))</f>
        <v>Low</v>
      </c>
      <c r="W3840" t="str">
        <f>IF(Table1[[#This Row],[skill_gap_index]]&gt;70,"Large Gap",
IF(Table1[[#This Row],[skill_gap_index]]&gt;40,"Medium Gap","Small Gap"))</f>
        <v>Small Gap</v>
      </c>
      <c r="X3840" s="3" t="str">
        <f>IF(Table1[[#This Row],[automation_risk_percent]]&gt;0.7,"Highly Automatable",
IF(Table1[[#This Row],[automation_risk_percent]]&gt;0.4,"Moderate Risk","Safe Job"))</f>
        <v>Safe Job</v>
      </c>
    </row>
    <row r="3841" spans="1:24" x14ac:dyDescent="0.3">
      <c r="A3841">
        <v>13363</v>
      </c>
      <c r="B3841" t="s">
        <v>26</v>
      </c>
      <c r="C3841" t="s">
        <v>34</v>
      </c>
      <c r="D3841" t="s">
        <v>32</v>
      </c>
      <c r="E3841" s="1">
        <v>2026</v>
      </c>
      <c r="F3841" s="11">
        <v>0.58460000000000001</v>
      </c>
      <c r="G3841">
        <v>62.69</v>
      </c>
      <c r="H3841">
        <v>76.84</v>
      </c>
      <c r="I3841" s="2">
        <v>37986.85</v>
      </c>
      <c r="J3841" s="2">
        <v>40386.97</v>
      </c>
      <c r="K3841" s="2">
        <f>Table1[[#This Row],[Salary_after]]-Table1[[#This Row],[Salary_before]]</f>
        <v>2400.1200000000026</v>
      </c>
      <c r="L3841" s="11">
        <v>6.3200000000000006E-2</v>
      </c>
      <c r="M3841" s="11">
        <v>-0.1066</v>
      </c>
      <c r="N3841">
        <v>90.29</v>
      </c>
      <c r="O3841">
        <v>70.69</v>
      </c>
      <c r="P3841">
        <v>2</v>
      </c>
      <c r="Q3841" t="s">
        <v>25</v>
      </c>
      <c r="R3841">
        <v>67.650000000000006</v>
      </c>
      <c r="S3841">
        <v>6.32</v>
      </c>
      <c r="T3841" s="4">
        <v>48.332000000000001</v>
      </c>
      <c r="U3841" s="4">
        <v>41.325373999999996</v>
      </c>
      <c r="V3841" t="str">
        <f>IF(Table1[[#This Row],[ai_disruption_intensity]]&gt;70,"High",
IF(Table1[[#This Row],[ai_disruption_intensity]]&gt;40,"Medium","Low"))</f>
        <v>Medium</v>
      </c>
      <c r="W3841" t="str">
        <f>IF(Table1[[#This Row],[skill_gap_index]]&gt;70,"Large Gap",
IF(Table1[[#This Row],[skill_gap_index]]&gt;40,"Medium Gap","Small Gap"))</f>
        <v>Large Gap</v>
      </c>
      <c r="X3841" s="3" t="str">
        <f>IF(Table1[[#This Row],[automation_risk_percent]]&gt;0.7,"Highly Automatable",
IF(Table1[[#This Row],[automation_risk_percent]]&gt;0.4,"Moderate Risk","Safe Job"))</f>
        <v>Moderate Risk</v>
      </c>
    </row>
    <row r="3842" spans="1:24" x14ac:dyDescent="0.3">
      <c r="A3842">
        <v>13367</v>
      </c>
      <c r="B3842" t="s">
        <v>41</v>
      </c>
      <c r="C3842" t="s">
        <v>34</v>
      </c>
      <c r="D3842" t="s">
        <v>42</v>
      </c>
      <c r="E3842" s="1">
        <v>2025</v>
      </c>
      <c r="F3842" s="11">
        <v>0.80319999999999991</v>
      </c>
      <c r="G3842">
        <v>78.66</v>
      </c>
      <c r="H3842">
        <v>48.24</v>
      </c>
      <c r="I3842" s="2">
        <v>126322.59</v>
      </c>
      <c r="J3842" s="2">
        <v>124846.99</v>
      </c>
      <c r="K3842" s="2">
        <f>Table1[[#This Row],[Salary_after]]-Table1[[#This Row],[Salary_before]]</f>
        <v>-1475.5999999999913</v>
      </c>
      <c r="L3842" s="11">
        <v>-1.1699999999999999E-2</v>
      </c>
      <c r="M3842" s="11">
        <v>-5.1100000000000007E-2</v>
      </c>
      <c r="N3842">
        <v>58.54</v>
      </c>
      <c r="O3842">
        <v>61.34</v>
      </c>
      <c r="P3842">
        <v>1</v>
      </c>
      <c r="Q3842" t="s">
        <v>37</v>
      </c>
      <c r="R3842">
        <v>64.28</v>
      </c>
      <c r="S3842">
        <v>1.17</v>
      </c>
      <c r="T3842" s="4">
        <v>46.951000000000001</v>
      </c>
      <c r="U3842" s="4">
        <v>49.268287999999998</v>
      </c>
      <c r="V3842" t="str">
        <f>IF(Table1[[#This Row],[ai_disruption_intensity]]&gt;70,"High",
IF(Table1[[#This Row],[ai_disruption_intensity]]&gt;40,"Medium","Low"))</f>
        <v>Medium</v>
      </c>
      <c r="W3842" t="str">
        <f>IF(Table1[[#This Row],[skill_gap_index]]&gt;70,"Large Gap",
IF(Table1[[#This Row],[skill_gap_index]]&gt;40,"Medium Gap","Small Gap"))</f>
        <v>Medium Gap</v>
      </c>
      <c r="X3842" s="3" t="str">
        <f>IF(Table1[[#This Row],[automation_risk_percent]]&gt;0.7,"Highly Automatable",
IF(Table1[[#This Row],[automation_risk_percent]]&gt;0.4,"Moderate Risk","Safe Job"))</f>
        <v>Highly Automatable</v>
      </c>
    </row>
    <row r="3843" spans="1:24" x14ac:dyDescent="0.3">
      <c r="A3843">
        <v>13369</v>
      </c>
      <c r="B3843" t="s">
        <v>41</v>
      </c>
      <c r="C3843" t="s">
        <v>34</v>
      </c>
      <c r="D3843" t="s">
        <v>42</v>
      </c>
      <c r="E3843" s="1">
        <v>2025</v>
      </c>
      <c r="F3843" s="11">
        <v>0.45329999999999998</v>
      </c>
      <c r="G3843">
        <v>36.54</v>
      </c>
      <c r="H3843">
        <v>7.47</v>
      </c>
      <c r="I3843" s="2">
        <v>140833.88</v>
      </c>
      <c r="J3843" s="2">
        <v>138279.53</v>
      </c>
      <c r="K3843" s="2">
        <f>Table1[[#This Row],[Salary_after]]-Table1[[#This Row],[Salary_before]]</f>
        <v>-2554.3500000000058</v>
      </c>
      <c r="L3843" s="11">
        <v>-1.8100000000000002E-2</v>
      </c>
      <c r="M3843" s="11">
        <v>8.1099999999999992E-2</v>
      </c>
      <c r="N3843">
        <v>94.24</v>
      </c>
      <c r="O3843">
        <v>87.6</v>
      </c>
      <c r="P3843">
        <v>4</v>
      </c>
      <c r="Q3843" t="s">
        <v>25</v>
      </c>
      <c r="R3843">
        <v>26.4</v>
      </c>
      <c r="S3843">
        <v>1.81</v>
      </c>
      <c r="T3843" s="4">
        <v>20.916</v>
      </c>
      <c r="U3843" s="4">
        <v>39.709079999999901</v>
      </c>
      <c r="V3843" t="str">
        <f>IF(Table1[[#This Row],[ai_disruption_intensity]]&gt;70,"High",
IF(Table1[[#This Row],[ai_disruption_intensity]]&gt;40,"Medium","Low"))</f>
        <v>Low</v>
      </c>
      <c r="W3843" t="str">
        <f>IF(Table1[[#This Row],[skill_gap_index]]&gt;70,"Large Gap",
IF(Table1[[#This Row],[skill_gap_index]]&gt;40,"Medium Gap","Small Gap"))</f>
        <v>Small Gap</v>
      </c>
      <c r="X3843" s="3" t="str">
        <f>IF(Table1[[#This Row],[automation_risk_percent]]&gt;0.7,"Highly Automatable",
IF(Table1[[#This Row],[automation_risk_percent]]&gt;0.4,"Moderate Risk","Safe Job"))</f>
        <v>Moderate Risk</v>
      </c>
    </row>
    <row r="3844" spans="1:24" x14ac:dyDescent="0.3">
      <c r="A3844">
        <v>13373</v>
      </c>
      <c r="B3844" t="s">
        <v>39</v>
      </c>
      <c r="C3844" t="s">
        <v>40</v>
      </c>
      <c r="D3844" t="s">
        <v>35</v>
      </c>
      <c r="E3844" s="1">
        <v>2025</v>
      </c>
      <c r="F3844" s="11">
        <v>0.76980000000000004</v>
      </c>
      <c r="G3844">
        <v>91.55</v>
      </c>
      <c r="H3844">
        <v>69.650000000000006</v>
      </c>
      <c r="I3844" s="2">
        <v>119530.29</v>
      </c>
      <c r="J3844" s="2">
        <v>115840.62</v>
      </c>
      <c r="K3844" s="2">
        <f>Table1[[#This Row],[Salary_after]]-Table1[[#This Row],[Salary_before]]</f>
        <v>-3689.6699999999983</v>
      </c>
      <c r="L3844" s="11">
        <v>-3.0899999999999997E-2</v>
      </c>
      <c r="M3844" s="11">
        <v>3.8300000000000001E-2</v>
      </c>
      <c r="N3844">
        <v>87.25</v>
      </c>
      <c r="O3844">
        <v>68.790000000000006</v>
      </c>
      <c r="P3844">
        <v>1</v>
      </c>
      <c r="Q3844" t="s">
        <v>37</v>
      </c>
      <c r="R3844">
        <v>73.314999999999998</v>
      </c>
      <c r="S3844">
        <v>3.09</v>
      </c>
      <c r="T3844" s="4">
        <v>52.613999999999997</v>
      </c>
      <c r="U3844" s="4">
        <v>52.954541999999996</v>
      </c>
      <c r="V3844" t="str">
        <f>IF(Table1[[#This Row],[ai_disruption_intensity]]&gt;70,"High",
IF(Table1[[#This Row],[ai_disruption_intensity]]&gt;40,"Medium","Low"))</f>
        <v>Medium</v>
      </c>
      <c r="W3844" t="str">
        <f>IF(Table1[[#This Row],[skill_gap_index]]&gt;70,"Large Gap",
IF(Table1[[#This Row],[skill_gap_index]]&gt;40,"Medium Gap","Small Gap"))</f>
        <v>Medium Gap</v>
      </c>
      <c r="X3844" s="3" t="str">
        <f>IF(Table1[[#This Row],[automation_risk_percent]]&gt;0.7,"Highly Automatable",
IF(Table1[[#This Row],[automation_risk_percent]]&gt;0.4,"Moderate Risk","Safe Job"))</f>
        <v>Highly Automatable</v>
      </c>
    </row>
    <row r="3845" spans="1:24" x14ac:dyDescent="0.3">
      <c r="A3845">
        <v>13374</v>
      </c>
      <c r="B3845" t="s">
        <v>45</v>
      </c>
      <c r="C3845" t="s">
        <v>23</v>
      </c>
      <c r="D3845" t="s">
        <v>20</v>
      </c>
      <c r="E3845" s="1">
        <v>2025</v>
      </c>
      <c r="F3845" s="11">
        <v>0.77540000000000009</v>
      </c>
      <c r="G3845">
        <v>62.04</v>
      </c>
      <c r="H3845">
        <v>71.58</v>
      </c>
      <c r="I3845" s="2">
        <v>62191.839999999997</v>
      </c>
      <c r="J3845" s="2">
        <v>50899.73</v>
      </c>
      <c r="K3845" s="2">
        <f>Table1[[#This Row],[Salary_after]]-Table1[[#This Row],[Salary_before]]</f>
        <v>-11292.109999999993</v>
      </c>
      <c r="L3845" s="11">
        <v>-0.18160000000000001</v>
      </c>
      <c r="M3845" s="11">
        <v>-0.15869999999999998</v>
      </c>
      <c r="N3845">
        <v>13.21</v>
      </c>
      <c r="O3845">
        <v>85.2</v>
      </c>
      <c r="P3845">
        <v>4</v>
      </c>
      <c r="Q3845" t="s">
        <v>37</v>
      </c>
      <c r="R3845">
        <v>74.56</v>
      </c>
      <c r="S3845">
        <v>18.16</v>
      </c>
      <c r="T3845" s="4">
        <v>57.938000000000002</v>
      </c>
      <c r="U3845" s="4">
        <v>66.064080000000004</v>
      </c>
      <c r="V3845" t="str">
        <f>IF(Table1[[#This Row],[ai_disruption_intensity]]&gt;70,"High",
IF(Table1[[#This Row],[ai_disruption_intensity]]&gt;40,"Medium","Low"))</f>
        <v>Medium</v>
      </c>
      <c r="W3845" t="str">
        <f>IF(Table1[[#This Row],[skill_gap_index]]&gt;70,"Large Gap",
IF(Table1[[#This Row],[skill_gap_index]]&gt;40,"Medium Gap","Small Gap"))</f>
        <v>Large Gap</v>
      </c>
      <c r="X3845" s="3" t="str">
        <f>IF(Table1[[#This Row],[automation_risk_percent]]&gt;0.7,"Highly Automatable",
IF(Table1[[#This Row],[automation_risk_percent]]&gt;0.4,"Moderate Risk","Safe Job"))</f>
        <v>Highly Automatable</v>
      </c>
    </row>
    <row r="3846" spans="1:24" x14ac:dyDescent="0.3">
      <c r="A3846">
        <v>13376</v>
      </c>
      <c r="B3846" t="s">
        <v>44</v>
      </c>
      <c r="C3846" t="s">
        <v>27</v>
      </c>
      <c r="D3846" t="s">
        <v>24</v>
      </c>
      <c r="E3846" s="1">
        <v>2026</v>
      </c>
      <c r="F3846" s="11">
        <v>0.31690000000000002</v>
      </c>
      <c r="G3846">
        <v>26.73</v>
      </c>
      <c r="H3846">
        <v>73.13</v>
      </c>
      <c r="I3846" s="2">
        <v>54115.08</v>
      </c>
      <c r="J3846" s="2">
        <v>50972.72</v>
      </c>
      <c r="K3846" s="2">
        <f>Table1[[#This Row],[Salary_after]]-Table1[[#This Row],[Salary_before]]</f>
        <v>-3142.3600000000006</v>
      </c>
      <c r="L3846" s="11">
        <v>-5.8099999999999999E-2</v>
      </c>
      <c r="M3846" s="11">
        <v>8.8699999999999987E-2</v>
      </c>
      <c r="N3846">
        <v>78.63</v>
      </c>
      <c r="O3846">
        <v>51.45</v>
      </c>
      <c r="P3846">
        <v>4</v>
      </c>
      <c r="Q3846" t="s">
        <v>25</v>
      </c>
      <c r="R3846">
        <v>52.41</v>
      </c>
      <c r="S3846">
        <v>5.81</v>
      </c>
      <c r="T3846" s="4">
        <v>36.357999999999997</v>
      </c>
      <c r="U3846" s="4">
        <v>16.304504999999999</v>
      </c>
      <c r="V3846" t="str">
        <f>IF(Table1[[#This Row],[ai_disruption_intensity]]&gt;70,"High",
IF(Table1[[#This Row],[ai_disruption_intensity]]&gt;40,"Medium","Low"))</f>
        <v>Low</v>
      </c>
      <c r="W3846" t="str">
        <f>IF(Table1[[#This Row],[skill_gap_index]]&gt;70,"Large Gap",
IF(Table1[[#This Row],[skill_gap_index]]&gt;40,"Medium Gap","Small Gap"))</f>
        <v>Large Gap</v>
      </c>
      <c r="X3846" s="3" t="str">
        <f>IF(Table1[[#This Row],[automation_risk_percent]]&gt;0.7,"Highly Automatable",
IF(Table1[[#This Row],[automation_risk_percent]]&gt;0.4,"Moderate Risk","Safe Job"))</f>
        <v>Safe Job</v>
      </c>
    </row>
    <row r="3847" spans="1:24" x14ac:dyDescent="0.3">
      <c r="A3847">
        <v>13381</v>
      </c>
      <c r="B3847" t="s">
        <v>43</v>
      </c>
      <c r="C3847" t="s">
        <v>40</v>
      </c>
      <c r="D3847" t="s">
        <v>24</v>
      </c>
      <c r="E3847" s="1">
        <v>2025</v>
      </c>
      <c r="F3847" s="11">
        <v>0.30730000000000002</v>
      </c>
      <c r="G3847">
        <v>31.27</v>
      </c>
      <c r="H3847">
        <v>58.86</v>
      </c>
      <c r="I3847" s="2">
        <v>68431.69</v>
      </c>
      <c r="J3847" s="2">
        <v>86512.89</v>
      </c>
      <c r="K3847" s="2">
        <f>Table1[[#This Row],[Salary_after]]-Table1[[#This Row],[Salary_before]]</f>
        <v>18081.199999999997</v>
      </c>
      <c r="L3847" s="11">
        <v>0.26419999999999999</v>
      </c>
      <c r="M3847" s="11">
        <v>-1.24E-2</v>
      </c>
      <c r="N3847">
        <v>34.97</v>
      </c>
      <c r="O3847">
        <v>5.68</v>
      </c>
      <c r="P3847">
        <v>4</v>
      </c>
      <c r="Q3847" t="s">
        <v>25</v>
      </c>
      <c r="R3847">
        <v>44.795000000000002</v>
      </c>
      <c r="S3847">
        <v>26.42</v>
      </c>
      <c r="T3847" s="4">
        <v>37.875999999999998</v>
      </c>
      <c r="U3847" s="4">
        <v>1.7454639999999999</v>
      </c>
      <c r="V3847" t="str">
        <f>IF(Table1[[#This Row],[ai_disruption_intensity]]&gt;70,"High",
IF(Table1[[#This Row],[ai_disruption_intensity]]&gt;40,"Medium","Low"))</f>
        <v>Low</v>
      </c>
      <c r="W3847" t="str">
        <f>IF(Table1[[#This Row],[skill_gap_index]]&gt;70,"Large Gap",
IF(Table1[[#This Row],[skill_gap_index]]&gt;40,"Medium Gap","Small Gap"))</f>
        <v>Medium Gap</v>
      </c>
      <c r="X3847" s="3" t="str">
        <f>IF(Table1[[#This Row],[automation_risk_percent]]&gt;0.7,"Highly Automatable",
IF(Table1[[#This Row],[automation_risk_percent]]&gt;0.4,"Moderate Risk","Safe Job"))</f>
        <v>Safe Job</v>
      </c>
    </row>
    <row r="3848" spans="1:24" x14ac:dyDescent="0.3">
      <c r="A3848">
        <v>13386</v>
      </c>
      <c r="B3848" t="s">
        <v>18</v>
      </c>
      <c r="C3848" t="s">
        <v>19</v>
      </c>
      <c r="D3848" t="s">
        <v>32</v>
      </c>
      <c r="E3848" s="1">
        <v>2026</v>
      </c>
      <c r="F3848" s="11">
        <v>0.23440000000000003</v>
      </c>
      <c r="G3848">
        <v>22.13</v>
      </c>
      <c r="H3848">
        <v>50.3</v>
      </c>
      <c r="I3848" s="2">
        <v>95895.64</v>
      </c>
      <c r="J3848" s="2">
        <v>98456.22</v>
      </c>
      <c r="K3848" s="2">
        <f>Table1[[#This Row],[Salary_after]]-Table1[[#This Row],[Salary_before]]</f>
        <v>2560.5800000000017</v>
      </c>
      <c r="L3848" s="11">
        <v>2.6699999999999998E-2</v>
      </c>
      <c r="M3848" s="11">
        <v>-5.9200000000000003E-2</v>
      </c>
      <c r="N3848">
        <v>33.1</v>
      </c>
      <c r="O3848">
        <v>16.309999999999999</v>
      </c>
      <c r="P3848">
        <v>5</v>
      </c>
      <c r="Q3848" t="s">
        <v>21</v>
      </c>
      <c r="R3848">
        <v>36.869999999999997</v>
      </c>
      <c r="S3848">
        <v>2.67</v>
      </c>
      <c r="T3848" s="4">
        <v>25.266999999999999</v>
      </c>
      <c r="U3848" s="4">
        <v>3.823064</v>
      </c>
      <c r="V3848" t="str">
        <f>IF(Table1[[#This Row],[ai_disruption_intensity]]&gt;70,"High",
IF(Table1[[#This Row],[ai_disruption_intensity]]&gt;40,"Medium","Low"))</f>
        <v>Low</v>
      </c>
      <c r="W3848" t="str">
        <f>IF(Table1[[#This Row],[skill_gap_index]]&gt;70,"Large Gap",
IF(Table1[[#This Row],[skill_gap_index]]&gt;40,"Medium Gap","Small Gap"))</f>
        <v>Medium Gap</v>
      </c>
      <c r="X3848" s="3" t="str">
        <f>IF(Table1[[#This Row],[automation_risk_percent]]&gt;0.7,"Highly Automatable",
IF(Table1[[#This Row],[automation_risk_percent]]&gt;0.4,"Moderate Risk","Safe Job"))</f>
        <v>Safe Job</v>
      </c>
    </row>
    <row r="3849" spans="1:24" x14ac:dyDescent="0.3">
      <c r="A3849">
        <v>13389</v>
      </c>
      <c r="B3849" t="s">
        <v>44</v>
      </c>
      <c r="C3849" t="s">
        <v>33</v>
      </c>
      <c r="D3849" t="s">
        <v>31</v>
      </c>
      <c r="E3849" s="1">
        <v>2026</v>
      </c>
      <c r="F3849" s="11">
        <v>0.79510000000000003</v>
      </c>
      <c r="G3849">
        <v>91.75</v>
      </c>
      <c r="H3849">
        <v>92.78</v>
      </c>
      <c r="I3849" s="2">
        <v>82081.64</v>
      </c>
      <c r="J3849" s="2">
        <v>93634.1</v>
      </c>
      <c r="K3849" s="2">
        <f>Table1[[#This Row],[Salary_after]]-Table1[[#This Row],[Salary_before]]</f>
        <v>11552.460000000006</v>
      </c>
      <c r="L3849" s="11">
        <v>0.14069999999999999</v>
      </c>
      <c r="M3849" s="11">
        <v>-7.5399999999999995E-2</v>
      </c>
      <c r="N3849">
        <v>59.75</v>
      </c>
      <c r="O3849">
        <v>97.99</v>
      </c>
      <c r="P3849">
        <v>1</v>
      </c>
      <c r="Q3849" t="s">
        <v>37</v>
      </c>
      <c r="R3849">
        <v>86.144999999999996</v>
      </c>
      <c r="S3849">
        <v>14.07</v>
      </c>
      <c r="T3849" s="4">
        <v>63.859000000000002</v>
      </c>
      <c r="U3849" s="4">
        <v>77.911849000000004</v>
      </c>
      <c r="V3849" t="str">
        <f>IF(Table1[[#This Row],[ai_disruption_intensity]]&gt;70,"High",
IF(Table1[[#This Row],[ai_disruption_intensity]]&gt;40,"Medium","Low"))</f>
        <v>High</v>
      </c>
      <c r="W3849" t="str">
        <f>IF(Table1[[#This Row],[skill_gap_index]]&gt;70,"Large Gap",
IF(Table1[[#This Row],[skill_gap_index]]&gt;40,"Medium Gap","Small Gap"))</f>
        <v>Large Gap</v>
      </c>
      <c r="X3849" s="3" t="str">
        <f>IF(Table1[[#This Row],[automation_risk_percent]]&gt;0.7,"Highly Automatable",
IF(Table1[[#This Row],[automation_risk_percent]]&gt;0.4,"Moderate Risk","Safe Job"))</f>
        <v>Highly Automatable</v>
      </c>
    </row>
    <row r="3850" spans="1:24" x14ac:dyDescent="0.3">
      <c r="A3850">
        <v>13391</v>
      </c>
      <c r="B3850" t="s">
        <v>29</v>
      </c>
      <c r="C3850" t="s">
        <v>27</v>
      </c>
      <c r="D3850" t="s">
        <v>32</v>
      </c>
      <c r="E3850" s="1">
        <v>2025</v>
      </c>
      <c r="F3850" s="11">
        <v>0.7498999999999999</v>
      </c>
      <c r="G3850">
        <v>65.34</v>
      </c>
      <c r="H3850">
        <v>58.68</v>
      </c>
      <c r="I3850" s="2">
        <v>51017.27</v>
      </c>
      <c r="J3850" s="2">
        <v>55285.49</v>
      </c>
      <c r="K3850" s="2">
        <f>Table1[[#This Row],[Salary_after]]-Table1[[#This Row],[Salary_before]]</f>
        <v>4268.2200000000012</v>
      </c>
      <c r="L3850" s="11">
        <v>8.3699999999999997E-2</v>
      </c>
      <c r="M3850" s="11">
        <v>3.39E-2</v>
      </c>
      <c r="N3850">
        <v>16.579999999999998</v>
      </c>
      <c r="O3850">
        <v>96.33</v>
      </c>
      <c r="P3850">
        <v>4</v>
      </c>
      <c r="Q3850" t="s">
        <v>37</v>
      </c>
      <c r="R3850">
        <v>66.834999999999994</v>
      </c>
      <c r="S3850">
        <v>8.3699999999999992</v>
      </c>
      <c r="T3850" s="4">
        <v>50.110999999999997</v>
      </c>
      <c r="U3850" s="4">
        <v>72.237866999999994</v>
      </c>
      <c r="V3850" t="str">
        <f>IF(Table1[[#This Row],[ai_disruption_intensity]]&gt;70,"High",
IF(Table1[[#This Row],[ai_disruption_intensity]]&gt;40,"Medium","Low"))</f>
        <v>High</v>
      </c>
      <c r="W3850" t="str">
        <f>IF(Table1[[#This Row],[skill_gap_index]]&gt;70,"Large Gap",
IF(Table1[[#This Row],[skill_gap_index]]&gt;40,"Medium Gap","Small Gap"))</f>
        <v>Medium Gap</v>
      </c>
      <c r="X3850" s="3" t="str">
        <f>IF(Table1[[#This Row],[automation_risk_percent]]&gt;0.7,"Highly Automatable",
IF(Table1[[#This Row],[automation_risk_percent]]&gt;0.4,"Moderate Risk","Safe Job"))</f>
        <v>Highly Automatable</v>
      </c>
    </row>
    <row r="3851" spans="1:24" x14ac:dyDescent="0.3">
      <c r="A3851">
        <v>13394</v>
      </c>
      <c r="B3851" t="s">
        <v>45</v>
      </c>
      <c r="C3851" t="s">
        <v>34</v>
      </c>
      <c r="D3851" t="s">
        <v>35</v>
      </c>
      <c r="E3851" s="1">
        <v>2026</v>
      </c>
      <c r="F3851" s="11">
        <v>0.43209999999999998</v>
      </c>
      <c r="G3851">
        <v>47.06</v>
      </c>
      <c r="H3851">
        <v>50.28</v>
      </c>
      <c r="I3851" s="2">
        <v>99873.07</v>
      </c>
      <c r="J3851" s="2">
        <v>116825.62</v>
      </c>
      <c r="K3851" s="2">
        <f>Table1[[#This Row],[Salary_after]]-Table1[[#This Row],[Salary_before]]</f>
        <v>16952.549999999988</v>
      </c>
      <c r="L3851" s="11">
        <v>0.16969999999999999</v>
      </c>
      <c r="M3851" s="11">
        <v>1.5600000000000001E-2</v>
      </c>
      <c r="N3851">
        <v>86.48</v>
      </c>
      <c r="O3851">
        <v>45.4</v>
      </c>
      <c r="P3851">
        <v>3</v>
      </c>
      <c r="Q3851" t="s">
        <v>25</v>
      </c>
      <c r="R3851">
        <v>46.744999999999997</v>
      </c>
      <c r="S3851">
        <v>16.97</v>
      </c>
      <c r="T3851" s="4">
        <v>37.459000000000003</v>
      </c>
      <c r="U3851" s="4">
        <v>19.617339999999999</v>
      </c>
      <c r="V3851" t="str">
        <f>IF(Table1[[#This Row],[ai_disruption_intensity]]&gt;70,"High",
IF(Table1[[#This Row],[ai_disruption_intensity]]&gt;40,"Medium","Low"))</f>
        <v>Low</v>
      </c>
      <c r="W3851" t="str">
        <f>IF(Table1[[#This Row],[skill_gap_index]]&gt;70,"Large Gap",
IF(Table1[[#This Row],[skill_gap_index]]&gt;40,"Medium Gap","Small Gap"))</f>
        <v>Medium Gap</v>
      </c>
      <c r="X3851" s="3" t="str">
        <f>IF(Table1[[#This Row],[automation_risk_percent]]&gt;0.7,"Highly Automatable",
IF(Table1[[#This Row],[automation_risk_percent]]&gt;0.4,"Moderate Risk","Safe Job"))</f>
        <v>Moderate Risk</v>
      </c>
    </row>
    <row r="3852" spans="1:24" x14ac:dyDescent="0.3">
      <c r="A3852">
        <v>13399</v>
      </c>
      <c r="B3852" t="s">
        <v>29</v>
      </c>
      <c r="C3852" t="s">
        <v>27</v>
      </c>
      <c r="D3852" t="s">
        <v>28</v>
      </c>
      <c r="E3852" s="1">
        <v>2025</v>
      </c>
      <c r="F3852" s="11">
        <v>0.39429999999999998</v>
      </c>
      <c r="G3852">
        <v>45.56</v>
      </c>
      <c r="H3852">
        <v>36.22</v>
      </c>
      <c r="I3852" s="2">
        <v>132956.19</v>
      </c>
      <c r="J3852" s="2">
        <v>125250.3</v>
      </c>
      <c r="K3852" s="2">
        <f>Table1[[#This Row],[Salary_after]]-Table1[[#This Row],[Salary_before]]</f>
        <v>-7705.8899999999994</v>
      </c>
      <c r="L3852" s="11">
        <v>-5.7999999999999996E-2</v>
      </c>
      <c r="M3852" s="11">
        <v>0.14330000000000001</v>
      </c>
      <c r="N3852">
        <v>53.04</v>
      </c>
      <c r="O3852">
        <v>45.33</v>
      </c>
      <c r="P3852">
        <v>2</v>
      </c>
      <c r="Q3852" t="s">
        <v>25</v>
      </c>
      <c r="R3852">
        <v>37.825000000000003</v>
      </c>
      <c r="S3852">
        <v>5.8</v>
      </c>
      <c r="T3852" s="4">
        <v>28.377999999999901</v>
      </c>
      <c r="U3852" s="4">
        <v>17.873618999999898</v>
      </c>
      <c r="V3852" t="str">
        <f>IF(Table1[[#This Row],[ai_disruption_intensity]]&gt;70,"High",
IF(Table1[[#This Row],[ai_disruption_intensity]]&gt;40,"Medium","Low"))</f>
        <v>Low</v>
      </c>
      <c r="W3852" t="str">
        <f>IF(Table1[[#This Row],[skill_gap_index]]&gt;70,"Large Gap",
IF(Table1[[#This Row],[skill_gap_index]]&gt;40,"Medium Gap","Small Gap"))</f>
        <v>Small Gap</v>
      </c>
      <c r="X3852" s="3" t="str">
        <f>IF(Table1[[#This Row],[automation_risk_percent]]&gt;0.7,"Highly Automatable",
IF(Table1[[#This Row],[automation_risk_percent]]&gt;0.4,"Moderate Risk","Safe Job"))</f>
        <v>Safe Job</v>
      </c>
    </row>
    <row r="3853" spans="1:24" x14ac:dyDescent="0.3">
      <c r="A3853">
        <v>13403</v>
      </c>
      <c r="B3853" t="s">
        <v>26</v>
      </c>
      <c r="C3853" t="s">
        <v>33</v>
      </c>
      <c r="D3853" t="s">
        <v>32</v>
      </c>
      <c r="E3853" s="1">
        <v>2026</v>
      </c>
      <c r="F3853" s="11">
        <v>0.41619999999999996</v>
      </c>
      <c r="G3853">
        <v>43.41</v>
      </c>
      <c r="H3853">
        <v>96.15</v>
      </c>
      <c r="I3853" s="2">
        <v>66159.17</v>
      </c>
      <c r="J3853" s="2">
        <v>75998.38</v>
      </c>
      <c r="K3853" s="2">
        <f>Table1[[#This Row],[Salary_after]]-Table1[[#This Row],[Salary_before]]</f>
        <v>9839.2100000000064</v>
      </c>
      <c r="L3853" s="11">
        <v>0.1487</v>
      </c>
      <c r="M3853" s="11">
        <v>0.19120000000000001</v>
      </c>
      <c r="N3853">
        <v>34.83</v>
      </c>
      <c r="O3853">
        <v>30.29</v>
      </c>
      <c r="P3853">
        <v>3</v>
      </c>
      <c r="Q3853" t="s">
        <v>25</v>
      </c>
      <c r="R3853">
        <v>68.885000000000005</v>
      </c>
      <c r="S3853">
        <v>14.87</v>
      </c>
      <c r="T3853" s="4">
        <v>49.953999999999901</v>
      </c>
      <c r="U3853" s="4">
        <v>12.606698</v>
      </c>
      <c r="V3853" t="str">
        <f>IF(Table1[[#This Row],[ai_disruption_intensity]]&gt;70,"High",
IF(Table1[[#This Row],[ai_disruption_intensity]]&gt;40,"Medium","Low"))</f>
        <v>Low</v>
      </c>
      <c r="W3853" t="str">
        <f>IF(Table1[[#This Row],[skill_gap_index]]&gt;70,"Large Gap",
IF(Table1[[#This Row],[skill_gap_index]]&gt;40,"Medium Gap","Small Gap"))</f>
        <v>Large Gap</v>
      </c>
      <c r="X3853" s="3" t="str">
        <f>IF(Table1[[#This Row],[automation_risk_percent]]&gt;0.7,"Highly Automatable",
IF(Table1[[#This Row],[automation_risk_percent]]&gt;0.4,"Moderate Risk","Safe Job"))</f>
        <v>Moderate Risk</v>
      </c>
    </row>
    <row r="3854" spans="1:24" x14ac:dyDescent="0.3">
      <c r="A3854">
        <v>13407</v>
      </c>
      <c r="B3854" t="s">
        <v>26</v>
      </c>
      <c r="C3854" t="s">
        <v>40</v>
      </c>
      <c r="D3854" t="s">
        <v>42</v>
      </c>
      <c r="E3854" s="1">
        <v>2026</v>
      </c>
      <c r="F3854" s="11">
        <v>0.64170000000000005</v>
      </c>
      <c r="G3854">
        <v>68.61</v>
      </c>
      <c r="H3854">
        <v>61.62</v>
      </c>
      <c r="I3854" s="2">
        <v>40256.75</v>
      </c>
      <c r="J3854" s="2">
        <v>50946.38</v>
      </c>
      <c r="K3854" s="2">
        <f>Table1[[#This Row],[Salary_after]]-Table1[[#This Row],[Salary_before]]</f>
        <v>10689.629999999997</v>
      </c>
      <c r="L3854" s="11">
        <v>0.26550000000000001</v>
      </c>
      <c r="M3854" s="11">
        <v>0.17399999999999999</v>
      </c>
      <c r="N3854">
        <v>66.69</v>
      </c>
      <c r="O3854">
        <v>16.079999999999998</v>
      </c>
      <c r="P3854">
        <v>4</v>
      </c>
      <c r="Q3854" t="s">
        <v>37</v>
      </c>
      <c r="R3854">
        <v>62.894999999999897</v>
      </c>
      <c r="S3854">
        <v>26.55</v>
      </c>
      <c r="T3854" s="4">
        <v>52.119</v>
      </c>
      <c r="U3854" s="4">
        <v>10.318536</v>
      </c>
      <c r="V3854" t="str">
        <f>IF(Table1[[#This Row],[ai_disruption_intensity]]&gt;70,"High",
IF(Table1[[#This Row],[ai_disruption_intensity]]&gt;40,"Medium","Low"))</f>
        <v>Low</v>
      </c>
      <c r="W3854" t="str">
        <f>IF(Table1[[#This Row],[skill_gap_index]]&gt;70,"Large Gap",
IF(Table1[[#This Row],[skill_gap_index]]&gt;40,"Medium Gap","Small Gap"))</f>
        <v>Medium Gap</v>
      </c>
      <c r="X3854" s="3" t="str">
        <f>IF(Table1[[#This Row],[automation_risk_percent]]&gt;0.7,"Highly Automatable",
IF(Table1[[#This Row],[automation_risk_percent]]&gt;0.4,"Moderate Risk","Safe Job"))</f>
        <v>Moderate Risk</v>
      </c>
    </row>
    <row r="3855" spans="1:24" x14ac:dyDescent="0.3">
      <c r="A3855">
        <v>13408</v>
      </c>
      <c r="B3855" t="s">
        <v>45</v>
      </c>
      <c r="C3855" t="s">
        <v>38</v>
      </c>
      <c r="D3855" t="s">
        <v>31</v>
      </c>
      <c r="E3855" s="1">
        <v>2025</v>
      </c>
      <c r="F3855" s="11">
        <v>0.77260000000000006</v>
      </c>
      <c r="G3855">
        <v>79.489999999999995</v>
      </c>
      <c r="H3855">
        <v>41.64</v>
      </c>
      <c r="I3855" s="2">
        <v>109645.39</v>
      </c>
      <c r="J3855" s="2">
        <v>107431.73</v>
      </c>
      <c r="K3855" s="2">
        <f>Table1[[#This Row],[Salary_after]]-Table1[[#This Row],[Salary_before]]</f>
        <v>-2213.6600000000035</v>
      </c>
      <c r="L3855" s="11">
        <v>-2.0199999999999999E-2</v>
      </c>
      <c r="M3855" s="11">
        <v>-6.2400000000000004E-2</v>
      </c>
      <c r="N3855">
        <v>74.89</v>
      </c>
      <c r="O3855">
        <v>94.05</v>
      </c>
      <c r="P3855">
        <v>4</v>
      </c>
      <c r="Q3855" t="s">
        <v>37</v>
      </c>
      <c r="R3855">
        <v>59.45</v>
      </c>
      <c r="S3855">
        <v>2.02</v>
      </c>
      <c r="T3855" s="4">
        <v>44.002000000000002</v>
      </c>
      <c r="U3855" s="4">
        <v>72.663029999999907</v>
      </c>
      <c r="V3855" t="str">
        <f>IF(Table1[[#This Row],[ai_disruption_intensity]]&gt;70,"High",
IF(Table1[[#This Row],[ai_disruption_intensity]]&gt;40,"Medium","Low"))</f>
        <v>High</v>
      </c>
      <c r="W3855" t="str">
        <f>IF(Table1[[#This Row],[skill_gap_index]]&gt;70,"Large Gap",
IF(Table1[[#This Row],[skill_gap_index]]&gt;40,"Medium Gap","Small Gap"))</f>
        <v>Medium Gap</v>
      </c>
      <c r="X3855" s="3" t="str">
        <f>IF(Table1[[#This Row],[automation_risk_percent]]&gt;0.7,"Highly Automatable",
IF(Table1[[#This Row],[automation_risk_percent]]&gt;0.4,"Moderate Risk","Safe Job"))</f>
        <v>Highly Automatable</v>
      </c>
    </row>
    <row r="3856" spans="1:24" x14ac:dyDescent="0.3">
      <c r="A3856">
        <v>13411</v>
      </c>
      <c r="B3856" t="s">
        <v>41</v>
      </c>
      <c r="C3856" t="s">
        <v>23</v>
      </c>
      <c r="D3856" t="s">
        <v>28</v>
      </c>
      <c r="E3856" s="1">
        <v>2025</v>
      </c>
      <c r="F3856" s="11">
        <v>0.86180000000000012</v>
      </c>
      <c r="G3856">
        <v>82.4</v>
      </c>
      <c r="H3856">
        <v>5.22</v>
      </c>
      <c r="I3856" s="2">
        <v>71685.95</v>
      </c>
      <c r="J3856" s="2">
        <v>72971.98</v>
      </c>
      <c r="K3856" s="2">
        <f>Table1[[#This Row],[Salary_after]]-Table1[[#This Row],[Salary_before]]</f>
        <v>1286.0299999999988</v>
      </c>
      <c r="L3856" s="11">
        <v>1.7899999999999999E-2</v>
      </c>
      <c r="M3856" s="11">
        <v>0.15629999999999999</v>
      </c>
      <c r="N3856">
        <v>67.73</v>
      </c>
      <c r="O3856">
        <v>25.34</v>
      </c>
      <c r="P3856">
        <v>1</v>
      </c>
      <c r="Q3856" t="s">
        <v>37</v>
      </c>
      <c r="R3856">
        <v>45.7</v>
      </c>
      <c r="S3856">
        <v>1.79</v>
      </c>
      <c r="T3856" s="4">
        <v>36.575000000000003</v>
      </c>
      <c r="U3856" s="4">
        <v>21.838011999999999</v>
      </c>
      <c r="V3856" t="str">
        <f>IF(Table1[[#This Row],[ai_disruption_intensity]]&gt;70,"High",
IF(Table1[[#This Row],[ai_disruption_intensity]]&gt;40,"Medium","Low"))</f>
        <v>Low</v>
      </c>
      <c r="W3856" t="str">
        <f>IF(Table1[[#This Row],[skill_gap_index]]&gt;70,"Large Gap",
IF(Table1[[#This Row],[skill_gap_index]]&gt;40,"Medium Gap","Small Gap"))</f>
        <v>Small Gap</v>
      </c>
      <c r="X3856" s="3" t="str">
        <f>IF(Table1[[#This Row],[automation_risk_percent]]&gt;0.7,"Highly Automatable",
IF(Table1[[#This Row],[automation_risk_percent]]&gt;0.4,"Moderate Risk","Safe Job"))</f>
        <v>Highly Automatable</v>
      </c>
    </row>
    <row r="3857" spans="1:24" x14ac:dyDescent="0.3">
      <c r="A3857">
        <v>13419</v>
      </c>
      <c r="B3857" t="s">
        <v>18</v>
      </c>
      <c r="C3857" t="s">
        <v>33</v>
      </c>
      <c r="D3857" t="s">
        <v>47</v>
      </c>
      <c r="E3857" s="1">
        <v>2026</v>
      </c>
      <c r="F3857" s="11">
        <v>0.16210000000000002</v>
      </c>
      <c r="G3857">
        <v>16.579999999999998</v>
      </c>
      <c r="H3857">
        <v>69.19</v>
      </c>
      <c r="I3857" s="2">
        <v>48129.37</v>
      </c>
      <c r="J3857" s="2">
        <v>49235.93</v>
      </c>
      <c r="K3857" s="2">
        <f>Table1[[#This Row],[Salary_after]]-Table1[[#This Row],[Salary_before]]</f>
        <v>1106.5599999999977</v>
      </c>
      <c r="L3857" s="11">
        <v>2.3E-2</v>
      </c>
      <c r="M3857" s="11">
        <v>0.25140000000000001</v>
      </c>
      <c r="N3857">
        <v>72.47</v>
      </c>
      <c r="O3857">
        <v>28.52</v>
      </c>
      <c r="P3857">
        <v>1</v>
      </c>
      <c r="Q3857" t="s">
        <v>21</v>
      </c>
      <c r="R3857">
        <v>42.7</v>
      </c>
      <c r="S3857">
        <v>2.2999999999999998</v>
      </c>
      <c r="T3857" s="4">
        <v>27.931000000000001</v>
      </c>
      <c r="U3857" s="4">
        <v>4.6230919999999998</v>
      </c>
      <c r="V3857" t="str">
        <f>IF(Table1[[#This Row],[ai_disruption_intensity]]&gt;70,"High",
IF(Table1[[#This Row],[ai_disruption_intensity]]&gt;40,"Medium","Low"))</f>
        <v>Low</v>
      </c>
      <c r="W3857" t="str">
        <f>IF(Table1[[#This Row],[skill_gap_index]]&gt;70,"Large Gap",
IF(Table1[[#This Row],[skill_gap_index]]&gt;40,"Medium Gap","Small Gap"))</f>
        <v>Medium Gap</v>
      </c>
      <c r="X3857" s="3" t="str">
        <f>IF(Table1[[#This Row],[automation_risk_percent]]&gt;0.7,"Highly Automatable",
IF(Table1[[#This Row],[automation_risk_percent]]&gt;0.4,"Moderate Risk","Safe Job"))</f>
        <v>Safe Job</v>
      </c>
    </row>
    <row r="3858" spans="1:24" x14ac:dyDescent="0.3">
      <c r="A3858">
        <v>13420</v>
      </c>
      <c r="B3858" t="s">
        <v>45</v>
      </c>
      <c r="C3858" t="s">
        <v>19</v>
      </c>
      <c r="D3858" t="s">
        <v>47</v>
      </c>
      <c r="E3858" s="1">
        <v>2025</v>
      </c>
      <c r="F3858" s="11">
        <v>0.17749999999999999</v>
      </c>
      <c r="G3858">
        <v>18.12</v>
      </c>
      <c r="H3858">
        <v>48.25</v>
      </c>
      <c r="I3858" s="2">
        <v>81178.25</v>
      </c>
      <c r="J3858" s="2">
        <v>77042.84</v>
      </c>
      <c r="K3858" s="2">
        <f>Table1[[#This Row],[Salary_after]]-Table1[[#This Row],[Salary_before]]</f>
        <v>-4135.4100000000035</v>
      </c>
      <c r="L3858" s="11">
        <v>-5.0900000000000001E-2</v>
      </c>
      <c r="M3858" s="11">
        <v>-1.1999999999999999E-3</v>
      </c>
      <c r="N3858">
        <v>98.67</v>
      </c>
      <c r="O3858">
        <v>92.7</v>
      </c>
      <c r="P3858">
        <v>1</v>
      </c>
      <c r="Q3858" t="s">
        <v>21</v>
      </c>
      <c r="R3858">
        <v>33</v>
      </c>
      <c r="S3858">
        <v>5.09</v>
      </c>
      <c r="T3858" s="4">
        <v>23.102</v>
      </c>
      <c r="U3858" s="4">
        <v>16.454249999999998</v>
      </c>
      <c r="V3858" t="str">
        <f>IF(Table1[[#This Row],[ai_disruption_intensity]]&gt;70,"High",
IF(Table1[[#This Row],[ai_disruption_intensity]]&gt;40,"Medium","Low"))</f>
        <v>Low</v>
      </c>
      <c r="W3858" t="str">
        <f>IF(Table1[[#This Row],[skill_gap_index]]&gt;70,"Large Gap",
IF(Table1[[#This Row],[skill_gap_index]]&gt;40,"Medium Gap","Small Gap"))</f>
        <v>Medium Gap</v>
      </c>
      <c r="X3858" s="3" t="str">
        <f>IF(Table1[[#This Row],[automation_risk_percent]]&gt;0.7,"Highly Automatable",
IF(Table1[[#This Row],[automation_risk_percent]]&gt;0.4,"Moderate Risk","Safe Job"))</f>
        <v>Safe Job</v>
      </c>
    </row>
    <row r="3859" spans="1:24" x14ac:dyDescent="0.3">
      <c r="A3859">
        <v>13422</v>
      </c>
      <c r="B3859" t="s">
        <v>22</v>
      </c>
      <c r="C3859" t="s">
        <v>40</v>
      </c>
      <c r="D3859" t="s">
        <v>24</v>
      </c>
      <c r="E3859" s="1">
        <v>2026</v>
      </c>
      <c r="F3859" s="11">
        <v>0.23829999999999998</v>
      </c>
      <c r="G3859">
        <v>24.69</v>
      </c>
      <c r="H3859">
        <v>78.94</v>
      </c>
      <c r="I3859" s="2">
        <v>114275.1</v>
      </c>
      <c r="J3859" s="2">
        <v>97140.1</v>
      </c>
      <c r="K3859" s="2">
        <f>Table1[[#This Row],[Salary_after]]-Table1[[#This Row],[Salary_before]]</f>
        <v>-17135</v>
      </c>
      <c r="L3859" s="11">
        <v>-0.14990000000000001</v>
      </c>
      <c r="M3859" s="11">
        <v>0.24230000000000002</v>
      </c>
      <c r="N3859">
        <v>80.77</v>
      </c>
      <c r="O3859">
        <v>14.06</v>
      </c>
      <c r="P3859">
        <v>1</v>
      </c>
      <c r="Q3859" t="s">
        <v>21</v>
      </c>
      <c r="R3859">
        <v>51.384999999999998</v>
      </c>
      <c r="S3859">
        <v>14.99</v>
      </c>
      <c r="T3859" s="4">
        <v>37.710999999999999</v>
      </c>
      <c r="U3859" s="4">
        <v>3.350498</v>
      </c>
      <c r="V3859" t="str">
        <f>IF(Table1[[#This Row],[ai_disruption_intensity]]&gt;70,"High",
IF(Table1[[#This Row],[ai_disruption_intensity]]&gt;40,"Medium","Low"))</f>
        <v>Low</v>
      </c>
      <c r="W3859" t="str">
        <f>IF(Table1[[#This Row],[skill_gap_index]]&gt;70,"Large Gap",
IF(Table1[[#This Row],[skill_gap_index]]&gt;40,"Medium Gap","Small Gap"))</f>
        <v>Large Gap</v>
      </c>
      <c r="X3859" s="3" t="str">
        <f>IF(Table1[[#This Row],[automation_risk_percent]]&gt;0.7,"Highly Automatable",
IF(Table1[[#This Row],[automation_risk_percent]]&gt;0.4,"Moderate Risk","Safe Job"))</f>
        <v>Safe Job</v>
      </c>
    </row>
    <row r="3860" spans="1:24" x14ac:dyDescent="0.3">
      <c r="A3860">
        <v>13434</v>
      </c>
      <c r="B3860" t="s">
        <v>22</v>
      </c>
      <c r="C3860" t="s">
        <v>34</v>
      </c>
      <c r="D3860" t="s">
        <v>47</v>
      </c>
      <c r="E3860" s="1">
        <v>2026</v>
      </c>
      <c r="F3860" s="11">
        <v>0.59399999999999997</v>
      </c>
      <c r="G3860">
        <v>56.34</v>
      </c>
      <c r="H3860">
        <v>72.78</v>
      </c>
      <c r="I3860" s="2">
        <v>85064.79</v>
      </c>
      <c r="J3860" s="2">
        <v>74800.460000000006</v>
      </c>
      <c r="K3860" s="2">
        <f>Table1[[#This Row],[Salary_after]]-Table1[[#This Row],[Salary_before]]</f>
        <v>-10264.329999999987</v>
      </c>
      <c r="L3860" s="11">
        <v>-0.1207</v>
      </c>
      <c r="M3860" s="11">
        <v>0.14069999999999999</v>
      </c>
      <c r="N3860">
        <v>23.14</v>
      </c>
      <c r="O3860">
        <v>92.17</v>
      </c>
      <c r="P3860">
        <v>3</v>
      </c>
      <c r="Q3860" t="s">
        <v>25</v>
      </c>
      <c r="R3860">
        <v>66.09</v>
      </c>
      <c r="S3860">
        <v>12.07</v>
      </c>
      <c r="T3860" s="4">
        <v>49.215000000000003</v>
      </c>
      <c r="U3860" s="4">
        <v>54.748980000000003</v>
      </c>
      <c r="V3860" t="str">
        <f>IF(Table1[[#This Row],[ai_disruption_intensity]]&gt;70,"High",
IF(Table1[[#This Row],[ai_disruption_intensity]]&gt;40,"Medium","Low"))</f>
        <v>Medium</v>
      </c>
      <c r="W3860" t="str">
        <f>IF(Table1[[#This Row],[skill_gap_index]]&gt;70,"Large Gap",
IF(Table1[[#This Row],[skill_gap_index]]&gt;40,"Medium Gap","Small Gap"))</f>
        <v>Large Gap</v>
      </c>
      <c r="X3860" s="3" t="str">
        <f>IF(Table1[[#This Row],[automation_risk_percent]]&gt;0.7,"Highly Automatable",
IF(Table1[[#This Row],[automation_risk_percent]]&gt;0.4,"Moderate Risk","Safe Job"))</f>
        <v>Moderate Risk</v>
      </c>
    </row>
    <row r="3861" spans="1:24" x14ac:dyDescent="0.3">
      <c r="A3861">
        <v>13435</v>
      </c>
      <c r="B3861" t="s">
        <v>29</v>
      </c>
      <c r="C3861" t="s">
        <v>19</v>
      </c>
      <c r="D3861" t="s">
        <v>31</v>
      </c>
      <c r="E3861" s="1">
        <v>2025</v>
      </c>
      <c r="F3861" s="11">
        <v>0.75319999999999998</v>
      </c>
      <c r="G3861">
        <v>88.68</v>
      </c>
      <c r="H3861">
        <v>80.709999999999994</v>
      </c>
      <c r="I3861" s="2">
        <v>57491.61</v>
      </c>
      <c r="J3861" s="2">
        <v>60573.26</v>
      </c>
      <c r="K3861" s="2">
        <f>Table1[[#This Row],[Salary_after]]-Table1[[#This Row],[Salary_before]]</f>
        <v>3081.6500000000015</v>
      </c>
      <c r="L3861" s="11">
        <v>5.3600000000000002E-2</v>
      </c>
      <c r="M3861" s="11">
        <v>0.22870000000000001</v>
      </c>
      <c r="N3861">
        <v>34.909999999999997</v>
      </c>
      <c r="O3861">
        <v>86.6</v>
      </c>
      <c r="P3861">
        <v>5</v>
      </c>
      <c r="Q3861" t="s">
        <v>37</v>
      </c>
      <c r="R3861">
        <v>78.014999999999901</v>
      </c>
      <c r="S3861">
        <v>5.36</v>
      </c>
      <c r="T3861" s="4">
        <v>55.948999999999899</v>
      </c>
      <c r="U3861" s="4">
        <v>65.2271199999999</v>
      </c>
      <c r="V3861" t="str">
        <f>IF(Table1[[#This Row],[ai_disruption_intensity]]&gt;70,"High",
IF(Table1[[#This Row],[ai_disruption_intensity]]&gt;40,"Medium","Low"))</f>
        <v>Medium</v>
      </c>
      <c r="W3861" t="str">
        <f>IF(Table1[[#This Row],[skill_gap_index]]&gt;70,"Large Gap",
IF(Table1[[#This Row],[skill_gap_index]]&gt;40,"Medium Gap","Small Gap"))</f>
        <v>Large Gap</v>
      </c>
      <c r="X3861" s="3" t="str">
        <f>IF(Table1[[#This Row],[automation_risk_percent]]&gt;0.7,"Highly Automatable",
IF(Table1[[#This Row],[automation_risk_percent]]&gt;0.4,"Moderate Risk","Safe Job"))</f>
        <v>Highly Automatable</v>
      </c>
    </row>
    <row r="3862" spans="1:24" x14ac:dyDescent="0.3">
      <c r="A3862">
        <v>13436</v>
      </c>
      <c r="B3862" t="s">
        <v>18</v>
      </c>
      <c r="C3862" t="s">
        <v>27</v>
      </c>
      <c r="D3862" t="s">
        <v>35</v>
      </c>
      <c r="E3862" s="1">
        <v>2026</v>
      </c>
      <c r="F3862" s="11">
        <v>0.64569999999999994</v>
      </c>
      <c r="G3862">
        <v>54.97</v>
      </c>
      <c r="H3862">
        <v>57</v>
      </c>
      <c r="I3862" s="2">
        <v>122201.66</v>
      </c>
      <c r="J3862" s="2">
        <v>134700.5</v>
      </c>
      <c r="K3862" s="2">
        <f>Table1[[#This Row],[Salary_after]]-Table1[[#This Row],[Salary_before]]</f>
        <v>12498.839999999997</v>
      </c>
      <c r="L3862" s="11">
        <v>0.1023</v>
      </c>
      <c r="M3862" s="11">
        <v>7.9600000000000004E-2</v>
      </c>
      <c r="N3862">
        <v>59.16</v>
      </c>
      <c r="O3862">
        <v>30.89</v>
      </c>
      <c r="P3862">
        <v>3</v>
      </c>
      <c r="Q3862" t="s">
        <v>37</v>
      </c>
      <c r="R3862">
        <v>60.784999999999997</v>
      </c>
      <c r="S3862">
        <v>10.23</v>
      </c>
      <c r="T3862" s="4">
        <v>45.997</v>
      </c>
      <c r="U3862" s="4">
        <v>19.945672999999999</v>
      </c>
      <c r="V3862" t="str">
        <f>IF(Table1[[#This Row],[ai_disruption_intensity]]&gt;70,"High",
IF(Table1[[#This Row],[ai_disruption_intensity]]&gt;40,"Medium","Low"))</f>
        <v>Low</v>
      </c>
      <c r="W3862" t="str">
        <f>IF(Table1[[#This Row],[skill_gap_index]]&gt;70,"Large Gap",
IF(Table1[[#This Row],[skill_gap_index]]&gt;40,"Medium Gap","Small Gap"))</f>
        <v>Medium Gap</v>
      </c>
      <c r="X3862" s="3" t="str">
        <f>IF(Table1[[#This Row],[automation_risk_percent]]&gt;0.7,"Highly Automatable",
IF(Table1[[#This Row],[automation_risk_percent]]&gt;0.4,"Moderate Risk","Safe Job"))</f>
        <v>Moderate Risk</v>
      </c>
    </row>
    <row r="3863" spans="1:24" x14ac:dyDescent="0.3">
      <c r="A3863">
        <v>13437</v>
      </c>
      <c r="B3863" t="s">
        <v>39</v>
      </c>
      <c r="C3863" t="s">
        <v>40</v>
      </c>
      <c r="D3863" t="s">
        <v>35</v>
      </c>
      <c r="E3863" s="1">
        <v>2025</v>
      </c>
      <c r="F3863" s="11">
        <v>0.68480000000000008</v>
      </c>
      <c r="G3863">
        <v>67.040000000000006</v>
      </c>
      <c r="H3863">
        <v>58.26</v>
      </c>
      <c r="I3863" s="2">
        <v>99083.58</v>
      </c>
      <c r="J3863" s="2">
        <v>97378.58</v>
      </c>
      <c r="K3863" s="2">
        <f>Table1[[#This Row],[Salary_after]]-Table1[[#This Row],[Salary_before]]</f>
        <v>-1705</v>
      </c>
      <c r="L3863" s="11">
        <v>-1.72E-2</v>
      </c>
      <c r="M3863" s="11">
        <v>2.8000000000000004E-3</v>
      </c>
      <c r="N3863">
        <v>40.020000000000003</v>
      </c>
      <c r="O3863">
        <v>4.37</v>
      </c>
      <c r="P3863">
        <v>4</v>
      </c>
      <c r="Q3863" t="s">
        <v>37</v>
      </c>
      <c r="R3863">
        <v>63.37</v>
      </c>
      <c r="S3863">
        <v>1.72</v>
      </c>
      <c r="T3863" s="4">
        <v>45.386000000000003</v>
      </c>
      <c r="U3863" s="4">
        <v>2.9925760000000001</v>
      </c>
      <c r="V3863" t="str">
        <f>IF(Table1[[#This Row],[ai_disruption_intensity]]&gt;70,"High",
IF(Table1[[#This Row],[ai_disruption_intensity]]&gt;40,"Medium","Low"))</f>
        <v>Low</v>
      </c>
      <c r="W3863" t="str">
        <f>IF(Table1[[#This Row],[skill_gap_index]]&gt;70,"Large Gap",
IF(Table1[[#This Row],[skill_gap_index]]&gt;40,"Medium Gap","Small Gap"))</f>
        <v>Medium Gap</v>
      </c>
      <c r="X3863" s="3" t="str">
        <f>IF(Table1[[#This Row],[automation_risk_percent]]&gt;0.7,"Highly Automatable",
IF(Table1[[#This Row],[automation_risk_percent]]&gt;0.4,"Moderate Risk","Safe Job"))</f>
        <v>Moderate Risk</v>
      </c>
    </row>
    <row r="3864" spans="1:24" x14ac:dyDescent="0.3">
      <c r="A3864">
        <v>13445</v>
      </c>
      <c r="B3864" t="s">
        <v>26</v>
      </c>
      <c r="C3864" t="s">
        <v>27</v>
      </c>
      <c r="D3864" t="s">
        <v>24</v>
      </c>
      <c r="E3864" s="1">
        <v>2025</v>
      </c>
      <c r="F3864" s="11">
        <v>0.57689999999999997</v>
      </c>
      <c r="G3864">
        <v>57.32</v>
      </c>
      <c r="H3864">
        <v>97.93</v>
      </c>
      <c r="I3864" s="2">
        <v>61434.34</v>
      </c>
      <c r="J3864" s="2">
        <v>61313.22</v>
      </c>
      <c r="K3864" s="2">
        <f>Table1[[#This Row],[Salary_after]]-Table1[[#This Row],[Salary_before]]</f>
        <v>-121.11999999999534</v>
      </c>
      <c r="L3864" s="11">
        <v>-2E-3</v>
      </c>
      <c r="M3864" s="11">
        <v>4.2999999999999997E-2</v>
      </c>
      <c r="N3864">
        <v>38.82</v>
      </c>
      <c r="O3864">
        <v>63.84</v>
      </c>
      <c r="P3864">
        <v>5</v>
      </c>
      <c r="Q3864" t="s">
        <v>25</v>
      </c>
      <c r="R3864">
        <v>77.81</v>
      </c>
      <c r="S3864">
        <v>0.2</v>
      </c>
      <c r="T3864" s="4">
        <v>52.515000000000001</v>
      </c>
      <c r="U3864" s="4">
        <v>36.829295999999999</v>
      </c>
      <c r="V3864" t="str">
        <f>IF(Table1[[#This Row],[ai_disruption_intensity]]&gt;70,"High",
IF(Table1[[#This Row],[ai_disruption_intensity]]&gt;40,"Medium","Low"))</f>
        <v>Low</v>
      </c>
      <c r="W3864" t="str">
        <f>IF(Table1[[#This Row],[skill_gap_index]]&gt;70,"Large Gap",
IF(Table1[[#This Row],[skill_gap_index]]&gt;40,"Medium Gap","Small Gap"))</f>
        <v>Large Gap</v>
      </c>
      <c r="X3864" s="3" t="str">
        <f>IF(Table1[[#This Row],[automation_risk_percent]]&gt;0.7,"Highly Automatable",
IF(Table1[[#This Row],[automation_risk_percent]]&gt;0.4,"Moderate Risk","Safe Job"))</f>
        <v>Moderate Risk</v>
      </c>
    </row>
    <row r="3865" spans="1:24" x14ac:dyDescent="0.3">
      <c r="A3865">
        <v>13450</v>
      </c>
      <c r="B3865" t="s">
        <v>39</v>
      </c>
      <c r="C3865" t="s">
        <v>30</v>
      </c>
      <c r="D3865" t="s">
        <v>24</v>
      </c>
      <c r="E3865" s="1">
        <v>2026</v>
      </c>
      <c r="F3865" s="11">
        <v>0.35499999999999998</v>
      </c>
      <c r="G3865">
        <v>29.26</v>
      </c>
      <c r="H3865">
        <v>56.73</v>
      </c>
      <c r="I3865" s="2">
        <v>121074.35</v>
      </c>
      <c r="J3865" s="2">
        <v>128558.28</v>
      </c>
      <c r="K3865" s="2">
        <f>Table1[[#This Row],[Salary_after]]-Table1[[#This Row],[Salary_before]]</f>
        <v>7483.929999999993</v>
      </c>
      <c r="L3865" s="11">
        <v>6.1799999999999994E-2</v>
      </c>
      <c r="M3865" s="11">
        <v>3.8800000000000001E-2</v>
      </c>
      <c r="N3865">
        <v>22.35</v>
      </c>
      <c r="O3865">
        <v>89.09</v>
      </c>
      <c r="P3865">
        <v>2</v>
      </c>
      <c r="Q3865" t="s">
        <v>25</v>
      </c>
      <c r="R3865">
        <v>46.114999999999903</v>
      </c>
      <c r="S3865">
        <v>6.18</v>
      </c>
      <c r="T3865" s="4">
        <v>33.073</v>
      </c>
      <c r="U3865" s="4">
        <v>31.626950000000001</v>
      </c>
      <c r="V3865" t="str">
        <f>IF(Table1[[#This Row],[ai_disruption_intensity]]&gt;70,"High",
IF(Table1[[#This Row],[ai_disruption_intensity]]&gt;40,"Medium","Low"))</f>
        <v>Low</v>
      </c>
      <c r="W3865" t="str">
        <f>IF(Table1[[#This Row],[skill_gap_index]]&gt;70,"Large Gap",
IF(Table1[[#This Row],[skill_gap_index]]&gt;40,"Medium Gap","Small Gap"))</f>
        <v>Medium Gap</v>
      </c>
      <c r="X3865" s="3" t="str">
        <f>IF(Table1[[#This Row],[automation_risk_percent]]&gt;0.7,"Highly Automatable",
IF(Table1[[#This Row],[automation_risk_percent]]&gt;0.4,"Moderate Risk","Safe Job"))</f>
        <v>Safe Job</v>
      </c>
    </row>
    <row r="3866" spans="1:24" x14ac:dyDescent="0.3">
      <c r="A3866">
        <v>13455</v>
      </c>
      <c r="B3866" t="s">
        <v>46</v>
      </c>
      <c r="C3866" t="s">
        <v>33</v>
      </c>
      <c r="D3866" t="s">
        <v>42</v>
      </c>
      <c r="E3866" s="1">
        <v>2026</v>
      </c>
      <c r="F3866" s="11">
        <v>9.5299999999999996E-2</v>
      </c>
      <c r="G3866">
        <v>8.7899999999999991</v>
      </c>
      <c r="H3866">
        <v>52.31</v>
      </c>
      <c r="I3866" s="2">
        <v>136271.98000000001</v>
      </c>
      <c r="J3866" s="2">
        <v>127559.44</v>
      </c>
      <c r="K3866" s="2">
        <f>Table1[[#This Row],[Salary_after]]-Table1[[#This Row],[Salary_before]]</f>
        <v>-8712.5400000000081</v>
      </c>
      <c r="L3866" s="11">
        <v>-6.3899999999999998E-2</v>
      </c>
      <c r="M3866" s="11">
        <v>-1.5100000000000001E-2</v>
      </c>
      <c r="N3866">
        <v>85.98</v>
      </c>
      <c r="O3866">
        <v>50.82</v>
      </c>
      <c r="P3866">
        <v>4</v>
      </c>
      <c r="Q3866" t="s">
        <v>21</v>
      </c>
      <c r="R3866">
        <v>30.92</v>
      </c>
      <c r="S3866">
        <v>6.39</v>
      </c>
      <c r="T3866" s="4">
        <v>21.421999999999901</v>
      </c>
      <c r="U3866" s="4">
        <v>4.843146</v>
      </c>
      <c r="V3866" t="str">
        <f>IF(Table1[[#This Row],[ai_disruption_intensity]]&gt;70,"High",
IF(Table1[[#This Row],[ai_disruption_intensity]]&gt;40,"Medium","Low"))</f>
        <v>Low</v>
      </c>
      <c r="W3866" t="str">
        <f>IF(Table1[[#This Row],[skill_gap_index]]&gt;70,"Large Gap",
IF(Table1[[#This Row],[skill_gap_index]]&gt;40,"Medium Gap","Small Gap"))</f>
        <v>Medium Gap</v>
      </c>
      <c r="X3866" s="3" t="str">
        <f>IF(Table1[[#This Row],[automation_risk_percent]]&gt;0.7,"Highly Automatable",
IF(Table1[[#This Row],[automation_risk_percent]]&gt;0.4,"Moderate Risk","Safe Job"))</f>
        <v>Safe Job</v>
      </c>
    </row>
    <row r="3867" spans="1:24" x14ac:dyDescent="0.3">
      <c r="A3867">
        <v>13457</v>
      </c>
      <c r="B3867" t="s">
        <v>45</v>
      </c>
      <c r="C3867" t="s">
        <v>34</v>
      </c>
      <c r="D3867" t="s">
        <v>31</v>
      </c>
      <c r="E3867" s="1">
        <v>2026</v>
      </c>
      <c r="F3867" s="11">
        <v>0.57799999999999996</v>
      </c>
      <c r="G3867">
        <v>49.51</v>
      </c>
      <c r="H3867">
        <v>89.71</v>
      </c>
      <c r="I3867" s="2">
        <v>145757.35</v>
      </c>
      <c r="J3867" s="2">
        <v>155259.71</v>
      </c>
      <c r="K3867" s="2">
        <f>Table1[[#This Row],[Salary_after]]-Table1[[#This Row],[Salary_before]]</f>
        <v>9502.359999999986</v>
      </c>
      <c r="L3867" s="11">
        <v>6.5199999999999994E-2</v>
      </c>
      <c r="M3867" s="11">
        <v>-0.13600000000000001</v>
      </c>
      <c r="N3867">
        <v>45.98</v>
      </c>
      <c r="O3867">
        <v>61.29</v>
      </c>
      <c r="P3867">
        <v>4</v>
      </c>
      <c r="Q3867" t="s">
        <v>25</v>
      </c>
      <c r="R3867">
        <v>73.754999999999995</v>
      </c>
      <c r="S3867">
        <v>6.52</v>
      </c>
      <c r="T3867" s="4">
        <v>51.988999999999997</v>
      </c>
      <c r="U3867" s="4">
        <v>35.425620000000002</v>
      </c>
      <c r="V3867" t="str">
        <f>IF(Table1[[#This Row],[ai_disruption_intensity]]&gt;70,"High",
IF(Table1[[#This Row],[ai_disruption_intensity]]&gt;40,"Medium","Low"))</f>
        <v>Low</v>
      </c>
      <c r="W3867" t="str">
        <f>IF(Table1[[#This Row],[skill_gap_index]]&gt;70,"Large Gap",
IF(Table1[[#This Row],[skill_gap_index]]&gt;40,"Medium Gap","Small Gap"))</f>
        <v>Large Gap</v>
      </c>
      <c r="X3867" s="3" t="str">
        <f>IF(Table1[[#This Row],[automation_risk_percent]]&gt;0.7,"Highly Automatable",
IF(Table1[[#This Row],[automation_risk_percent]]&gt;0.4,"Moderate Risk","Safe Job"))</f>
        <v>Moderate Risk</v>
      </c>
    </row>
    <row r="3868" spans="1:24" x14ac:dyDescent="0.3">
      <c r="A3868">
        <v>13461</v>
      </c>
      <c r="B3868" t="s">
        <v>41</v>
      </c>
      <c r="C3868" t="s">
        <v>23</v>
      </c>
      <c r="D3868" t="s">
        <v>32</v>
      </c>
      <c r="E3868" s="1">
        <v>2026</v>
      </c>
      <c r="F3868" s="11">
        <v>0.81900000000000006</v>
      </c>
      <c r="G3868">
        <v>83.9</v>
      </c>
      <c r="H3868">
        <v>16.899999999999999</v>
      </c>
      <c r="I3868" s="2">
        <v>137079.81</v>
      </c>
      <c r="J3868" s="2">
        <v>149078.21</v>
      </c>
      <c r="K3868" s="2">
        <f>Table1[[#This Row],[Salary_after]]-Table1[[#This Row],[Salary_before]]</f>
        <v>11998.399999999994</v>
      </c>
      <c r="L3868" s="11">
        <v>8.7499999999999994E-2</v>
      </c>
      <c r="M3868" s="11">
        <v>2.9500000000000002E-2</v>
      </c>
      <c r="N3868">
        <v>61.83</v>
      </c>
      <c r="O3868">
        <v>5.14</v>
      </c>
      <c r="P3868">
        <v>5</v>
      </c>
      <c r="Q3868" t="s">
        <v>37</v>
      </c>
      <c r="R3868">
        <v>49.4</v>
      </c>
      <c r="S3868">
        <v>8.75</v>
      </c>
      <c r="T3868" s="4">
        <v>40.454999999999998</v>
      </c>
      <c r="U3868" s="4">
        <v>4.2096600000000004</v>
      </c>
      <c r="V3868" t="str">
        <f>IF(Table1[[#This Row],[ai_disruption_intensity]]&gt;70,"High",
IF(Table1[[#This Row],[ai_disruption_intensity]]&gt;40,"Medium","Low"))</f>
        <v>Low</v>
      </c>
      <c r="W3868" t="str">
        <f>IF(Table1[[#This Row],[skill_gap_index]]&gt;70,"Large Gap",
IF(Table1[[#This Row],[skill_gap_index]]&gt;40,"Medium Gap","Small Gap"))</f>
        <v>Small Gap</v>
      </c>
      <c r="X3868" s="3" t="str">
        <f>IF(Table1[[#This Row],[automation_risk_percent]]&gt;0.7,"Highly Automatable",
IF(Table1[[#This Row],[automation_risk_percent]]&gt;0.4,"Moderate Risk","Safe Job"))</f>
        <v>Highly Automatable</v>
      </c>
    </row>
    <row r="3869" spans="1:24" x14ac:dyDescent="0.3">
      <c r="A3869">
        <v>13462</v>
      </c>
      <c r="B3869" t="s">
        <v>43</v>
      </c>
      <c r="C3869" t="s">
        <v>30</v>
      </c>
      <c r="D3869" t="s">
        <v>32</v>
      </c>
      <c r="E3869" s="1">
        <v>2025</v>
      </c>
      <c r="F3869" s="11">
        <v>0.64939999999999998</v>
      </c>
      <c r="G3869">
        <v>52.62</v>
      </c>
      <c r="H3869">
        <v>9.92</v>
      </c>
      <c r="I3869" s="2">
        <v>70446.210000000006</v>
      </c>
      <c r="J3869" s="2">
        <v>62988.78</v>
      </c>
      <c r="K3869" s="2">
        <f>Table1[[#This Row],[Salary_after]]-Table1[[#This Row],[Salary_before]]</f>
        <v>-7457.4300000000076</v>
      </c>
      <c r="L3869" s="11">
        <v>-0.10589999999999999</v>
      </c>
      <c r="M3869" s="11">
        <v>0.24249999999999999</v>
      </c>
      <c r="N3869">
        <v>45.78</v>
      </c>
      <c r="O3869">
        <v>42.8</v>
      </c>
      <c r="P3869">
        <v>2</v>
      </c>
      <c r="Q3869" t="s">
        <v>37</v>
      </c>
      <c r="R3869">
        <v>37.43</v>
      </c>
      <c r="S3869">
        <v>10.59</v>
      </c>
      <c r="T3869" s="4">
        <v>32.128999999999998</v>
      </c>
      <c r="U3869" s="4">
        <v>27.794319999999999</v>
      </c>
      <c r="V3869" t="str">
        <f>IF(Table1[[#This Row],[ai_disruption_intensity]]&gt;70,"High",
IF(Table1[[#This Row],[ai_disruption_intensity]]&gt;40,"Medium","Low"))</f>
        <v>Low</v>
      </c>
      <c r="W3869" t="str">
        <f>IF(Table1[[#This Row],[skill_gap_index]]&gt;70,"Large Gap",
IF(Table1[[#This Row],[skill_gap_index]]&gt;40,"Medium Gap","Small Gap"))</f>
        <v>Small Gap</v>
      </c>
      <c r="X3869" s="3" t="str">
        <f>IF(Table1[[#This Row],[automation_risk_percent]]&gt;0.7,"Highly Automatable",
IF(Table1[[#This Row],[automation_risk_percent]]&gt;0.4,"Moderate Risk","Safe Job"))</f>
        <v>Moderate Risk</v>
      </c>
    </row>
    <row r="3870" spans="1:24" x14ac:dyDescent="0.3">
      <c r="A3870">
        <v>13464</v>
      </c>
      <c r="B3870" t="s">
        <v>39</v>
      </c>
      <c r="C3870" t="s">
        <v>34</v>
      </c>
      <c r="D3870" t="s">
        <v>42</v>
      </c>
      <c r="E3870" s="1">
        <v>2026</v>
      </c>
      <c r="F3870" s="11">
        <v>0.27379999999999999</v>
      </c>
      <c r="G3870">
        <v>26.88</v>
      </c>
      <c r="H3870">
        <v>28.72</v>
      </c>
      <c r="I3870" s="2">
        <v>34556.75</v>
      </c>
      <c r="J3870" s="2">
        <v>31801.54</v>
      </c>
      <c r="K3870" s="2">
        <f>Table1[[#This Row],[Salary_after]]-Table1[[#This Row],[Salary_before]]</f>
        <v>-2755.2099999999991</v>
      </c>
      <c r="L3870" s="11">
        <v>-7.9699999999999993E-2</v>
      </c>
      <c r="M3870" s="11">
        <v>-3.5000000000000003E-2</v>
      </c>
      <c r="N3870">
        <v>71.62</v>
      </c>
      <c r="O3870">
        <v>34.270000000000003</v>
      </c>
      <c r="P3870">
        <v>3</v>
      </c>
      <c r="Q3870" t="s">
        <v>21</v>
      </c>
      <c r="R3870">
        <v>28.049999999999901</v>
      </c>
      <c r="S3870">
        <v>7.97</v>
      </c>
      <c r="T3870" s="4">
        <v>21.9589999999999</v>
      </c>
      <c r="U3870" s="4">
        <v>9.3831260000000007</v>
      </c>
      <c r="V3870" t="str">
        <f>IF(Table1[[#This Row],[ai_disruption_intensity]]&gt;70,"High",
IF(Table1[[#This Row],[ai_disruption_intensity]]&gt;40,"Medium","Low"))</f>
        <v>Low</v>
      </c>
      <c r="W3870" t="str">
        <f>IF(Table1[[#This Row],[skill_gap_index]]&gt;70,"Large Gap",
IF(Table1[[#This Row],[skill_gap_index]]&gt;40,"Medium Gap","Small Gap"))</f>
        <v>Small Gap</v>
      </c>
      <c r="X3870" s="3" t="str">
        <f>IF(Table1[[#This Row],[automation_risk_percent]]&gt;0.7,"Highly Automatable",
IF(Table1[[#This Row],[automation_risk_percent]]&gt;0.4,"Moderate Risk","Safe Job"))</f>
        <v>Safe Job</v>
      </c>
    </row>
    <row r="3871" spans="1:24" x14ac:dyDescent="0.3">
      <c r="A3871">
        <v>13467</v>
      </c>
      <c r="B3871" t="s">
        <v>41</v>
      </c>
      <c r="C3871" t="s">
        <v>19</v>
      </c>
      <c r="D3871" t="s">
        <v>20</v>
      </c>
      <c r="E3871" s="1">
        <v>2025</v>
      </c>
      <c r="F3871" s="11">
        <v>0.755</v>
      </c>
      <c r="G3871">
        <v>84.41</v>
      </c>
      <c r="H3871">
        <v>36.14</v>
      </c>
      <c r="I3871" s="2">
        <v>144152.18</v>
      </c>
      <c r="J3871" s="2">
        <v>136603.95000000001</v>
      </c>
      <c r="K3871" s="2">
        <f>Table1[[#This Row],[Salary_after]]-Table1[[#This Row],[Salary_before]]</f>
        <v>-7548.2299999999814</v>
      </c>
      <c r="L3871" s="11">
        <v>-5.2400000000000002E-2</v>
      </c>
      <c r="M3871" s="11">
        <v>0.1234</v>
      </c>
      <c r="N3871">
        <v>45.4</v>
      </c>
      <c r="O3871">
        <v>90.82</v>
      </c>
      <c r="P3871">
        <v>5</v>
      </c>
      <c r="Q3871" t="s">
        <v>37</v>
      </c>
      <c r="R3871">
        <v>55.82</v>
      </c>
      <c r="S3871">
        <v>5.24</v>
      </c>
      <c r="T3871" s="4">
        <v>42.613999999999997</v>
      </c>
      <c r="U3871" s="4">
        <v>68.569099999999906</v>
      </c>
      <c r="V3871" t="str">
        <f>IF(Table1[[#This Row],[ai_disruption_intensity]]&gt;70,"High",
IF(Table1[[#This Row],[ai_disruption_intensity]]&gt;40,"Medium","Low"))</f>
        <v>Medium</v>
      </c>
      <c r="W3871" t="str">
        <f>IF(Table1[[#This Row],[skill_gap_index]]&gt;70,"Large Gap",
IF(Table1[[#This Row],[skill_gap_index]]&gt;40,"Medium Gap","Small Gap"))</f>
        <v>Small Gap</v>
      </c>
      <c r="X3871" s="3" t="str">
        <f>IF(Table1[[#This Row],[automation_risk_percent]]&gt;0.7,"Highly Automatable",
IF(Table1[[#This Row],[automation_risk_percent]]&gt;0.4,"Moderate Risk","Safe Job"))</f>
        <v>Highly Automatable</v>
      </c>
    </row>
    <row r="3872" spans="1:24" x14ac:dyDescent="0.3">
      <c r="A3872">
        <v>13468</v>
      </c>
      <c r="B3872" t="s">
        <v>18</v>
      </c>
      <c r="C3872" t="s">
        <v>40</v>
      </c>
      <c r="D3872" t="s">
        <v>47</v>
      </c>
      <c r="E3872" s="1">
        <v>2025</v>
      </c>
      <c r="F3872" s="11">
        <v>0.68269999999999997</v>
      </c>
      <c r="G3872">
        <v>76.66</v>
      </c>
      <c r="H3872">
        <v>97.13</v>
      </c>
      <c r="I3872" s="2">
        <v>38929.25</v>
      </c>
      <c r="J3872" s="2">
        <v>38528.03</v>
      </c>
      <c r="K3872" s="2">
        <f>Table1[[#This Row],[Salary_after]]-Table1[[#This Row],[Salary_before]]</f>
        <v>-401.22000000000116</v>
      </c>
      <c r="L3872" s="11">
        <v>-1.03E-2</v>
      </c>
      <c r="M3872" s="11">
        <v>-1.9400000000000001E-2</v>
      </c>
      <c r="N3872">
        <v>92.14</v>
      </c>
      <c r="O3872">
        <v>53.35</v>
      </c>
      <c r="P3872">
        <v>4</v>
      </c>
      <c r="Q3872" t="s">
        <v>37</v>
      </c>
      <c r="R3872">
        <v>82.699999999999903</v>
      </c>
      <c r="S3872">
        <v>1.03</v>
      </c>
      <c r="T3872" s="4">
        <v>56.755999999999901</v>
      </c>
      <c r="U3872" s="4">
        <v>36.422044999999997</v>
      </c>
      <c r="V3872" t="str">
        <f>IF(Table1[[#This Row],[ai_disruption_intensity]]&gt;70,"High",
IF(Table1[[#This Row],[ai_disruption_intensity]]&gt;40,"Medium","Low"))</f>
        <v>Low</v>
      </c>
      <c r="W3872" t="str">
        <f>IF(Table1[[#This Row],[skill_gap_index]]&gt;70,"Large Gap",
IF(Table1[[#This Row],[skill_gap_index]]&gt;40,"Medium Gap","Small Gap"))</f>
        <v>Large Gap</v>
      </c>
      <c r="X3872" s="3" t="str">
        <f>IF(Table1[[#This Row],[automation_risk_percent]]&gt;0.7,"Highly Automatable",
IF(Table1[[#This Row],[automation_risk_percent]]&gt;0.4,"Moderate Risk","Safe Job"))</f>
        <v>Moderate Risk</v>
      </c>
    </row>
    <row r="3873" spans="1:24" x14ac:dyDescent="0.3">
      <c r="A3873">
        <v>13470</v>
      </c>
      <c r="B3873" t="s">
        <v>26</v>
      </c>
      <c r="C3873" t="s">
        <v>33</v>
      </c>
      <c r="D3873" t="s">
        <v>32</v>
      </c>
      <c r="E3873" s="1">
        <v>2026</v>
      </c>
      <c r="F3873" s="11">
        <v>0.27279999999999999</v>
      </c>
      <c r="G3873">
        <v>24.31</v>
      </c>
      <c r="H3873">
        <v>15.11</v>
      </c>
      <c r="I3873" s="2">
        <v>51258.89</v>
      </c>
      <c r="J3873" s="2">
        <v>47814.29</v>
      </c>
      <c r="K3873" s="2">
        <f>Table1[[#This Row],[Salary_after]]-Table1[[#This Row],[Salary_before]]</f>
        <v>-3444.5999999999985</v>
      </c>
      <c r="L3873" s="11">
        <v>-6.7199999999999996E-2</v>
      </c>
      <c r="M3873" s="11">
        <v>5.3399999999999996E-2</v>
      </c>
      <c r="N3873">
        <v>16.8</v>
      </c>
      <c r="O3873">
        <v>45.15</v>
      </c>
      <c r="P3873">
        <v>4</v>
      </c>
      <c r="Q3873" t="s">
        <v>21</v>
      </c>
      <c r="R3873">
        <v>21.195</v>
      </c>
      <c r="S3873">
        <v>6.72</v>
      </c>
      <c r="T3873" s="4">
        <v>17.460999999999999</v>
      </c>
      <c r="U3873" s="4">
        <v>12.31692</v>
      </c>
      <c r="V3873" t="str">
        <f>IF(Table1[[#This Row],[ai_disruption_intensity]]&gt;70,"High",
IF(Table1[[#This Row],[ai_disruption_intensity]]&gt;40,"Medium","Low"))</f>
        <v>Low</v>
      </c>
      <c r="W3873" t="str">
        <f>IF(Table1[[#This Row],[skill_gap_index]]&gt;70,"Large Gap",
IF(Table1[[#This Row],[skill_gap_index]]&gt;40,"Medium Gap","Small Gap"))</f>
        <v>Small Gap</v>
      </c>
      <c r="X3873" s="3" t="str">
        <f>IF(Table1[[#This Row],[automation_risk_percent]]&gt;0.7,"Highly Automatable",
IF(Table1[[#This Row],[automation_risk_percent]]&gt;0.4,"Moderate Risk","Safe Job"))</f>
        <v>Safe Job</v>
      </c>
    </row>
    <row r="3874" spans="1:24" x14ac:dyDescent="0.3">
      <c r="A3874">
        <v>13471</v>
      </c>
      <c r="B3874" t="s">
        <v>22</v>
      </c>
      <c r="C3874" t="s">
        <v>27</v>
      </c>
      <c r="D3874" t="s">
        <v>31</v>
      </c>
      <c r="E3874" s="1">
        <v>2025</v>
      </c>
      <c r="F3874" s="11">
        <v>0.59060000000000001</v>
      </c>
      <c r="G3874">
        <v>63.53</v>
      </c>
      <c r="H3874">
        <v>89.95</v>
      </c>
      <c r="I3874" s="2">
        <v>90740.02</v>
      </c>
      <c r="J3874" s="2">
        <v>96559.4</v>
      </c>
      <c r="K3874" s="2">
        <f>Table1[[#This Row],[Salary_after]]-Table1[[#This Row],[Salary_before]]</f>
        <v>5819.3799999999901</v>
      </c>
      <c r="L3874" s="11">
        <v>6.4100000000000004E-2</v>
      </c>
      <c r="M3874" s="11">
        <v>-1.0200000000000001E-2</v>
      </c>
      <c r="N3874">
        <v>23.28</v>
      </c>
      <c r="O3874">
        <v>67.36</v>
      </c>
      <c r="P3874">
        <v>3</v>
      </c>
      <c r="Q3874" t="s">
        <v>25</v>
      </c>
      <c r="R3874">
        <v>74.504999999999995</v>
      </c>
      <c r="S3874">
        <v>6.41</v>
      </c>
      <c r="T3874" s="4">
        <v>52.531999999999996</v>
      </c>
      <c r="U3874" s="4">
        <v>39.782815999999997</v>
      </c>
      <c r="V3874" t="str">
        <f>IF(Table1[[#This Row],[ai_disruption_intensity]]&gt;70,"High",
IF(Table1[[#This Row],[ai_disruption_intensity]]&gt;40,"Medium","Low"))</f>
        <v>Low</v>
      </c>
      <c r="W3874" t="str">
        <f>IF(Table1[[#This Row],[skill_gap_index]]&gt;70,"Large Gap",
IF(Table1[[#This Row],[skill_gap_index]]&gt;40,"Medium Gap","Small Gap"))</f>
        <v>Large Gap</v>
      </c>
      <c r="X3874" s="3" t="str">
        <f>IF(Table1[[#This Row],[automation_risk_percent]]&gt;0.7,"Highly Automatable",
IF(Table1[[#This Row],[automation_risk_percent]]&gt;0.4,"Moderate Risk","Safe Job"))</f>
        <v>Moderate Risk</v>
      </c>
    </row>
    <row r="3875" spans="1:24" x14ac:dyDescent="0.3">
      <c r="A3875">
        <v>13472</v>
      </c>
      <c r="B3875" t="s">
        <v>18</v>
      </c>
      <c r="C3875" t="s">
        <v>27</v>
      </c>
      <c r="D3875" t="s">
        <v>28</v>
      </c>
      <c r="E3875" s="1">
        <v>2025</v>
      </c>
      <c r="F3875" s="11">
        <v>0.58920000000000006</v>
      </c>
      <c r="G3875">
        <v>51.69</v>
      </c>
      <c r="H3875">
        <v>5.48</v>
      </c>
      <c r="I3875" s="2">
        <v>52525.19</v>
      </c>
      <c r="J3875" s="2">
        <v>55220.86</v>
      </c>
      <c r="K3875" s="2">
        <f>Table1[[#This Row],[Salary_after]]-Table1[[#This Row],[Salary_before]]</f>
        <v>2695.6699999999983</v>
      </c>
      <c r="L3875" s="11">
        <v>5.1299999999999998E-2</v>
      </c>
      <c r="M3875" s="11">
        <v>9.5000000000000001E-2</v>
      </c>
      <c r="N3875">
        <v>33.58</v>
      </c>
      <c r="O3875">
        <v>51.97</v>
      </c>
      <c r="P3875">
        <v>5</v>
      </c>
      <c r="Q3875" t="s">
        <v>25</v>
      </c>
      <c r="R3875">
        <v>32.200000000000003</v>
      </c>
      <c r="S3875">
        <v>5.13</v>
      </c>
      <c r="T3875" s="4">
        <v>26.751000000000001</v>
      </c>
      <c r="U3875" s="4">
        <v>30.620723999999999</v>
      </c>
      <c r="V3875" t="str">
        <f>IF(Table1[[#This Row],[ai_disruption_intensity]]&gt;70,"High",
IF(Table1[[#This Row],[ai_disruption_intensity]]&gt;40,"Medium","Low"))</f>
        <v>Low</v>
      </c>
      <c r="W3875" t="str">
        <f>IF(Table1[[#This Row],[skill_gap_index]]&gt;70,"Large Gap",
IF(Table1[[#This Row],[skill_gap_index]]&gt;40,"Medium Gap","Small Gap"))</f>
        <v>Small Gap</v>
      </c>
      <c r="X3875" s="3" t="str">
        <f>IF(Table1[[#This Row],[automation_risk_percent]]&gt;0.7,"Highly Automatable",
IF(Table1[[#This Row],[automation_risk_percent]]&gt;0.4,"Moderate Risk","Safe Job"))</f>
        <v>Moderate Risk</v>
      </c>
    </row>
    <row r="3876" spans="1:24" x14ac:dyDescent="0.3">
      <c r="A3876">
        <v>13473</v>
      </c>
      <c r="B3876" t="s">
        <v>22</v>
      </c>
      <c r="C3876" t="s">
        <v>30</v>
      </c>
      <c r="D3876" t="s">
        <v>36</v>
      </c>
      <c r="E3876" s="1">
        <v>2025</v>
      </c>
      <c r="F3876" s="11">
        <v>0.13949999999999999</v>
      </c>
      <c r="G3876">
        <v>12.24</v>
      </c>
      <c r="H3876">
        <v>56.68</v>
      </c>
      <c r="I3876" s="2">
        <v>57932.22</v>
      </c>
      <c r="J3876" s="2">
        <v>62192.27</v>
      </c>
      <c r="K3876" s="2">
        <f>Table1[[#This Row],[Salary_after]]-Table1[[#This Row],[Salary_before]]</f>
        <v>4260.0499999999956</v>
      </c>
      <c r="L3876" s="11">
        <v>7.3499999999999996E-2</v>
      </c>
      <c r="M3876" s="11">
        <v>-2.1099999999999997E-2</v>
      </c>
      <c r="N3876">
        <v>48.02</v>
      </c>
      <c r="O3876">
        <v>70.58</v>
      </c>
      <c r="P3876">
        <v>2</v>
      </c>
      <c r="Q3876" t="s">
        <v>21</v>
      </c>
      <c r="R3876">
        <v>35.314999999999998</v>
      </c>
      <c r="S3876">
        <v>7.35</v>
      </c>
      <c r="T3876" s="4">
        <v>24.788999999999898</v>
      </c>
      <c r="U3876" s="4">
        <v>9.8459099999999893</v>
      </c>
      <c r="V3876" t="str">
        <f>IF(Table1[[#This Row],[ai_disruption_intensity]]&gt;70,"High",
IF(Table1[[#This Row],[ai_disruption_intensity]]&gt;40,"Medium","Low"))</f>
        <v>Low</v>
      </c>
      <c r="W3876" t="str">
        <f>IF(Table1[[#This Row],[skill_gap_index]]&gt;70,"Large Gap",
IF(Table1[[#This Row],[skill_gap_index]]&gt;40,"Medium Gap","Small Gap"))</f>
        <v>Medium Gap</v>
      </c>
      <c r="X3876" s="3" t="str">
        <f>IF(Table1[[#This Row],[automation_risk_percent]]&gt;0.7,"Highly Automatable",
IF(Table1[[#This Row],[automation_risk_percent]]&gt;0.4,"Moderate Risk","Safe Job"))</f>
        <v>Safe Job</v>
      </c>
    </row>
    <row r="3877" spans="1:24" x14ac:dyDescent="0.3">
      <c r="A3877">
        <v>13482</v>
      </c>
      <c r="B3877" t="s">
        <v>29</v>
      </c>
      <c r="C3877" t="s">
        <v>30</v>
      </c>
      <c r="D3877" t="s">
        <v>35</v>
      </c>
      <c r="E3877" s="1">
        <v>2025</v>
      </c>
      <c r="F3877" s="11">
        <v>0.58379999999999999</v>
      </c>
      <c r="G3877">
        <v>65.12</v>
      </c>
      <c r="H3877">
        <v>39.92</v>
      </c>
      <c r="I3877" s="2">
        <v>145729.31</v>
      </c>
      <c r="J3877" s="2">
        <v>146071.32999999999</v>
      </c>
      <c r="K3877" s="2">
        <f>Table1[[#This Row],[Salary_after]]-Table1[[#This Row],[Salary_before]]</f>
        <v>342.01999999998952</v>
      </c>
      <c r="L3877" s="11">
        <v>2.3E-3</v>
      </c>
      <c r="M3877" s="11">
        <v>-8.5500000000000007E-2</v>
      </c>
      <c r="N3877">
        <v>24.79</v>
      </c>
      <c r="O3877">
        <v>26.32</v>
      </c>
      <c r="P3877">
        <v>1</v>
      </c>
      <c r="Q3877" t="s">
        <v>25</v>
      </c>
      <c r="R3877">
        <v>49.15</v>
      </c>
      <c r="S3877">
        <v>0.23</v>
      </c>
      <c r="T3877" s="4">
        <v>35.396999999999998</v>
      </c>
      <c r="U3877" s="4">
        <v>15.365615999999999</v>
      </c>
      <c r="V3877" t="str">
        <f>IF(Table1[[#This Row],[ai_disruption_intensity]]&gt;70,"High",
IF(Table1[[#This Row],[ai_disruption_intensity]]&gt;40,"Medium","Low"))</f>
        <v>Low</v>
      </c>
      <c r="W3877" t="str">
        <f>IF(Table1[[#This Row],[skill_gap_index]]&gt;70,"Large Gap",
IF(Table1[[#This Row],[skill_gap_index]]&gt;40,"Medium Gap","Small Gap"))</f>
        <v>Small Gap</v>
      </c>
      <c r="X3877" s="3" t="str">
        <f>IF(Table1[[#This Row],[automation_risk_percent]]&gt;0.7,"Highly Automatable",
IF(Table1[[#This Row],[automation_risk_percent]]&gt;0.4,"Moderate Risk","Safe Job"))</f>
        <v>Moderate Risk</v>
      </c>
    </row>
    <row r="3878" spans="1:24" x14ac:dyDescent="0.3">
      <c r="A3878">
        <v>13485</v>
      </c>
      <c r="B3878" t="s">
        <v>26</v>
      </c>
      <c r="C3878" t="s">
        <v>30</v>
      </c>
      <c r="D3878" t="s">
        <v>31</v>
      </c>
      <c r="E3878" s="1">
        <v>2025</v>
      </c>
      <c r="F3878" s="11">
        <v>0.45729999999999998</v>
      </c>
      <c r="G3878">
        <v>42.38</v>
      </c>
      <c r="H3878">
        <v>24.69</v>
      </c>
      <c r="I3878" s="2">
        <v>63488.76</v>
      </c>
      <c r="J3878" s="2">
        <v>60526.97</v>
      </c>
      <c r="K3878" s="2">
        <f>Table1[[#This Row],[Salary_after]]-Table1[[#This Row],[Salary_before]]</f>
        <v>-2961.7900000000009</v>
      </c>
      <c r="L3878" s="11">
        <v>-4.6699999999999998E-2</v>
      </c>
      <c r="M3878" s="11">
        <v>2.58E-2</v>
      </c>
      <c r="N3878">
        <v>11.04</v>
      </c>
      <c r="O3878">
        <v>50.28</v>
      </c>
      <c r="P3878">
        <v>3</v>
      </c>
      <c r="Q3878" t="s">
        <v>25</v>
      </c>
      <c r="R3878">
        <v>35.21</v>
      </c>
      <c r="S3878">
        <v>4.67</v>
      </c>
      <c r="T3878" s="4">
        <v>27.099999999999898</v>
      </c>
      <c r="U3878" s="4">
        <v>22.993044000000001</v>
      </c>
      <c r="V3878" t="str">
        <f>IF(Table1[[#This Row],[ai_disruption_intensity]]&gt;70,"High",
IF(Table1[[#This Row],[ai_disruption_intensity]]&gt;40,"Medium","Low"))</f>
        <v>Low</v>
      </c>
      <c r="W3878" t="str">
        <f>IF(Table1[[#This Row],[skill_gap_index]]&gt;70,"Large Gap",
IF(Table1[[#This Row],[skill_gap_index]]&gt;40,"Medium Gap","Small Gap"))</f>
        <v>Small Gap</v>
      </c>
      <c r="X3878" s="3" t="str">
        <f>IF(Table1[[#This Row],[automation_risk_percent]]&gt;0.7,"Highly Automatable",
IF(Table1[[#This Row],[automation_risk_percent]]&gt;0.4,"Moderate Risk","Safe Job"))</f>
        <v>Moderate Risk</v>
      </c>
    </row>
    <row r="3879" spans="1:24" x14ac:dyDescent="0.3">
      <c r="A3879">
        <v>13493</v>
      </c>
      <c r="B3879" t="s">
        <v>41</v>
      </c>
      <c r="C3879" t="s">
        <v>30</v>
      </c>
      <c r="D3879" t="s">
        <v>47</v>
      </c>
      <c r="E3879" s="1">
        <v>2025</v>
      </c>
      <c r="F3879" s="11">
        <v>0.77010000000000001</v>
      </c>
      <c r="G3879">
        <v>63.18</v>
      </c>
      <c r="H3879">
        <v>77.86</v>
      </c>
      <c r="I3879" s="2">
        <v>142142.82999999999</v>
      </c>
      <c r="J3879" s="2">
        <v>151576.32000000001</v>
      </c>
      <c r="K3879" s="2">
        <f>Table1[[#This Row],[Salary_after]]-Table1[[#This Row],[Salary_before]]</f>
        <v>9433.4900000000198</v>
      </c>
      <c r="L3879" s="11">
        <v>6.6400000000000001E-2</v>
      </c>
      <c r="M3879" s="11">
        <v>-6.8999999999999999E-3</v>
      </c>
      <c r="N3879">
        <v>92.64</v>
      </c>
      <c r="O3879">
        <v>32.340000000000003</v>
      </c>
      <c r="P3879">
        <v>5</v>
      </c>
      <c r="Q3879" t="s">
        <v>37</v>
      </c>
      <c r="R3879">
        <v>77.435000000000002</v>
      </c>
      <c r="S3879">
        <v>6.64</v>
      </c>
      <c r="T3879" s="4">
        <v>56.154000000000003</v>
      </c>
      <c r="U3879" s="4">
        <v>24.905034000000001</v>
      </c>
      <c r="V3879" t="str">
        <f>IF(Table1[[#This Row],[ai_disruption_intensity]]&gt;70,"High",
IF(Table1[[#This Row],[ai_disruption_intensity]]&gt;40,"Medium","Low"))</f>
        <v>Low</v>
      </c>
      <c r="W3879" t="str">
        <f>IF(Table1[[#This Row],[skill_gap_index]]&gt;70,"Large Gap",
IF(Table1[[#This Row],[skill_gap_index]]&gt;40,"Medium Gap","Small Gap"))</f>
        <v>Large Gap</v>
      </c>
      <c r="X3879" s="3" t="str">
        <f>IF(Table1[[#This Row],[automation_risk_percent]]&gt;0.7,"Highly Automatable",
IF(Table1[[#This Row],[automation_risk_percent]]&gt;0.4,"Moderate Risk","Safe Job"))</f>
        <v>Highly Automatable</v>
      </c>
    </row>
    <row r="3880" spans="1:24" x14ac:dyDescent="0.3">
      <c r="A3880">
        <v>13497</v>
      </c>
      <c r="B3880" t="s">
        <v>22</v>
      </c>
      <c r="C3880" t="s">
        <v>38</v>
      </c>
      <c r="D3880" t="s">
        <v>28</v>
      </c>
      <c r="E3880" s="1">
        <v>2026</v>
      </c>
      <c r="F3880" s="11">
        <v>0.14099999999999999</v>
      </c>
      <c r="G3880">
        <v>12.36</v>
      </c>
      <c r="H3880">
        <v>93.55</v>
      </c>
      <c r="I3880" s="2">
        <v>79499.63</v>
      </c>
      <c r="J3880" s="2">
        <v>72778.75</v>
      </c>
      <c r="K3880" s="2">
        <f>Table1[[#This Row],[Salary_after]]-Table1[[#This Row],[Salary_before]]</f>
        <v>-6720.8800000000047</v>
      </c>
      <c r="L3880" s="11">
        <v>-8.4499999999999992E-2</v>
      </c>
      <c r="M3880" s="11">
        <v>-1.3600000000000001E-2</v>
      </c>
      <c r="N3880">
        <v>60.1</v>
      </c>
      <c r="O3880">
        <v>96.81</v>
      </c>
      <c r="P3880">
        <v>4</v>
      </c>
      <c r="Q3880" t="s">
        <v>21</v>
      </c>
      <c r="R3880">
        <v>53.824999999999903</v>
      </c>
      <c r="S3880">
        <v>8.4499999999999993</v>
      </c>
      <c r="T3880" s="4">
        <v>36.239999999999903</v>
      </c>
      <c r="U3880" s="4">
        <v>13.65021</v>
      </c>
      <c r="V3880" t="str">
        <f>IF(Table1[[#This Row],[ai_disruption_intensity]]&gt;70,"High",
IF(Table1[[#This Row],[ai_disruption_intensity]]&gt;40,"Medium","Low"))</f>
        <v>Low</v>
      </c>
      <c r="W3880" t="str">
        <f>IF(Table1[[#This Row],[skill_gap_index]]&gt;70,"Large Gap",
IF(Table1[[#This Row],[skill_gap_index]]&gt;40,"Medium Gap","Small Gap"))</f>
        <v>Large Gap</v>
      </c>
      <c r="X3880" s="3" t="str">
        <f>IF(Table1[[#This Row],[automation_risk_percent]]&gt;0.7,"Highly Automatable",
IF(Table1[[#This Row],[automation_risk_percent]]&gt;0.4,"Moderate Risk","Safe Job"))</f>
        <v>Safe Job</v>
      </c>
    </row>
    <row r="3881" spans="1:24" x14ac:dyDescent="0.3">
      <c r="A3881">
        <v>13506</v>
      </c>
      <c r="B3881" t="s">
        <v>39</v>
      </c>
      <c r="C3881" t="s">
        <v>19</v>
      </c>
      <c r="D3881" t="s">
        <v>28</v>
      </c>
      <c r="E3881" s="1">
        <v>2025</v>
      </c>
      <c r="F3881" s="11">
        <v>0.79120000000000001</v>
      </c>
      <c r="G3881">
        <v>63.93</v>
      </c>
      <c r="H3881">
        <v>24.29</v>
      </c>
      <c r="I3881" s="2">
        <v>39873.360000000001</v>
      </c>
      <c r="J3881" s="2">
        <v>39970.959999999999</v>
      </c>
      <c r="K3881" s="2">
        <f>Table1[[#This Row],[Salary_after]]-Table1[[#This Row],[Salary_before]]</f>
        <v>97.599999999998545</v>
      </c>
      <c r="L3881" s="11">
        <v>2.3999999999999998E-3</v>
      </c>
      <c r="M3881" s="11">
        <v>0.1258</v>
      </c>
      <c r="N3881">
        <v>96.01</v>
      </c>
      <c r="O3881">
        <v>15.54</v>
      </c>
      <c r="P3881">
        <v>1</v>
      </c>
      <c r="Q3881" t="s">
        <v>37</v>
      </c>
      <c r="R3881">
        <v>51.704999999999998</v>
      </c>
      <c r="S3881">
        <v>0.24</v>
      </c>
      <c r="T3881" s="4">
        <v>39.006999999999998</v>
      </c>
      <c r="U3881" s="4">
        <v>12.2952479999999</v>
      </c>
      <c r="V3881" t="str">
        <f>IF(Table1[[#This Row],[ai_disruption_intensity]]&gt;70,"High",
IF(Table1[[#This Row],[ai_disruption_intensity]]&gt;40,"Medium","Low"))</f>
        <v>Low</v>
      </c>
      <c r="W3881" t="str">
        <f>IF(Table1[[#This Row],[skill_gap_index]]&gt;70,"Large Gap",
IF(Table1[[#This Row],[skill_gap_index]]&gt;40,"Medium Gap","Small Gap"))</f>
        <v>Small Gap</v>
      </c>
      <c r="X3881" s="3" t="str">
        <f>IF(Table1[[#This Row],[automation_risk_percent]]&gt;0.7,"Highly Automatable",
IF(Table1[[#This Row],[automation_risk_percent]]&gt;0.4,"Moderate Risk","Safe Job"))</f>
        <v>Highly Automatable</v>
      </c>
    </row>
    <row r="3882" spans="1:24" x14ac:dyDescent="0.3">
      <c r="A3882">
        <v>13509</v>
      </c>
      <c r="B3882" t="s">
        <v>22</v>
      </c>
      <c r="C3882" t="s">
        <v>33</v>
      </c>
      <c r="D3882" t="s">
        <v>35</v>
      </c>
      <c r="E3882" s="1">
        <v>2025</v>
      </c>
      <c r="F3882" s="11">
        <v>0.40149999999999997</v>
      </c>
      <c r="G3882">
        <v>32.54</v>
      </c>
      <c r="H3882">
        <v>25.06</v>
      </c>
      <c r="I3882" s="2">
        <v>60631.24</v>
      </c>
      <c r="J3882" s="2">
        <v>63367.1</v>
      </c>
      <c r="K3882" s="2">
        <f>Table1[[#This Row],[Salary_after]]-Table1[[#This Row],[Salary_before]]</f>
        <v>2735.8600000000006</v>
      </c>
      <c r="L3882" s="11">
        <v>4.5100000000000001E-2</v>
      </c>
      <c r="M3882" s="11">
        <v>0.1318</v>
      </c>
      <c r="N3882">
        <v>33.65</v>
      </c>
      <c r="O3882">
        <v>36.270000000000003</v>
      </c>
      <c r="P3882">
        <v>3</v>
      </c>
      <c r="Q3882" t="s">
        <v>25</v>
      </c>
      <c r="R3882">
        <v>32.604999999999997</v>
      </c>
      <c r="S3882">
        <v>4.51</v>
      </c>
      <c r="T3882" s="4">
        <v>24.930999999999901</v>
      </c>
      <c r="U3882" s="4">
        <v>14.562405</v>
      </c>
      <c r="V3882" t="str">
        <f>IF(Table1[[#This Row],[ai_disruption_intensity]]&gt;70,"High",
IF(Table1[[#This Row],[ai_disruption_intensity]]&gt;40,"Medium","Low"))</f>
        <v>Low</v>
      </c>
      <c r="W3882" t="str">
        <f>IF(Table1[[#This Row],[skill_gap_index]]&gt;70,"Large Gap",
IF(Table1[[#This Row],[skill_gap_index]]&gt;40,"Medium Gap","Small Gap"))</f>
        <v>Small Gap</v>
      </c>
      <c r="X3882" s="3" t="str">
        <f>IF(Table1[[#This Row],[automation_risk_percent]]&gt;0.7,"Highly Automatable",
IF(Table1[[#This Row],[automation_risk_percent]]&gt;0.4,"Moderate Risk","Safe Job"))</f>
        <v>Moderate Risk</v>
      </c>
    </row>
    <row r="3883" spans="1:24" x14ac:dyDescent="0.3">
      <c r="A3883">
        <v>13510</v>
      </c>
      <c r="B3883" t="s">
        <v>41</v>
      </c>
      <c r="C3883" t="s">
        <v>30</v>
      </c>
      <c r="D3883" t="s">
        <v>28</v>
      </c>
      <c r="E3883" s="1">
        <v>2026</v>
      </c>
      <c r="F3883" s="11">
        <v>0.92390000000000005</v>
      </c>
      <c r="G3883">
        <v>95.96</v>
      </c>
      <c r="H3883">
        <v>69.930000000000007</v>
      </c>
      <c r="I3883" s="2">
        <v>146523.07999999999</v>
      </c>
      <c r="J3883" s="2">
        <v>131142.53</v>
      </c>
      <c r="K3883" s="2">
        <f>Table1[[#This Row],[Salary_after]]-Table1[[#This Row],[Salary_before]]</f>
        <v>-15380.549999999988</v>
      </c>
      <c r="L3883" s="11">
        <v>-0.105</v>
      </c>
      <c r="M3883" s="11">
        <v>0.21739999999999998</v>
      </c>
      <c r="N3883">
        <v>44.47</v>
      </c>
      <c r="O3883">
        <v>11.2</v>
      </c>
      <c r="P3883">
        <v>1</v>
      </c>
      <c r="Q3883" t="s">
        <v>37</v>
      </c>
      <c r="R3883">
        <v>81.16</v>
      </c>
      <c r="S3883">
        <v>10.5</v>
      </c>
      <c r="T3883" s="4">
        <v>61.085000000000001</v>
      </c>
      <c r="U3883" s="4">
        <v>10.34768</v>
      </c>
      <c r="V3883" t="str">
        <f>IF(Table1[[#This Row],[ai_disruption_intensity]]&gt;70,"High",
IF(Table1[[#This Row],[ai_disruption_intensity]]&gt;40,"Medium","Low"))</f>
        <v>Low</v>
      </c>
      <c r="W3883" t="str">
        <f>IF(Table1[[#This Row],[skill_gap_index]]&gt;70,"Large Gap",
IF(Table1[[#This Row],[skill_gap_index]]&gt;40,"Medium Gap","Small Gap"))</f>
        <v>Medium Gap</v>
      </c>
      <c r="X3883" s="3" t="str">
        <f>IF(Table1[[#This Row],[automation_risk_percent]]&gt;0.7,"Highly Automatable",
IF(Table1[[#This Row],[automation_risk_percent]]&gt;0.4,"Moderate Risk","Safe Job"))</f>
        <v>Highly Automatable</v>
      </c>
    </row>
    <row r="3884" spans="1:24" x14ac:dyDescent="0.3">
      <c r="A3884">
        <v>13511</v>
      </c>
      <c r="B3884" t="s">
        <v>29</v>
      </c>
      <c r="C3884" t="s">
        <v>27</v>
      </c>
      <c r="D3884" t="s">
        <v>35</v>
      </c>
      <c r="E3884" s="1">
        <v>2026</v>
      </c>
      <c r="F3884" s="11">
        <v>0.32069999999999999</v>
      </c>
      <c r="G3884">
        <v>30.5</v>
      </c>
      <c r="H3884">
        <v>41.93</v>
      </c>
      <c r="I3884" s="2">
        <v>108832.13</v>
      </c>
      <c r="J3884" s="2">
        <v>127732.18</v>
      </c>
      <c r="K3884" s="2">
        <f>Table1[[#This Row],[Salary_after]]-Table1[[#This Row],[Salary_before]]</f>
        <v>18900.049999999988</v>
      </c>
      <c r="L3884" s="11">
        <v>0.17370000000000002</v>
      </c>
      <c r="M3884" s="11">
        <v>1.9900000000000001E-2</v>
      </c>
      <c r="N3884">
        <v>19.03</v>
      </c>
      <c r="O3884">
        <v>31.58</v>
      </c>
      <c r="P3884">
        <v>1</v>
      </c>
      <c r="Q3884" t="s">
        <v>25</v>
      </c>
      <c r="R3884">
        <v>37</v>
      </c>
      <c r="S3884">
        <v>17.37</v>
      </c>
      <c r="T3884" s="4">
        <v>30.617999999999999</v>
      </c>
      <c r="U3884" s="4">
        <v>10.127706</v>
      </c>
      <c r="V3884" t="str">
        <f>IF(Table1[[#This Row],[ai_disruption_intensity]]&gt;70,"High",
IF(Table1[[#This Row],[ai_disruption_intensity]]&gt;40,"Medium","Low"))</f>
        <v>Low</v>
      </c>
      <c r="W3884" t="str">
        <f>IF(Table1[[#This Row],[skill_gap_index]]&gt;70,"Large Gap",
IF(Table1[[#This Row],[skill_gap_index]]&gt;40,"Medium Gap","Small Gap"))</f>
        <v>Medium Gap</v>
      </c>
      <c r="X3884" s="3" t="str">
        <f>IF(Table1[[#This Row],[automation_risk_percent]]&gt;0.7,"Highly Automatable",
IF(Table1[[#This Row],[automation_risk_percent]]&gt;0.4,"Moderate Risk","Safe Job"))</f>
        <v>Safe Job</v>
      </c>
    </row>
    <row r="3885" spans="1:24" x14ac:dyDescent="0.3">
      <c r="A3885">
        <v>13512</v>
      </c>
      <c r="B3885" t="s">
        <v>43</v>
      </c>
      <c r="C3885" t="s">
        <v>27</v>
      </c>
      <c r="D3885" t="s">
        <v>31</v>
      </c>
      <c r="E3885" s="1">
        <v>2025</v>
      </c>
      <c r="F3885" s="11">
        <v>0.73260000000000003</v>
      </c>
      <c r="G3885">
        <v>59.89</v>
      </c>
      <c r="H3885">
        <v>65.75</v>
      </c>
      <c r="I3885" s="2">
        <v>96495.37</v>
      </c>
      <c r="J3885" s="2">
        <v>91049.74</v>
      </c>
      <c r="K3885" s="2">
        <f>Table1[[#This Row],[Salary_after]]-Table1[[#This Row],[Salary_before]]</f>
        <v>-5445.6299999999901</v>
      </c>
      <c r="L3885" s="11">
        <v>-5.6399999999999999E-2</v>
      </c>
      <c r="M3885" s="11">
        <v>1.9799999999999998E-2</v>
      </c>
      <c r="N3885">
        <v>43.29</v>
      </c>
      <c r="O3885">
        <v>67.03</v>
      </c>
      <c r="P3885">
        <v>3</v>
      </c>
      <c r="Q3885" t="s">
        <v>37</v>
      </c>
      <c r="R3885">
        <v>69.504999999999995</v>
      </c>
      <c r="S3885">
        <v>5.64</v>
      </c>
      <c r="T3885" s="4">
        <v>50.720999999999997</v>
      </c>
      <c r="U3885" s="4">
        <v>49.106178</v>
      </c>
      <c r="V3885" t="str">
        <f>IF(Table1[[#This Row],[ai_disruption_intensity]]&gt;70,"High",
IF(Table1[[#This Row],[ai_disruption_intensity]]&gt;40,"Medium","Low"))</f>
        <v>Medium</v>
      </c>
      <c r="W3885" t="str">
        <f>IF(Table1[[#This Row],[skill_gap_index]]&gt;70,"Large Gap",
IF(Table1[[#This Row],[skill_gap_index]]&gt;40,"Medium Gap","Small Gap"))</f>
        <v>Medium Gap</v>
      </c>
      <c r="X3885" s="3" t="str">
        <f>IF(Table1[[#This Row],[automation_risk_percent]]&gt;0.7,"Highly Automatable",
IF(Table1[[#This Row],[automation_risk_percent]]&gt;0.4,"Moderate Risk","Safe Job"))</f>
        <v>Highly Automatable</v>
      </c>
    </row>
    <row r="3886" spans="1:24" x14ac:dyDescent="0.3">
      <c r="A3886">
        <v>13514</v>
      </c>
      <c r="B3886" t="s">
        <v>22</v>
      </c>
      <c r="C3886" t="s">
        <v>40</v>
      </c>
      <c r="D3886" t="s">
        <v>24</v>
      </c>
      <c r="E3886" s="1">
        <v>2026</v>
      </c>
      <c r="F3886" s="11">
        <v>0.36320000000000002</v>
      </c>
      <c r="G3886">
        <v>37.32</v>
      </c>
      <c r="H3886">
        <v>62.8</v>
      </c>
      <c r="I3886" s="2">
        <v>48106.76</v>
      </c>
      <c r="J3886" s="2">
        <v>42034.87</v>
      </c>
      <c r="K3886" s="2">
        <f>Table1[[#This Row],[Salary_after]]-Table1[[#This Row],[Salary_before]]</f>
        <v>-6071.8899999999994</v>
      </c>
      <c r="L3886" s="11">
        <v>-0.12619999999999998</v>
      </c>
      <c r="M3886" s="11">
        <v>5.1100000000000007E-2</v>
      </c>
      <c r="N3886">
        <v>26.24</v>
      </c>
      <c r="O3886">
        <v>74.5</v>
      </c>
      <c r="P3886">
        <v>2</v>
      </c>
      <c r="Q3886" t="s">
        <v>25</v>
      </c>
      <c r="R3886">
        <v>49.56</v>
      </c>
      <c r="S3886">
        <v>12.62</v>
      </c>
      <c r="T3886" s="4">
        <v>37.154000000000003</v>
      </c>
      <c r="U3886" s="4">
        <v>27.058399999999999</v>
      </c>
      <c r="V3886" t="str">
        <f>IF(Table1[[#This Row],[ai_disruption_intensity]]&gt;70,"High",
IF(Table1[[#This Row],[ai_disruption_intensity]]&gt;40,"Medium","Low"))</f>
        <v>Low</v>
      </c>
      <c r="W3886" t="str">
        <f>IF(Table1[[#This Row],[skill_gap_index]]&gt;70,"Large Gap",
IF(Table1[[#This Row],[skill_gap_index]]&gt;40,"Medium Gap","Small Gap"))</f>
        <v>Medium Gap</v>
      </c>
      <c r="X3886" s="3" t="str">
        <f>IF(Table1[[#This Row],[automation_risk_percent]]&gt;0.7,"Highly Automatable",
IF(Table1[[#This Row],[automation_risk_percent]]&gt;0.4,"Moderate Risk","Safe Job"))</f>
        <v>Safe Job</v>
      </c>
    </row>
    <row r="3887" spans="1:24" x14ac:dyDescent="0.3">
      <c r="A3887">
        <v>13515</v>
      </c>
      <c r="B3887" t="s">
        <v>41</v>
      </c>
      <c r="C3887" t="s">
        <v>33</v>
      </c>
      <c r="D3887" t="s">
        <v>32</v>
      </c>
      <c r="E3887" s="1">
        <v>2026</v>
      </c>
      <c r="F3887" s="11">
        <v>0.88969999999999994</v>
      </c>
      <c r="G3887">
        <v>86.88</v>
      </c>
      <c r="H3887">
        <v>75.63</v>
      </c>
      <c r="I3887" s="2">
        <v>99085.66</v>
      </c>
      <c r="J3887" s="2">
        <v>90766.86</v>
      </c>
      <c r="K3887" s="2">
        <f>Table1[[#This Row],[Salary_after]]-Table1[[#This Row],[Salary_before]]</f>
        <v>-8318.8000000000029</v>
      </c>
      <c r="L3887" s="11">
        <v>-8.4000000000000005E-2</v>
      </c>
      <c r="M3887" s="11">
        <v>-4.9599999999999998E-2</v>
      </c>
      <c r="N3887">
        <v>62.81</v>
      </c>
      <c r="O3887">
        <v>80.05</v>
      </c>
      <c r="P3887">
        <v>3</v>
      </c>
      <c r="Q3887" t="s">
        <v>37</v>
      </c>
      <c r="R3887">
        <v>82.3</v>
      </c>
      <c r="S3887">
        <v>8.4</v>
      </c>
      <c r="T3887" s="4">
        <v>60.796999999999997</v>
      </c>
      <c r="U3887" s="4">
        <v>71.220484999999996</v>
      </c>
      <c r="V3887" t="str">
        <f>IF(Table1[[#This Row],[ai_disruption_intensity]]&gt;70,"High",
IF(Table1[[#This Row],[ai_disruption_intensity]]&gt;40,"Medium","Low"))</f>
        <v>High</v>
      </c>
      <c r="W3887" t="str">
        <f>IF(Table1[[#This Row],[skill_gap_index]]&gt;70,"Large Gap",
IF(Table1[[#This Row],[skill_gap_index]]&gt;40,"Medium Gap","Small Gap"))</f>
        <v>Large Gap</v>
      </c>
      <c r="X3887" s="3" t="str">
        <f>IF(Table1[[#This Row],[automation_risk_percent]]&gt;0.7,"Highly Automatable",
IF(Table1[[#This Row],[automation_risk_percent]]&gt;0.4,"Moderate Risk","Safe Job"))</f>
        <v>Highly Automatable</v>
      </c>
    </row>
    <row r="3888" spans="1:24" x14ac:dyDescent="0.3">
      <c r="A3888">
        <v>13521</v>
      </c>
      <c r="B3888" t="s">
        <v>45</v>
      </c>
      <c r="C3888" t="s">
        <v>23</v>
      </c>
      <c r="D3888" t="s">
        <v>31</v>
      </c>
      <c r="E3888" s="1">
        <v>2025</v>
      </c>
      <c r="F3888" s="11">
        <v>0.59229999999999994</v>
      </c>
      <c r="G3888">
        <v>61.56</v>
      </c>
      <c r="H3888">
        <v>81.06</v>
      </c>
      <c r="I3888" s="2">
        <v>101823.05</v>
      </c>
      <c r="J3888" s="2">
        <v>105559.18</v>
      </c>
      <c r="K3888" s="2">
        <f>Table1[[#This Row],[Salary_after]]-Table1[[#This Row],[Salary_before]]</f>
        <v>3736.1299999999901</v>
      </c>
      <c r="L3888" s="11">
        <v>3.6699999999999997E-2</v>
      </c>
      <c r="M3888" s="11">
        <v>-8.6699999999999999E-2</v>
      </c>
      <c r="N3888">
        <v>91.44</v>
      </c>
      <c r="O3888">
        <v>79.239999999999995</v>
      </c>
      <c r="P3888">
        <v>3</v>
      </c>
      <c r="Q3888" t="s">
        <v>25</v>
      </c>
      <c r="R3888">
        <v>70.144999999999996</v>
      </c>
      <c r="S3888">
        <v>3.67</v>
      </c>
      <c r="T3888" s="4">
        <v>49.110999999999997</v>
      </c>
      <c r="U3888" s="4">
        <v>46.933851999999902</v>
      </c>
      <c r="V3888" t="str">
        <f>IF(Table1[[#This Row],[ai_disruption_intensity]]&gt;70,"High",
IF(Table1[[#This Row],[ai_disruption_intensity]]&gt;40,"Medium","Low"))</f>
        <v>Medium</v>
      </c>
      <c r="W3888" t="str">
        <f>IF(Table1[[#This Row],[skill_gap_index]]&gt;70,"Large Gap",
IF(Table1[[#This Row],[skill_gap_index]]&gt;40,"Medium Gap","Small Gap"))</f>
        <v>Large Gap</v>
      </c>
      <c r="X3888" s="3" t="str">
        <f>IF(Table1[[#This Row],[automation_risk_percent]]&gt;0.7,"Highly Automatable",
IF(Table1[[#This Row],[automation_risk_percent]]&gt;0.4,"Moderate Risk","Safe Job"))</f>
        <v>Moderate Risk</v>
      </c>
    </row>
    <row r="3889" spans="1:24" x14ac:dyDescent="0.3">
      <c r="A3889">
        <v>13522</v>
      </c>
      <c r="B3889" t="s">
        <v>26</v>
      </c>
      <c r="C3889" t="s">
        <v>33</v>
      </c>
      <c r="D3889" t="s">
        <v>28</v>
      </c>
      <c r="E3889" s="1">
        <v>2026</v>
      </c>
      <c r="F3889" s="11">
        <v>0.11990000000000001</v>
      </c>
      <c r="G3889">
        <v>10.039999999999999</v>
      </c>
      <c r="H3889">
        <v>95.9</v>
      </c>
      <c r="I3889" s="2">
        <v>119514.11</v>
      </c>
      <c r="J3889" s="2">
        <v>132253.25</v>
      </c>
      <c r="K3889" s="2">
        <f>Table1[[#This Row],[Salary_after]]-Table1[[#This Row],[Salary_before]]</f>
        <v>12739.14</v>
      </c>
      <c r="L3889" s="11">
        <v>0.1066</v>
      </c>
      <c r="M3889" s="11">
        <v>4.0599999999999997E-2</v>
      </c>
      <c r="N3889">
        <v>21.76</v>
      </c>
      <c r="O3889">
        <v>33.89</v>
      </c>
      <c r="P3889">
        <v>2</v>
      </c>
      <c r="Q3889" t="s">
        <v>21</v>
      </c>
      <c r="R3889">
        <v>53.945</v>
      </c>
      <c r="S3889">
        <v>10.66</v>
      </c>
      <c r="T3889" s="4">
        <v>36.764000000000003</v>
      </c>
      <c r="U3889" s="4">
        <v>4.0634110000000003</v>
      </c>
      <c r="V3889" t="str">
        <f>IF(Table1[[#This Row],[ai_disruption_intensity]]&gt;70,"High",
IF(Table1[[#This Row],[ai_disruption_intensity]]&gt;40,"Medium","Low"))</f>
        <v>Low</v>
      </c>
      <c r="W3889" t="str">
        <f>IF(Table1[[#This Row],[skill_gap_index]]&gt;70,"Large Gap",
IF(Table1[[#This Row],[skill_gap_index]]&gt;40,"Medium Gap","Small Gap"))</f>
        <v>Large Gap</v>
      </c>
      <c r="X3889" s="3" t="str">
        <f>IF(Table1[[#This Row],[automation_risk_percent]]&gt;0.7,"Highly Automatable",
IF(Table1[[#This Row],[automation_risk_percent]]&gt;0.4,"Moderate Risk","Safe Job"))</f>
        <v>Safe Job</v>
      </c>
    </row>
    <row r="3890" spans="1:24" x14ac:dyDescent="0.3">
      <c r="A3890">
        <v>13523</v>
      </c>
      <c r="B3890" t="s">
        <v>41</v>
      </c>
      <c r="C3890" t="s">
        <v>19</v>
      </c>
      <c r="D3890" t="s">
        <v>47</v>
      </c>
      <c r="E3890" s="1">
        <v>2025</v>
      </c>
      <c r="F3890" s="11">
        <v>0.48899999999999999</v>
      </c>
      <c r="G3890">
        <v>39.82</v>
      </c>
      <c r="H3890">
        <v>18.73</v>
      </c>
      <c r="I3890" s="2">
        <v>117441.53</v>
      </c>
      <c r="J3890" s="2">
        <v>144926.96</v>
      </c>
      <c r="K3890" s="2">
        <f>Table1[[#This Row],[Salary_after]]-Table1[[#This Row],[Salary_before]]</f>
        <v>27485.429999999993</v>
      </c>
      <c r="L3890" s="11">
        <v>0.23399999999999999</v>
      </c>
      <c r="M3890" s="11">
        <v>-4.0399999999999998E-2</v>
      </c>
      <c r="N3890">
        <v>65.38</v>
      </c>
      <c r="O3890">
        <v>21.09</v>
      </c>
      <c r="P3890">
        <v>4</v>
      </c>
      <c r="Q3890" t="s">
        <v>25</v>
      </c>
      <c r="R3890">
        <v>33.814999999999998</v>
      </c>
      <c r="S3890">
        <v>23.4</v>
      </c>
      <c r="T3890" s="4">
        <v>32.198999999999998</v>
      </c>
      <c r="U3890" s="4">
        <v>10.313009999999901</v>
      </c>
      <c r="V3890" t="str">
        <f>IF(Table1[[#This Row],[ai_disruption_intensity]]&gt;70,"High",
IF(Table1[[#This Row],[ai_disruption_intensity]]&gt;40,"Medium","Low"))</f>
        <v>Low</v>
      </c>
      <c r="W3890" t="str">
        <f>IF(Table1[[#This Row],[skill_gap_index]]&gt;70,"Large Gap",
IF(Table1[[#This Row],[skill_gap_index]]&gt;40,"Medium Gap","Small Gap"))</f>
        <v>Small Gap</v>
      </c>
      <c r="X3890" s="3" t="str">
        <f>IF(Table1[[#This Row],[automation_risk_percent]]&gt;0.7,"Highly Automatable",
IF(Table1[[#This Row],[automation_risk_percent]]&gt;0.4,"Moderate Risk","Safe Job"))</f>
        <v>Moderate Risk</v>
      </c>
    </row>
    <row r="3891" spans="1:24" x14ac:dyDescent="0.3">
      <c r="A3891">
        <v>13538</v>
      </c>
      <c r="B3891" t="s">
        <v>18</v>
      </c>
      <c r="C3891" t="s">
        <v>40</v>
      </c>
      <c r="D3891" t="s">
        <v>35</v>
      </c>
      <c r="E3891" s="1">
        <v>2026</v>
      </c>
      <c r="F3891" s="11">
        <v>0.14449999999999999</v>
      </c>
      <c r="G3891">
        <v>12.8</v>
      </c>
      <c r="H3891">
        <v>0.4</v>
      </c>
      <c r="I3891" s="2">
        <v>39833.07</v>
      </c>
      <c r="J3891" s="2">
        <v>39476.720000000001</v>
      </c>
      <c r="K3891" s="2">
        <f>Table1[[#This Row],[Salary_after]]-Table1[[#This Row],[Salary_before]]</f>
        <v>-356.34999999999854</v>
      </c>
      <c r="L3891" s="11">
        <v>-8.8999999999999999E-3</v>
      </c>
      <c r="M3891" s="11">
        <v>9.2499999999999999E-2</v>
      </c>
      <c r="N3891">
        <v>92.65</v>
      </c>
      <c r="O3891">
        <v>39.96</v>
      </c>
      <c r="P3891">
        <v>1</v>
      </c>
      <c r="Q3891" t="s">
        <v>21</v>
      </c>
      <c r="R3891">
        <v>7.4249999999999998</v>
      </c>
      <c r="S3891">
        <v>0.89</v>
      </c>
      <c r="T3891" s="4">
        <v>6.1669999999999998</v>
      </c>
      <c r="U3891" s="4">
        <v>5.7742199999999997</v>
      </c>
      <c r="V3891" t="str">
        <f>IF(Table1[[#This Row],[ai_disruption_intensity]]&gt;70,"High",
IF(Table1[[#This Row],[ai_disruption_intensity]]&gt;40,"Medium","Low"))</f>
        <v>Low</v>
      </c>
      <c r="W3891" t="str">
        <f>IF(Table1[[#This Row],[skill_gap_index]]&gt;70,"Large Gap",
IF(Table1[[#This Row],[skill_gap_index]]&gt;40,"Medium Gap","Small Gap"))</f>
        <v>Small Gap</v>
      </c>
      <c r="X3891" s="3" t="str">
        <f>IF(Table1[[#This Row],[automation_risk_percent]]&gt;0.7,"Highly Automatable",
IF(Table1[[#This Row],[automation_risk_percent]]&gt;0.4,"Moderate Risk","Safe Job"))</f>
        <v>Safe Job</v>
      </c>
    </row>
    <row r="3892" spans="1:24" x14ac:dyDescent="0.3">
      <c r="A3892">
        <v>13540</v>
      </c>
      <c r="B3892" t="s">
        <v>43</v>
      </c>
      <c r="C3892" t="s">
        <v>19</v>
      </c>
      <c r="D3892" t="s">
        <v>42</v>
      </c>
      <c r="E3892" s="1">
        <v>2026</v>
      </c>
      <c r="F3892" s="11">
        <v>0.62139999999999995</v>
      </c>
      <c r="G3892">
        <v>72.42</v>
      </c>
      <c r="H3892">
        <v>4.79</v>
      </c>
      <c r="I3892" s="2">
        <v>119179.36</v>
      </c>
      <c r="J3892" s="2">
        <v>127917.01</v>
      </c>
      <c r="K3892" s="2">
        <f>Table1[[#This Row],[Salary_after]]-Table1[[#This Row],[Salary_before]]</f>
        <v>8737.6499999999942</v>
      </c>
      <c r="L3892" s="11">
        <v>7.3300000000000004E-2</v>
      </c>
      <c r="M3892" s="11">
        <v>7.7300000000000008E-2</v>
      </c>
      <c r="N3892">
        <v>21.67</v>
      </c>
      <c r="O3892">
        <v>48.41</v>
      </c>
      <c r="P3892">
        <v>5</v>
      </c>
      <c r="Q3892" t="s">
        <v>37</v>
      </c>
      <c r="R3892">
        <v>33.465000000000003</v>
      </c>
      <c r="S3892">
        <v>7.33</v>
      </c>
      <c r="T3892" s="4">
        <v>28.492000000000001</v>
      </c>
      <c r="U3892" s="4">
        <v>30.081973999999999</v>
      </c>
      <c r="V3892" t="str">
        <f>IF(Table1[[#This Row],[ai_disruption_intensity]]&gt;70,"High",
IF(Table1[[#This Row],[ai_disruption_intensity]]&gt;40,"Medium","Low"))</f>
        <v>Low</v>
      </c>
      <c r="W3892" t="str">
        <f>IF(Table1[[#This Row],[skill_gap_index]]&gt;70,"Large Gap",
IF(Table1[[#This Row],[skill_gap_index]]&gt;40,"Medium Gap","Small Gap"))</f>
        <v>Small Gap</v>
      </c>
      <c r="X3892" s="3" t="str">
        <f>IF(Table1[[#This Row],[automation_risk_percent]]&gt;0.7,"Highly Automatable",
IF(Table1[[#This Row],[automation_risk_percent]]&gt;0.4,"Moderate Risk","Safe Job"))</f>
        <v>Moderate Risk</v>
      </c>
    </row>
    <row r="3893" spans="1:24" x14ac:dyDescent="0.3">
      <c r="A3893">
        <v>13542</v>
      </c>
      <c r="B3893" t="s">
        <v>43</v>
      </c>
      <c r="C3893" t="s">
        <v>27</v>
      </c>
      <c r="D3893" t="s">
        <v>31</v>
      </c>
      <c r="E3893" s="1">
        <v>2025</v>
      </c>
      <c r="F3893" s="11">
        <v>0.49369999999999997</v>
      </c>
      <c r="G3893">
        <v>56.28</v>
      </c>
      <c r="H3893">
        <v>64.209999999999994</v>
      </c>
      <c r="I3893" s="2">
        <v>138666.88</v>
      </c>
      <c r="J3893" s="2">
        <v>148005.62</v>
      </c>
      <c r="K3893" s="2">
        <f>Table1[[#This Row],[Salary_after]]-Table1[[#This Row],[Salary_before]]</f>
        <v>9338.7399999999907</v>
      </c>
      <c r="L3893" s="11">
        <v>6.7299999999999999E-2</v>
      </c>
      <c r="M3893" s="11">
        <v>0.13769999999999999</v>
      </c>
      <c r="N3893">
        <v>76.94</v>
      </c>
      <c r="O3893">
        <v>56.61</v>
      </c>
      <c r="P3893">
        <v>3</v>
      </c>
      <c r="Q3893" t="s">
        <v>25</v>
      </c>
      <c r="R3893">
        <v>56.7899999999999</v>
      </c>
      <c r="S3893">
        <v>6.73</v>
      </c>
      <c r="T3893" s="4">
        <v>41.029999999999902</v>
      </c>
      <c r="U3893" s="4">
        <v>27.948356999999898</v>
      </c>
      <c r="V3893" t="str">
        <f>IF(Table1[[#This Row],[ai_disruption_intensity]]&gt;70,"High",
IF(Table1[[#This Row],[ai_disruption_intensity]]&gt;40,"Medium","Low"))</f>
        <v>Low</v>
      </c>
      <c r="W3893" t="str">
        <f>IF(Table1[[#This Row],[skill_gap_index]]&gt;70,"Large Gap",
IF(Table1[[#This Row],[skill_gap_index]]&gt;40,"Medium Gap","Small Gap"))</f>
        <v>Medium Gap</v>
      </c>
      <c r="X3893" s="3" t="str">
        <f>IF(Table1[[#This Row],[automation_risk_percent]]&gt;0.7,"Highly Automatable",
IF(Table1[[#This Row],[automation_risk_percent]]&gt;0.4,"Moderate Risk","Safe Job"))</f>
        <v>Moderate Risk</v>
      </c>
    </row>
    <row r="3894" spans="1:24" x14ac:dyDescent="0.3">
      <c r="A3894">
        <v>13548</v>
      </c>
      <c r="B3894" t="s">
        <v>44</v>
      </c>
      <c r="C3894" t="s">
        <v>30</v>
      </c>
      <c r="D3894" t="s">
        <v>42</v>
      </c>
      <c r="E3894" s="1">
        <v>2025</v>
      </c>
      <c r="F3894" s="11">
        <v>0.64980000000000004</v>
      </c>
      <c r="G3894">
        <v>74.099999999999994</v>
      </c>
      <c r="H3894">
        <v>60.47</v>
      </c>
      <c r="I3894" s="2">
        <v>84157.84</v>
      </c>
      <c r="J3894" s="2">
        <v>84800.91</v>
      </c>
      <c r="K3894" s="2">
        <f>Table1[[#This Row],[Salary_after]]-Table1[[#This Row],[Salary_before]]</f>
        <v>643.07000000000698</v>
      </c>
      <c r="L3894" s="11">
        <v>7.6E-3</v>
      </c>
      <c r="M3894" s="11">
        <v>3.5900000000000001E-2</v>
      </c>
      <c r="N3894">
        <v>73.989999999999995</v>
      </c>
      <c r="O3894">
        <v>23.59</v>
      </c>
      <c r="P3894">
        <v>4</v>
      </c>
      <c r="Q3894" t="s">
        <v>37</v>
      </c>
      <c r="R3894">
        <v>62.725000000000001</v>
      </c>
      <c r="S3894">
        <v>0.76</v>
      </c>
      <c r="T3894" s="4">
        <v>44.360999999999997</v>
      </c>
      <c r="U3894" s="4">
        <v>15.328782</v>
      </c>
      <c r="V3894" t="str">
        <f>IF(Table1[[#This Row],[ai_disruption_intensity]]&gt;70,"High",
IF(Table1[[#This Row],[ai_disruption_intensity]]&gt;40,"Medium","Low"))</f>
        <v>Low</v>
      </c>
      <c r="W3894" t="str">
        <f>IF(Table1[[#This Row],[skill_gap_index]]&gt;70,"Large Gap",
IF(Table1[[#This Row],[skill_gap_index]]&gt;40,"Medium Gap","Small Gap"))</f>
        <v>Medium Gap</v>
      </c>
      <c r="X3894" s="3" t="str">
        <f>IF(Table1[[#This Row],[automation_risk_percent]]&gt;0.7,"Highly Automatable",
IF(Table1[[#This Row],[automation_risk_percent]]&gt;0.4,"Moderate Risk","Safe Job"))</f>
        <v>Moderate Risk</v>
      </c>
    </row>
    <row r="3895" spans="1:24" x14ac:dyDescent="0.3">
      <c r="A3895">
        <v>13552</v>
      </c>
      <c r="B3895" t="s">
        <v>18</v>
      </c>
      <c r="C3895" t="s">
        <v>40</v>
      </c>
      <c r="D3895" t="s">
        <v>31</v>
      </c>
      <c r="E3895" s="1">
        <v>2025</v>
      </c>
      <c r="F3895" s="11">
        <v>0.10769999999999999</v>
      </c>
      <c r="G3895">
        <v>11.85</v>
      </c>
      <c r="H3895">
        <v>76.209999999999994</v>
      </c>
      <c r="I3895" s="2">
        <v>41439.839999999997</v>
      </c>
      <c r="J3895" s="2">
        <v>41418.89</v>
      </c>
      <c r="K3895" s="2">
        <f>Table1[[#This Row],[Salary_after]]-Table1[[#This Row],[Salary_before]]</f>
        <v>-20.94999999999709</v>
      </c>
      <c r="L3895" s="11">
        <v>-5.0000000000000001E-4</v>
      </c>
      <c r="M3895" s="11">
        <v>0.10289999999999999</v>
      </c>
      <c r="N3895">
        <v>74.37</v>
      </c>
      <c r="O3895">
        <v>42.65</v>
      </c>
      <c r="P3895">
        <v>4</v>
      </c>
      <c r="Q3895" t="s">
        <v>21</v>
      </c>
      <c r="R3895">
        <v>43.489999999999903</v>
      </c>
      <c r="S3895">
        <v>0.05</v>
      </c>
      <c r="T3895" s="4">
        <v>27.1859999999999</v>
      </c>
      <c r="U3895" s="4">
        <v>4.5934049999999997</v>
      </c>
      <c r="V3895" t="str">
        <f>IF(Table1[[#This Row],[ai_disruption_intensity]]&gt;70,"High",
IF(Table1[[#This Row],[ai_disruption_intensity]]&gt;40,"Medium","Low"))</f>
        <v>Low</v>
      </c>
      <c r="W3895" t="str">
        <f>IF(Table1[[#This Row],[skill_gap_index]]&gt;70,"Large Gap",
IF(Table1[[#This Row],[skill_gap_index]]&gt;40,"Medium Gap","Small Gap"))</f>
        <v>Large Gap</v>
      </c>
      <c r="X3895" s="3" t="str">
        <f>IF(Table1[[#This Row],[automation_risk_percent]]&gt;0.7,"Highly Automatable",
IF(Table1[[#This Row],[automation_risk_percent]]&gt;0.4,"Moderate Risk","Safe Job"))</f>
        <v>Safe Job</v>
      </c>
    </row>
    <row r="3896" spans="1:24" x14ac:dyDescent="0.3">
      <c r="A3896">
        <v>13554</v>
      </c>
      <c r="B3896" t="s">
        <v>29</v>
      </c>
      <c r="C3896" t="s">
        <v>38</v>
      </c>
      <c r="D3896" t="s">
        <v>20</v>
      </c>
      <c r="E3896" s="1">
        <v>2026</v>
      </c>
      <c r="F3896" s="11">
        <v>0.35220000000000001</v>
      </c>
      <c r="G3896">
        <v>34.46</v>
      </c>
      <c r="H3896">
        <v>24.98</v>
      </c>
      <c r="I3896" s="2">
        <v>114689.12</v>
      </c>
      <c r="J3896" s="2">
        <v>103971.57</v>
      </c>
      <c r="K3896" s="2">
        <f>Table1[[#This Row],[Salary_after]]-Table1[[#This Row],[Salary_before]]</f>
        <v>-10717.549999999988</v>
      </c>
      <c r="L3896" s="11">
        <v>-9.3399999999999997E-2</v>
      </c>
      <c r="M3896" s="11">
        <v>5.8200000000000002E-2</v>
      </c>
      <c r="N3896">
        <v>60.39</v>
      </c>
      <c r="O3896">
        <v>60.16</v>
      </c>
      <c r="P3896">
        <v>4</v>
      </c>
      <c r="Q3896" t="s">
        <v>25</v>
      </c>
      <c r="R3896">
        <v>30.1</v>
      </c>
      <c r="S3896">
        <v>9.34</v>
      </c>
      <c r="T3896" s="4">
        <v>24.384</v>
      </c>
      <c r="U3896" s="4">
        <v>21.188351999999998</v>
      </c>
      <c r="V3896" t="str">
        <f>IF(Table1[[#This Row],[ai_disruption_intensity]]&gt;70,"High",
IF(Table1[[#This Row],[ai_disruption_intensity]]&gt;40,"Medium","Low"))</f>
        <v>Low</v>
      </c>
      <c r="W3896" t="str">
        <f>IF(Table1[[#This Row],[skill_gap_index]]&gt;70,"Large Gap",
IF(Table1[[#This Row],[skill_gap_index]]&gt;40,"Medium Gap","Small Gap"))</f>
        <v>Small Gap</v>
      </c>
      <c r="X3896" s="3" t="str">
        <f>IF(Table1[[#This Row],[automation_risk_percent]]&gt;0.7,"Highly Automatable",
IF(Table1[[#This Row],[automation_risk_percent]]&gt;0.4,"Moderate Risk","Safe Job"))</f>
        <v>Safe Job</v>
      </c>
    </row>
    <row r="3897" spans="1:24" x14ac:dyDescent="0.3">
      <c r="A3897">
        <v>13556</v>
      </c>
      <c r="B3897" t="s">
        <v>45</v>
      </c>
      <c r="C3897" t="s">
        <v>27</v>
      </c>
      <c r="D3897" t="s">
        <v>24</v>
      </c>
      <c r="E3897" s="1">
        <v>2025</v>
      </c>
      <c r="F3897" s="11">
        <v>0.62259999999999993</v>
      </c>
      <c r="G3897">
        <v>69.599999999999994</v>
      </c>
      <c r="H3897">
        <v>52.17</v>
      </c>
      <c r="I3897" s="2">
        <v>138597.92000000001</v>
      </c>
      <c r="J3897" s="2">
        <v>140263.35999999999</v>
      </c>
      <c r="K3897" s="2">
        <f>Table1[[#This Row],[Salary_after]]-Table1[[#This Row],[Salary_before]]</f>
        <v>1665.4399999999732</v>
      </c>
      <c r="L3897" s="11">
        <v>1.2E-2</v>
      </c>
      <c r="M3897" s="11">
        <v>-5.6600000000000004E-2</v>
      </c>
      <c r="N3897">
        <v>83.94</v>
      </c>
      <c r="O3897">
        <v>56.99</v>
      </c>
      <c r="P3897">
        <v>2</v>
      </c>
      <c r="Q3897" t="s">
        <v>37</v>
      </c>
      <c r="R3897">
        <v>57.215000000000003</v>
      </c>
      <c r="S3897">
        <v>1.2</v>
      </c>
      <c r="T3897" s="4">
        <v>40.914999999999999</v>
      </c>
      <c r="U3897" s="4">
        <v>35.481974000000001</v>
      </c>
      <c r="V3897" t="str">
        <f>IF(Table1[[#This Row],[ai_disruption_intensity]]&gt;70,"High",
IF(Table1[[#This Row],[ai_disruption_intensity]]&gt;40,"Medium","Low"))</f>
        <v>Low</v>
      </c>
      <c r="W3897" t="str">
        <f>IF(Table1[[#This Row],[skill_gap_index]]&gt;70,"Large Gap",
IF(Table1[[#This Row],[skill_gap_index]]&gt;40,"Medium Gap","Small Gap"))</f>
        <v>Medium Gap</v>
      </c>
      <c r="X3897" s="3" t="str">
        <f>IF(Table1[[#This Row],[automation_risk_percent]]&gt;0.7,"Highly Automatable",
IF(Table1[[#This Row],[automation_risk_percent]]&gt;0.4,"Moderate Risk","Safe Job"))</f>
        <v>Moderate Risk</v>
      </c>
    </row>
    <row r="3898" spans="1:24" x14ac:dyDescent="0.3">
      <c r="A3898">
        <v>13562</v>
      </c>
      <c r="B3898" t="s">
        <v>26</v>
      </c>
      <c r="C3898" t="s">
        <v>33</v>
      </c>
      <c r="D3898" t="s">
        <v>47</v>
      </c>
      <c r="E3898" s="1">
        <v>2026</v>
      </c>
      <c r="F3898" s="11">
        <v>0.26739999999999997</v>
      </c>
      <c r="G3898">
        <v>21.54</v>
      </c>
      <c r="H3898">
        <v>74.63</v>
      </c>
      <c r="I3898" s="2">
        <v>78124.19</v>
      </c>
      <c r="J3898" s="2">
        <v>77694.05</v>
      </c>
      <c r="K3898" s="2">
        <f>Table1[[#This Row],[Salary_after]]-Table1[[#This Row],[Salary_before]]</f>
        <v>-430.13999999999942</v>
      </c>
      <c r="L3898" s="11">
        <v>-5.5000000000000005E-3</v>
      </c>
      <c r="M3898" s="11">
        <v>2.8900000000000002E-2</v>
      </c>
      <c r="N3898">
        <v>97.62</v>
      </c>
      <c r="O3898">
        <v>97.03</v>
      </c>
      <c r="P3898">
        <v>5</v>
      </c>
      <c r="Q3898" t="s">
        <v>21</v>
      </c>
      <c r="R3898">
        <v>50.684999999999903</v>
      </c>
      <c r="S3898">
        <v>0.55000000000000004</v>
      </c>
      <c r="T3898" s="4">
        <v>33.25</v>
      </c>
      <c r="U3898" s="4">
        <v>25.945822</v>
      </c>
      <c r="V3898" t="str">
        <f>IF(Table1[[#This Row],[ai_disruption_intensity]]&gt;70,"High",
IF(Table1[[#This Row],[ai_disruption_intensity]]&gt;40,"Medium","Low"))</f>
        <v>Low</v>
      </c>
      <c r="W3898" t="str">
        <f>IF(Table1[[#This Row],[skill_gap_index]]&gt;70,"Large Gap",
IF(Table1[[#This Row],[skill_gap_index]]&gt;40,"Medium Gap","Small Gap"))</f>
        <v>Large Gap</v>
      </c>
      <c r="X3898" s="3" t="str">
        <f>IF(Table1[[#This Row],[automation_risk_percent]]&gt;0.7,"Highly Automatable",
IF(Table1[[#This Row],[automation_risk_percent]]&gt;0.4,"Moderate Risk","Safe Job"))</f>
        <v>Safe Job</v>
      </c>
    </row>
    <row r="3899" spans="1:24" x14ac:dyDescent="0.3">
      <c r="A3899">
        <v>13566</v>
      </c>
      <c r="B3899" t="s">
        <v>44</v>
      </c>
      <c r="C3899" t="s">
        <v>34</v>
      </c>
      <c r="D3899" t="s">
        <v>36</v>
      </c>
      <c r="E3899" s="1">
        <v>2026</v>
      </c>
      <c r="F3899" s="11">
        <v>0.28000000000000003</v>
      </c>
      <c r="G3899">
        <v>27.74</v>
      </c>
      <c r="H3899">
        <v>32.31</v>
      </c>
      <c r="I3899" s="2">
        <v>70662.350000000006</v>
      </c>
      <c r="J3899" s="2">
        <v>62789.75</v>
      </c>
      <c r="K3899" s="2">
        <f>Table1[[#This Row],[Salary_after]]-Table1[[#This Row],[Salary_before]]</f>
        <v>-7872.6000000000058</v>
      </c>
      <c r="L3899" s="11">
        <v>-0.1114</v>
      </c>
      <c r="M3899" s="11">
        <v>0.15140000000000001</v>
      </c>
      <c r="N3899">
        <v>11.39</v>
      </c>
      <c r="O3899">
        <v>35.130000000000003</v>
      </c>
      <c r="P3899">
        <v>1</v>
      </c>
      <c r="Q3899" t="s">
        <v>21</v>
      </c>
      <c r="R3899">
        <v>30.155000000000001</v>
      </c>
      <c r="S3899">
        <v>11.14</v>
      </c>
      <c r="T3899" s="4">
        <v>24.234999999999999</v>
      </c>
      <c r="U3899" s="4">
        <v>9.8363999999999994</v>
      </c>
      <c r="V3899" t="str">
        <f>IF(Table1[[#This Row],[ai_disruption_intensity]]&gt;70,"High",
IF(Table1[[#This Row],[ai_disruption_intensity]]&gt;40,"Medium","Low"))</f>
        <v>Low</v>
      </c>
      <c r="W3899" t="str">
        <f>IF(Table1[[#This Row],[skill_gap_index]]&gt;70,"Large Gap",
IF(Table1[[#This Row],[skill_gap_index]]&gt;40,"Medium Gap","Small Gap"))</f>
        <v>Small Gap</v>
      </c>
      <c r="X3899" s="3" t="str">
        <f>IF(Table1[[#This Row],[automation_risk_percent]]&gt;0.7,"Highly Automatable",
IF(Table1[[#This Row],[automation_risk_percent]]&gt;0.4,"Moderate Risk","Safe Job"))</f>
        <v>Safe Job</v>
      </c>
    </row>
    <row r="3900" spans="1:24" x14ac:dyDescent="0.3">
      <c r="A3900">
        <v>13567</v>
      </c>
      <c r="B3900" t="s">
        <v>43</v>
      </c>
      <c r="C3900" t="s">
        <v>38</v>
      </c>
      <c r="D3900" t="s">
        <v>32</v>
      </c>
      <c r="E3900" s="1">
        <v>2025</v>
      </c>
      <c r="F3900" s="11">
        <v>0.75239999999999996</v>
      </c>
      <c r="G3900">
        <v>80.010000000000005</v>
      </c>
      <c r="H3900">
        <v>51.6</v>
      </c>
      <c r="I3900" s="2">
        <v>82976.69</v>
      </c>
      <c r="J3900" s="2">
        <v>88202.15</v>
      </c>
      <c r="K3900" s="2">
        <f>Table1[[#This Row],[Salary_after]]-Table1[[#This Row],[Salary_before]]</f>
        <v>5225.4599999999919</v>
      </c>
      <c r="L3900" s="11">
        <v>6.3E-2</v>
      </c>
      <c r="M3900" s="11">
        <v>-0.12909999999999999</v>
      </c>
      <c r="N3900">
        <v>69.91</v>
      </c>
      <c r="O3900">
        <v>31.88</v>
      </c>
      <c r="P3900">
        <v>5</v>
      </c>
      <c r="Q3900" t="s">
        <v>37</v>
      </c>
      <c r="R3900">
        <v>63.42</v>
      </c>
      <c r="S3900">
        <v>6.3</v>
      </c>
      <c r="T3900" s="4">
        <v>47.466000000000001</v>
      </c>
      <c r="U3900" s="4">
        <v>23.986511999999902</v>
      </c>
      <c r="V3900" t="str">
        <f>IF(Table1[[#This Row],[ai_disruption_intensity]]&gt;70,"High",
IF(Table1[[#This Row],[ai_disruption_intensity]]&gt;40,"Medium","Low"))</f>
        <v>Low</v>
      </c>
      <c r="W3900" t="str">
        <f>IF(Table1[[#This Row],[skill_gap_index]]&gt;70,"Large Gap",
IF(Table1[[#This Row],[skill_gap_index]]&gt;40,"Medium Gap","Small Gap"))</f>
        <v>Medium Gap</v>
      </c>
      <c r="X3900" s="3" t="str">
        <f>IF(Table1[[#This Row],[automation_risk_percent]]&gt;0.7,"Highly Automatable",
IF(Table1[[#This Row],[automation_risk_percent]]&gt;0.4,"Moderate Risk","Safe Job"))</f>
        <v>Highly Automatable</v>
      </c>
    </row>
    <row r="3901" spans="1:24" x14ac:dyDescent="0.3">
      <c r="A3901">
        <v>13569</v>
      </c>
      <c r="B3901" t="s">
        <v>45</v>
      </c>
      <c r="C3901" t="s">
        <v>38</v>
      </c>
      <c r="D3901" t="s">
        <v>24</v>
      </c>
      <c r="E3901" s="1">
        <v>2025</v>
      </c>
      <c r="F3901" s="11">
        <v>0.39490000000000003</v>
      </c>
      <c r="G3901">
        <v>37.950000000000003</v>
      </c>
      <c r="H3901">
        <v>70.209999999999994</v>
      </c>
      <c r="I3901" s="2">
        <v>52330.03</v>
      </c>
      <c r="J3901" s="2">
        <v>48148.67</v>
      </c>
      <c r="K3901" s="2">
        <f>Table1[[#This Row],[Salary_after]]-Table1[[#This Row],[Salary_before]]</f>
        <v>-4181.3600000000006</v>
      </c>
      <c r="L3901" s="11">
        <v>-7.9899999999999999E-2</v>
      </c>
      <c r="M3901" s="11">
        <v>0.12520000000000001</v>
      </c>
      <c r="N3901">
        <v>76.599999999999994</v>
      </c>
      <c r="O3901">
        <v>72.02</v>
      </c>
      <c r="P3901">
        <v>4</v>
      </c>
      <c r="Q3901" t="s">
        <v>25</v>
      </c>
      <c r="R3901">
        <v>54.849999999999902</v>
      </c>
      <c r="S3901">
        <v>7.99</v>
      </c>
      <c r="T3901" s="4">
        <v>39.256</v>
      </c>
      <c r="U3901" s="4">
        <v>28.440697999999902</v>
      </c>
      <c r="V3901" t="str">
        <f>IF(Table1[[#This Row],[ai_disruption_intensity]]&gt;70,"High",
IF(Table1[[#This Row],[ai_disruption_intensity]]&gt;40,"Medium","Low"))</f>
        <v>Low</v>
      </c>
      <c r="W3901" t="str">
        <f>IF(Table1[[#This Row],[skill_gap_index]]&gt;70,"Large Gap",
IF(Table1[[#This Row],[skill_gap_index]]&gt;40,"Medium Gap","Small Gap"))</f>
        <v>Large Gap</v>
      </c>
      <c r="X3901" s="3" t="str">
        <f>IF(Table1[[#This Row],[automation_risk_percent]]&gt;0.7,"Highly Automatable",
IF(Table1[[#This Row],[automation_risk_percent]]&gt;0.4,"Moderate Risk","Safe Job"))</f>
        <v>Safe Job</v>
      </c>
    </row>
    <row r="3902" spans="1:24" x14ac:dyDescent="0.3">
      <c r="A3902">
        <v>13571</v>
      </c>
      <c r="B3902" t="s">
        <v>43</v>
      </c>
      <c r="C3902" t="s">
        <v>38</v>
      </c>
      <c r="D3902" t="s">
        <v>24</v>
      </c>
      <c r="E3902" s="1">
        <v>2026</v>
      </c>
      <c r="F3902" s="11">
        <v>0.35389999999999999</v>
      </c>
      <c r="G3902">
        <v>33.49</v>
      </c>
      <c r="H3902">
        <v>77.489999999999995</v>
      </c>
      <c r="I3902" s="2">
        <v>145285.48000000001</v>
      </c>
      <c r="J3902" s="2">
        <v>128365.44</v>
      </c>
      <c r="K3902" s="2">
        <f>Table1[[#This Row],[Salary_after]]-Table1[[#This Row],[Salary_before]]</f>
        <v>-16920.040000000008</v>
      </c>
      <c r="L3902" s="11">
        <v>-0.11650000000000001</v>
      </c>
      <c r="M3902" s="11">
        <v>0.1148</v>
      </c>
      <c r="N3902">
        <v>20.91</v>
      </c>
      <c r="O3902">
        <v>8.3800000000000008</v>
      </c>
      <c r="P3902">
        <v>3</v>
      </c>
      <c r="Q3902" t="s">
        <v>25</v>
      </c>
      <c r="R3902">
        <v>56.44</v>
      </c>
      <c r="S3902">
        <v>11.65</v>
      </c>
      <c r="T3902" s="4">
        <v>40.897999999999897</v>
      </c>
      <c r="U3902" s="4">
        <v>2.9656820000000002</v>
      </c>
      <c r="V3902" t="str">
        <f>IF(Table1[[#This Row],[ai_disruption_intensity]]&gt;70,"High",
IF(Table1[[#This Row],[ai_disruption_intensity]]&gt;40,"Medium","Low"))</f>
        <v>Low</v>
      </c>
      <c r="W3902" t="str">
        <f>IF(Table1[[#This Row],[skill_gap_index]]&gt;70,"Large Gap",
IF(Table1[[#This Row],[skill_gap_index]]&gt;40,"Medium Gap","Small Gap"))</f>
        <v>Large Gap</v>
      </c>
      <c r="X3902" s="3" t="str">
        <f>IF(Table1[[#This Row],[automation_risk_percent]]&gt;0.7,"Highly Automatable",
IF(Table1[[#This Row],[automation_risk_percent]]&gt;0.4,"Moderate Risk","Safe Job"))</f>
        <v>Safe Job</v>
      </c>
    </row>
    <row r="3903" spans="1:24" x14ac:dyDescent="0.3">
      <c r="A3903">
        <v>13577</v>
      </c>
      <c r="B3903" t="s">
        <v>45</v>
      </c>
      <c r="C3903" t="s">
        <v>27</v>
      </c>
      <c r="D3903" t="s">
        <v>20</v>
      </c>
      <c r="E3903" s="1">
        <v>2026</v>
      </c>
      <c r="F3903" s="11">
        <v>0.17859999999999998</v>
      </c>
      <c r="G3903">
        <v>15.79</v>
      </c>
      <c r="H3903">
        <v>50.78</v>
      </c>
      <c r="I3903" s="2">
        <v>92024.81</v>
      </c>
      <c r="J3903" s="2">
        <v>80494.19</v>
      </c>
      <c r="K3903" s="2">
        <f>Table1[[#This Row],[Salary_after]]-Table1[[#This Row],[Salary_before]]</f>
        <v>-11530.619999999995</v>
      </c>
      <c r="L3903" s="11">
        <v>-0.12529999999999999</v>
      </c>
      <c r="M3903" s="11">
        <v>0.18460000000000001</v>
      </c>
      <c r="N3903">
        <v>40.15</v>
      </c>
      <c r="O3903">
        <v>4.68</v>
      </c>
      <c r="P3903">
        <v>4</v>
      </c>
      <c r="Q3903" t="s">
        <v>21</v>
      </c>
      <c r="R3903">
        <v>34.32</v>
      </c>
      <c r="S3903">
        <v>12.53</v>
      </c>
      <c r="T3903" s="4">
        <v>26.137</v>
      </c>
      <c r="U3903" s="4">
        <v>0.83584799999999904</v>
      </c>
      <c r="V3903" t="str">
        <f>IF(Table1[[#This Row],[ai_disruption_intensity]]&gt;70,"High",
IF(Table1[[#This Row],[ai_disruption_intensity]]&gt;40,"Medium","Low"))</f>
        <v>Low</v>
      </c>
      <c r="W3903" t="str">
        <f>IF(Table1[[#This Row],[skill_gap_index]]&gt;70,"Large Gap",
IF(Table1[[#This Row],[skill_gap_index]]&gt;40,"Medium Gap","Small Gap"))</f>
        <v>Medium Gap</v>
      </c>
      <c r="X3903" s="3" t="str">
        <f>IF(Table1[[#This Row],[automation_risk_percent]]&gt;0.7,"Highly Automatable",
IF(Table1[[#This Row],[automation_risk_percent]]&gt;0.4,"Moderate Risk","Safe Job"))</f>
        <v>Safe Job</v>
      </c>
    </row>
    <row r="3904" spans="1:24" x14ac:dyDescent="0.3">
      <c r="A3904">
        <v>13586</v>
      </c>
      <c r="B3904" t="s">
        <v>43</v>
      </c>
      <c r="C3904" t="s">
        <v>23</v>
      </c>
      <c r="D3904" t="s">
        <v>42</v>
      </c>
      <c r="E3904" s="1">
        <v>2026</v>
      </c>
      <c r="F3904" s="11">
        <v>0.59810000000000008</v>
      </c>
      <c r="G3904">
        <v>60.09</v>
      </c>
      <c r="H3904">
        <v>22.75</v>
      </c>
      <c r="I3904" s="2">
        <v>142767.10999999999</v>
      </c>
      <c r="J3904" s="2">
        <v>124527.21</v>
      </c>
      <c r="K3904" s="2">
        <f>Table1[[#This Row],[Salary_after]]-Table1[[#This Row],[Salary_before]]</f>
        <v>-18239.89999999998</v>
      </c>
      <c r="L3904" s="11">
        <v>-0.1278</v>
      </c>
      <c r="M3904" s="11">
        <v>3.5799999999999998E-2</v>
      </c>
      <c r="N3904">
        <v>18.07</v>
      </c>
      <c r="O3904">
        <v>50.46</v>
      </c>
      <c r="P3904">
        <v>1</v>
      </c>
      <c r="Q3904" t="s">
        <v>25</v>
      </c>
      <c r="R3904">
        <v>41.28</v>
      </c>
      <c r="S3904">
        <v>12.78</v>
      </c>
      <c r="T3904" s="4">
        <v>34.582999999999998</v>
      </c>
      <c r="U3904" s="4">
        <v>30.180126000000001</v>
      </c>
      <c r="V3904" t="str">
        <f>IF(Table1[[#This Row],[ai_disruption_intensity]]&gt;70,"High",
IF(Table1[[#This Row],[ai_disruption_intensity]]&gt;40,"Medium","Low"))</f>
        <v>Low</v>
      </c>
      <c r="W3904" t="str">
        <f>IF(Table1[[#This Row],[skill_gap_index]]&gt;70,"Large Gap",
IF(Table1[[#This Row],[skill_gap_index]]&gt;40,"Medium Gap","Small Gap"))</f>
        <v>Small Gap</v>
      </c>
      <c r="X3904" s="3" t="str">
        <f>IF(Table1[[#This Row],[automation_risk_percent]]&gt;0.7,"Highly Automatable",
IF(Table1[[#This Row],[automation_risk_percent]]&gt;0.4,"Moderate Risk","Safe Job"))</f>
        <v>Moderate Risk</v>
      </c>
    </row>
    <row r="3905" spans="1:24" x14ac:dyDescent="0.3">
      <c r="A3905">
        <v>13587</v>
      </c>
      <c r="B3905" t="s">
        <v>22</v>
      </c>
      <c r="C3905" t="s">
        <v>34</v>
      </c>
      <c r="D3905" t="s">
        <v>28</v>
      </c>
      <c r="E3905" s="1">
        <v>2026</v>
      </c>
      <c r="F3905" s="11">
        <v>0.31370000000000003</v>
      </c>
      <c r="G3905">
        <v>35.840000000000003</v>
      </c>
      <c r="H3905">
        <v>54.38</v>
      </c>
      <c r="I3905" s="2">
        <v>140484.79</v>
      </c>
      <c r="J3905" s="2">
        <v>135352.69</v>
      </c>
      <c r="K3905" s="2">
        <f>Table1[[#This Row],[Salary_after]]-Table1[[#This Row],[Salary_before]]</f>
        <v>-5132.1000000000058</v>
      </c>
      <c r="L3905" s="11">
        <v>-3.6499999999999998E-2</v>
      </c>
      <c r="M3905" s="11">
        <v>0.2223</v>
      </c>
      <c r="N3905">
        <v>76.88</v>
      </c>
      <c r="O3905">
        <v>96.81</v>
      </c>
      <c r="P3905">
        <v>5</v>
      </c>
      <c r="Q3905" t="s">
        <v>25</v>
      </c>
      <c r="R3905">
        <v>42.875</v>
      </c>
      <c r="S3905">
        <v>3.65</v>
      </c>
      <c r="T3905" s="4">
        <v>29.957000000000001</v>
      </c>
      <c r="U3905" s="4">
        <v>30.369297</v>
      </c>
      <c r="V3905" t="str">
        <f>IF(Table1[[#This Row],[ai_disruption_intensity]]&gt;70,"High",
IF(Table1[[#This Row],[ai_disruption_intensity]]&gt;40,"Medium","Low"))</f>
        <v>Low</v>
      </c>
      <c r="W3905" t="str">
        <f>IF(Table1[[#This Row],[skill_gap_index]]&gt;70,"Large Gap",
IF(Table1[[#This Row],[skill_gap_index]]&gt;40,"Medium Gap","Small Gap"))</f>
        <v>Medium Gap</v>
      </c>
      <c r="X3905" s="3" t="str">
        <f>IF(Table1[[#This Row],[automation_risk_percent]]&gt;0.7,"Highly Automatable",
IF(Table1[[#This Row],[automation_risk_percent]]&gt;0.4,"Moderate Risk","Safe Job"))</f>
        <v>Safe Job</v>
      </c>
    </row>
    <row r="3906" spans="1:24" x14ac:dyDescent="0.3">
      <c r="A3906">
        <v>13592</v>
      </c>
      <c r="B3906" t="s">
        <v>44</v>
      </c>
      <c r="C3906" t="s">
        <v>40</v>
      </c>
      <c r="D3906" t="s">
        <v>24</v>
      </c>
      <c r="E3906" s="1">
        <v>2026</v>
      </c>
      <c r="F3906" s="11">
        <v>0.21879999999999999</v>
      </c>
      <c r="G3906">
        <v>22.74</v>
      </c>
      <c r="H3906">
        <v>80.91</v>
      </c>
      <c r="I3906" s="2">
        <v>137407.96</v>
      </c>
      <c r="J3906" s="2">
        <v>142413.65</v>
      </c>
      <c r="K3906" s="2">
        <f>Table1[[#This Row],[Salary_after]]-Table1[[#This Row],[Salary_before]]</f>
        <v>5005.6900000000023</v>
      </c>
      <c r="L3906" s="11">
        <v>3.6400000000000002E-2</v>
      </c>
      <c r="M3906" s="11">
        <v>1.84E-2</v>
      </c>
      <c r="N3906">
        <v>88.8</v>
      </c>
      <c r="O3906">
        <v>76.290000000000006</v>
      </c>
      <c r="P3906">
        <v>3</v>
      </c>
      <c r="Q3906" t="s">
        <v>21</v>
      </c>
      <c r="R3906">
        <v>51.394999999999897</v>
      </c>
      <c r="S3906">
        <v>3.64</v>
      </c>
      <c r="T3906" s="4">
        <v>34.116999999999997</v>
      </c>
      <c r="U3906" s="4">
        <v>16.692252</v>
      </c>
      <c r="V3906" t="str">
        <f>IF(Table1[[#This Row],[ai_disruption_intensity]]&gt;70,"High",
IF(Table1[[#This Row],[ai_disruption_intensity]]&gt;40,"Medium","Low"))</f>
        <v>Low</v>
      </c>
      <c r="W3906" t="str">
        <f>IF(Table1[[#This Row],[skill_gap_index]]&gt;70,"Large Gap",
IF(Table1[[#This Row],[skill_gap_index]]&gt;40,"Medium Gap","Small Gap"))</f>
        <v>Large Gap</v>
      </c>
      <c r="X3906" s="3" t="str">
        <f>IF(Table1[[#This Row],[automation_risk_percent]]&gt;0.7,"Highly Automatable",
IF(Table1[[#This Row],[automation_risk_percent]]&gt;0.4,"Moderate Risk","Safe Job"))</f>
        <v>Safe Job</v>
      </c>
    </row>
    <row r="3907" spans="1:24" x14ac:dyDescent="0.3">
      <c r="A3907">
        <v>13593</v>
      </c>
      <c r="B3907" t="s">
        <v>18</v>
      </c>
      <c r="C3907" t="s">
        <v>19</v>
      </c>
      <c r="D3907" t="s">
        <v>20</v>
      </c>
      <c r="E3907" s="1">
        <v>2025</v>
      </c>
      <c r="F3907" s="11">
        <v>0.6734</v>
      </c>
      <c r="G3907">
        <v>65.819999999999993</v>
      </c>
      <c r="H3907">
        <v>97.13</v>
      </c>
      <c r="I3907" s="2">
        <v>116140.19</v>
      </c>
      <c r="J3907" s="2">
        <v>122497.64</v>
      </c>
      <c r="K3907" s="2">
        <f>Table1[[#This Row],[Salary_after]]-Table1[[#This Row],[Salary_before]]</f>
        <v>6357.4499999999971</v>
      </c>
      <c r="L3907" s="11">
        <v>5.4699999999999999E-2</v>
      </c>
      <c r="M3907" s="11">
        <v>-2.23E-2</v>
      </c>
      <c r="N3907">
        <v>87.59</v>
      </c>
      <c r="O3907">
        <v>8.75</v>
      </c>
      <c r="P3907">
        <v>4</v>
      </c>
      <c r="Q3907" t="s">
        <v>37</v>
      </c>
      <c r="R3907">
        <v>82.234999999999999</v>
      </c>
      <c r="S3907">
        <v>5.47</v>
      </c>
      <c r="T3907" s="4">
        <v>57.716000000000001</v>
      </c>
      <c r="U3907" s="4">
        <v>5.8922499999999998</v>
      </c>
      <c r="V3907" t="str">
        <f>IF(Table1[[#This Row],[ai_disruption_intensity]]&gt;70,"High",
IF(Table1[[#This Row],[ai_disruption_intensity]]&gt;40,"Medium","Low"))</f>
        <v>Low</v>
      </c>
      <c r="W3907" t="str">
        <f>IF(Table1[[#This Row],[skill_gap_index]]&gt;70,"Large Gap",
IF(Table1[[#This Row],[skill_gap_index]]&gt;40,"Medium Gap","Small Gap"))</f>
        <v>Large Gap</v>
      </c>
      <c r="X3907" s="3" t="str">
        <f>IF(Table1[[#This Row],[automation_risk_percent]]&gt;0.7,"Highly Automatable",
IF(Table1[[#This Row],[automation_risk_percent]]&gt;0.4,"Moderate Risk","Safe Job"))</f>
        <v>Moderate Risk</v>
      </c>
    </row>
    <row r="3908" spans="1:24" x14ac:dyDescent="0.3">
      <c r="A3908">
        <v>13599</v>
      </c>
      <c r="B3908" t="s">
        <v>41</v>
      </c>
      <c r="C3908" t="s">
        <v>34</v>
      </c>
      <c r="D3908" t="s">
        <v>31</v>
      </c>
      <c r="E3908" s="1">
        <v>2025</v>
      </c>
      <c r="F3908" s="11">
        <v>0.82480000000000009</v>
      </c>
      <c r="G3908">
        <v>92.16</v>
      </c>
      <c r="H3908">
        <v>65.790000000000006</v>
      </c>
      <c r="I3908" s="2">
        <v>134499.43</v>
      </c>
      <c r="J3908" s="2">
        <v>129203.72</v>
      </c>
      <c r="K3908" s="2">
        <f>Table1[[#This Row],[Salary_after]]-Table1[[#This Row],[Salary_before]]</f>
        <v>-5295.7099999999919</v>
      </c>
      <c r="L3908" s="11">
        <v>-3.9399999999999998E-2</v>
      </c>
      <c r="M3908" s="11">
        <v>9.820000000000001E-2</v>
      </c>
      <c r="N3908">
        <v>72.72</v>
      </c>
      <c r="O3908">
        <v>83.44</v>
      </c>
      <c r="P3908">
        <v>1</v>
      </c>
      <c r="Q3908" t="s">
        <v>37</v>
      </c>
      <c r="R3908">
        <v>74.135000000000005</v>
      </c>
      <c r="S3908">
        <v>3.94</v>
      </c>
      <c r="T3908" s="4">
        <v>53.911000000000001</v>
      </c>
      <c r="U3908" s="4">
        <v>68.821311999999907</v>
      </c>
      <c r="V3908" t="str">
        <f>IF(Table1[[#This Row],[ai_disruption_intensity]]&gt;70,"High",
IF(Table1[[#This Row],[ai_disruption_intensity]]&gt;40,"Medium","Low"))</f>
        <v>Medium</v>
      </c>
      <c r="W3908" t="str">
        <f>IF(Table1[[#This Row],[skill_gap_index]]&gt;70,"Large Gap",
IF(Table1[[#This Row],[skill_gap_index]]&gt;40,"Medium Gap","Small Gap"))</f>
        <v>Medium Gap</v>
      </c>
      <c r="X3908" s="3" t="str">
        <f>IF(Table1[[#This Row],[automation_risk_percent]]&gt;0.7,"Highly Automatable",
IF(Table1[[#This Row],[automation_risk_percent]]&gt;0.4,"Moderate Risk","Safe Job"))</f>
        <v>Highly Automatable</v>
      </c>
    </row>
    <row r="3909" spans="1:24" x14ac:dyDescent="0.3">
      <c r="A3909">
        <v>13601</v>
      </c>
      <c r="B3909" t="s">
        <v>41</v>
      </c>
      <c r="C3909" t="s">
        <v>38</v>
      </c>
      <c r="D3909" t="s">
        <v>36</v>
      </c>
      <c r="E3909" s="1">
        <v>2025</v>
      </c>
      <c r="F3909" s="11">
        <v>0.88040000000000007</v>
      </c>
      <c r="G3909">
        <v>87.45</v>
      </c>
      <c r="H3909">
        <v>50.69</v>
      </c>
      <c r="I3909" s="2">
        <v>54462.43</v>
      </c>
      <c r="J3909" s="2">
        <v>43616.69</v>
      </c>
      <c r="K3909" s="2">
        <f>Table1[[#This Row],[Salary_after]]-Table1[[#This Row],[Salary_before]]</f>
        <v>-10845.739999999998</v>
      </c>
      <c r="L3909" s="11">
        <v>-0.1991</v>
      </c>
      <c r="M3909" s="11">
        <v>-9.1400000000000009E-2</v>
      </c>
      <c r="N3909">
        <v>62.8</v>
      </c>
      <c r="O3909">
        <v>85.52</v>
      </c>
      <c r="P3909">
        <v>1</v>
      </c>
      <c r="Q3909" t="s">
        <v>37</v>
      </c>
      <c r="R3909">
        <v>69.364999999999995</v>
      </c>
      <c r="S3909">
        <v>19.91</v>
      </c>
      <c r="T3909" s="4">
        <v>56.396000000000001</v>
      </c>
      <c r="U3909" s="4">
        <v>75.291808000000003</v>
      </c>
      <c r="V3909" t="str">
        <f>IF(Table1[[#This Row],[ai_disruption_intensity]]&gt;70,"High",
IF(Table1[[#This Row],[ai_disruption_intensity]]&gt;40,"Medium","Low"))</f>
        <v>High</v>
      </c>
      <c r="W3909" t="str">
        <f>IF(Table1[[#This Row],[skill_gap_index]]&gt;70,"Large Gap",
IF(Table1[[#This Row],[skill_gap_index]]&gt;40,"Medium Gap","Small Gap"))</f>
        <v>Medium Gap</v>
      </c>
      <c r="X3909" s="3" t="str">
        <f>IF(Table1[[#This Row],[automation_risk_percent]]&gt;0.7,"Highly Automatable",
IF(Table1[[#This Row],[automation_risk_percent]]&gt;0.4,"Moderate Risk","Safe Job"))</f>
        <v>Highly Automatable</v>
      </c>
    </row>
    <row r="3910" spans="1:24" x14ac:dyDescent="0.3">
      <c r="A3910">
        <v>13603</v>
      </c>
      <c r="B3910" t="s">
        <v>29</v>
      </c>
      <c r="C3910" t="s">
        <v>38</v>
      </c>
      <c r="D3910" t="s">
        <v>35</v>
      </c>
      <c r="E3910" s="1">
        <v>2026</v>
      </c>
      <c r="F3910" s="11">
        <v>0.53900000000000003</v>
      </c>
      <c r="G3910">
        <v>62.41</v>
      </c>
      <c r="H3910">
        <v>80.98</v>
      </c>
      <c r="I3910" s="2">
        <v>83670.52</v>
      </c>
      <c r="J3910" s="2">
        <v>76330.14</v>
      </c>
      <c r="K3910" s="2">
        <f>Table1[[#This Row],[Salary_after]]-Table1[[#This Row],[Salary_before]]</f>
        <v>-7340.3800000000047</v>
      </c>
      <c r="L3910" s="11">
        <v>-8.77E-2</v>
      </c>
      <c r="M3910" s="11">
        <v>0.1013</v>
      </c>
      <c r="N3910">
        <v>58.09</v>
      </c>
      <c r="O3910">
        <v>5.36</v>
      </c>
      <c r="P3910">
        <v>2</v>
      </c>
      <c r="Q3910" t="s">
        <v>25</v>
      </c>
      <c r="R3910">
        <v>67.44</v>
      </c>
      <c r="S3910">
        <v>8.77</v>
      </c>
      <c r="T3910" s="4">
        <v>48.484999999999999</v>
      </c>
      <c r="U3910" s="4">
        <v>2.8890400000000001</v>
      </c>
      <c r="V3910" t="str">
        <f>IF(Table1[[#This Row],[ai_disruption_intensity]]&gt;70,"High",
IF(Table1[[#This Row],[ai_disruption_intensity]]&gt;40,"Medium","Low"))</f>
        <v>Low</v>
      </c>
      <c r="W3910" t="str">
        <f>IF(Table1[[#This Row],[skill_gap_index]]&gt;70,"Large Gap",
IF(Table1[[#This Row],[skill_gap_index]]&gt;40,"Medium Gap","Small Gap"))</f>
        <v>Large Gap</v>
      </c>
      <c r="X3910" s="3" t="str">
        <f>IF(Table1[[#This Row],[automation_risk_percent]]&gt;0.7,"Highly Automatable",
IF(Table1[[#This Row],[automation_risk_percent]]&gt;0.4,"Moderate Risk","Safe Job"))</f>
        <v>Moderate Risk</v>
      </c>
    </row>
    <row r="3911" spans="1:24" x14ac:dyDescent="0.3">
      <c r="A3911">
        <v>13608</v>
      </c>
      <c r="B3911" t="s">
        <v>44</v>
      </c>
      <c r="C3911" t="s">
        <v>23</v>
      </c>
      <c r="D3911" t="s">
        <v>35</v>
      </c>
      <c r="E3911" s="1">
        <v>2026</v>
      </c>
      <c r="F3911" s="11">
        <v>0.72519999999999996</v>
      </c>
      <c r="G3911">
        <v>78.739999999999995</v>
      </c>
      <c r="H3911">
        <v>94.99</v>
      </c>
      <c r="I3911" s="2">
        <v>134816.06</v>
      </c>
      <c r="J3911" s="2">
        <v>118606.44</v>
      </c>
      <c r="K3911" s="2">
        <f>Table1[[#This Row],[Salary_after]]-Table1[[#This Row],[Salary_before]]</f>
        <v>-16209.619999999995</v>
      </c>
      <c r="L3911" s="11">
        <v>-0.1202</v>
      </c>
      <c r="M3911" s="11">
        <v>0.15859999999999999</v>
      </c>
      <c r="N3911">
        <v>33.26</v>
      </c>
      <c r="O3911">
        <v>45.32</v>
      </c>
      <c r="P3911">
        <v>1</v>
      </c>
      <c r="Q3911" t="s">
        <v>37</v>
      </c>
      <c r="R3911">
        <v>83.754999999999995</v>
      </c>
      <c r="S3911">
        <v>12.02</v>
      </c>
      <c r="T3911" s="4">
        <v>61.110999999999997</v>
      </c>
      <c r="U3911" s="4">
        <v>32.866063999999902</v>
      </c>
      <c r="V3911" t="str">
        <f>IF(Table1[[#This Row],[ai_disruption_intensity]]&gt;70,"High",
IF(Table1[[#This Row],[ai_disruption_intensity]]&gt;40,"Medium","Low"))</f>
        <v>Low</v>
      </c>
      <c r="W3911" t="str">
        <f>IF(Table1[[#This Row],[skill_gap_index]]&gt;70,"Large Gap",
IF(Table1[[#This Row],[skill_gap_index]]&gt;40,"Medium Gap","Small Gap"))</f>
        <v>Large Gap</v>
      </c>
      <c r="X3911" s="3" t="str">
        <f>IF(Table1[[#This Row],[automation_risk_percent]]&gt;0.7,"Highly Automatable",
IF(Table1[[#This Row],[automation_risk_percent]]&gt;0.4,"Moderate Risk","Safe Job"))</f>
        <v>Highly Automatable</v>
      </c>
    </row>
    <row r="3912" spans="1:24" x14ac:dyDescent="0.3">
      <c r="A3912">
        <v>13612</v>
      </c>
      <c r="B3912" t="s">
        <v>43</v>
      </c>
      <c r="C3912" t="s">
        <v>23</v>
      </c>
      <c r="D3912" t="s">
        <v>36</v>
      </c>
      <c r="E3912" s="1">
        <v>2025</v>
      </c>
      <c r="F3912" s="11">
        <v>0.124</v>
      </c>
      <c r="G3912">
        <v>14.38</v>
      </c>
      <c r="H3912">
        <v>36.15</v>
      </c>
      <c r="I3912" s="2">
        <v>107828.72</v>
      </c>
      <c r="J3912" s="2">
        <v>95704.81</v>
      </c>
      <c r="K3912" s="2">
        <f>Table1[[#This Row],[Salary_after]]-Table1[[#This Row],[Salary_before]]</f>
        <v>-12123.910000000003</v>
      </c>
      <c r="L3912" s="11">
        <v>-0.1124</v>
      </c>
      <c r="M3912" s="11">
        <v>9.0999999999999998E-2</v>
      </c>
      <c r="N3912">
        <v>25.49</v>
      </c>
      <c r="O3912">
        <v>21.34</v>
      </c>
      <c r="P3912">
        <v>5</v>
      </c>
      <c r="Q3912" t="s">
        <v>21</v>
      </c>
      <c r="R3912">
        <v>24.274999999999999</v>
      </c>
      <c r="S3912">
        <v>11.24</v>
      </c>
      <c r="T3912" s="4">
        <v>19.177</v>
      </c>
      <c r="U3912" s="4">
        <v>2.6461600000000001</v>
      </c>
      <c r="V3912" t="str">
        <f>IF(Table1[[#This Row],[ai_disruption_intensity]]&gt;70,"High",
IF(Table1[[#This Row],[ai_disruption_intensity]]&gt;40,"Medium","Low"))</f>
        <v>Low</v>
      </c>
      <c r="W3912" t="str">
        <f>IF(Table1[[#This Row],[skill_gap_index]]&gt;70,"Large Gap",
IF(Table1[[#This Row],[skill_gap_index]]&gt;40,"Medium Gap","Small Gap"))</f>
        <v>Small Gap</v>
      </c>
      <c r="X3912" s="3" t="str">
        <f>IF(Table1[[#This Row],[automation_risk_percent]]&gt;0.7,"Highly Automatable",
IF(Table1[[#This Row],[automation_risk_percent]]&gt;0.4,"Moderate Risk","Safe Job"))</f>
        <v>Safe Job</v>
      </c>
    </row>
    <row r="3913" spans="1:24" x14ac:dyDescent="0.3">
      <c r="A3913">
        <v>13615</v>
      </c>
      <c r="B3913" t="s">
        <v>45</v>
      </c>
      <c r="C3913" t="s">
        <v>40</v>
      </c>
      <c r="D3913" t="s">
        <v>47</v>
      </c>
      <c r="E3913" s="1">
        <v>2025</v>
      </c>
      <c r="F3913" s="11">
        <v>0.29620000000000002</v>
      </c>
      <c r="G3913">
        <v>24.6</v>
      </c>
      <c r="H3913">
        <v>32.979999999999997</v>
      </c>
      <c r="I3913" s="2">
        <v>135908.26999999999</v>
      </c>
      <c r="J3913" s="2">
        <v>168406.47</v>
      </c>
      <c r="K3913" s="2">
        <f>Table1[[#This Row],[Salary_after]]-Table1[[#This Row],[Salary_before]]</f>
        <v>32498.200000000012</v>
      </c>
      <c r="L3913" s="11">
        <v>0.23910000000000001</v>
      </c>
      <c r="M3913" s="11">
        <v>-2.8999999999999998E-2</v>
      </c>
      <c r="N3913">
        <v>13.72</v>
      </c>
      <c r="O3913">
        <v>23.95</v>
      </c>
      <c r="P3913">
        <v>4</v>
      </c>
      <c r="Q3913" t="s">
        <v>21</v>
      </c>
      <c r="R3913">
        <v>31.299999999999901</v>
      </c>
      <c r="S3913">
        <v>23.91</v>
      </c>
      <c r="T3913" s="4">
        <v>28.914999999999999</v>
      </c>
      <c r="U3913" s="4">
        <v>7.0939899999999998</v>
      </c>
      <c r="V3913" t="str">
        <f>IF(Table1[[#This Row],[ai_disruption_intensity]]&gt;70,"High",
IF(Table1[[#This Row],[ai_disruption_intensity]]&gt;40,"Medium","Low"))</f>
        <v>Low</v>
      </c>
      <c r="W3913" t="str">
        <f>IF(Table1[[#This Row],[skill_gap_index]]&gt;70,"Large Gap",
IF(Table1[[#This Row],[skill_gap_index]]&gt;40,"Medium Gap","Small Gap"))</f>
        <v>Small Gap</v>
      </c>
      <c r="X3913" s="3" t="str">
        <f>IF(Table1[[#This Row],[automation_risk_percent]]&gt;0.7,"Highly Automatable",
IF(Table1[[#This Row],[automation_risk_percent]]&gt;0.4,"Moderate Risk","Safe Job"))</f>
        <v>Safe Job</v>
      </c>
    </row>
    <row r="3914" spans="1:24" x14ac:dyDescent="0.3">
      <c r="A3914">
        <v>13616</v>
      </c>
      <c r="B3914" t="s">
        <v>44</v>
      </c>
      <c r="C3914" t="s">
        <v>33</v>
      </c>
      <c r="D3914" t="s">
        <v>24</v>
      </c>
      <c r="E3914" s="1">
        <v>2025</v>
      </c>
      <c r="F3914" s="11">
        <v>0.6493000000000001</v>
      </c>
      <c r="G3914">
        <v>70.42</v>
      </c>
      <c r="H3914">
        <v>11.09</v>
      </c>
      <c r="I3914" s="2">
        <v>128454.41</v>
      </c>
      <c r="J3914" s="2">
        <v>107364.69</v>
      </c>
      <c r="K3914" s="2">
        <f>Table1[[#This Row],[Salary_after]]-Table1[[#This Row],[Salary_before]]</f>
        <v>-21089.72</v>
      </c>
      <c r="L3914" s="11">
        <v>-0.16420000000000001</v>
      </c>
      <c r="M3914" s="11">
        <v>7.0900000000000005E-2</v>
      </c>
      <c r="N3914">
        <v>24</v>
      </c>
      <c r="O3914">
        <v>17.149999999999999</v>
      </c>
      <c r="P3914">
        <v>1</v>
      </c>
      <c r="Q3914" t="s">
        <v>37</v>
      </c>
      <c r="R3914">
        <v>38.01</v>
      </c>
      <c r="S3914">
        <v>16.420000000000002</v>
      </c>
      <c r="T3914" s="4">
        <v>34.225000000000001</v>
      </c>
      <c r="U3914" s="4">
        <v>11.135495000000001</v>
      </c>
      <c r="V3914" t="str">
        <f>IF(Table1[[#This Row],[ai_disruption_intensity]]&gt;70,"High",
IF(Table1[[#This Row],[ai_disruption_intensity]]&gt;40,"Medium","Low"))</f>
        <v>Low</v>
      </c>
      <c r="W3914" t="str">
        <f>IF(Table1[[#This Row],[skill_gap_index]]&gt;70,"Large Gap",
IF(Table1[[#This Row],[skill_gap_index]]&gt;40,"Medium Gap","Small Gap"))</f>
        <v>Small Gap</v>
      </c>
      <c r="X3914" s="3" t="str">
        <f>IF(Table1[[#This Row],[automation_risk_percent]]&gt;0.7,"Highly Automatable",
IF(Table1[[#This Row],[automation_risk_percent]]&gt;0.4,"Moderate Risk","Safe Job"))</f>
        <v>Moderate Risk</v>
      </c>
    </row>
    <row r="3915" spans="1:24" x14ac:dyDescent="0.3">
      <c r="A3915">
        <v>13625</v>
      </c>
      <c r="B3915" t="s">
        <v>18</v>
      </c>
      <c r="C3915" t="s">
        <v>33</v>
      </c>
      <c r="D3915" t="s">
        <v>36</v>
      </c>
      <c r="E3915" s="1">
        <v>2025</v>
      </c>
      <c r="F3915" s="11">
        <v>0.53469999999999995</v>
      </c>
      <c r="G3915">
        <v>56.59</v>
      </c>
      <c r="H3915">
        <v>44.5</v>
      </c>
      <c r="I3915" s="2">
        <v>90600.39</v>
      </c>
      <c r="J3915" s="2">
        <v>86231.13</v>
      </c>
      <c r="K3915" s="2">
        <f>Table1[[#This Row],[Salary_after]]-Table1[[#This Row],[Salary_before]]</f>
        <v>-4369.2599999999948</v>
      </c>
      <c r="L3915" s="11">
        <v>-4.82E-2</v>
      </c>
      <c r="M3915" s="11">
        <v>0.14910000000000001</v>
      </c>
      <c r="N3915">
        <v>87.73</v>
      </c>
      <c r="O3915">
        <v>87.36</v>
      </c>
      <c r="P3915">
        <v>5</v>
      </c>
      <c r="Q3915" t="s">
        <v>25</v>
      </c>
      <c r="R3915">
        <v>48.984999999999999</v>
      </c>
      <c r="S3915">
        <v>4.82</v>
      </c>
      <c r="T3915" s="4">
        <v>36.183999999999997</v>
      </c>
      <c r="U3915" s="4">
        <v>46.711391999999996</v>
      </c>
      <c r="V3915" t="str">
        <f>IF(Table1[[#This Row],[ai_disruption_intensity]]&gt;70,"High",
IF(Table1[[#This Row],[ai_disruption_intensity]]&gt;40,"Medium","Low"))</f>
        <v>Medium</v>
      </c>
      <c r="W3915" t="str">
        <f>IF(Table1[[#This Row],[skill_gap_index]]&gt;70,"Large Gap",
IF(Table1[[#This Row],[skill_gap_index]]&gt;40,"Medium Gap","Small Gap"))</f>
        <v>Medium Gap</v>
      </c>
      <c r="X3915" s="3" t="str">
        <f>IF(Table1[[#This Row],[automation_risk_percent]]&gt;0.7,"Highly Automatable",
IF(Table1[[#This Row],[automation_risk_percent]]&gt;0.4,"Moderate Risk","Safe Job"))</f>
        <v>Moderate Risk</v>
      </c>
    </row>
    <row r="3916" spans="1:24" x14ac:dyDescent="0.3">
      <c r="A3916">
        <v>13629</v>
      </c>
      <c r="B3916" t="s">
        <v>41</v>
      </c>
      <c r="C3916" t="s">
        <v>23</v>
      </c>
      <c r="D3916" t="s">
        <v>31</v>
      </c>
      <c r="E3916" s="1">
        <v>2025</v>
      </c>
      <c r="F3916" s="11">
        <v>0.39270000000000005</v>
      </c>
      <c r="G3916">
        <v>46.95</v>
      </c>
      <c r="H3916">
        <v>6.68</v>
      </c>
      <c r="I3916" s="2">
        <v>119238.57</v>
      </c>
      <c r="J3916" s="2">
        <v>117927.21</v>
      </c>
      <c r="K3916" s="2">
        <f>Table1[[#This Row],[Salary_after]]-Table1[[#This Row],[Salary_before]]</f>
        <v>-1311.3600000000006</v>
      </c>
      <c r="L3916" s="11">
        <v>-1.1000000000000001E-2</v>
      </c>
      <c r="M3916" s="11">
        <v>0.1336</v>
      </c>
      <c r="N3916">
        <v>53.35</v>
      </c>
      <c r="O3916">
        <v>85.3</v>
      </c>
      <c r="P3916">
        <v>5</v>
      </c>
      <c r="Q3916" t="s">
        <v>25</v>
      </c>
      <c r="R3916">
        <v>22.975000000000001</v>
      </c>
      <c r="S3916">
        <v>1.1000000000000001</v>
      </c>
      <c r="T3916" s="4">
        <v>18.042000000000002</v>
      </c>
      <c r="U3916" s="4">
        <v>33.497309999999999</v>
      </c>
      <c r="V3916" t="str">
        <f>IF(Table1[[#This Row],[ai_disruption_intensity]]&gt;70,"High",
IF(Table1[[#This Row],[ai_disruption_intensity]]&gt;40,"Medium","Low"))</f>
        <v>Low</v>
      </c>
      <c r="W3916" t="str">
        <f>IF(Table1[[#This Row],[skill_gap_index]]&gt;70,"Large Gap",
IF(Table1[[#This Row],[skill_gap_index]]&gt;40,"Medium Gap","Small Gap"))</f>
        <v>Small Gap</v>
      </c>
      <c r="X3916" s="3" t="str">
        <f>IF(Table1[[#This Row],[automation_risk_percent]]&gt;0.7,"Highly Automatable",
IF(Table1[[#This Row],[automation_risk_percent]]&gt;0.4,"Moderate Risk","Safe Job"))</f>
        <v>Safe Job</v>
      </c>
    </row>
    <row r="3917" spans="1:24" x14ac:dyDescent="0.3">
      <c r="A3917">
        <v>13630</v>
      </c>
      <c r="B3917" t="s">
        <v>18</v>
      </c>
      <c r="C3917" t="s">
        <v>23</v>
      </c>
      <c r="D3917" t="s">
        <v>24</v>
      </c>
      <c r="E3917" s="1">
        <v>2025</v>
      </c>
      <c r="F3917" s="11">
        <v>0.1101</v>
      </c>
      <c r="G3917">
        <v>9.64</v>
      </c>
      <c r="H3917">
        <v>71.38</v>
      </c>
      <c r="I3917" s="2">
        <v>91711.31</v>
      </c>
      <c r="J3917" s="2">
        <v>89396.2</v>
      </c>
      <c r="K3917" s="2">
        <f>Table1[[#This Row],[Salary_after]]-Table1[[#This Row],[Salary_before]]</f>
        <v>-2315.1100000000006</v>
      </c>
      <c r="L3917" s="11">
        <v>-2.52E-2</v>
      </c>
      <c r="M3917" s="11">
        <v>8.1000000000000013E-3</v>
      </c>
      <c r="N3917">
        <v>66.47</v>
      </c>
      <c r="O3917">
        <v>24.78</v>
      </c>
      <c r="P3917">
        <v>3</v>
      </c>
      <c r="Q3917" t="s">
        <v>21</v>
      </c>
      <c r="R3917">
        <v>41.195</v>
      </c>
      <c r="S3917">
        <v>2.52</v>
      </c>
      <c r="T3917" s="4">
        <v>26.573999999999899</v>
      </c>
      <c r="U3917" s="4">
        <v>2.728278</v>
      </c>
      <c r="V3917" t="str">
        <f>IF(Table1[[#This Row],[ai_disruption_intensity]]&gt;70,"High",
IF(Table1[[#This Row],[ai_disruption_intensity]]&gt;40,"Medium","Low"))</f>
        <v>Low</v>
      </c>
      <c r="W3917" t="str">
        <f>IF(Table1[[#This Row],[skill_gap_index]]&gt;70,"Large Gap",
IF(Table1[[#This Row],[skill_gap_index]]&gt;40,"Medium Gap","Small Gap"))</f>
        <v>Large Gap</v>
      </c>
      <c r="X3917" s="3" t="str">
        <f>IF(Table1[[#This Row],[automation_risk_percent]]&gt;0.7,"Highly Automatable",
IF(Table1[[#This Row],[automation_risk_percent]]&gt;0.4,"Moderate Risk","Safe Job"))</f>
        <v>Safe Job</v>
      </c>
    </row>
    <row r="3918" spans="1:24" x14ac:dyDescent="0.3">
      <c r="A3918">
        <v>13634</v>
      </c>
      <c r="B3918" t="s">
        <v>29</v>
      </c>
      <c r="C3918" t="s">
        <v>27</v>
      </c>
      <c r="D3918" t="s">
        <v>36</v>
      </c>
      <c r="E3918" s="1">
        <v>2025</v>
      </c>
      <c r="F3918" s="11">
        <v>0.8237000000000001</v>
      </c>
      <c r="G3918">
        <v>93.38</v>
      </c>
      <c r="H3918">
        <v>88.95</v>
      </c>
      <c r="I3918" s="2">
        <v>136814.84</v>
      </c>
      <c r="J3918" s="2">
        <v>110173.62</v>
      </c>
      <c r="K3918" s="2">
        <f>Table1[[#This Row],[Salary_after]]-Table1[[#This Row],[Salary_before]]</f>
        <v>-26641.22</v>
      </c>
      <c r="L3918" s="11">
        <v>-0.19469999999999998</v>
      </c>
      <c r="M3918" s="11">
        <v>0.1363</v>
      </c>
      <c r="N3918">
        <v>10.029999999999999</v>
      </c>
      <c r="O3918">
        <v>93.13</v>
      </c>
      <c r="P3918">
        <v>5</v>
      </c>
      <c r="Q3918" t="s">
        <v>37</v>
      </c>
      <c r="R3918">
        <v>85.66</v>
      </c>
      <c r="S3918">
        <v>19.47</v>
      </c>
      <c r="T3918" s="4">
        <v>65.473999999999904</v>
      </c>
      <c r="U3918" s="4">
        <v>76.711180999999996</v>
      </c>
      <c r="V3918" t="str">
        <f>IF(Table1[[#This Row],[ai_disruption_intensity]]&gt;70,"High",
IF(Table1[[#This Row],[ai_disruption_intensity]]&gt;40,"Medium","Low"))</f>
        <v>High</v>
      </c>
      <c r="W3918" t="str">
        <f>IF(Table1[[#This Row],[skill_gap_index]]&gt;70,"Large Gap",
IF(Table1[[#This Row],[skill_gap_index]]&gt;40,"Medium Gap","Small Gap"))</f>
        <v>Large Gap</v>
      </c>
      <c r="X3918" s="3" t="str">
        <f>IF(Table1[[#This Row],[automation_risk_percent]]&gt;0.7,"Highly Automatable",
IF(Table1[[#This Row],[automation_risk_percent]]&gt;0.4,"Moderate Risk","Safe Job"))</f>
        <v>Highly Automatable</v>
      </c>
    </row>
    <row r="3919" spans="1:24" x14ac:dyDescent="0.3">
      <c r="A3919">
        <v>13635</v>
      </c>
      <c r="B3919" t="s">
        <v>22</v>
      </c>
      <c r="C3919" t="s">
        <v>19</v>
      </c>
      <c r="D3919" t="s">
        <v>31</v>
      </c>
      <c r="E3919" s="1">
        <v>2026</v>
      </c>
      <c r="F3919" s="11">
        <v>0.2382</v>
      </c>
      <c r="G3919">
        <v>26.99</v>
      </c>
      <c r="H3919">
        <v>25.07</v>
      </c>
      <c r="I3919" s="2">
        <v>68618.36</v>
      </c>
      <c r="J3919" s="2">
        <v>72987.81</v>
      </c>
      <c r="K3919" s="2">
        <f>Table1[[#This Row],[Salary_after]]-Table1[[#This Row],[Salary_before]]</f>
        <v>4369.4499999999971</v>
      </c>
      <c r="L3919" s="11">
        <v>6.3700000000000007E-2</v>
      </c>
      <c r="M3919" s="11">
        <v>-1.78E-2</v>
      </c>
      <c r="N3919">
        <v>49.19</v>
      </c>
      <c r="O3919">
        <v>96.19</v>
      </c>
      <c r="P3919">
        <v>1</v>
      </c>
      <c r="Q3919" t="s">
        <v>21</v>
      </c>
      <c r="R3919">
        <v>24.445</v>
      </c>
      <c r="S3919">
        <v>6.37</v>
      </c>
      <c r="T3919" s="4">
        <v>18.96</v>
      </c>
      <c r="U3919" s="4">
        <v>22.912458000000001</v>
      </c>
      <c r="V3919" t="str">
        <f>IF(Table1[[#This Row],[ai_disruption_intensity]]&gt;70,"High",
IF(Table1[[#This Row],[ai_disruption_intensity]]&gt;40,"Medium","Low"))</f>
        <v>Low</v>
      </c>
      <c r="W3919" t="str">
        <f>IF(Table1[[#This Row],[skill_gap_index]]&gt;70,"Large Gap",
IF(Table1[[#This Row],[skill_gap_index]]&gt;40,"Medium Gap","Small Gap"))</f>
        <v>Small Gap</v>
      </c>
      <c r="X3919" s="3" t="str">
        <f>IF(Table1[[#This Row],[automation_risk_percent]]&gt;0.7,"Highly Automatable",
IF(Table1[[#This Row],[automation_risk_percent]]&gt;0.4,"Moderate Risk","Safe Job"))</f>
        <v>Safe Job</v>
      </c>
    </row>
    <row r="3920" spans="1:24" x14ac:dyDescent="0.3">
      <c r="A3920">
        <v>13636</v>
      </c>
      <c r="B3920" t="s">
        <v>22</v>
      </c>
      <c r="C3920" t="s">
        <v>27</v>
      </c>
      <c r="D3920" t="s">
        <v>24</v>
      </c>
      <c r="E3920" s="1">
        <v>2026</v>
      </c>
      <c r="F3920" s="11">
        <v>0.66680000000000006</v>
      </c>
      <c r="G3920">
        <v>68.45</v>
      </c>
      <c r="H3920">
        <v>78.31</v>
      </c>
      <c r="I3920" s="2">
        <v>131085.26</v>
      </c>
      <c r="J3920" s="2">
        <v>124095.81</v>
      </c>
      <c r="K3920" s="2">
        <f>Table1[[#This Row],[Salary_after]]-Table1[[#This Row],[Salary_before]]</f>
        <v>-6989.4500000000116</v>
      </c>
      <c r="L3920" s="11">
        <v>-5.33E-2</v>
      </c>
      <c r="M3920" s="11">
        <v>0.1008</v>
      </c>
      <c r="N3920">
        <v>92.45</v>
      </c>
      <c r="O3920">
        <v>18.79</v>
      </c>
      <c r="P3920">
        <v>2</v>
      </c>
      <c r="Q3920" t="s">
        <v>37</v>
      </c>
      <c r="R3920">
        <v>72.495000000000005</v>
      </c>
      <c r="S3920">
        <v>5.33</v>
      </c>
      <c r="T3920" s="4">
        <v>51.764000000000003</v>
      </c>
      <c r="U3920" s="4">
        <v>12.529172000000001</v>
      </c>
      <c r="V3920" t="str">
        <f>IF(Table1[[#This Row],[ai_disruption_intensity]]&gt;70,"High",
IF(Table1[[#This Row],[ai_disruption_intensity]]&gt;40,"Medium","Low"))</f>
        <v>Low</v>
      </c>
      <c r="W3920" t="str">
        <f>IF(Table1[[#This Row],[skill_gap_index]]&gt;70,"Large Gap",
IF(Table1[[#This Row],[skill_gap_index]]&gt;40,"Medium Gap","Small Gap"))</f>
        <v>Large Gap</v>
      </c>
      <c r="X3920" s="3" t="str">
        <f>IF(Table1[[#This Row],[automation_risk_percent]]&gt;0.7,"Highly Automatable",
IF(Table1[[#This Row],[automation_risk_percent]]&gt;0.4,"Moderate Risk","Safe Job"))</f>
        <v>Moderate Risk</v>
      </c>
    </row>
    <row r="3921" spans="1:24" x14ac:dyDescent="0.3">
      <c r="A3921">
        <v>13638</v>
      </c>
      <c r="B3921" t="s">
        <v>45</v>
      </c>
      <c r="C3921" t="s">
        <v>38</v>
      </c>
      <c r="D3921" t="s">
        <v>32</v>
      </c>
      <c r="E3921" s="1">
        <v>2025</v>
      </c>
      <c r="F3921" s="11">
        <v>0.51759999999999995</v>
      </c>
      <c r="G3921">
        <v>41.63</v>
      </c>
      <c r="H3921">
        <v>30.19</v>
      </c>
      <c r="I3921" s="2">
        <v>32568.82</v>
      </c>
      <c r="J3921" s="2">
        <v>31927.23</v>
      </c>
      <c r="K3921" s="2">
        <f>Table1[[#This Row],[Salary_after]]-Table1[[#This Row],[Salary_before]]</f>
        <v>-641.59000000000015</v>
      </c>
      <c r="L3921" s="11">
        <v>-1.9699999999999999E-2</v>
      </c>
      <c r="M3921" s="11">
        <v>7.7699999999999991E-2</v>
      </c>
      <c r="N3921">
        <v>70.56</v>
      </c>
      <c r="O3921">
        <v>18.7</v>
      </c>
      <c r="P3921">
        <v>2</v>
      </c>
      <c r="Q3921" t="s">
        <v>25</v>
      </c>
      <c r="R3921">
        <v>40.975000000000001</v>
      </c>
      <c r="S3921">
        <v>1.97</v>
      </c>
      <c r="T3921" s="4">
        <v>30.352</v>
      </c>
      <c r="U3921" s="4">
        <v>9.6791199999999993</v>
      </c>
      <c r="V3921" t="str">
        <f>IF(Table1[[#This Row],[ai_disruption_intensity]]&gt;70,"High",
IF(Table1[[#This Row],[ai_disruption_intensity]]&gt;40,"Medium","Low"))</f>
        <v>Low</v>
      </c>
      <c r="W3921" t="str">
        <f>IF(Table1[[#This Row],[skill_gap_index]]&gt;70,"Large Gap",
IF(Table1[[#This Row],[skill_gap_index]]&gt;40,"Medium Gap","Small Gap"))</f>
        <v>Small Gap</v>
      </c>
      <c r="X3921" s="3" t="str">
        <f>IF(Table1[[#This Row],[automation_risk_percent]]&gt;0.7,"Highly Automatable",
IF(Table1[[#This Row],[automation_risk_percent]]&gt;0.4,"Moderate Risk","Safe Job"))</f>
        <v>Moderate Risk</v>
      </c>
    </row>
    <row r="3922" spans="1:24" x14ac:dyDescent="0.3">
      <c r="A3922">
        <v>13640</v>
      </c>
      <c r="B3922" t="s">
        <v>26</v>
      </c>
      <c r="C3922" t="s">
        <v>34</v>
      </c>
      <c r="D3922" t="s">
        <v>35</v>
      </c>
      <c r="E3922" s="1">
        <v>2026</v>
      </c>
      <c r="F3922" s="11">
        <v>0.05</v>
      </c>
      <c r="G3922">
        <v>4.6100000000000003</v>
      </c>
      <c r="H3922">
        <v>93.87</v>
      </c>
      <c r="I3922" s="2">
        <v>136581.25</v>
      </c>
      <c r="J3922" s="2">
        <v>113034.5</v>
      </c>
      <c r="K3922" s="2">
        <f>Table1[[#This Row],[Salary_after]]-Table1[[#This Row],[Salary_before]]</f>
        <v>-23546.75</v>
      </c>
      <c r="L3922" s="11">
        <v>-0.1724</v>
      </c>
      <c r="M3922" s="11">
        <v>-3.4999999999999996E-3</v>
      </c>
      <c r="N3922">
        <v>37.69</v>
      </c>
      <c r="O3922">
        <v>70.63</v>
      </c>
      <c r="P3922">
        <v>2</v>
      </c>
      <c r="Q3922" t="s">
        <v>21</v>
      </c>
      <c r="R3922">
        <v>49.435000000000002</v>
      </c>
      <c r="S3922">
        <v>17.239999999999998</v>
      </c>
      <c r="T3922" s="4">
        <v>35.332999999999998</v>
      </c>
      <c r="U3922" s="4">
        <v>3.5314999999999999</v>
      </c>
      <c r="V3922" t="str">
        <f>IF(Table1[[#This Row],[ai_disruption_intensity]]&gt;70,"High",
IF(Table1[[#This Row],[ai_disruption_intensity]]&gt;40,"Medium","Low"))</f>
        <v>Low</v>
      </c>
      <c r="W3922" t="str">
        <f>IF(Table1[[#This Row],[skill_gap_index]]&gt;70,"Large Gap",
IF(Table1[[#This Row],[skill_gap_index]]&gt;40,"Medium Gap","Small Gap"))</f>
        <v>Large Gap</v>
      </c>
      <c r="X3922" s="3" t="str">
        <f>IF(Table1[[#This Row],[automation_risk_percent]]&gt;0.7,"Highly Automatable",
IF(Table1[[#This Row],[automation_risk_percent]]&gt;0.4,"Moderate Risk","Safe Job"))</f>
        <v>Safe Job</v>
      </c>
    </row>
    <row r="3923" spans="1:24" x14ac:dyDescent="0.3">
      <c r="A3923">
        <v>13642</v>
      </c>
      <c r="B3923" t="s">
        <v>43</v>
      </c>
      <c r="C3923" t="s">
        <v>40</v>
      </c>
      <c r="D3923" t="s">
        <v>47</v>
      </c>
      <c r="E3923" s="1">
        <v>2026</v>
      </c>
      <c r="F3923" s="11">
        <v>0.79669999999999996</v>
      </c>
      <c r="G3923">
        <v>70.73</v>
      </c>
      <c r="H3923">
        <v>19.63</v>
      </c>
      <c r="I3923" s="2">
        <v>93257.73</v>
      </c>
      <c r="J3923" s="2">
        <v>73604.94</v>
      </c>
      <c r="K3923" s="2">
        <f>Table1[[#This Row],[Salary_after]]-Table1[[#This Row],[Salary_before]]</f>
        <v>-19652.789999999994</v>
      </c>
      <c r="L3923" s="11">
        <v>-0.2107</v>
      </c>
      <c r="M3923" s="11">
        <v>0.19440000000000002</v>
      </c>
      <c r="N3923">
        <v>61.86</v>
      </c>
      <c r="O3923">
        <v>89.34</v>
      </c>
      <c r="P3923">
        <v>4</v>
      </c>
      <c r="Q3923" t="s">
        <v>37</v>
      </c>
      <c r="R3923">
        <v>49.65</v>
      </c>
      <c r="S3923">
        <v>21.07</v>
      </c>
      <c r="T3923" s="4">
        <v>44.078000000000003</v>
      </c>
      <c r="U3923" s="4">
        <v>71.177177999999998</v>
      </c>
      <c r="V3923" t="str">
        <f>IF(Table1[[#This Row],[ai_disruption_intensity]]&gt;70,"High",
IF(Table1[[#This Row],[ai_disruption_intensity]]&gt;40,"Medium","Low"))</f>
        <v>High</v>
      </c>
      <c r="W3923" t="str">
        <f>IF(Table1[[#This Row],[skill_gap_index]]&gt;70,"Large Gap",
IF(Table1[[#This Row],[skill_gap_index]]&gt;40,"Medium Gap","Small Gap"))</f>
        <v>Small Gap</v>
      </c>
      <c r="X3923" s="3" t="str">
        <f>IF(Table1[[#This Row],[automation_risk_percent]]&gt;0.7,"Highly Automatable",
IF(Table1[[#This Row],[automation_risk_percent]]&gt;0.4,"Moderate Risk","Safe Job"))</f>
        <v>Highly Automatable</v>
      </c>
    </row>
    <row r="3924" spans="1:24" x14ac:dyDescent="0.3">
      <c r="A3924">
        <v>13653</v>
      </c>
      <c r="B3924" t="s">
        <v>44</v>
      </c>
      <c r="C3924" t="s">
        <v>38</v>
      </c>
      <c r="D3924" t="s">
        <v>24</v>
      </c>
      <c r="E3924" s="1">
        <v>2025</v>
      </c>
      <c r="F3924" s="11">
        <v>0.2024</v>
      </c>
      <c r="G3924">
        <v>21.43</v>
      </c>
      <c r="H3924">
        <v>47.23</v>
      </c>
      <c r="I3924" s="2">
        <v>61019.29</v>
      </c>
      <c r="J3924" s="2">
        <v>64635.58</v>
      </c>
      <c r="K3924" s="2">
        <f>Table1[[#This Row],[Salary_after]]-Table1[[#This Row],[Salary_before]]</f>
        <v>3616.2900000000009</v>
      </c>
      <c r="L3924" s="11">
        <v>5.9299999999999999E-2</v>
      </c>
      <c r="M3924" s="11">
        <v>-2.2099999999999998E-2</v>
      </c>
      <c r="N3924">
        <v>54.74</v>
      </c>
      <c r="O3924">
        <v>28.85</v>
      </c>
      <c r="P3924">
        <v>1</v>
      </c>
      <c r="Q3924" t="s">
        <v>21</v>
      </c>
      <c r="R3924">
        <v>33.734999999999999</v>
      </c>
      <c r="S3924">
        <v>5.93</v>
      </c>
      <c r="T3924" s="4">
        <v>24.044</v>
      </c>
      <c r="U3924" s="4">
        <v>5.8392400000000002</v>
      </c>
      <c r="V3924" t="str">
        <f>IF(Table1[[#This Row],[ai_disruption_intensity]]&gt;70,"High",
IF(Table1[[#This Row],[ai_disruption_intensity]]&gt;40,"Medium","Low"))</f>
        <v>Low</v>
      </c>
      <c r="W3924" t="str">
        <f>IF(Table1[[#This Row],[skill_gap_index]]&gt;70,"Large Gap",
IF(Table1[[#This Row],[skill_gap_index]]&gt;40,"Medium Gap","Small Gap"))</f>
        <v>Medium Gap</v>
      </c>
      <c r="X3924" s="3" t="str">
        <f>IF(Table1[[#This Row],[automation_risk_percent]]&gt;0.7,"Highly Automatable",
IF(Table1[[#This Row],[automation_risk_percent]]&gt;0.4,"Moderate Risk","Safe Job"))</f>
        <v>Safe Job</v>
      </c>
    </row>
    <row r="3925" spans="1:24" x14ac:dyDescent="0.3">
      <c r="A3925">
        <v>13662</v>
      </c>
      <c r="B3925" t="s">
        <v>39</v>
      </c>
      <c r="C3925" t="s">
        <v>30</v>
      </c>
      <c r="D3925" t="s">
        <v>42</v>
      </c>
      <c r="E3925" s="1">
        <v>2025</v>
      </c>
      <c r="F3925" s="11">
        <v>0.71909999999999996</v>
      </c>
      <c r="G3925">
        <v>67.959999999999994</v>
      </c>
      <c r="H3925">
        <v>69.569999999999993</v>
      </c>
      <c r="I3925" s="2">
        <v>116995.95</v>
      </c>
      <c r="J3925" s="2">
        <v>97176.69</v>
      </c>
      <c r="K3925" s="2">
        <f>Table1[[#This Row],[Salary_after]]-Table1[[#This Row],[Salary_before]]</f>
        <v>-19819.259999999995</v>
      </c>
      <c r="L3925" s="11">
        <v>-0.16940000000000002</v>
      </c>
      <c r="M3925" s="11">
        <v>3.1200000000000002E-2</v>
      </c>
      <c r="N3925">
        <v>78.2</v>
      </c>
      <c r="O3925">
        <v>5.08</v>
      </c>
      <c r="P3925">
        <v>2</v>
      </c>
      <c r="Q3925" t="s">
        <v>37</v>
      </c>
      <c r="R3925">
        <v>70.739999999999995</v>
      </c>
      <c r="S3925">
        <v>16.940000000000001</v>
      </c>
      <c r="T3925" s="4">
        <v>54.716999999999999</v>
      </c>
      <c r="U3925" s="4">
        <v>3.6530279999999999</v>
      </c>
      <c r="V3925" t="str">
        <f>IF(Table1[[#This Row],[ai_disruption_intensity]]&gt;70,"High",
IF(Table1[[#This Row],[ai_disruption_intensity]]&gt;40,"Medium","Low"))</f>
        <v>Low</v>
      </c>
      <c r="W3925" t="str">
        <f>IF(Table1[[#This Row],[skill_gap_index]]&gt;70,"Large Gap",
IF(Table1[[#This Row],[skill_gap_index]]&gt;40,"Medium Gap","Small Gap"))</f>
        <v>Medium Gap</v>
      </c>
      <c r="X3925" s="3" t="str">
        <f>IF(Table1[[#This Row],[automation_risk_percent]]&gt;0.7,"Highly Automatable",
IF(Table1[[#This Row],[automation_risk_percent]]&gt;0.4,"Moderate Risk","Safe Job"))</f>
        <v>Highly Automatable</v>
      </c>
    </row>
    <row r="3926" spans="1:24" x14ac:dyDescent="0.3">
      <c r="A3926">
        <v>13666</v>
      </c>
      <c r="B3926" t="s">
        <v>22</v>
      </c>
      <c r="C3926" t="s">
        <v>40</v>
      </c>
      <c r="D3926" t="s">
        <v>36</v>
      </c>
      <c r="E3926" s="1">
        <v>2026</v>
      </c>
      <c r="F3926" s="11">
        <v>0.26569999999999999</v>
      </c>
      <c r="G3926">
        <v>30.68</v>
      </c>
      <c r="H3926">
        <v>90.85</v>
      </c>
      <c r="I3926" s="2">
        <v>115359.94</v>
      </c>
      <c r="J3926" s="2">
        <v>109961.47</v>
      </c>
      <c r="K3926" s="2">
        <f>Table1[[#This Row],[Salary_after]]-Table1[[#This Row],[Salary_before]]</f>
        <v>-5398.4700000000012</v>
      </c>
      <c r="L3926" s="11">
        <v>-4.6799999999999994E-2</v>
      </c>
      <c r="M3926" s="11">
        <v>7.8200000000000006E-2</v>
      </c>
      <c r="N3926">
        <v>62.27</v>
      </c>
      <c r="O3926">
        <v>61.83</v>
      </c>
      <c r="P3926">
        <v>3</v>
      </c>
      <c r="Q3926" t="s">
        <v>21</v>
      </c>
      <c r="R3926">
        <v>58.709999999999901</v>
      </c>
      <c r="S3926">
        <v>4.68</v>
      </c>
      <c r="T3926" s="4">
        <v>39.2869999999999</v>
      </c>
      <c r="U3926" s="4">
        <v>16.428231</v>
      </c>
      <c r="V3926" t="str">
        <f>IF(Table1[[#This Row],[ai_disruption_intensity]]&gt;70,"High",
IF(Table1[[#This Row],[ai_disruption_intensity]]&gt;40,"Medium","Low"))</f>
        <v>Low</v>
      </c>
      <c r="W3926" t="str">
        <f>IF(Table1[[#This Row],[skill_gap_index]]&gt;70,"Large Gap",
IF(Table1[[#This Row],[skill_gap_index]]&gt;40,"Medium Gap","Small Gap"))</f>
        <v>Large Gap</v>
      </c>
      <c r="X3926" s="3" t="str">
        <f>IF(Table1[[#This Row],[automation_risk_percent]]&gt;0.7,"Highly Automatable",
IF(Table1[[#This Row],[automation_risk_percent]]&gt;0.4,"Moderate Risk","Safe Job"))</f>
        <v>Safe Job</v>
      </c>
    </row>
    <row r="3927" spans="1:24" x14ac:dyDescent="0.3">
      <c r="A3927">
        <v>13668</v>
      </c>
      <c r="B3927" t="s">
        <v>43</v>
      </c>
      <c r="C3927" t="s">
        <v>23</v>
      </c>
      <c r="D3927" t="s">
        <v>47</v>
      </c>
      <c r="E3927" s="1">
        <v>2026</v>
      </c>
      <c r="F3927" s="11">
        <v>0.19079999999999997</v>
      </c>
      <c r="G3927">
        <v>22.35</v>
      </c>
      <c r="H3927">
        <v>65.61</v>
      </c>
      <c r="I3927" s="2">
        <v>62256.57</v>
      </c>
      <c r="J3927" s="2">
        <v>66953.97</v>
      </c>
      <c r="K3927" s="2">
        <f>Table1[[#This Row],[Salary_after]]-Table1[[#This Row],[Salary_before]]</f>
        <v>4697.4000000000015</v>
      </c>
      <c r="L3927" s="11">
        <v>7.5499999999999998E-2</v>
      </c>
      <c r="M3927" s="11">
        <v>9.5500000000000002E-2</v>
      </c>
      <c r="N3927">
        <v>73.08</v>
      </c>
      <c r="O3927">
        <v>27.88</v>
      </c>
      <c r="P3927">
        <v>2</v>
      </c>
      <c r="Q3927" t="s">
        <v>21</v>
      </c>
      <c r="R3927">
        <v>42.344999999999999</v>
      </c>
      <c r="S3927">
        <v>7.55</v>
      </c>
      <c r="T3927" s="4">
        <v>29.58</v>
      </c>
      <c r="U3927" s="4">
        <v>5.3195039999999896</v>
      </c>
      <c r="V3927" t="str">
        <f>IF(Table1[[#This Row],[ai_disruption_intensity]]&gt;70,"High",
IF(Table1[[#This Row],[ai_disruption_intensity]]&gt;40,"Medium","Low"))</f>
        <v>Low</v>
      </c>
      <c r="W3927" t="str">
        <f>IF(Table1[[#This Row],[skill_gap_index]]&gt;70,"Large Gap",
IF(Table1[[#This Row],[skill_gap_index]]&gt;40,"Medium Gap","Small Gap"))</f>
        <v>Medium Gap</v>
      </c>
      <c r="X3927" s="3" t="str">
        <f>IF(Table1[[#This Row],[automation_risk_percent]]&gt;0.7,"Highly Automatable",
IF(Table1[[#This Row],[automation_risk_percent]]&gt;0.4,"Moderate Risk","Safe Job"))</f>
        <v>Safe Job</v>
      </c>
    </row>
    <row r="3928" spans="1:24" x14ac:dyDescent="0.3">
      <c r="A3928">
        <v>13669</v>
      </c>
      <c r="B3928" t="s">
        <v>26</v>
      </c>
      <c r="C3928" t="s">
        <v>30</v>
      </c>
      <c r="D3928" t="s">
        <v>20</v>
      </c>
      <c r="E3928" s="1">
        <v>2025</v>
      </c>
      <c r="F3928" s="11">
        <v>0.15259999999999999</v>
      </c>
      <c r="G3928">
        <v>12.86</v>
      </c>
      <c r="H3928">
        <v>40.200000000000003</v>
      </c>
      <c r="I3928" s="2">
        <v>141096.26999999999</v>
      </c>
      <c r="J3928" s="2">
        <v>139793.21</v>
      </c>
      <c r="K3928" s="2">
        <f>Table1[[#This Row],[Salary_after]]-Table1[[#This Row],[Salary_before]]</f>
        <v>-1303.0599999999977</v>
      </c>
      <c r="L3928" s="11">
        <v>-9.1999999999999998E-3</v>
      </c>
      <c r="M3928" s="11">
        <v>-9.2100000000000015E-2</v>
      </c>
      <c r="N3928">
        <v>10.9</v>
      </c>
      <c r="O3928">
        <v>84.39</v>
      </c>
      <c r="P3928">
        <v>5</v>
      </c>
      <c r="Q3928" t="s">
        <v>21</v>
      </c>
      <c r="R3928">
        <v>27.73</v>
      </c>
      <c r="S3928">
        <v>0.92</v>
      </c>
      <c r="T3928" s="4">
        <v>18.440000000000001</v>
      </c>
      <c r="U3928" s="4">
        <v>12.877914000000001</v>
      </c>
      <c r="V3928" t="str">
        <f>IF(Table1[[#This Row],[ai_disruption_intensity]]&gt;70,"High",
IF(Table1[[#This Row],[ai_disruption_intensity]]&gt;40,"Medium","Low"))</f>
        <v>Low</v>
      </c>
      <c r="W3928" t="str">
        <f>IF(Table1[[#This Row],[skill_gap_index]]&gt;70,"Large Gap",
IF(Table1[[#This Row],[skill_gap_index]]&gt;40,"Medium Gap","Small Gap"))</f>
        <v>Medium Gap</v>
      </c>
      <c r="X3928" s="3" t="str">
        <f>IF(Table1[[#This Row],[automation_risk_percent]]&gt;0.7,"Highly Automatable",
IF(Table1[[#This Row],[automation_risk_percent]]&gt;0.4,"Moderate Risk","Safe Job"))</f>
        <v>Safe Job</v>
      </c>
    </row>
    <row r="3929" spans="1:24" x14ac:dyDescent="0.3">
      <c r="A3929">
        <v>13676</v>
      </c>
      <c r="B3929" t="s">
        <v>18</v>
      </c>
      <c r="C3929" t="s">
        <v>38</v>
      </c>
      <c r="D3929" t="s">
        <v>47</v>
      </c>
      <c r="E3929" s="1">
        <v>2025</v>
      </c>
      <c r="F3929" s="11">
        <v>0.78700000000000003</v>
      </c>
      <c r="G3929">
        <v>64.19</v>
      </c>
      <c r="H3929">
        <v>18.16</v>
      </c>
      <c r="I3929" s="2">
        <v>77647.59</v>
      </c>
      <c r="J3929" s="2">
        <v>81904.11</v>
      </c>
      <c r="K3929" s="2">
        <f>Table1[[#This Row],[Salary_after]]-Table1[[#This Row],[Salary_before]]</f>
        <v>4256.5200000000041</v>
      </c>
      <c r="L3929" s="11">
        <v>5.4800000000000001E-2</v>
      </c>
      <c r="M3929" s="11">
        <v>6.1100000000000002E-2</v>
      </c>
      <c r="N3929">
        <v>44.99</v>
      </c>
      <c r="O3929">
        <v>18.510000000000002</v>
      </c>
      <c r="P3929">
        <v>3</v>
      </c>
      <c r="Q3929" t="s">
        <v>37</v>
      </c>
      <c r="R3929">
        <v>48.43</v>
      </c>
      <c r="S3929">
        <v>5.48</v>
      </c>
      <c r="T3929" s="4">
        <v>38.572000000000003</v>
      </c>
      <c r="U3929" s="4">
        <v>14.56737</v>
      </c>
      <c r="V3929" t="str">
        <f>IF(Table1[[#This Row],[ai_disruption_intensity]]&gt;70,"High",
IF(Table1[[#This Row],[ai_disruption_intensity]]&gt;40,"Medium","Low"))</f>
        <v>Low</v>
      </c>
      <c r="W3929" t="str">
        <f>IF(Table1[[#This Row],[skill_gap_index]]&gt;70,"Large Gap",
IF(Table1[[#This Row],[skill_gap_index]]&gt;40,"Medium Gap","Small Gap"))</f>
        <v>Small Gap</v>
      </c>
      <c r="X3929" s="3" t="str">
        <f>IF(Table1[[#This Row],[automation_risk_percent]]&gt;0.7,"Highly Automatable",
IF(Table1[[#This Row],[automation_risk_percent]]&gt;0.4,"Moderate Risk","Safe Job"))</f>
        <v>Highly Automatable</v>
      </c>
    </row>
    <row r="3930" spans="1:24" x14ac:dyDescent="0.3">
      <c r="A3930">
        <v>13677</v>
      </c>
      <c r="B3930" t="s">
        <v>22</v>
      </c>
      <c r="C3930" t="s">
        <v>23</v>
      </c>
      <c r="D3930" t="s">
        <v>20</v>
      </c>
      <c r="E3930" s="1">
        <v>2026</v>
      </c>
      <c r="F3930" s="11">
        <v>0.4425</v>
      </c>
      <c r="G3930">
        <v>49.06</v>
      </c>
      <c r="H3930">
        <v>25.95</v>
      </c>
      <c r="I3930" s="2">
        <v>50296</v>
      </c>
      <c r="J3930" s="2">
        <v>51175.4</v>
      </c>
      <c r="K3930" s="2">
        <f>Table1[[#This Row],[Salary_after]]-Table1[[#This Row],[Salary_before]]</f>
        <v>879.40000000000146</v>
      </c>
      <c r="L3930" s="11">
        <v>1.7500000000000002E-2</v>
      </c>
      <c r="M3930" s="11">
        <v>0.23219999999999999</v>
      </c>
      <c r="N3930">
        <v>71.52</v>
      </c>
      <c r="O3930">
        <v>36.5</v>
      </c>
      <c r="P3930">
        <v>5</v>
      </c>
      <c r="Q3930" t="s">
        <v>25</v>
      </c>
      <c r="R3930">
        <v>35.1</v>
      </c>
      <c r="S3930">
        <v>1.75</v>
      </c>
      <c r="T3930" s="4">
        <v>26.009999999999899</v>
      </c>
      <c r="U3930" s="4">
        <v>16.151250000000001</v>
      </c>
      <c r="V3930" t="str">
        <f>IF(Table1[[#This Row],[ai_disruption_intensity]]&gt;70,"High",
IF(Table1[[#This Row],[ai_disruption_intensity]]&gt;40,"Medium","Low"))</f>
        <v>Low</v>
      </c>
      <c r="W3930" t="str">
        <f>IF(Table1[[#This Row],[skill_gap_index]]&gt;70,"Large Gap",
IF(Table1[[#This Row],[skill_gap_index]]&gt;40,"Medium Gap","Small Gap"))</f>
        <v>Small Gap</v>
      </c>
      <c r="X3930" s="3" t="str">
        <f>IF(Table1[[#This Row],[automation_risk_percent]]&gt;0.7,"Highly Automatable",
IF(Table1[[#This Row],[automation_risk_percent]]&gt;0.4,"Moderate Risk","Safe Job"))</f>
        <v>Moderate Risk</v>
      </c>
    </row>
    <row r="3931" spans="1:24" x14ac:dyDescent="0.3">
      <c r="A3931">
        <v>13681</v>
      </c>
      <c r="B3931" t="s">
        <v>45</v>
      </c>
      <c r="C3931" t="s">
        <v>19</v>
      </c>
      <c r="D3931" t="s">
        <v>28</v>
      </c>
      <c r="E3931" s="1">
        <v>2026</v>
      </c>
      <c r="F3931" s="11">
        <v>0.39759999999999995</v>
      </c>
      <c r="G3931">
        <v>44.03</v>
      </c>
      <c r="H3931">
        <v>44.92</v>
      </c>
      <c r="I3931" s="2">
        <v>148886.06</v>
      </c>
      <c r="J3931" s="2">
        <v>139426.23999999999</v>
      </c>
      <c r="K3931" s="2">
        <f>Table1[[#This Row],[Salary_after]]-Table1[[#This Row],[Salary_before]]</f>
        <v>-9459.820000000007</v>
      </c>
      <c r="L3931" s="11">
        <v>-6.3500000000000001E-2</v>
      </c>
      <c r="M3931" s="11">
        <v>2.9900000000000003E-2</v>
      </c>
      <c r="N3931">
        <v>73.92</v>
      </c>
      <c r="O3931">
        <v>29.87</v>
      </c>
      <c r="P3931">
        <v>3</v>
      </c>
      <c r="Q3931" t="s">
        <v>25</v>
      </c>
      <c r="R3931">
        <v>42.34</v>
      </c>
      <c r="S3931">
        <v>6.35</v>
      </c>
      <c r="T3931" s="4">
        <v>31.285</v>
      </c>
      <c r="U3931" s="4">
        <v>11.876312</v>
      </c>
      <c r="V3931" t="str">
        <f>IF(Table1[[#This Row],[ai_disruption_intensity]]&gt;70,"High",
IF(Table1[[#This Row],[ai_disruption_intensity]]&gt;40,"Medium","Low"))</f>
        <v>Low</v>
      </c>
      <c r="W3931" t="str">
        <f>IF(Table1[[#This Row],[skill_gap_index]]&gt;70,"Large Gap",
IF(Table1[[#This Row],[skill_gap_index]]&gt;40,"Medium Gap","Small Gap"))</f>
        <v>Medium Gap</v>
      </c>
      <c r="X3931" s="3" t="str">
        <f>IF(Table1[[#This Row],[automation_risk_percent]]&gt;0.7,"Highly Automatable",
IF(Table1[[#This Row],[automation_risk_percent]]&gt;0.4,"Moderate Risk","Safe Job"))</f>
        <v>Safe Job</v>
      </c>
    </row>
    <row r="3932" spans="1:24" x14ac:dyDescent="0.3">
      <c r="A3932">
        <v>13691</v>
      </c>
      <c r="B3932" t="s">
        <v>45</v>
      </c>
      <c r="C3932" t="s">
        <v>19</v>
      </c>
      <c r="D3932" t="s">
        <v>31</v>
      </c>
      <c r="E3932" s="1">
        <v>2025</v>
      </c>
      <c r="F3932" s="11">
        <v>0.7743000000000001</v>
      </c>
      <c r="G3932">
        <v>76.84</v>
      </c>
      <c r="H3932">
        <v>86.46</v>
      </c>
      <c r="I3932" s="2">
        <v>125949.2</v>
      </c>
      <c r="J3932" s="2">
        <v>152576.25</v>
      </c>
      <c r="K3932" s="2">
        <f>Table1[[#This Row],[Salary_after]]-Table1[[#This Row],[Salary_before]]</f>
        <v>26627.050000000003</v>
      </c>
      <c r="L3932" s="11">
        <v>0.2114</v>
      </c>
      <c r="M3932" s="11">
        <v>3.4099999999999998E-2</v>
      </c>
      <c r="N3932">
        <v>15.89</v>
      </c>
      <c r="O3932">
        <v>64.290000000000006</v>
      </c>
      <c r="P3932">
        <v>2</v>
      </c>
      <c r="Q3932" t="s">
        <v>37</v>
      </c>
      <c r="R3932">
        <v>81.944999999999993</v>
      </c>
      <c r="S3932">
        <v>21.14</v>
      </c>
      <c r="T3932" s="4">
        <v>63.252000000000002</v>
      </c>
      <c r="U3932" s="4">
        <v>49.779747</v>
      </c>
      <c r="V3932" t="str">
        <f>IF(Table1[[#This Row],[ai_disruption_intensity]]&gt;70,"High",
IF(Table1[[#This Row],[ai_disruption_intensity]]&gt;40,"Medium","Low"))</f>
        <v>Medium</v>
      </c>
      <c r="W3932" t="str">
        <f>IF(Table1[[#This Row],[skill_gap_index]]&gt;70,"Large Gap",
IF(Table1[[#This Row],[skill_gap_index]]&gt;40,"Medium Gap","Small Gap"))</f>
        <v>Large Gap</v>
      </c>
      <c r="X3932" s="3" t="str">
        <f>IF(Table1[[#This Row],[automation_risk_percent]]&gt;0.7,"Highly Automatable",
IF(Table1[[#This Row],[automation_risk_percent]]&gt;0.4,"Moderate Risk","Safe Job"))</f>
        <v>Highly Automatable</v>
      </c>
    </row>
    <row r="3933" spans="1:24" x14ac:dyDescent="0.3">
      <c r="A3933">
        <v>13693</v>
      </c>
      <c r="B3933" t="s">
        <v>29</v>
      </c>
      <c r="C3933" t="s">
        <v>34</v>
      </c>
      <c r="D3933" t="s">
        <v>32</v>
      </c>
      <c r="E3933" s="1">
        <v>2025</v>
      </c>
      <c r="F3933" s="11">
        <v>0.90159999999999996</v>
      </c>
      <c r="G3933">
        <v>106.16</v>
      </c>
      <c r="H3933">
        <v>24.98</v>
      </c>
      <c r="I3933" s="2">
        <v>95846.31</v>
      </c>
      <c r="J3933" s="2">
        <v>97143.89</v>
      </c>
      <c r="K3933" s="2">
        <f>Table1[[#This Row],[Salary_after]]-Table1[[#This Row],[Salary_before]]</f>
        <v>1297.5800000000017</v>
      </c>
      <c r="L3933" s="11">
        <v>1.3500000000000002E-2</v>
      </c>
      <c r="M3933" s="11">
        <v>2.9500000000000002E-2</v>
      </c>
      <c r="N3933">
        <v>50.62</v>
      </c>
      <c r="O3933">
        <v>84.25</v>
      </c>
      <c r="P3933">
        <v>3</v>
      </c>
      <c r="Q3933" t="s">
        <v>37</v>
      </c>
      <c r="R3933">
        <v>57.57</v>
      </c>
      <c r="S3933">
        <v>1.35</v>
      </c>
      <c r="T3933" s="4">
        <v>43.963000000000001</v>
      </c>
      <c r="U3933" s="4">
        <v>75.959800000000001</v>
      </c>
      <c r="V3933" t="str">
        <f>IF(Table1[[#This Row],[ai_disruption_intensity]]&gt;70,"High",
IF(Table1[[#This Row],[ai_disruption_intensity]]&gt;40,"Medium","Low"))</f>
        <v>High</v>
      </c>
      <c r="W3933" t="str">
        <f>IF(Table1[[#This Row],[skill_gap_index]]&gt;70,"Large Gap",
IF(Table1[[#This Row],[skill_gap_index]]&gt;40,"Medium Gap","Small Gap"))</f>
        <v>Small Gap</v>
      </c>
      <c r="X3933" s="3" t="str">
        <f>IF(Table1[[#This Row],[automation_risk_percent]]&gt;0.7,"Highly Automatable",
IF(Table1[[#This Row],[automation_risk_percent]]&gt;0.4,"Moderate Risk","Safe Job"))</f>
        <v>Highly Automatable</v>
      </c>
    </row>
    <row r="3934" spans="1:24" x14ac:dyDescent="0.3">
      <c r="A3934">
        <v>13696</v>
      </c>
      <c r="B3934" t="s">
        <v>44</v>
      </c>
      <c r="C3934" t="s">
        <v>30</v>
      </c>
      <c r="D3934" t="s">
        <v>32</v>
      </c>
      <c r="E3934" s="1">
        <v>2025</v>
      </c>
      <c r="F3934" s="11">
        <v>0.29359999999999997</v>
      </c>
      <c r="G3934">
        <v>34.06</v>
      </c>
      <c r="H3934">
        <v>5.63</v>
      </c>
      <c r="I3934" s="2">
        <v>96468.89</v>
      </c>
      <c r="J3934" s="2">
        <v>114622.32</v>
      </c>
      <c r="K3934" s="2">
        <f>Table1[[#This Row],[Salary_after]]-Table1[[#This Row],[Salary_before]]</f>
        <v>18153.430000000008</v>
      </c>
      <c r="L3934" s="11">
        <v>0.18820000000000001</v>
      </c>
      <c r="M3934" s="11">
        <v>-2.2200000000000001E-2</v>
      </c>
      <c r="N3934">
        <v>96.64</v>
      </c>
      <c r="O3934">
        <v>45.84</v>
      </c>
      <c r="P3934">
        <v>1</v>
      </c>
      <c r="Q3934" t="s">
        <v>21</v>
      </c>
      <c r="R3934">
        <v>17.495000000000001</v>
      </c>
      <c r="S3934">
        <v>18.82</v>
      </c>
      <c r="T3934" s="4">
        <v>19.079000000000001</v>
      </c>
      <c r="U3934" s="4">
        <v>13.458624</v>
      </c>
      <c r="V3934" t="str">
        <f>IF(Table1[[#This Row],[ai_disruption_intensity]]&gt;70,"High",
IF(Table1[[#This Row],[ai_disruption_intensity]]&gt;40,"Medium","Low"))</f>
        <v>Low</v>
      </c>
      <c r="W3934" t="str">
        <f>IF(Table1[[#This Row],[skill_gap_index]]&gt;70,"Large Gap",
IF(Table1[[#This Row],[skill_gap_index]]&gt;40,"Medium Gap","Small Gap"))</f>
        <v>Small Gap</v>
      </c>
      <c r="X3934" s="3" t="str">
        <f>IF(Table1[[#This Row],[automation_risk_percent]]&gt;0.7,"Highly Automatable",
IF(Table1[[#This Row],[automation_risk_percent]]&gt;0.4,"Moderate Risk","Safe Job"))</f>
        <v>Safe Job</v>
      </c>
    </row>
    <row r="3935" spans="1:24" x14ac:dyDescent="0.3">
      <c r="A3935">
        <v>13697</v>
      </c>
      <c r="B3935" t="s">
        <v>26</v>
      </c>
      <c r="C3935" t="s">
        <v>23</v>
      </c>
      <c r="D3935" t="s">
        <v>35</v>
      </c>
      <c r="E3935" s="1">
        <v>2025</v>
      </c>
      <c r="F3935" s="11">
        <v>0.3538</v>
      </c>
      <c r="G3935">
        <v>29.99</v>
      </c>
      <c r="H3935">
        <v>91.13</v>
      </c>
      <c r="I3935" s="2">
        <v>76637.91</v>
      </c>
      <c r="J3935" s="2">
        <v>76930.38</v>
      </c>
      <c r="K3935" s="2">
        <f>Table1[[#This Row],[Salary_after]]-Table1[[#This Row],[Salary_before]]</f>
        <v>292.47000000000116</v>
      </c>
      <c r="L3935" s="11">
        <v>3.8E-3</v>
      </c>
      <c r="M3935" s="11">
        <v>-8.5000000000000006E-3</v>
      </c>
      <c r="N3935">
        <v>86.02</v>
      </c>
      <c r="O3935">
        <v>59.09</v>
      </c>
      <c r="P3935">
        <v>3</v>
      </c>
      <c r="Q3935" t="s">
        <v>25</v>
      </c>
      <c r="R3935">
        <v>63.254999999999903</v>
      </c>
      <c r="S3935">
        <v>0.38</v>
      </c>
      <c r="T3935" s="4">
        <v>41.604999999999997</v>
      </c>
      <c r="U3935" s="4">
        <v>20.906041999999999</v>
      </c>
      <c r="V3935" t="str">
        <f>IF(Table1[[#This Row],[ai_disruption_intensity]]&gt;70,"High",
IF(Table1[[#This Row],[ai_disruption_intensity]]&gt;40,"Medium","Low"))</f>
        <v>Low</v>
      </c>
      <c r="W3935" t="str">
        <f>IF(Table1[[#This Row],[skill_gap_index]]&gt;70,"Large Gap",
IF(Table1[[#This Row],[skill_gap_index]]&gt;40,"Medium Gap","Small Gap"))</f>
        <v>Large Gap</v>
      </c>
      <c r="X3935" s="3" t="str">
        <f>IF(Table1[[#This Row],[automation_risk_percent]]&gt;0.7,"Highly Automatable",
IF(Table1[[#This Row],[automation_risk_percent]]&gt;0.4,"Moderate Risk","Safe Job"))</f>
        <v>Safe Job</v>
      </c>
    </row>
    <row r="3936" spans="1:24" x14ac:dyDescent="0.3">
      <c r="A3936">
        <v>13699</v>
      </c>
      <c r="B3936" t="s">
        <v>43</v>
      </c>
      <c r="C3936" t="s">
        <v>30</v>
      </c>
      <c r="D3936" t="s">
        <v>20</v>
      </c>
      <c r="E3936" s="1">
        <v>2025</v>
      </c>
      <c r="F3936" s="11">
        <v>0.39840000000000003</v>
      </c>
      <c r="G3936">
        <v>44.55</v>
      </c>
      <c r="H3936">
        <v>14.25</v>
      </c>
      <c r="I3936" s="2">
        <v>43664.01</v>
      </c>
      <c r="J3936" s="2">
        <v>52901.02</v>
      </c>
      <c r="K3936" s="2">
        <f>Table1[[#This Row],[Salary_after]]-Table1[[#This Row],[Salary_before]]</f>
        <v>9237.0099999999948</v>
      </c>
      <c r="L3936" s="11">
        <v>0.21149999999999999</v>
      </c>
      <c r="M3936" s="11">
        <v>-0.19309999999999999</v>
      </c>
      <c r="N3936">
        <v>56.2</v>
      </c>
      <c r="O3936">
        <v>50.31</v>
      </c>
      <c r="P3936">
        <v>1</v>
      </c>
      <c r="Q3936" t="s">
        <v>25</v>
      </c>
      <c r="R3936">
        <v>27.045000000000002</v>
      </c>
      <c r="S3936">
        <v>21.15</v>
      </c>
      <c r="T3936" s="4">
        <v>26.556000000000001</v>
      </c>
      <c r="U3936" s="4">
        <v>20.043503999999999</v>
      </c>
      <c r="V3936" t="str">
        <f>IF(Table1[[#This Row],[ai_disruption_intensity]]&gt;70,"High",
IF(Table1[[#This Row],[ai_disruption_intensity]]&gt;40,"Medium","Low"))</f>
        <v>Low</v>
      </c>
      <c r="W3936" t="str">
        <f>IF(Table1[[#This Row],[skill_gap_index]]&gt;70,"Large Gap",
IF(Table1[[#This Row],[skill_gap_index]]&gt;40,"Medium Gap","Small Gap"))</f>
        <v>Small Gap</v>
      </c>
      <c r="X3936" s="3" t="str">
        <f>IF(Table1[[#This Row],[automation_risk_percent]]&gt;0.7,"Highly Automatable",
IF(Table1[[#This Row],[automation_risk_percent]]&gt;0.4,"Moderate Risk","Safe Job"))</f>
        <v>Safe Job</v>
      </c>
    </row>
    <row r="3937" spans="1:24" x14ac:dyDescent="0.3">
      <c r="A3937">
        <v>13701</v>
      </c>
      <c r="B3937" t="s">
        <v>29</v>
      </c>
      <c r="C3937" t="s">
        <v>40</v>
      </c>
      <c r="D3937" t="s">
        <v>42</v>
      </c>
      <c r="E3937" s="1">
        <v>2025</v>
      </c>
      <c r="F3937" s="11">
        <v>0.74129999999999996</v>
      </c>
      <c r="G3937">
        <v>64.260000000000005</v>
      </c>
      <c r="H3937">
        <v>29.92</v>
      </c>
      <c r="I3937" s="2">
        <v>124896.73</v>
      </c>
      <c r="J3937" s="2">
        <v>126510.09</v>
      </c>
      <c r="K3937" s="2">
        <f>Table1[[#This Row],[Salary_after]]-Table1[[#This Row],[Salary_before]]</f>
        <v>1613.3600000000006</v>
      </c>
      <c r="L3937" s="11">
        <v>1.29E-2</v>
      </c>
      <c r="M3937" s="11">
        <v>0.1026</v>
      </c>
      <c r="N3937">
        <v>75.83</v>
      </c>
      <c r="O3937">
        <v>39.57</v>
      </c>
      <c r="P3937">
        <v>5</v>
      </c>
      <c r="Q3937" t="s">
        <v>37</v>
      </c>
      <c r="R3937">
        <v>52.024999999999999</v>
      </c>
      <c r="S3937">
        <v>1.29</v>
      </c>
      <c r="T3937" s="4">
        <v>39.015000000000001</v>
      </c>
      <c r="U3937" s="4">
        <v>29.333240999999902</v>
      </c>
      <c r="V3937" t="str">
        <f>IF(Table1[[#This Row],[ai_disruption_intensity]]&gt;70,"High",
IF(Table1[[#This Row],[ai_disruption_intensity]]&gt;40,"Medium","Low"))</f>
        <v>Low</v>
      </c>
      <c r="W3937" t="str">
        <f>IF(Table1[[#This Row],[skill_gap_index]]&gt;70,"Large Gap",
IF(Table1[[#This Row],[skill_gap_index]]&gt;40,"Medium Gap","Small Gap"))</f>
        <v>Small Gap</v>
      </c>
      <c r="X3937" s="3" t="str">
        <f>IF(Table1[[#This Row],[automation_risk_percent]]&gt;0.7,"Highly Automatable",
IF(Table1[[#This Row],[automation_risk_percent]]&gt;0.4,"Moderate Risk","Safe Job"))</f>
        <v>Highly Automatable</v>
      </c>
    </row>
    <row r="3938" spans="1:24" x14ac:dyDescent="0.3">
      <c r="A3938">
        <v>13705</v>
      </c>
      <c r="B3938" t="s">
        <v>46</v>
      </c>
      <c r="C3938" t="s">
        <v>34</v>
      </c>
      <c r="D3938" t="s">
        <v>32</v>
      </c>
      <c r="E3938" s="1">
        <v>2025</v>
      </c>
      <c r="F3938" s="11">
        <v>0.19140000000000001</v>
      </c>
      <c r="G3938">
        <v>20.22</v>
      </c>
      <c r="H3938">
        <v>2.35</v>
      </c>
      <c r="I3938" s="2">
        <v>48035.56</v>
      </c>
      <c r="J3938" s="2">
        <v>48246.23</v>
      </c>
      <c r="K3938" s="2">
        <f>Table1[[#This Row],[Salary_after]]-Table1[[#This Row],[Salary_before]]</f>
        <v>210.67000000000553</v>
      </c>
      <c r="L3938" s="11">
        <v>4.4000000000000003E-3</v>
      </c>
      <c r="M3938" s="11">
        <v>-4.9599999999999998E-2</v>
      </c>
      <c r="N3938">
        <v>89.34</v>
      </c>
      <c r="O3938">
        <v>0.32</v>
      </c>
      <c r="P3938">
        <v>3</v>
      </c>
      <c r="Q3938" t="s">
        <v>21</v>
      </c>
      <c r="R3938">
        <v>10.744999999999999</v>
      </c>
      <c r="S3938">
        <v>0.44</v>
      </c>
      <c r="T3938" s="4">
        <v>8.4930000000000003</v>
      </c>
      <c r="U3938" s="4">
        <v>6.1247999999999997E-2</v>
      </c>
      <c r="V3938" t="str">
        <f>IF(Table1[[#This Row],[ai_disruption_intensity]]&gt;70,"High",
IF(Table1[[#This Row],[ai_disruption_intensity]]&gt;40,"Medium","Low"))</f>
        <v>Low</v>
      </c>
      <c r="W3938" t="str">
        <f>IF(Table1[[#This Row],[skill_gap_index]]&gt;70,"Large Gap",
IF(Table1[[#This Row],[skill_gap_index]]&gt;40,"Medium Gap","Small Gap"))</f>
        <v>Small Gap</v>
      </c>
      <c r="X3938" s="3" t="str">
        <f>IF(Table1[[#This Row],[automation_risk_percent]]&gt;0.7,"Highly Automatable",
IF(Table1[[#This Row],[automation_risk_percent]]&gt;0.4,"Moderate Risk","Safe Job"))</f>
        <v>Safe Job</v>
      </c>
    </row>
    <row r="3939" spans="1:24" x14ac:dyDescent="0.3">
      <c r="A3939">
        <v>13715</v>
      </c>
      <c r="B3939" t="s">
        <v>46</v>
      </c>
      <c r="C3939" t="s">
        <v>19</v>
      </c>
      <c r="D3939" t="s">
        <v>28</v>
      </c>
      <c r="E3939" s="1">
        <v>2025</v>
      </c>
      <c r="F3939" s="11">
        <v>0.16300000000000001</v>
      </c>
      <c r="G3939">
        <v>17.190000000000001</v>
      </c>
      <c r="H3939">
        <v>63.92</v>
      </c>
      <c r="I3939" s="2">
        <v>43313.36</v>
      </c>
      <c r="J3939" s="2">
        <v>45358.87</v>
      </c>
      <c r="K3939" s="2">
        <f>Table1[[#This Row],[Salary_after]]-Table1[[#This Row],[Salary_before]]</f>
        <v>2045.510000000002</v>
      </c>
      <c r="L3939" s="11">
        <v>4.7199999999999999E-2</v>
      </c>
      <c r="M3939" s="11">
        <v>0.19039999999999999</v>
      </c>
      <c r="N3939">
        <v>54.79</v>
      </c>
      <c r="O3939">
        <v>3.97</v>
      </c>
      <c r="P3939">
        <v>1</v>
      </c>
      <c r="Q3939" t="s">
        <v>21</v>
      </c>
      <c r="R3939">
        <v>40.11</v>
      </c>
      <c r="S3939">
        <v>4.72</v>
      </c>
      <c r="T3939" s="4">
        <v>27.111999999999998</v>
      </c>
      <c r="U3939" s="4">
        <v>0.64710999999999996</v>
      </c>
      <c r="V3939" t="str">
        <f>IF(Table1[[#This Row],[ai_disruption_intensity]]&gt;70,"High",
IF(Table1[[#This Row],[ai_disruption_intensity]]&gt;40,"Medium","Low"))</f>
        <v>Low</v>
      </c>
      <c r="W3939" t="str">
        <f>IF(Table1[[#This Row],[skill_gap_index]]&gt;70,"Large Gap",
IF(Table1[[#This Row],[skill_gap_index]]&gt;40,"Medium Gap","Small Gap"))</f>
        <v>Medium Gap</v>
      </c>
      <c r="X3939" s="3" t="str">
        <f>IF(Table1[[#This Row],[automation_risk_percent]]&gt;0.7,"Highly Automatable",
IF(Table1[[#This Row],[automation_risk_percent]]&gt;0.4,"Moderate Risk","Safe Job"))</f>
        <v>Safe Job</v>
      </c>
    </row>
    <row r="3940" spans="1:24" x14ac:dyDescent="0.3">
      <c r="A3940">
        <v>13720</v>
      </c>
      <c r="B3940" t="s">
        <v>18</v>
      </c>
      <c r="C3940" t="s">
        <v>27</v>
      </c>
      <c r="D3940" t="s">
        <v>35</v>
      </c>
      <c r="E3940" s="1">
        <v>2026</v>
      </c>
      <c r="F3940" s="11">
        <v>0.51910000000000001</v>
      </c>
      <c r="G3940">
        <v>60.58</v>
      </c>
      <c r="H3940">
        <v>48.48</v>
      </c>
      <c r="I3940" s="2">
        <v>102865.78</v>
      </c>
      <c r="J3940" s="2">
        <v>121182.64</v>
      </c>
      <c r="K3940" s="2">
        <f>Table1[[#This Row],[Salary_after]]-Table1[[#This Row],[Salary_before]]</f>
        <v>18316.86</v>
      </c>
      <c r="L3940" s="11">
        <v>0.17809999999999998</v>
      </c>
      <c r="M3940" s="11">
        <v>0.2218</v>
      </c>
      <c r="N3940">
        <v>74.290000000000006</v>
      </c>
      <c r="O3940">
        <v>10.49</v>
      </c>
      <c r="P3940">
        <v>4</v>
      </c>
      <c r="Q3940" t="s">
        <v>25</v>
      </c>
      <c r="R3940">
        <v>50.194999999999901</v>
      </c>
      <c r="S3940">
        <v>17.809999999999999</v>
      </c>
      <c r="T3940" s="4">
        <v>40.650999999999897</v>
      </c>
      <c r="U3940" s="4">
        <v>5.4453589999999998</v>
      </c>
      <c r="V3940" t="str">
        <f>IF(Table1[[#This Row],[ai_disruption_intensity]]&gt;70,"High",
IF(Table1[[#This Row],[ai_disruption_intensity]]&gt;40,"Medium","Low"))</f>
        <v>Low</v>
      </c>
      <c r="W3940" t="str">
        <f>IF(Table1[[#This Row],[skill_gap_index]]&gt;70,"Large Gap",
IF(Table1[[#This Row],[skill_gap_index]]&gt;40,"Medium Gap","Small Gap"))</f>
        <v>Medium Gap</v>
      </c>
      <c r="X3940" s="3" t="str">
        <f>IF(Table1[[#This Row],[automation_risk_percent]]&gt;0.7,"Highly Automatable",
IF(Table1[[#This Row],[automation_risk_percent]]&gt;0.4,"Moderate Risk","Safe Job"))</f>
        <v>Moderate Risk</v>
      </c>
    </row>
    <row r="3941" spans="1:24" x14ac:dyDescent="0.3">
      <c r="A3941">
        <v>13722</v>
      </c>
      <c r="B3941" t="s">
        <v>22</v>
      </c>
      <c r="C3941" t="s">
        <v>27</v>
      </c>
      <c r="D3941" t="s">
        <v>47</v>
      </c>
      <c r="E3941" s="1">
        <v>2026</v>
      </c>
      <c r="F3941" s="11">
        <v>0.60659999999999992</v>
      </c>
      <c r="G3941">
        <v>65.87</v>
      </c>
      <c r="H3941">
        <v>91.13</v>
      </c>
      <c r="I3941" s="2">
        <v>131791.01</v>
      </c>
      <c r="J3941" s="2">
        <v>137839.21</v>
      </c>
      <c r="K3941" s="2">
        <f>Table1[[#This Row],[Salary_after]]-Table1[[#This Row],[Salary_before]]</f>
        <v>6048.1999999999825</v>
      </c>
      <c r="L3941" s="11">
        <v>4.5899999999999996E-2</v>
      </c>
      <c r="M3941" s="11">
        <v>9.98E-2</v>
      </c>
      <c r="N3941">
        <v>89.36</v>
      </c>
      <c r="O3941">
        <v>51.43</v>
      </c>
      <c r="P3941">
        <v>1</v>
      </c>
      <c r="Q3941" t="s">
        <v>37</v>
      </c>
      <c r="R3941">
        <v>75.894999999999996</v>
      </c>
      <c r="S3941">
        <v>4.59</v>
      </c>
      <c r="T3941" s="4">
        <v>52.98</v>
      </c>
      <c r="U3941" s="4">
        <v>31.197437999999998</v>
      </c>
      <c r="V3941" t="str">
        <f>IF(Table1[[#This Row],[ai_disruption_intensity]]&gt;70,"High",
IF(Table1[[#This Row],[ai_disruption_intensity]]&gt;40,"Medium","Low"))</f>
        <v>Low</v>
      </c>
      <c r="W3941" t="str">
        <f>IF(Table1[[#This Row],[skill_gap_index]]&gt;70,"Large Gap",
IF(Table1[[#This Row],[skill_gap_index]]&gt;40,"Medium Gap","Small Gap"))</f>
        <v>Large Gap</v>
      </c>
      <c r="X3941" s="3" t="str">
        <f>IF(Table1[[#This Row],[automation_risk_percent]]&gt;0.7,"Highly Automatable",
IF(Table1[[#This Row],[automation_risk_percent]]&gt;0.4,"Moderate Risk","Safe Job"))</f>
        <v>Moderate Risk</v>
      </c>
    </row>
    <row r="3942" spans="1:24" x14ac:dyDescent="0.3">
      <c r="A3942">
        <v>13724</v>
      </c>
      <c r="B3942" t="s">
        <v>29</v>
      </c>
      <c r="C3942" t="s">
        <v>38</v>
      </c>
      <c r="D3942" t="s">
        <v>36</v>
      </c>
      <c r="E3942" s="1">
        <v>2026</v>
      </c>
      <c r="F3942" s="11">
        <v>0.70150000000000001</v>
      </c>
      <c r="G3942">
        <v>80.760000000000005</v>
      </c>
      <c r="H3942">
        <v>66.28</v>
      </c>
      <c r="I3942" s="2">
        <v>61617.49</v>
      </c>
      <c r="J3942" s="2">
        <v>59353.65</v>
      </c>
      <c r="K3942" s="2">
        <f>Table1[[#This Row],[Salary_after]]-Table1[[#This Row],[Salary_before]]</f>
        <v>-2263.8399999999965</v>
      </c>
      <c r="L3942" s="11">
        <v>-3.6699999999999997E-2</v>
      </c>
      <c r="M3942" s="11">
        <v>0.1024</v>
      </c>
      <c r="N3942">
        <v>62.68</v>
      </c>
      <c r="O3942">
        <v>26.77</v>
      </c>
      <c r="P3942">
        <v>3</v>
      </c>
      <c r="Q3942" t="s">
        <v>37</v>
      </c>
      <c r="R3942">
        <v>68.215000000000003</v>
      </c>
      <c r="S3942">
        <v>3.67</v>
      </c>
      <c r="T3942" s="4">
        <v>49.045000000000002</v>
      </c>
      <c r="U3942" s="4">
        <v>18.779154999999999</v>
      </c>
      <c r="V3942" t="str">
        <f>IF(Table1[[#This Row],[ai_disruption_intensity]]&gt;70,"High",
IF(Table1[[#This Row],[ai_disruption_intensity]]&gt;40,"Medium","Low"))</f>
        <v>Low</v>
      </c>
      <c r="W3942" t="str">
        <f>IF(Table1[[#This Row],[skill_gap_index]]&gt;70,"Large Gap",
IF(Table1[[#This Row],[skill_gap_index]]&gt;40,"Medium Gap","Small Gap"))</f>
        <v>Medium Gap</v>
      </c>
      <c r="X3942" s="3" t="str">
        <f>IF(Table1[[#This Row],[automation_risk_percent]]&gt;0.7,"Highly Automatable",
IF(Table1[[#This Row],[automation_risk_percent]]&gt;0.4,"Moderate Risk","Safe Job"))</f>
        <v>Highly Automatable</v>
      </c>
    </row>
    <row r="3943" spans="1:24" x14ac:dyDescent="0.3">
      <c r="A3943">
        <v>13726</v>
      </c>
      <c r="B3943" t="s">
        <v>41</v>
      </c>
      <c r="C3943" t="s">
        <v>27</v>
      </c>
      <c r="D3943" t="s">
        <v>35</v>
      </c>
      <c r="E3943" s="1">
        <v>2026</v>
      </c>
      <c r="F3943" s="11">
        <v>0.30709999999999998</v>
      </c>
      <c r="G3943">
        <v>27.93</v>
      </c>
      <c r="H3943">
        <v>80.5</v>
      </c>
      <c r="I3943" s="2">
        <v>141294.14000000001</v>
      </c>
      <c r="J3943" s="2">
        <v>149762.88</v>
      </c>
      <c r="K3943" s="2">
        <f>Table1[[#This Row],[Salary_after]]-Table1[[#This Row],[Salary_before]]</f>
        <v>8468.7399999999907</v>
      </c>
      <c r="L3943" s="11">
        <v>5.9900000000000002E-2</v>
      </c>
      <c r="M3943" s="11">
        <v>7.0400000000000004E-2</v>
      </c>
      <c r="N3943">
        <v>64.02</v>
      </c>
      <c r="O3943">
        <v>93.22</v>
      </c>
      <c r="P3943">
        <v>5</v>
      </c>
      <c r="Q3943" t="s">
        <v>25</v>
      </c>
      <c r="R3943">
        <v>55.604999999999997</v>
      </c>
      <c r="S3943">
        <v>5.99</v>
      </c>
      <c r="T3943" s="4">
        <v>38.230999999999902</v>
      </c>
      <c r="U3943" s="4">
        <v>28.627862</v>
      </c>
      <c r="V3943" t="str">
        <f>IF(Table1[[#This Row],[ai_disruption_intensity]]&gt;70,"High",
IF(Table1[[#This Row],[ai_disruption_intensity]]&gt;40,"Medium","Low"))</f>
        <v>Low</v>
      </c>
      <c r="W3943" t="str">
        <f>IF(Table1[[#This Row],[skill_gap_index]]&gt;70,"Large Gap",
IF(Table1[[#This Row],[skill_gap_index]]&gt;40,"Medium Gap","Small Gap"))</f>
        <v>Large Gap</v>
      </c>
      <c r="X3943" s="3" t="str">
        <f>IF(Table1[[#This Row],[automation_risk_percent]]&gt;0.7,"Highly Automatable",
IF(Table1[[#This Row],[automation_risk_percent]]&gt;0.4,"Moderate Risk","Safe Job"))</f>
        <v>Safe Job</v>
      </c>
    </row>
    <row r="3944" spans="1:24" x14ac:dyDescent="0.3">
      <c r="A3944">
        <v>13731</v>
      </c>
      <c r="B3944" t="s">
        <v>39</v>
      </c>
      <c r="C3944" t="s">
        <v>33</v>
      </c>
      <c r="D3944" t="s">
        <v>47</v>
      </c>
      <c r="E3944" s="1">
        <v>2025</v>
      </c>
      <c r="F3944" s="11">
        <v>0.27850000000000003</v>
      </c>
      <c r="G3944">
        <v>22.59</v>
      </c>
      <c r="H3944">
        <v>41.88</v>
      </c>
      <c r="I3944" s="2">
        <v>109132.15</v>
      </c>
      <c r="J3944" s="2">
        <v>95327.49</v>
      </c>
      <c r="K3944" s="2">
        <f>Table1[[#This Row],[Salary_after]]-Table1[[#This Row],[Salary_before]]</f>
        <v>-13804.659999999989</v>
      </c>
      <c r="L3944" s="11">
        <v>-0.1265</v>
      </c>
      <c r="M3944" s="11">
        <v>-7.9500000000000001E-2</v>
      </c>
      <c r="N3944">
        <v>39.99</v>
      </c>
      <c r="O3944">
        <v>89.98</v>
      </c>
      <c r="P3944">
        <v>4</v>
      </c>
      <c r="Q3944" t="s">
        <v>21</v>
      </c>
      <c r="R3944">
        <v>34.865000000000002</v>
      </c>
      <c r="S3944">
        <v>12.65</v>
      </c>
      <c r="T3944" s="4">
        <v>27.498999999999999</v>
      </c>
      <c r="U3944" s="4">
        <v>25.059429999999999</v>
      </c>
      <c r="V3944" t="str">
        <f>IF(Table1[[#This Row],[ai_disruption_intensity]]&gt;70,"High",
IF(Table1[[#This Row],[ai_disruption_intensity]]&gt;40,"Medium","Low"))</f>
        <v>Low</v>
      </c>
      <c r="W3944" t="str">
        <f>IF(Table1[[#This Row],[skill_gap_index]]&gt;70,"Large Gap",
IF(Table1[[#This Row],[skill_gap_index]]&gt;40,"Medium Gap","Small Gap"))</f>
        <v>Medium Gap</v>
      </c>
      <c r="X3944" s="3" t="str">
        <f>IF(Table1[[#This Row],[automation_risk_percent]]&gt;0.7,"Highly Automatable",
IF(Table1[[#This Row],[automation_risk_percent]]&gt;0.4,"Moderate Risk","Safe Job"))</f>
        <v>Safe Job</v>
      </c>
    </row>
    <row r="3945" spans="1:24" x14ac:dyDescent="0.3">
      <c r="A3945">
        <v>13734</v>
      </c>
      <c r="B3945" t="s">
        <v>29</v>
      </c>
      <c r="C3945" t="s">
        <v>30</v>
      </c>
      <c r="D3945" t="s">
        <v>32</v>
      </c>
      <c r="E3945" s="1">
        <v>2026</v>
      </c>
      <c r="F3945" s="11">
        <v>0.2702</v>
      </c>
      <c r="G3945">
        <v>22.02</v>
      </c>
      <c r="H3945">
        <v>95.17</v>
      </c>
      <c r="I3945" s="2">
        <v>134110.65</v>
      </c>
      <c r="J3945" s="2">
        <v>124673.64</v>
      </c>
      <c r="K3945" s="2">
        <f>Table1[[#This Row],[Salary_after]]-Table1[[#This Row],[Salary_before]]</f>
        <v>-9437.0099999999948</v>
      </c>
      <c r="L3945" s="11">
        <v>-7.0400000000000004E-2</v>
      </c>
      <c r="M3945" s="11">
        <v>-1.0500000000000001E-2</v>
      </c>
      <c r="N3945">
        <v>37.28</v>
      </c>
      <c r="O3945">
        <v>57.23</v>
      </c>
      <c r="P3945">
        <v>3</v>
      </c>
      <c r="Q3945" t="s">
        <v>21</v>
      </c>
      <c r="R3945">
        <v>61.094999999999999</v>
      </c>
      <c r="S3945">
        <v>7.04</v>
      </c>
      <c r="T3945" s="4">
        <v>41.470999999999997</v>
      </c>
      <c r="U3945" s="4">
        <v>15.463545999999999</v>
      </c>
      <c r="V3945" t="str">
        <f>IF(Table1[[#This Row],[ai_disruption_intensity]]&gt;70,"High",
IF(Table1[[#This Row],[ai_disruption_intensity]]&gt;40,"Medium","Low"))</f>
        <v>Low</v>
      </c>
      <c r="W3945" t="str">
        <f>IF(Table1[[#This Row],[skill_gap_index]]&gt;70,"Large Gap",
IF(Table1[[#This Row],[skill_gap_index]]&gt;40,"Medium Gap","Small Gap"))</f>
        <v>Large Gap</v>
      </c>
      <c r="X3945" s="3" t="str">
        <f>IF(Table1[[#This Row],[automation_risk_percent]]&gt;0.7,"Highly Automatable",
IF(Table1[[#This Row],[automation_risk_percent]]&gt;0.4,"Moderate Risk","Safe Job"))</f>
        <v>Safe Job</v>
      </c>
    </row>
    <row r="3946" spans="1:24" x14ac:dyDescent="0.3">
      <c r="A3946">
        <v>13737</v>
      </c>
      <c r="B3946" t="s">
        <v>43</v>
      </c>
      <c r="C3946" t="s">
        <v>33</v>
      </c>
      <c r="D3946" t="s">
        <v>35</v>
      </c>
      <c r="E3946" s="1">
        <v>2025</v>
      </c>
      <c r="F3946" s="11">
        <v>0.77680000000000005</v>
      </c>
      <c r="G3946">
        <v>69.69</v>
      </c>
      <c r="H3946">
        <v>21.45</v>
      </c>
      <c r="I3946" s="2">
        <v>89750.71</v>
      </c>
      <c r="J3946" s="2">
        <v>90501.81</v>
      </c>
      <c r="K3946" s="2">
        <f>Table1[[#This Row],[Salary_after]]-Table1[[#This Row],[Salary_before]]</f>
        <v>751.09999999999127</v>
      </c>
      <c r="L3946" s="11">
        <v>8.3999999999999995E-3</v>
      </c>
      <c r="M3946" s="11">
        <v>0.15909999999999999</v>
      </c>
      <c r="N3946">
        <v>81.27</v>
      </c>
      <c r="O3946">
        <v>47.45</v>
      </c>
      <c r="P3946">
        <v>3</v>
      </c>
      <c r="Q3946" t="s">
        <v>37</v>
      </c>
      <c r="R3946">
        <v>49.564999999999998</v>
      </c>
      <c r="S3946">
        <v>0.84</v>
      </c>
      <c r="T3946" s="4">
        <v>37.759</v>
      </c>
      <c r="U3946" s="4">
        <v>36.859160000000003</v>
      </c>
      <c r="V3946" t="str">
        <f>IF(Table1[[#This Row],[ai_disruption_intensity]]&gt;70,"High",
IF(Table1[[#This Row],[ai_disruption_intensity]]&gt;40,"Medium","Low"))</f>
        <v>Low</v>
      </c>
      <c r="W3946" t="str">
        <f>IF(Table1[[#This Row],[skill_gap_index]]&gt;70,"Large Gap",
IF(Table1[[#This Row],[skill_gap_index]]&gt;40,"Medium Gap","Small Gap"))</f>
        <v>Small Gap</v>
      </c>
      <c r="X3946" s="3" t="str">
        <f>IF(Table1[[#This Row],[automation_risk_percent]]&gt;0.7,"Highly Automatable",
IF(Table1[[#This Row],[automation_risk_percent]]&gt;0.4,"Moderate Risk","Safe Job"))</f>
        <v>Highly Automatable</v>
      </c>
    </row>
    <row r="3947" spans="1:24" x14ac:dyDescent="0.3">
      <c r="A3947">
        <v>13740</v>
      </c>
      <c r="B3947" t="s">
        <v>44</v>
      </c>
      <c r="C3947" t="s">
        <v>38</v>
      </c>
      <c r="D3947" t="s">
        <v>31</v>
      </c>
      <c r="E3947" s="1">
        <v>2026</v>
      </c>
      <c r="F3947" s="11">
        <v>0.5696</v>
      </c>
      <c r="G3947">
        <v>66.489999999999995</v>
      </c>
      <c r="H3947">
        <v>96.48</v>
      </c>
      <c r="I3947" s="2">
        <v>133068.74</v>
      </c>
      <c r="J3947" s="2">
        <v>134968.66</v>
      </c>
      <c r="K3947" s="2">
        <f>Table1[[#This Row],[Salary_after]]-Table1[[#This Row],[Salary_before]]</f>
        <v>1899.9200000000128</v>
      </c>
      <c r="L3947" s="11">
        <v>1.43E-2</v>
      </c>
      <c r="M3947" s="11">
        <v>-9.3599999999999989E-2</v>
      </c>
      <c r="N3947">
        <v>26.61</v>
      </c>
      <c r="O3947">
        <v>59.81</v>
      </c>
      <c r="P3947">
        <v>4</v>
      </c>
      <c r="Q3947" t="s">
        <v>25</v>
      </c>
      <c r="R3947">
        <v>76.72</v>
      </c>
      <c r="S3947">
        <v>1.43</v>
      </c>
      <c r="T3947" s="4">
        <v>52.156999999999996</v>
      </c>
      <c r="U3947" s="4">
        <v>34.067776000000002</v>
      </c>
      <c r="V3947" t="str">
        <f>IF(Table1[[#This Row],[ai_disruption_intensity]]&gt;70,"High",
IF(Table1[[#This Row],[ai_disruption_intensity]]&gt;40,"Medium","Low"))</f>
        <v>Low</v>
      </c>
      <c r="W3947" t="str">
        <f>IF(Table1[[#This Row],[skill_gap_index]]&gt;70,"Large Gap",
IF(Table1[[#This Row],[skill_gap_index]]&gt;40,"Medium Gap","Small Gap"))</f>
        <v>Large Gap</v>
      </c>
      <c r="X3947" s="3" t="str">
        <f>IF(Table1[[#This Row],[automation_risk_percent]]&gt;0.7,"Highly Automatable",
IF(Table1[[#This Row],[automation_risk_percent]]&gt;0.4,"Moderate Risk","Safe Job"))</f>
        <v>Moderate Risk</v>
      </c>
    </row>
    <row r="3948" spans="1:24" x14ac:dyDescent="0.3">
      <c r="A3948">
        <v>13743</v>
      </c>
      <c r="B3948" t="s">
        <v>41</v>
      </c>
      <c r="C3948" t="s">
        <v>38</v>
      </c>
      <c r="D3948" t="s">
        <v>36</v>
      </c>
      <c r="E3948" s="1">
        <v>2025</v>
      </c>
      <c r="F3948" s="11">
        <v>0.83340000000000003</v>
      </c>
      <c r="G3948">
        <v>94.77</v>
      </c>
      <c r="H3948">
        <v>10.91</v>
      </c>
      <c r="I3948" s="2">
        <v>129756.91</v>
      </c>
      <c r="J3948" s="2">
        <v>134730.85</v>
      </c>
      <c r="K3948" s="2">
        <f>Table1[[#This Row],[Salary_after]]-Table1[[#This Row],[Salary_before]]</f>
        <v>4973.9400000000023</v>
      </c>
      <c r="L3948" s="11">
        <v>3.8300000000000001E-2</v>
      </c>
      <c r="M3948" s="11">
        <v>0.16969999999999999</v>
      </c>
      <c r="N3948">
        <v>77.17</v>
      </c>
      <c r="O3948">
        <v>92.11</v>
      </c>
      <c r="P3948">
        <v>1</v>
      </c>
      <c r="Q3948" t="s">
        <v>37</v>
      </c>
      <c r="R3948">
        <v>47.125</v>
      </c>
      <c r="S3948">
        <v>3.83</v>
      </c>
      <c r="T3948" s="4">
        <v>37.758000000000003</v>
      </c>
      <c r="U3948" s="4">
        <v>76.764474000000007</v>
      </c>
      <c r="V3948" t="str">
        <f>IF(Table1[[#This Row],[ai_disruption_intensity]]&gt;70,"High",
IF(Table1[[#This Row],[ai_disruption_intensity]]&gt;40,"Medium","Low"))</f>
        <v>High</v>
      </c>
      <c r="W3948" t="str">
        <f>IF(Table1[[#This Row],[skill_gap_index]]&gt;70,"Large Gap",
IF(Table1[[#This Row],[skill_gap_index]]&gt;40,"Medium Gap","Small Gap"))</f>
        <v>Small Gap</v>
      </c>
      <c r="X3948" s="3" t="str">
        <f>IF(Table1[[#This Row],[automation_risk_percent]]&gt;0.7,"Highly Automatable",
IF(Table1[[#This Row],[automation_risk_percent]]&gt;0.4,"Moderate Risk","Safe Job"))</f>
        <v>Highly Automatable</v>
      </c>
    </row>
    <row r="3949" spans="1:24" x14ac:dyDescent="0.3">
      <c r="A3949">
        <v>13744</v>
      </c>
      <c r="B3949" t="s">
        <v>39</v>
      </c>
      <c r="C3949" t="s">
        <v>34</v>
      </c>
      <c r="D3949" t="s">
        <v>31</v>
      </c>
      <c r="E3949" s="1">
        <v>2026</v>
      </c>
      <c r="F3949" s="11">
        <v>0.43990000000000001</v>
      </c>
      <c r="G3949">
        <v>48.87</v>
      </c>
      <c r="H3949">
        <v>95.89</v>
      </c>
      <c r="I3949" s="2">
        <v>75808.27</v>
      </c>
      <c r="J3949" s="2">
        <v>90972.58</v>
      </c>
      <c r="K3949" s="2">
        <f>Table1[[#This Row],[Salary_after]]-Table1[[#This Row],[Salary_before]]</f>
        <v>15164.309999999998</v>
      </c>
      <c r="L3949" s="11">
        <v>0.2</v>
      </c>
      <c r="M3949" s="11">
        <v>-1.8799999999999997E-2</v>
      </c>
      <c r="N3949">
        <v>54.87</v>
      </c>
      <c r="O3949">
        <v>26.06</v>
      </c>
      <c r="P3949">
        <v>2</v>
      </c>
      <c r="Q3949" t="s">
        <v>25</v>
      </c>
      <c r="R3949">
        <v>69.94</v>
      </c>
      <c r="S3949">
        <v>20</v>
      </c>
      <c r="T3949" s="4">
        <v>52.363</v>
      </c>
      <c r="U3949" s="4">
        <v>11.463794</v>
      </c>
      <c r="V3949" t="str">
        <f>IF(Table1[[#This Row],[ai_disruption_intensity]]&gt;70,"High",
IF(Table1[[#This Row],[ai_disruption_intensity]]&gt;40,"Medium","Low"))</f>
        <v>Low</v>
      </c>
      <c r="W3949" t="str">
        <f>IF(Table1[[#This Row],[skill_gap_index]]&gt;70,"Large Gap",
IF(Table1[[#This Row],[skill_gap_index]]&gt;40,"Medium Gap","Small Gap"))</f>
        <v>Large Gap</v>
      </c>
      <c r="X3949" s="3" t="str">
        <f>IF(Table1[[#This Row],[automation_risk_percent]]&gt;0.7,"Highly Automatable",
IF(Table1[[#This Row],[automation_risk_percent]]&gt;0.4,"Moderate Risk","Safe Job"))</f>
        <v>Moderate Risk</v>
      </c>
    </row>
    <row r="3950" spans="1:24" x14ac:dyDescent="0.3">
      <c r="A3950">
        <v>13747</v>
      </c>
      <c r="B3950" t="s">
        <v>29</v>
      </c>
      <c r="C3950" t="s">
        <v>40</v>
      </c>
      <c r="D3950" t="s">
        <v>42</v>
      </c>
      <c r="E3950" s="1">
        <v>2025</v>
      </c>
      <c r="F3950" s="11">
        <v>0.89219999999999999</v>
      </c>
      <c r="G3950">
        <v>100.86</v>
      </c>
      <c r="H3950">
        <v>60.25</v>
      </c>
      <c r="I3950" s="2">
        <v>132457.29</v>
      </c>
      <c r="J3950" s="2">
        <v>127857.68</v>
      </c>
      <c r="K3950" s="2">
        <f>Table1[[#This Row],[Salary_after]]-Table1[[#This Row],[Salary_before]]</f>
        <v>-4599.6100000000151</v>
      </c>
      <c r="L3950" s="11">
        <v>-3.4700000000000002E-2</v>
      </c>
      <c r="M3950" s="11">
        <v>9.7100000000000006E-2</v>
      </c>
      <c r="N3950">
        <v>33.96</v>
      </c>
      <c r="O3950">
        <v>7.06</v>
      </c>
      <c r="P3950">
        <v>4</v>
      </c>
      <c r="Q3950" t="s">
        <v>37</v>
      </c>
      <c r="R3950">
        <v>74.734999999999999</v>
      </c>
      <c r="S3950">
        <v>3.47</v>
      </c>
      <c r="T3950" s="4">
        <v>54.804000000000002</v>
      </c>
      <c r="U3950" s="4">
        <v>6.2989319999999998</v>
      </c>
      <c r="V3950" t="str">
        <f>IF(Table1[[#This Row],[ai_disruption_intensity]]&gt;70,"High",
IF(Table1[[#This Row],[ai_disruption_intensity]]&gt;40,"Medium","Low"))</f>
        <v>Low</v>
      </c>
      <c r="W3950" t="str">
        <f>IF(Table1[[#This Row],[skill_gap_index]]&gt;70,"Large Gap",
IF(Table1[[#This Row],[skill_gap_index]]&gt;40,"Medium Gap","Small Gap"))</f>
        <v>Medium Gap</v>
      </c>
      <c r="X3950" s="3" t="str">
        <f>IF(Table1[[#This Row],[automation_risk_percent]]&gt;0.7,"Highly Automatable",
IF(Table1[[#This Row],[automation_risk_percent]]&gt;0.4,"Moderate Risk","Safe Job"))</f>
        <v>Highly Automatable</v>
      </c>
    </row>
    <row r="3951" spans="1:24" x14ac:dyDescent="0.3">
      <c r="A3951">
        <v>13754</v>
      </c>
      <c r="B3951" t="s">
        <v>22</v>
      </c>
      <c r="C3951" t="s">
        <v>33</v>
      </c>
      <c r="D3951" t="s">
        <v>36</v>
      </c>
      <c r="E3951" s="1">
        <v>2025</v>
      </c>
      <c r="F3951" s="11">
        <v>0.35</v>
      </c>
      <c r="G3951">
        <v>41.64</v>
      </c>
      <c r="H3951">
        <v>87.51</v>
      </c>
      <c r="I3951" s="2">
        <v>125704.5</v>
      </c>
      <c r="J3951" s="2">
        <v>138537.64000000001</v>
      </c>
      <c r="K3951" s="2">
        <f>Table1[[#This Row],[Salary_after]]-Table1[[#This Row],[Salary_before]]</f>
        <v>12833.140000000014</v>
      </c>
      <c r="L3951" s="11">
        <v>0.10210000000000001</v>
      </c>
      <c r="M3951" s="11">
        <v>-5.4400000000000004E-2</v>
      </c>
      <c r="N3951">
        <v>31.7</v>
      </c>
      <c r="O3951">
        <v>67.14</v>
      </c>
      <c r="P3951">
        <v>5</v>
      </c>
      <c r="Q3951" t="s">
        <v>25</v>
      </c>
      <c r="R3951">
        <v>61.255000000000003</v>
      </c>
      <c r="S3951">
        <v>10.210000000000001</v>
      </c>
      <c r="T3951" s="4">
        <v>43.316000000000003</v>
      </c>
      <c r="U3951" s="4">
        <v>23.498999999999999</v>
      </c>
      <c r="V3951" t="str">
        <f>IF(Table1[[#This Row],[ai_disruption_intensity]]&gt;70,"High",
IF(Table1[[#This Row],[ai_disruption_intensity]]&gt;40,"Medium","Low"))</f>
        <v>Low</v>
      </c>
      <c r="W3951" t="str">
        <f>IF(Table1[[#This Row],[skill_gap_index]]&gt;70,"Large Gap",
IF(Table1[[#This Row],[skill_gap_index]]&gt;40,"Medium Gap","Small Gap"))</f>
        <v>Large Gap</v>
      </c>
      <c r="X3951" s="3" t="str">
        <f>IF(Table1[[#This Row],[automation_risk_percent]]&gt;0.7,"Highly Automatable",
IF(Table1[[#This Row],[automation_risk_percent]]&gt;0.4,"Moderate Risk","Safe Job"))</f>
        <v>Safe Job</v>
      </c>
    </row>
    <row r="3952" spans="1:24" x14ac:dyDescent="0.3">
      <c r="A3952">
        <v>13759</v>
      </c>
      <c r="B3952" t="s">
        <v>26</v>
      </c>
      <c r="C3952" t="s">
        <v>33</v>
      </c>
      <c r="D3952" t="s">
        <v>36</v>
      </c>
      <c r="E3952" s="1">
        <v>2026</v>
      </c>
      <c r="F3952" s="11">
        <v>0.39909999999999995</v>
      </c>
      <c r="G3952">
        <v>40.92</v>
      </c>
      <c r="H3952">
        <v>43.74</v>
      </c>
      <c r="I3952" s="2">
        <v>137492.51</v>
      </c>
      <c r="J3952" s="2">
        <v>112478.42</v>
      </c>
      <c r="K3952" s="2">
        <f>Table1[[#This Row],[Salary_after]]-Table1[[#This Row],[Salary_before]]</f>
        <v>-25014.090000000011</v>
      </c>
      <c r="L3952" s="11">
        <v>-0.18190000000000001</v>
      </c>
      <c r="M3952" s="11">
        <v>-2.9399999999999999E-2</v>
      </c>
      <c r="N3952">
        <v>63.63</v>
      </c>
      <c r="O3952">
        <v>21.66</v>
      </c>
      <c r="P3952">
        <v>2</v>
      </c>
      <c r="Q3952" t="s">
        <v>25</v>
      </c>
      <c r="R3952">
        <v>41.825000000000003</v>
      </c>
      <c r="S3952">
        <v>18.190000000000001</v>
      </c>
      <c r="T3952" s="4">
        <v>34.542999999999999</v>
      </c>
      <c r="U3952" s="4">
        <v>8.6445059999999998</v>
      </c>
      <c r="V3952" t="str">
        <f>IF(Table1[[#This Row],[ai_disruption_intensity]]&gt;70,"High",
IF(Table1[[#This Row],[ai_disruption_intensity]]&gt;40,"Medium","Low"))</f>
        <v>Low</v>
      </c>
      <c r="W3952" t="str">
        <f>IF(Table1[[#This Row],[skill_gap_index]]&gt;70,"Large Gap",
IF(Table1[[#This Row],[skill_gap_index]]&gt;40,"Medium Gap","Small Gap"))</f>
        <v>Medium Gap</v>
      </c>
      <c r="X3952" s="3" t="str">
        <f>IF(Table1[[#This Row],[automation_risk_percent]]&gt;0.7,"Highly Automatable",
IF(Table1[[#This Row],[automation_risk_percent]]&gt;0.4,"Moderate Risk","Safe Job"))</f>
        <v>Safe Job</v>
      </c>
    </row>
    <row r="3953" spans="1:24" x14ac:dyDescent="0.3">
      <c r="A3953">
        <v>13761</v>
      </c>
      <c r="B3953" t="s">
        <v>43</v>
      </c>
      <c r="C3953" t="s">
        <v>34</v>
      </c>
      <c r="D3953" t="s">
        <v>28</v>
      </c>
      <c r="E3953" s="1">
        <v>2025</v>
      </c>
      <c r="F3953" s="11">
        <v>0.69030000000000002</v>
      </c>
      <c r="G3953">
        <v>58.35</v>
      </c>
      <c r="H3953">
        <v>93.89</v>
      </c>
      <c r="I3953" s="2">
        <v>38079.29</v>
      </c>
      <c r="J3953" s="2">
        <v>41600.28</v>
      </c>
      <c r="K3953" s="2">
        <f>Table1[[#This Row],[Salary_after]]-Table1[[#This Row],[Salary_before]]</f>
        <v>3520.989999999998</v>
      </c>
      <c r="L3953" s="11">
        <v>9.2499999999999999E-2</v>
      </c>
      <c r="M3953" s="11">
        <v>5.5599999999999997E-2</v>
      </c>
      <c r="N3953">
        <v>33.020000000000003</v>
      </c>
      <c r="O3953">
        <v>69.67</v>
      </c>
      <c r="P3953">
        <v>4</v>
      </c>
      <c r="Q3953" t="s">
        <v>37</v>
      </c>
      <c r="R3953">
        <v>81.459999999999994</v>
      </c>
      <c r="S3953">
        <v>9.25</v>
      </c>
      <c r="T3953" s="4">
        <v>58.553999999999903</v>
      </c>
      <c r="U3953" s="4">
        <v>48.093201000000001</v>
      </c>
      <c r="V3953" t="str">
        <f>IF(Table1[[#This Row],[ai_disruption_intensity]]&gt;70,"High",
IF(Table1[[#This Row],[ai_disruption_intensity]]&gt;40,"Medium","Low"))</f>
        <v>Medium</v>
      </c>
      <c r="W3953" t="str">
        <f>IF(Table1[[#This Row],[skill_gap_index]]&gt;70,"Large Gap",
IF(Table1[[#This Row],[skill_gap_index]]&gt;40,"Medium Gap","Small Gap"))</f>
        <v>Large Gap</v>
      </c>
      <c r="X3953" s="3" t="str">
        <f>IF(Table1[[#This Row],[automation_risk_percent]]&gt;0.7,"Highly Automatable",
IF(Table1[[#This Row],[automation_risk_percent]]&gt;0.4,"Moderate Risk","Safe Job"))</f>
        <v>Moderate Risk</v>
      </c>
    </row>
    <row r="3954" spans="1:24" x14ac:dyDescent="0.3">
      <c r="A3954">
        <v>13763</v>
      </c>
      <c r="B3954" t="s">
        <v>22</v>
      </c>
      <c r="C3954" t="s">
        <v>30</v>
      </c>
      <c r="D3954" t="s">
        <v>47</v>
      </c>
      <c r="E3954" s="1">
        <v>2026</v>
      </c>
      <c r="F3954" s="11">
        <v>0.48420000000000002</v>
      </c>
      <c r="G3954">
        <v>40.32</v>
      </c>
      <c r="H3954">
        <v>71.739999999999995</v>
      </c>
      <c r="I3954" s="2">
        <v>84000.92</v>
      </c>
      <c r="J3954" s="2">
        <v>86686.61</v>
      </c>
      <c r="K3954" s="2">
        <f>Table1[[#This Row],[Salary_after]]-Table1[[#This Row],[Salary_before]]</f>
        <v>2685.6900000000023</v>
      </c>
      <c r="L3954" s="11">
        <v>3.2000000000000001E-2</v>
      </c>
      <c r="M3954" s="11">
        <v>0.1</v>
      </c>
      <c r="N3954">
        <v>98.03</v>
      </c>
      <c r="O3954">
        <v>15.74</v>
      </c>
      <c r="P3954">
        <v>2</v>
      </c>
      <c r="Q3954" t="s">
        <v>25</v>
      </c>
      <c r="R3954">
        <v>60.08</v>
      </c>
      <c r="S3954">
        <v>3.2</v>
      </c>
      <c r="T3954" s="4">
        <v>41.85</v>
      </c>
      <c r="U3954" s="4">
        <v>7.621308</v>
      </c>
      <c r="V3954" t="str">
        <f>IF(Table1[[#This Row],[ai_disruption_intensity]]&gt;70,"High",
IF(Table1[[#This Row],[ai_disruption_intensity]]&gt;40,"Medium","Low"))</f>
        <v>Low</v>
      </c>
      <c r="W3954" t="str">
        <f>IF(Table1[[#This Row],[skill_gap_index]]&gt;70,"Large Gap",
IF(Table1[[#This Row],[skill_gap_index]]&gt;40,"Medium Gap","Small Gap"))</f>
        <v>Large Gap</v>
      </c>
      <c r="X3954" s="3" t="str">
        <f>IF(Table1[[#This Row],[automation_risk_percent]]&gt;0.7,"Highly Automatable",
IF(Table1[[#This Row],[automation_risk_percent]]&gt;0.4,"Moderate Risk","Safe Job"))</f>
        <v>Moderate Risk</v>
      </c>
    </row>
    <row r="3955" spans="1:24" x14ac:dyDescent="0.3">
      <c r="A3955">
        <v>13768</v>
      </c>
      <c r="B3955" t="s">
        <v>46</v>
      </c>
      <c r="C3955" t="s">
        <v>38</v>
      </c>
      <c r="D3955" t="s">
        <v>47</v>
      </c>
      <c r="E3955" s="1">
        <v>2026</v>
      </c>
      <c r="F3955" s="11">
        <v>0.37780000000000002</v>
      </c>
      <c r="G3955">
        <v>44.25</v>
      </c>
      <c r="H3955">
        <v>84.78</v>
      </c>
      <c r="I3955" s="2">
        <v>42198.49</v>
      </c>
      <c r="J3955" s="2">
        <v>37315.51</v>
      </c>
      <c r="K3955" s="2">
        <f>Table1[[#This Row],[Salary_after]]-Table1[[#This Row],[Salary_before]]</f>
        <v>-4882.9799999999959</v>
      </c>
      <c r="L3955" s="11">
        <v>-0.1157</v>
      </c>
      <c r="M3955" s="11">
        <v>-6.25E-2</v>
      </c>
      <c r="N3955">
        <v>86.73</v>
      </c>
      <c r="O3955">
        <v>80.02</v>
      </c>
      <c r="P3955">
        <v>2</v>
      </c>
      <c r="Q3955" t="s">
        <v>25</v>
      </c>
      <c r="R3955">
        <v>61.28</v>
      </c>
      <c r="S3955">
        <v>11.57</v>
      </c>
      <c r="T3955" s="4">
        <v>44.017000000000003</v>
      </c>
      <c r="U3955" s="4">
        <v>30.231556000000001</v>
      </c>
      <c r="V3955" t="str">
        <f>IF(Table1[[#This Row],[ai_disruption_intensity]]&gt;70,"High",
IF(Table1[[#This Row],[ai_disruption_intensity]]&gt;40,"Medium","Low"))</f>
        <v>Low</v>
      </c>
      <c r="W3955" t="str">
        <f>IF(Table1[[#This Row],[skill_gap_index]]&gt;70,"Large Gap",
IF(Table1[[#This Row],[skill_gap_index]]&gt;40,"Medium Gap","Small Gap"))</f>
        <v>Large Gap</v>
      </c>
      <c r="X3955" s="3" t="str">
        <f>IF(Table1[[#This Row],[automation_risk_percent]]&gt;0.7,"Highly Automatable",
IF(Table1[[#This Row],[automation_risk_percent]]&gt;0.4,"Moderate Risk","Safe Job"))</f>
        <v>Safe Job</v>
      </c>
    </row>
    <row r="3956" spans="1:24" x14ac:dyDescent="0.3">
      <c r="A3956">
        <v>13769</v>
      </c>
      <c r="B3956" t="s">
        <v>45</v>
      </c>
      <c r="C3956" t="s">
        <v>30</v>
      </c>
      <c r="D3956" t="s">
        <v>24</v>
      </c>
      <c r="E3956" s="1">
        <v>2026</v>
      </c>
      <c r="F3956" s="11">
        <v>0.77590000000000003</v>
      </c>
      <c r="G3956">
        <v>78.23</v>
      </c>
      <c r="H3956">
        <v>1.39</v>
      </c>
      <c r="I3956" s="2">
        <v>138259.06</v>
      </c>
      <c r="J3956" s="2">
        <v>145580.45000000001</v>
      </c>
      <c r="K3956" s="2">
        <f>Table1[[#This Row],[Salary_after]]-Table1[[#This Row],[Salary_before]]</f>
        <v>7321.390000000014</v>
      </c>
      <c r="L3956" s="11">
        <v>5.2999999999999999E-2</v>
      </c>
      <c r="M3956" s="11">
        <v>5.21E-2</v>
      </c>
      <c r="N3956">
        <v>31.84</v>
      </c>
      <c r="O3956">
        <v>51.27</v>
      </c>
      <c r="P3956">
        <v>4</v>
      </c>
      <c r="Q3956" t="s">
        <v>37</v>
      </c>
      <c r="R3956">
        <v>39.49</v>
      </c>
      <c r="S3956">
        <v>5.3</v>
      </c>
      <c r="T3956" s="4">
        <v>33.042999999999999</v>
      </c>
      <c r="U3956" s="4">
        <v>39.780392999999997</v>
      </c>
      <c r="V3956" t="str">
        <f>IF(Table1[[#This Row],[ai_disruption_intensity]]&gt;70,"High",
IF(Table1[[#This Row],[ai_disruption_intensity]]&gt;40,"Medium","Low"))</f>
        <v>Low</v>
      </c>
      <c r="W3956" t="str">
        <f>IF(Table1[[#This Row],[skill_gap_index]]&gt;70,"Large Gap",
IF(Table1[[#This Row],[skill_gap_index]]&gt;40,"Medium Gap","Small Gap"))</f>
        <v>Small Gap</v>
      </c>
      <c r="X3956" s="3" t="str">
        <f>IF(Table1[[#This Row],[automation_risk_percent]]&gt;0.7,"Highly Automatable",
IF(Table1[[#This Row],[automation_risk_percent]]&gt;0.4,"Moderate Risk","Safe Job"))</f>
        <v>Highly Automatable</v>
      </c>
    </row>
    <row r="3957" spans="1:24" x14ac:dyDescent="0.3">
      <c r="A3957">
        <v>13770</v>
      </c>
      <c r="B3957" t="s">
        <v>45</v>
      </c>
      <c r="C3957" t="s">
        <v>23</v>
      </c>
      <c r="D3957" t="s">
        <v>36</v>
      </c>
      <c r="E3957" s="1">
        <v>2025</v>
      </c>
      <c r="F3957" s="11">
        <v>0.10949999999999999</v>
      </c>
      <c r="G3957">
        <v>11.39</v>
      </c>
      <c r="H3957">
        <v>6.75</v>
      </c>
      <c r="I3957" s="2">
        <v>37843.35</v>
      </c>
      <c r="J3957" s="2">
        <v>34776.61</v>
      </c>
      <c r="K3957" s="2">
        <f>Table1[[#This Row],[Salary_after]]-Table1[[#This Row],[Salary_before]]</f>
        <v>-3066.739999999998</v>
      </c>
      <c r="L3957" s="11">
        <v>-8.1000000000000003E-2</v>
      </c>
      <c r="M3957" s="11">
        <v>0.10890000000000001</v>
      </c>
      <c r="N3957">
        <v>98.01</v>
      </c>
      <c r="O3957">
        <v>39.64</v>
      </c>
      <c r="P3957">
        <v>2</v>
      </c>
      <c r="Q3957" t="s">
        <v>21</v>
      </c>
      <c r="R3957">
        <v>8.85</v>
      </c>
      <c r="S3957">
        <v>8.1</v>
      </c>
      <c r="T3957" s="4">
        <v>8.8349999999999902</v>
      </c>
      <c r="U3957" s="4">
        <v>4.3405800000000001</v>
      </c>
      <c r="V3957" t="str">
        <f>IF(Table1[[#This Row],[ai_disruption_intensity]]&gt;70,"High",
IF(Table1[[#This Row],[ai_disruption_intensity]]&gt;40,"Medium","Low"))</f>
        <v>Low</v>
      </c>
      <c r="W3957" t="str">
        <f>IF(Table1[[#This Row],[skill_gap_index]]&gt;70,"Large Gap",
IF(Table1[[#This Row],[skill_gap_index]]&gt;40,"Medium Gap","Small Gap"))</f>
        <v>Small Gap</v>
      </c>
      <c r="X3957" s="3" t="str">
        <f>IF(Table1[[#This Row],[automation_risk_percent]]&gt;0.7,"Highly Automatable",
IF(Table1[[#This Row],[automation_risk_percent]]&gt;0.4,"Moderate Risk","Safe Job"))</f>
        <v>Safe Job</v>
      </c>
    </row>
    <row r="3958" spans="1:24" x14ac:dyDescent="0.3">
      <c r="A3958">
        <v>13771</v>
      </c>
      <c r="B3958" t="s">
        <v>29</v>
      </c>
      <c r="C3958" t="s">
        <v>23</v>
      </c>
      <c r="D3958" t="s">
        <v>35</v>
      </c>
      <c r="E3958" s="1">
        <v>2026</v>
      </c>
      <c r="F3958" s="11">
        <v>0.58840000000000003</v>
      </c>
      <c r="G3958">
        <v>54.48</v>
      </c>
      <c r="H3958">
        <v>27.84</v>
      </c>
      <c r="I3958" s="2">
        <v>134909.73000000001</v>
      </c>
      <c r="J3958" s="2">
        <v>132548.19</v>
      </c>
      <c r="K3958" s="2">
        <f>Table1[[#This Row],[Salary_after]]-Table1[[#This Row],[Salary_before]]</f>
        <v>-2361.5400000000081</v>
      </c>
      <c r="L3958" s="11">
        <v>-1.7500000000000002E-2</v>
      </c>
      <c r="M3958" s="11">
        <v>7.3599999999999999E-2</v>
      </c>
      <c r="N3958">
        <v>13.55</v>
      </c>
      <c r="O3958">
        <v>27.75</v>
      </c>
      <c r="P3958">
        <v>2</v>
      </c>
      <c r="Q3958" t="s">
        <v>25</v>
      </c>
      <c r="R3958">
        <v>43.34</v>
      </c>
      <c r="S3958">
        <v>1.75</v>
      </c>
      <c r="T3958" s="4">
        <v>32.412999999999997</v>
      </c>
      <c r="U3958" s="4">
        <v>16.328099999999999</v>
      </c>
      <c r="V3958" t="str">
        <f>IF(Table1[[#This Row],[ai_disruption_intensity]]&gt;70,"High",
IF(Table1[[#This Row],[ai_disruption_intensity]]&gt;40,"Medium","Low"))</f>
        <v>Low</v>
      </c>
      <c r="W3958" t="str">
        <f>IF(Table1[[#This Row],[skill_gap_index]]&gt;70,"Large Gap",
IF(Table1[[#This Row],[skill_gap_index]]&gt;40,"Medium Gap","Small Gap"))</f>
        <v>Small Gap</v>
      </c>
      <c r="X3958" s="3" t="str">
        <f>IF(Table1[[#This Row],[automation_risk_percent]]&gt;0.7,"Highly Automatable",
IF(Table1[[#This Row],[automation_risk_percent]]&gt;0.4,"Moderate Risk","Safe Job"))</f>
        <v>Moderate Risk</v>
      </c>
    </row>
    <row r="3959" spans="1:24" x14ac:dyDescent="0.3">
      <c r="A3959">
        <v>13773</v>
      </c>
      <c r="B3959" t="s">
        <v>22</v>
      </c>
      <c r="C3959" t="s">
        <v>23</v>
      </c>
      <c r="D3959" t="s">
        <v>28</v>
      </c>
      <c r="E3959" s="1">
        <v>2026</v>
      </c>
      <c r="F3959" s="11">
        <v>0.31240000000000001</v>
      </c>
      <c r="G3959">
        <v>34.549999999999997</v>
      </c>
      <c r="H3959">
        <v>20.47</v>
      </c>
      <c r="I3959" s="2">
        <v>107547.15</v>
      </c>
      <c r="J3959" s="2">
        <v>89677.01</v>
      </c>
      <c r="K3959" s="2">
        <f>Table1[[#This Row],[Salary_after]]-Table1[[#This Row],[Salary_before]]</f>
        <v>-17870.14</v>
      </c>
      <c r="L3959" s="11">
        <v>-0.16620000000000001</v>
      </c>
      <c r="M3959" s="11">
        <v>2.2700000000000001E-2</v>
      </c>
      <c r="N3959">
        <v>21.31</v>
      </c>
      <c r="O3959">
        <v>98.69</v>
      </c>
      <c r="P3959">
        <v>5</v>
      </c>
      <c r="Q3959" t="s">
        <v>25</v>
      </c>
      <c r="R3959">
        <v>25.854999999999901</v>
      </c>
      <c r="S3959">
        <v>16.62</v>
      </c>
      <c r="T3959" s="4">
        <v>23.623000000000001</v>
      </c>
      <c r="U3959" s="4">
        <v>30.830755999999901</v>
      </c>
      <c r="V3959" t="str">
        <f>IF(Table1[[#This Row],[ai_disruption_intensity]]&gt;70,"High",
IF(Table1[[#This Row],[ai_disruption_intensity]]&gt;40,"Medium","Low"))</f>
        <v>Low</v>
      </c>
      <c r="W3959" t="str">
        <f>IF(Table1[[#This Row],[skill_gap_index]]&gt;70,"Large Gap",
IF(Table1[[#This Row],[skill_gap_index]]&gt;40,"Medium Gap","Small Gap"))</f>
        <v>Small Gap</v>
      </c>
      <c r="X3959" s="3" t="str">
        <f>IF(Table1[[#This Row],[automation_risk_percent]]&gt;0.7,"Highly Automatable",
IF(Table1[[#This Row],[automation_risk_percent]]&gt;0.4,"Moderate Risk","Safe Job"))</f>
        <v>Safe Job</v>
      </c>
    </row>
    <row r="3960" spans="1:24" x14ac:dyDescent="0.3">
      <c r="A3960">
        <v>13775</v>
      </c>
      <c r="B3960" t="s">
        <v>39</v>
      </c>
      <c r="C3960" t="s">
        <v>27</v>
      </c>
      <c r="D3960" t="s">
        <v>35</v>
      </c>
      <c r="E3960" s="1">
        <v>2026</v>
      </c>
      <c r="F3960" s="11">
        <v>0.29770000000000002</v>
      </c>
      <c r="G3960">
        <v>25.66</v>
      </c>
      <c r="H3960">
        <v>53.75</v>
      </c>
      <c r="I3960" s="2">
        <v>43928.37</v>
      </c>
      <c r="J3960" s="2">
        <v>47820.639999999999</v>
      </c>
      <c r="K3960" s="2">
        <f>Table1[[#This Row],[Salary_after]]-Table1[[#This Row],[Salary_before]]</f>
        <v>3892.2699999999968</v>
      </c>
      <c r="L3960" s="11">
        <v>8.8599999999999998E-2</v>
      </c>
      <c r="M3960" s="11">
        <v>0.2208</v>
      </c>
      <c r="N3960">
        <v>31.09</v>
      </c>
      <c r="O3960">
        <v>26.94</v>
      </c>
      <c r="P3960">
        <v>1</v>
      </c>
      <c r="Q3960" t="s">
        <v>21</v>
      </c>
      <c r="R3960">
        <v>41.76</v>
      </c>
      <c r="S3960">
        <v>8.86</v>
      </c>
      <c r="T3960" s="4">
        <v>30.690999999999999</v>
      </c>
      <c r="U3960" s="4">
        <v>8.0200379999999996</v>
      </c>
      <c r="V3960" t="str">
        <f>IF(Table1[[#This Row],[ai_disruption_intensity]]&gt;70,"High",
IF(Table1[[#This Row],[ai_disruption_intensity]]&gt;40,"Medium","Low"))</f>
        <v>Low</v>
      </c>
      <c r="W3960" t="str">
        <f>IF(Table1[[#This Row],[skill_gap_index]]&gt;70,"Large Gap",
IF(Table1[[#This Row],[skill_gap_index]]&gt;40,"Medium Gap","Small Gap"))</f>
        <v>Medium Gap</v>
      </c>
      <c r="X3960" s="3" t="str">
        <f>IF(Table1[[#This Row],[automation_risk_percent]]&gt;0.7,"Highly Automatable",
IF(Table1[[#This Row],[automation_risk_percent]]&gt;0.4,"Moderate Risk","Safe Job"))</f>
        <v>Safe Job</v>
      </c>
    </row>
    <row r="3961" spans="1:24" x14ac:dyDescent="0.3">
      <c r="A3961">
        <v>13777</v>
      </c>
      <c r="B3961" t="s">
        <v>26</v>
      </c>
      <c r="C3961" t="s">
        <v>33</v>
      </c>
      <c r="D3961" t="s">
        <v>36</v>
      </c>
      <c r="E3961" s="1">
        <v>2025</v>
      </c>
      <c r="F3961" s="11">
        <v>0.05</v>
      </c>
      <c r="G3961">
        <v>4.99</v>
      </c>
      <c r="H3961">
        <v>12.74</v>
      </c>
      <c r="I3961" s="2">
        <v>47019.519999999997</v>
      </c>
      <c r="J3961" s="2">
        <v>51903.9</v>
      </c>
      <c r="K3961" s="2">
        <f>Table1[[#This Row],[Salary_after]]-Table1[[#This Row],[Salary_before]]</f>
        <v>4884.3800000000047</v>
      </c>
      <c r="L3961" s="11">
        <v>0.10390000000000001</v>
      </c>
      <c r="M3961" s="11">
        <v>3.44E-2</v>
      </c>
      <c r="N3961">
        <v>42.78</v>
      </c>
      <c r="O3961">
        <v>68.459999999999994</v>
      </c>
      <c r="P3961">
        <v>4</v>
      </c>
      <c r="Q3961" t="s">
        <v>21</v>
      </c>
      <c r="R3961">
        <v>8.8699999999999992</v>
      </c>
      <c r="S3961">
        <v>10.39</v>
      </c>
      <c r="T3961" s="4">
        <v>8.9390000000000001</v>
      </c>
      <c r="U3961" s="4">
        <v>3.4229999999999898</v>
      </c>
      <c r="V3961" t="str">
        <f>IF(Table1[[#This Row],[ai_disruption_intensity]]&gt;70,"High",
IF(Table1[[#This Row],[ai_disruption_intensity]]&gt;40,"Medium","Low"))</f>
        <v>Low</v>
      </c>
      <c r="W3961" t="str">
        <f>IF(Table1[[#This Row],[skill_gap_index]]&gt;70,"Large Gap",
IF(Table1[[#This Row],[skill_gap_index]]&gt;40,"Medium Gap","Small Gap"))</f>
        <v>Small Gap</v>
      </c>
      <c r="X3961" s="3" t="str">
        <f>IF(Table1[[#This Row],[automation_risk_percent]]&gt;0.7,"Highly Automatable",
IF(Table1[[#This Row],[automation_risk_percent]]&gt;0.4,"Moderate Risk","Safe Job"))</f>
        <v>Safe Job</v>
      </c>
    </row>
    <row r="3962" spans="1:24" x14ac:dyDescent="0.3">
      <c r="A3962">
        <v>13779</v>
      </c>
      <c r="B3962" t="s">
        <v>46</v>
      </c>
      <c r="C3962" t="s">
        <v>23</v>
      </c>
      <c r="D3962" t="s">
        <v>32</v>
      </c>
      <c r="E3962" s="1">
        <v>2025</v>
      </c>
      <c r="F3962" s="11">
        <v>0.51270000000000004</v>
      </c>
      <c r="G3962">
        <v>57.9</v>
      </c>
      <c r="H3962">
        <v>78.69</v>
      </c>
      <c r="I3962" s="2">
        <v>30180.880000000001</v>
      </c>
      <c r="J3962" s="2">
        <v>28541.16</v>
      </c>
      <c r="K3962" s="2">
        <f>Table1[[#This Row],[Salary_after]]-Table1[[#This Row],[Salary_before]]</f>
        <v>-1639.7200000000012</v>
      </c>
      <c r="L3962" s="11">
        <v>-5.4299999999999994E-2</v>
      </c>
      <c r="M3962" s="11">
        <v>0.24160000000000001</v>
      </c>
      <c r="N3962">
        <v>98.96</v>
      </c>
      <c r="O3962">
        <v>58.04</v>
      </c>
      <c r="P3962">
        <v>3</v>
      </c>
      <c r="Q3962" t="s">
        <v>25</v>
      </c>
      <c r="R3962">
        <v>64.98</v>
      </c>
      <c r="S3962">
        <v>5.43</v>
      </c>
      <c r="T3962" s="4">
        <v>45.744</v>
      </c>
      <c r="U3962" s="4">
        <v>29.757107999999999</v>
      </c>
      <c r="V3962" t="str">
        <f>IF(Table1[[#This Row],[ai_disruption_intensity]]&gt;70,"High",
IF(Table1[[#This Row],[ai_disruption_intensity]]&gt;40,"Medium","Low"))</f>
        <v>Low</v>
      </c>
      <c r="W3962" t="str">
        <f>IF(Table1[[#This Row],[skill_gap_index]]&gt;70,"Large Gap",
IF(Table1[[#This Row],[skill_gap_index]]&gt;40,"Medium Gap","Small Gap"))</f>
        <v>Large Gap</v>
      </c>
      <c r="X3962" s="3" t="str">
        <f>IF(Table1[[#This Row],[automation_risk_percent]]&gt;0.7,"Highly Automatable",
IF(Table1[[#This Row],[automation_risk_percent]]&gt;0.4,"Moderate Risk","Safe Job"))</f>
        <v>Moderate Risk</v>
      </c>
    </row>
    <row r="3963" spans="1:24" x14ac:dyDescent="0.3">
      <c r="A3963">
        <v>13783</v>
      </c>
      <c r="B3963" t="s">
        <v>45</v>
      </c>
      <c r="C3963" t="s">
        <v>38</v>
      </c>
      <c r="D3963" t="s">
        <v>36</v>
      </c>
      <c r="E3963" s="1">
        <v>2025</v>
      </c>
      <c r="F3963" s="11">
        <v>0.46549999999999997</v>
      </c>
      <c r="G3963">
        <v>45.88</v>
      </c>
      <c r="H3963">
        <v>50.08</v>
      </c>
      <c r="I3963" s="2">
        <v>32919.919999999998</v>
      </c>
      <c r="J3963" s="2">
        <v>30266.37</v>
      </c>
      <c r="K3963" s="2">
        <f>Table1[[#This Row],[Salary_after]]-Table1[[#This Row],[Salary_before]]</f>
        <v>-2653.5499999999993</v>
      </c>
      <c r="L3963" s="11">
        <v>-8.0600000000000005E-2</v>
      </c>
      <c r="M3963" s="11">
        <v>0.1024</v>
      </c>
      <c r="N3963">
        <v>22.33</v>
      </c>
      <c r="O3963">
        <v>30.1</v>
      </c>
      <c r="P3963">
        <v>1</v>
      </c>
      <c r="Q3963" t="s">
        <v>25</v>
      </c>
      <c r="R3963">
        <v>48.314999999999998</v>
      </c>
      <c r="S3963">
        <v>8.06</v>
      </c>
      <c r="T3963" s="4">
        <v>36.061999999999998</v>
      </c>
      <c r="U3963" s="4">
        <v>14.01155</v>
      </c>
      <c r="V3963" t="str">
        <f>IF(Table1[[#This Row],[ai_disruption_intensity]]&gt;70,"High",
IF(Table1[[#This Row],[ai_disruption_intensity]]&gt;40,"Medium","Low"))</f>
        <v>Low</v>
      </c>
      <c r="W3963" t="str">
        <f>IF(Table1[[#This Row],[skill_gap_index]]&gt;70,"Large Gap",
IF(Table1[[#This Row],[skill_gap_index]]&gt;40,"Medium Gap","Small Gap"))</f>
        <v>Medium Gap</v>
      </c>
      <c r="X3963" s="3" t="str">
        <f>IF(Table1[[#This Row],[automation_risk_percent]]&gt;0.7,"Highly Automatable",
IF(Table1[[#This Row],[automation_risk_percent]]&gt;0.4,"Moderate Risk","Safe Job"))</f>
        <v>Moderate Risk</v>
      </c>
    </row>
    <row r="3964" spans="1:24" x14ac:dyDescent="0.3">
      <c r="A3964">
        <v>13784</v>
      </c>
      <c r="B3964" t="s">
        <v>44</v>
      </c>
      <c r="C3964" t="s">
        <v>27</v>
      </c>
      <c r="D3964" t="s">
        <v>28</v>
      </c>
      <c r="E3964" s="1">
        <v>2026</v>
      </c>
      <c r="F3964" s="11">
        <v>0.44270000000000004</v>
      </c>
      <c r="G3964">
        <v>44.44</v>
      </c>
      <c r="H3964">
        <v>65.709999999999994</v>
      </c>
      <c r="I3964" s="2">
        <v>37881.620000000003</v>
      </c>
      <c r="J3964" s="2">
        <v>33337.08</v>
      </c>
      <c r="K3964" s="2">
        <f>Table1[[#This Row],[Salary_after]]-Table1[[#This Row],[Salary_before]]</f>
        <v>-4544.5400000000009</v>
      </c>
      <c r="L3964" s="11">
        <v>-0.12</v>
      </c>
      <c r="M3964" s="11">
        <v>-2.58E-2</v>
      </c>
      <c r="N3964">
        <v>46.27</v>
      </c>
      <c r="O3964">
        <v>50.91</v>
      </c>
      <c r="P3964">
        <v>1</v>
      </c>
      <c r="Q3964" t="s">
        <v>25</v>
      </c>
      <c r="R3964">
        <v>54.989999999999903</v>
      </c>
      <c r="S3964">
        <v>12</v>
      </c>
      <c r="T3964" s="4">
        <v>41.021000000000001</v>
      </c>
      <c r="U3964" s="4">
        <v>22.537856999999999</v>
      </c>
      <c r="V3964" t="str">
        <f>IF(Table1[[#This Row],[ai_disruption_intensity]]&gt;70,"High",
IF(Table1[[#This Row],[ai_disruption_intensity]]&gt;40,"Medium","Low"))</f>
        <v>Low</v>
      </c>
      <c r="W3964" t="str">
        <f>IF(Table1[[#This Row],[skill_gap_index]]&gt;70,"Large Gap",
IF(Table1[[#This Row],[skill_gap_index]]&gt;40,"Medium Gap","Small Gap"))</f>
        <v>Medium Gap</v>
      </c>
      <c r="X3964" s="3" t="str">
        <f>IF(Table1[[#This Row],[automation_risk_percent]]&gt;0.7,"Highly Automatable",
IF(Table1[[#This Row],[automation_risk_percent]]&gt;0.4,"Moderate Risk","Safe Job"))</f>
        <v>Moderate Risk</v>
      </c>
    </row>
    <row r="3965" spans="1:24" x14ac:dyDescent="0.3">
      <c r="A3965">
        <v>13787</v>
      </c>
      <c r="B3965" t="s">
        <v>22</v>
      </c>
      <c r="C3965" t="s">
        <v>34</v>
      </c>
      <c r="D3965" t="s">
        <v>36</v>
      </c>
      <c r="E3965" s="1">
        <v>2026</v>
      </c>
      <c r="F3965" s="11">
        <v>0.52060000000000006</v>
      </c>
      <c r="G3965">
        <v>46.69</v>
      </c>
      <c r="H3965">
        <v>52.96</v>
      </c>
      <c r="I3965" s="2">
        <v>94144.59</v>
      </c>
      <c r="J3965" s="2">
        <v>96919.8</v>
      </c>
      <c r="K3965" s="2">
        <f>Table1[[#This Row],[Salary_after]]-Table1[[#This Row],[Salary_before]]</f>
        <v>2775.2100000000064</v>
      </c>
      <c r="L3965" s="11">
        <v>2.9500000000000002E-2</v>
      </c>
      <c r="M3965" s="11">
        <v>-7.4900000000000008E-2</v>
      </c>
      <c r="N3965">
        <v>51.23</v>
      </c>
      <c r="O3965">
        <v>80.430000000000007</v>
      </c>
      <c r="P3965">
        <v>1</v>
      </c>
      <c r="Q3965" t="s">
        <v>25</v>
      </c>
      <c r="R3965">
        <v>52.51</v>
      </c>
      <c r="S3965">
        <v>2.95</v>
      </c>
      <c r="T3965" s="4">
        <v>37.597000000000001</v>
      </c>
      <c r="U3965" s="4">
        <v>41.871858000000003</v>
      </c>
      <c r="V3965" t="str">
        <f>IF(Table1[[#This Row],[ai_disruption_intensity]]&gt;70,"High",
IF(Table1[[#This Row],[ai_disruption_intensity]]&gt;40,"Medium","Low"))</f>
        <v>Medium</v>
      </c>
      <c r="W3965" t="str">
        <f>IF(Table1[[#This Row],[skill_gap_index]]&gt;70,"Large Gap",
IF(Table1[[#This Row],[skill_gap_index]]&gt;40,"Medium Gap","Small Gap"))</f>
        <v>Medium Gap</v>
      </c>
      <c r="X3965" s="3" t="str">
        <f>IF(Table1[[#This Row],[automation_risk_percent]]&gt;0.7,"Highly Automatable",
IF(Table1[[#This Row],[automation_risk_percent]]&gt;0.4,"Moderate Risk","Safe Job"))</f>
        <v>Moderate Risk</v>
      </c>
    </row>
    <row r="3966" spans="1:24" x14ac:dyDescent="0.3">
      <c r="A3966">
        <v>13789</v>
      </c>
      <c r="B3966" t="s">
        <v>29</v>
      </c>
      <c r="C3966" t="s">
        <v>38</v>
      </c>
      <c r="D3966" t="s">
        <v>36</v>
      </c>
      <c r="E3966" s="1">
        <v>2026</v>
      </c>
      <c r="F3966" s="11">
        <v>0.74040000000000006</v>
      </c>
      <c r="G3966">
        <v>75.92</v>
      </c>
      <c r="H3966">
        <v>31.76</v>
      </c>
      <c r="I3966" s="2">
        <v>61517.919999999998</v>
      </c>
      <c r="J3966" s="2">
        <v>78275.91</v>
      </c>
      <c r="K3966" s="2">
        <f>Table1[[#This Row],[Salary_after]]-Table1[[#This Row],[Salary_before]]</f>
        <v>16757.990000000005</v>
      </c>
      <c r="L3966" s="11">
        <v>0.27239999999999998</v>
      </c>
      <c r="M3966" s="11">
        <v>-0.11070000000000001</v>
      </c>
      <c r="N3966">
        <v>59.09</v>
      </c>
      <c r="O3966">
        <v>80.86</v>
      </c>
      <c r="P3966">
        <v>3</v>
      </c>
      <c r="Q3966" t="s">
        <v>37</v>
      </c>
      <c r="R3966">
        <v>52.9</v>
      </c>
      <c r="S3966">
        <v>27.24</v>
      </c>
      <c r="T3966" s="4">
        <v>47.316000000000003</v>
      </c>
      <c r="U3966" s="4">
        <v>59.868744</v>
      </c>
      <c r="V3966" t="str">
        <f>IF(Table1[[#This Row],[ai_disruption_intensity]]&gt;70,"High",
IF(Table1[[#This Row],[ai_disruption_intensity]]&gt;40,"Medium","Low"))</f>
        <v>Medium</v>
      </c>
      <c r="W3966" t="str">
        <f>IF(Table1[[#This Row],[skill_gap_index]]&gt;70,"Large Gap",
IF(Table1[[#This Row],[skill_gap_index]]&gt;40,"Medium Gap","Small Gap"))</f>
        <v>Small Gap</v>
      </c>
      <c r="X3966" s="3" t="str">
        <f>IF(Table1[[#This Row],[automation_risk_percent]]&gt;0.7,"Highly Automatable",
IF(Table1[[#This Row],[automation_risk_percent]]&gt;0.4,"Moderate Risk","Safe Job"))</f>
        <v>Highly Automatable</v>
      </c>
    </row>
    <row r="3967" spans="1:24" x14ac:dyDescent="0.3">
      <c r="A3967">
        <v>13792</v>
      </c>
      <c r="B3967" t="s">
        <v>43</v>
      </c>
      <c r="C3967" t="s">
        <v>40</v>
      </c>
      <c r="D3967" t="s">
        <v>28</v>
      </c>
      <c r="E3967" s="1">
        <v>2025</v>
      </c>
      <c r="F3967" s="11">
        <v>0.25929999999999997</v>
      </c>
      <c r="G3967">
        <v>21.86</v>
      </c>
      <c r="H3967">
        <v>46.6</v>
      </c>
      <c r="I3967" s="2">
        <v>54516.01</v>
      </c>
      <c r="J3967" s="2">
        <v>55021.74</v>
      </c>
      <c r="K3967" s="2">
        <f>Table1[[#This Row],[Salary_after]]-Table1[[#This Row],[Salary_before]]</f>
        <v>505.72999999999593</v>
      </c>
      <c r="L3967" s="11">
        <v>9.300000000000001E-3</v>
      </c>
      <c r="M3967" s="11">
        <v>-2.1899999999999999E-2</v>
      </c>
      <c r="N3967">
        <v>61.25</v>
      </c>
      <c r="O3967">
        <v>50.8</v>
      </c>
      <c r="P3967">
        <v>3</v>
      </c>
      <c r="Q3967" t="s">
        <v>21</v>
      </c>
      <c r="R3967">
        <v>36.265000000000001</v>
      </c>
      <c r="S3967">
        <v>0.93</v>
      </c>
      <c r="T3967" s="4">
        <v>24.631</v>
      </c>
      <c r="U3967" s="4">
        <v>13.17244</v>
      </c>
      <c r="V3967" t="str">
        <f>IF(Table1[[#This Row],[ai_disruption_intensity]]&gt;70,"High",
IF(Table1[[#This Row],[ai_disruption_intensity]]&gt;40,"Medium","Low"))</f>
        <v>Low</v>
      </c>
      <c r="W3967" t="str">
        <f>IF(Table1[[#This Row],[skill_gap_index]]&gt;70,"Large Gap",
IF(Table1[[#This Row],[skill_gap_index]]&gt;40,"Medium Gap","Small Gap"))</f>
        <v>Medium Gap</v>
      </c>
      <c r="X3967" s="3" t="str">
        <f>IF(Table1[[#This Row],[automation_risk_percent]]&gt;0.7,"Highly Automatable",
IF(Table1[[#This Row],[automation_risk_percent]]&gt;0.4,"Moderate Risk","Safe Job"))</f>
        <v>Safe Job</v>
      </c>
    </row>
    <row r="3968" spans="1:24" x14ac:dyDescent="0.3">
      <c r="A3968">
        <v>13793</v>
      </c>
      <c r="B3968" t="s">
        <v>39</v>
      </c>
      <c r="C3968" t="s">
        <v>38</v>
      </c>
      <c r="D3968" t="s">
        <v>36</v>
      </c>
      <c r="E3968" s="1">
        <v>2025</v>
      </c>
      <c r="F3968" s="11">
        <v>0.223</v>
      </c>
      <c r="G3968">
        <v>21.57</v>
      </c>
      <c r="H3968">
        <v>70.290000000000006</v>
      </c>
      <c r="I3968" s="2">
        <v>116432.55</v>
      </c>
      <c r="J3968" s="2">
        <v>129841.76</v>
      </c>
      <c r="K3968" s="2">
        <f>Table1[[#This Row],[Salary_after]]-Table1[[#This Row],[Salary_before]]</f>
        <v>13409.209999999992</v>
      </c>
      <c r="L3968" s="11">
        <v>0.1152</v>
      </c>
      <c r="M3968" s="11">
        <v>8.5099999999999995E-2</v>
      </c>
      <c r="N3968">
        <v>65.55</v>
      </c>
      <c r="O3968">
        <v>5.91</v>
      </c>
      <c r="P3968">
        <v>1</v>
      </c>
      <c r="Q3968" t="s">
        <v>21</v>
      </c>
      <c r="R3968">
        <v>46.295000000000002</v>
      </c>
      <c r="S3968">
        <v>11.52</v>
      </c>
      <c r="T3968" s="4">
        <v>33.463000000000001</v>
      </c>
      <c r="U3968" s="4">
        <v>1.31793</v>
      </c>
      <c r="V3968" t="str">
        <f>IF(Table1[[#This Row],[ai_disruption_intensity]]&gt;70,"High",
IF(Table1[[#This Row],[ai_disruption_intensity]]&gt;40,"Medium","Low"))</f>
        <v>Low</v>
      </c>
      <c r="W3968" t="str">
        <f>IF(Table1[[#This Row],[skill_gap_index]]&gt;70,"Large Gap",
IF(Table1[[#This Row],[skill_gap_index]]&gt;40,"Medium Gap","Small Gap"))</f>
        <v>Large Gap</v>
      </c>
      <c r="X3968" s="3" t="str">
        <f>IF(Table1[[#This Row],[automation_risk_percent]]&gt;0.7,"Highly Automatable",
IF(Table1[[#This Row],[automation_risk_percent]]&gt;0.4,"Moderate Risk","Safe Job"))</f>
        <v>Safe Job</v>
      </c>
    </row>
    <row r="3969" spans="1:24" x14ac:dyDescent="0.3">
      <c r="A3969">
        <v>13798</v>
      </c>
      <c r="B3969" t="s">
        <v>41</v>
      </c>
      <c r="C3969" t="s">
        <v>27</v>
      </c>
      <c r="D3969" t="s">
        <v>36</v>
      </c>
      <c r="E3969" s="1">
        <v>2026</v>
      </c>
      <c r="F3969" s="11">
        <v>0.9284</v>
      </c>
      <c r="G3969">
        <v>91.18</v>
      </c>
      <c r="H3969">
        <v>81.099999999999994</v>
      </c>
      <c r="I3969" s="2">
        <v>30326.94</v>
      </c>
      <c r="J3969" s="2">
        <v>29491.71</v>
      </c>
      <c r="K3969" s="2">
        <f>Table1[[#This Row],[Salary_after]]-Table1[[#This Row],[Salary_before]]</f>
        <v>-835.22999999999956</v>
      </c>
      <c r="L3969" s="11">
        <v>-2.75E-2</v>
      </c>
      <c r="M3969" s="11">
        <v>0.21579999999999999</v>
      </c>
      <c r="N3969">
        <v>36.33</v>
      </c>
      <c r="O3969">
        <v>0.38</v>
      </c>
      <c r="P3969">
        <v>1</v>
      </c>
      <c r="Q3969" t="s">
        <v>37</v>
      </c>
      <c r="R3969">
        <v>86.97</v>
      </c>
      <c r="S3969">
        <v>2.75</v>
      </c>
      <c r="T3969" s="4">
        <v>62.290999999999997</v>
      </c>
      <c r="U3969" s="4">
        <v>0.35279199999999999</v>
      </c>
      <c r="V3969" t="str">
        <f>IF(Table1[[#This Row],[ai_disruption_intensity]]&gt;70,"High",
IF(Table1[[#This Row],[ai_disruption_intensity]]&gt;40,"Medium","Low"))</f>
        <v>Low</v>
      </c>
      <c r="W3969" t="str">
        <f>IF(Table1[[#This Row],[skill_gap_index]]&gt;70,"Large Gap",
IF(Table1[[#This Row],[skill_gap_index]]&gt;40,"Medium Gap","Small Gap"))</f>
        <v>Large Gap</v>
      </c>
      <c r="X3969" s="3" t="str">
        <f>IF(Table1[[#This Row],[automation_risk_percent]]&gt;0.7,"Highly Automatable",
IF(Table1[[#This Row],[automation_risk_percent]]&gt;0.4,"Moderate Risk","Safe Job"))</f>
        <v>Highly Automatable</v>
      </c>
    </row>
    <row r="3970" spans="1:24" x14ac:dyDescent="0.3">
      <c r="A3970">
        <v>13805</v>
      </c>
      <c r="B3970" t="s">
        <v>45</v>
      </c>
      <c r="C3970" t="s">
        <v>19</v>
      </c>
      <c r="D3970" t="s">
        <v>24</v>
      </c>
      <c r="E3970" s="1">
        <v>2026</v>
      </c>
      <c r="F3970" s="11">
        <v>0.76129999999999998</v>
      </c>
      <c r="G3970">
        <v>65.599999999999994</v>
      </c>
      <c r="H3970">
        <v>31.83</v>
      </c>
      <c r="I3970" s="2">
        <v>143384.19</v>
      </c>
      <c r="J3970" s="2">
        <v>152744.16</v>
      </c>
      <c r="K3970" s="2">
        <f>Table1[[#This Row],[Salary_after]]-Table1[[#This Row],[Salary_before]]</f>
        <v>9359.9700000000012</v>
      </c>
      <c r="L3970" s="11">
        <v>6.5299999999999997E-2</v>
      </c>
      <c r="M3970" s="11">
        <v>7.3800000000000004E-2</v>
      </c>
      <c r="N3970">
        <v>32.94</v>
      </c>
      <c r="O3970">
        <v>74.2</v>
      </c>
      <c r="P3970">
        <v>5</v>
      </c>
      <c r="Q3970" t="s">
        <v>37</v>
      </c>
      <c r="R3970">
        <v>53.98</v>
      </c>
      <c r="S3970">
        <v>6.53</v>
      </c>
      <c r="T3970" s="4">
        <v>41.96</v>
      </c>
      <c r="U3970" s="4">
        <v>56.488459999999897</v>
      </c>
      <c r="V3970" t="str">
        <f>IF(Table1[[#This Row],[ai_disruption_intensity]]&gt;70,"High",
IF(Table1[[#This Row],[ai_disruption_intensity]]&gt;40,"Medium","Low"))</f>
        <v>Medium</v>
      </c>
      <c r="W3970" t="str">
        <f>IF(Table1[[#This Row],[skill_gap_index]]&gt;70,"Large Gap",
IF(Table1[[#This Row],[skill_gap_index]]&gt;40,"Medium Gap","Small Gap"))</f>
        <v>Small Gap</v>
      </c>
      <c r="X3970" s="3" t="str">
        <f>IF(Table1[[#This Row],[automation_risk_percent]]&gt;0.7,"Highly Automatable",
IF(Table1[[#This Row],[automation_risk_percent]]&gt;0.4,"Moderate Risk","Safe Job"))</f>
        <v>Highly Automatable</v>
      </c>
    </row>
    <row r="3971" spans="1:24" x14ac:dyDescent="0.3">
      <c r="A3971">
        <v>13806</v>
      </c>
      <c r="B3971" t="s">
        <v>43</v>
      </c>
      <c r="C3971" t="s">
        <v>19</v>
      </c>
      <c r="D3971" t="s">
        <v>35</v>
      </c>
      <c r="E3971" s="1">
        <v>2026</v>
      </c>
      <c r="F3971" s="11">
        <v>0.46060000000000001</v>
      </c>
      <c r="G3971">
        <v>48.84</v>
      </c>
      <c r="H3971">
        <v>56.63</v>
      </c>
      <c r="I3971" s="2">
        <v>117753.5</v>
      </c>
      <c r="J3971" s="2">
        <v>133461.79999999999</v>
      </c>
      <c r="K3971" s="2">
        <f>Table1[[#This Row],[Salary_after]]-Table1[[#This Row],[Salary_before]]</f>
        <v>15708.299999999988</v>
      </c>
      <c r="L3971" s="11">
        <v>0.13339999999999999</v>
      </c>
      <c r="M3971" s="11">
        <v>5.4299999999999994E-2</v>
      </c>
      <c r="N3971">
        <v>11.82</v>
      </c>
      <c r="O3971">
        <v>15.15</v>
      </c>
      <c r="P3971">
        <v>2</v>
      </c>
      <c r="Q3971" t="s">
        <v>25</v>
      </c>
      <c r="R3971">
        <v>51.344999999999999</v>
      </c>
      <c r="S3971">
        <v>13.34</v>
      </c>
      <c r="T3971" s="4">
        <v>39.414999999999999</v>
      </c>
      <c r="U3971" s="4">
        <v>6.9780899999999999</v>
      </c>
      <c r="V3971" t="str">
        <f>IF(Table1[[#This Row],[ai_disruption_intensity]]&gt;70,"High",
IF(Table1[[#This Row],[ai_disruption_intensity]]&gt;40,"Medium","Low"))</f>
        <v>Low</v>
      </c>
      <c r="W3971" t="str">
        <f>IF(Table1[[#This Row],[skill_gap_index]]&gt;70,"Large Gap",
IF(Table1[[#This Row],[skill_gap_index]]&gt;40,"Medium Gap","Small Gap"))</f>
        <v>Medium Gap</v>
      </c>
      <c r="X3971" s="3" t="str">
        <f>IF(Table1[[#This Row],[automation_risk_percent]]&gt;0.7,"Highly Automatable",
IF(Table1[[#This Row],[automation_risk_percent]]&gt;0.4,"Moderate Risk","Safe Job"))</f>
        <v>Moderate Risk</v>
      </c>
    </row>
    <row r="3972" spans="1:24" x14ac:dyDescent="0.3">
      <c r="A3972">
        <v>13810</v>
      </c>
      <c r="B3972" t="s">
        <v>26</v>
      </c>
      <c r="C3972" t="s">
        <v>23</v>
      </c>
      <c r="D3972" t="s">
        <v>36</v>
      </c>
      <c r="E3972" s="1">
        <v>2025</v>
      </c>
      <c r="F3972" s="11">
        <v>0.48509999999999998</v>
      </c>
      <c r="G3972">
        <v>56.02</v>
      </c>
      <c r="H3972">
        <v>76.760000000000005</v>
      </c>
      <c r="I3972" s="2">
        <v>125160.86</v>
      </c>
      <c r="J3972" s="2">
        <v>133038.07999999999</v>
      </c>
      <c r="K3972" s="2">
        <f>Table1[[#This Row],[Salary_after]]-Table1[[#This Row],[Salary_before]]</f>
        <v>7877.2199999999866</v>
      </c>
      <c r="L3972" s="11">
        <v>6.2899999999999998E-2</v>
      </c>
      <c r="M3972" s="11">
        <v>-2.0999999999999999E-3</v>
      </c>
      <c r="N3972">
        <v>55.72</v>
      </c>
      <c r="O3972">
        <v>1.19</v>
      </c>
      <c r="P3972">
        <v>4</v>
      </c>
      <c r="Q3972" t="s">
        <v>25</v>
      </c>
      <c r="R3972">
        <v>62.634999999999998</v>
      </c>
      <c r="S3972">
        <v>6.29</v>
      </c>
      <c r="T3972" s="4">
        <v>44.319000000000003</v>
      </c>
      <c r="U3972" s="4">
        <v>0.57726899999999903</v>
      </c>
      <c r="V3972" t="str">
        <f>IF(Table1[[#This Row],[ai_disruption_intensity]]&gt;70,"High",
IF(Table1[[#This Row],[ai_disruption_intensity]]&gt;40,"Medium","Low"))</f>
        <v>Low</v>
      </c>
      <c r="W3972" t="str">
        <f>IF(Table1[[#This Row],[skill_gap_index]]&gt;70,"Large Gap",
IF(Table1[[#This Row],[skill_gap_index]]&gt;40,"Medium Gap","Small Gap"))</f>
        <v>Large Gap</v>
      </c>
      <c r="X3972" s="3" t="str">
        <f>IF(Table1[[#This Row],[automation_risk_percent]]&gt;0.7,"Highly Automatable",
IF(Table1[[#This Row],[automation_risk_percent]]&gt;0.4,"Moderate Risk","Safe Job"))</f>
        <v>Moderate Risk</v>
      </c>
    </row>
    <row r="3973" spans="1:24" x14ac:dyDescent="0.3">
      <c r="A3973">
        <v>13813</v>
      </c>
      <c r="B3973" t="s">
        <v>44</v>
      </c>
      <c r="C3973" t="s">
        <v>34</v>
      </c>
      <c r="D3973" t="s">
        <v>32</v>
      </c>
      <c r="E3973" s="1">
        <v>2026</v>
      </c>
      <c r="F3973" s="11">
        <v>0.5101</v>
      </c>
      <c r="G3973">
        <v>49.41</v>
      </c>
      <c r="H3973">
        <v>45.92</v>
      </c>
      <c r="I3973" s="2">
        <v>102034.63</v>
      </c>
      <c r="J3973" s="2">
        <v>97847.79</v>
      </c>
      <c r="K3973" s="2">
        <f>Table1[[#This Row],[Salary_after]]-Table1[[#This Row],[Salary_before]]</f>
        <v>-4186.8400000000111</v>
      </c>
      <c r="L3973" s="11">
        <v>-4.0999999999999995E-2</v>
      </c>
      <c r="M3973" s="11">
        <v>-6.4000000000000003E-3</v>
      </c>
      <c r="N3973">
        <v>35.86</v>
      </c>
      <c r="O3973">
        <v>37.72</v>
      </c>
      <c r="P3973">
        <v>4</v>
      </c>
      <c r="Q3973" t="s">
        <v>25</v>
      </c>
      <c r="R3973">
        <v>48.465000000000003</v>
      </c>
      <c r="S3973">
        <v>4.0999999999999996</v>
      </c>
      <c r="T3973" s="4">
        <v>35.409999999999997</v>
      </c>
      <c r="U3973" s="4">
        <v>19.240971999999999</v>
      </c>
      <c r="V3973" t="str">
        <f>IF(Table1[[#This Row],[ai_disruption_intensity]]&gt;70,"High",
IF(Table1[[#This Row],[ai_disruption_intensity]]&gt;40,"Medium","Low"))</f>
        <v>Low</v>
      </c>
      <c r="W3973" t="str">
        <f>IF(Table1[[#This Row],[skill_gap_index]]&gt;70,"Large Gap",
IF(Table1[[#This Row],[skill_gap_index]]&gt;40,"Medium Gap","Small Gap"))</f>
        <v>Medium Gap</v>
      </c>
      <c r="X3973" s="3" t="str">
        <f>IF(Table1[[#This Row],[automation_risk_percent]]&gt;0.7,"Highly Automatable",
IF(Table1[[#This Row],[automation_risk_percent]]&gt;0.4,"Moderate Risk","Safe Job"))</f>
        <v>Moderate Risk</v>
      </c>
    </row>
    <row r="3974" spans="1:24" x14ac:dyDescent="0.3">
      <c r="A3974">
        <v>13815</v>
      </c>
      <c r="B3974" t="s">
        <v>22</v>
      </c>
      <c r="C3974" t="s">
        <v>40</v>
      </c>
      <c r="D3974" t="s">
        <v>24</v>
      </c>
      <c r="E3974" s="1">
        <v>2026</v>
      </c>
      <c r="F3974" s="11">
        <v>0.45049999999999996</v>
      </c>
      <c r="G3974">
        <v>39.64</v>
      </c>
      <c r="H3974">
        <v>13.52</v>
      </c>
      <c r="I3974" s="2">
        <v>38361.97</v>
      </c>
      <c r="J3974" s="2">
        <v>40673.69</v>
      </c>
      <c r="K3974" s="2">
        <f>Table1[[#This Row],[Salary_after]]-Table1[[#This Row],[Salary_before]]</f>
        <v>2311.7200000000012</v>
      </c>
      <c r="L3974" s="11">
        <v>6.0299999999999999E-2</v>
      </c>
      <c r="M3974" s="11">
        <v>0.10800000000000001</v>
      </c>
      <c r="N3974">
        <v>92.12</v>
      </c>
      <c r="O3974">
        <v>66.12</v>
      </c>
      <c r="P3974">
        <v>5</v>
      </c>
      <c r="Q3974" t="s">
        <v>25</v>
      </c>
      <c r="R3974">
        <v>29.284999999999901</v>
      </c>
      <c r="S3974">
        <v>6.03</v>
      </c>
      <c r="T3974" s="4">
        <v>23.885000000000002</v>
      </c>
      <c r="U3974" s="4">
        <v>29.78706</v>
      </c>
      <c r="V3974" t="str">
        <f>IF(Table1[[#This Row],[ai_disruption_intensity]]&gt;70,"High",
IF(Table1[[#This Row],[ai_disruption_intensity]]&gt;40,"Medium","Low"))</f>
        <v>Low</v>
      </c>
      <c r="W3974" t="str">
        <f>IF(Table1[[#This Row],[skill_gap_index]]&gt;70,"Large Gap",
IF(Table1[[#This Row],[skill_gap_index]]&gt;40,"Medium Gap","Small Gap"))</f>
        <v>Small Gap</v>
      </c>
      <c r="X3974" s="3" t="str">
        <f>IF(Table1[[#This Row],[automation_risk_percent]]&gt;0.7,"Highly Automatable",
IF(Table1[[#This Row],[automation_risk_percent]]&gt;0.4,"Moderate Risk","Safe Job"))</f>
        <v>Moderate Risk</v>
      </c>
    </row>
    <row r="3975" spans="1:24" x14ac:dyDescent="0.3">
      <c r="A3975">
        <v>13817</v>
      </c>
      <c r="B3975" t="s">
        <v>39</v>
      </c>
      <c r="C3975" t="s">
        <v>38</v>
      </c>
      <c r="D3975" t="s">
        <v>35</v>
      </c>
      <c r="E3975" s="1">
        <v>2026</v>
      </c>
      <c r="F3975" s="11">
        <v>0.2072</v>
      </c>
      <c r="G3975">
        <v>19.440000000000001</v>
      </c>
      <c r="H3975">
        <v>3.82</v>
      </c>
      <c r="I3975" s="2">
        <v>104004.23</v>
      </c>
      <c r="J3975" s="2">
        <v>96875.93</v>
      </c>
      <c r="K3975" s="2">
        <f>Table1[[#This Row],[Salary_after]]-Table1[[#This Row],[Salary_before]]</f>
        <v>-7128.3000000000029</v>
      </c>
      <c r="L3975" s="11">
        <v>-6.8499999999999991E-2</v>
      </c>
      <c r="M3975" s="11">
        <v>0.20660000000000001</v>
      </c>
      <c r="N3975">
        <v>59.61</v>
      </c>
      <c r="O3975">
        <v>87.39</v>
      </c>
      <c r="P3975">
        <v>4</v>
      </c>
      <c r="Q3975" t="s">
        <v>21</v>
      </c>
      <c r="R3975">
        <v>12.27</v>
      </c>
      <c r="S3975">
        <v>6.85</v>
      </c>
      <c r="T3975" s="4">
        <v>11.489000000000001</v>
      </c>
      <c r="U3975" s="4">
        <v>18.107208</v>
      </c>
      <c r="V3975" t="str">
        <f>IF(Table1[[#This Row],[ai_disruption_intensity]]&gt;70,"High",
IF(Table1[[#This Row],[ai_disruption_intensity]]&gt;40,"Medium","Low"))</f>
        <v>Low</v>
      </c>
      <c r="W3975" t="str">
        <f>IF(Table1[[#This Row],[skill_gap_index]]&gt;70,"Large Gap",
IF(Table1[[#This Row],[skill_gap_index]]&gt;40,"Medium Gap","Small Gap"))</f>
        <v>Small Gap</v>
      </c>
      <c r="X3975" s="3" t="str">
        <f>IF(Table1[[#This Row],[automation_risk_percent]]&gt;0.7,"Highly Automatable",
IF(Table1[[#This Row],[automation_risk_percent]]&gt;0.4,"Moderate Risk","Safe Job"))</f>
        <v>Safe Job</v>
      </c>
    </row>
    <row r="3976" spans="1:24" x14ac:dyDescent="0.3">
      <c r="A3976">
        <v>13833</v>
      </c>
      <c r="B3976" t="s">
        <v>18</v>
      </c>
      <c r="C3976" t="s">
        <v>34</v>
      </c>
      <c r="D3976" t="s">
        <v>35</v>
      </c>
      <c r="E3976" s="1">
        <v>2025</v>
      </c>
      <c r="F3976" s="11">
        <v>0.6744</v>
      </c>
      <c r="G3976">
        <v>61.88</v>
      </c>
      <c r="H3976">
        <v>79.91</v>
      </c>
      <c r="I3976" s="2">
        <v>59453.91</v>
      </c>
      <c r="J3976" s="2">
        <v>64160.25</v>
      </c>
      <c r="K3976" s="2">
        <f>Table1[[#This Row],[Salary_after]]-Table1[[#This Row],[Salary_before]]</f>
        <v>4706.3399999999965</v>
      </c>
      <c r="L3976" s="11">
        <v>7.9199999999999993E-2</v>
      </c>
      <c r="M3976" s="11">
        <v>3.1800000000000002E-2</v>
      </c>
      <c r="N3976">
        <v>52.55</v>
      </c>
      <c r="O3976">
        <v>93.09</v>
      </c>
      <c r="P3976">
        <v>3</v>
      </c>
      <c r="Q3976" t="s">
        <v>37</v>
      </c>
      <c r="R3976">
        <v>73.674999999999997</v>
      </c>
      <c r="S3976">
        <v>7.92</v>
      </c>
      <c r="T3976" s="4">
        <v>53.324999999999903</v>
      </c>
      <c r="U3976" s="4">
        <v>62.779896000000001</v>
      </c>
      <c r="V3976" t="str">
        <f>IF(Table1[[#This Row],[ai_disruption_intensity]]&gt;70,"High",
IF(Table1[[#This Row],[ai_disruption_intensity]]&gt;40,"Medium","Low"))</f>
        <v>Medium</v>
      </c>
      <c r="W3976" t="str">
        <f>IF(Table1[[#This Row],[skill_gap_index]]&gt;70,"Large Gap",
IF(Table1[[#This Row],[skill_gap_index]]&gt;40,"Medium Gap","Small Gap"))</f>
        <v>Large Gap</v>
      </c>
      <c r="X3976" s="3" t="str">
        <f>IF(Table1[[#This Row],[automation_risk_percent]]&gt;0.7,"Highly Automatable",
IF(Table1[[#This Row],[automation_risk_percent]]&gt;0.4,"Moderate Risk","Safe Job"))</f>
        <v>Moderate Risk</v>
      </c>
    </row>
    <row r="3977" spans="1:24" x14ac:dyDescent="0.3">
      <c r="A3977">
        <v>13840</v>
      </c>
      <c r="B3977" t="s">
        <v>44</v>
      </c>
      <c r="C3977" t="s">
        <v>33</v>
      </c>
      <c r="D3977" t="s">
        <v>20</v>
      </c>
      <c r="E3977" s="1">
        <v>2026</v>
      </c>
      <c r="F3977" s="11">
        <v>0.67480000000000007</v>
      </c>
      <c r="G3977">
        <v>69.209999999999994</v>
      </c>
      <c r="H3977">
        <v>91.57</v>
      </c>
      <c r="I3977" s="2">
        <v>139275.93</v>
      </c>
      <c r="J3977" s="2">
        <v>125428.66</v>
      </c>
      <c r="K3977" s="2">
        <f>Table1[[#This Row],[Salary_after]]-Table1[[#This Row],[Salary_before]]</f>
        <v>-13847.26999999999</v>
      </c>
      <c r="L3977" s="11">
        <v>-9.9399999999999988E-2</v>
      </c>
      <c r="M3977" s="11">
        <v>0.159</v>
      </c>
      <c r="N3977">
        <v>95.6</v>
      </c>
      <c r="O3977">
        <v>83.54</v>
      </c>
      <c r="P3977">
        <v>4</v>
      </c>
      <c r="Q3977" t="s">
        <v>37</v>
      </c>
      <c r="R3977">
        <v>79.525000000000006</v>
      </c>
      <c r="S3977">
        <v>9.94</v>
      </c>
      <c r="T3977" s="4">
        <v>57.445</v>
      </c>
      <c r="U3977" s="4">
        <v>56.372791999999997</v>
      </c>
      <c r="V3977" t="str">
        <f>IF(Table1[[#This Row],[ai_disruption_intensity]]&gt;70,"High",
IF(Table1[[#This Row],[ai_disruption_intensity]]&gt;40,"Medium","Low"))</f>
        <v>Medium</v>
      </c>
      <c r="W3977" t="str">
        <f>IF(Table1[[#This Row],[skill_gap_index]]&gt;70,"Large Gap",
IF(Table1[[#This Row],[skill_gap_index]]&gt;40,"Medium Gap","Small Gap"))</f>
        <v>Large Gap</v>
      </c>
      <c r="X3977" s="3" t="str">
        <f>IF(Table1[[#This Row],[automation_risk_percent]]&gt;0.7,"Highly Automatable",
IF(Table1[[#This Row],[automation_risk_percent]]&gt;0.4,"Moderate Risk","Safe Job"))</f>
        <v>Moderate Risk</v>
      </c>
    </row>
    <row r="3978" spans="1:24" x14ac:dyDescent="0.3">
      <c r="A3978">
        <v>13842</v>
      </c>
      <c r="B3978" t="s">
        <v>22</v>
      </c>
      <c r="C3978" t="s">
        <v>19</v>
      </c>
      <c r="D3978" t="s">
        <v>32</v>
      </c>
      <c r="E3978" s="1">
        <v>2025</v>
      </c>
      <c r="F3978" s="11">
        <v>0.50390000000000001</v>
      </c>
      <c r="G3978">
        <v>40.49</v>
      </c>
      <c r="H3978">
        <v>85.64</v>
      </c>
      <c r="I3978" s="2">
        <v>85002.02</v>
      </c>
      <c r="J3978" s="2">
        <v>79729.64</v>
      </c>
      <c r="K3978" s="2">
        <f>Table1[[#This Row],[Salary_after]]-Table1[[#This Row],[Salary_before]]</f>
        <v>-5272.3800000000047</v>
      </c>
      <c r="L3978" s="11">
        <v>-6.2E-2</v>
      </c>
      <c r="M3978" s="11">
        <v>8.3000000000000004E-2</v>
      </c>
      <c r="N3978">
        <v>77.06</v>
      </c>
      <c r="O3978">
        <v>44.14</v>
      </c>
      <c r="P3978">
        <v>1</v>
      </c>
      <c r="Q3978" t="s">
        <v>25</v>
      </c>
      <c r="R3978">
        <v>68.015000000000001</v>
      </c>
      <c r="S3978">
        <v>6.2</v>
      </c>
      <c r="T3978" s="4">
        <v>47.707999999999998</v>
      </c>
      <c r="U3978" s="4">
        <v>22.242146000000002</v>
      </c>
      <c r="V3978" t="str">
        <f>IF(Table1[[#This Row],[ai_disruption_intensity]]&gt;70,"High",
IF(Table1[[#This Row],[ai_disruption_intensity]]&gt;40,"Medium","Low"))</f>
        <v>Low</v>
      </c>
      <c r="W3978" t="str">
        <f>IF(Table1[[#This Row],[skill_gap_index]]&gt;70,"Large Gap",
IF(Table1[[#This Row],[skill_gap_index]]&gt;40,"Medium Gap","Small Gap"))</f>
        <v>Large Gap</v>
      </c>
      <c r="X3978" s="3" t="str">
        <f>IF(Table1[[#This Row],[automation_risk_percent]]&gt;0.7,"Highly Automatable",
IF(Table1[[#This Row],[automation_risk_percent]]&gt;0.4,"Moderate Risk","Safe Job"))</f>
        <v>Moderate Risk</v>
      </c>
    </row>
    <row r="3979" spans="1:24" x14ac:dyDescent="0.3">
      <c r="A3979">
        <v>13846</v>
      </c>
      <c r="B3979" t="s">
        <v>43</v>
      </c>
      <c r="C3979" t="s">
        <v>40</v>
      </c>
      <c r="D3979" t="s">
        <v>20</v>
      </c>
      <c r="E3979" s="1">
        <v>2025</v>
      </c>
      <c r="F3979" s="11">
        <v>0.35600000000000004</v>
      </c>
      <c r="G3979">
        <v>33.04</v>
      </c>
      <c r="H3979">
        <v>46.32</v>
      </c>
      <c r="I3979" s="2">
        <v>106868.66</v>
      </c>
      <c r="J3979" s="2">
        <v>87834.49</v>
      </c>
      <c r="K3979" s="2">
        <f>Table1[[#This Row],[Salary_after]]-Table1[[#This Row],[Salary_before]]</f>
        <v>-19034.169999999998</v>
      </c>
      <c r="L3979" s="11">
        <v>-0.17809999999999998</v>
      </c>
      <c r="M3979" s="11">
        <v>0.08</v>
      </c>
      <c r="N3979">
        <v>75.12</v>
      </c>
      <c r="O3979">
        <v>98.87</v>
      </c>
      <c r="P3979">
        <v>5</v>
      </c>
      <c r="Q3979" t="s">
        <v>25</v>
      </c>
      <c r="R3979">
        <v>40.96</v>
      </c>
      <c r="S3979">
        <v>17.809999999999999</v>
      </c>
      <c r="T3979" s="4">
        <v>33.478999999999999</v>
      </c>
      <c r="U3979" s="4">
        <v>35.197719999999997</v>
      </c>
      <c r="V3979" t="str">
        <f>IF(Table1[[#This Row],[ai_disruption_intensity]]&gt;70,"High",
IF(Table1[[#This Row],[ai_disruption_intensity]]&gt;40,"Medium","Low"))</f>
        <v>Low</v>
      </c>
      <c r="W3979" t="str">
        <f>IF(Table1[[#This Row],[skill_gap_index]]&gt;70,"Large Gap",
IF(Table1[[#This Row],[skill_gap_index]]&gt;40,"Medium Gap","Small Gap"))</f>
        <v>Medium Gap</v>
      </c>
      <c r="X3979" s="3" t="str">
        <f>IF(Table1[[#This Row],[automation_risk_percent]]&gt;0.7,"Highly Automatable",
IF(Table1[[#This Row],[automation_risk_percent]]&gt;0.4,"Moderate Risk","Safe Job"))</f>
        <v>Safe Job</v>
      </c>
    </row>
    <row r="3980" spans="1:24" x14ac:dyDescent="0.3">
      <c r="A3980">
        <v>13850</v>
      </c>
      <c r="B3980" t="s">
        <v>45</v>
      </c>
      <c r="C3980" t="s">
        <v>34</v>
      </c>
      <c r="D3980" t="s">
        <v>36</v>
      </c>
      <c r="E3980" s="1">
        <v>2026</v>
      </c>
      <c r="F3980" s="11">
        <v>0.23499999999999999</v>
      </c>
      <c r="G3980">
        <v>20</v>
      </c>
      <c r="H3980">
        <v>16.11</v>
      </c>
      <c r="I3980" s="2">
        <v>66413.05</v>
      </c>
      <c r="J3980" s="2">
        <v>76409.990000000005</v>
      </c>
      <c r="K3980" s="2">
        <f>Table1[[#This Row],[Salary_after]]-Table1[[#This Row],[Salary_before]]</f>
        <v>9996.9400000000023</v>
      </c>
      <c r="L3980" s="11">
        <v>0.15049999999999999</v>
      </c>
      <c r="M3980" s="11">
        <v>0.1125</v>
      </c>
      <c r="N3980">
        <v>42.82</v>
      </c>
      <c r="O3980">
        <v>91.9</v>
      </c>
      <c r="P3980">
        <v>3</v>
      </c>
      <c r="Q3980" t="s">
        <v>21</v>
      </c>
      <c r="R3980">
        <v>19.805</v>
      </c>
      <c r="S3980">
        <v>15.05</v>
      </c>
      <c r="T3980" s="4">
        <v>18.748000000000001</v>
      </c>
      <c r="U3980" s="4">
        <v>21.596499999999999</v>
      </c>
      <c r="V3980" t="str">
        <f>IF(Table1[[#This Row],[ai_disruption_intensity]]&gt;70,"High",
IF(Table1[[#This Row],[ai_disruption_intensity]]&gt;40,"Medium","Low"))</f>
        <v>Low</v>
      </c>
      <c r="W3980" t="str">
        <f>IF(Table1[[#This Row],[skill_gap_index]]&gt;70,"Large Gap",
IF(Table1[[#This Row],[skill_gap_index]]&gt;40,"Medium Gap","Small Gap"))</f>
        <v>Small Gap</v>
      </c>
      <c r="X3980" s="3" t="str">
        <f>IF(Table1[[#This Row],[automation_risk_percent]]&gt;0.7,"Highly Automatable",
IF(Table1[[#This Row],[automation_risk_percent]]&gt;0.4,"Moderate Risk","Safe Job"))</f>
        <v>Safe Job</v>
      </c>
    </row>
    <row r="3981" spans="1:24" x14ac:dyDescent="0.3">
      <c r="A3981">
        <v>13853</v>
      </c>
      <c r="B3981" t="s">
        <v>44</v>
      </c>
      <c r="C3981" t="s">
        <v>27</v>
      </c>
      <c r="D3981" t="s">
        <v>32</v>
      </c>
      <c r="E3981" s="1">
        <v>2026</v>
      </c>
      <c r="F3981" s="11">
        <v>0.71050000000000002</v>
      </c>
      <c r="G3981">
        <v>58.94</v>
      </c>
      <c r="H3981">
        <v>5.91</v>
      </c>
      <c r="I3981" s="2">
        <v>64663.97</v>
      </c>
      <c r="J3981" s="2">
        <v>65196.07</v>
      </c>
      <c r="K3981" s="2">
        <f>Table1[[#This Row],[Salary_after]]-Table1[[#This Row],[Salary_before]]</f>
        <v>532.09999999999854</v>
      </c>
      <c r="L3981" s="11">
        <v>8.199999999999999E-3</v>
      </c>
      <c r="M3981" s="11">
        <v>-3.5499999999999997E-2</v>
      </c>
      <c r="N3981">
        <v>11.91</v>
      </c>
      <c r="O3981">
        <v>78.489999999999995</v>
      </c>
      <c r="P3981">
        <v>1</v>
      </c>
      <c r="Q3981" t="s">
        <v>37</v>
      </c>
      <c r="R3981">
        <v>38.479999999999997</v>
      </c>
      <c r="S3981">
        <v>0.82</v>
      </c>
      <c r="T3981" s="4">
        <v>30.439</v>
      </c>
      <c r="U3981" s="4">
        <v>55.7671449999999</v>
      </c>
      <c r="V3981" t="str">
        <f>IF(Table1[[#This Row],[ai_disruption_intensity]]&gt;70,"High",
IF(Table1[[#This Row],[ai_disruption_intensity]]&gt;40,"Medium","Low"))</f>
        <v>Medium</v>
      </c>
      <c r="W3981" t="str">
        <f>IF(Table1[[#This Row],[skill_gap_index]]&gt;70,"Large Gap",
IF(Table1[[#This Row],[skill_gap_index]]&gt;40,"Medium Gap","Small Gap"))</f>
        <v>Small Gap</v>
      </c>
      <c r="X3981" s="3" t="str">
        <f>IF(Table1[[#This Row],[automation_risk_percent]]&gt;0.7,"Highly Automatable",
IF(Table1[[#This Row],[automation_risk_percent]]&gt;0.4,"Moderate Risk","Safe Job"))</f>
        <v>Highly Automatable</v>
      </c>
    </row>
    <row r="3982" spans="1:24" x14ac:dyDescent="0.3">
      <c r="A3982">
        <v>13854</v>
      </c>
      <c r="B3982" t="s">
        <v>45</v>
      </c>
      <c r="C3982" t="s">
        <v>38</v>
      </c>
      <c r="D3982" t="s">
        <v>31</v>
      </c>
      <c r="E3982" s="1">
        <v>2025</v>
      </c>
      <c r="F3982" s="11">
        <v>0.55430000000000001</v>
      </c>
      <c r="G3982">
        <v>49.04</v>
      </c>
      <c r="H3982">
        <v>32.950000000000003</v>
      </c>
      <c r="I3982" s="2">
        <v>66671.72</v>
      </c>
      <c r="J3982" s="2">
        <v>53461.67</v>
      </c>
      <c r="K3982" s="2">
        <f>Table1[[#This Row],[Salary_after]]-Table1[[#This Row],[Salary_before]]</f>
        <v>-13210.050000000003</v>
      </c>
      <c r="L3982" s="11">
        <v>-0.1981</v>
      </c>
      <c r="M3982" s="11">
        <v>0.14369999999999999</v>
      </c>
      <c r="N3982">
        <v>51.56</v>
      </c>
      <c r="O3982">
        <v>56.79</v>
      </c>
      <c r="P3982">
        <v>1</v>
      </c>
      <c r="Q3982" t="s">
        <v>25</v>
      </c>
      <c r="R3982">
        <v>44.19</v>
      </c>
      <c r="S3982">
        <v>19.809999999999999</v>
      </c>
      <c r="T3982" s="4">
        <v>38</v>
      </c>
      <c r="U3982" s="4">
        <v>31.478696999999901</v>
      </c>
      <c r="V3982" t="str">
        <f>IF(Table1[[#This Row],[ai_disruption_intensity]]&gt;70,"High",
IF(Table1[[#This Row],[ai_disruption_intensity]]&gt;40,"Medium","Low"))</f>
        <v>Low</v>
      </c>
      <c r="W3982" t="str">
        <f>IF(Table1[[#This Row],[skill_gap_index]]&gt;70,"Large Gap",
IF(Table1[[#This Row],[skill_gap_index]]&gt;40,"Medium Gap","Small Gap"))</f>
        <v>Small Gap</v>
      </c>
      <c r="X3982" s="3" t="str">
        <f>IF(Table1[[#This Row],[automation_risk_percent]]&gt;0.7,"Highly Automatable",
IF(Table1[[#This Row],[automation_risk_percent]]&gt;0.4,"Moderate Risk","Safe Job"))</f>
        <v>Moderate Risk</v>
      </c>
    </row>
    <row r="3983" spans="1:24" x14ac:dyDescent="0.3">
      <c r="A3983">
        <v>13855</v>
      </c>
      <c r="B3983" t="s">
        <v>44</v>
      </c>
      <c r="C3983" t="s">
        <v>30</v>
      </c>
      <c r="D3983" t="s">
        <v>24</v>
      </c>
      <c r="E3983" s="1">
        <v>2026</v>
      </c>
      <c r="F3983" s="11">
        <v>0.44479999999999997</v>
      </c>
      <c r="G3983">
        <v>36.700000000000003</v>
      </c>
      <c r="H3983">
        <v>46.28</v>
      </c>
      <c r="I3983" s="2">
        <v>140413.03</v>
      </c>
      <c r="J3983" s="2">
        <v>163518.54999999999</v>
      </c>
      <c r="K3983" s="2">
        <f>Table1[[#This Row],[Salary_after]]-Table1[[#This Row],[Salary_before]]</f>
        <v>23105.51999999999</v>
      </c>
      <c r="L3983" s="11">
        <v>0.1646</v>
      </c>
      <c r="M3983" s="11">
        <v>-2.4799999999999999E-2</v>
      </c>
      <c r="N3983">
        <v>99.74</v>
      </c>
      <c r="O3983">
        <v>55.25</v>
      </c>
      <c r="P3983">
        <v>1</v>
      </c>
      <c r="Q3983" t="s">
        <v>25</v>
      </c>
      <c r="R3983">
        <v>45.379999999999903</v>
      </c>
      <c r="S3983">
        <v>16.46</v>
      </c>
      <c r="T3983" s="4">
        <v>36.613999999999997</v>
      </c>
      <c r="U3983" s="4">
        <v>24.575199999999999</v>
      </c>
      <c r="V3983" t="str">
        <f>IF(Table1[[#This Row],[ai_disruption_intensity]]&gt;70,"High",
IF(Table1[[#This Row],[ai_disruption_intensity]]&gt;40,"Medium","Low"))</f>
        <v>Low</v>
      </c>
      <c r="W3983" t="str">
        <f>IF(Table1[[#This Row],[skill_gap_index]]&gt;70,"Large Gap",
IF(Table1[[#This Row],[skill_gap_index]]&gt;40,"Medium Gap","Small Gap"))</f>
        <v>Medium Gap</v>
      </c>
      <c r="X3983" s="3" t="str">
        <f>IF(Table1[[#This Row],[automation_risk_percent]]&gt;0.7,"Highly Automatable",
IF(Table1[[#This Row],[automation_risk_percent]]&gt;0.4,"Moderate Risk","Safe Job"))</f>
        <v>Moderate Risk</v>
      </c>
    </row>
    <row r="3984" spans="1:24" x14ac:dyDescent="0.3">
      <c r="A3984">
        <v>13856</v>
      </c>
      <c r="B3984" t="s">
        <v>39</v>
      </c>
      <c r="C3984" t="s">
        <v>33</v>
      </c>
      <c r="D3984" t="s">
        <v>36</v>
      </c>
      <c r="E3984" s="1">
        <v>2026</v>
      </c>
      <c r="F3984" s="11">
        <v>0.43840000000000001</v>
      </c>
      <c r="G3984">
        <v>39.799999999999997</v>
      </c>
      <c r="H3984">
        <v>22.93</v>
      </c>
      <c r="I3984" s="2">
        <v>96686.62</v>
      </c>
      <c r="J3984" s="2">
        <v>89484.75</v>
      </c>
      <c r="K3984" s="2">
        <f>Table1[[#This Row],[Salary_after]]-Table1[[#This Row],[Salary_before]]</f>
        <v>-7201.8699999999953</v>
      </c>
      <c r="L3984" s="11">
        <v>-7.4499999999999997E-2</v>
      </c>
      <c r="M3984" s="11">
        <v>0.23190000000000002</v>
      </c>
      <c r="N3984">
        <v>10.16</v>
      </c>
      <c r="O3984">
        <v>56.02</v>
      </c>
      <c r="P3984">
        <v>2</v>
      </c>
      <c r="Q3984" t="s">
        <v>25</v>
      </c>
      <c r="R3984">
        <v>33.384999999999998</v>
      </c>
      <c r="S3984">
        <v>7.45</v>
      </c>
      <c r="T3984" s="4">
        <v>26.65</v>
      </c>
      <c r="U3984" s="4">
        <v>24.559168</v>
      </c>
      <c r="V3984" t="str">
        <f>IF(Table1[[#This Row],[ai_disruption_intensity]]&gt;70,"High",
IF(Table1[[#This Row],[ai_disruption_intensity]]&gt;40,"Medium","Low"))</f>
        <v>Low</v>
      </c>
      <c r="W3984" t="str">
        <f>IF(Table1[[#This Row],[skill_gap_index]]&gt;70,"Large Gap",
IF(Table1[[#This Row],[skill_gap_index]]&gt;40,"Medium Gap","Small Gap"))</f>
        <v>Small Gap</v>
      </c>
      <c r="X3984" s="3" t="str">
        <f>IF(Table1[[#This Row],[automation_risk_percent]]&gt;0.7,"Highly Automatable",
IF(Table1[[#This Row],[automation_risk_percent]]&gt;0.4,"Moderate Risk","Safe Job"))</f>
        <v>Moderate Risk</v>
      </c>
    </row>
    <row r="3985" spans="1:24" x14ac:dyDescent="0.3">
      <c r="A3985">
        <v>13859</v>
      </c>
      <c r="B3985" t="s">
        <v>45</v>
      </c>
      <c r="C3985" t="s">
        <v>27</v>
      </c>
      <c r="D3985" t="s">
        <v>35</v>
      </c>
      <c r="E3985" s="1">
        <v>2025</v>
      </c>
      <c r="F3985" s="11">
        <v>0.49819999999999998</v>
      </c>
      <c r="G3985">
        <v>42.23</v>
      </c>
      <c r="H3985">
        <v>60.23</v>
      </c>
      <c r="I3985" s="2">
        <v>50717.68</v>
      </c>
      <c r="J3985" s="2">
        <v>43643.41</v>
      </c>
      <c r="K3985" s="2">
        <f>Table1[[#This Row],[Salary_after]]-Table1[[#This Row],[Salary_before]]</f>
        <v>-7074.2699999999968</v>
      </c>
      <c r="L3985" s="11">
        <v>-0.13949999999999999</v>
      </c>
      <c r="M3985" s="11">
        <v>-6.4000000000000003E-3</v>
      </c>
      <c r="N3985">
        <v>81.599999999999994</v>
      </c>
      <c r="O3985">
        <v>18.170000000000002</v>
      </c>
      <c r="P3985">
        <v>4</v>
      </c>
      <c r="Q3985" t="s">
        <v>25</v>
      </c>
      <c r="R3985">
        <v>55.024999999999999</v>
      </c>
      <c r="S3985">
        <v>13.95</v>
      </c>
      <c r="T3985" s="4">
        <v>42.182000000000002</v>
      </c>
      <c r="U3985" s="4">
        <v>9.0522939999999998</v>
      </c>
      <c r="V3985" t="str">
        <f>IF(Table1[[#This Row],[ai_disruption_intensity]]&gt;70,"High",
IF(Table1[[#This Row],[ai_disruption_intensity]]&gt;40,"Medium","Low"))</f>
        <v>Low</v>
      </c>
      <c r="W3985" t="str">
        <f>IF(Table1[[#This Row],[skill_gap_index]]&gt;70,"Large Gap",
IF(Table1[[#This Row],[skill_gap_index]]&gt;40,"Medium Gap","Small Gap"))</f>
        <v>Medium Gap</v>
      </c>
      <c r="X3985" s="3" t="str">
        <f>IF(Table1[[#This Row],[automation_risk_percent]]&gt;0.7,"Highly Automatable",
IF(Table1[[#This Row],[automation_risk_percent]]&gt;0.4,"Moderate Risk","Safe Job"))</f>
        <v>Moderate Risk</v>
      </c>
    </row>
    <row r="3986" spans="1:24" x14ac:dyDescent="0.3">
      <c r="A3986">
        <v>13865</v>
      </c>
      <c r="B3986" t="s">
        <v>46</v>
      </c>
      <c r="C3986" t="s">
        <v>30</v>
      </c>
      <c r="D3986" t="s">
        <v>42</v>
      </c>
      <c r="E3986" s="1">
        <v>2026</v>
      </c>
      <c r="F3986" s="11">
        <v>0.21350000000000002</v>
      </c>
      <c r="G3986">
        <v>18.27</v>
      </c>
      <c r="H3986">
        <v>51.62</v>
      </c>
      <c r="I3986" s="2">
        <v>130319.51</v>
      </c>
      <c r="J3986" s="2">
        <v>114328.28</v>
      </c>
      <c r="K3986" s="2">
        <f>Table1[[#This Row],[Salary_after]]-Table1[[#This Row],[Salary_before]]</f>
        <v>-15991.229999999996</v>
      </c>
      <c r="L3986" s="11">
        <v>-0.12269999999999999</v>
      </c>
      <c r="M3986" s="11">
        <v>0.25329999999999997</v>
      </c>
      <c r="N3986">
        <v>73.08</v>
      </c>
      <c r="O3986">
        <v>52.99</v>
      </c>
      <c r="P3986">
        <v>4</v>
      </c>
      <c r="Q3986" t="s">
        <v>21</v>
      </c>
      <c r="R3986">
        <v>36.484999999999999</v>
      </c>
      <c r="S3986">
        <v>12.27</v>
      </c>
      <c r="T3986" s="4">
        <v>27.707000000000001</v>
      </c>
      <c r="U3986" s="4">
        <v>11.313364999999999</v>
      </c>
      <c r="V3986" t="str">
        <f>IF(Table1[[#This Row],[ai_disruption_intensity]]&gt;70,"High",
IF(Table1[[#This Row],[ai_disruption_intensity]]&gt;40,"Medium","Low"))</f>
        <v>Low</v>
      </c>
      <c r="W3986" t="str">
        <f>IF(Table1[[#This Row],[skill_gap_index]]&gt;70,"Large Gap",
IF(Table1[[#This Row],[skill_gap_index]]&gt;40,"Medium Gap","Small Gap"))</f>
        <v>Medium Gap</v>
      </c>
      <c r="X3986" s="3" t="str">
        <f>IF(Table1[[#This Row],[automation_risk_percent]]&gt;0.7,"Highly Automatable",
IF(Table1[[#This Row],[automation_risk_percent]]&gt;0.4,"Moderate Risk","Safe Job"))</f>
        <v>Safe Job</v>
      </c>
    </row>
    <row r="3987" spans="1:24" x14ac:dyDescent="0.3">
      <c r="A3987">
        <v>13867</v>
      </c>
      <c r="B3987" t="s">
        <v>43</v>
      </c>
      <c r="C3987" t="s">
        <v>23</v>
      </c>
      <c r="D3987" t="s">
        <v>28</v>
      </c>
      <c r="E3987" s="1">
        <v>2025</v>
      </c>
      <c r="F3987" s="11">
        <v>0.51359999999999995</v>
      </c>
      <c r="G3987">
        <v>42.53</v>
      </c>
      <c r="H3987">
        <v>32.270000000000003</v>
      </c>
      <c r="I3987" s="2">
        <v>135520.67000000001</v>
      </c>
      <c r="J3987" s="2">
        <v>130168.23</v>
      </c>
      <c r="K3987" s="2">
        <f>Table1[[#This Row],[Salary_after]]-Table1[[#This Row],[Salary_before]]</f>
        <v>-5352.4400000000169</v>
      </c>
      <c r="L3987" s="11">
        <v>-3.95E-2</v>
      </c>
      <c r="M3987" s="11">
        <v>7.2300000000000003E-2</v>
      </c>
      <c r="N3987">
        <v>34.840000000000003</v>
      </c>
      <c r="O3987">
        <v>20.22</v>
      </c>
      <c r="P3987">
        <v>1</v>
      </c>
      <c r="Q3987" t="s">
        <v>25</v>
      </c>
      <c r="R3987">
        <v>41.814999999999998</v>
      </c>
      <c r="S3987">
        <v>3.95</v>
      </c>
      <c r="T3987" s="4">
        <v>31.41</v>
      </c>
      <c r="U3987" s="4">
        <v>10.384992</v>
      </c>
      <c r="V3987" t="str">
        <f>IF(Table1[[#This Row],[ai_disruption_intensity]]&gt;70,"High",
IF(Table1[[#This Row],[ai_disruption_intensity]]&gt;40,"Medium","Low"))</f>
        <v>Low</v>
      </c>
      <c r="W3987" t="str">
        <f>IF(Table1[[#This Row],[skill_gap_index]]&gt;70,"Large Gap",
IF(Table1[[#This Row],[skill_gap_index]]&gt;40,"Medium Gap","Small Gap"))</f>
        <v>Small Gap</v>
      </c>
      <c r="X3987" s="3" t="str">
        <f>IF(Table1[[#This Row],[automation_risk_percent]]&gt;0.7,"Highly Automatable",
IF(Table1[[#This Row],[automation_risk_percent]]&gt;0.4,"Moderate Risk","Safe Job"))</f>
        <v>Moderate Risk</v>
      </c>
    </row>
    <row r="3988" spans="1:24" x14ac:dyDescent="0.3">
      <c r="A3988">
        <v>13869</v>
      </c>
      <c r="B3988" t="s">
        <v>46</v>
      </c>
      <c r="C3988" t="s">
        <v>23</v>
      </c>
      <c r="D3988" t="s">
        <v>31</v>
      </c>
      <c r="E3988" s="1">
        <v>2025</v>
      </c>
      <c r="F3988" s="11">
        <v>0.62329999999999997</v>
      </c>
      <c r="G3988">
        <v>71.2</v>
      </c>
      <c r="H3988">
        <v>6.35</v>
      </c>
      <c r="I3988" s="2">
        <v>128931.17</v>
      </c>
      <c r="J3988" s="2">
        <v>102794.17</v>
      </c>
      <c r="K3988" s="2">
        <f>Table1[[#This Row],[Salary_after]]-Table1[[#This Row],[Salary_before]]</f>
        <v>-26137</v>
      </c>
      <c r="L3988" s="11">
        <v>-0.20269999999999999</v>
      </c>
      <c r="M3988" s="11">
        <v>4.4400000000000002E-2</v>
      </c>
      <c r="N3988">
        <v>14.97</v>
      </c>
      <c r="O3988">
        <v>11.67</v>
      </c>
      <c r="P3988">
        <v>1</v>
      </c>
      <c r="Q3988" t="s">
        <v>37</v>
      </c>
      <c r="R3988">
        <v>34.339999999999897</v>
      </c>
      <c r="S3988">
        <v>20.27</v>
      </c>
      <c r="T3988" s="4">
        <v>32.917999999999999</v>
      </c>
      <c r="U3988" s="4">
        <v>7.2739109999999902</v>
      </c>
      <c r="V3988" t="str">
        <f>IF(Table1[[#This Row],[ai_disruption_intensity]]&gt;70,"High",
IF(Table1[[#This Row],[ai_disruption_intensity]]&gt;40,"Medium","Low"))</f>
        <v>Low</v>
      </c>
      <c r="W3988" t="str">
        <f>IF(Table1[[#This Row],[skill_gap_index]]&gt;70,"Large Gap",
IF(Table1[[#This Row],[skill_gap_index]]&gt;40,"Medium Gap","Small Gap"))</f>
        <v>Small Gap</v>
      </c>
      <c r="X3988" s="3" t="str">
        <f>IF(Table1[[#This Row],[automation_risk_percent]]&gt;0.7,"Highly Automatable",
IF(Table1[[#This Row],[automation_risk_percent]]&gt;0.4,"Moderate Risk","Safe Job"))</f>
        <v>Moderate Risk</v>
      </c>
    </row>
    <row r="3989" spans="1:24" x14ac:dyDescent="0.3">
      <c r="A3989">
        <v>13872</v>
      </c>
      <c r="B3989" t="s">
        <v>26</v>
      </c>
      <c r="C3989" t="s">
        <v>38</v>
      </c>
      <c r="D3989" t="s">
        <v>42</v>
      </c>
      <c r="E3989" s="1">
        <v>2026</v>
      </c>
      <c r="F3989" s="11">
        <v>0.2757</v>
      </c>
      <c r="G3989">
        <v>28.4</v>
      </c>
      <c r="H3989">
        <v>68.27</v>
      </c>
      <c r="I3989" s="2">
        <v>59827.7</v>
      </c>
      <c r="J3989" s="2">
        <v>50883.53</v>
      </c>
      <c r="K3989" s="2">
        <f>Table1[[#This Row],[Salary_after]]-Table1[[#This Row],[Salary_before]]</f>
        <v>-8944.1699999999983</v>
      </c>
      <c r="L3989" s="11">
        <v>-0.14949999999999999</v>
      </c>
      <c r="M3989" s="11">
        <v>0.18780000000000002</v>
      </c>
      <c r="N3989">
        <v>60.04</v>
      </c>
      <c r="O3989">
        <v>66.95</v>
      </c>
      <c r="P3989">
        <v>2</v>
      </c>
      <c r="Q3989" t="s">
        <v>21</v>
      </c>
      <c r="R3989">
        <v>47.92</v>
      </c>
      <c r="S3989">
        <v>14.95</v>
      </c>
      <c r="T3989" s="4">
        <v>35.994</v>
      </c>
      <c r="U3989" s="4">
        <v>18.458114999999999</v>
      </c>
      <c r="V3989" t="str">
        <f>IF(Table1[[#This Row],[ai_disruption_intensity]]&gt;70,"High",
IF(Table1[[#This Row],[ai_disruption_intensity]]&gt;40,"Medium","Low"))</f>
        <v>Low</v>
      </c>
      <c r="W3989" t="str">
        <f>IF(Table1[[#This Row],[skill_gap_index]]&gt;70,"Large Gap",
IF(Table1[[#This Row],[skill_gap_index]]&gt;40,"Medium Gap","Small Gap"))</f>
        <v>Medium Gap</v>
      </c>
      <c r="X3989" s="3" t="str">
        <f>IF(Table1[[#This Row],[automation_risk_percent]]&gt;0.7,"Highly Automatable",
IF(Table1[[#This Row],[automation_risk_percent]]&gt;0.4,"Moderate Risk","Safe Job"))</f>
        <v>Safe Job</v>
      </c>
    </row>
    <row r="3990" spans="1:24" x14ac:dyDescent="0.3">
      <c r="A3990">
        <v>13876</v>
      </c>
      <c r="B3990" t="s">
        <v>29</v>
      </c>
      <c r="C3990" t="s">
        <v>30</v>
      </c>
      <c r="D3990" t="s">
        <v>31</v>
      </c>
      <c r="E3990" s="1">
        <v>2026</v>
      </c>
      <c r="F3990" s="11">
        <v>0.82620000000000005</v>
      </c>
      <c r="G3990">
        <v>84.62</v>
      </c>
      <c r="H3990">
        <v>93.62</v>
      </c>
      <c r="I3990" s="2">
        <v>50387.16</v>
      </c>
      <c r="J3990" s="2">
        <v>47290.46</v>
      </c>
      <c r="K3990" s="2">
        <f>Table1[[#This Row],[Salary_after]]-Table1[[#This Row],[Salary_before]]</f>
        <v>-3096.7000000000044</v>
      </c>
      <c r="L3990" s="11">
        <v>-6.1500000000000006E-2</v>
      </c>
      <c r="M3990" s="11">
        <v>-1.4499999999999999E-2</v>
      </c>
      <c r="N3990">
        <v>46.22</v>
      </c>
      <c r="O3990">
        <v>66.73</v>
      </c>
      <c r="P3990">
        <v>5</v>
      </c>
      <c r="Q3990" t="s">
        <v>37</v>
      </c>
      <c r="R3990">
        <v>88.12</v>
      </c>
      <c r="S3990">
        <v>6.15</v>
      </c>
      <c r="T3990" s="4">
        <v>62.978999999999999</v>
      </c>
      <c r="U3990" s="4">
        <v>55.132325999999999</v>
      </c>
      <c r="V3990" t="str">
        <f>IF(Table1[[#This Row],[ai_disruption_intensity]]&gt;70,"High",
IF(Table1[[#This Row],[ai_disruption_intensity]]&gt;40,"Medium","Low"))</f>
        <v>Medium</v>
      </c>
      <c r="W3990" t="str">
        <f>IF(Table1[[#This Row],[skill_gap_index]]&gt;70,"Large Gap",
IF(Table1[[#This Row],[skill_gap_index]]&gt;40,"Medium Gap","Small Gap"))</f>
        <v>Large Gap</v>
      </c>
      <c r="X3990" s="3" t="str">
        <f>IF(Table1[[#This Row],[automation_risk_percent]]&gt;0.7,"Highly Automatable",
IF(Table1[[#This Row],[automation_risk_percent]]&gt;0.4,"Moderate Risk","Safe Job"))</f>
        <v>Highly Automatable</v>
      </c>
    </row>
    <row r="3991" spans="1:24" x14ac:dyDescent="0.3">
      <c r="A3991">
        <v>13877</v>
      </c>
      <c r="B3991" t="s">
        <v>41</v>
      </c>
      <c r="C3991" t="s">
        <v>38</v>
      </c>
      <c r="D3991" t="s">
        <v>47</v>
      </c>
      <c r="E3991" s="1">
        <v>2026</v>
      </c>
      <c r="F3991" s="11">
        <v>0.54459999999999997</v>
      </c>
      <c r="G3991">
        <v>64.25</v>
      </c>
      <c r="H3991">
        <v>24.06</v>
      </c>
      <c r="I3991" s="2">
        <v>127725.52</v>
      </c>
      <c r="J3991" s="2">
        <v>119224.07</v>
      </c>
      <c r="K3991" s="2">
        <f>Table1[[#This Row],[Salary_after]]-Table1[[#This Row],[Salary_before]]</f>
        <v>-8501.4499999999971</v>
      </c>
      <c r="L3991" s="11">
        <v>-6.6600000000000006E-2</v>
      </c>
      <c r="M3991" s="11">
        <v>0.16109999999999999</v>
      </c>
      <c r="N3991">
        <v>52.36</v>
      </c>
      <c r="O3991">
        <v>76.16</v>
      </c>
      <c r="P3991">
        <v>4</v>
      </c>
      <c r="Q3991" t="s">
        <v>25</v>
      </c>
      <c r="R3991">
        <v>39.26</v>
      </c>
      <c r="S3991">
        <v>6.66</v>
      </c>
      <c r="T3991" s="4">
        <v>31</v>
      </c>
      <c r="U3991" s="4">
        <v>41.476736000000002</v>
      </c>
      <c r="V3991" t="str">
        <f>IF(Table1[[#This Row],[ai_disruption_intensity]]&gt;70,"High",
IF(Table1[[#This Row],[ai_disruption_intensity]]&gt;40,"Medium","Low"))</f>
        <v>Medium</v>
      </c>
      <c r="W3991" t="str">
        <f>IF(Table1[[#This Row],[skill_gap_index]]&gt;70,"Large Gap",
IF(Table1[[#This Row],[skill_gap_index]]&gt;40,"Medium Gap","Small Gap"))</f>
        <v>Small Gap</v>
      </c>
      <c r="X3991" s="3" t="str">
        <f>IF(Table1[[#This Row],[automation_risk_percent]]&gt;0.7,"Highly Automatable",
IF(Table1[[#This Row],[automation_risk_percent]]&gt;0.4,"Moderate Risk","Safe Job"))</f>
        <v>Moderate Risk</v>
      </c>
    </row>
    <row r="3992" spans="1:24" x14ac:dyDescent="0.3">
      <c r="A3992">
        <v>13879</v>
      </c>
      <c r="B3992" t="s">
        <v>44</v>
      </c>
      <c r="C3992" t="s">
        <v>38</v>
      </c>
      <c r="D3992" t="s">
        <v>47</v>
      </c>
      <c r="E3992" s="1">
        <v>2025</v>
      </c>
      <c r="F3992" s="11">
        <v>0.31440000000000001</v>
      </c>
      <c r="G3992">
        <v>33.549999999999997</v>
      </c>
      <c r="H3992">
        <v>80.069999999999993</v>
      </c>
      <c r="I3992" s="2">
        <v>145059.28</v>
      </c>
      <c r="J3992" s="2">
        <v>169050.38</v>
      </c>
      <c r="K3992" s="2">
        <f>Table1[[#This Row],[Salary_after]]-Table1[[#This Row],[Salary_before]]</f>
        <v>23991.100000000006</v>
      </c>
      <c r="L3992" s="11">
        <v>0.16539999999999999</v>
      </c>
      <c r="M3992" s="11">
        <v>4.8399999999999999E-2</v>
      </c>
      <c r="N3992">
        <v>82.18</v>
      </c>
      <c r="O3992">
        <v>67.400000000000006</v>
      </c>
      <c r="P3992">
        <v>1</v>
      </c>
      <c r="Q3992" t="s">
        <v>25</v>
      </c>
      <c r="R3992">
        <v>55.754999999999903</v>
      </c>
      <c r="S3992">
        <v>16.54</v>
      </c>
      <c r="T3992" s="4">
        <v>41.558999999999997</v>
      </c>
      <c r="U3992" s="4">
        <v>21.190560000000001</v>
      </c>
      <c r="V3992" t="str">
        <f>IF(Table1[[#This Row],[ai_disruption_intensity]]&gt;70,"High",
IF(Table1[[#This Row],[ai_disruption_intensity]]&gt;40,"Medium","Low"))</f>
        <v>Low</v>
      </c>
      <c r="W3992" t="str">
        <f>IF(Table1[[#This Row],[skill_gap_index]]&gt;70,"Large Gap",
IF(Table1[[#This Row],[skill_gap_index]]&gt;40,"Medium Gap","Small Gap"))</f>
        <v>Large Gap</v>
      </c>
      <c r="X3992" s="3" t="str">
        <f>IF(Table1[[#This Row],[automation_risk_percent]]&gt;0.7,"Highly Automatable",
IF(Table1[[#This Row],[automation_risk_percent]]&gt;0.4,"Moderate Risk","Safe Job"))</f>
        <v>Safe Job</v>
      </c>
    </row>
    <row r="3993" spans="1:24" x14ac:dyDescent="0.3">
      <c r="A3993">
        <v>13885</v>
      </c>
      <c r="B3993" t="s">
        <v>18</v>
      </c>
      <c r="C3993" t="s">
        <v>40</v>
      </c>
      <c r="D3993" t="s">
        <v>36</v>
      </c>
      <c r="E3993" s="1">
        <v>2025</v>
      </c>
      <c r="F3993" s="11">
        <v>0.72409999999999997</v>
      </c>
      <c r="G3993">
        <v>78.98</v>
      </c>
      <c r="H3993">
        <v>41.57</v>
      </c>
      <c r="I3993" s="2">
        <v>52224.27</v>
      </c>
      <c r="J3993" s="2">
        <v>45729.279999999999</v>
      </c>
      <c r="K3993" s="2">
        <f>Table1[[#This Row],[Salary_after]]-Table1[[#This Row],[Salary_before]]</f>
        <v>-6494.989999999998</v>
      </c>
      <c r="L3993" s="11">
        <v>-0.1244</v>
      </c>
      <c r="M3993" s="11">
        <v>3.1400000000000004E-2</v>
      </c>
      <c r="N3993">
        <v>20.2</v>
      </c>
      <c r="O3993">
        <v>4.88</v>
      </c>
      <c r="P3993">
        <v>3</v>
      </c>
      <c r="Q3993" t="s">
        <v>37</v>
      </c>
      <c r="R3993">
        <v>56.989999999999903</v>
      </c>
      <c r="S3993">
        <v>12.44</v>
      </c>
      <c r="T3993" s="4">
        <v>45.167000000000002</v>
      </c>
      <c r="U3993" s="4">
        <v>3.5336079999999899</v>
      </c>
      <c r="V3993" t="str">
        <f>IF(Table1[[#This Row],[ai_disruption_intensity]]&gt;70,"High",
IF(Table1[[#This Row],[ai_disruption_intensity]]&gt;40,"Medium","Low"))</f>
        <v>Low</v>
      </c>
      <c r="W3993" t="str">
        <f>IF(Table1[[#This Row],[skill_gap_index]]&gt;70,"Large Gap",
IF(Table1[[#This Row],[skill_gap_index]]&gt;40,"Medium Gap","Small Gap"))</f>
        <v>Medium Gap</v>
      </c>
      <c r="X3993" s="3" t="str">
        <f>IF(Table1[[#This Row],[automation_risk_percent]]&gt;0.7,"Highly Automatable",
IF(Table1[[#This Row],[automation_risk_percent]]&gt;0.4,"Moderate Risk","Safe Job"))</f>
        <v>Highly Automatable</v>
      </c>
    </row>
    <row r="3994" spans="1:24" x14ac:dyDescent="0.3">
      <c r="A3994">
        <v>13887</v>
      </c>
      <c r="B3994" t="s">
        <v>45</v>
      </c>
      <c r="C3994" t="s">
        <v>27</v>
      </c>
      <c r="D3994" t="s">
        <v>47</v>
      </c>
      <c r="E3994" s="1">
        <v>2026</v>
      </c>
      <c r="F3994" s="11">
        <v>0.62690000000000001</v>
      </c>
      <c r="G3994">
        <v>68.12</v>
      </c>
      <c r="H3994">
        <v>19.54</v>
      </c>
      <c r="I3994" s="2">
        <v>50877.11</v>
      </c>
      <c r="J3994" s="2">
        <v>47115.26</v>
      </c>
      <c r="K3994" s="2">
        <f>Table1[[#This Row],[Salary_after]]-Table1[[#This Row],[Salary_before]]</f>
        <v>-3761.8499999999985</v>
      </c>
      <c r="L3994" s="11">
        <v>-7.3899999999999993E-2</v>
      </c>
      <c r="M3994" s="11">
        <v>-7.4999999999999997E-2</v>
      </c>
      <c r="N3994">
        <v>65.89</v>
      </c>
      <c r="O3994">
        <v>74.599999999999994</v>
      </c>
      <c r="P3994">
        <v>3</v>
      </c>
      <c r="Q3994" t="s">
        <v>37</v>
      </c>
      <c r="R3994">
        <v>41.114999999999903</v>
      </c>
      <c r="S3994">
        <v>7.39</v>
      </c>
      <c r="T3994" s="4">
        <v>33.155000000000001</v>
      </c>
      <c r="U3994" s="4">
        <v>46.766739999999899</v>
      </c>
      <c r="V3994" t="str">
        <f>IF(Table1[[#This Row],[ai_disruption_intensity]]&gt;70,"High",
IF(Table1[[#This Row],[ai_disruption_intensity]]&gt;40,"Medium","Low"))</f>
        <v>Medium</v>
      </c>
      <c r="W3994" t="str">
        <f>IF(Table1[[#This Row],[skill_gap_index]]&gt;70,"Large Gap",
IF(Table1[[#This Row],[skill_gap_index]]&gt;40,"Medium Gap","Small Gap"))</f>
        <v>Small Gap</v>
      </c>
      <c r="X3994" s="3" t="str">
        <f>IF(Table1[[#This Row],[automation_risk_percent]]&gt;0.7,"Highly Automatable",
IF(Table1[[#This Row],[automation_risk_percent]]&gt;0.4,"Moderate Risk","Safe Job"))</f>
        <v>Moderate Risk</v>
      </c>
    </row>
    <row r="3995" spans="1:24" x14ac:dyDescent="0.3">
      <c r="A3995">
        <v>13890</v>
      </c>
      <c r="B3995" t="s">
        <v>39</v>
      </c>
      <c r="C3995" t="s">
        <v>38</v>
      </c>
      <c r="D3995" t="s">
        <v>20</v>
      </c>
      <c r="E3995" s="1">
        <v>2026</v>
      </c>
      <c r="F3995" s="11">
        <v>0.64650000000000007</v>
      </c>
      <c r="G3995">
        <v>65.260000000000005</v>
      </c>
      <c r="H3995">
        <v>88.84</v>
      </c>
      <c r="I3995" s="2">
        <v>100785</v>
      </c>
      <c r="J3995" s="2">
        <v>104231.11</v>
      </c>
      <c r="K3995" s="2">
        <f>Table1[[#This Row],[Salary_after]]-Table1[[#This Row],[Salary_before]]</f>
        <v>3446.1100000000006</v>
      </c>
      <c r="L3995" s="11">
        <v>3.4200000000000001E-2</v>
      </c>
      <c r="M3995" s="11">
        <v>3.4000000000000002E-2</v>
      </c>
      <c r="N3995">
        <v>69.12</v>
      </c>
      <c r="O3995">
        <v>13.36</v>
      </c>
      <c r="P3995">
        <v>3</v>
      </c>
      <c r="Q3995" t="s">
        <v>37</v>
      </c>
      <c r="R3995">
        <v>76.745000000000005</v>
      </c>
      <c r="S3995">
        <v>3.42</v>
      </c>
      <c r="T3995" s="4">
        <v>53.537999999999997</v>
      </c>
      <c r="U3995" s="4">
        <v>8.6372400000000003</v>
      </c>
      <c r="V3995" t="str">
        <f>IF(Table1[[#This Row],[ai_disruption_intensity]]&gt;70,"High",
IF(Table1[[#This Row],[ai_disruption_intensity]]&gt;40,"Medium","Low"))</f>
        <v>Low</v>
      </c>
      <c r="W3995" t="str">
        <f>IF(Table1[[#This Row],[skill_gap_index]]&gt;70,"Large Gap",
IF(Table1[[#This Row],[skill_gap_index]]&gt;40,"Medium Gap","Small Gap"))</f>
        <v>Large Gap</v>
      </c>
      <c r="X3995" s="3" t="str">
        <f>IF(Table1[[#This Row],[automation_risk_percent]]&gt;0.7,"Highly Automatable",
IF(Table1[[#This Row],[automation_risk_percent]]&gt;0.4,"Moderate Risk","Safe Job"))</f>
        <v>Moderate Risk</v>
      </c>
    </row>
    <row r="3996" spans="1:24" x14ac:dyDescent="0.3">
      <c r="A3996">
        <v>13892</v>
      </c>
      <c r="B3996" t="s">
        <v>45</v>
      </c>
      <c r="C3996" t="s">
        <v>38</v>
      </c>
      <c r="D3996" t="s">
        <v>31</v>
      </c>
      <c r="E3996" s="1">
        <v>2026</v>
      </c>
      <c r="F3996" s="11">
        <v>0.17489999999999997</v>
      </c>
      <c r="G3996">
        <v>17.91</v>
      </c>
      <c r="H3996">
        <v>52.25</v>
      </c>
      <c r="I3996" s="2">
        <v>137310.82</v>
      </c>
      <c r="J3996" s="2">
        <v>161873.28</v>
      </c>
      <c r="K3996" s="2">
        <f>Table1[[#This Row],[Salary_after]]-Table1[[#This Row],[Salary_before]]</f>
        <v>24562.459999999992</v>
      </c>
      <c r="L3996" s="11">
        <v>0.1789</v>
      </c>
      <c r="M3996" s="11">
        <v>8.0500000000000002E-2</v>
      </c>
      <c r="N3996">
        <v>87.74</v>
      </c>
      <c r="O3996">
        <v>14.09</v>
      </c>
      <c r="P3996">
        <v>4</v>
      </c>
      <c r="Q3996" t="s">
        <v>21</v>
      </c>
      <c r="R3996">
        <v>34.869999999999997</v>
      </c>
      <c r="S3996">
        <v>17.89</v>
      </c>
      <c r="T3996" s="4">
        <v>28.038</v>
      </c>
      <c r="U3996" s="4">
        <v>2.4643409999999899</v>
      </c>
      <c r="V3996" t="str">
        <f>IF(Table1[[#This Row],[ai_disruption_intensity]]&gt;70,"High",
IF(Table1[[#This Row],[ai_disruption_intensity]]&gt;40,"Medium","Low"))</f>
        <v>Low</v>
      </c>
      <c r="W3996" t="str">
        <f>IF(Table1[[#This Row],[skill_gap_index]]&gt;70,"Large Gap",
IF(Table1[[#This Row],[skill_gap_index]]&gt;40,"Medium Gap","Small Gap"))</f>
        <v>Medium Gap</v>
      </c>
      <c r="X3996" s="3" t="str">
        <f>IF(Table1[[#This Row],[automation_risk_percent]]&gt;0.7,"Highly Automatable",
IF(Table1[[#This Row],[automation_risk_percent]]&gt;0.4,"Moderate Risk","Safe Job"))</f>
        <v>Safe Job</v>
      </c>
    </row>
    <row r="3997" spans="1:24" x14ac:dyDescent="0.3">
      <c r="A3997">
        <v>13899</v>
      </c>
      <c r="B3997" t="s">
        <v>41</v>
      </c>
      <c r="C3997" t="s">
        <v>27</v>
      </c>
      <c r="D3997" t="s">
        <v>20</v>
      </c>
      <c r="E3997" s="1">
        <v>2025</v>
      </c>
      <c r="F3997" s="11">
        <v>0.33380000000000004</v>
      </c>
      <c r="G3997">
        <v>29.78</v>
      </c>
      <c r="H3997">
        <v>12.37</v>
      </c>
      <c r="I3997" s="2">
        <v>126956.53</v>
      </c>
      <c r="J3997" s="2">
        <v>108183</v>
      </c>
      <c r="K3997" s="2">
        <f>Table1[[#This Row],[Salary_after]]-Table1[[#This Row],[Salary_before]]</f>
        <v>-18773.53</v>
      </c>
      <c r="L3997" s="11">
        <v>-0.1479</v>
      </c>
      <c r="M3997" s="11">
        <v>6.9400000000000003E-2</v>
      </c>
      <c r="N3997">
        <v>23.57</v>
      </c>
      <c r="O3997">
        <v>15.39</v>
      </c>
      <c r="P3997">
        <v>3</v>
      </c>
      <c r="Q3997" t="s">
        <v>25</v>
      </c>
      <c r="R3997">
        <v>22.875</v>
      </c>
      <c r="S3997">
        <v>14.79</v>
      </c>
      <c r="T3997" s="4">
        <v>21.5</v>
      </c>
      <c r="U3997" s="4">
        <v>5.1371820000000001</v>
      </c>
      <c r="V3997" t="str">
        <f>IF(Table1[[#This Row],[ai_disruption_intensity]]&gt;70,"High",
IF(Table1[[#This Row],[ai_disruption_intensity]]&gt;40,"Medium","Low"))</f>
        <v>Low</v>
      </c>
      <c r="W3997" t="str">
        <f>IF(Table1[[#This Row],[skill_gap_index]]&gt;70,"Large Gap",
IF(Table1[[#This Row],[skill_gap_index]]&gt;40,"Medium Gap","Small Gap"))</f>
        <v>Small Gap</v>
      </c>
      <c r="X3997" s="3" t="str">
        <f>IF(Table1[[#This Row],[automation_risk_percent]]&gt;0.7,"Highly Automatable",
IF(Table1[[#This Row],[automation_risk_percent]]&gt;0.4,"Moderate Risk","Safe Job"))</f>
        <v>Safe Job</v>
      </c>
    </row>
    <row r="3998" spans="1:24" x14ac:dyDescent="0.3">
      <c r="A3998">
        <v>13900</v>
      </c>
      <c r="B3998" t="s">
        <v>43</v>
      </c>
      <c r="C3998" t="s">
        <v>30</v>
      </c>
      <c r="D3998" t="s">
        <v>31</v>
      </c>
      <c r="E3998" s="1">
        <v>2025</v>
      </c>
      <c r="F3998" s="11">
        <v>0.28720000000000001</v>
      </c>
      <c r="G3998">
        <v>23.9</v>
      </c>
      <c r="H3998">
        <v>79.81</v>
      </c>
      <c r="I3998" s="2">
        <v>62827.57</v>
      </c>
      <c r="J3998" s="2">
        <v>60087.94</v>
      </c>
      <c r="K3998" s="2">
        <f>Table1[[#This Row],[Salary_after]]-Table1[[#This Row],[Salary_before]]</f>
        <v>-2739.6299999999974</v>
      </c>
      <c r="L3998" s="11">
        <v>-4.36E-2</v>
      </c>
      <c r="M3998" s="11">
        <v>5.7999999999999996E-2</v>
      </c>
      <c r="N3998">
        <v>30.28</v>
      </c>
      <c r="O3998">
        <v>32.25</v>
      </c>
      <c r="P3998">
        <v>4</v>
      </c>
      <c r="Q3998" t="s">
        <v>21</v>
      </c>
      <c r="R3998">
        <v>54.265000000000001</v>
      </c>
      <c r="S3998">
        <v>4.3600000000000003</v>
      </c>
      <c r="T3998" s="4">
        <v>36.738999999999997</v>
      </c>
      <c r="U3998" s="4">
        <v>9.2622</v>
      </c>
      <c r="V3998" t="str">
        <f>IF(Table1[[#This Row],[ai_disruption_intensity]]&gt;70,"High",
IF(Table1[[#This Row],[ai_disruption_intensity]]&gt;40,"Medium","Low"))</f>
        <v>Low</v>
      </c>
      <c r="W3998" t="str">
        <f>IF(Table1[[#This Row],[skill_gap_index]]&gt;70,"Large Gap",
IF(Table1[[#This Row],[skill_gap_index]]&gt;40,"Medium Gap","Small Gap"))</f>
        <v>Large Gap</v>
      </c>
      <c r="X3998" s="3" t="str">
        <f>IF(Table1[[#This Row],[automation_risk_percent]]&gt;0.7,"Highly Automatable",
IF(Table1[[#This Row],[automation_risk_percent]]&gt;0.4,"Moderate Risk","Safe Job"))</f>
        <v>Safe Job</v>
      </c>
    </row>
    <row r="3999" spans="1:24" x14ac:dyDescent="0.3">
      <c r="A3999">
        <v>13904</v>
      </c>
      <c r="B3999" t="s">
        <v>46</v>
      </c>
      <c r="C3999" t="s">
        <v>27</v>
      </c>
      <c r="D3999" t="s">
        <v>32</v>
      </c>
      <c r="E3999" s="1">
        <v>2025</v>
      </c>
      <c r="F3999" s="11">
        <v>0.2601</v>
      </c>
      <c r="G3999">
        <v>23.22</v>
      </c>
      <c r="H3999">
        <v>10.27</v>
      </c>
      <c r="I3999" s="2">
        <v>66165.02</v>
      </c>
      <c r="J3999" s="2">
        <v>62156.65</v>
      </c>
      <c r="K3999" s="2">
        <f>Table1[[#This Row],[Salary_after]]-Table1[[#This Row],[Salary_before]]</f>
        <v>-4008.3700000000026</v>
      </c>
      <c r="L3999" s="11">
        <v>-6.0599999999999994E-2</v>
      </c>
      <c r="M3999" s="11">
        <v>0.1197</v>
      </c>
      <c r="N3999">
        <v>92.22</v>
      </c>
      <c r="O3999">
        <v>69.23</v>
      </c>
      <c r="P3999">
        <v>3</v>
      </c>
      <c r="Q3999" t="s">
        <v>21</v>
      </c>
      <c r="R3999">
        <v>18.14</v>
      </c>
      <c r="S3999">
        <v>6.06</v>
      </c>
      <c r="T3999" s="4">
        <v>15.303000000000001</v>
      </c>
      <c r="U3999" s="4">
        <v>18.006723000000001</v>
      </c>
      <c r="V3999" t="str">
        <f>IF(Table1[[#This Row],[ai_disruption_intensity]]&gt;70,"High",
IF(Table1[[#This Row],[ai_disruption_intensity]]&gt;40,"Medium","Low"))</f>
        <v>Low</v>
      </c>
      <c r="W3999" t="str">
        <f>IF(Table1[[#This Row],[skill_gap_index]]&gt;70,"Large Gap",
IF(Table1[[#This Row],[skill_gap_index]]&gt;40,"Medium Gap","Small Gap"))</f>
        <v>Small Gap</v>
      </c>
      <c r="X3999" s="3" t="str">
        <f>IF(Table1[[#This Row],[automation_risk_percent]]&gt;0.7,"Highly Automatable",
IF(Table1[[#This Row],[automation_risk_percent]]&gt;0.4,"Moderate Risk","Safe Job"))</f>
        <v>Safe Job</v>
      </c>
    </row>
    <row r="4000" spans="1:24" x14ac:dyDescent="0.3">
      <c r="A4000">
        <v>13908</v>
      </c>
      <c r="B4000" t="s">
        <v>26</v>
      </c>
      <c r="C4000" t="s">
        <v>19</v>
      </c>
      <c r="D4000" t="s">
        <v>24</v>
      </c>
      <c r="E4000" s="1">
        <v>2025</v>
      </c>
      <c r="F4000" s="11">
        <v>0.2137</v>
      </c>
      <c r="G4000">
        <v>22.81</v>
      </c>
      <c r="H4000">
        <v>20.54</v>
      </c>
      <c r="I4000" s="2">
        <v>100472.25</v>
      </c>
      <c r="J4000" s="2">
        <v>110978.7</v>
      </c>
      <c r="K4000" s="2">
        <f>Table1[[#This Row],[Salary_after]]-Table1[[#This Row],[Salary_before]]</f>
        <v>10506.449999999997</v>
      </c>
      <c r="L4000" s="11">
        <v>0.10460000000000001</v>
      </c>
      <c r="M4000" s="11">
        <v>-0.10550000000000001</v>
      </c>
      <c r="N4000">
        <v>70.12</v>
      </c>
      <c r="O4000">
        <v>71.8</v>
      </c>
      <c r="P4000">
        <v>1</v>
      </c>
      <c r="Q4000" t="s">
        <v>21</v>
      </c>
      <c r="R4000">
        <v>20.954999999999998</v>
      </c>
      <c r="S4000">
        <v>10.46</v>
      </c>
      <c r="T4000" s="4">
        <v>17.847999999999999</v>
      </c>
      <c r="U4000" s="4">
        <v>15.34366</v>
      </c>
      <c r="V4000" t="str">
        <f>IF(Table1[[#This Row],[ai_disruption_intensity]]&gt;70,"High",
IF(Table1[[#This Row],[ai_disruption_intensity]]&gt;40,"Medium","Low"))</f>
        <v>Low</v>
      </c>
      <c r="W4000" t="str">
        <f>IF(Table1[[#This Row],[skill_gap_index]]&gt;70,"Large Gap",
IF(Table1[[#This Row],[skill_gap_index]]&gt;40,"Medium Gap","Small Gap"))</f>
        <v>Small Gap</v>
      </c>
      <c r="X4000" s="3" t="str">
        <f>IF(Table1[[#This Row],[automation_risk_percent]]&gt;0.7,"Highly Automatable",
IF(Table1[[#This Row],[automation_risk_percent]]&gt;0.4,"Moderate Risk","Safe Job"))</f>
        <v>Safe Job</v>
      </c>
    </row>
    <row r="4001" spans="1:24" x14ac:dyDescent="0.3">
      <c r="A4001">
        <v>13909</v>
      </c>
      <c r="B4001" t="s">
        <v>18</v>
      </c>
      <c r="C4001" t="s">
        <v>34</v>
      </c>
      <c r="D4001" t="s">
        <v>28</v>
      </c>
      <c r="E4001" s="1">
        <v>2026</v>
      </c>
      <c r="F4001" s="11">
        <v>0.73219999999999996</v>
      </c>
      <c r="G4001">
        <v>61.79</v>
      </c>
      <c r="H4001">
        <v>27.54</v>
      </c>
      <c r="I4001" s="2">
        <v>50405.13</v>
      </c>
      <c r="J4001" s="2">
        <v>40848.82</v>
      </c>
      <c r="K4001" s="2">
        <f>Table1[[#This Row],[Salary_after]]-Table1[[#This Row],[Salary_before]]</f>
        <v>-9556.3099999999977</v>
      </c>
      <c r="L4001" s="11">
        <v>-0.18960000000000002</v>
      </c>
      <c r="M4001" s="11">
        <v>-0.12609999999999999</v>
      </c>
      <c r="N4001">
        <v>40.14</v>
      </c>
      <c r="O4001">
        <v>98.76</v>
      </c>
      <c r="P4001">
        <v>3</v>
      </c>
      <c r="Q4001" t="s">
        <v>37</v>
      </c>
      <c r="R4001">
        <v>50.379999999999903</v>
      </c>
      <c r="S4001">
        <v>18.96</v>
      </c>
      <c r="T4001" s="4">
        <v>43.238</v>
      </c>
      <c r="U4001" s="4">
        <v>72.312072000000001</v>
      </c>
      <c r="V4001" t="str">
        <f>IF(Table1[[#This Row],[ai_disruption_intensity]]&gt;70,"High",
IF(Table1[[#This Row],[ai_disruption_intensity]]&gt;40,"Medium","Low"))</f>
        <v>High</v>
      </c>
      <c r="W4001" t="str">
        <f>IF(Table1[[#This Row],[skill_gap_index]]&gt;70,"Large Gap",
IF(Table1[[#This Row],[skill_gap_index]]&gt;40,"Medium Gap","Small Gap"))</f>
        <v>Small Gap</v>
      </c>
      <c r="X4001" s="3" t="str">
        <f>IF(Table1[[#This Row],[automation_risk_percent]]&gt;0.7,"Highly Automatable",
IF(Table1[[#This Row],[automation_risk_percent]]&gt;0.4,"Moderate Risk","Safe Job"))</f>
        <v>Highly Automatable</v>
      </c>
    </row>
    <row r="4002" spans="1:24" x14ac:dyDescent="0.3">
      <c r="A4002">
        <v>13914</v>
      </c>
      <c r="B4002" t="s">
        <v>41</v>
      </c>
      <c r="C4002" t="s">
        <v>30</v>
      </c>
      <c r="D4002" t="s">
        <v>24</v>
      </c>
      <c r="E4002" s="1">
        <v>2025</v>
      </c>
      <c r="F4002" s="11">
        <v>0.51939999999999997</v>
      </c>
      <c r="G4002">
        <v>50.6</v>
      </c>
      <c r="H4002">
        <v>60.18</v>
      </c>
      <c r="I4002" s="2">
        <v>57948.3</v>
      </c>
      <c r="J4002" s="2">
        <v>67660.33</v>
      </c>
      <c r="K4002" s="2">
        <f>Table1[[#This Row],[Salary_after]]-Table1[[#This Row],[Salary_before]]</f>
        <v>9712.0299999999988</v>
      </c>
      <c r="L4002" s="11">
        <v>0.16760000000000003</v>
      </c>
      <c r="M4002" s="11">
        <v>0.1449</v>
      </c>
      <c r="N4002">
        <v>37.64</v>
      </c>
      <c r="O4002">
        <v>25.66</v>
      </c>
      <c r="P4002">
        <v>1</v>
      </c>
      <c r="Q4002" t="s">
        <v>25</v>
      </c>
      <c r="R4002">
        <v>56.06</v>
      </c>
      <c r="S4002">
        <v>16.760000000000002</v>
      </c>
      <c r="T4002" s="4">
        <v>43.857999999999997</v>
      </c>
      <c r="U4002" s="4">
        <v>13.327803999999899</v>
      </c>
      <c r="V4002" t="str">
        <f>IF(Table1[[#This Row],[ai_disruption_intensity]]&gt;70,"High",
IF(Table1[[#This Row],[ai_disruption_intensity]]&gt;40,"Medium","Low"))</f>
        <v>Low</v>
      </c>
      <c r="W4002" t="str">
        <f>IF(Table1[[#This Row],[skill_gap_index]]&gt;70,"Large Gap",
IF(Table1[[#This Row],[skill_gap_index]]&gt;40,"Medium Gap","Small Gap"))</f>
        <v>Medium Gap</v>
      </c>
      <c r="X4002" s="3" t="str">
        <f>IF(Table1[[#This Row],[automation_risk_percent]]&gt;0.7,"Highly Automatable",
IF(Table1[[#This Row],[automation_risk_percent]]&gt;0.4,"Moderate Risk","Safe Job"))</f>
        <v>Moderate Risk</v>
      </c>
    </row>
    <row r="4003" spans="1:24" x14ac:dyDescent="0.3">
      <c r="A4003">
        <v>13919</v>
      </c>
      <c r="B4003" t="s">
        <v>44</v>
      </c>
      <c r="C4003" t="s">
        <v>23</v>
      </c>
      <c r="D4003" t="s">
        <v>24</v>
      </c>
      <c r="E4003" s="1">
        <v>2026</v>
      </c>
      <c r="F4003" s="11">
        <v>0.40270000000000006</v>
      </c>
      <c r="G4003">
        <v>43.57</v>
      </c>
      <c r="H4003">
        <v>80.36</v>
      </c>
      <c r="I4003" s="2">
        <v>32768.65</v>
      </c>
      <c r="J4003" s="2">
        <v>33187.9</v>
      </c>
      <c r="K4003" s="2">
        <f>Table1[[#This Row],[Salary_after]]-Table1[[#This Row],[Salary_before]]</f>
        <v>419.25</v>
      </c>
      <c r="L4003" s="11">
        <v>1.2800000000000001E-2</v>
      </c>
      <c r="M4003" s="11">
        <v>3.0999999999999999E-3</v>
      </c>
      <c r="N4003">
        <v>51.2</v>
      </c>
      <c r="O4003">
        <v>34.4</v>
      </c>
      <c r="P4003">
        <v>5</v>
      </c>
      <c r="Q4003" t="s">
        <v>25</v>
      </c>
      <c r="R4003">
        <v>60.314999999999998</v>
      </c>
      <c r="S4003">
        <v>1.28</v>
      </c>
      <c r="T4003" s="4">
        <v>40.6</v>
      </c>
      <c r="U4003" s="4">
        <v>13.852880000000001</v>
      </c>
      <c r="V4003" t="str">
        <f>IF(Table1[[#This Row],[ai_disruption_intensity]]&gt;70,"High",
IF(Table1[[#This Row],[ai_disruption_intensity]]&gt;40,"Medium","Low"))</f>
        <v>Low</v>
      </c>
      <c r="W4003" t="str">
        <f>IF(Table1[[#This Row],[skill_gap_index]]&gt;70,"Large Gap",
IF(Table1[[#This Row],[skill_gap_index]]&gt;40,"Medium Gap","Small Gap"))</f>
        <v>Large Gap</v>
      </c>
      <c r="X4003" s="3" t="str">
        <f>IF(Table1[[#This Row],[automation_risk_percent]]&gt;0.7,"Highly Automatable",
IF(Table1[[#This Row],[automation_risk_percent]]&gt;0.4,"Moderate Risk","Safe Job"))</f>
        <v>Moderate Risk</v>
      </c>
    </row>
    <row r="4004" spans="1:24" x14ac:dyDescent="0.3">
      <c r="A4004">
        <v>13922</v>
      </c>
      <c r="B4004" t="s">
        <v>22</v>
      </c>
      <c r="C4004" t="s">
        <v>19</v>
      </c>
      <c r="D4004" t="s">
        <v>28</v>
      </c>
      <c r="E4004" s="1">
        <v>2025</v>
      </c>
      <c r="F4004" s="11">
        <v>0.4355</v>
      </c>
      <c r="G4004">
        <v>46.09</v>
      </c>
      <c r="H4004">
        <v>37.39</v>
      </c>
      <c r="I4004" s="2">
        <v>122994.66</v>
      </c>
      <c r="J4004" s="2">
        <v>108981.08</v>
      </c>
      <c r="K4004" s="2">
        <f>Table1[[#This Row],[Salary_after]]-Table1[[#This Row],[Salary_before]]</f>
        <v>-14013.580000000002</v>
      </c>
      <c r="L4004" s="11">
        <v>-0.1139</v>
      </c>
      <c r="M4004" s="11">
        <v>-8.8999999999999999E-3</v>
      </c>
      <c r="N4004">
        <v>32.869999999999997</v>
      </c>
      <c r="O4004">
        <v>90.37</v>
      </c>
      <c r="P4004">
        <v>3</v>
      </c>
      <c r="Q4004" t="s">
        <v>25</v>
      </c>
      <c r="R4004">
        <v>40.47</v>
      </c>
      <c r="S4004">
        <v>11.39</v>
      </c>
      <c r="T4004" s="4">
        <v>32.054000000000002</v>
      </c>
      <c r="U4004" s="4">
        <v>39.356135000000002</v>
      </c>
      <c r="V4004" t="str">
        <f>IF(Table1[[#This Row],[ai_disruption_intensity]]&gt;70,"High",
IF(Table1[[#This Row],[ai_disruption_intensity]]&gt;40,"Medium","Low"))</f>
        <v>Low</v>
      </c>
      <c r="W4004" t="str">
        <f>IF(Table1[[#This Row],[skill_gap_index]]&gt;70,"Large Gap",
IF(Table1[[#This Row],[skill_gap_index]]&gt;40,"Medium Gap","Small Gap"))</f>
        <v>Small Gap</v>
      </c>
      <c r="X4004" s="3" t="str">
        <f>IF(Table1[[#This Row],[automation_risk_percent]]&gt;0.7,"Highly Automatable",
IF(Table1[[#This Row],[automation_risk_percent]]&gt;0.4,"Moderate Risk","Safe Job"))</f>
        <v>Moderate Risk</v>
      </c>
    </row>
    <row r="4005" spans="1:24" x14ac:dyDescent="0.3">
      <c r="A4005">
        <v>13925</v>
      </c>
      <c r="B4005" t="s">
        <v>44</v>
      </c>
      <c r="C4005" t="s">
        <v>23</v>
      </c>
      <c r="D4005" t="s">
        <v>28</v>
      </c>
      <c r="E4005" s="1">
        <v>2025</v>
      </c>
      <c r="F4005" s="11">
        <v>0.18890000000000001</v>
      </c>
      <c r="G4005">
        <v>15.98</v>
      </c>
      <c r="H4005">
        <v>87.55</v>
      </c>
      <c r="I4005" s="2">
        <v>59051.56</v>
      </c>
      <c r="J4005" s="2">
        <v>55158.71</v>
      </c>
      <c r="K4005" s="2">
        <f>Table1[[#This Row],[Salary_after]]-Table1[[#This Row],[Salary_before]]</f>
        <v>-3892.8499999999985</v>
      </c>
      <c r="L4005" s="11">
        <v>-6.59E-2</v>
      </c>
      <c r="M4005" s="11">
        <v>8.6E-3</v>
      </c>
      <c r="N4005">
        <v>45.32</v>
      </c>
      <c r="O4005">
        <v>62.66</v>
      </c>
      <c r="P4005">
        <v>5</v>
      </c>
      <c r="Q4005" t="s">
        <v>21</v>
      </c>
      <c r="R4005">
        <v>53.22</v>
      </c>
      <c r="S4005">
        <v>6.59</v>
      </c>
      <c r="T4005" s="4">
        <v>35.797999999999902</v>
      </c>
      <c r="U4005" s="4">
        <v>11.836474000000001</v>
      </c>
      <c r="V4005" t="str">
        <f>IF(Table1[[#This Row],[ai_disruption_intensity]]&gt;70,"High",
IF(Table1[[#This Row],[ai_disruption_intensity]]&gt;40,"Medium","Low"))</f>
        <v>Low</v>
      </c>
      <c r="W4005" t="str">
        <f>IF(Table1[[#This Row],[skill_gap_index]]&gt;70,"Large Gap",
IF(Table1[[#This Row],[skill_gap_index]]&gt;40,"Medium Gap","Small Gap"))</f>
        <v>Large Gap</v>
      </c>
      <c r="X4005" s="3" t="str">
        <f>IF(Table1[[#This Row],[automation_risk_percent]]&gt;0.7,"Highly Automatable",
IF(Table1[[#This Row],[automation_risk_percent]]&gt;0.4,"Moderate Risk","Safe Job"))</f>
        <v>Safe Job</v>
      </c>
    </row>
    <row r="4006" spans="1:24" x14ac:dyDescent="0.3">
      <c r="A4006">
        <v>13930</v>
      </c>
      <c r="B4006" t="s">
        <v>43</v>
      </c>
      <c r="C4006" t="s">
        <v>19</v>
      </c>
      <c r="D4006" t="s">
        <v>36</v>
      </c>
      <c r="E4006" s="1">
        <v>2025</v>
      </c>
      <c r="F4006" s="11">
        <v>0.3039</v>
      </c>
      <c r="G4006">
        <v>28.24</v>
      </c>
      <c r="H4006">
        <v>25.64</v>
      </c>
      <c r="I4006" s="2">
        <v>38017.96</v>
      </c>
      <c r="J4006" s="2">
        <v>39629.730000000003</v>
      </c>
      <c r="K4006" s="2">
        <f>Table1[[#This Row],[Salary_after]]-Table1[[#This Row],[Salary_before]]</f>
        <v>1611.7700000000041</v>
      </c>
      <c r="L4006" s="11">
        <v>4.24E-2</v>
      </c>
      <c r="M4006" s="11">
        <v>0.106</v>
      </c>
      <c r="N4006">
        <v>77.34</v>
      </c>
      <c r="O4006">
        <v>70.599999999999994</v>
      </c>
      <c r="P4006">
        <v>1</v>
      </c>
      <c r="Q4006" t="s">
        <v>25</v>
      </c>
      <c r="R4006">
        <v>28.015000000000001</v>
      </c>
      <c r="S4006">
        <v>4.24</v>
      </c>
      <c r="T4006" s="4">
        <v>21.119999999999902</v>
      </c>
      <c r="U4006" s="4">
        <v>21.4553399999999</v>
      </c>
      <c r="V4006" t="str">
        <f>IF(Table1[[#This Row],[ai_disruption_intensity]]&gt;70,"High",
IF(Table1[[#This Row],[ai_disruption_intensity]]&gt;40,"Medium","Low"))</f>
        <v>Low</v>
      </c>
      <c r="W4006" t="str">
        <f>IF(Table1[[#This Row],[skill_gap_index]]&gt;70,"Large Gap",
IF(Table1[[#This Row],[skill_gap_index]]&gt;40,"Medium Gap","Small Gap"))</f>
        <v>Small Gap</v>
      </c>
      <c r="X4006" s="3" t="str">
        <f>IF(Table1[[#This Row],[automation_risk_percent]]&gt;0.7,"Highly Automatable",
IF(Table1[[#This Row],[automation_risk_percent]]&gt;0.4,"Moderate Risk","Safe Job"))</f>
        <v>Safe Job</v>
      </c>
    </row>
    <row r="4007" spans="1:24" x14ac:dyDescent="0.3">
      <c r="A4007">
        <v>13931</v>
      </c>
      <c r="B4007" t="s">
        <v>45</v>
      </c>
      <c r="C4007" t="s">
        <v>40</v>
      </c>
      <c r="D4007" t="s">
        <v>32</v>
      </c>
      <c r="E4007" s="1">
        <v>2026</v>
      </c>
      <c r="F4007" s="11">
        <v>0.6966</v>
      </c>
      <c r="G4007">
        <v>57.25</v>
      </c>
      <c r="H4007">
        <v>76.97</v>
      </c>
      <c r="I4007" s="2">
        <v>134200.74</v>
      </c>
      <c r="J4007" s="2">
        <v>147189.07999999999</v>
      </c>
      <c r="K4007" s="2">
        <f>Table1[[#This Row],[Salary_after]]-Table1[[#This Row],[Salary_before]]</f>
        <v>12988.339999999997</v>
      </c>
      <c r="L4007" s="11">
        <v>9.6799999999999997E-2</v>
      </c>
      <c r="M4007" s="11">
        <v>9.1300000000000006E-2</v>
      </c>
      <c r="N4007">
        <v>36.78</v>
      </c>
      <c r="O4007">
        <v>36.15</v>
      </c>
      <c r="P4007">
        <v>3</v>
      </c>
      <c r="Q4007" t="s">
        <v>37</v>
      </c>
      <c r="R4007">
        <v>73.314999999999998</v>
      </c>
      <c r="S4007">
        <v>9.68</v>
      </c>
      <c r="T4007" s="4">
        <v>53.858999999999902</v>
      </c>
      <c r="U4007" s="4">
        <v>25.182089999999999</v>
      </c>
      <c r="V4007" t="str">
        <f>IF(Table1[[#This Row],[ai_disruption_intensity]]&gt;70,"High",
IF(Table1[[#This Row],[ai_disruption_intensity]]&gt;40,"Medium","Low"))</f>
        <v>Low</v>
      </c>
      <c r="W4007" t="str">
        <f>IF(Table1[[#This Row],[skill_gap_index]]&gt;70,"Large Gap",
IF(Table1[[#This Row],[skill_gap_index]]&gt;40,"Medium Gap","Small Gap"))</f>
        <v>Large Gap</v>
      </c>
      <c r="X4007" s="3" t="str">
        <f>IF(Table1[[#This Row],[automation_risk_percent]]&gt;0.7,"Highly Automatable",
IF(Table1[[#This Row],[automation_risk_percent]]&gt;0.4,"Moderate Risk","Safe Job"))</f>
        <v>Moderate Risk</v>
      </c>
    </row>
    <row r="4008" spans="1:24" x14ac:dyDescent="0.3">
      <c r="A4008">
        <v>13933</v>
      </c>
      <c r="B4008" t="s">
        <v>29</v>
      </c>
      <c r="C4008" t="s">
        <v>30</v>
      </c>
      <c r="D4008" t="s">
        <v>42</v>
      </c>
      <c r="E4008" s="1">
        <v>2026</v>
      </c>
      <c r="F4008" s="11">
        <v>0.9484999999999999</v>
      </c>
      <c r="G4008">
        <v>112.87</v>
      </c>
      <c r="H4008">
        <v>47.27</v>
      </c>
      <c r="I4008" s="2">
        <v>83031.97</v>
      </c>
      <c r="J4008" s="2">
        <v>97540.32</v>
      </c>
      <c r="K4008" s="2">
        <f>Table1[[#This Row],[Salary_after]]-Table1[[#This Row],[Salary_before]]</f>
        <v>14508.350000000006</v>
      </c>
      <c r="L4008" s="11">
        <v>0.17469999999999999</v>
      </c>
      <c r="M4008" s="11">
        <v>0.14630000000000001</v>
      </c>
      <c r="N4008">
        <v>33.83</v>
      </c>
      <c r="O4008">
        <v>17.079999999999998</v>
      </c>
      <c r="P4008">
        <v>4</v>
      </c>
      <c r="Q4008" t="s">
        <v>37</v>
      </c>
      <c r="R4008">
        <v>71.06</v>
      </c>
      <c r="S4008">
        <v>17.47</v>
      </c>
      <c r="T4008" s="4">
        <v>57.361999999999902</v>
      </c>
      <c r="U4008" s="4">
        <v>16.200379999999999</v>
      </c>
      <c r="V4008" t="str">
        <f>IF(Table1[[#This Row],[ai_disruption_intensity]]&gt;70,"High",
IF(Table1[[#This Row],[ai_disruption_intensity]]&gt;40,"Medium","Low"))</f>
        <v>Low</v>
      </c>
      <c r="W4008" t="str">
        <f>IF(Table1[[#This Row],[skill_gap_index]]&gt;70,"Large Gap",
IF(Table1[[#This Row],[skill_gap_index]]&gt;40,"Medium Gap","Small Gap"))</f>
        <v>Medium Gap</v>
      </c>
      <c r="X4008" s="3" t="str">
        <f>IF(Table1[[#This Row],[automation_risk_percent]]&gt;0.7,"Highly Automatable",
IF(Table1[[#This Row],[automation_risk_percent]]&gt;0.4,"Moderate Risk","Safe Job"))</f>
        <v>Highly Automatable</v>
      </c>
    </row>
    <row r="4009" spans="1:24" x14ac:dyDescent="0.3">
      <c r="A4009">
        <v>13937</v>
      </c>
      <c r="B4009" t="s">
        <v>18</v>
      </c>
      <c r="C4009" t="s">
        <v>40</v>
      </c>
      <c r="D4009" t="s">
        <v>35</v>
      </c>
      <c r="E4009" s="1">
        <v>2026</v>
      </c>
      <c r="F4009" s="11">
        <v>0.31420000000000003</v>
      </c>
      <c r="G4009">
        <v>31.4</v>
      </c>
      <c r="H4009">
        <v>21.09</v>
      </c>
      <c r="I4009" s="2">
        <v>145370.38</v>
      </c>
      <c r="J4009" s="2">
        <v>128044.85</v>
      </c>
      <c r="K4009" s="2">
        <f>Table1[[#This Row],[Salary_after]]-Table1[[#This Row],[Salary_before]]</f>
        <v>-17325.53</v>
      </c>
      <c r="L4009" s="11">
        <v>-0.1192</v>
      </c>
      <c r="M4009" s="11">
        <v>0.12939999999999999</v>
      </c>
      <c r="N4009">
        <v>31.29</v>
      </c>
      <c r="O4009">
        <v>15.78</v>
      </c>
      <c r="P4009">
        <v>3</v>
      </c>
      <c r="Q4009" t="s">
        <v>25</v>
      </c>
      <c r="R4009">
        <v>26.254999999999999</v>
      </c>
      <c r="S4009">
        <v>11.92</v>
      </c>
      <c r="T4009" s="4">
        <v>22.471</v>
      </c>
      <c r="U4009" s="4">
        <v>4.9580760000000001</v>
      </c>
      <c r="V4009" t="str">
        <f>IF(Table1[[#This Row],[ai_disruption_intensity]]&gt;70,"High",
IF(Table1[[#This Row],[ai_disruption_intensity]]&gt;40,"Medium","Low"))</f>
        <v>Low</v>
      </c>
      <c r="W4009" t="str">
        <f>IF(Table1[[#This Row],[skill_gap_index]]&gt;70,"Large Gap",
IF(Table1[[#This Row],[skill_gap_index]]&gt;40,"Medium Gap","Small Gap"))</f>
        <v>Small Gap</v>
      </c>
      <c r="X4009" s="3" t="str">
        <f>IF(Table1[[#This Row],[automation_risk_percent]]&gt;0.7,"Highly Automatable",
IF(Table1[[#This Row],[automation_risk_percent]]&gt;0.4,"Moderate Risk","Safe Job"))</f>
        <v>Safe Job</v>
      </c>
    </row>
    <row r="4010" spans="1:24" x14ac:dyDescent="0.3">
      <c r="A4010">
        <v>13943</v>
      </c>
      <c r="B4010" t="s">
        <v>43</v>
      </c>
      <c r="C4010" t="s">
        <v>38</v>
      </c>
      <c r="D4010" t="s">
        <v>31</v>
      </c>
      <c r="E4010" s="1">
        <v>2026</v>
      </c>
      <c r="F4010" s="11">
        <v>0.74879999999999991</v>
      </c>
      <c r="G4010">
        <v>77.790000000000006</v>
      </c>
      <c r="H4010">
        <v>83.44</v>
      </c>
      <c r="I4010" s="2">
        <v>52142.43</v>
      </c>
      <c r="J4010" s="2">
        <v>48510.1</v>
      </c>
      <c r="K4010" s="2">
        <f>Table1[[#This Row],[Salary_after]]-Table1[[#This Row],[Salary_before]]</f>
        <v>-3632.3300000000017</v>
      </c>
      <c r="L4010" s="11">
        <v>-6.9699999999999998E-2</v>
      </c>
      <c r="M4010" s="11">
        <v>7.1199999999999999E-2</v>
      </c>
      <c r="N4010">
        <v>50.74</v>
      </c>
      <c r="O4010">
        <v>69.73</v>
      </c>
      <c r="P4010">
        <v>5</v>
      </c>
      <c r="Q4010" t="s">
        <v>37</v>
      </c>
      <c r="R4010">
        <v>79.16</v>
      </c>
      <c r="S4010">
        <v>6.97</v>
      </c>
      <c r="T4010" s="4">
        <v>57.074999999999903</v>
      </c>
      <c r="U4010" s="4">
        <v>52.213824000000002</v>
      </c>
      <c r="V4010" t="str">
        <f>IF(Table1[[#This Row],[ai_disruption_intensity]]&gt;70,"High",
IF(Table1[[#This Row],[ai_disruption_intensity]]&gt;40,"Medium","Low"))</f>
        <v>Medium</v>
      </c>
      <c r="W4010" t="str">
        <f>IF(Table1[[#This Row],[skill_gap_index]]&gt;70,"Large Gap",
IF(Table1[[#This Row],[skill_gap_index]]&gt;40,"Medium Gap","Small Gap"))</f>
        <v>Large Gap</v>
      </c>
      <c r="X4010" s="3" t="str">
        <f>IF(Table1[[#This Row],[automation_risk_percent]]&gt;0.7,"Highly Automatable",
IF(Table1[[#This Row],[automation_risk_percent]]&gt;0.4,"Moderate Risk","Safe Job"))</f>
        <v>Highly Automatable</v>
      </c>
    </row>
    <row r="4011" spans="1:24" x14ac:dyDescent="0.3">
      <c r="A4011">
        <v>13944</v>
      </c>
      <c r="B4011" t="s">
        <v>46</v>
      </c>
      <c r="C4011" t="s">
        <v>30</v>
      </c>
      <c r="D4011" t="s">
        <v>42</v>
      </c>
      <c r="E4011" s="1">
        <v>2025</v>
      </c>
      <c r="F4011" s="11">
        <v>0.46289999999999998</v>
      </c>
      <c r="G4011">
        <v>41.35</v>
      </c>
      <c r="H4011">
        <v>11.1</v>
      </c>
      <c r="I4011" s="2">
        <v>72656.83</v>
      </c>
      <c r="J4011" s="2">
        <v>66999.12</v>
      </c>
      <c r="K4011" s="2">
        <f>Table1[[#This Row],[Salary_after]]-Table1[[#This Row],[Salary_before]]</f>
        <v>-5657.7100000000064</v>
      </c>
      <c r="L4011" s="11">
        <v>-7.7899999999999997E-2</v>
      </c>
      <c r="M4011" s="11">
        <v>7.0999999999999994E-2</v>
      </c>
      <c r="N4011">
        <v>85.34</v>
      </c>
      <c r="O4011">
        <v>50.39</v>
      </c>
      <c r="P4011">
        <v>3</v>
      </c>
      <c r="Q4011" t="s">
        <v>25</v>
      </c>
      <c r="R4011">
        <v>28.695</v>
      </c>
      <c r="S4011">
        <v>7.79</v>
      </c>
      <c r="T4011" s="4">
        <v>24.183</v>
      </c>
      <c r="U4011" s="4">
        <v>23.325531000000002</v>
      </c>
      <c r="V4011" t="str">
        <f>IF(Table1[[#This Row],[ai_disruption_intensity]]&gt;70,"High",
IF(Table1[[#This Row],[ai_disruption_intensity]]&gt;40,"Medium","Low"))</f>
        <v>Low</v>
      </c>
      <c r="W4011" t="str">
        <f>IF(Table1[[#This Row],[skill_gap_index]]&gt;70,"Large Gap",
IF(Table1[[#This Row],[skill_gap_index]]&gt;40,"Medium Gap","Small Gap"))</f>
        <v>Small Gap</v>
      </c>
      <c r="X4011" s="3" t="str">
        <f>IF(Table1[[#This Row],[automation_risk_percent]]&gt;0.7,"Highly Automatable",
IF(Table1[[#This Row],[automation_risk_percent]]&gt;0.4,"Moderate Risk","Safe Job"))</f>
        <v>Moderate Risk</v>
      </c>
    </row>
    <row r="4012" spans="1:24" x14ac:dyDescent="0.3">
      <c r="A4012">
        <v>13947</v>
      </c>
      <c r="B4012" t="s">
        <v>29</v>
      </c>
      <c r="C4012" t="s">
        <v>33</v>
      </c>
      <c r="D4012" t="s">
        <v>36</v>
      </c>
      <c r="E4012" s="1">
        <v>2025</v>
      </c>
      <c r="F4012" s="11">
        <v>0.92870000000000008</v>
      </c>
      <c r="G4012">
        <v>76.55</v>
      </c>
      <c r="H4012">
        <v>29.01</v>
      </c>
      <c r="I4012" s="2">
        <v>105854.42</v>
      </c>
      <c r="J4012" s="2">
        <v>95557.19</v>
      </c>
      <c r="K4012" s="2">
        <f>Table1[[#This Row],[Salary_after]]-Table1[[#This Row],[Salary_before]]</f>
        <v>-10297.229999999996</v>
      </c>
      <c r="L4012" s="11">
        <v>-9.7299999999999998E-2</v>
      </c>
      <c r="M4012" s="11">
        <v>0.24079999999999999</v>
      </c>
      <c r="N4012">
        <v>88.21</v>
      </c>
      <c r="O4012">
        <v>33.28</v>
      </c>
      <c r="P4012">
        <v>3</v>
      </c>
      <c r="Q4012" t="s">
        <v>37</v>
      </c>
      <c r="R4012">
        <v>60.94</v>
      </c>
      <c r="S4012">
        <v>9.73</v>
      </c>
      <c r="T4012" s="4">
        <v>48.769999999999897</v>
      </c>
      <c r="U4012" s="4">
        <v>30.907136000000001</v>
      </c>
      <c r="V4012" t="str">
        <f>IF(Table1[[#This Row],[ai_disruption_intensity]]&gt;70,"High",
IF(Table1[[#This Row],[ai_disruption_intensity]]&gt;40,"Medium","Low"))</f>
        <v>Low</v>
      </c>
      <c r="W4012" t="str">
        <f>IF(Table1[[#This Row],[skill_gap_index]]&gt;70,"Large Gap",
IF(Table1[[#This Row],[skill_gap_index]]&gt;40,"Medium Gap","Small Gap"))</f>
        <v>Small Gap</v>
      </c>
      <c r="X4012" s="3" t="str">
        <f>IF(Table1[[#This Row],[automation_risk_percent]]&gt;0.7,"Highly Automatable",
IF(Table1[[#This Row],[automation_risk_percent]]&gt;0.4,"Moderate Risk","Safe Job"))</f>
        <v>Highly Automatable</v>
      </c>
    </row>
    <row r="4013" spans="1:24" x14ac:dyDescent="0.3">
      <c r="A4013">
        <v>13948</v>
      </c>
      <c r="B4013" t="s">
        <v>41</v>
      </c>
      <c r="C4013" t="s">
        <v>34</v>
      </c>
      <c r="D4013" t="s">
        <v>20</v>
      </c>
      <c r="E4013" s="1">
        <v>2026</v>
      </c>
      <c r="F4013" s="11">
        <v>0.35840000000000005</v>
      </c>
      <c r="G4013">
        <v>29.27</v>
      </c>
      <c r="H4013">
        <v>13.63</v>
      </c>
      <c r="I4013" s="2">
        <v>144610.49</v>
      </c>
      <c r="J4013" s="2">
        <v>160107.82</v>
      </c>
      <c r="K4013" s="2">
        <f>Table1[[#This Row],[Salary_after]]-Table1[[#This Row],[Salary_before]]</f>
        <v>15497.330000000016</v>
      </c>
      <c r="L4013" s="11">
        <v>0.1072</v>
      </c>
      <c r="M4013" s="11">
        <v>-7.980000000000001E-2</v>
      </c>
      <c r="N4013">
        <v>97.18</v>
      </c>
      <c r="O4013">
        <v>88.57</v>
      </c>
      <c r="P4013">
        <v>5</v>
      </c>
      <c r="Q4013" t="s">
        <v>25</v>
      </c>
      <c r="R4013">
        <v>24.734999999999999</v>
      </c>
      <c r="S4013">
        <v>10.72</v>
      </c>
      <c r="T4013" s="4">
        <v>21.640999999999998</v>
      </c>
      <c r="U4013" s="4">
        <v>31.743487999999999</v>
      </c>
      <c r="V4013" t="str">
        <f>IF(Table1[[#This Row],[ai_disruption_intensity]]&gt;70,"High",
IF(Table1[[#This Row],[ai_disruption_intensity]]&gt;40,"Medium","Low"))</f>
        <v>Low</v>
      </c>
      <c r="W4013" t="str">
        <f>IF(Table1[[#This Row],[skill_gap_index]]&gt;70,"Large Gap",
IF(Table1[[#This Row],[skill_gap_index]]&gt;40,"Medium Gap","Small Gap"))</f>
        <v>Small Gap</v>
      </c>
      <c r="X4013" s="3" t="str">
        <f>IF(Table1[[#This Row],[automation_risk_percent]]&gt;0.7,"Highly Automatable",
IF(Table1[[#This Row],[automation_risk_percent]]&gt;0.4,"Moderate Risk","Safe Job"))</f>
        <v>Safe Job</v>
      </c>
    </row>
    <row r="4014" spans="1:24" x14ac:dyDescent="0.3">
      <c r="A4014">
        <v>13950</v>
      </c>
      <c r="B4014" t="s">
        <v>18</v>
      </c>
      <c r="C4014" t="s">
        <v>34</v>
      </c>
      <c r="D4014" t="s">
        <v>32</v>
      </c>
      <c r="E4014" s="1">
        <v>2025</v>
      </c>
      <c r="F4014" s="11">
        <v>0.56830000000000003</v>
      </c>
      <c r="G4014">
        <v>60.35</v>
      </c>
      <c r="H4014">
        <v>11.27</v>
      </c>
      <c r="I4014" s="2">
        <v>104288.54</v>
      </c>
      <c r="J4014" s="2">
        <v>102458.68</v>
      </c>
      <c r="K4014" s="2">
        <f>Table1[[#This Row],[Salary_after]]-Table1[[#This Row],[Salary_before]]</f>
        <v>-1829.8600000000006</v>
      </c>
      <c r="L4014" s="11">
        <v>-1.7500000000000002E-2</v>
      </c>
      <c r="M4014" s="11">
        <v>0.1177</v>
      </c>
      <c r="N4014">
        <v>72.44</v>
      </c>
      <c r="O4014">
        <v>69.97</v>
      </c>
      <c r="P4014">
        <v>3</v>
      </c>
      <c r="Q4014" t="s">
        <v>25</v>
      </c>
      <c r="R4014">
        <v>34.049999999999997</v>
      </c>
      <c r="S4014">
        <v>1.75</v>
      </c>
      <c r="T4014" s="4">
        <v>26.637999999999899</v>
      </c>
      <c r="U4014" s="4">
        <v>39.763950999999999</v>
      </c>
      <c r="V4014" t="str">
        <f>IF(Table1[[#This Row],[ai_disruption_intensity]]&gt;70,"High",
IF(Table1[[#This Row],[ai_disruption_intensity]]&gt;40,"Medium","Low"))</f>
        <v>Low</v>
      </c>
      <c r="W4014" t="str">
        <f>IF(Table1[[#This Row],[skill_gap_index]]&gt;70,"Large Gap",
IF(Table1[[#This Row],[skill_gap_index]]&gt;40,"Medium Gap","Small Gap"))</f>
        <v>Small Gap</v>
      </c>
      <c r="X4014" s="3" t="str">
        <f>IF(Table1[[#This Row],[automation_risk_percent]]&gt;0.7,"Highly Automatable",
IF(Table1[[#This Row],[automation_risk_percent]]&gt;0.4,"Moderate Risk","Safe Job"))</f>
        <v>Moderate Risk</v>
      </c>
    </row>
    <row r="4015" spans="1:24" x14ac:dyDescent="0.3">
      <c r="A4015">
        <v>13952</v>
      </c>
      <c r="B4015" t="s">
        <v>29</v>
      </c>
      <c r="C4015" t="s">
        <v>34</v>
      </c>
      <c r="D4015" t="s">
        <v>31</v>
      </c>
      <c r="E4015" s="1">
        <v>2025</v>
      </c>
      <c r="F4015" s="11">
        <v>0.81310000000000004</v>
      </c>
      <c r="G4015">
        <v>76.95</v>
      </c>
      <c r="H4015">
        <v>98.83</v>
      </c>
      <c r="I4015" s="2">
        <v>81970.55</v>
      </c>
      <c r="J4015" s="2">
        <v>75103.070000000007</v>
      </c>
      <c r="K4015" s="2">
        <f>Table1[[#This Row],[Salary_after]]-Table1[[#This Row],[Salary_before]]</f>
        <v>-6867.4799999999959</v>
      </c>
      <c r="L4015" s="11">
        <v>-8.3800000000000013E-2</v>
      </c>
      <c r="M4015" s="11">
        <v>7.1999999999999998E-3</v>
      </c>
      <c r="N4015">
        <v>16.309999999999999</v>
      </c>
      <c r="O4015">
        <v>88.16</v>
      </c>
      <c r="P4015">
        <v>4</v>
      </c>
      <c r="Q4015" t="s">
        <v>37</v>
      </c>
      <c r="R4015">
        <v>90.07</v>
      </c>
      <c r="S4015">
        <v>8.3800000000000008</v>
      </c>
      <c r="T4015" s="4">
        <v>64.686999999999998</v>
      </c>
      <c r="U4015" s="4">
        <v>71.682896</v>
      </c>
      <c r="V4015" t="str">
        <f>IF(Table1[[#This Row],[ai_disruption_intensity]]&gt;70,"High",
IF(Table1[[#This Row],[ai_disruption_intensity]]&gt;40,"Medium","Low"))</f>
        <v>High</v>
      </c>
      <c r="W4015" t="str">
        <f>IF(Table1[[#This Row],[skill_gap_index]]&gt;70,"Large Gap",
IF(Table1[[#This Row],[skill_gap_index]]&gt;40,"Medium Gap","Small Gap"))</f>
        <v>Large Gap</v>
      </c>
      <c r="X4015" s="3" t="str">
        <f>IF(Table1[[#This Row],[automation_risk_percent]]&gt;0.7,"Highly Automatable",
IF(Table1[[#This Row],[automation_risk_percent]]&gt;0.4,"Moderate Risk","Safe Job"))</f>
        <v>Highly Automatable</v>
      </c>
    </row>
    <row r="4016" spans="1:24" x14ac:dyDescent="0.3">
      <c r="A4016">
        <v>13957</v>
      </c>
      <c r="B4016" t="s">
        <v>41</v>
      </c>
      <c r="C4016" t="s">
        <v>40</v>
      </c>
      <c r="D4016" t="s">
        <v>42</v>
      </c>
      <c r="E4016" s="1">
        <v>2026</v>
      </c>
      <c r="F4016" s="11">
        <v>0.7641</v>
      </c>
      <c r="G4016">
        <v>67.17</v>
      </c>
      <c r="H4016">
        <v>68.97</v>
      </c>
      <c r="I4016" s="2">
        <v>65011.87</v>
      </c>
      <c r="J4016" s="2">
        <v>69456.009999999995</v>
      </c>
      <c r="K4016" s="2">
        <f>Table1[[#This Row],[Salary_after]]-Table1[[#This Row],[Salary_before]]</f>
        <v>4444.1399999999921</v>
      </c>
      <c r="L4016" s="11">
        <v>6.8400000000000002E-2</v>
      </c>
      <c r="M4016" s="11">
        <v>-0.10640000000000001</v>
      </c>
      <c r="N4016">
        <v>83.02</v>
      </c>
      <c r="O4016">
        <v>7.31</v>
      </c>
      <c r="P4016">
        <v>2</v>
      </c>
      <c r="Q4016" t="s">
        <v>37</v>
      </c>
      <c r="R4016">
        <v>72.69</v>
      </c>
      <c r="S4016">
        <v>6.84</v>
      </c>
      <c r="T4016" s="4">
        <v>53.306999999999903</v>
      </c>
      <c r="U4016" s="4">
        <v>5.5855709999999998</v>
      </c>
      <c r="V4016" t="str">
        <f>IF(Table1[[#This Row],[ai_disruption_intensity]]&gt;70,"High",
IF(Table1[[#This Row],[ai_disruption_intensity]]&gt;40,"Medium","Low"))</f>
        <v>Low</v>
      </c>
      <c r="W4016" t="str">
        <f>IF(Table1[[#This Row],[skill_gap_index]]&gt;70,"Large Gap",
IF(Table1[[#This Row],[skill_gap_index]]&gt;40,"Medium Gap","Small Gap"))</f>
        <v>Medium Gap</v>
      </c>
      <c r="X4016" s="3" t="str">
        <f>IF(Table1[[#This Row],[automation_risk_percent]]&gt;0.7,"Highly Automatable",
IF(Table1[[#This Row],[automation_risk_percent]]&gt;0.4,"Moderate Risk","Safe Job"))</f>
        <v>Highly Automatable</v>
      </c>
    </row>
    <row r="4017" spans="1:24" x14ac:dyDescent="0.3">
      <c r="A4017">
        <v>13961</v>
      </c>
      <c r="B4017" t="s">
        <v>39</v>
      </c>
      <c r="C4017" t="s">
        <v>23</v>
      </c>
      <c r="D4017" t="s">
        <v>24</v>
      </c>
      <c r="E4017" s="1">
        <v>2026</v>
      </c>
      <c r="F4017" s="11">
        <v>0.69700000000000006</v>
      </c>
      <c r="G4017">
        <v>81.540000000000006</v>
      </c>
      <c r="H4017">
        <v>80.78</v>
      </c>
      <c r="I4017" s="2">
        <v>105930.78</v>
      </c>
      <c r="J4017" s="2">
        <v>87766.36</v>
      </c>
      <c r="K4017" s="2">
        <f>Table1[[#This Row],[Salary_after]]-Table1[[#This Row],[Salary_before]]</f>
        <v>-18164.419999999998</v>
      </c>
      <c r="L4017" s="11">
        <v>-0.17149999999999999</v>
      </c>
      <c r="M4017" s="11">
        <v>-7.0999999999999995E-3</v>
      </c>
      <c r="N4017">
        <v>10.57</v>
      </c>
      <c r="O4017">
        <v>83.23</v>
      </c>
      <c r="P4017">
        <v>5</v>
      </c>
      <c r="Q4017" t="s">
        <v>37</v>
      </c>
      <c r="R4017">
        <v>75.239999999999995</v>
      </c>
      <c r="S4017">
        <v>17.149999999999999</v>
      </c>
      <c r="T4017" s="4">
        <v>57.259</v>
      </c>
      <c r="U4017" s="4">
        <v>58.011310000000002</v>
      </c>
      <c r="V4017" t="str">
        <f>IF(Table1[[#This Row],[ai_disruption_intensity]]&gt;70,"High",
IF(Table1[[#This Row],[ai_disruption_intensity]]&gt;40,"Medium","Low"))</f>
        <v>Medium</v>
      </c>
      <c r="W4017" t="str">
        <f>IF(Table1[[#This Row],[skill_gap_index]]&gt;70,"Large Gap",
IF(Table1[[#This Row],[skill_gap_index]]&gt;40,"Medium Gap","Small Gap"))</f>
        <v>Large Gap</v>
      </c>
      <c r="X4017" s="3" t="str">
        <f>IF(Table1[[#This Row],[automation_risk_percent]]&gt;0.7,"Highly Automatable",
IF(Table1[[#This Row],[automation_risk_percent]]&gt;0.4,"Moderate Risk","Safe Job"))</f>
        <v>Moderate Risk</v>
      </c>
    </row>
    <row r="4018" spans="1:24" x14ac:dyDescent="0.3">
      <c r="A4018">
        <v>13962</v>
      </c>
      <c r="B4018" t="s">
        <v>44</v>
      </c>
      <c r="C4018" t="s">
        <v>19</v>
      </c>
      <c r="D4018" t="s">
        <v>20</v>
      </c>
      <c r="E4018" s="1">
        <v>2026</v>
      </c>
      <c r="F4018" s="11">
        <v>0.40529999999999999</v>
      </c>
      <c r="G4018">
        <v>46.57</v>
      </c>
      <c r="H4018">
        <v>32.19</v>
      </c>
      <c r="I4018" s="2">
        <v>70570.52</v>
      </c>
      <c r="J4018" s="2">
        <v>70481.77</v>
      </c>
      <c r="K4018" s="2">
        <f>Table1[[#This Row],[Salary_after]]-Table1[[#This Row],[Salary_before]]</f>
        <v>-88.75</v>
      </c>
      <c r="L4018" s="11">
        <v>-1.2999999999999999E-3</v>
      </c>
      <c r="M4018" s="11">
        <v>8.6E-3</v>
      </c>
      <c r="N4018">
        <v>53.99</v>
      </c>
      <c r="O4018">
        <v>65.489999999999995</v>
      </c>
      <c r="P4018">
        <v>2</v>
      </c>
      <c r="Q4018" t="s">
        <v>25</v>
      </c>
      <c r="R4018">
        <v>36.36</v>
      </c>
      <c r="S4018">
        <v>0.13</v>
      </c>
      <c r="T4018" s="4">
        <v>25.908000000000001</v>
      </c>
      <c r="U4018" s="4">
        <v>26.543096999999999</v>
      </c>
      <c r="V4018" t="str">
        <f>IF(Table1[[#This Row],[ai_disruption_intensity]]&gt;70,"High",
IF(Table1[[#This Row],[ai_disruption_intensity]]&gt;40,"Medium","Low"))</f>
        <v>Low</v>
      </c>
      <c r="W4018" t="str">
        <f>IF(Table1[[#This Row],[skill_gap_index]]&gt;70,"Large Gap",
IF(Table1[[#This Row],[skill_gap_index]]&gt;40,"Medium Gap","Small Gap"))</f>
        <v>Small Gap</v>
      </c>
      <c r="X4018" s="3" t="str">
        <f>IF(Table1[[#This Row],[automation_risk_percent]]&gt;0.7,"Highly Automatable",
IF(Table1[[#This Row],[automation_risk_percent]]&gt;0.4,"Moderate Risk","Safe Job"))</f>
        <v>Moderate Risk</v>
      </c>
    </row>
    <row r="4019" spans="1:24" x14ac:dyDescent="0.3">
      <c r="A4019">
        <v>13964</v>
      </c>
      <c r="B4019" t="s">
        <v>22</v>
      </c>
      <c r="C4019" t="s">
        <v>23</v>
      </c>
      <c r="D4019" t="s">
        <v>35</v>
      </c>
      <c r="E4019" s="1">
        <v>2026</v>
      </c>
      <c r="F4019" s="11">
        <v>0.34749999999999998</v>
      </c>
      <c r="G4019">
        <v>37.619999999999997</v>
      </c>
      <c r="H4019">
        <v>89.28</v>
      </c>
      <c r="I4019" s="2">
        <v>128652.31</v>
      </c>
      <c r="J4019" s="2">
        <v>111855.34</v>
      </c>
      <c r="K4019" s="2">
        <f>Table1[[#This Row],[Salary_after]]-Table1[[#This Row],[Salary_before]]</f>
        <v>-16796.97</v>
      </c>
      <c r="L4019" s="11">
        <v>-0.13059999999999999</v>
      </c>
      <c r="M4019" s="11">
        <v>0.25140000000000001</v>
      </c>
      <c r="N4019">
        <v>62.36</v>
      </c>
      <c r="O4019">
        <v>45.49</v>
      </c>
      <c r="P4019">
        <v>3</v>
      </c>
      <c r="Q4019" t="s">
        <v>25</v>
      </c>
      <c r="R4019">
        <v>62.015000000000001</v>
      </c>
      <c r="S4019">
        <v>13.06</v>
      </c>
      <c r="T4019" s="4">
        <v>44.601999999999997</v>
      </c>
      <c r="U4019" s="4">
        <v>15.807774999999999</v>
      </c>
      <c r="V4019" t="str">
        <f>IF(Table1[[#This Row],[ai_disruption_intensity]]&gt;70,"High",
IF(Table1[[#This Row],[ai_disruption_intensity]]&gt;40,"Medium","Low"))</f>
        <v>Low</v>
      </c>
      <c r="W4019" t="str">
        <f>IF(Table1[[#This Row],[skill_gap_index]]&gt;70,"Large Gap",
IF(Table1[[#This Row],[skill_gap_index]]&gt;40,"Medium Gap","Small Gap"))</f>
        <v>Large Gap</v>
      </c>
      <c r="X4019" s="3" t="str">
        <f>IF(Table1[[#This Row],[automation_risk_percent]]&gt;0.7,"Highly Automatable",
IF(Table1[[#This Row],[automation_risk_percent]]&gt;0.4,"Moderate Risk","Safe Job"))</f>
        <v>Safe Job</v>
      </c>
    </row>
    <row r="4020" spans="1:24" x14ac:dyDescent="0.3">
      <c r="A4020">
        <v>13969</v>
      </c>
      <c r="B4020" t="s">
        <v>41</v>
      </c>
      <c r="C4020" t="s">
        <v>27</v>
      </c>
      <c r="D4020" t="s">
        <v>31</v>
      </c>
      <c r="E4020" s="1">
        <v>2025</v>
      </c>
      <c r="F4020" s="11">
        <v>0.5444</v>
      </c>
      <c r="G4020">
        <v>54.62</v>
      </c>
      <c r="H4020">
        <v>54.8</v>
      </c>
      <c r="I4020" s="2">
        <v>115902.31</v>
      </c>
      <c r="J4020" s="2">
        <v>129041.45</v>
      </c>
      <c r="K4020" s="2">
        <f>Table1[[#This Row],[Salary_after]]-Table1[[#This Row],[Salary_before]]</f>
        <v>13139.14</v>
      </c>
      <c r="L4020" s="11">
        <v>0.1134</v>
      </c>
      <c r="M4020" s="11">
        <v>0.1646</v>
      </c>
      <c r="N4020">
        <v>92.97</v>
      </c>
      <c r="O4020">
        <v>88.59</v>
      </c>
      <c r="P4020">
        <v>2</v>
      </c>
      <c r="Q4020" t="s">
        <v>25</v>
      </c>
      <c r="R4020">
        <v>54.62</v>
      </c>
      <c r="S4020">
        <v>11.34</v>
      </c>
      <c r="T4020" s="4">
        <v>41.617999999999903</v>
      </c>
      <c r="U4020" s="4">
        <v>48.228395999999996</v>
      </c>
      <c r="V4020" t="str">
        <f>IF(Table1[[#This Row],[ai_disruption_intensity]]&gt;70,"High",
IF(Table1[[#This Row],[ai_disruption_intensity]]&gt;40,"Medium","Low"))</f>
        <v>Medium</v>
      </c>
      <c r="W4020" t="str">
        <f>IF(Table1[[#This Row],[skill_gap_index]]&gt;70,"Large Gap",
IF(Table1[[#This Row],[skill_gap_index]]&gt;40,"Medium Gap","Small Gap"))</f>
        <v>Medium Gap</v>
      </c>
      <c r="X4020" s="3" t="str">
        <f>IF(Table1[[#This Row],[automation_risk_percent]]&gt;0.7,"Highly Automatable",
IF(Table1[[#This Row],[automation_risk_percent]]&gt;0.4,"Moderate Risk","Safe Job"))</f>
        <v>Moderate Risk</v>
      </c>
    </row>
    <row r="4021" spans="1:24" x14ac:dyDescent="0.3">
      <c r="A4021">
        <v>13971</v>
      </c>
      <c r="B4021" t="s">
        <v>46</v>
      </c>
      <c r="C4021" t="s">
        <v>23</v>
      </c>
      <c r="D4021" t="s">
        <v>36</v>
      </c>
      <c r="E4021" s="1">
        <v>2025</v>
      </c>
      <c r="F4021" s="11">
        <v>0.05</v>
      </c>
      <c r="G4021">
        <v>4.8</v>
      </c>
      <c r="H4021">
        <v>92.53</v>
      </c>
      <c r="I4021" s="2">
        <v>126239.13</v>
      </c>
      <c r="J4021" s="2">
        <v>127714.22</v>
      </c>
      <c r="K4021" s="2">
        <f>Table1[[#This Row],[Salary_after]]-Table1[[#This Row],[Salary_before]]</f>
        <v>1475.0899999999965</v>
      </c>
      <c r="L4021" s="11">
        <v>1.1699999999999999E-2</v>
      </c>
      <c r="M4021" s="11">
        <v>2.5699999999999997E-2</v>
      </c>
      <c r="N4021">
        <v>75.489999999999995</v>
      </c>
      <c r="O4021">
        <v>77.849999999999994</v>
      </c>
      <c r="P4021">
        <v>3</v>
      </c>
      <c r="Q4021" t="s">
        <v>21</v>
      </c>
      <c r="R4021">
        <v>48.765000000000001</v>
      </c>
      <c r="S4021">
        <v>1.17</v>
      </c>
      <c r="T4021" s="4">
        <v>30.11</v>
      </c>
      <c r="U4021" s="4">
        <v>3.8925000000000001</v>
      </c>
      <c r="V4021" t="str">
        <f>IF(Table1[[#This Row],[ai_disruption_intensity]]&gt;70,"High",
IF(Table1[[#This Row],[ai_disruption_intensity]]&gt;40,"Medium","Low"))</f>
        <v>Low</v>
      </c>
      <c r="W4021" t="str">
        <f>IF(Table1[[#This Row],[skill_gap_index]]&gt;70,"Large Gap",
IF(Table1[[#This Row],[skill_gap_index]]&gt;40,"Medium Gap","Small Gap"))</f>
        <v>Large Gap</v>
      </c>
      <c r="X4021" s="3" t="str">
        <f>IF(Table1[[#This Row],[automation_risk_percent]]&gt;0.7,"Highly Automatable",
IF(Table1[[#This Row],[automation_risk_percent]]&gt;0.4,"Moderate Risk","Safe Job"))</f>
        <v>Safe Job</v>
      </c>
    </row>
    <row r="4022" spans="1:24" x14ac:dyDescent="0.3">
      <c r="A4022">
        <v>13974</v>
      </c>
      <c r="B4022" t="s">
        <v>43</v>
      </c>
      <c r="C4022" t="s">
        <v>30</v>
      </c>
      <c r="D4022" t="s">
        <v>31</v>
      </c>
      <c r="E4022" s="1">
        <v>2026</v>
      </c>
      <c r="F4022" s="11">
        <v>0.59319999999999995</v>
      </c>
      <c r="G4022">
        <v>70.209999999999994</v>
      </c>
      <c r="H4022">
        <v>80.69</v>
      </c>
      <c r="I4022" s="2">
        <v>76569.009999999995</v>
      </c>
      <c r="J4022" s="2">
        <v>78230.83</v>
      </c>
      <c r="K4022" s="2">
        <f>Table1[[#This Row],[Salary_after]]-Table1[[#This Row],[Salary_before]]</f>
        <v>1661.820000000007</v>
      </c>
      <c r="L4022" s="11">
        <v>2.1700000000000001E-2</v>
      </c>
      <c r="M4022" s="11">
        <v>-1.6200000000000003E-2</v>
      </c>
      <c r="N4022">
        <v>85.79</v>
      </c>
      <c r="O4022">
        <v>36.36</v>
      </c>
      <c r="P4022">
        <v>2</v>
      </c>
      <c r="Q4022" t="s">
        <v>25</v>
      </c>
      <c r="R4022">
        <v>70.004999999999995</v>
      </c>
      <c r="S4022">
        <v>2.17</v>
      </c>
      <c r="T4022" s="4">
        <v>48.585999999999999</v>
      </c>
      <c r="U4022" s="4">
        <v>21.568752</v>
      </c>
      <c r="V4022" t="str">
        <f>IF(Table1[[#This Row],[ai_disruption_intensity]]&gt;70,"High",
IF(Table1[[#This Row],[ai_disruption_intensity]]&gt;40,"Medium","Low"))</f>
        <v>Low</v>
      </c>
      <c r="W4022" t="str">
        <f>IF(Table1[[#This Row],[skill_gap_index]]&gt;70,"Large Gap",
IF(Table1[[#This Row],[skill_gap_index]]&gt;40,"Medium Gap","Small Gap"))</f>
        <v>Large Gap</v>
      </c>
      <c r="X4022" s="3" t="str">
        <f>IF(Table1[[#This Row],[automation_risk_percent]]&gt;0.7,"Highly Automatable",
IF(Table1[[#This Row],[automation_risk_percent]]&gt;0.4,"Moderate Risk","Safe Job"))</f>
        <v>Moderate Risk</v>
      </c>
    </row>
    <row r="4023" spans="1:24" x14ac:dyDescent="0.3">
      <c r="A4023">
        <v>13975</v>
      </c>
      <c r="B4023" t="s">
        <v>43</v>
      </c>
      <c r="C4023" t="s">
        <v>19</v>
      </c>
      <c r="D4023" t="s">
        <v>20</v>
      </c>
      <c r="E4023" s="1">
        <v>2025</v>
      </c>
      <c r="F4023" s="11">
        <v>0.37579999999999997</v>
      </c>
      <c r="G4023">
        <v>34.49</v>
      </c>
      <c r="H4023">
        <v>56.34</v>
      </c>
      <c r="I4023" s="2">
        <v>45177.34</v>
      </c>
      <c r="J4023" s="2">
        <v>45787.75</v>
      </c>
      <c r="K4023" s="2">
        <f>Table1[[#This Row],[Salary_after]]-Table1[[#This Row],[Salary_before]]</f>
        <v>610.41000000000349</v>
      </c>
      <c r="L4023" s="11">
        <v>1.3500000000000002E-2</v>
      </c>
      <c r="M4023" s="11">
        <v>3.6000000000000004E-2</v>
      </c>
      <c r="N4023">
        <v>26.21</v>
      </c>
      <c r="O4023">
        <v>48.32</v>
      </c>
      <c r="P4023">
        <v>4</v>
      </c>
      <c r="Q4023" t="s">
        <v>25</v>
      </c>
      <c r="R4023">
        <v>46.96</v>
      </c>
      <c r="S4023">
        <v>1.35</v>
      </c>
      <c r="T4023" s="4">
        <v>32.338999999999999</v>
      </c>
      <c r="U4023" s="4">
        <v>18.158655999999901</v>
      </c>
      <c r="V4023" t="str">
        <f>IF(Table1[[#This Row],[ai_disruption_intensity]]&gt;70,"High",
IF(Table1[[#This Row],[ai_disruption_intensity]]&gt;40,"Medium","Low"))</f>
        <v>Low</v>
      </c>
      <c r="W4023" t="str">
        <f>IF(Table1[[#This Row],[skill_gap_index]]&gt;70,"Large Gap",
IF(Table1[[#This Row],[skill_gap_index]]&gt;40,"Medium Gap","Small Gap"))</f>
        <v>Medium Gap</v>
      </c>
      <c r="X4023" s="3" t="str">
        <f>IF(Table1[[#This Row],[automation_risk_percent]]&gt;0.7,"Highly Automatable",
IF(Table1[[#This Row],[automation_risk_percent]]&gt;0.4,"Moderate Risk","Safe Job"))</f>
        <v>Safe Job</v>
      </c>
    </row>
    <row r="4024" spans="1:24" x14ac:dyDescent="0.3">
      <c r="A4024">
        <v>13979</v>
      </c>
      <c r="B4024" t="s">
        <v>26</v>
      </c>
      <c r="C4024" t="s">
        <v>19</v>
      </c>
      <c r="D4024" t="s">
        <v>42</v>
      </c>
      <c r="E4024" s="1">
        <v>2026</v>
      </c>
      <c r="F4024" s="11">
        <v>0.26150000000000001</v>
      </c>
      <c r="G4024">
        <v>21.07</v>
      </c>
      <c r="H4024">
        <v>60.78</v>
      </c>
      <c r="I4024" s="2">
        <v>137346.56</v>
      </c>
      <c r="J4024" s="2">
        <v>142017.44</v>
      </c>
      <c r="K4024" s="2">
        <f>Table1[[#This Row],[Salary_after]]-Table1[[#This Row],[Salary_before]]</f>
        <v>4670.8800000000047</v>
      </c>
      <c r="L4024" s="11">
        <v>3.4000000000000002E-2</v>
      </c>
      <c r="M4024" s="11">
        <v>-8.9800000000000005E-2</v>
      </c>
      <c r="N4024">
        <v>53.23</v>
      </c>
      <c r="O4024">
        <v>77.05</v>
      </c>
      <c r="P4024">
        <v>3</v>
      </c>
      <c r="Q4024" t="s">
        <v>21</v>
      </c>
      <c r="R4024">
        <v>43.465000000000003</v>
      </c>
      <c r="S4024">
        <v>3.4</v>
      </c>
      <c r="T4024" s="4">
        <v>29.713999999999999</v>
      </c>
      <c r="U4024" s="4">
        <v>20.148574999999902</v>
      </c>
      <c r="V4024" t="str">
        <f>IF(Table1[[#This Row],[ai_disruption_intensity]]&gt;70,"High",
IF(Table1[[#This Row],[ai_disruption_intensity]]&gt;40,"Medium","Low"))</f>
        <v>Low</v>
      </c>
      <c r="W4024" t="str">
        <f>IF(Table1[[#This Row],[skill_gap_index]]&gt;70,"Large Gap",
IF(Table1[[#This Row],[skill_gap_index]]&gt;40,"Medium Gap","Small Gap"))</f>
        <v>Medium Gap</v>
      </c>
      <c r="X4024" s="3" t="str">
        <f>IF(Table1[[#This Row],[automation_risk_percent]]&gt;0.7,"Highly Automatable",
IF(Table1[[#This Row],[automation_risk_percent]]&gt;0.4,"Moderate Risk","Safe Job"))</f>
        <v>Safe Job</v>
      </c>
    </row>
    <row r="4025" spans="1:24" x14ac:dyDescent="0.3">
      <c r="A4025">
        <v>13982</v>
      </c>
      <c r="B4025" t="s">
        <v>29</v>
      </c>
      <c r="C4025" t="s">
        <v>38</v>
      </c>
      <c r="D4025" t="s">
        <v>36</v>
      </c>
      <c r="E4025" s="1">
        <v>2026</v>
      </c>
      <c r="F4025" s="11">
        <v>0.77969999999999995</v>
      </c>
      <c r="G4025">
        <v>82.52</v>
      </c>
      <c r="H4025">
        <v>62.24</v>
      </c>
      <c r="I4025" s="2">
        <v>117526.8</v>
      </c>
      <c r="J4025" s="2">
        <v>93136.6</v>
      </c>
      <c r="K4025" s="2">
        <f>Table1[[#This Row],[Salary_after]]-Table1[[#This Row],[Salary_before]]</f>
        <v>-24390.199999999997</v>
      </c>
      <c r="L4025" s="11">
        <v>-0.20749999999999999</v>
      </c>
      <c r="M4025" s="11">
        <v>-0.1014</v>
      </c>
      <c r="N4025">
        <v>29.69</v>
      </c>
      <c r="O4025">
        <v>55.81</v>
      </c>
      <c r="P4025">
        <v>1</v>
      </c>
      <c r="Q4025" t="s">
        <v>37</v>
      </c>
      <c r="R4025">
        <v>70.105000000000004</v>
      </c>
      <c r="S4025">
        <v>20.75</v>
      </c>
      <c r="T4025" s="4">
        <v>56.085000000000001</v>
      </c>
      <c r="U4025" s="4">
        <v>43.515056999999999</v>
      </c>
      <c r="V4025" t="str">
        <f>IF(Table1[[#This Row],[ai_disruption_intensity]]&gt;70,"High",
IF(Table1[[#This Row],[ai_disruption_intensity]]&gt;40,"Medium","Low"))</f>
        <v>Medium</v>
      </c>
      <c r="W4025" t="str">
        <f>IF(Table1[[#This Row],[skill_gap_index]]&gt;70,"Large Gap",
IF(Table1[[#This Row],[skill_gap_index]]&gt;40,"Medium Gap","Small Gap"))</f>
        <v>Medium Gap</v>
      </c>
      <c r="X4025" s="3" t="str">
        <f>IF(Table1[[#This Row],[automation_risk_percent]]&gt;0.7,"Highly Automatable",
IF(Table1[[#This Row],[automation_risk_percent]]&gt;0.4,"Moderate Risk","Safe Job"))</f>
        <v>Highly Automatable</v>
      </c>
    </row>
    <row r="4026" spans="1:24" x14ac:dyDescent="0.3">
      <c r="A4026">
        <v>13987</v>
      </c>
      <c r="B4026" t="s">
        <v>18</v>
      </c>
      <c r="C4026" t="s">
        <v>33</v>
      </c>
      <c r="D4026" t="s">
        <v>47</v>
      </c>
      <c r="E4026" s="1">
        <v>2025</v>
      </c>
      <c r="F4026" s="11">
        <v>0.68510000000000004</v>
      </c>
      <c r="G4026">
        <v>60.96</v>
      </c>
      <c r="H4026">
        <v>88.04</v>
      </c>
      <c r="I4026" s="2">
        <v>72907.45</v>
      </c>
      <c r="J4026" s="2">
        <v>80640.259999999995</v>
      </c>
      <c r="K4026" s="2">
        <f>Table1[[#This Row],[Salary_after]]-Table1[[#This Row],[Salary_before]]</f>
        <v>7732.8099999999977</v>
      </c>
      <c r="L4026" s="11">
        <v>0.1061</v>
      </c>
      <c r="M4026" s="11">
        <v>0.14230000000000001</v>
      </c>
      <c r="N4026">
        <v>54.67</v>
      </c>
      <c r="O4026">
        <v>83.76</v>
      </c>
      <c r="P4026">
        <v>5</v>
      </c>
      <c r="Q4026" t="s">
        <v>37</v>
      </c>
      <c r="R4026">
        <v>78.275000000000006</v>
      </c>
      <c r="S4026">
        <v>10.61</v>
      </c>
      <c r="T4026" s="4">
        <v>56.999000000000002</v>
      </c>
      <c r="U4026" s="4">
        <v>57.383975999999997</v>
      </c>
      <c r="V4026" t="str">
        <f>IF(Table1[[#This Row],[ai_disruption_intensity]]&gt;70,"High",
IF(Table1[[#This Row],[ai_disruption_intensity]]&gt;40,"Medium","Low"))</f>
        <v>Medium</v>
      </c>
      <c r="W4026" t="str">
        <f>IF(Table1[[#This Row],[skill_gap_index]]&gt;70,"Large Gap",
IF(Table1[[#This Row],[skill_gap_index]]&gt;40,"Medium Gap","Small Gap"))</f>
        <v>Large Gap</v>
      </c>
      <c r="X4026" s="3" t="str">
        <f>IF(Table1[[#This Row],[automation_risk_percent]]&gt;0.7,"Highly Automatable",
IF(Table1[[#This Row],[automation_risk_percent]]&gt;0.4,"Moderate Risk","Safe Job"))</f>
        <v>Moderate Risk</v>
      </c>
    </row>
    <row r="4027" spans="1:24" x14ac:dyDescent="0.3">
      <c r="A4027">
        <v>13988</v>
      </c>
      <c r="B4027" t="s">
        <v>26</v>
      </c>
      <c r="C4027" t="s">
        <v>19</v>
      </c>
      <c r="D4027" t="s">
        <v>42</v>
      </c>
      <c r="E4027" s="1">
        <v>2026</v>
      </c>
      <c r="F4027" s="11">
        <v>0.25879999999999997</v>
      </c>
      <c r="G4027">
        <v>29.54</v>
      </c>
      <c r="H4027">
        <v>56.98</v>
      </c>
      <c r="I4027" s="2">
        <v>35022.17</v>
      </c>
      <c r="J4027" s="2">
        <v>39617.769999999997</v>
      </c>
      <c r="K4027" s="2">
        <f>Table1[[#This Row],[Salary_after]]-Table1[[#This Row],[Salary_before]]</f>
        <v>4595.5999999999985</v>
      </c>
      <c r="L4027" s="11">
        <v>0.13119999999999998</v>
      </c>
      <c r="M4027" s="11">
        <v>2.9700000000000001E-2</v>
      </c>
      <c r="N4027">
        <v>33.799999999999997</v>
      </c>
      <c r="O4027">
        <v>71.27</v>
      </c>
      <c r="P4027">
        <v>5</v>
      </c>
      <c r="Q4027" t="s">
        <v>21</v>
      </c>
      <c r="R4027">
        <v>41.43</v>
      </c>
      <c r="S4027">
        <v>13.12</v>
      </c>
      <c r="T4027" s="4">
        <v>31.381999999999898</v>
      </c>
      <c r="U4027" s="4">
        <v>18.444675999999902</v>
      </c>
      <c r="V4027" t="str">
        <f>IF(Table1[[#This Row],[ai_disruption_intensity]]&gt;70,"High",
IF(Table1[[#This Row],[ai_disruption_intensity]]&gt;40,"Medium","Low"))</f>
        <v>Low</v>
      </c>
      <c r="W4027" t="str">
        <f>IF(Table1[[#This Row],[skill_gap_index]]&gt;70,"Large Gap",
IF(Table1[[#This Row],[skill_gap_index]]&gt;40,"Medium Gap","Small Gap"))</f>
        <v>Medium Gap</v>
      </c>
      <c r="X4027" s="3" t="str">
        <f>IF(Table1[[#This Row],[automation_risk_percent]]&gt;0.7,"Highly Automatable",
IF(Table1[[#This Row],[automation_risk_percent]]&gt;0.4,"Moderate Risk","Safe Job"))</f>
        <v>Safe Job</v>
      </c>
    </row>
    <row r="4028" spans="1:24" x14ac:dyDescent="0.3">
      <c r="A4028">
        <v>13994</v>
      </c>
      <c r="B4028" t="s">
        <v>39</v>
      </c>
      <c r="C4028" t="s">
        <v>19</v>
      </c>
      <c r="D4028" t="s">
        <v>36</v>
      </c>
      <c r="E4028" s="1">
        <v>2026</v>
      </c>
      <c r="F4028" s="11">
        <v>0.3392</v>
      </c>
      <c r="G4028">
        <v>33.43</v>
      </c>
      <c r="H4028">
        <v>56.73</v>
      </c>
      <c r="I4028" s="2">
        <v>77787.839999999997</v>
      </c>
      <c r="J4028" s="2">
        <v>87397.78</v>
      </c>
      <c r="K4028" s="2">
        <f>Table1[[#This Row],[Salary_after]]-Table1[[#This Row],[Salary_before]]</f>
        <v>9609.9400000000023</v>
      </c>
      <c r="L4028" s="11">
        <v>0.1235</v>
      </c>
      <c r="M4028" s="11">
        <v>0.20579999999999998</v>
      </c>
      <c r="N4028">
        <v>93.93</v>
      </c>
      <c r="O4028">
        <v>90.15</v>
      </c>
      <c r="P4028">
        <v>2</v>
      </c>
      <c r="Q4028" t="s">
        <v>25</v>
      </c>
      <c r="R4028">
        <v>45.325000000000003</v>
      </c>
      <c r="S4028">
        <v>12.35</v>
      </c>
      <c r="T4028" s="4">
        <v>34.292000000000002</v>
      </c>
      <c r="U4028" s="4">
        <v>30.578880000000002</v>
      </c>
      <c r="V4028" t="str">
        <f>IF(Table1[[#This Row],[ai_disruption_intensity]]&gt;70,"High",
IF(Table1[[#This Row],[ai_disruption_intensity]]&gt;40,"Medium","Low"))</f>
        <v>Low</v>
      </c>
      <c r="W4028" t="str">
        <f>IF(Table1[[#This Row],[skill_gap_index]]&gt;70,"Large Gap",
IF(Table1[[#This Row],[skill_gap_index]]&gt;40,"Medium Gap","Small Gap"))</f>
        <v>Medium Gap</v>
      </c>
      <c r="X4028" s="3" t="str">
        <f>IF(Table1[[#This Row],[automation_risk_percent]]&gt;0.7,"Highly Automatable",
IF(Table1[[#This Row],[automation_risk_percent]]&gt;0.4,"Moderate Risk","Safe Job"))</f>
        <v>Safe Job</v>
      </c>
    </row>
    <row r="4029" spans="1:24" x14ac:dyDescent="0.3">
      <c r="A4029">
        <v>13997</v>
      </c>
      <c r="B4029" t="s">
        <v>26</v>
      </c>
      <c r="C4029" t="s">
        <v>38</v>
      </c>
      <c r="D4029" t="s">
        <v>36</v>
      </c>
      <c r="E4029" s="1">
        <v>2026</v>
      </c>
      <c r="F4029" s="11">
        <v>8.0199999999999994E-2</v>
      </c>
      <c r="G4029">
        <v>9.39</v>
      </c>
      <c r="H4029">
        <v>65.8</v>
      </c>
      <c r="I4029" s="2">
        <v>102570.93</v>
      </c>
      <c r="J4029" s="2">
        <v>86416.09</v>
      </c>
      <c r="K4029" s="2">
        <f>Table1[[#This Row],[Salary_after]]-Table1[[#This Row],[Salary_before]]</f>
        <v>-16154.839999999997</v>
      </c>
      <c r="L4029" s="11">
        <v>-0.1575</v>
      </c>
      <c r="M4029" s="11">
        <v>0.1772</v>
      </c>
      <c r="N4029">
        <v>19.21</v>
      </c>
      <c r="O4029">
        <v>87.82</v>
      </c>
      <c r="P4029">
        <v>2</v>
      </c>
      <c r="Q4029" t="s">
        <v>21</v>
      </c>
      <c r="R4029">
        <v>36.909999999999997</v>
      </c>
      <c r="S4029">
        <v>15.75</v>
      </c>
      <c r="T4029" s="4">
        <v>27.672999999999998</v>
      </c>
      <c r="U4029" s="4">
        <v>7.0431639999999902</v>
      </c>
      <c r="V4029" t="str">
        <f>IF(Table1[[#This Row],[ai_disruption_intensity]]&gt;70,"High",
IF(Table1[[#This Row],[ai_disruption_intensity]]&gt;40,"Medium","Low"))</f>
        <v>Low</v>
      </c>
      <c r="W4029" t="str">
        <f>IF(Table1[[#This Row],[skill_gap_index]]&gt;70,"Large Gap",
IF(Table1[[#This Row],[skill_gap_index]]&gt;40,"Medium Gap","Small Gap"))</f>
        <v>Medium Gap</v>
      </c>
      <c r="X4029" s="3" t="str">
        <f>IF(Table1[[#This Row],[automation_risk_percent]]&gt;0.7,"Highly Automatable",
IF(Table1[[#This Row],[automation_risk_percent]]&gt;0.4,"Moderate Risk","Safe Job"))</f>
        <v>Safe Job</v>
      </c>
    </row>
    <row r="4030" spans="1:24" x14ac:dyDescent="0.3">
      <c r="A4030">
        <v>13999</v>
      </c>
      <c r="B4030" t="s">
        <v>46</v>
      </c>
      <c r="C4030" t="s">
        <v>30</v>
      </c>
      <c r="D4030" t="s">
        <v>32</v>
      </c>
      <c r="E4030" s="1">
        <v>2025</v>
      </c>
      <c r="F4030" s="11">
        <v>0.68959999999999999</v>
      </c>
      <c r="G4030">
        <v>72.290000000000006</v>
      </c>
      <c r="H4030">
        <v>35.159999999999997</v>
      </c>
      <c r="I4030" s="2">
        <v>53827.42</v>
      </c>
      <c r="J4030" s="2">
        <v>57025.38</v>
      </c>
      <c r="K4030" s="2">
        <f>Table1[[#This Row],[Salary_after]]-Table1[[#This Row],[Salary_before]]</f>
        <v>3197.9599999999991</v>
      </c>
      <c r="L4030" s="11">
        <v>5.9400000000000001E-2</v>
      </c>
      <c r="M4030" s="11">
        <v>3.6799999999999999E-2</v>
      </c>
      <c r="N4030">
        <v>41.62</v>
      </c>
      <c r="O4030">
        <v>94.29</v>
      </c>
      <c r="P4030">
        <v>5</v>
      </c>
      <c r="Q4030" t="s">
        <v>37</v>
      </c>
      <c r="R4030">
        <v>52.059999999999903</v>
      </c>
      <c r="S4030">
        <v>5.94</v>
      </c>
      <c r="T4030" s="4">
        <v>39.914000000000001</v>
      </c>
      <c r="U4030" s="4">
        <v>65.022384000000002</v>
      </c>
      <c r="V4030" t="str">
        <f>IF(Table1[[#This Row],[ai_disruption_intensity]]&gt;70,"High",
IF(Table1[[#This Row],[ai_disruption_intensity]]&gt;40,"Medium","Low"))</f>
        <v>Medium</v>
      </c>
      <c r="W4030" t="str">
        <f>IF(Table1[[#This Row],[skill_gap_index]]&gt;70,"Large Gap",
IF(Table1[[#This Row],[skill_gap_index]]&gt;40,"Medium Gap","Small Gap"))</f>
        <v>Small Gap</v>
      </c>
      <c r="X4030" s="3" t="str">
        <f>IF(Table1[[#This Row],[automation_risk_percent]]&gt;0.7,"Highly Automatable",
IF(Table1[[#This Row],[automation_risk_percent]]&gt;0.4,"Moderate Risk","Safe Job"))</f>
        <v>Moderate Risk</v>
      </c>
    </row>
    <row r="4031" spans="1:24" x14ac:dyDescent="0.3">
      <c r="A4031">
        <v>14000</v>
      </c>
      <c r="B4031" t="s">
        <v>26</v>
      </c>
      <c r="C4031" t="s">
        <v>19</v>
      </c>
      <c r="D4031" t="s">
        <v>20</v>
      </c>
      <c r="E4031" s="1">
        <v>2026</v>
      </c>
      <c r="F4031" s="11">
        <v>0.56679999999999997</v>
      </c>
      <c r="G4031">
        <v>52.76</v>
      </c>
      <c r="H4031">
        <v>42.54</v>
      </c>
      <c r="I4031" s="2">
        <v>143196.82</v>
      </c>
      <c r="J4031" s="2">
        <v>154302.71</v>
      </c>
      <c r="K4031" s="2">
        <f>Table1[[#This Row],[Salary_after]]-Table1[[#This Row],[Salary_before]]</f>
        <v>11105.889999999985</v>
      </c>
      <c r="L4031" s="11">
        <v>7.7600000000000002E-2</v>
      </c>
      <c r="M4031" s="11">
        <v>0.11210000000000001</v>
      </c>
      <c r="N4031">
        <v>66.45</v>
      </c>
      <c r="O4031">
        <v>6.04</v>
      </c>
      <c r="P4031">
        <v>1</v>
      </c>
      <c r="Q4031" t="s">
        <v>25</v>
      </c>
      <c r="R4031">
        <v>49.61</v>
      </c>
      <c r="S4031">
        <v>7.76</v>
      </c>
      <c r="T4031" s="4">
        <v>37.762</v>
      </c>
      <c r="U4031" s="4">
        <v>3.4234719999999998</v>
      </c>
      <c r="V4031" t="str">
        <f>IF(Table1[[#This Row],[ai_disruption_intensity]]&gt;70,"High",
IF(Table1[[#This Row],[ai_disruption_intensity]]&gt;40,"Medium","Low"))</f>
        <v>Low</v>
      </c>
      <c r="W4031" t="str">
        <f>IF(Table1[[#This Row],[skill_gap_index]]&gt;70,"Large Gap",
IF(Table1[[#This Row],[skill_gap_index]]&gt;40,"Medium Gap","Small Gap"))</f>
        <v>Medium Gap</v>
      </c>
      <c r="X4031" s="3" t="str">
        <f>IF(Table1[[#This Row],[automation_risk_percent]]&gt;0.7,"Highly Automatable",
IF(Table1[[#This Row],[automation_risk_percent]]&gt;0.4,"Moderate Risk","Safe Job"))</f>
        <v>Moderate Risk</v>
      </c>
    </row>
    <row r="4032" spans="1:24" x14ac:dyDescent="0.3">
      <c r="A4032">
        <v>14002</v>
      </c>
      <c r="B4032" t="s">
        <v>44</v>
      </c>
      <c r="C4032" t="s">
        <v>33</v>
      </c>
      <c r="D4032" t="s">
        <v>42</v>
      </c>
      <c r="E4032" s="1">
        <v>2025</v>
      </c>
      <c r="F4032" s="11">
        <v>0.24390000000000001</v>
      </c>
      <c r="G4032">
        <v>21.28</v>
      </c>
      <c r="H4032">
        <v>32.85</v>
      </c>
      <c r="I4032" s="2">
        <v>33548.080000000002</v>
      </c>
      <c r="J4032" s="2">
        <v>32492.3</v>
      </c>
      <c r="K4032" s="2">
        <f>Table1[[#This Row],[Salary_after]]-Table1[[#This Row],[Salary_before]]</f>
        <v>-1055.7800000000025</v>
      </c>
      <c r="L4032" s="11">
        <v>-3.15E-2</v>
      </c>
      <c r="M4032" s="11">
        <v>-3.7699999999999997E-2</v>
      </c>
      <c r="N4032">
        <v>64.7</v>
      </c>
      <c r="O4032">
        <v>35.19</v>
      </c>
      <c r="P4032">
        <v>5</v>
      </c>
      <c r="Q4032" t="s">
        <v>21</v>
      </c>
      <c r="R4032">
        <v>28.62</v>
      </c>
      <c r="S4032">
        <v>3.15</v>
      </c>
      <c r="T4032" s="4">
        <v>20.556000000000001</v>
      </c>
      <c r="U4032" s="4">
        <v>8.5828410000000002</v>
      </c>
      <c r="V4032" t="str">
        <f>IF(Table1[[#This Row],[ai_disruption_intensity]]&gt;70,"High",
IF(Table1[[#This Row],[ai_disruption_intensity]]&gt;40,"Medium","Low"))</f>
        <v>Low</v>
      </c>
      <c r="W4032" t="str">
        <f>IF(Table1[[#This Row],[skill_gap_index]]&gt;70,"Large Gap",
IF(Table1[[#This Row],[skill_gap_index]]&gt;40,"Medium Gap","Small Gap"))</f>
        <v>Small Gap</v>
      </c>
      <c r="X4032" s="3" t="str">
        <f>IF(Table1[[#This Row],[automation_risk_percent]]&gt;0.7,"Highly Automatable",
IF(Table1[[#This Row],[automation_risk_percent]]&gt;0.4,"Moderate Risk","Safe Job"))</f>
        <v>Safe Job</v>
      </c>
    </row>
    <row r="4033" spans="1:24" x14ac:dyDescent="0.3">
      <c r="A4033">
        <v>14004</v>
      </c>
      <c r="B4033" t="s">
        <v>43</v>
      </c>
      <c r="C4033" t="s">
        <v>23</v>
      </c>
      <c r="D4033" t="s">
        <v>36</v>
      </c>
      <c r="E4033" s="1">
        <v>2026</v>
      </c>
      <c r="F4033" s="11">
        <v>0.51080000000000003</v>
      </c>
      <c r="G4033">
        <v>46.5</v>
      </c>
      <c r="H4033">
        <v>12.06</v>
      </c>
      <c r="I4033" s="2">
        <v>106499.84</v>
      </c>
      <c r="J4033" s="2">
        <v>109542.89</v>
      </c>
      <c r="K4033" s="2">
        <f>Table1[[#This Row],[Salary_after]]-Table1[[#This Row],[Salary_before]]</f>
        <v>3043.0500000000029</v>
      </c>
      <c r="L4033" s="11">
        <v>2.86E-2</v>
      </c>
      <c r="M4033" s="11">
        <v>0.21260000000000001</v>
      </c>
      <c r="N4033">
        <v>40.299999999999997</v>
      </c>
      <c r="O4033">
        <v>98.78</v>
      </c>
      <c r="P4033">
        <v>4</v>
      </c>
      <c r="Q4033" t="s">
        <v>25</v>
      </c>
      <c r="R4033">
        <v>31.57</v>
      </c>
      <c r="S4033">
        <v>2.86</v>
      </c>
      <c r="T4033" s="4">
        <v>24.908000000000001</v>
      </c>
      <c r="U4033" s="4">
        <v>50.456823999999997</v>
      </c>
      <c r="V4033" t="str">
        <f>IF(Table1[[#This Row],[ai_disruption_intensity]]&gt;70,"High",
IF(Table1[[#This Row],[ai_disruption_intensity]]&gt;40,"Medium","Low"))</f>
        <v>Medium</v>
      </c>
      <c r="W4033" t="str">
        <f>IF(Table1[[#This Row],[skill_gap_index]]&gt;70,"Large Gap",
IF(Table1[[#This Row],[skill_gap_index]]&gt;40,"Medium Gap","Small Gap"))</f>
        <v>Small Gap</v>
      </c>
      <c r="X4033" s="3" t="str">
        <f>IF(Table1[[#This Row],[automation_risk_percent]]&gt;0.7,"Highly Automatable",
IF(Table1[[#This Row],[automation_risk_percent]]&gt;0.4,"Moderate Risk","Safe Job"))</f>
        <v>Moderate Risk</v>
      </c>
    </row>
    <row r="4034" spans="1:24" x14ac:dyDescent="0.3">
      <c r="A4034">
        <v>14008</v>
      </c>
      <c r="B4034" t="s">
        <v>29</v>
      </c>
      <c r="C4034" t="s">
        <v>23</v>
      </c>
      <c r="D4034" t="s">
        <v>47</v>
      </c>
      <c r="E4034" s="1">
        <v>2025</v>
      </c>
      <c r="F4034" s="11">
        <v>0.85709999999999997</v>
      </c>
      <c r="G4034">
        <v>98.55</v>
      </c>
      <c r="H4034">
        <v>44.07</v>
      </c>
      <c r="I4034" s="2">
        <v>139033.49</v>
      </c>
      <c r="J4034" s="2">
        <v>108619.52</v>
      </c>
      <c r="K4034" s="2">
        <f>Table1[[#This Row],[Salary_after]]-Table1[[#This Row],[Salary_before]]</f>
        <v>-30413.969999999987</v>
      </c>
      <c r="L4034" s="11">
        <v>-0.21879999999999999</v>
      </c>
      <c r="M4034" s="11">
        <v>7.980000000000001E-2</v>
      </c>
      <c r="N4034">
        <v>78.31</v>
      </c>
      <c r="O4034">
        <v>27.6</v>
      </c>
      <c r="P4034">
        <v>3</v>
      </c>
      <c r="Q4034" t="s">
        <v>37</v>
      </c>
      <c r="R4034">
        <v>64.89</v>
      </c>
      <c r="S4034">
        <v>21.88</v>
      </c>
      <c r="T4034" s="4">
        <v>54.068999999999903</v>
      </c>
      <c r="U4034" s="4">
        <v>23.65596</v>
      </c>
      <c r="V4034" t="str">
        <f>IF(Table1[[#This Row],[ai_disruption_intensity]]&gt;70,"High",
IF(Table1[[#This Row],[ai_disruption_intensity]]&gt;40,"Medium","Low"))</f>
        <v>Low</v>
      </c>
      <c r="W4034" t="str">
        <f>IF(Table1[[#This Row],[skill_gap_index]]&gt;70,"Large Gap",
IF(Table1[[#This Row],[skill_gap_index]]&gt;40,"Medium Gap","Small Gap"))</f>
        <v>Medium Gap</v>
      </c>
      <c r="X4034" s="3" t="str">
        <f>IF(Table1[[#This Row],[automation_risk_percent]]&gt;0.7,"Highly Automatable",
IF(Table1[[#This Row],[automation_risk_percent]]&gt;0.4,"Moderate Risk","Safe Job"))</f>
        <v>Highly Automatable</v>
      </c>
    </row>
    <row r="4035" spans="1:24" x14ac:dyDescent="0.3">
      <c r="A4035">
        <v>14011</v>
      </c>
      <c r="B4035" t="s">
        <v>46</v>
      </c>
      <c r="C4035" t="s">
        <v>40</v>
      </c>
      <c r="D4035" t="s">
        <v>35</v>
      </c>
      <c r="E4035" s="1">
        <v>2026</v>
      </c>
      <c r="F4035" s="11">
        <v>0.57830000000000004</v>
      </c>
      <c r="G4035">
        <v>47.04</v>
      </c>
      <c r="H4035">
        <v>69.069999999999993</v>
      </c>
      <c r="I4035" s="2">
        <v>35372.89</v>
      </c>
      <c r="J4035" s="2">
        <v>26265.08</v>
      </c>
      <c r="K4035" s="2">
        <f>Table1[[#This Row],[Salary_after]]-Table1[[#This Row],[Salary_before]]</f>
        <v>-9107.8099999999977</v>
      </c>
      <c r="L4035" s="11">
        <v>-0.25750000000000001</v>
      </c>
      <c r="M4035" s="11">
        <v>-2.98E-2</v>
      </c>
      <c r="N4035">
        <v>94.29</v>
      </c>
      <c r="O4035">
        <v>31.97</v>
      </c>
      <c r="P4035">
        <v>5</v>
      </c>
      <c r="Q4035" t="s">
        <v>25</v>
      </c>
      <c r="R4035">
        <v>63.449999999999903</v>
      </c>
      <c r="S4035">
        <v>25.75</v>
      </c>
      <c r="T4035" s="4">
        <v>51.577999999999903</v>
      </c>
      <c r="U4035" s="4">
        <v>18.488250999999899</v>
      </c>
      <c r="V4035" t="str">
        <f>IF(Table1[[#This Row],[ai_disruption_intensity]]&gt;70,"High",
IF(Table1[[#This Row],[ai_disruption_intensity]]&gt;40,"Medium","Low"))</f>
        <v>Low</v>
      </c>
      <c r="W4035" t="str">
        <f>IF(Table1[[#This Row],[skill_gap_index]]&gt;70,"Large Gap",
IF(Table1[[#This Row],[skill_gap_index]]&gt;40,"Medium Gap","Small Gap"))</f>
        <v>Medium Gap</v>
      </c>
      <c r="X4035" s="3" t="str">
        <f>IF(Table1[[#This Row],[automation_risk_percent]]&gt;0.7,"Highly Automatable",
IF(Table1[[#This Row],[automation_risk_percent]]&gt;0.4,"Moderate Risk","Safe Job"))</f>
        <v>Moderate Risk</v>
      </c>
    </row>
    <row r="4036" spans="1:24" x14ac:dyDescent="0.3">
      <c r="A4036">
        <v>14033</v>
      </c>
      <c r="B4036" t="s">
        <v>22</v>
      </c>
      <c r="C4036" t="s">
        <v>40</v>
      </c>
      <c r="D4036" t="s">
        <v>28</v>
      </c>
      <c r="E4036" s="1">
        <v>2026</v>
      </c>
      <c r="F4036" s="11">
        <v>0.1875</v>
      </c>
      <c r="G4036">
        <v>22.11</v>
      </c>
      <c r="H4036">
        <v>12.53</v>
      </c>
      <c r="I4036" s="2">
        <v>85913.21</v>
      </c>
      <c r="J4036" s="2">
        <v>90524.73</v>
      </c>
      <c r="K4036" s="2">
        <f>Table1[[#This Row],[Salary_after]]-Table1[[#This Row],[Salary_before]]</f>
        <v>4611.5199999999895</v>
      </c>
      <c r="L4036" s="11">
        <v>5.3699999999999998E-2</v>
      </c>
      <c r="M4036" s="11">
        <v>9.35E-2</v>
      </c>
      <c r="N4036">
        <v>96.47</v>
      </c>
      <c r="O4036">
        <v>55.61</v>
      </c>
      <c r="P4036">
        <v>5</v>
      </c>
      <c r="Q4036" t="s">
        <v>21</v>
      </c>
      <c r="R4036">
        <v>15.64</v>
      </c>
      <c r="S4036">
        <v>5.37</v>
      </c>
      <c r="T4036" s="4">
        <v>12.87</v>
      </c>
      <c r="U4036" s="4">
        <v>10.426875000000001</v>
      </c>
      <c r="V4036" t="str">
        <f>IF(Table1[[#This Row],[ai_disruption_intensity]]&gt;70,"High",
IF(Table1[[#This Row],[ai_disruption_intensity]]&gt;40,"Medium","Low"))</f>
        <v>Low</v>
      </c>
      <c r="W4036" t="str">
        <f>IF(Table1[[#This Row],[skill_gap_index]]&gt;70,"Large Gap",
IF(Table1[[#This Row],[skill_gap_index]]&gt;40,"Medium Gap","Small Gap"))</f>
        <v>Small Gap</v>
      </c>
      <c r="X4036" s="3" t="str">
        <f>IF(Table1[[#This Row],[automation_risk_percent]]&gt;0.7,"Highly Automatable",
IF(Table1[[#This Row],[automation_risk_percent]]&gt;0.4,"Moderate Risk","Safe Job"))</f>
        <v>Safe Job</v>
      </c>
    </row>
    <row r="4037" spans="1:24" x14ac:dyDescent="0.3">
      <c r="A4037">
        <v>14035</v>
      </c>
      <c r="B4037" t="s">
        <v>45</v>
      </c>
      <c r="C4037" t="s">
        <v>23</v>
      </c>
      <c r="D4037" t="s">
        <v>24</v>
      </c>
      <c r="E4037" s="1">
        <v>2026</v>
      </c>
      <c r="F4037" s="11">
        <v>0.40289999999999998</v>
      </c>
      <c r="G4037">
        <v>35.979999999999997</v>
      </c>
      <c r="H4037">
        <v>22.44</v>
      </c>
      <c r="I4037" s="2">
        <v>105773</v>
      </c>
      <c r="J4037" s="2">
        <v>117438.41</v>
      </c>
      <c r="K4037" s="2">
        <f>Table1[[#This Row],[Salary_after]]-Table1[[#This Row],[Salary_before]]</f>
        <v>11665.410000000003</v>
      </c>
      <c r="L4037" s="11">
        <v>0.1103</v>
      </c>
      <c r="M4037" s="11">
        <v>3.04E-2</v>
      </c>
      <c r="N4037">
        <v>48.85</v>
      </c>
      <c r="O4037">
        <v>11.71</v>
      </c>
      <c r="P4037">
        <v>3</v>
      </c>
      <c r="Q4037" t="s">
        <v>25</v>
      </c>
      <c r="R4037">
        <v>31.364999999999998</v>
      </c>
      <c r="S4037">
        <v>11.03</v>
      </c>
      <c r="T4037" s="4">
        <v>26.157</v>
      </c>
      <c r="U4037" s="4">
        <v>4.7179589999999996</v>
      </c>
      <c r="V4037" t="str">
        <f>IF(Table1[[#This Row],[ai_disruption_intensity]]&gt;70,"High",
IF(Table1[[#This Row],[ai_disruption_intensity]]&gt;40,"Medium","Low"))</f>
        <v>Low</v>
      </c>
      <c r="W4037" t="str">
        <f>IF(Table1[[#This Row],[skill_gap_index]]&gt;70,"Large Gap",
IF(Table1[[#This Row],[skill_gap_index]]&gt;40,"Medium Gap","Small Gap"))</f>
        <v>Small Gap</v>
      </c>
      <c r="X4037" s="3" t="str">
        <f>IF(Table1[[#This Row],[automation_risk_percent]]&gt;0.7,"Highly Automatable",
IF(Table1[[#This Row],[automation_risk_percent]]&gt;0.4,"Moderate Risk","Safe Job"))</f>
        <v>Moderate Risk</v>
      </c>
    </row>
    <row r="4038" spans="1:24" x14ac:dyDescent="0.3">
      <c r="A4038">
        <v>14041</v>
      </c>
      <c r="B4038" t="s">
        <v>26</v>
      </c>
      <c r="C4038" t="s">
        <v>19</v>
      </c>
      <c r="D4038" t="s">
        <v>35</v>
      </c>
      <c r="E4038" s="1">
        <v>2025</v>
      </c>
      <c r="F4038" s="11">
        <v>0.65790000000000004</v>
      </c>
      <c r="G4038">
        <v>57.63</v>
      </c>
      <c r="H4038">
        <v>18.600000000000001</v>
      </c>
      <c r="I4038" s="2">
        <v>119074.37</v>
      </c>
      <c r="J4038" s="2">
        <v>104336.17</v>
      </c>
      <c r="K4038" s="2">
        <f>Table1[[#This Row],[Salary_after]]-Table1[[#This Row],[Salary_before]]</f>
        <v>-14738.199999999997</v>
      </c>
      <c r="L4038" s="11">
        <v>-0.12380000000000001</v>
      </c>
      <c r="M4038" s="11">
        <v>5.6900000000000006E-2</v>
      </c>
      <c r="N4038">
        <v>20.25</v>
      </c>
      <c r="O4038">
        <v>16.940000000000001</v>
      </c>
      <c r="P4038">
        <v>2</v>
      </c>
      <c r="Q4038" t="s">
        <v>37</v>
      </c>
      <c r="R4038">
        <v>42.195</v>
      </c>
      <c r="S4038">
        <v>12.38</v>
      </c>
      <c r="T4038" s="4">
        <v>35.61</v>
      </c>
      <c r="U4038" s="4">
        <v>11.144826</v>
      </c>
      <c r="V4038" t="str">
        <f>IF(Table1[[#This Row],[ai_disruption_intensity]]&gt;70,"High",
IF(Table1[[#This Row],[ai_disruption_intensity]]&gt;40,"Medium","Low"))</f>
        <v>Low</v>
      </c>
      <c r="W4038" t="str">
        <f>IF(Table1[[#This Row],[skill_gap_index]]&gt;70,"Large Gap",
IF(Table1[[#This Row],[skill_gap_index]]&gt;40,"Medium Gap","Small Gap"))</f>
        <v>Small Gap</v>
      </c>
      <c r="X4038" s="3" t="str">
        <f>IF(Table1[[#This Row],[automation_risk_percent]]&gt;0.7,"Highly Automatable",
IF(Table1[[#This Row],[automation_risk_percent]]&gt;0.4,"Moderate Risk","Safe Job"))</f>
        <v>Moderate Risk</v>
      </c>
    </row>
    <row r="4039" spans="1:24" x14ac:dyDescent="0.3">
      <c r="A4039">
        <v>14043</v>
      </c>
      <c r="B4039" t="s">
        <v>29</v>
      </c>
      <c r="C4039" t="s">
        <v>40</v>
      </c>
      <c r="D4039" t="s">
        <v>47</v>
      </c>
      <c r="E4039" s="1">
        <v>2025</v>
      </c>
      <c r="F4039" s="11">
        <v>0.317</v>
      </c>
      <c r="G4039">
        <v>34.020000000000003</v>
      </c>
      <c r="H4039">
        <v>59.79</v>
      </c>
      <c r="I4039" s="2">
        <v>80458.86</v>
      </c>
      <c r="J4039" s="2">
        <v>80996.13</v>
      </c>
      <c r="K4039" s="2">
        <f>Table1[[#This Row],[Salary_after]]-Table1[[#This Row],[Salary_before]]</f>
        <v>537.27000000000407</v>
      </c>
      <c r="L4039" s="11">
        <v>6.7000000000000002E-3</v>
      </c>
      <c r="M4039" s="11">
        <v>6.1100000000000002E-2</v>
      </c>
      <c r="N4039">
        <v>42.83</v>
      </c>
      <c r="O4039">
        <v>5.28</v>
      </c>
      <c r="P4039">
        <v>4</v>
      </c>
      <c r="Q4039" t="s">
        <v>25</v>
      </c>
      <c r="R4039">
        <v>45.744999999999997</v>
      </c>
      <c r="S4039">
        <v>0.67</v>
      </c>
      <c r="T4039" s="4">
        <v>30.817999999999898</v>
      </c>
      <c r="U4039" s="4">
        <v>1.6737599999999999</v>
      </c>
      <c r="V4039" t="str">
        <f>IF(Table1[[#This Row],[ai_disruption_intensity]]&gt;70,"High",
IF(Table1[[#This Row],[ai_disruption_intensity]]&gt;40,"Medium","Low"))</f>
        <v>Low</v>
      </c>
      <c r="W4039" t="str">
        <f>IF(Table1[[#This Row],[skill_gap_index]]&gt;70,"Large Gap",
IF(Table1[[#This Row],[skill_gap_index]]&gt;40,"Medium Gap","Small Gap"))</f>
        <v>Medium Gap</v>
      </c>
      <c r="X4039" s="3" t="str">
        <f>IF(Table1[[#This Row],[automation_risk_percent]]&gt;0.7,"Highly Automatable",
IF(Table1[[#This Row],[automation_risk_percent]]&gt;0.4,"Moderate Risk","Safe Job"))</f>
        <v>Safe Job</v>
      </c>
    </row>
    <row r="4040" spans="1:24" x14ac:dyDescent="0.3">
      <c r="A4040">
        <v>14055</v>
      </c>
      <c r="B4040" t="s">
        <v>39</v>
      </c>
      <c r="C4040" t="s">
        <v>33</v>
      </c>
      <c r="D4040" t="s">
        <v>24</v>
      </c>
      <c r="E4040" s="1">
        <v>2025</v>
      </c>
      <c r="F4040" s="11">
        <v>0.43329999999999996</v>
      </c>
      <c r="G4040">
        <v>46.54</v>
      </c>
      <c r="H4040">
        <v>95.74</v>
      </c>
      <c r="I4040" s="2">
        <v>141574.44</v>
      </c>
      <c r="J4040" s="2">
        <v>127848.64</v>
      </c>
      <c r="K4040" s="2">
        <f>Table1[[#This Row],[Salary_after]]-Table1[[#This Row],[Salary_before]]</f>
        <v>-13725.800000000003</v>
      </c>
      <c r="L4040" s="11">
        <v>-9.6999999999999989E-2</v>
      </c>
      <c r="M4040" s="11">
        <v>0.11699999999999999</v>
      </c>
      <c r="N4040">
        <v>26.45</v>
      </c>
      <c r="O4040">
        <v>35.26</v>
      </c>
      <c r="P4040">
        <v>2</v>
      </c>
      <c r="Q4040" t="s">
        <v>25</v>
      </c>
      <c r="R4040">
        <v>69.534999999999997</v>
      </c>
      <c r="S4040">
        <v>9.6999999999999993</v>
      </c>
      <c r="T4040" s="4">
        <v>48.963999999999999</v>
      </c>
      <c r="U4040" s="4">
        <v>15.2781579999999</v>
      </c>
      <c r="V4040" t="str">
        <f>IF(Table1[[#This Row],[ai_disruption_intensity]]&gt;70,"High",
IF(Table1[[#This Row],[ai_disruption_intensity]]&gt;40,"Medium","Low"))</f>
        <v>Low</v>
      </c>
      <c r="W4040" t="str">
        <f>IF(Table1[[#This Row],[skill_gap_index]]&gt;70,"Large Gap",
IF(Table1[[#This Row],[skill_gap_index]]&gt;40,"Medium Gap","Small Gap"))</f>
        <v>Large Gap</v>
      </c>
      <c r="X4040" s="3" t="str">
        <f>IF(Table1[[#This Row],[automation_risk_percent]]&gt;0.7,"Highly Automatable",
IF(Table1[[#This Row],[automation_risk_percent]]&gt;0.4,"Moderate Risk","Safe Job"))</f>
        <v>Moderate Risk</v>
      </c>
    </row>
    <row r="4041" spans="1:24" x14ac:dyDescent="0.3">
      <c r="A4041">
        <v>14072</v>
      </c>
      <c r="B4041" t="s">
        <v>45</v>
      </c>
      <c r="C4041" t="s">
        <v>19</v>
      </c>
      <c r="D4041" t="s">
        <v>24</v>
      </c>
      <c r="E4041" s="1">
        <v>2026</v>
      </c>
      <c r="F4041" s="11">
        <v>0.59319999999999995</v>
      </c>
      <c r="G4041">
        <v>50.75</v>
      </c>
      <c r="H4041">
        <v>56.41</v>
      </c>
      <c r="I4041" s="2">
        <v>61656.88</v>
      </c>
      <c r="J4041" s="2">
        <v>58222.12</v>
      </c>
      <c r="K4041" s="2">
        <f>Table1[[#This Row],[Salary_after]]-Table1[[#This Row],[Salary_before]]</f>
        <v>-3434.7599999999948</v>
      </c>
      <c r="L4041" s="11">
        <v>-5.57E-2</v>
      </c>
      <c r="M4041" s="11">
        <v>0.21249999999999999</v>
      </c>
      <c r="N4041">
        <v>32.83</v>
      </c>
      <c r="O4041">
        <v>91.83</v>
      </c>
      <c r="P4041">
        <v>2</v>
      </c>
      <c r="Q4041" t="s">
        <v>25</v>
      </c>
      <c r="R4041">
        <v>57.864999999999903</v>
      </c>
      <c r="S4041">
        <v>5.57</v>
      </c>
      <c r="T4041" s="4">
        <v>42.321999999999903</v>
      </c>
      <c r="U4041" s="4">
        <v>54.473556000000002</v>
      </c>
      <c r="V4041" t="str">
        <f>IF(Table1[[#This Row],[ai_disruption_intensity]]&gt;70,"High",
IF(Table1[[#This Row],[ai_disruption_intensity]]&gt;40,"Medium","Low"))</f>
        <v>Medium</v>
      </c>
      <c r="W4041" t="str">
        <f>IF(Table1[[#This Row],[skill_gap_index]]&gt;70,"Large Gap",
IF(Table1[[#This Row],[skill_gap_index]]&gt;40,"Medium Gap","Small Gap"))</f>
        <v>Medium Gap</v>
      </c>
      <c r="X4041" s="3" t="str">
        <f>IF(Table1[[#This Row],[automation_risk_percent]]&gt;0.7,"Highly Automatable",
IF(Table1[[#This Row],[automation_risk_percent]]&gt;0.4,"Moderate Risk","Safe Job"))</f>
        <v>Moderate Risk</v>
      </c>
    </row>
    <row r="4042" spans="1:24" x14ac:dyDescent="0.3">
      <c r="A4042">
        <v>14075</v>
      </c>
      <c r="B4042" t="s">
        <v>44</v>
      </c>
      <c r="C4042" t="s">
        <v>40</v>
      </c>
      <c r="D4042" t="s">
        <v>32</v>
      </c>
      <c r="E4042" s="1">
        <v>2026</v>
      </c>
      <c r="F4042" s="11">
        <v>0.37329999999999997</v>
      </c>
      <c r="G4042">
        <v>34.85</v>
      </c>
      <c r="H4042">
        <v>29.83</v>
      </c>
      <c r="I4042" s="2">
        <v>87695.93</v>
      </c>
      <c r="J4042" s="2">
        <v>88465.3</v>
      </c>
      <c r="K4042" s="2">
        <f>Table1[[#This Row],[Salary_after]]-Table1[[#This Row],[Salary_before]]</f>
        <v>769.3700000000099</v>
      </c>
      <c r="L4042" s="11">
        <v>8.8000000000000005E-3</v>
      </c>
      <c r="M4042" s="11">
        <v>0.2621</v>
      </c>
      <c r="N4042">
        <v>57.48</v>
      </c>
      <c r="O4042">
        <v>6.06</v>
      </c>
      <c r="P4042">
        <v>3</v>
      </c>
      <c r="Q4042" t="s">
        <v>25</v>
      </c>
      <c r="R4042">
        <v>33.58</v>
      </c>
      <c r="S4042">
        <v>0.88</v>
      </c>
      <c r="T4042" s="4">
        <v>24.145</v>
      </c>
      <c r="U4042" s="4">
        <v>2.2621979999999899</v>
      </c>
      <c r="V4042" t="str">
        <f>IF(Table1[[#This Row],[ai_disruption_intensity]]&gt;70,"High",
IF(Table1[[#This Row],[ai_disruption_intensity]]&gt;40,"Medium","Low"))</f>
        <v>Low</v>
      </c>
      <c r="W4042" t="str">
        <f>IF(Table1[[#This Row],[skill_gap_index]]&gt;70,"Large Gap",
IF(Table1[[#This Row],[skill_gap_index]]&gt;40,"Medium Gap","Small Gap"))</f>
        <v>Small Gap</v>
      </c>
      <c r="X4042" s="3" t="str">
        <f>IF(Table1[[#This Row],[automation_risk_percent]]&gt;0.7,"Highly Automatable",
IF(Table1[[#This Row],[automation_risk_percent]]&gt;0.4,"Moderate Risk","Safe Job"))</f>
        <v>Safe Job</v>
      </c>
    </row>
    <row r="4043" spans="1:24" x14ac:dyDescent="0.3">
      <c r="A4043">
        <v>14076</v>
      </c>
      <c r="B4043" t="s">
        <v>18</v>
      </c>
      <c r="C4043" t="s">
        <v>33</v>
      </c>
      <c r="D4043" t="s">
        <v>31</v>
      </c>
      <c r="E4043" s="1">
        <v>2026</v>
      </c>
      <c r="F4043" s="11">
        <v>0.72799999999999998</v>
      </c>
      <c r="G4043">
        <v>63.32</v>
      </c>
      <c r="H4043">
        <v>72.2</v>
      </c>
      <c r="I4043" s="2">
        <v>66348.44</v>
      </c>
      <c r="J4043" s="2">
        <v>64869.46</v>
      </c>
      <c r="K4043" s="2">
        <f>Table1[[#This Row],[Salary_after]]-Table1[[#This Row],[Salary_before]]</f>
        <v>-1478.9800000000032</v>
      </c>
      <c r="L4043" s="11">
        <v>-2.23E-2</v>
      </c>
      <c r="M4043" s="11">
        <v>4.8600000000000004E-2</v>
      </c>
      <c r="N4043">
        <v>83.47</v>
      </c>
      <c r="O4043">
        <v>96.1</v>
      </c>
      <c r="P4043">
        <v>3</v>
      </c>
      <c r="Q4043" t="s">
        <v>37</v>
      </c>
      <c r="R4043">
        <v>72.5</v>
      </c>
      <c r="S4043">
        <v>2.23</v>
      </c>
      <c r="T4043" s="4">
        <v>51.448999999999998</v>
      </c>
      <c r="U4043" s="4">
        <v>69.960799999999907</v>
      </c>
      <c r="V4043" t="str">
        <f>IF(Table1[[#This Row],[ai_disruption_intensity]]&gt;70,"High",
IF(Table1[[#This Row],[ai_disruption_intensity]]&gt;40,"Medium","Low"))</f>
        <v>Medium</v>
      </c>
      <c r="W4043" t="str">
        <f>IF(Table1[[#This Row],[skill_gap_index]]&gt;70,"Large Gap",
IF(Table1[[#This Row],[skill_gap_index]]&gt;40,"Medium Gap","Small Gap"))</f>
        <v>Large Gap</v>
      </c>
      <c r="X4043" s="3" t="str">
        <f>IF(Table1[[#This Row],[automation_risk_percent]]&gt;0.7,"Highly Automatable",
IF(Table1[[#This Row],[automation_risk_percent]]&gt;0.4,"Moderate Risk","Safe Job"))</f>
        <v>Highly Automatable</v>
      </c>
    </row>
    <row r="4044" spans="1:24" x14ac:dyDescent="0.3">
      <c r="A4044">
        <v>14079</v>
      </c>
      <c r="B4044" t="s">
        <v>18</v>
      </c>
      <c r="C4044" t="s">
        <v>19</v>
      </c>
      <c r="D4044" t="s">
        <v>42</v>
      </c>
      <c r="E4044" s="1">
        <v>2025</v>
      </c>
      <c r="F4044" s="11">
        <v>0.2238</v>
      </c>
      <c r="G4044">
        <v>24.3</v>
      </c>
      <c r="H4044">
        <v>12.59</v>
      </c>
      <c r="I4044" s="2">
        <v>62151.33</v>
      </c>
      <c r="J4044" s="2">
        <v>59771.13</v>
      </c>
      <c r="K4044" s="2">
        <f>Table1[[#This Row],[Salary_after]]-Table1[[#This Row],[Salary_before]]</f>
        <v>-2380.2000000000044</v>
      </c>
      <c r="L4044" s="11">
        <v>-3.8300000000000001E-2</v>
      </c>
      <c r="M4044" s="11">
        <v>7.2400000000000006E-2</v>
      </c>
      <c r="N4044">
        <v>91.69</v>
      </c>
      <c r="O4044">
        <v>32.14</v>
      </c>
      <c r="P4044">
        <v>2</v>
      </c>
      <c r="Q4044" t="s">
        <v>21</v>
      </c>
      <c r="R4044">
        <v>17.484999999999999</v>
      </c>
      <c r="S4044">
        <v>3.83</v>
      </c>
      <c r="T4044" s="4">
        <v>13.878</v>
      </c>
      <c r="U4044" s="4">
        <v>7.1929319999999999</v>
      </c>
      <c r="V4044" t="str">
        <f>IF(Table1[[#This Row],[ai_disruption_intensity]]&gt;70,"High",
IF(Table1[[#This Row],[ai_disruption_intensity]]&gt;40,"Medium","Low"))</f>
        <v>Low</v>
      </c>
      <c r="W4044" t="str">
        <f>IF(Table1[[#This Row],[skill_gap_index]]&gt;70,"Large Gap",
IF(Table1[[#This Row],[skill_gap_index]]&gt;40,"Medium Gap","Small Gap"))</f>
        <v>Small Gap</v>
      </c>
      <c r="X4044" s="3" t="str">
        <f>IF(Table1[[#This Row],[automation_risk_percent]]&gt;0.7,"Highly Automatable",
IF(Table1[[#This Row],[automation_risk_percent]]&gt;0.4,"Moderate Risk","Safe Job"))</f>
        <v>Safe Job</v>
      </c>
    </row>
    <row r="4045" spans="1:24" x14ac:dyDescent="0.3">
      <c r="A4045">
        <v>14082</v>
      </c>
      <c r="B4045" t="s">
        <v>46</v>
      </c>
      <c r="C4045" t="s">
        <v>30</v>
      </c>
      <c r="D4045" t="s">
        <v>47</v>
      </c>
      <c r="E4045" s="1">
        <v>2026</v>
      </c>
      <c r="F4045" s="11">
        <v>0.14249999999999999</v>
      </c>
      <c r="G4045">
        <v>12.22</v>
      </c>
      <c r="H4045">
        <v>49.57</v>
      </c>
      <c r="I4045" s="2">
        <v>143717.63</v>
      </c>
      <c r="J4045" s="2">
        <v>136808.26</v>
      </c>
      <c r="K4045" s="2">
        <f>Table1[[#This Row],[Salary_after]]-Table1[[#This Row],[Salary_before]]</f>
        <v>-6909.3699999999953</v>
      </c>
      <c r="L4045" s="11">
        <v>-4.8099999999999997E-2</v>
      </c>
      <c r="M4045" s="11">
        <v>4.1100000000000005E-2</v>
      </c>
      <c r="N4045">
        <v>34.619999999999997</v>
      </c>
      <c r="O4045">
        <v>32.840000000000003</v>
      </c>
      <c r="P4045">
        <v>2</v>
      </c>
      <c r="Q4045" t="s">
        <v>21</v>
      </c>
      <c r="R4045">
        <v>31.91</v>
      </c>
      <c r="S4045">
        <v>4.8099999999999996</v>
      </c>
      <c r="T4045" s="4">
        <v>22.013999999999999</v>
      </c>
      <c r="U4045" s="4">
        <v>4.6797000000000004</v>
      </c>
      <c r="V4045" t="str">
        <f>IF(Table1[[#This Row],[ai_disruption_intensity]]&gt;70,"High",
IF(Table1[[#This Row],[ai_disruption_intensity]]&gt;40,"Medium","Low"))</f>
        <v>Low</v>
      </c>
      <c r="W4045" t="str">
        <f>IF(Table1[[#This Row],[skill_gap_index]]&gt;70,"Large Gap",
IF(Table1[[#This Row],[skill_gap_index]]&gt;40,"Medium Gap","Small Gap"))</f>
        <v>Medium Gap</v>
      </c>
      <c r="X4045" s="3" t="str">
        <f>IF(Table1[[#This Row],[automation_risk_percent]]&gt;0.7,"Highly Automatable",
IF(Table1[[#This Row],[automation_risk_percent]]&gt;0.4,"Moderate Risk","Safe Job"))</f>
        <v>Safe Job</v>
      </c>
    </row>
    <row r="4046" spans="1:24" x14ac:dyDescent="0.3">
      <c r="A4046">
        <v>14084</v>
      </c>
      <c r="B4046" t="s">
        <v>46</v>
      </c>
      <c r="C4046" t="s">
        <v>34</v>
      </c>
      <c r="D4046" t="s">
        <v>32</v>
      </c>
      <c r="E4046" s="1">
        <v>2026</v>
      </c>
      <c r="F4046" s="11">
        <v>0.18809999999999999</v>
      </c>
      <c r="G4046">
        <v>20.440000000000001</v>
      </c>
      <c r="H4046">
        <v>99.06</v>
      </c>
      <c r="I4046" s="2">
        <v>33842.01</v>
      </c>
      <c r="J4046" s="2">
        <v>34025.910000000003</v>
      </c>
      <c r="K4046" s="2">
        <f>Table1[[#This Row],[Salary_after]]-Table1[[#This Row],[Salary_before]]</f>
        <v>183.90000000000146</v>
      </c>
      <c r="L4046" s="11">
        <v>5.4000000000000003E-3</v>
      </c>
      <c r="M4046" s="11">
        <v>0.19320000000000001</v>
      </c>
      <c r="N4046">
        <v>20.45</v>
      </c>
      <c r="O4046">
        <v>23.23</v>
      </c>
      <c r="P4046">
        <v>2</v>
      </c>
      <c r="Q4046" t="s">
        <v>21</v>
      </c>
      <c r="R4046">
        <v>58.935000000000002</v>
      </c>
      <c r="S4046">
        <v>0.54</v>
      </c>
      <c r="T4046" s="4">
        <v>37.403999999999897</v>
      </c>
      <c r="U4046" s="4">
        <v>4.3695630000000003</v>
      </c>
      <c r="V4046" t="str">
        <f>IF(Table1[[#This Row],[ai_disruption_intensity]]&gt;70,"High",
IF(Table1[[#This Row],[ai_disruption_intensity]]&gt;40,"Medium","Low"))</f>
        <v>Low</v>
      </c>
      <c r="W4046" t="str">
        <f>IF(Table1[[#This Row],[skill_gap_index]]&gt;70,"Large Gap",
IF(Table1[[#This Row],[skill_gap_index]]&gt;40,"Medium Gap","Small Gap"))</f>
        <v>Large Gap</v>
      </c>
      <c r="X4046" s="3" t="str">
        <f>IF(Table1[[#This Row],[automation_risk_percent]]&gt;0.7,"Highly Automatable",
IF(Table1[[#This Row],[automation_risk_percent]]&gt;0.4,"Moderate Risk","Safe Job"))</f>
        <v>Safe Job</v>
      </c>
    </row>
    <row r="4047" spans="1:24" x14ac:dyDescent="0.3">
      <c r="A4047">
        <v>14086</v>
      </c>
      <c r="B4047" t="s">
        <v>44</v>
      </c>
      <c r="C4047" t="s">
        <v>38</v>
      </c>
      <c r="D4047" t="s">
        <v>28</v>
      </c>
      <c r="E4047" s="1">
        <v>2026</v>
      </c>
      <c r="F4047" s="11">
        <v>0.32520000000000004</v>
      </c>
      <c r="G4047">
        <v>33.15</v>
      </c>
      <c r="H4047">
        <v>79.09</v>
      </c>
      <c r="I4047" s="2">
        <v>41541.599999999999</v>
      </c>
      <c r="J4047" s="2">
        <v>37439.25</v>
      </c>
      <c r="K4047" s="2">
        <f>Table1[[#This Row],[Salary_after]]-Table1[[#This Row],[Salary_before]]</f>
        <v>-4102.3499999999985</v>
      </c>
      <c r="L4047" s="11">
        <v>-9.8800000000000013E-2</v>
      </c>
      <c r="M4047" s="11">
        <v>5.3499999999999999E-2</v>
      </c>
      <c r="N4047">
        <v>52.93</v>
      </c>
      <c r="O4047">
        <v>56.05</v>
      </c>
      <c r="P4047">
        <v>4</v>
      </c>
      <c r="Q4047" t="s">
        <v>25</v>
      </c>
      <c r="R4047">
        <v>55.805</v>
      </c>
      <c r="S4047">
        <v>9.8800000000000008</v>
      </c>
      <c r="T4047" s="4">
        <v>39.698999999999998</v>
      </c>
      <c r="U4047" s="4">
        <v>18.227460000000001</v>
      </c>
      <c r="V4047" t="str">
        <f>IF(Table1[[#This Row],[ai_disruption_intensity]]&gt;70,"High",
IF(Table1[[#This Row],[ai_disruption_intensity]]&gt;40,"Medium","Low"))</f>
        <v>Low</v>
      </c>
      <c r="W4047" t="str">
        <f>IF(Table1[[#This Row],[skill_gap_index]]&gt;70,"Large Gap",
IF(Table1[[#This Row],[skill_gap_index]]&gt;40,"Medium Gap","Small Gap"))</f>
        <v>Large Gap</v>
      </c>
      <c r="X4047" s="3" t="str">
        <f>IF(Table1[[#This Row],[automation_risk_percent]]&gt;0.7,"Highly Automatable",
IF(Table1[[#This Row],[automation_risk_percent]]&gt;0.4,"Moderate Risk","Safe Job"))</f>
        <v>Safe Job</v>
      </c>
    </row>
    <row r="4048" spans="1:24" x14ac:dyDescent="0.3">
      <c r="A4048">
        <v>14089</v>
      </c>
      <c r="B4048" t="s">
        <v>46</v>
      </c>
      <c r="C4048" t="s">
        <v>23</v>
      </c>
      <c r="D4048" t="s">
        <v>31</v>
      </c>
      <c r="E4048" s="1">
        <v>2025</v>
      </c>
      <c r="F4048" s="11">
        <v>0.24399999999999999</v>
      </c>
      <c r="G4048">
        <v>26.74</v>
      </c>
      <c r="H4048">
        <v>32.64</v>
      </c>
      <c r="I4048" s="2">
        <v>64158.52</v>
      </c>
      <c r="J4048" s="2">
        <v>67158.97</v>
      </c>
      <c r="K4048" s="2">
        <f>Table1[[#This Row],[Salary_after]]-Table1[[#This Row],[Salary_before]]</f>
        <v>3000.4500000000044</v>
      </c>
      <c r="L4048" s="11">
        <v>4.6799999999999994E-2</v>
      </c>
      <c r="M4048" s="11">
        <v>-5.7999999999999996E-2</v>
      </c>
      <c r="N4048">
        <v>53.09</v>
      </c>
      <c r="O4048">
        <v>36.07</v>
      </c>
      <c r="P4048">
        <v>5</v>
      </c>
      <c r="Q4048" t="s">
        <v>21</v>
      </c>
      <c r="R4048">
        <v>28.52</v>
      </c>
      <c r="S4048">
        <v>4.68</v>
      </c>
      <c r="T4048" s="4">
        <v>20.956</v>
      </c>
      <c r="U4048" s="4">
        <v>8.80107999999999</v>
      </c>
      <c r="V4048" t="str">
        <f>IF(Table1[[#This Row],[ai_disruption_intensity]]&gt;70,"High",
IF(Table1[[#This Row],[ai_disruption_intensity]]&gt;40,"Medium","Low"))</f>
        <v>Low</v>
      </c>
      <c r="W4048" t="str">
        <f>IF(Table1[[#This Row],[skill_gap_index]]&gt;70,"Large Gap",
IF(Table1[[#This Row],[skill_gap_index]]&gt;40,"Medium Gap","Small Gap"))</f>
        <v>Small Gap</v>
      </c>
      <c r="X4048" s="3" t="str">
        <f>IF(Table1[[#This Row],[automation_risk_percent]]&gt;0.7,"Highly Automatable",
IF(Table1[[#This Row],[automation_risk_percent]]&gt;0.4,"Moderate Risk","Safe Job"))</f>
        <v>Safe Job</v>
      </c>
    </row>
    <row r="4049" spans="1:24" x14ac:dyDescent="0.3">
      <c r="A4049">
        <v>14090</v>
      </c>
      <c r="B4049" t="s">
        <v>26</v>
      </c>
      <c r="C4049" t="s">
        <v>40</v>
      </c>
      <c r="D4049" t="s">
        <v>36</v>
      </c>
      <c r="E4049" s="1">
        <v>2026</v>
      </c>
      <c r="F4049" s="11">
        <v>0.05</v>
      </c>
      <c r="G4049">
        <v>5.32</v>
      </c>
      <c r="H4049">
        <v>68.56</v>
      </c>
      <c r="I4049" s="2">
        <v>68409.72</v>
      </c>
      <c r="J4049" s="2">
        <v>73953.11</v>
      </c>
      <c r="K4049" s="2">
        <f>Table1[[#This Row],[Salary_after]]-Table1[[#This Row],[Salary_before]]</f>
        <v>5543.3899999999994</v>
      </c>
      <c r="L4049" s="11">
        <v>8.1000000000000003E-2</v>
      </c>
      <c r="M4049" s="11">
        <v>8.4000000000000005E-2</v>
      </c>
      <c r="N4049">
        <v>41.3</v>
      </c>
      <c r="O4049">
        <v>71.97</v>
      </c>
      <c r="P4049">
        <v>1</v>
      </c>
      <c r="Q4049" t="s">
        <v>21</v>
      </c>
      <c r="R4049">
        <v>36.78</v>
      </c>
      <c r="S4049">
        <v>8.1</v>
      </c>
      <c r="T4049" s="4">
        <v>24.998000000000001</v>
      </c>
      <c r="U4049" s="4">
        <v>3.5985</v>
      </c>
      <c r="V4049" t="str">
        <f>IF(Table1[[#This Row],[ai_disruption_intensity]]&gt;70,"High",
IF(Table1[[#This Row],[ai_disruption_intensity]]&gt;40,"Medium","Low"))</f>
        <v>Low</v>
      </c>
      <c r="W4049" t="str">
        <f>IF(Table1[[#This Row],[skill_gap_index]]&gt;70,"Large Gap",
IF(Table1[[#This Row],[skill_gap_index]]&gt;40,"Medium Gap","Small Gap"))</f>
        <v>Medium Gap</v>
      </c>
      <c r="X4049" s="3" t="str">
        <f>IF(Table1[[#This Row],[automation_risk_percent]]&gt;0.7,"Highly Automatable",
IF(Table1[[#This Row],[automation_risk_percent]]&gt;0.4,"Moderate Risk","Safe Job"))</f>
        <v>Safe Job</v>
      </c>
    </row>
    <row r="4050" spans="1:24" x14ac:dyDescent="0.3">
      <c r="A4050">
        <v>14091</v>
      </c>
      <c r="B4050" t="s">
        <v>22</v>
      </c>
      <c r="C4050" t="s">
        <v>27</v>
      </c>
      <c r="D4050" t="s">
        <v>36</v>
      </c>
      <c r="E4050" s="1">
        <v>2026</v>
      </c>
      <c r="F4050" s="11">
        <v>0.69189999999999996</v>
      </c>
      <c r="G4050">
        <v>67.459999999999994</v>
      </c>
      <c r="H4050">
        <v>15.39</v>
      </c>
      <c r="I4050" s="2">
        <v>34710.1</v>
      </c>
      <c r="J4050" s="2">
        <v>35270.300000000003</v>
      </c>
      <c r="K4050" s="2">
        <f>Table1[[#This Row],[Salary_after]]-Table1[[#This Row],[Salary_before]]</f>
        <v>560.20000000000437</v>
      </c>
      <c r="L4050" s="11">
        <v>1.61E-2</v>
      </c>
      <c r="M4050" s="11">
        <v>0.22010000000000002</v>
      </c>
      <c r="N4050">
        <v>25.83</v>
      </c>
      <c r="O4050">
        <v>1.19</v>
      </c>
      <c r="P4050">
        <v>4</v>
      </c>
      <c r="Q4050" t="s">
        <v>37</v>
      </c>
      <c r="R4050">
        <v>42.29</v>
      </c>
      <c r="S4050">
        <v>1.61</v>
      </c>
      <c r="T4050" s="4">
        <v>32.775999999999897</v>
      </c>
      <c r="U4050" s="4">
        <v>0.82336099999999901</v>
      </c>
      <c r="V4050" t="str">
        <f>IF(Table1[[#This Row],[ai_disruption_intensity]]&gt;70,"High",
IF(Table1[[#This Row],[ai_disruption_intensity]]&gt;40,"Medium","Low"))</f>
        <v>Low</v>
      </c>
      <c r="W4050" t="str">
        <f>IF(Table1[[#This Row],[skill_gap_index]]&gt;70,"Large Gap",
IF(Table1[[#This Row],[skill_gap_index]]&gt;40,"Medium Gap","Small Gap"))</f>
        <v>Small Gap</v>
      </c>
      <c r="X4050" s="3" t="str">
        <f>IF(Table1[[#This Row],[automation_risk_percent]]&gt;0.7,"Highly Automatable",
IF(Table1[[#This Row],[automation_risk_percent]]&gt;0.4,"Moderate Risk","Safe Job"))</f>
        <v>Moderate Risk</v>
      </c>
    </row>
    <row r="4051" spans="1:24" x14ac:dyDescent="0.3">
      <c r="A4051">
        <v>14093</v>
      </c>
      <c r="B4051" t="s">
        <v>41</v>
      </c>
      <c r="C4051" t="s">
        <v>40</v>
      </c>
      <c r="D4051" t="s">
        <v>20</v>
      </c>
      <c r="E4051" s="1">
        <v>2026</v>
      </c>
      <c r="F4051" s="11">
        <v>0.69599999999999995</v>
      </c>
      <c r="G4051">
        <v>79.08</v>
      </c>
      <c r="H4051">
        <v>82.05</v>
      </c>
      <c r="I4051" s="2">
        <v>91900.47</v>
      </c>
      <c r="J4051" s="2">
        <v>92500.5</v>
      </c>
      <c r="K4051" s="2">
        <f>Table1[[#This Row],[Salary_after]]-Table1[[#This Row],[Salary_before]]</f>
        <v>600.02999999999884</v>
      </c>
      <c r="L4051" s="11">
        <v>6.5000000000000006E-3</v>
      </c>
      <c r="M4051" s="11">
        <v>-2.2700000000000001E-2</v>
      </c>
      <c r="N4051">
        <v>12.49</v>
      </c>
      <c r="O4051">
        <v>32.68</v>
      </c>
      <c r="P4051">
        <v>3</v>
      </c>
      <c r="Q4051" t="s">
        <v>37</v>
      </c>
      <c r="R4051">
        <v>75.824999999999903</v>
      </c>
      <c r="S4051">
        <v>0.65</v>
      </c>
      <c r="T4051" s="4">
        <v>52.65</v>
      </c>
      <c r="U4051" s="4">
        <v>22.745279999999902</v>
      </c>
      <c r="V4051" t="str">
        <f>IF(Table1[[#This Row],[ai_disruption_intensity]]&gt;70,"High",
IF(Table1[[#This Row],[ai_disruption_intensity]]&gt;40,"Medium","Low"))</f>
        <v>Low</v>
      </c>
      <c r="W4051" t="str">
        <f>IF(Table1[[#This Row],[skill_gap_index]]&gt;70,"Large Gap",
IF(Table1[[#This Row],[skill_gap_index]]&gt;40,"Medium Gap","Small Gap"))</f>
        <v>Large Gap</v>
      </c>
      <c r="X4051" s="3" t="str">
        <f>IF(Table1[[#This Row],[automation_risk_percent]]&gt;0.7,"Highly Automatable",
IF(Table1[[#This Row],[automation_risk_percent]]&gt;0.4,"Moderate Risk","Safe Job"))</f>
        <v>Moderate Risk</v>
      </c>
    </row>
    <row r="4052" spans="1:24" x14ac:dyDescent="0.3">
      <c r="A4052">
        <v>14096</v>
      </c>
      <c r="B4052" t="s">
        <v>26</v>
      </c>
      <c r="C4052" t="s">
        <v>34</v>
      </c>
      <c r="D4052" t="s">
        <v>47</v>
      </c>
      <c r="E4052" s="1">
        <v>2025</v>
      </c>
      <c r="F4052" s="11">
        <v>0.49359999999999998</v>
      </c>
      <c r="G4052">
        <v>52.9</v>
      </c>
      <c r="H4052">
        <v>97.52</v>
      </c>
      <c r="I4052" s="2">
        <v>138272.06</v>
      </c>
      <c r="J4052" s="2">
        <v>139979.12</v>
      </c>
      <c r="K4052" s="2">
        <f>Table1[[#This Row],[Salary_after]]-Table1[[#This Row],[Salary_before]]</f>
        <v>1707.0599999999977</v>
      </c>
      <c r="L4052" s="11">
        <v>1.23E-2</v>
      </c>
      <c r="M4052" s="11">
        <v>0.11789999999999999</v>
      </c>
      <c r="N4052">
        <v>23.37</v>
      </c>
      <c r="O4052">
        <v>93.32</v>
      </c>
      <c r="P4052">
        <v>5</v>
      </c>
      <c r="Q4052" t="s">
        <v>25</v>
      </c>
      <c r="R4052">
        <v>73.44</v>
      </c>
      <c r="S4052">
        <v>1.23</v>
      </c>
      <c r="T4052" s="4">
        <v>49.369</v>
      </c>
      <c r="U4052" s="4">
        <v>46.062752000000003</v>
      </c>
      <c r="V4052" t="str">
        <f>IF(Table1[[#This Row],[ai_disruption_intensity]]&gt;70,"High",
IF(Table1[[#This Row],[ai_disruption_intensity]]&gt;40,"Medium","Low"))</f>
        <v>Medium</v>
      </c>
      <c r="W4052" t="str">
        <f>IF(Table1[[#This Row],[skill_gap_index]]&gt;70,"Large Gap",
IF(Table1[[#This Row],[skill_gap_index]]&gt;40,"Medium Gap","Small Gap"))</f>
        <v>Large Gap</v>
      </c>
      <c r="X4052" s="3" t="str">
        <f>IF(Table1[[#This Row],[automation_risk_percent]]&gt;0.7,"Highly Automatable",
IF(Table1[[#This Row],[automation_risk_percent]]&gt;0.4,"Moderate Risk","Safe Job"))</f>
        <v>Moderate Risk</v>
      </c>
    </row>
    <row r="4053" spans="1:24" x14ac:dyDescent="0.3">
      <c r="A4053">
        <v>14111</v>
      </c>
      <c r="B4053" t="s">
        <v>26</v>
      </c>
      <c r="C4053" t="s">
        <v>40</v>
      </c>
      <c r="D4053" t="s">
        <v>32</v>
      </c>
      <c r="E4053" s="1">
        <v>2026</v>
      </c>
      <c r="F4053" s="11">
        <v>0.36280000000000001</v>
      </c>
      <c r="G4053">
        <v>42.23</v>
      </c>
      <c r="H4053">
        <v>62.63</v>
      </c>
      <c r="I4053" s="2">
        <v>53464.37</v>
      </c>
      <c r="J4053" s="2">
        <v>56478.09</v>
      </c>
      <c r="K4053" s="2">
        <f>Table1[[#This Row],[Salary_after]]-Table1[[#This Row],[Salary_before]]</f>
        <v>3013.7199999999939</v>
      </c>
      <c r="L4053" s="11">
        <v>5.6399999999999999E-2</v>
      </c>
      <c r="M4053" s="11">
        <v>-0.10189999999999999</v>
      </c>
      <c r="N4053">
        <v>30.26</v>
      </c>
      <c r="O4053">
        <v>0.37</v>
      </c>
      <c r="P4053">
        <v>4</v>
      </c>
      <c r="Q4053" t="s">
        <v>25</v>
      </c>
      <c r="R4053">
        <v>49.454999999999998</v>
      </c>
      <c r="S4053">
        <v>5.64</v>
      </c>
      <c r="T4053" s="4">
        <v>34.993000000000002</v>
      </c>
      <c r="U4053" s="4">
        <v>0.13423599999999999</v>
      </c>
      <c r="V4053" t="str">
        <f>IF(Table1[[#This Row],[ai_disruption_intensity]]&gt;70,"High",
IF(Table1[[#This Row],[ai_disruption_intensity]]&gt;40,"Medium","Low"))</f>
        <v>Low</v>
      </c>
      <c r="W4053" t="str">
        <f>IF(Table1[[#This Row],[skill_gap_index]]&gt;70,"Large Gap",
IF(Table1[[#This Row],[skill_gap_index]]&gt;40,"Medium Gap","Small Gap"))</f>
        <v>Medium Gap</v>
      </c>
      <c r="X4053" s="3" t="str">
        <f>IF(Table1[[#This Row],[automation_risk_percent]]&gt;0.7,"Highly Automatable",
IF(Table1[[#This Row],[automation_risk_percent]]&gt;0.4,"Moderate Risk","Safe Job"))</f>
        <v>Safe Job</v>
      </c>
    </row>
    <row r="4054" spans="1:24" x14ac:dyDescent="0.3">
      <c r="A4054">
        <v>14112</v>
      </c>
      <c r="B4054" t="s">
        <v>22</v>
      </c>
      <c r="C4054" t="s">
        <v>27</v>
      </c>
      <c r="D4054" t="s">
        <v>31</v>
      </c>
      <c r="E4054" s="1">
        <v>2025</v>
      </c>
      <c r="F4054" s="11">
        <v>0.28199999999999997</v>
      </c>
      <c r="G4054">
        <v>23.14</v>
      </c>
      <c r="H4054">
        <v>89.77</v>
      </c>
      <c r="I4054" s="2">
        <v>112404.26</v>
      </c>
      <c r="J4054" s="2">
        <v>120225.36</v>
      </c>
      <c r="K4054" s="2">
        <f>Table1[[#This Row],[Salary_after]]-Table1[[#This Row],[Salary_before]]</f>
        <v>7821.1000000000058</v>
      </c>
      <c r="L4054" s="11">
        <v>6.9599999999999995E-2</v>
      </c>
      <c r="M4054" s="11">
        <v>0.13369999999999999</v>
      </c>
      <c r="N4054">
        <v>23.53</v>
      </c>
      <c r="O4054">
        <v>98.66</v>
      </c>
      <c r="P4054">
        <v>5</v>
      </c>
      <c r="Q4054" t="s">
        <v>21</v>
      </c>
      <c r="R4054">
        <v>58.984999999999999</v>
      </c>
      <c r="S4054">
        <v>6.96</v>
      </c>
      <c r="T4054" s="4">
        <v>40.298999999999999</v>
      </c>
      <c r="U4054" s="4">
        <v>27.822119999999899</v>
      </c>
      <c r="V4054" t="str">
        <f>IF(Table1[[#This Row],[ai_disruption_intensity]]&gt;70,"High",
IF(Table1[[#This Row],[ai_disruption_intensity]]&gt;40,"Medium","Low"))</f>
        <v>Low</v>
      </c>
      <c r="W4054" t="str">
        <f>IF(Table1[[#This Row],[skill_gap_index]]&gt;70,"Large Gap",
IF(Table1[[#This Row],[skill_gap_index]]&gt;40,"Medium Gap","Small Gap"))</f>
        <v>Large Gap</v>
      </c>
      <c r="X4054" s="3" t="str">
        <f>IF(Table1[[#This Row],[automation_risk_percent]]&gt;0.7,"Highly Automatable",
IF(Table1[[#This Row],[automation_risk_percent]]&gt;0.4,"Moderate Risk","Safe Job"))</f>
        <v>Safe Job</v>
      </c>
    </row>
    <row r="4055" spans="1:24" x14ac:dyDescent="0.3">
      <c r="A4055">
        <v>14113</v>
      </c>
      <c r="B4055" t="s">
        <v>22</v>
      </c>
      <c r="C4055" t="s">
        <v>33</v>
      </c>
      <c r="D4055" t="s">
        <v>35</v>
      </c>
      <c r="E4055" s="1">
        <v>2026</v>
      </c>
      <c r="F4055" s="11">
        <v>0.69180000000000008</v>
      </c>
      <c r="G4055">
        <v>73.13</v>
      </c>
      <c r="H4055">
        <v>68.010000000000005</v>
      </c>
      <c r="I4055" s="2">
        <v>76067.039999999994</v>
      </c>
      <c r="J4055" s="2">
        <v>61704.94</v>
      </c>
      <c r="K4055" s="2">
        <f>Table1[[#This Row],[Salary_after]]-Table1[[#This Row],[Salary_before]]</f>
        <v>-14362.099999999991</v>
      </c>
      <c r="L4055" s="11">
        <v>-0.1888</v>
      </c>
      <c r="M4055" s="11">
        <v>0.13589999999999999</v>
      </c>
      <c r="N4055">
        <v>74.290000000000006</v>
      </c>
      <c r="O4055">
        <v>33.58</v>
      </c>
      <c r="P4055">
        <v>4</v>
      </c>
      <c r="Q4055" t="s">
        <v>37</v>
      </c>
      <c r="R4055">
        <v>68.594999999999999</v>
      </c>
      <c r="S4055">
        <v>18.88</v>
      </c>
      <c r="T4055" s="4">
        <v>53.738999999999997</v>
      </c>
      <c r="U4055" s="4">
        <v>23.230644000000002</v>
      </c>
      <c r="V4055" t="str">
        <f>IF(Table1[[#This Row],[ai_disruption_intensity]]&gt;70,"High",
IF(Table1[[#This Row],[ai_disruption_intensity]]&gt;40,"Medium","Low"))</f>
        <v>Low</v>
      </c>
      <c r="W4055" t="str">
        <f>IF(Table1[[#This Row],[skill_gap_index]]&gt;70,"Large Gap",
IF(Table1[[#This Row],[skill_gap_index]]&gt;40,"Medium Gap","Small Gap"))</f>
        <v>Medium Gap</v>
      </c>
      <c r="X4055" s="3" t="str">
        <f>IF(Table1[[#This Row],[automation_risk_percent]]&gt;0.7,"Highly Automatable",
IF(Table1[[#This Row],[automation_risk_percent]]&gt;0.4,"Moderate Risk","Safe Job"))</f>
        <v>Moderate Risk</v>
      </c>
    </row>
    <row r="4056" spans="1:24" x14ac:dyDescent="0.3">
      <c r="A4056">
        <v>14115</v>
      </c>
      <c r="B4056" t="s">
        <v>26</v>
      </c>
      <c r="C4056" t="s">
        <v>38</v>
      </c>
      <c r="D4056" t="s">
        <v>31</v>
      </c>
      <c r="E4056" s="1">
        <v>2025</v>
      </c>
      <c r="F4056" s="11">
        <v>0.64290000000000003</v>
      </c>
      <c r="G4056">
        <v>59.07</v>
      </c>
      <c r="H4056">
        <v>42.52</v>
      </c>
      <c r="I4056" s="2">
        <v>76802.509999999995</v>
      </c>
      <c r="J4056" s="2">
        <v>86069.11</v>
      </c>
      <c r="K4056" s="2">
        <f>Table1[[#This Row],[Salary_after]]-Table1[[#This Row],[Salary_before]]</f>
        <v>9266.6000000000058</v>
      </c>
      <c r="L4056" s="11">
        <v>0.1207</v>
      </c>
      <c r="M4056" s="11">
        <v>-0.13930000000000001</v>
      </c>
      <c r="N4056">
        <v>70.59</v>
      </c>
      <c r="O4056">
        <v>39.79</v>
      </c>
      <c r="P4056">
        <v>4</v>
      </c>
      <c r="Q4056" t="s">
        <v>37</v>
      </c>
      <c r="R4056">
        <v>53.405000000000001</v>
      </c>
      <c r="S4056">
        <v>12.07</v>
      </c>
      <c r="T4056" s="4">
        <v>42.093000000000004</v>
      </c>
      <c r="U4056" s="4">
        <v>25.580991000000001</v>
      </c>
      <c r="V4056" t="str">
        <f>IF(Table1[[#This Row],[ai_disruption_intensity]]&gt;70,"High",
IF(Table1[[#This Row],[ai_disruption_intensity]]&gt;40,"Medium","Low"))</f>
        <v>Low</v>
      </c>
      <c r="W4056" t="str">
        <f>IF(Table1[[#This Row],[skill_gap_index]]&gt;70,"Large Gap",
IF(Table1[[#This Row],[skill_gap_index]]&gt;40,"Medium Gap","Small Gap"))</f>
        <v>Medium Gap</v>
      </c>
      <c r="X4056" s="3" t="str">
        <f>IF(Table1[[#This Row],[automation_risk_percent]]&gt;0.7,"Highly Automatable",
IF(Table1[[#This Row],[automation_risk_percent]]&gt;0.4,"Moderate Risk","Safe Job"))</f>
        <v>Moderate Risk</v>
      </c>
    </row>
    <row r="4057" spans="1:24" x14ac:dyDescent="0.3">
      <c r="A4057">
        <v>14116</v>
      </c>
      <c r="B4057" t="s">
        <v>45</v>
      </c>
      <c r="C4057" t="s">
        <v>19</v>
      </c>
      <c r="D4057" t="s">
        <v>28</v>
      </c>
      <c r="E4057" s="1">
        <v>2025</v>
      </c>
      <c r="F4057" s="11">
        <v>0.66459999999999997</v>
      </c>
      <c r="G4057">
        <v>68.8</v>
      </c>
      <c r="H4057">
        <v>27.17</v>
      </c>
      <c r="I4057" s="2">
        <v>74590.27</v>
      </c>
      <c r="J4057" s="2">
        <v>75321.13</v>
      </c>
      <c r="K4057" s="2">
        <f>Table1[[#This Row],[Salary_after]]-Table1[[#This Row],[Salary_before]]</f>
        <v>730.86000000000058</v>
      </c>
      <c r="L4057" s="11">
        <v>9.7999999999999997E-3</v>
      </c>
      <c r="M4057" s="11">
        <v>9.4299999999999995E-2</v>
      </c>
      <c r="N4057">
        <v>55.07</v>
      </c>
      <c r="O4057">
        <v>24.71</v>
      </c>
      <c r="P4057">
        <v>5</v>
      </c>
      <c r="Q4057" t="s">
        <v>37</v>
      </c>
      <c r="R4057">
        <v>46.814999999999998</v>
      </c>
      <c r="S4057">
        <v>0.98</v>
      </c>
      <c r="T4057" s="4">
        <v>35.028999999999897</v>
      </c>
      <c r="U4057" s="4">
        <v>16.422266</v>
      </c>
      <c r="V4057" t="str">
        <f>IF(Table1[[#This Row],[ai_disruption_intensity]]&gt;70,"High",
IF(Table1[[#This Row],[ai_disruption_intensity]]&gt;40,"Medium","Low"))</f>
        <v>Low</v>
      </c>
      <c r="W4057" t="str">
        <f>IF(Table1[[#This Row],[skill_gap_index]]&gt;70,"Large Gap",
IF(Table1[[#This Row],[skill_gap_index]]&gt;40,"Medium Gap","Small Gap"))</f>
        <v>Small Gap</v>
      </c>
      <c r="X4057" s="3" t="str">
        <f>IF(Table1[[#This Row],[automation_risk_percent]]&gt;0.7,"Highly Automatable",
IF(Table1[[#This Row],[automation_risk_percent]]&gt;0.4,"Moderate Risk","Safe Job"))</f>
        <v>Moderate Risk</v>
      </c>
    </row>
    <row r="4058" spans="1:24" x14ac:dyDescent="0.3">
      <c r="A4058">
        <v>14119</v>
      </c>
      <c r="B4058" t="s">
        <v>26</v>
      </c>
      <c r="C4058" t="s">
        <v>19</v>
      </c>
      <c r="D4058" t="s">
        <v>47</v>
      </c>
      <c r="E4058" s="1">
        <v>2025</v>
      </c>
      <c r="F4058" s="11">
        <v>0.54139999999999999</v>
      </c>
      <c r="G4058">
        <v>58.42</v>
      </c>
      <c r="H4058">
        <v>80.89</v>
      </c>
      <c r="I4058" s="2">
        <v>78371.17</v>
      </c>
      <c r="J4058" s="2">
        <v>70649.350000000006</v>
      </c>
      <c r="K4058" s="2">
        <f>Table1[[#This Row],[Salary_after]]-Table1[[#This Row],[Salary_before]]</f>
        <v>-7721.8199999999924</v>
      </c>
      <c r="L4058" s="11">
        <v>-9.849999999999999E-2</v>
      </c>
      <c r="M4058" s="11">
        <v>-4.5400000000000003E-2</v>
      </c>
      <c r="N4058">
        <v>82.36</v>
      </c>
      <c r="O4058">
        <v>85.41</v>
      </c>
      <c r="P4058">
        <v>3</v>
      </c>
      <c r="Q4058" t="s">
        <v>25</v>
      </c>
      <c r="R4058">
        <v>67.515000000000001</v>
      </c>
      <c r="S4058">
        <v>9.85</v>
      </c>
      <c r="T4058" s="4">
        <v>48.878</v>
      </c>
      <c r="U4058" s="4">
        <v>46.240973999999902</v>
      </c>
      <c r="V4058" t="str">
        <f>IF(Table1[[#This Row],[ai_disruption_intensity]]&gt;70,"High",
IF(Table1[[#This Row],[ai_disruption_intensity]]&gt;40,"Medium","Low"))</f>
        <v>Medium</v>
      </c>
      <c r="W4058" t="str">
        <f>IF(Table1[[#This Row],[skill_gap_index]]&gt;70,"Large Gap",
IF(Table1[[#This Row],[skill_gap_index]]&gt;40,"Medium Gap","Small Gap"))</f>
        <v>Large Gap</v>
      </c>
      <c r="X4058" s="3" t="str">
        <f>IF(Table1[[#This Row],[automation_risk_percent]]&gt;0.7,"Highly Automatable",
IF(Table1[[#This Row],[automation_risk_percent]]&gt;0.4,"Moderate Risk","Safe Job"))</f>
        <v>Moderate Risk</v>
      </c>
    </row>
    <row r="4059" spans="1:24" x14ac:dyDescent="0.3">
      <c r="A4059">
        <v>14120</v>
      </c>
      <c r="B4059" t="s">
        <v>46</v>
      </c>
      <c r="C4059" t="s">
        <v>40</v>
      </c>
      <c r="D4059" t="s">
        <v>24</v>
      </c>
      <c r="E4059" s="1">
        <v>2026</v>
      </c>
      <c r="F4059" s="11">
        <v>0.14580000000000001</v>
      </c>
      <c r="G4059">
        <v>13.83</v>
      </c>
      <c r="H4059">
        <v>92.05</v>
      </c>
      <c r="I4059" s="2">
        <v>31655.83</v>
      </c>
      <c r="J4059" s="2">
        <v>35380</v>
      </c>
      <c r="K4059" s="2">
        <f>Table1[[#This Row],[Salary_after]]-Table1[[#This Row],[Salary_before]]</f>
        <v>3724.1699999999983</v>
      </c>
      <c r="L4059" s="11">
        <v>0.1176</v>
      </c>
      <c r="M4059" s="11">
        <v>-0.1076</v>
      </c>
      <c r="N4059">
        <v>23.24</v>
      </c>
      <c r="O4059">
        <v>68.540000000000006</v>
      </c>
      <c r="P4059">
        <v>2</v>
      </c>
      <c r="Q4059" t="s">
        <v>21</v>
      </c>
      <c r="R4059">
        <v>53.314999999999998</v>
      </c>
      <c r="S4059">
        <v>11.76</v>
      </c>
      <c r="T4059" s="4">
        <v>36.975000000000001</v>
      </c>
      <c r="U4059" s="4">
        <v>9.9931319999999992</v>
      </c>
      <c r="V4059" t="str">
        <f>IF(Table1[[#This Row],[ai_disruption_intensity]]&gt;70,"High",
IF(Table1[[#This Row],[ai_disruption_intensity]]&gt;40,"Medium","Low"))</f>
        <v>Low</v>
      </c>
      <c r="W4059" t="str">
        <f>IF(Table1[[#This Row],[skill_gap_index]]&gt;70,"Large Gap",
IF(Table1[[#This Row],[skill_gap_index]]&gt;40,"Medium Gap","Small Gap"))</f>
        <v>Large Gap</v>
      </c>
      <c r="X4059" s="3" t="str">
        <f>IF(Table1[[#This Row],[automation_risk_percent]]&gt;0.7,"Highly Automatable",
IF(Table1[[#This Row],[automation_risk_percent]]&gt;0.4,"Moderate Risk","Safe Job"))</f>
        <v>Safe Job</v>
      </c>
    </row>
    <row r="4060" spans="1:24" x14ac:dyDescent="0.3">
      <c r="A4060">
        <v>14122</v>
      </c>
      <c r="B4060" t="s">
        <v>29</v>
      </c>
      <c r="C4060" t="s">
        <v>27</v>
      </c>
      <c r="D4060" t="s">
        <v>35</v>
      </c>
      <c r="E4060" s="1">
        <v>2026</v>
      </c>
      <c r="F4060" s="11">
        <v>0.84459999999999991</v>
      </c>
      <c r="G4060">
        <v>82.72</v>
      </c>
      <c r="H4060">
        <v>48.47</v>
      </c>
      <c r="I4060" s="2">
        <v>64853.78</v>
      </c>
      <c r="J4060" s="2">
        <v>63091.34</v>
      </c>
      <c r="K4060" s="2">
        <f>Table1[[#This Row],[Salary_after]]-Table1[[#This Row],[Salary_before]]</f>
        <v>-1762.4400000000023</v>
      </c>
      <c r="L4060" s="11">
        <v>-2.7200000000000002E-2</v>
      </c>
      <c r="M4060" s="11">
        <v>-0.15460000000000002</v>
      </c>
      <c r="N4060">
        <v>17.059999999999999</v>
      </c>
      <c r="O4060">
        <v>7.8</v>
      </c>
      <c r="P4060">
        <v>2</v>
      </c>
      <c r="Q4060" t="s">
        <v>37</v>
      </c>
      <c r="R4060">
        <v>66.465000000000003</v>
      </c>
      <c r="S4060">
        <v>2.72</v>
      </c>
      <c r="T4060" s="4">
        <v>49.140999999999998</v>
      </c>
      <c r="U4060" s="4">
        <v>6.5878799999999904</v>
      </c>
      <c r="V4060" t="str">
        <f>IF(Table1[[#This Row],[ai_disruption_intensity]]&gt;70,"High",
IF(Table1[[#This Row],[ai_disruption_intensity]]&gt;40,"Medium","Low"))</f>
        <v>Low</v>
      </c>
      <c r="W4060" t="str">
        <f>IF(Table1[[#This Row],[skill_gap_index]]&gt;70,"Large Gap",
IF(Table1[[#This Row],[skill_gap_index]]&gt;40,"Medium Gap","Small Gap"))</f>
        <v>Medium Gap</v>
      </c>
      <c r="X4060" s="3" t="str">
        <f>IF(Table1[[#This Row],[automation_risk_percent]]&gt;0.7,"Highly Automatable",
IF(Table1[[#This Row],[automation_risk_percent]]&gt;0.4,"Moderate Risk","Safe Job"))</f>
        <v>Highly Automatable</v>
      </c>
    </row>
    <row r="4061" spans="1:24" x14ac:dyDescent="0.3">
      <c r="A4061">
        <v>14125</v>
      </c>
      <c r="B4061" t="s">
        <v>22</v>
      </c>
      <c r="C4061" t="s">
        <v>38</v>
      </c>
      <c r="D4061" t="s">
        <v>24</v>
      </c>
      <c r="E4061" s="1">
        <v>2026</v>
      </c>
      <c r="F4061" s="11">
        <v>0.59350000000000003</v>
      </c>
      <c r="G4061">
        <v>51.57</v>
      </c>
      <c r="H4061">
        <v>4</v>
      </c>
      <c r="I4061" s="2">
        <v>116358.54</v>
      </c>
      <c r="J4061" s="2">
        <v>116964.56</v>
      </c>
      <c r="K4061" s="2">
        <f>Table1[[#This Row],[Salary_after]]-Table1[[#This Row],[Salary_before]]</f>
        <v>606.02000000000407</v>
      </c>
      <c r="L4061" s="11">
        <v>5.1999999999999998E-3</v>
      </c>
      <c r="M4061" s="11">
        <v>0.10310000000000001</v>
      </c>
      <c r="N4061">
        <v>42.72</v>
      </c>
      <c r="O4061">
        <v>3.09</v>
      </c>
      <c r="P4061">
        <v>3</v>
      </c>
      <c r="Q4061" t="s">
        <v>25</v>
      </c>
      <c r="R4061">
        <v>31.675000000000001</v>
      </c>
      <c r="S4061">
        <v>0.52</v>
      </c>
      <c r="T4061" s="4">
        <v>25.096</v>
      </c>
      <c r="U4061" s="4">
        <v>1.833915</v>
      </c>
      <c r="V4061" t="str">
        <f>IF(Table1[[#This Row],[ai_disruption_intensity]]&gt;70,"High",
IF(Table1[[#This Row],[ai_disruption_intensity]]&gt;40,"Medium","Low"))</f>
        <v>Low</v>
      </c>
      <c r="W4061" t="str">
        <f>IF(Table1[[#This Row],[skill_gap_index]]&gt;70,"Large Gap",
IF(Table1[[#This Row],[skill_gap_index]]&gt;40,"Medium Gap","Small Gap"))</f>
        <v>Small Gap</v>
      </c>
      <c r="X4061" s="3" t="str">
        <f>IF(Table1[[#This Row],[automation_risk_percent]]&gt;0.7,"Highly Automatable",
IF(Table1[[#This Row],[automation_risk_percent]]&gt;0.4,"Moderate Risk","Safe Job"))</f>
        <v>Moderate Risk</v>
      </c>
    </row>
    <row r="4062" spans="1:24" x14ac:dyDescent="0.3">
      <c r="A4062">
        <v>14128</v>
      </c>
      <c r="B4062" t="s">
        <v>26</v>
      </c>
      <c r="C4062" t="s">
        <v>33</v>
      </c>
      <c r="D4062" t="s">
        <v>31</v>
      </c>
      <c r="E4062" s="1">
        <v>2026</v>
      </c>
      <c r="F4062" s="11">
        <v>0.64810000000000001</v>
      </c>
      <c r="G4062">
        <v>74.11</v>
      </c>
      <c r="H4062">
        <v>63.22</v>
      </c>
      <c r="I4062" s="2">
        <v>56210.93</v>
      </c>
      <c r="J4062" s="2">
        <v>56987.7</v>
      </c>
      <c r="K4062" s="2">
        <f>Table1[[#This Row],[Salary_after]]-Table1[[#This Row],[Salary_before]]</f>
        <v>776.7699999999968</v>
      </c>
      <c r="L4062" s="11">
        <v>1.38E-2</v>
      </c>
      <c r="M4062" s="11">
        <v>0.13550000000000001</v>
      </c>
      <c r="N4062">
        <v>88.42</v>
      </c>
      <c r="O4062">
        <v>79.319999999999993</v>
      </c>
      <c r="P4062">
        <v>3</v>
      </c>
      <c r="Q4062" t="s">
        <v>37</v>
      </c>
      <c r="R4062">
        <v>64.015000000000001</v>
      </c>
      <c r="S4062">
        <v>1.38</v>
      </c>
      <c r="T4062" s="4">
        <v>45.304000000000002</v>
      </c>
      <c r="U4062" s="4">
        <v>51.407291999999998</v>
      </c>
      <c r="V4062" t="str">
        <f>IF(Table1[[#This Row],[ai_disruption_intensity]]&gt;70,"High",
IF(Table1[[#This Row],[ai_disruption_intensity]]&gt;40,"Medium","Low"))</f>
        <v>Medium</v>
      </c>
      <c r="W4062" t="str">
        <f>IF(Table1[[#This Row],[skill_gap_index]]&gt;70,"Large Gap",
IF(Table1[[#This Row],[skill_gap_index]]&gt;40,"Medium Gap","Small Gap"))</f>
        <v>Medium Gap</v>
      </c>
      <c r="X4062" s="3" t="str">
        <f>IF(Table1[[#This Row],[automation_risk_percent]]&gt;0.7,"Highly Automatable",
IF(Table1[[#This Row],[automation_risk_percent]]&gt;0.4,"Moderate Risk","Safe Job"))</f>
        <v>Moderate Risk</v>
      </c>
    </row>
    <row r="4063" spans="1:24" x14ac:dyDescent="0.3">
      <c r="A4063">
        <v>14129</v>
      </c>
      <c r="B4063" t="s">
        <v>44</v>
      </c>
      <c r="C4063" t="s">
        <v>27</v>
      </c>
      <c r="D4063" t="s">
        <v>31</v>
      </c>
      <c r="E4063" s="1">
        <v>2026</v>
      </c>
      <c r="F4063" s="11">
        <v>0.5333</v>
      </c>
      <c r="G4063">
        <v>63.61</v>
      </c>
      <c r="H4063">
        <v>24.43</v>
      </c>
      <c r="I4063" s="2">
        <v>104897.48</v>
      </c>
      <c r="J4063" s="2">
        <v>104418.12</v>
      </c>
      <c r="K4063" s="2">
        <f>Table1[[#This Row],[Salary_after]]-Table1[[#This Row],[Salary_before]]</f>
        <v>-479.36000000000058</v>
      </c>
      <c r="L4063" s="11">
        <v>-4.5999999999999999E-3</v>
      </c>
      <c r="M4063" s="11">
        <v>6.0000000000000001E-3</v>
      </c>
      <c r="N4063">
        <v>85.03</v>
      </c>
      <c r="O4063">
        <v>23.51</v>
      </c>
      <c r="P4063">
        <v>5</v>
      </c>
      <c r="Q4063" t="s">
        <v>25</v>
      </c>
      <c r="R4063">
        <v>38.879999999999903</v>
      </c>
      <c r="S4063">
        <v>0.46</v>
      </c>
      <c r="T4063" s="4">
        <v>28.798999999999999</v>
      </c>
      <c r="U4063" s="4">
        <v>12.5378829999999</v>
      </c>
      <c r="V4063" t="str">
        <f>IF(Table1[[#This Row],[ai_disruption_intensity]]&gt;70,"High",
IF(Table1[[#This Row],[ai_disruption_intensity]]&gt;40,"Medium","Low"))</f>
        <v>Low</v>
      </c>
      <c r="W4063" t="str">
        <f>IF(Table1[[#This Row],[skill_gap_index]]&gt;70,"Large Gap",
IF(Table1[[#This Row],[skill_gap_index]]&gt;40,"Medium Gap","Small Gap"))</f>
        <v>Small Gap</v>
      </c>
      <c r="X4063" s="3" t="str">
        <f>IF(Table1[[#This Row],[automation_risk_percent]]&gt;0.7,"Highly Automatable",
IF(Table1[[#This Row],[automation_risk_percent]]&gt;0.4,"Moderate Risk","Safe Job"))</f>
        <v>Moderate Risk</v>
      </c>
    </row>
    <row r="4064" spans="1:24" x14ac:dyDescent="0.3">
      <c r="A4064">
        <v>14138</v>
      </c>
      <c r="B4064" t="s">
        <v>26</v>
      </c>
      <c r="C4064" t="s">
        <v>33</v>
      </c>
      <c r="D4064" t="s">
        <v>31</v>
      </c>
      <c r="E4064" s="1">
        <v>2026</v>
      </c>
      <c r="F4064" s="11">
        <v>0.58109999999999995</v>
      </c>
      <c r="G4064">
        <v>49.75</v>
      </c>
      <c r="H4064">
        <v>98.51</v>
      </c>
      <c r="I4064" s="2">
        <v>55369.45</v>
      </c>
      <c r="J4064" s="2">
        <v>48434.83</v>
      </c>
      <c r="K4064" s="2">
        <f>Table1[[#This Row],[Salary_after]]-Table1[[#This Row],[Salary_before]]</f>
        <v>-6934.6199999999953</v>
      </c>
      <c r="L4064" s="11">
        <v>-0.12520000000000001</v>
      </c>
      <c r="M4064" s="11">
        <v>7.9899999999999999E-2</v>
      </c>
      <c r="N4064">
        <v>68.09</v>
      </c>
      <c r="O4064">
        <v>89.92</v>
      </c>
      <c r="P4064">
        <v>2</v>
      </c>
      <c r="Q4064" t="s">
        <v>25</v>
      </c>
      <c r="R4064">
        <v>78.31</v>
      </c>
      <c r="S4064">
        <v>12.52</v>
      </c>
      <c r="T4064" s="4">
        <v>56.552999999999997</v>
      </c>
      <c r="U4064" s="4">
        <v>52.252511999999903</v>
      </c>
      <c r="V4064" t="str">
        <f>IF(Table1[[#This Row],[ai_disruption_intensity]]&gt;70,"High",
IF(Table1[[#This Row],[ai_disruption_intensity]]&gt;40,"Medium","Low"))</f>
        <v>Medium</v>
      </c>
      <c r="W4064" t="str">
        <f>IF(Table1[[#This Row],[skill_gap_index]]&gt;70,"Large Gap",
IF(Table1[[#This Row],[skill_gap_index]]&gt;40,"Medium Gap","Small Gap"))</f>
        <v>Large Gap</v>
      </c>
      <c r="X4064" s="3" t="str">
        <f>IF(Table1[[#This Row],[automation_risk_percent]]&gt;0.7,"Highly Automatable",
IF(Table1[[#This Row],[automation_risk_percent]]&gt;0.4,"Moderate Risk","Safe Job"))</f>
        <v>Moderate Risk</v>
      </c>
    </row>
    <row r="4065" spans="1:24" x14ac:dyDescent="0.3">
      <c r="A4065">
        <v>14142</v>
      </c>
      <c r="B4065" t="s">
        <v>39</v>
      </c>
      <c r="C4065" t="s">
        <v>40</v>
      </c>
      <c r="D4065" t="s">
        <v>35</v>
      </c>
      <c r="E4065" s="1">
        <v>2025</v>
      </c>
      <c r="F4065" s="11">
        <v>0.74480000000000002</v>
      </c>
      <c r="G4065">
        <v>82.12</v>
      </c>
      <c r="H4065">
        <v>76.81</v>
      </c>
      <c r="I4065" s="2">
        <v>112391.74</v>
      </c>
      <c r="J4065" s="2">
        <v>111791.65</v>
      </c>
      <c r="K4065" s="2">
        <f>Table1[[#This Row],[Salary_after]]-Table1[[#This Row],[Salary_before]]</f>
        <v>-600.09000000001106</v>
      </c>
      <c r="L4065" s="11">
        <v>-5.3E-3</v>
      </c>
      <c r="M4065" s="11">
        <v>0.158</v>
      </c>
      <c r="N4065">
        <v>76.849999999999994</v>
      </c>
      <c r="O4065">
        <v>21.73</v>
      </c>
      <c r="P4065">
        <v>3</v>
      </c>
      <c r="Q4065" t="s">
        <v>37</v>
      </c>
      <c r="R4065">
        <v>75.644999999999996</v>
      </c>
      <c r="S4065">
        <v>0.53</v>
      </c>
      <c r="T4065" s="4">
        <v>52.994</v>
      </c>
      <c r="U4065" s="4">
        <v>16.184504</v>
      </c>
      <c r="V4065" t="str">
        <f>IF(Table1[[#This Row],[ai_disruption_intensity]]&gt;70,"High",
IF(Table1[[#This Row],[ai_disruption_intensity]]&gt;40,"Medium","Low"))</f>
        <v>Low</v>
      </c>
      <c r="W4065" t="str">
        <f>IF(Table1[[#This Row],[skill_gap_index]]&gt;70,"Large Gap",
IF(Table1[[#This Row],[skill_gap_index]]&gt;40,"Medium Gap","Small Gap"))</f>
        <v>Large Gap</v>
      </c>
      <c r="X4065" s="3" t="str">
        <f>IF(Table1[[#This Row],[automation_risk_percent]]&gt;0.7,"Highly Automatable",
IF(Table1[[#This Row],[automation_risk_percent]]&gt;0.4,"Moderate Risk","Safe Job"))</f>
        <v>Highly Automatable</v>
      </c>
    </row>
    <row r="4066" spans="1:24" x14ac:dyDescent="0.3">
      <c r="A4066">
        <v>14146</v>
      </c>
      <c r="B4066" t="s">
        <v>45</v>
      </c>
      <c r="C4066" t="s">
        <v>30</v>
      </c>
      <c r="D4066" t="s">
        <v>47</v>
      </c>
      <c r="E4066" s="1">
        <v>2025</v>
      </c>
      <c r="F4066" s="11">
        <v>0.57740000000000002</v>
      </c>
      <c r="G4066">
        <v>57.21</v>
      </c>
      <c r="H4066">
        <v>79.94</v>
      </c>
      <c r="I4066" s="2">
        <v>68867.990000000005</v>
      </c>
      <c r="J4066" s="2">
        <v>62513.16</v>
      </c>
      <c r="K4066" s="2">
        <f>Table1[[#This Row],[Salary_after]]-Table1[[#This Row],[Salary_before]]</f>
        <v>-6354.8300000000017</v>
      </c>
      <c r="L4066" s="11">
        <v>-9.2300000000000007E-2</v>
      </c>
      <c r="M4066" s="11">
        <v>-3.9199999999999999E-2</v>
      </c>
      <c r="N4066">
        <v>26.55</v>
      </c>
      <c r="O4066">
        <v>87.82</v>
      </c>
      <c r="P4066">
        <v>5</v>
      </c>
      <c r="Q4066" t="s">
        <v>25</v>
      </c>
      <c r="R4066">
        <v>68.84</v>
      </c>
      <c r="S4066">
        <v>9.23</v>
      </c>
      <c r="T4066" s="4">
        <v>49.847000000000001</v>
      </c>
      <c r="U4066" s="4">
        <v>50.7072679999999</v>
      </c>
      <c r="V4066" t="str">
        <f>IF(Table1[[#This Row],[ai_disruption_intensity]]&gt;70,"High",
IF(Table1[[#This Row],[ai_disruption_intensity]]&gt;40,"Medium","Low"))</f>
        <v>Medium</v>
      </c>
      <c r="W4066" t="str">
        <f>IF(Table1[[#This Row],[skill_gap_index]]&gt;70,"Large Gap",
IF(Table1[[#This Row],[skill_gap_index]]&gt;40,"Medium Gap","Small Gap"))</f>
        <v>Large Gap</v>
      </c>
      <c r="X4066" s="3" t="str">
        <f>IF(Table1[[#This Row],[automation_risk_percent]]&gt;0.7,"Highly Automatable",
IF(Table1[[#This Row],[automation_risk_percent]]&gt;0.4,"Moderate Risk","Safe Job"))</f>
        <v>Moderate Risk</v>
      </c>
    </row>
    <row r="4067" spans="1:24" x14ac:dyDescent="0.3">
      <c r="A4067">
        <v>14147</v>
      </c>
      <c r="B4067" t="s">
        <v>26</v>
      </c>
      <c r="C4067" t="s">
        <v>38</v>
      </c>
      <c r="D4067" t="s">
        <v>36</v>
      </c>
      <c r="E4067" s="1">
        <v>2026</v>
      </c>
      <c r="F4067" s="11">
        <v>0.27440000000000003</v>
      </c>
      <c r="G4067">
        <v>31.54</v>
      </c>
      <c r="H4067">
        <v>88.35</v>
      </c>
      <c r="I4067" s="2">
        <v>45754.31</v>
      </c>
      <c r="J4067" s="2">
        <v>43380.800000000003</v>
      </c>
      <c r="K4067" s="2">
        <f>Table1[[#This Row],[Salary_after]]-Table1[[#This Row],[Salary_before]]</f>
        <v>-2373.5099999999948</v>
      </c>
      <c r="L4067" s="11">
        <v>-5.1900000000000002E-2</v>
      </c>
      <c r="M4067" s="11">
        <v>-7.7199999999999991E-2</v>
      </c>
      <c r="N4067">
        <v>21.71</v>
      </c>
      <c r="O4067">
        <v>94.68</v>
      </c>
      <c r="P4067">
        <v>3</v>
      </c>
      <c r="Q4067" t="s">
        <v>21</v>
      </c>
      <c r="R4067">
        <v>57.894999999999897</v>
      </c>
      <c r="S4067">
        <v>5.19</v>
      </c>
      <c r="T4067" s="4">
        <v>39.037999999999997</v>
      </c>
      <c r="U4067" s="4">
        <v>25.980191999999999</v>
      </c>
      <c r="V4067" t="str">
        <f>IF(Table1[[#This Row],[ai_disruption_intensity]]&gt;70,"High",
IF(Table1[[#This Row],[ai_disruption_intensity]]&gt;40,"Medium","Low"))</f>
        <v>Low</v>
      </c>
      <c r="W4067" t="str">
        <f>IF(Table1[[#This Row],[skill_gap_index]]&gt;70,"Large Gap",
IF(Table1[[#This Row],[skill_gap_index]]&gt;40,"Medium Gap","Small Gap"))</f>
        <v>Large Gap</v>
      </c>
      <c r="X4067" s="3" t="str">
        <f>IF(Table1[[#This Row],[automation_risk_percent]]&gt;0.7,"Highly Automatable",
IF(Table1[[#This Row],[automation_risk_percent]]&gt;0.4,"Moderate Risk","Safe Job"))</f>
        <v>Safe Job</v>
      </c>
    </row>
    <row r="4068" spans="1:24" x14ac:dyDescent="0.3">
      <c r="A4068">
        <v>14156</v>
      </c>
      <c r="B4068" t="s">
        <v>39</v>
      </c>
      <c r="C4068" t="s">
        <v>34</v>
      </c>
      <c r="D4068" t="s">
        <v>28</v>
      </c>
      <c r="E4068" s="1">
        <v>2025</v>
      </c>
      <c r="F4068" s="11">
        <v>0.42080000000000001</v>
      </c>
      <c r="G4068">
        <v>47.77</v>
      </c>
      <c r="H4068">
        <v>55.15</v>
      </c>
      <c r="I4068" s="2">
        <v>98674.880000000005</v>
      </c>
      <c r="J4068" s="2">
        <v>88721.07</v>
      </c>
      <c r="K4068" s="2">
        <f>Table1[[#This Row],[Salary_after]]-Table1[[#This Row],[Salary_before]]</f>
        <v>-9953.8099999999977</v>
      </c>
      <c r="L4068" s="11">
        <v>-0.1009</v>
      </c>
      <c r="M4068" s="11">
        <v>0.15259999999999999</v>
      </c>
      <c r="N4068">
        <v>44.23</v>
      </c>
      <c r="O4068">
        <v>84.81</v>
      </c>
      <c r="P4068">
        <v>1</v>
      </c>
      <c r="Q4068" t="s">
        <v>25</v>
      </c>
      <c r="R4068">
        <v>48.614999999999903</v>
      </c>
      <c r="S4068">
        <v>10.09</v>
      </c>
      <c r="T4068" s="4">
        <v>36.403999999999897</v>
      </c>
      <c r="U4068" s="4">
        <v>35.688048000000002</v>
      </c>
      <c r="V4068" t="str">
        <f>IF(Table1[[#This Row],[ai_disruption_intensity]]&gt;70,"High",
IF(Table1[[#This Row],[ai_disruption_intensity]]&gt;40,"Medium","Low"))</f>
        <v>Low</v>
      </c>
      <c r="W4068" t="str">
        <f>IF(Table1[[#This Row],[skill_gap_index]]&gt;70,"Large Gap",
IF(Table1[[#This Row],[skill_gap_index]]&gt;40,"Medium Gap","Small Gap"))</f>
        <v>Medium Gap</v>
      </c>
      <c r="X4068" s="3" t="str">
        <f>IF(Table1[[#This Row],[automation_risk_percent]]&gt;0.7,"Highly Automatable",
IF(Table1[[#This Row],[automation_risk_percent]]&gt;0.4,"Moderate Risk","Safe Job"))</f>
        <v>Moderate Risk</v>
      </c>
    </row>
    <row r="4069" spans="1:24" x14ac:dyDescent="0.3">
      <c r="A4069">
        <v>14158</v>
      </c>
      <c r="B4069" t="s">
        <v>18</v>
      </c>
      <c r="C4069" t="s">
        <v>38</v>
      </c>
      <c r="D4069" t="s">
        <v>31</v>
      </c>
      <c r="E4069" s="1">
        <v>2025</v>
      </c>
      <c r="F4069" s="11">
        <v>0.33770000000000006</v>
      </c>
      <c r="G4069">
        <v>40.03</v>
      </c>
      <c r="H4069">
        <v>32.44</v>
      </c>
      <c r="I4069" s="2">
        <v>53052.99</v>
      </c>
      <c r="J4069" s="2">
        <v>56284.639999999999</v>
      </c>
      <c r="K4069" s="2">
        <f>Table1[[#This Row],[Salary_after]]-Table1[[#This Row],[Salary_before]]</f>
        <v>3231.6500000000015</v>
      </c>
      <c r="L4069" s="11">
        <v>6.0899999999999996E-2</v>
      </c>
      <c r="M4069" s="11">
        <v>5.7000000000000002E-2</v>
      </c>
      <c r="N4069">
        <v>80.13</v>
      </c>
      <c r="O4069">
        <v>43.62</v>
      </c>
      <c r="P4069">
        <v>5</v>
      </c>
      <c r="Q4069" t="s">
        <v>25</v>
      </c>
      <c r="R4069">
        <v>33.104999999999997</v>
      </c>
      <c r="S4069">
        <v>6.09</v>
      </c>
      <c r="T4069" s="4">
        <v>25.067</v>
      </c>
      <c r="U4069" s="4">
        <v>14.730473999999999</v>
      </c>
      <c r="V4069" t="str">
        <f>IF(Table1[[#This Row],[ai_disruption_intensity]]&gt;70,"High",
IF(Table1[[#This Row],[ai_disruption_intensity]]&gt;40,"Medium","Low"))</f>
        <v>Low</v>
      </c>
      <c r="W4069" t="str">
        <f>IF(Table1[[#This Row],[skill_gap_index]]&gt;70,"Large Gap",
IF(Table1[[#This Row],[skill_gap_index]]&gt;40,"Medium Gap","Small Gap"))</f>
        <v>Small Gap</v>
      </c>
      <c r="X4069" s="3" t="str">
        <f>IF(Table1[[#This Row],[automation_risk_percent]]&gt;0.7,"Highly Automatable",
IF(Table1[[#This Row],[automation_risk_percent]]&gt;0.4,"Moderate Risk","Safe Job"))</f>
        <v>Safe Job</v>
      </c>
    </row>
    <row r="4070" spans="1:24" x14ac:dyDescent="0.3">
      <c r="A4070">
        <v>14160</v>
      </c>
      <c r="B4070" t="s">
        <v>18</v>
      </c>
      <c r="C4070" t="s">
        <v>38</v>
      </c>
      <c r="D4070" t="s">
        <v>47</v>
      </c>
      <c r="E4070" s="1">
        <v>2025</v>
      </c>
      <c r="F4070" s="11">
        <v>0.39039999999999997</v>
      </c>
      <c r="G4070">
        <v>33.47</v>
      </c>
      <c r="H4070">
        <v>83.83</v>
      </c>
      <c r="I4070" s="2">
        <v>106744.97</v>
      </c>
      <c r="J4070" s="2">
        <v>130609.25</v>
      </c>
      <c r="K4070" s="2">
        <f>Table1[[#This Row],[Salary_after]]-Table1[[#This Row],[Salary_before]]</f>
        <v>23864.28</v>
      </c>
      <c r="L4070" s="11">
        <v>0.22359999999999999</v>
      </c>
      <c r="M4070" s="11">
        <v>0.11449999999999999</v>
      </c>
      <c r="N4070">
        <v>60.7</v>
      </c>
      <c r="O4070">
        <v>39.03</v>
      </c>
      <c r="P4070">
        <v>5</v>
      </c>
      <c r="Q4070" t="s">
        <v>25</v>
      </c>
      <c r="R4070">
        <v>61.435000000000002</v>
      </c>
      <c r="S4070">
        <v>22.36</v>
      </c>
      <c r="T4070" s="4">
        <v>47.472999999999999</v>
      </c>
      <c r="U4070" s="4">
        <v>15.237311999999999</v>
      </c>
      <c r="V4070" t="str">
        <f>IF(Table1[[#This Row],[ai_disruption_intensity]]&gt;70,"High",
IF(Table1[[#This Row],[ai_disruption_intensity]]&gt;40,"Medium","Low"))</f>
        <v>Low</v>
      </c>
      <c r="W4070" t="str">
        <f>IF(Table1[[#This Row],[skill_gap_index]]&gt;70,"Large Gap",
IF(Table1[[#This Row],[skill_gap_index]]&gt;40,"Medium Gap","Small Gap"))</f>
        <v>Large Gap</v>
      </c>
      <c r="X4070" s="3" t="str">
        <f>IF(Table1[[#This Row],[automation_risk_percent]]&gt;0.7,"Highly Automatable",
IF(Table1[[#This Row],[automation_risk_percent]]&gt;0.4,"Moderate Risk","Safe Job"))</f>
        <v>Safe Job</v>
      </c>
    </row>
    <row r="4071" spans="1:24" x14ac:dyDescent="0.3">
      <c r="A4071">
        <v>14167</v>
      </c>
      <c r="B4071" t="s">
        <v>45</v>
      </c>
      <c r="C4071" t="s">
        <v>23</v>
      </c>
      <c r="D4071" t="s">
        <v>31</v>
      </c>
      <c r="E4071" s="1">
        <v>2025</v>
      </c>
      <c r="F4071" s="11">
        <v>0.62350000000000005</v>
      </c>
      <c r="G4071">
        <v>69.45</v>
      </c>
      <c r="H4071">
        <v>27.07</v>
      </c>
      <c r="I4071" s="2">
        <v>41852.04</v>
      </c>
      <c r="J4071" s="2">
        <v>36134.36</v>
      </c>
      <c r="K4071" s="2">
        <f>Table1[[#This Row],[Salary_after]]-Table1[[#This Row],[Salary_before]]</f>
        <v>-5717.68</v>
      </c>
      <c r="L4071" s="11">
        <v>-0.1366</v>
      </c>
      <c r="M4071" s="11">
        <v>-0.22969999999999999</v>
      </c>
      <c r="N4071">
        <v>66.19</v>
      </c>
      <c r="O4071">
        <v>9.42</v>
      </c>
      <c r="P4071">
        <v>4</v>
      </c>
      <c r="Q4071" t="s">
        <v>37</v>
      </c>
      <c r="R4071">
        <v>44.71</v>
      </c>
      <c r="S4071">
        <v>13.66</v>
      </c>
      <c r="T4071" s="4">
        <v>37.158999999999999</v>
      </c>
      <c r="U4071" s="4">
        <v>5.8733699999999898</v>
      </c>
      <c r="V4071" t="str">
        <f>IF(Table1[[#This Row],[ai_disruption_intensity]]&gt;70,"High",
IF(Table1[[#This Row],[ai_disruption_intensity]]&gt;40,"Medium","Low"))</f>
        <v>Low</v>
      </c>
      <c r="W4071" t="str">
        <f>IF(Table1[[#This Row],[skill_gap_index]]&gt;70,"Large Gap",
IF(Table1[[#This Row],[skill_gap_index]]&gt;40,"Medium Gap","Small Gap"))</f>
        <v>Small Gap</v>
      </c>
      <c r="X4071" s="3" t="str">
        <f>IF(Table1[[#This Row],[automation_risk_percent]]&gt;0.7,"Highly Automatable",
IF(Table1[[#This Row],[automation_risk_percent]]&gt;0.4,"Moderate Risk","Safe Job"))</f>
        <v>Moderate Risk</v>
      </c>
    </row>
    <row r="4072" spans="1:24" x14ac:dyDescent="0.3">
      <c r="A4072">
        <v>14175</v>
      </c>
      <c r="B4072" t="s">
        <v>46</v>
      </c>
      <c r="C4072" t="s">
        <v>23</v>
      </c>
      <c r="D4072" t="s">
        <v>31</v>
      </c>
      <c r="E4072" s="1">
        <v>2025</v>
      </c>
      <c r="F4072" s="11">
        <v>6.0999999999999999E-2</v>
      </c>
      <c r="G4072">
        <v>5.95</v>
      </c>
      <c r="H4072">
        <v>78.47</v>
      </c>
      <c r="I4072" s="2">
        <v>115167.96</v>
      </c>
      <c r="J4072" s="2">
        <v>99371.29</v>
      </c>
      <c r="K4072" s="2">
        <f>Table1[[#This Row],[Salary_after]]-Table1[[#This Row],[Salary_before]]</f>
        <v>-15796.670000000013</v>
      </c>
      <c r="L4072" s="11">
        <v>-0.13720000000000002</v>
      </c>
      <c r="M4072" s="11">
        <v>6.7099999999999993E-2</v>
      </c>
      <c r="N4072">
        <v>63.07</v>
      </c>
      <c r="O4072">
        <v>67.680000000000007</v>
      </c>
      <c r="P4072">
        <v>3</v>
      </c>
      <c r="Q4072" t="s">
        <v>21</v>
      </c>
      <c r="R4072">
        <v>42.284999999999997</v>
      </c>
      <c r="S4072">
        <v>13.72</v>
      </c>
      <c r="T4072" s="4">
        <v>30.097000000000001</v>
      </c>
      <c r="U4072" s="4">
        <v>4.1284799999999997</v>
      </c>
      <c r="V4072" t="str">
        <f>IF(Table1[[#This Row],[ai_disruption_intensity]]&gt;70,"High",
IF(Table1[[#This Row],[ai_disruption_intensity]]&gt;40,"Medium","Low"))</f>
        <v>Low</v>
      </c>
      <c r="W4072" t="str">
        <f>IF(Table1[[#This Row],[skill_gap_index]]&gt;70,"Large Gap",
IF(Table1[[#This Row],[skill_gap_index]]&gt;40,"Medium Gap","Small Gap"))</f>
        <v>Large Gap</v>
      </c>
      <c r="X4072" s="3" t="str">
        <f>IF(Table1[[#This Row],[automation_risk_percent]]&gt;0.7,"Highly Automatable",
IF(Table1[[#This Row],[automation_risk_percent]]&gt;0.4,"Moderate Risk","Safe Job"))</f>
        <v>Safe Job</v>
      </c>
    </row>
    <row r="4073" spans="1:24" x14ac:dyDescent="0.3">
      <c r="A4073">
        <v>14179</v>
      </c>
      <c r="B4073" t="s">
        <v>29</v>
      </c>
      <c r="C4073" t="s">
        <v>19</v>
      </c>
      <c r="D4073" t="s">
        <v>32</v>
      </c>
      <c r="E4073" s="1">
        <v>2025</v>
      </c>
      <c r="F4073" s="11">
        <v>0.73670000000000002</v>
      </c>
      <c r="G4073">
        <v>80.27</v>
      </c>
      <c r="H4073">
        <v>55.82</v>
      </c>
      <c r="I4073" s="2">
        <v>138644.29</v>
      </c>
      <c r="J4073" s="2">
        <v>158201.89000000001</v>
      </c>
      <c r="K4073" s="2">
        <f>Table1[[#This Row],[Salary_after]]-Table1[[#This Row],[Salary_before]]</f>
        <v>19557.600000000006</v>
      </c>
      <c r="L4073" s="11">
        <v>0.1411</v>
      </c>
      <c r="M4073" s="11">
        <v>-2.9700000000000001E-2</v>
      </c>
      <c r="N4073">
        <v>75.260000000000005</v>
      </c>
      <c r="O4073">
        <v>46.3</v>
      </c>
      <c r="P4073">
        <v>4</v>
      </c>
      <c r="Q4073" t="s">
        <v>37</v>
      </c>
      <c r="R4073">
        <v>64.745000000000005</v>
      </c>
      <c r="S4073">
        <v>14.11</v>
      </c>
      <c r="T4073" s="4">
        <v>50.446999999999903</v>
      </c>
      <c r="U4073" s="4">
        <v>34.109209999999997</v>
      </c>
      <c r="V4073" t="str">
        <f>IF(Table1[[#This Row],[ai_disruption_intensity]]&gt;70,"High",
IF(Table1[[#This Row],[ai_disruption_intensity]]&gt;40,"Medium","Low"))</f>
        <v>Low</v>
      </c>
      <c r="W4073" t="str">
        <f>IF(Table1[[#This Row],[skill_gap_index]]&gt;70,"Large Gap",
IF(Table1[[#This Row],[skill_gap_index]]&gt;40,"Medium Gap","Small Gap"))</f>
        <v>Medium Gap</v>
      </c>
      <c r="X4073" s="3" t="str">
        <f>IF(Table1[[#This Row],[automation_risk_percent]]&gt;0.7,"Highly Automatable",
IF(Table1[[#This Row],[automation_risk_percent]]&gt;0.4,"Moderate Risk","Safe Job"))</f>
        <v>Highly Automatable</v>
      </c>
    </row>
    <row r="4074" spans="1:24" x14ac:dyDescent="0.3">
      <c r="A4074">
        <v>14188</v>
      </c>
      <c r="B4074" t="s">
        <v>18</v>
      </c>
      <c r="C4074" t="s">
        <v>38</v>
      </c>
      <c r="D4074" t="s">
        <v>32</v>
      </c>
      <c r="E4074" s="1">
        <v>2025</v>
      </c>
      <c r="F4074" s="11">
        <v>0.11800000000000001</v>
      </c>
      <c r="G4074">
        <v>12.97</v>
      </c>
      <c r="H4074">
        <v>31.16</v>
      </c>
      <c r="I4074" s="2">
        <v>41706.800000000003</v>
      </c>
      <c r="J4074" s="2">
        <v>39449.449999999997</v>
      </c>
      <c r="K4074" s="2">
        <f>Table1[[#This Row],[Salary_after]]-Table1[[#This Row],[Salary_before]]</f>
        <v>-2257.3500000000058</v>
      </c>
      <c r="L4074" s="11">
        <v>-5.4100000000000002E-2</v>
      </c>
      <c r="M4074" s="11">
        <v>-0.122</v>
      </c>
      <c r="N4074">
        <v>29.64</v>
      </c>
      <c r="O4074">
        <v>6.01</v>
      </c>
      <c r="P4074">
        <v>4</v>
      </c>
      <c r="Q4074" t="s">
        <v>21</v>
      </c>
      <c r="R4074">
        <v>21.48</v>
      </c>
      <c r="S4074">
        <v>5.41</v>
      </c>
      <c r="T4074" s="4">
        <v>15.690999999999899</v>
      </c>
      <c r="U4074" s="4">
        <v>0.70918000000000003</v>
      </c>
      <c r="V4074" t="str">
        <f>IF(Table1[[#This Row],[ai_disruption_intensity]]&gt;70,"High",
IF(Table1[[#This Row],[ai_disruption_intensity]]&gt;40,"Medium","Low"))</f>
        <v>Low</v>
      </c>
      <c r="W4074" t="str">
        <f>IF(Table1[[#This Row],[skill_gap_index]]&gt;70,"Large Gap",
IF(Table1[[#This Row],[skill_gap_index]]&gt;40,"Medium Gap","Small Gap"))</f>
        <v>Small Gap</v>
      </c>
      <c r="X4074" s="3" t="str">
        <f>IF(Table1[[#This Row],[automation_risk_percent]]&gt;0.7,"Highly Automatable",
IF(Table1[[#This Row],[automation_risk_percent]]&gt;0.4,"Moderate Risk","Safe Job"))</f>
        <v>Safe Job</v>
      </c>
    </row>
    <row r="4075" spans="1:24" x14ac:dyDescent="0.3">
      <c r="A4075">
        <v>14191</v>
      </c>
      <c r="B4075" t="s">
        <v>26</v>
      </c>
      <c r="C4075" t="s">
        <v>33</v>
      </c>
      <c r="D4075" t="s">
        <v>28</v>
      </c>
      <c r="E4075" s="1">
        <v>2026</v>
      </c>
      <c r="F4075" s="11">
        <v>0.2011</v>
      </c>
      <c r="G4075">
        <v>16.71</v>
      </c>
      <c r="H4075">
        <v>91.81</v>
      </c>
      <c r="I4075" s="2">
        <v>131025.74</v>
      </c>
      <c r="J4075" s="2">
        <v>124191.2</v>
      </c>
      <c r="K4075" s="2">
        <f>Table1[[#This Row],[Salary_after]]-Table1[[#This Row],[Salary_before]]</f>
        <v>-6834.5400000000081</v>
      </c>
      <c r="L4075" s="11">
        <v>-5.2199999999999996E-2</v>
      </c>
      <c r="M4075" s="11">
        <v>-4.5400000000000003E-2</v>
      </c>
      <c r="N4075">
        <v>52.98</v>
      </c>
      <c r="O4075">
        <v>40.64</v>
      </c>
      <c r="P4075">
        <v>3</v>
      </c>
      <c r="Q4075" t="s">
        <v>21</v>
      </c>
      <c r="R4075">
        <v>55.96</v>
      </c>
      <c r="S4075">
        <v>5.22</v>
      </c>
      <c r="T4075" s="4">
        <v>37.152999999999999</v>
      </c>
      <c r="U4075" s="4">
        <v>8.1727039999999995</v>
      </c>
      <c r="V4075" t="str">
        <f>IF(Table1[[#This Row],[ai_disruption_intensity]]&gt;70,"High",
IF(Table1[[#This Row],[ai_disruption_intensity]]&gt;40,"Medium","Low"))</f>
        <v>Low</v>
      </c>
      <c r="W4075" t="str">
        <f>IF(Table1[[#This Row],[skill_gap_index]]&gt;70,"Large Gap",
IF(Table1[[#This Row],[skill_gap_index]]&gt;40,"Medium Gap","Small Gap"))</f>
        <v>Large Gap</v>
      </c>
      <c r="X4075" s="3" t="str">
        <f>IF(Table1[[#This Row],[automation_risk_percent]]&gt;0.7,"Highly Automatable",
IF(Table1[[#This Row],[automation_risk_percent]]&gt;0.4,"Moderate Risk","Safe Job"))</f>
        <v>Safe Job</v>
      </c>
    </row>
    <row r="4076" spans="1:24" x14ac:dyDescent="0.3">
      <c r="A4076">
        <v>14196</v>
      </c>
      <c r="B4076" t="s">
        <v>39</v>
      </c>
      <c r="C4076" t="s">
        <v>34</v>
      </c>
      <c r="D4076" t="s">
        <v>42</v>
      </c>
      <c r="E4076" s="1">
        <v>2026</v>
      </c>
      <c r="F4076" s="11">
        <v>0.16269999999999998</v>
      </c>
      <c r="G4076">
        <v>18.18</v>
      </c>
      <c r="H4076">
        <v>67.45</v>
      </c>
      <c r="I4076" s="2">
        <v>123084.12</v>
      </c>
      <c r="J4076" s="2">
        <v>98598.15</v>
      </c>
      <c r="K4076" s="2">
        <f>Table1[[#This Row],[Salary_after]]-Table1[[#This Row],[Salary_before]]</f>
        <v>-24485.97</v>
      </c>
      <c r="L4076" s="11">
        <v>-0.19889999999999999</v>
      </c>
      <c r="M4076" s="11">
        <v>0.29420000000000002</v>
      </c>
      <c r="N4076">
        <v>42.58</v>
      </c>
      <c r="O4076">
        <v>81.349999999999994</v>
      </c>
      <c r="P4076">
        <v>3</v>
      </c>
      <c r="Q4076" t="s">
        <v>21</v>
      </c>
      <c r="R4076">
        <v>41.86</v>
      </c>
      <c r="S4076">
        <v>19.89</v>
      </c>
      <c r="T4076" s="4">
        <v>32.71</v>
      </c>
      <c r="U4076" s="4">
        <v>13.235645</v>
      </c>
      <c r="V4076" t="str">
        <f>IF(Table1[[#This Row],[ai_disruption_intensity]]&gt;70,"High",
IF(Table1[[#This Row],[ai_disruption_intensity]]&gt;40,"Medium","Low"))</f>
        <v>Low</v>
      </c>
      <c r="W4076" t="str">
        <f>IF(Table1[[#This Row],[skill_gap_index]]&gt;70,"Large Gap",
IF(Table1[[#This Row],[skill_gap_index]]&gt;40,"Medium Gap","Small Gap"))</f>
        <v>Medium Gap</v>
      </c>
      <c r="X4076" s="3" t="str">
        <f>IF(Table1[[#This Row],[automation_risk_percent]]&gt;0.7,"Highly Automatable",
IF(Table1[[#This Row],[automation_risk_percent]]&gt;0.4,"Moderate Risk","Safe Job"))</f>
        <v>Safe Job</v>
      </c>
    </row>
    <row r="4077" spans="1:24" x14ac:dyDescent="0.3">
      <c r="A4077">
        <v>14197</v>
      </c>
      <c r="B4077" t="s">
        <v>39</v>
      </c>
      <c r="C4077" t="s">
        <v>33</v>
      </c>
      <c r="D4077" t="s">
        <v>28</v>
      </c>
      <c r="E4077" s="1">
        <v>2026</v>
      </c>
      <c r="F4077" s="11">
        <v>0.1012</v>
      </c>
      <c r="G4077">
        <v>10.19</v>
      </c>
      <c r="H4077">
        <v>37.369999999999997</v>
      </c>
      <c r="I4077" s="2">
        <v>48491.94</v>
      </c>
      <c r="J4077" s="2">
        <v>43608.37</v>
      </c>
      <c r="K4077" s="2">
        <f>Table1[[#This Row],[Salary_after]]-Table1[[#This Row],[Salary_before]]</f>
        <v>-4883.57</v>
      </c>
      <c r="L4077" s="11">
        <v>-0.1007</v>
      </c>
      <c r="M4077" s="11">
        <v>0.14199999999999999</v>
      </c>
      <c r="N4077">
        <v>47.59</v>
      </c>
      <c r="O4077">
        <v>28.98</v>
      </c>
      <c r="P4077">
        <v>5</v>
      </c>
      <c r="Q4077" t="s">
        <v>21</v>
      </c>
      <c r="R4077">
        <v>23.744999999999902</v>
      </c>
      <c r="S4077">
        <v>10.07</v>
      </c>
      <c r="T4077" s="4">
        <v>18.279999999999902</v>
      </c>
      <c r="U4077" s="4">
        <v>2.932776</v>
      </c>
      <c r="V4077" t="str">
        <f>IF(Table1[[#This Row],[ai_disruption_intensity]]&gt;70,"High",
IF(Table1[[#This Row],[ai_disruption_intensity]]&gt;40,"Medium","Low"))</f>
        <v>Low</v>
      </c>
      <c r="W4077" t="str">
        <f>IF(Table1[[#This Row],[skill_gap_index]]&gt;70,"Large Gap",
IF(Table1[[#This Row],[skill_gap_index]]&gt;40,"Medium Gap","Small Gap"))</f>
        <v>Small Gap</v>
      </c>
      <c r="X4077" s="3" t="str">
        <f>IF(Table1[[#This Row],[automation_risk_percent]]&gt;0.7,"Highly Automatable",
IF(Table1[[#This Row],[automation_risk_percent]]&gt;0.4,"Moderate Risk","Safe Job"))</f>
        <v>Safe Job</v>
      </c>
    </row>
    <row r="4078" spans="1:24" x14ac:dyDescent="0.3">
      <c r="A4078">
        <v>14202</v>
      </c>
      <c r="B4078" t="s">
        <v>26</v>
      </c>
      <c r="C4078" t="s">
        <v>30</v>
      </c>
      <c r="D4078" t="s">
        <v>36</v>
      </c>
      <c r="E4078" s="1">
        <v>2026</v>
      </c>
      <c r="F4078" s="11">
        <v>0.39610000000000001</v>
      </c>
      <c r="G4078">
        <v>43.73</v>
      </c>
      <c r="H4078">
        <v>59.93</v>
      </c>
      <c r="I4078" s="2">
        <v>149043.91</v>
      </c>
      <c r="J4078" s="2">
        <v>140161.63</v>
      </c>
      <c r="K4078" s="2">
        <f>Table1[[#This Row],[Salary_after]]-Table1[[#This Row],[Salary_before]]</f>
        <v>-8882.2799999999988</v>
      </c>
      <c r="L4078" s="11">
        <v>-5.96E-2</v>
      </c>
      <c r="M4078" s="11">
        <v>0.29039999999999999</v>
      </c>
      <c r="N4078">
        <v>24.03</v>
      </c>
      <c r="O4078">
        <v>84.4</v>
      </c>
      <c r="P4078">
        <v>2</v>
      </c>
      <c r="Q4078" t="s">
        <v>25</v>
      </c>
      <c r="R4078">
        <v>49.769999999999897</v>
      </c>
      <c r="S4078">
        <v>5.96</v>
      </c>
      <c r="T4078" s="4">
        <v>35.610999999999997</v>
      </c>
      <c r="U4078" s="4">
        <v>33.430840000000003</v>
      </c>
      <c r="V4078" t="str">
        <f>IF(Table1[[#This Row],[ai_disruption_intensity]]&gt;70,"High",
IF(Table1[[#This Row],[ai_disruption_intensity]]&gt;40,"Medium","Low"))</f>
        <v>Low</v>
      </c>
      <c r="W4078" t="str">
        <f>IF(Table1[[#This Row],[skill_gap_index]]&gt;70,"Large Gap",
IF(Table1[[#This Row],[skill_gap_index]]&gt;40,"Medium Gap","Small Gap"))</f>
        <v>Medium Gap</v>
      </c>
      <c r="X4078" s="3" t="str">
        <f>IF(Table1[[#This Row],[automation_risk_percent]]&gt;0.7,"Highly Automatable",
IF(Table1[[#This Row],[automation_risk_percent]]&gt;0.4,"Moderate Risk","Safe Job"))</f>
        <v>Safe Job</v>
      </c>
    </row>
    <row r="4079" spans="1:24" x14ac:dyDescent="0.3">
      <c r="A4079">
        <v>14204</v>
      </c>
      <c r="B4079" t="s">
        <v>44</v>
      </c>
      <c r="C4079" t="s">
        <v>33</v>
      </c>
      <c r="D4079" t="s">
        <v>32</v>
      </c>
      <c r="E4079" s="1">
        <v>2025</v>
      </c>
      <c r="F4079" s="11">
        <v>0.70319999999999994</v>
      </c>
      <c r="G4079">
        <v>74.099999999999994</v>
      </c>
      <c r="H4079">
        <v>57.79</v>
      </c>
      <c r="I4079" s="2">
        <v>145234.81</v>
      </c>
      <c r="J4079" s="2">
        <v>164925.20000000001</v>
      </c>
      <c r="K4079" s="2">
        <f>Table1[[#This Row],[Salary_after]]-Table1[[#This Row],[Salary_before]]</f>
        <v>19690.390000000014</v>
      </c>
      <c r="L4079" s="11">
        <v>0.1356</v>
      </c>
      <c r="M4079" s="11">
        <v>7.2599999999999998E-2</v>
      </c>
      <c r="N4079">
        <v>29.32</v>
      </c>
      <c r="O4079">
        <v>32.950000000000003</v>
      </c>
      <c r="P4079">
        <v>5</v>
      </c>
      <c r="Q4079" t="s">
        <v>37</v>
      </c>
      <c r="R4079">
        <v>64.054999999999893</v>
      </c>
      <c r="S4079">
        <v>13.56</v>
      </c>
      <c r="T4079" s="4">
        <v>49.533000000000001</v>
      </c>
      <c r="U4079" s="4">
        <v>23.170439999999999</v>
      </c>
      <c r="V4079" t="str">
        <f>IF(Table1[[#This Row],[ai_disruption_intensity]]&gt;70,"High",
IF(Table1[[#This Row],[ai_disruption_intensity]]&gt;40,"Medium","Low"))</f>
        <v>Low</v>
      </c>
      <c r="W4079" t="str">
        <f>IF(Table1[[#This Row],[skill_gap_index]]&gt;70,"Large Gap",
IF(Table1[[#This Row],[skill_gap_index]]&gt;40,"Medium Gap","Small Gap"))</f>
        <v>Medium Gap</v>
      </c>
      <c r="X4079" s="3" t="str">
        <f>IF(Table1[[#This Row],[automation_risk_percent]]&gt;0.7,"Highly Automatable",
IF(Table1[[#This Row],[automation_risk_percent]]&gt;0.4,"Moderate Risk","Safe Job"))</f>
        <v>Highly Automatable</v>
      </c>
    </row>
    <row r="4080" spans="1:24" x14ac:dyDescent="0.3">
      <c r="A4080">
        <v>14206</v>
      </c>
      <c r="B4080" t="s">
        <v>18</v>
      </c>
      <c r="C4080" t="s">
        <v>40</v>
      </c>
      <c r="D4080" t="s">
        <v>20</v>
      </c>
      <c r="E4080" s="1">
        <v>2026</v>
      </c>
      <c r="F4080" s="11">
        <v>0.27629999999999999</v>
      </c>
      <c r="G4080">
        <v>28.63</v>
      </c>
      <c r="H4080">
        <v>9.89</v>
      </c>
      <c r="I4080" s="2">
        <v>50590.32</v>
      </c>
      <c r="J4080" s="2">
        <v>53134.71</v>
      </c>
      <c r="K4080" s="2">
        <f>Table1[[#This Row],[Salary_after]]-Table1[[#This Row],[Salary_before]]</f>
        <v>2544.3899999999994</v>
      </c>
      <c r="L4080" s="11">
        <v>5.0300000000000004E-2</v>
      </c>
      <c r="M4080" s="11">
        <v>4.4900000000000002E-2</v>
      </c>
      <c r="N4080">
        <v>39.369999999999997</v>
      </c>
      <c r="O4080">
        <v>85.11</v>
      </c>
      <c r="P4080">
        <v>5</v>
      </c>
      <c r="Q4080" t="s">
        <v>21</v>
      </c>
      <c r="R4080">
        <v>18.759999999999899</v>
      </c>
      <c r="S4080">
        <v>5.03</v>
      </c>
      <c r="T4080" s="4">
        <v>15.528</v>
      </c>
      <c r="U4080" s="4">
        <v>23.515892999999998</v>
      </c>
      <c r="V4080" t="str">
        <f>IF(Table1[[#This Row],[ai_disruption_intensity]]&gt;70,"High",
IF(Table1[[#This Row],[ai_disruption_intensity]]&gt;40,"Medium","Low"))</f>
        <v>Low</v>
      </c>
      <c r="W4080" t="str">
        <f>IF(Table1[[#This Row],[skill_gap_index]]&gt;70,"Large Gap",
IF(Table1[[#This Row],[skill_gap_index]]&gt;40,"Medium Gap","Small Gap"))</f>
        <v>Small Gap</v>
      </c>
      <c r="X4080" s="3" t="str">
        <f>IF(Table1[[#This Row],[automation_risk_percent]]&gt;0.7,"Highly Automatable",
IF(Table1[[#This Row],[automation_risk_percent]]&gt;0.4,"Moderate Risk","Safe Job"))</f>
        <v>Safe Job</v>
      </c>
    </row>
    <row r="4081" spans="1:24" x14ac:dyDescent="0.3">
      <c r="A4081">
        <v>14207</v>
      </c>
      <c r="B4081" t="s">
        <v>41</v>
      </c>
      <c r="C4081" t="s">
        <v>40</v>
      </c>
      <c r="D4081" t="s">
        <v>20</v>
      </c>
      <c r="E4081" s="1">
        <v>2026</v>
      </c>
      <c r="F4081" s="11">
        <v>0.9335</v>
      </c>
      <c r="G4081">
        <v>105.39</v>
      </c>
      <c r="H4081">
        <v>44.19</v>
      </c>
      <c r="I4081" s="2">
        <v>127340.24</v>
      </c>
      <c r="J4081" s="2">
        <v>89658.77</v>
      </c>
      <c r="K4081" s="2">
        <f>Table1[[#This Row],[Salary_after]]-Table1[[#This Row],[Salary_before]]</f>
        <v>-37681.47</v>
      </c>
      <c r="L4081" s="11">
        <v>-0.2959</v>
      </c>
      <c r="M4081" s="11">
        <v>-1.21E-2</v>
      </c>
      <c r="N4081">
        <v>75.94</v>
      </c>
      <c r="O4081">
        <v>93.11</v>
      </c>
      <c r="P4081">
        <v>1</v>
      </c>
      <c r="Q4081" t="s">
        <v>37</v>
      </c>
      <c r="R4081">
        <v>68.77</v>
      </c>
      <c r="S4081">
        <v>29.59</v>
      </c>
      <c r="T4081" s="4">
        <v>59.473999999999897</v>
      </c>
      <c r="U4081" s="4">
        <v>86.918184999999994</v>
      </c>
      <c r="V4081" t="str">
        <f>IF(Table1[[#This Row],[ai_disruption_intensity]]&gt;70,"High",
IF(Table1[[#This Row],[ai_disruption_intensity]]&gt;40,"Medium","Low"))</f>
        <v>High</v>
      </c>
      <c r="W4081" t="str">
        <f>IF(Table1[[#This Row],[skill_gap_index]]&gt;70,"Large Gap",
IF(Table1[[#This Row],[skill_gap_index]]&gt;40,"Medium Gap","Small Gap"))</f>
        <v>Medium Gap</v>
      </c>
      <c r="X4081" s="3" t="str">
        <f>IF(Table1[[#This Row],[automation_risk_percent]]&gt;0.7,"Highly Automatable",
IF(Table1[[#This Row],[automation_risk_percent]]&gt;0.4,"Moderate Risk","Safe Job"))</f>
        <v>Highly Automatable</v>
      </c>
    </row>
    <row r="4082" spans="1:24" x14ac:dyDescent="0.3">
      <c r="A4082">
        <v>14208</v>
      </c>
      <c r="B4082" t="s">
        <v>39</v>
      </c>
      <c r="C4082" t="s">
        <v>27</v>
      </c>
      <c r="D4082" t="s">
        <v>35</v>
      </c>
      <c r="E4082" s="1">
        <v>2025</v>
      </c>
      <c r="F4082" s="11">
        <v>0.27810000000000001</v>
      </c>
      <c r="G4082">
        <v>26.96</v>
      </c>
      <c r="H4082">
        <v>65.069999999999993</v>
      </c>
      <c r="I4082" s="2">
        <v>102776.11</v>
      </c>
      <c r="J4082" s="2">
        <v>93049.36</v>
      </c>
      <c r="K4082" s="2">
        <f>Table1[[#This Row],[Salary_after]]-Table1[[#This Row],[Salary_before]]</f>
        <v>-9726.75</v>
      </c>
      <c r="L4082" s="11">
        <v>-9.4600000000000004E-2</v>
      </c>
      <c r="M4082" s="11">
        <v>0.1371</v>
      </c>
      <c r="N4082">
        <v>30.26</v>
      </c>
      <c r="O4082">
        <v>63.67</v>
      </c>
      <c r="P4082">
        <v>2</v>
      </c>
      <c r="Q4082" t="s">
        <v>21</v>
      </c>
      <c r="R4082">
        <v>46.44</v>
      </c>
      <c r="S4082">
        <v>9.4600000000000009</v>
      </c>
      <c r="T4082" s="4">
        <v>33.482999999999997</v>
      </c>
      <c r="U4082" s="4">
        <v>17.706626999999902</v>
      </c>
      <c r="V4082" t="str">
        <f>IF(Table1[[#This Row],[ai_disruption_intensity]]&gt;70,"High",
IF(Table1[[#This Row],[ai_disruption_intensity]]&gt;40,"Medium","Low"))</f>
        <v>Low</v>
      </c>
      <c r="W4082" t="str">
        <f>IF(Table1[[#This Row],[skill_gap_index]]&gt;70,"Large Gap",
IF(Table1[[#This Row],[skill_gap_index]]&gt;40,"Medium Gap","Small Gap"))</f>
        <v>Medium Gap</v>
      </c>
      <c r="X4082" s="3" t="str">
        <f>IF(Table1[[#This Row],[automation_risk_percent]]&gt;0.7,"Highly Automatable",
IF(Table1[[#This Row],[automation_risk_percent]]&gt;0.4,"Moderate Risk","Safe Job"))</f>
        <v>Safe Job</v>
      </c>
    </row>
    <row r="4083" spans="1:24" x14ac:dyDescent="0.3">
      <c r="A4083">
        <v>14211</v>
      </c>
      <c r="B4083" t="s">
        <v>29</v>
      </c>
      <c r="C4083" t="s">
        <v>38</v>
      </c>
      <c r="D4083" t="s">
        <v>42</v>
      </c>
      <c r="E4083" s="1">
        <v>2025</v>
      </c>
      <c r="F4083" s="11">
        <v>0.38280000000000003</v>
      </c>
      <c r="G4083">
        <v>32.74</v>
      </c>
      <c r="H4083">
        <v>40.99</v>
      </c>
      <c r="I4083" s="2">
        <v>119159.49</v>
      </c>
      <c r="J4083" s="2">
        <v>124601.13</v>
      </c>
      <c r="K4083" s="2">
        <f>Table1[[#This Row],[Salary_after]]-Table1[[#This Row],[Salary_before]]</f>
        <v>5441.6399999999994</v>
      </c>
      <c r="L4083" s="11">
        <v>4.5700000000000005E-2</v>
      </c>
      <c r="M4083" s="11">
        <v>1.5300000000000001E-2</v>
      </c>
      <c r="N4083">
        <v>61.99</v>
      </c>
      <c r="O4083">
        <v>19.010000000000002</v>
      </c>
      <c r="P4083">
        <v>3</v>
      </c>
      <c r="Q4083" t="s">
        <v>25</v>
      </c>
      <c r="R4083">
        <v>39.634999999999998</v>
      </c>
      <c r="S4083">
        <v>4.57</v>
      </c>
      <c r="T4083" s="4">
        <v>28.98</v>
      </c>
      <c r="U4083" s="4">
        <v>7.2770279999999996</v>
      </c>
      <c r="V4083" t="str">
        <f>IF(Table1[[#This Row],[ai_disruption_intensity]]&gt;70,"High",
IF(Table1[[#This Row],[ai_disruption_intensity]]&gt;40,"Medium","Low"))</f>
        <v>Low</v>
      </c>
      <c r="W4083" t="str">
        <f>IF(Table1[[#This Row],[skill_gap_index]]&gt;70,"Large Gap",
IF(Table1[[#This Row],[skill_gap_index]]&gt;40,"Medium Gap","Small Gap"))</f>
        <v>Medium Gap</v>
      </c>
      <c r="X4083" s="3" t="str">
        <f>IF(Table1[[#This Row],[automation_risk_percent]]&gt;0.7,"Highly Automatable",
IF(Table1[[#This Row],[automation_risk_percent]]&gt;0.4,"Moderate Risk","Safe Job"))</f>
        <v>Safe Job</v>
      </c>
    </row>
    <row r="4084" spans="1:24" x14ac:dyDescent="0.3">
      <c r="A4084">
        <v>14212</v>
      </c>
      <c r="B4084" t="s">
        <v>46</v>
      </c>
      <c r="C4084" t="s">
        <v>33</v>
      </c>
      <c r="D4084" t="s">
        <v>32</v>
      </c>
      <c r="E4084" s="1">
        <v>2025</v>
      </c>
      <c r="F4084" s="11">
        <v>0.37990000000000002</v>
      </c>
      <c r="G4084">
        <v>33.93</v>
      </c>
      <c r="H4084">
        <v>20.23</v>
      </c>
      <c r="I4084" s="2">
        <v>48406.29</v>
      </c>
      <c r="J4084" s="2">
        <v>47796.3</v>
      </c>
      <c r="K4084" s="2">
        <f>Table1[[#This Row],[Salary_after]]-Table1[[#This Row],[Salary_before]]</f>
        <v>-609.98999999999796</v>
      </c>
      <c r="L4084" s="11">
        <v>-1.26E-2</v>
      </c>
      <c r="M4084" s="11">
        <v>5.2300000000000006E-2</v>
      </c>
      <c r="N4084">
        <v>95.76</v>
      </c>
      <c r="O4084">
        <v>2.69</v>
      </c>
      <c r="P4084">
        <v>3</v>
      </c>
      <c r="Q4084" t="s">
        <v>25</v>
      </c>
      <c r="R4084">
        <v>29.11</v>
      </c>
      <c r="S4084">
        <v>1.26</v>
      </c>
      <c r="T4084" s="4">
        <v>21.643000000000001</v>
      </c>
      <c r="U4084" s="4">
        <v>1.0219309999999999</v>
      </c>
      <c r="V4084" t="str">
        <f>IF(Table1[[#This Row],[ai_disruption_intensity]]&gt;70,"High",
IF(Table1[[#This Row],[ai_disruption_intensity]]&gt;40,"Medium","Low"))</f>
        <v>Low</v>
      </c>
      <c r="W4084" t="str">
        <f>IF(Table1[[#This Row],[skill_gap_index]]&gt;70,"Large Gap",
IF(Table1[[#This Row],[skill_gap_index]]&gt;40,"Medium Gap","Small Gap"))</f>
        <v>Small Gap</v>
      </c>
      <c r="X4084" s="3" t="str">
        <f>IF(Table1[[#This Row],[automation_risk_percent]]&gt;0.7,"Highly Automatable",
IF(Table1[[#This Row],[automation_risk_percent]]&gt;0.4,"Moderate Risk","Safe Job"))</f>
        <v>Safe Job</v>
      </c>
    </row>
    <row r="4085" spans="1:24" x14ac:dyDescent="0.3">
      <c r="A4085">
        <v>14214</v>
      </c>
      <c r="B4085" t="s">
        <v>45</v>
      </c>
      <c r="C4085" t="s">
        <v>34</v>
      </c>
      <c r="D4085" t="s">
        <v>31</v>
      </c>
      <c r="E4085" s="1">
        <v>2025</v>
      </c>
      <c r="F4085" s="11">
        <v>0.54380000000000006</v>
      </c>
      <c r="G4085">
        <v>56.37</v>
      </c>
      <c r="H4085">
        <v>85.46</v>
      </c>
      <c r="I4085" s="2">
        <v>56847.44</v>
      </c>
      <c r="J4085" s="2">
        <v>59176.959999999999</v>
      </c>
      <c r="K4085" s="2">
        <f>Table1[[#This Row],[Salary_after]]-Table1[[#This Row],[Salary_before]]</f>
        <v>2329.5199999999968</v>
      </c>
      <c r="L4085" s="11">
        <v>4.0999999999999995E-2</v>
      </c>
      <c r="M4085" s="11">
        <v>4.4000000000000003E-3</v>
      </c>
      <c r="N4085">
        <v>82.62</v>
      </c>
      <c r="O4085">
        <v>72.849999999999994</v>
      </c>
      <c r="P4085">
        <v>5</v>
      </c>
      <c r="Q4085" t="s">
        <v>25</v>
      </c>
      <c r="R4085">
        <v>69.92</v>
      </c>
      <c r="S4085">
        <v>4.0999999999999996</v>
      </c>
      <c r="T4085" s="4">
        <v>48.62</v>
      </c>
      <c r="U4085" s="4">
        <v>39.615830000000003</v>
      </c>
      <c r="V4085" t="str">
        <f>IF(Table1[[#This Row],[ai_disruption_intensity]]&gt;70,"High",
IF(Table1[[#This Row],[ai_disruption_intensity]]&gt;40,"Medium","Low"))</f>
        <v>Low</v>
      </c>
      <c r="W4085" t="str">
        <f>IF(Table1[[#This Row],[skill_gap_index]]&gt;70,"Large Gap",
IF(Table1[[#This Row],[skill_gap_index]]&gt;40,"Medium Gap","Small Gap"))</f>
        <v>Large Gap</v>
      </c>
      <c r="X4085" s="3" t="str">
        <f>IF(Table1[[#This Row],[automation_risk_percent]]&gt;0.7,"Highly Automatable",
IF(Table1[[#This Row],[automation_risk_percent]]&gt;0.4,"Moderate Risk","Safe Job"))</f>
        <v>Moderate Risk</v>
      </c>
    </row>
    <row r="4086" spans="1:24" x14ac:dyDescent="0.3">
      <c r="A4086">
        <v>14215</v>
      </c>
      <c r="B4086" t="s">
        <v>26</v>
      </c>
      <c r="C4086" t="s">
        <v>33</v>
      </c>
      <c r="D4086" t="s">
        <v>24</v>
      </c>
      <c r="E4086" s="1">
        <v>2026</v>
      </c>
      <c r="F4086" s="11">
        <v>9.820000000000001E-2</v>
      </c>
      <c r="G4086">
        <v>11.38</v>
      </c>
      <c r="H4086">
        <v>39.840000000000003</v>
      </c>
      <c r="I4086" s="2">
        <v>72758.710000000006</v>
      </c>
      <c r="J4086" s="2">
        <v>70633.56</v>
      </c>
      <c r="K4086" s="2">
        <f>Table1[[#This Row],[Salary_after]]-Table1[[#This Row],[Salary_before]]</f>
        <v>-2125.1500000000087</v>
      </c>
      <c r="L4086" s="11">
        <v>-2.92E-2</v>
      </c>
      <c r="M4086" s="11">
        <v>1.7899999999999999E-2</v>
      </c>
      <c r="N4086">
        <v>18.75</v>
      </c>
      <c r="O4086">
        <v>53.42</v>
      </c>
      <c r="P4086">
        <v>3</v>
      </c>
      <c r="Q4086" t="s">
        <v>21</v>
      </c>
      <c r="R4086">
        <v>24.83</v>
      </c>
      <c r="S4086">
        <v>2.92</v>
      </c>
      <c r="T4086" s="4">
        <v>16.756</v>
      </c>
      <c r="U4086" s="4">
        <v>5.245844</v>
      </c>
      <c r="V4086" t="str">
        <f>IF(Table1[[#This Row],[ai_disruption_intensity]]&gt;70,"High",
IF(Table1[[#This Row],[ai_disruption_intensity]]&gt;40,"Medium","Low"))</f>
        <v>Low</v>
      </c>
      <c r="W4086" t="str">
        <f>IF(Table1[[#This Row],[skill_gap_index]]&gt;70,"Large Gap",
IF(Table1[[#This Row],[skill_gap_index]]&gt;40,"Medium Gap","Small Gap"))</f>
        <v>Small Gap</v>
      </c>
      <c r="X4086" s="3" t="str">
        <f>IF(Table1[[#This Row],[automation_risk_percent]]&gt;0.7,"Highly Automatable",
IF(Table1[[#This Row],[automation_risk_percent]]&gt;0.4,"Moderate Risk","Safe Job"))</f>
        <v>Safe Job</v>
      </c>
    </row>
    <row r="4087" spans="1:24" x14ac:dyDescent="0.3">
      <c r="A4087">
        <v>14223</v>
      </c>
      <c r="B4087" t="s">
        <v>43</v>
      </c>
      <c r="C4087" t="s">
        <v>19</v>
      </c>
      <c r="D4087" t="s">
        <v>32</v>
      </c>
      <c r="E4087" s="1">
        <v>2026</v>
      </c>
      <c r="F4087" s="11">
        <v>0.54100000000000004</v>
      </c>
      <c r="G4087">
        <v>61.19</v>
      </c>
      <c r="H4087">
        <v>85.02</v>
      </c>
      <c r="I4087" s="2">
        <v>93157.55</v>
      </c>
      <c r="J4087" s="2">
        <v>97328.17</v>
      </c>
      <c r="K4087" s="2">
        <f>Table1[[#This Row],[Salary_after]]-Table1[[#This Row],[Salary_before]]</f>
        <v>4170.6199999999953</v>
      </c>
      <c r="L4087" s="11">
        <v>4.4800000000000006E-2</v>
      </c>
      <c r="M4087" s="11">
        <v>0.22390000000000002</v>
      </c>
      <c r="N4087">
        <v>12.04</v>
      </c>
      <c r="O4087">
        <v>71.819999999999993</v>
      </c>
      <c r="P4087">
        <v>3</v>
      </c>
      <c r="Q4087" t="s">
        <v>25</v>
      </c>
      <c r="R4087">
        <v>69.56</v>
      </c>
      <c r="S4087">
        <v>4.4800000000000004</v>
      </c>
      <c r="T4087" s="4">
        <v>48.49</v>
      </c>
      <c r="U4087" s="4">
        <v>38.854619999999997</v>
      </c>
      <c r="V4087" t="str">
        <f>IF(Table1[[#This Row],[ai_disruption_intensity]]&gt;70,"High",
IF(Table1[[#This Row],[ai_disruption_intensity]]&gt;40,"Medium","Low"))</f>
        <v>Low</v>
      </c>
      <c r="W4087" t="str">
        <f>IF(Table1[[#This Row],[skill_gap_index]]&gt;70,"Large Gap",
IF(Table1[[#This Row],[skill_gap_index]]&gt;40,"Medium Gap","Small Gap"))</f>
        <v>Large Gap</v>
      </c>
      <c r="X4087" s="3" t="str">
        <f>IF(Table1[[#This Row],[automation_risk_percent]]&gt;0.7,"Highly Automatable",
IF(Table1[[#This Row],[automation_risk_percent]]&gt;0.4,"Moderate Risk","Safe Job"))</f>
        <v>Moderate Risk</v>
      </c>
    </row>
    <row r="4088" spans="1:24" x14ac:dyDescent="0.3">
      <c r="A4088">
        <v>14228</v>
      </c>
      <c r="B4088" t="s">
        <v>26</v>
      </c>
      <c r="C4088" t="s">
        <v>30</v>
      </c>
      <c r="D4088" t="s">
        <v>36</v>
      </c>
      <c r="E4088" s="1">
        <v>2025</v>
      </c>
      <c r="F4088" s="11">
        <v>0.11779999999999999</v>
      </c>
      <c r="G4088">
        <v>9.5399999999999991</v>
      </c>
      <c r="H4088">
        <v>81.849999999999994</v>
      </c>
      <c r="I4088" s="2">
        <v>140954.6</v>
      </c>
      <c r="J4088" s="2">
        <v>122868.45</v>
      </c>
      <c r="K4088" s="2">
        <f>Table1[[#This Row],[Salary_after]]-Table1[[#This Row],[Salary_before]]</f>
        <v>-18086.150000000009</v>
      </c>
      <c r="L4088" s="11">
        <v>-0.1283</v>
      </c>
      <c r="M4088" s="11">
        <v>2.7000000000000003E-2</v>
      </c>
      <c r="N4088">
        <v>44.76</v>
      </c>
      <c r="O4088">
        <v>86.59</v>
      </c>
      <c r="P4088">
        <v>1</v>
      </c>
      <c r="Q4088" t="s">
        <v>21</v>
      </c>
      <c r="R4088">
        <v>46.814999999999998</v>
      </c>
      <c r="S4088">
        <v>12.83</v>
      </c>
      <c r="T4088" s="4">
        <v>33.1159999999999</v>
      </c>
      <c r="U4088" s="4">
        <v>10.200302000000001</v>
      </c>
      <c r="V4088" t="str">
        <f>IF(Table1[[#This Row],[ai_disruption_intensity]]&gt;70,"High",
IF(Table1[[#This Row],[ai_disruption_intensity]]&gt;40,"Medium","Low"))</f>
        <v>Low</v>
      </c>
      <c r="W4088" t="str">
        <f>IF(Table1[[#This Row],[skill_gap_index]]&gt;70,"Large Gap",
IF(Table1[[#This Row],[skill_gap_index]]&gt;40,"Medium Gap","Small Gap"))</f>
        <v>Large Gap</v>
      </c>
      <c r="X4088" s="3" t="str">
        <f>IF(Table1[[#This Row],[automation_risk_percent]]&gt;0.7,"Highly Automatable",
IF(Table1[[#This Row],[automation_risk_percent]]&gt;0.4,"Moderate Risk","Safe Job"))</f>
        <v>Safe Job</v>
      </c>
    </row>
    <row r="4089" spans="1:24" x14ac:dyDescent="0.3">
      <c r="A4089">
        <v>14229</v>
      </c>
      <c r="B4089" t="s">
        <v>26</v>
      </c>
      <c r="C4089" t="s">
        <v>27</v>
      </c>
      <c r="D4089" t="s">
        <v>35</v>
      </c>
      <c r="E4089" s="1">
        <v>2025</v>
      </c>
      <c r="F4089" s="11">
        <v>8.5500000000000007E-2</v>
      </c>
      <c r="G4089">
        <v>7.18</v>
      </c>
      <c r="H4089">
        <v>96.57</v>
      </c>
      <c r="I4089" s="2">
        <v>65223.32</v>
      </c>
      <c r="J4089" s="2">
        <v>66443.350000000006</v>
      </c>
      <c r="K4089" s="2">
        <f>Table1[[#This Row],[Salary_after]]-Table1[[#This Row],[Salary_before]]</f>
        <v>1220.0300000000061</v>
      </c>
      <c r="L4089" s="11">
        <v>1.8700000000000001E-2</v>
      </c>
      <c r="M4089" s="11">
        <v>0.15990000000000001</v>
      </c>
      <c r="N4089">
        <v>31.64</v>
      </c>
      <c r="O4089">
        <v>29.5</v>
      </c>
      <c r="P4089">
        <v>1</v>
      </c>
      <c r="Q4089" t="s">
        <v>21</v>
      </c>
      <c r="R4089">
        <v>52.559999999999903</v>
      </c>
      <c r="S4089">
        <v>1.87</v>
      </c>
      <c r="T4089" s="4">
        <v>32.951999999999998</v>
      </c>
      <c r="U4089" s="4">
        <v>2.5222500000000001</v>
      </c>
      <c r="V4089" t="str">
        <f>IF(Table1[[#This Row],[ai_disruption_intensity]]&gt;70,"High",
IF(Table1[[#This Row],[ai_disruption_intensity]]&gt;40,"Medium","Low"))</f>
        <v>Low</v>
      </c>
      <c r="W4089" t="str">
        <f>IF(Table1[[#This Row],[skill_gap_index]]&gt;70,"Large Gap",
IF(Table1[[#This Row],[skill_gap_index]]&gt;40,"Medium Gap","Small Gap"))</f>
        <v>Large Gap</v>
      </c>
      <c r="X4089" s="3" t="str">
        <f>IF(Table1[[#This Row],[automation_risk_percent]]&gt;0.7,"Highly Automatable",
IF(Table1[[#This Row],[automation_risk_percent]]&gt;0.4,"Moderate Risk","Safe Job"))</f>
        <v>Safe Job</v>
      </c>
    </row>
    <row r="4090" spans="1:24" x14ac:dyDescent="0.3">
      <c r="A4090">
        <v>14230</v>
      </c>
      <c r="B4090" t="s">
        <v>45</v>
      </c>
      <c r="C4090" t="s">
        <v>30</v>
      </c>
      <c r="D4090" t="s">
        <v>31</v>
      </c>
      <c r="E4090" s="1">
        <v>2025</v>
      </c>
      <c r="F4090" s="11">
        <v>0.38840000000000002</v>
      </c>
      <c r="G4090">
        <v>33.39</v>
      </c>
      <c r="H4090">
        <v>71</v>
      </c>
      <c r="I4090" s="2">
        <v>80118.66</v>
      </c>
      <c r="J4090" s="2">
        <v>82067.8</v>
      </c>
      <c r="K4090" s="2">
        <f>Table1[[#This Row],[Salary_after]]-Table1[[#This Row],[Salary_before]]</f>
        <v>1949.1399999999994</v>
      </c>
      <c r="L4090" s="11">
        <v>2.4300000000000002E-2</v>
      </c>
      <c r="M4090" s="11">
        <v>0.1174</v>
      </c>
      <c r="N4090">
        <v>52.85</v>
      </c>
      <c r="O4090">
        <v>8.44</v>
      </c>
      <c r="P4090">
        <v>4</v>
      </c>
      <c r="Q4090" t="s">
        <v>25</v>
      </c>
      <c r="R4090">
        <v>54.92</v>
      </c>
      <c r="S4090">
        <v>2.4300000000000002</v>
      </c>
      <c r="T4090" s="4">
        <v>37.564999999999998</v>
      </c>
      <c r="U4090" s="4">
        <v>3.2780959999999899</v>
      </c>
      <c r="V4090" t="str">
        <f>IF(Table1[[#This Row],[ai_disruption_intensity]]&gt;70,"High",
IF(Table1[[#This Row],[ai_disruption_intensity]]&gt;40,"Medium","Low"))</f>
        <v>Low</v>
      </c>
      <c r="W4090" t="str">
        <f>IF(Table1[[#This Row],[skill_gap_index]]&gt;70,"Large Gap",
IF(Table1[[#This Row],[skill_gap_index]]&gt;40,"Medium Gap","Small Gap"))</f>
        <v>Large Gap</v>
      </c>
      <c r="X4090" s="3" t="str">
        <f>IF(Table1[[#This Row],[automation_risk_percent]]&gt;0.7,"Highly Automatable",
IF(Table1[[#This Row],[automation_risk_percent]]&gt;0.4,"Moderate Risk","Safe Job"))</f>
        <v>Safe Job</v>
      </c>
    </row>
    <row r="4091" spans="1:24" x14ac:dyDescent="0.3">
      <c r="A4091">
        <v>14240</v>
      </c>
      <c r="B4091" t="s">
        <v>41</v>
      </c>
      <c r="C4091" t="s">
        <v>27</v>
      </c>
      <c r="D4091" t="s">
        <v>42</v>
      </c>
      <c r="E4091" s="1">
        <v>2025</v>
      </c>
      <c r="F4091" s="11">
        <v>0.30349999999999999</v>
      </c>
      <c r="G4091">
        <v>29</v>
      </c>
      <c r="H4091">
        <v>6.57</v>
      </c>
      <c r="I4091" s="2">
        <v>108937.1</v>
      </c>
      <c r="J4091" s="2">
        <v>110835.54</v>
      </c>
      <c r="K4091" s="2">
        <f>Table1[[#This Row],[Salary_after]]-Table1[[#This Row],[Salary_before]]</f>
        <v>1898.4399999999878</v>
      </c>
      <c r="L4091" s="11">
        <v>1.7399999999999999E-2</v>
      </c>
      <c r="M4091" s="11">
        <v>4.4199999999999996E-2</v>
      </c>
      <c r="N4091">
        <v>19.28</v>
      </c>
      <c r="O4091">
        <v>89.43</v>
      </c>
      <c r="P4091">
        <v>2</v>
      </c>
      <c r="Q4091" t="s">
        <v>25</v>
      </c>
      <c r="R4091">
        <v>18.46</v>
      </c>
      <c r="S4091">
        <v>1.74</v>
      </c>
      <c r="T4091" s="4">
        <v>14.632999999999999</v>
      </c>
      <c r="U4091" s="4">
        <v>27.142005000000001</v>
      </c>
      <c r="V4091" t="str">
        <f>IF(Table1[[#This Row],[ai_disruption_intensity]]&gt;70,"High",
IF(Table1[[#This Row],[ai_disruption_intensity]]&gt;40,"Medium","Low"))</f>
        <v>Low</v>
      </c>
      <c r="W4091" t="str">
        <f>IF(Table1[[#This Row],[skill_gap_index]]&gt;70,"Large Gap",
IF(Table1[[#This Row],[skill_gap_index]]&gt;40,"Medium Gap","Small Gap"))</f>
        <v>Small Gap</v>
      </c>
      <c r="X4091" s="3" t="str">
        <f>IF(Table1[[#This Row],[automation_risk_percent]]&gt;0.7,"Highly Automatable",
IF(Table1[[#This Row],[automation_risk_percent]]&gt;0.4,"Moderate Risk","Safe Job"))</f>
        <v>Safe Job</v>
      </c>
    </row>
    <row r="4092" spans="1:24" x14ac:dyDescent="0.3">
      <c r="A4092">
        <v>14244</v>
      </c>
      <c r="B4092" t="s">
        <v>41</v>
      </c>
      <c r="C4092" t="s">
        <v>30</v>
      </c>
      <c r="D4092" t="s">
        <v>31</v>
      </c>
      <c r="E4092" s="1">
        <v>2025</v>
      </c>
      <c r="F4092" s="11">
        <v>0.76200000000000001</v>
      </c>
      <c r="G4092">
        <v>73.87</v>
      </c>
      <c r="H4092">
        <v>42.96</v>
      </c>
      <c r="I4092" s="2">
        <v>37648.06</v>
      </c>
      <c r="J4092" s="2">
        <v>35259.01</v>
      </c>
      <c r="K4092" s="2">
        <f>Table1[[#This Row],[Salary_after]]-Table1[[#This Row],[Salary_before]]</f>
        <v>-2389.0499999999956</v>
      </c>
      <c r="L4092" s="11">
        <v>-6.3500000000000001E-2</v>
      </c>
      <c r="M4092" s="11">
        <v>0.14180000000000001</v>
      </c>
      <c r="N4092">
        <v>47.79</v>
      </c>
      <c r="O4092">
        <v>44.2</v>
      </c>
      <c r="P4092">
        <v>4</v>
      </c>
      <c r="Q4092" t="s">
        <v>37</v>
      </c>
      <c r="R4092">
        <v>59.58</v>
      </c>
      <c r="S4092">
        <v>6.35</v>
      </c>
      <c r="T4092" s="4">
        <v>45.273000000000003</v>
      </c>
      <c r="U4092" s="4">
        <v>33.680399999999999</v>
      </c>
      <c r="V4092" t="str">
        <f>IF(Table1[[#This Row],[ai_disruption_intensity]]&gt;70,"High",
IF(Table1[[#This Row],[ai_disruption_intensity]]&gt;40,"Medium","Low"))</f>
        <v>Low</v>
      </c>
      <c r="W4092" t="str">
        <f>IF(Table1[[#This Row],[skill_gap_index]]&gt;70,"Large Gap",
IF(Table1[[#This Row],[skill_gap_index]]&gt;40,"Medium Gap","Small Gap"))</f>
        <v>Medium Gap</v>
      </c>
      <c r="X4092" s="3" t="str">
        <f>IF(Table1[[#This Row],[automation_risk_percent]]&gt;0.7,"Highly Automatable",
IF(Table1[[#This Row],[automation_risk_percent]]&gt;0.4,"Moderate Risk","Safe Job"))</f>
        <v>Highly Automatable</v>
      </c>
    </row>
    <row r="4093" spans="1:24" x14ac:dyDescent="0.3">
      <c r="A4093">
        <v>14245</v>
      </c>
      <c r="B4093" t="s">
        <v>41</v>
      </c>
      <c r="C4093" t="s">
        <v>34</v>
      </c>
      <c r="D4093" t="s">
        <v>35</v>
      </c>
      <c r="E4093" s="1">
        <v>2025</v>
      </c>
      <c r="F4093" s="11">
        <v>0.86739999999999995</v>
      </c>
      <c r="G4093">
        <v>98.3</v>
      </c>
      <c r="H4093">
        <v>32.86</v>
      </c>
      <c r="I4093" s="2">
        <v>38822.519999999997</v>
      </c>
      <c r="J4093" s="2">
        <v>32243.759999999998</v>
      </c>
      <c r="K4093" s="2">
        <f>Table1[[#This Row],[Salary_after]]-Table1[[#This Row],[Salary_before]]</f>
        <v>-6578.7599999999984</v>
      </c>
      <c r="L4093" s="11">
        <v>-0.16949999999999998</v>
      </c>
      <c r="M4093" s="11">
        <v>9.2899999999999996E-2</v>
      </c>
      <c r="N4093">
        <v>37.79</v>
      </c>
      <c r="O4093">
        <v>88.25</v>
      </c>
      <c r="P4093">
        <v>2</v>
      </c>
      <c r="Q4093" t="s">
        <v>37</v>
      </c>
      <c r="R4093">
        <v>59.8</v>
      </c>
      <c r="S4093">
        <v>16.95</v>
      </c>
      <c r="T4093" s="4">
        <v>49.638999999999903</v>
      </c>
      <c r="U4093" s="4">
        <v>76.548049999999904</v>
      </c>
      <c r="V4093" t="str">
        <f>IF(Table1[[#This Row],[ai_disruption_intensity]]&gt;70,"High",
IF(Table1[[#This Row],[ai_disruption_intensity]]&gt;40,"Medium","Low"))</f>
        <v>High</v>
      </c>
      <c r="W4093" t="str">
        <f>IF(Table1[[#This Row],[skill_gap_index]]&gt;70,"Large Gap",
IF(Table1[[#This Row],[skill_gap_index]]&gt;40,"Medium Gap","Small Gap"))</f>
        <v>Small Gap</v>
      </c>
      <c r="X4093" s="3" t="str">
        <f>IF(Table1[[#This Row],[automation_risk_percent]]&gt;0.7,"Highly Automatable",
IF(Table1[[#This Row],[automation_risk_percent]]&gt;0.4,"Moderate Risk","Safe Job"))</f>
        <v>Highly Automatable</v>
      </c>
    </row>
    <row r="4094" spans="1:24" x14ac:dyDescent="0.3">
      <c r="A4094">
        <v>14247</v>
      </c>
      <c r="B4094" t="s">
        <v>22</v>
      </c>
      <c r="C4094" t="s">
        <v>33</v>
      </c>
      <c r="D4094" t="s">
        <v>42</v>
      </c>
      <c r="E4094" s="1">
        <v>2025</v>
      </c>
      <c r="F4094" s="11">
        <v>0.50639999999999996</v>
      </c>
      <c r="G4094">
        <v>47.4</v>
      </c>
      <c r="H4094">
        <v>55.84</v>
      </c>
      <c r="I4094" s="2">
        <v>69745.45</v>
      </c>
      <c r="J4094" s="2">
        <v>72894.570000000007</v>
      </c>
      <c r="K4094" s="2">
        <f>Table1[[#This Row],[Salary_after]]-Table1[[#This Row],[Salary_before]]</f>
        <v>3149.1200000000099</v>
      </c>
      <c r="L4094" s="11">
        <v>4.5199999999999997E-2</v>
      </c>
      <c r="M4094" s="11">
        <v>2.1499999999999998E-2</v>
      </c>
      <c r="N4094">
        <v>26.12</v>
      </c>
      <c r="O4094">
        <v>63.33</v>
      </c>
      <c r="P4094">
        <v>5</v>
      </c>
      <c r="Q4094" t="s">
        <v>25</v>
      </c>
      <c r="R4094">
        <v>53.24</v>
      </c>
      <c r="S4094">
        <v>4.5199999999999996</v>
      </c>
      <c r="T4094" s="4">
        <v>38.363999999999997</v>
      </c>
      <c r="U4094" s="4">
        <v>32.070312000000001</v>
      </c>
      <c r="V4094" t="str">
        <f>IF(Table1[[#This Row],[ai_disruption_intensity]]&gt;70,"High",
IF(Table1[[#This Row],[ai_disruption_intensity]]&gt;40,"Medium","Low"))</f>
        <v>Low</v>
      </c>
      <c r="W4094" t="str">
        <f>IF(Table1[[#This Row],[skill_gap_index]]&gt;70,"Large Gap",
IF(Table1[[#This Row],[skill_gap_index]]&gt;40,"Medium Gap","Small Gap"))</f>
        <v>Medium Gap</v>
      </c>
      <c r="X4094" s="3" t="str">
        <f>IF(Table1[[#This Row],[automation_risk_percent]]&gt;0.7,"Highly Automatable",
IF(Table1[[#This Row],[automation_risk_percent]]&gt;0.4,"Moderate Risk","Safe Job"))</f>
        <v>Moderate Risk</v>
      </c>
    </row>
    <row r="4095" spans="1:24" x14ac:dyDescent="0.3">
      <c r="A4095">
        <v>14248</v>
      </c>
      <c r="B4095" t="s">
        <v>26</v>
      </c>
      <c r="C4095" t="s">
        <v>34</v>
      </c>
      <c r="D4095" t="s">
        <v>36</v>
      </c>
      <c r="E4095" s="1">
        <v>2025</v>
      </c>
      <c r="F4095" s="11">
        <v>0.42950000000000005</v>
      </c>
      <c r="G4095">
        <v>38.24</v>
      </c>
      <c r="H4095">
        <v>77.17</v>
      </c>
      <c r="I4095" s="2">
        <v>82715.06</v>
      </c>
      <c r="J4095" s="2">
        <v>79715.31</v>
      </c>
      <c r="K4095" s="2">
        <f>Table1[[#This Row],[Salary_after]]-Table1[[#This Row],[Salary_before]]</f>
        <v>-2999.75</v>
      </c>
      <c r="L4095" s="11">
        <v>-3.6299999999999999E-2</v>
      </c>
      <c r="M4095" s="11">
        <v>-5.2300000000000006E-2</v>
      </c>
      <c r="N4095">
        <v>52.75</v>
      </c>
      <c r="O4095">
        <v>54.63</v>
      </c>
      <c r="P4095">
        <v>4</v>
      </c>
      <c r="Q4095" t="s">
        <v>25</v>
      </c>
      <c r="R4095">
        <v>60.06</v>
      </c>
      <c r="S4095">
        <v>3.63</v>
      </c>
      <c r="T4095" s="4">
        <v>41.42</v>
      </c>
      <c r="U4095" s="4">
        <v>23.463584999999998</v>
      </c>
      <c r="V4095" t="str">
        <f>IF(Table1[[#This Row],[ai_disruption_intensity]]&gt;70,"High",
IF(Table1[[#This Row],[ai_disruption_intensity]]&gt;40,"Medium","Low"))</f>
        <v>Low</v>
      </c>
      <c r="W4095" t="str">
        <f>IF(Table1[[#This Row],[skill_gap_index]]&gt;70,"Large Gap",
IF(Table1[[#This Row],[skill_gap_index]]&gt;40,"Medium Gap","Small Gap"))</f>
        <v>Large Gap</v>
      </c>
      <c r="X4095" s="3" t="str">
        <f>IF(Table1[[#This Row],[automation_risk_percent]]&gt;0.7,"Highly Automatable",
IF(Table1[[#This Row],[automation_risk_percent]]&gt;0.4,"Moderate Risk","Safe Job"))</f>
        <v>Moderate Risk</v>
      </c>
    </row>
    <row r="4096" spans="1:24" x14ac:dyDescent="0.3">
      <c r="A4096">
        <v>14252</v>
      </c>
      <c r="B4096" t="s">
        <v>41</v>
      </c>
      <c r="C4096" t="s">
        <v>33</v>
      </c>
      <c r="D4096" t="s">
        <v>36</v>
      </c>
      <c r="E4096" s="1">
        <v>2025</v>
      </c>
      <c r="F4096" s="11">
        <v>0.51670000000000005</v>
      </c>
      <c r="G4096">
        <v>60.94</v>
      </c>
      <c r="H4096">
        <v>1.26</v>
      </c>
      <c r="I4096" s="2">
        <v>44254.68</v>
      </c>
      <c r="J4096" s="2">
        <v>43646.25</v>
      </c>
      <c r="K4096" s="2">
        <f>Table1[[#This Row],[Salary_after]]-Table1[[#This Row],[Salary_before]]</f>
        <v>-608.43000000000029</v>
      </c>
      <c r="L4096" s="11">
        <v>-1.37E-2</v>
      </c>
      <c r="M4096" s="11">
        <v>0.37929999999999997</v>
      </c>
      <c r="N4096">
        <v>98.43</v>
      </c>
      <c r="O4096">
        <v>14.3</v>
      </c>
      <c r="P4096">
        <v>3</v>
      </c>
      <c r="Q4096" t="s">
        <v>25</v>
      </c>
      <c r="R4096">
        <v>26.465</v>
      </c>
      <c r="S4096">
        <v>1.37</v>
      </c>
      <c r="T4096" s="4">
        <v>21.457000000000001</v>
      </c>
      <c r="U4096" s="4">
        <v>7.3888100000000003</v>
      </c>
      <c r="V4096" t="str">
        <f>IF(Table1[[#This Row],[ai_disruption_intensity]]&gt;70,"High",
IF(Table1[[#This Row],[ai_disruption_intensity]]&gt;40,"Medium","Low"))</f>
        <v>Low</v>
      </c>
      <c r="W4096" t="str">
        <f>IF(Table1[[#This Row],[skill_gap_index]]&gt;70,"Large Gap",
IF(Table1[[#This Row],[skill_gap_index]]&gt;40,"Medium Gap","Small Gap"))</f>
        <v>Small Gap</v>
      </c>
      <c r="X4096" s="3" t="str">
        <f>IF(Table1[[#This Row],[automation_risk_percent]]&gt;0.7,"Highly Automatable",
IF(Table1[[#This Row],[automation_risk_percent]]&gt;0.4,"Moderate Risk","Safe Job"))</f>
        <v>Moderate Risk</v>
      </c>
    </row>
    <row r="4097" spans="1:24" x14ac:dyDescent="0.3">
      <c r="A4097">
        <v>14253</v>
      </c>
      <c r="B4097" t="s">
        <v>18</v>
      </c>
      <c r="C4097" t="s">
        <v>27</v>
      </c>
      <c r="D4097" t="s">
        <v>32</v>
      </c>
      <c r="E4097" s="1">
        <v>2026</v>
      </c>
      <c r="F4097" s="11">
        <v>0.79349999999999998</v>
      </c>
      <c r="G4097">
        <v>90.52</v>
      </c>
      <c r="H4097">
        <v>22.28</v>
      </c>
      <c r="I4097" s="2">
        <v>74102.02</v>
      </c>
      <c r="J4097" s="2">
        <v>70857.72</v>
      </c>
      <c r="K4097" s="2">
        <f>Table1[[#This Row],[Salary_after]]-Table1[[#This Row],[Salary_before]]</f>
        <v>-3244.3000000000029</v>
      </c>
      <c r="L4097" s="11">
        <v>-4.3799999999999999E-2</v>
      </c>
      <c r="M4097" s="11">
        <v>3.9100000000000003E-2</v>
      </c>
      <c r="N4097">
        <v>61.98</v>
      </c>
      <c r="O4097">
        <v>25.78</v>
      </c>
      <c r="P4097">
        <v>2</v>
      </c>
      <c r="Q4097" t="s">
        <v>37</v>
      </c>
      <c r="R4097">
        <v>50.814999999999998</v>
      </c>
      <c r="S4097">
        <v>4.38</v>
      </c>
      <c r="T4097" s="4">
        <v>39.738</v>
      </c>
      <c r="U4097" s="4">
        <v>20.456430000000001</v>
      </c>
      <c r="V4097" t="str">
        <f>IF(Table1[[#This Row],[ai_disruption_intensity]]&gt;70,"High",
IF(Table1[[#This Row],[ai_disruption_intensity]]&gt;40,"Medium","Low"))</f>
        <v>Low</v>
      </c>
      <c r="W4097" t="str">
        <f>IF(Table1[[#This Row],[skill_gap_index]]&gt;70,"Large Gap",
IF(Table1[[#This Row],[skill_gap_index]]&gt;40,"Medium Gap","Small Gap"))</f>
        <v>Small Gap</v>
      </c>
      <c r="X4097" s="3" t="str">
        <f>IF(Table1[[#This Row],[automation_risk_percent]]&gt;0.7,"Highly Automatable",
IF(Table1[[#This Row],[automation_risk_percent]]&gt;0.4,"Moderate Risk","Safe Job"))</f>
        <v>Highly Automatable</v>
      </c>
    </row>
    <row r="4098" spans="1:24" x14ac:dyDescent="0.3">
      <c r="A4098">
        <v>14255</v>
      </c>
      <c r="B4098" t="s">
        <v>46</v>
      </c>
      <c r="C4098" t="s">
        <v>33</v>
      </c>
      <c r="D4098" t="s">
        <v>35</v>
      </c>
      <c r="E4098" s="1">
        <v>2026</v>
      </c>
      <c r="F4098" s="11">
        <v>0.51969999999999994</v>
      </c>
      <c r="G4098">
        <v>44.06</v>
      </c>
      <c r="H4098">
        <v>13.99</v>
      </c>
      <c r="I4098" s="2">
        <v>73116.460000000006</v>
      </c>
      <c r="J4098" s="2">
        <v>66187.820000000007</v>
      </c>
      <c r="K4098" s="2">
        <f>Table1[[#This Row],[Salary_after]]-Table1[[#This Row],[Salary_before]]</f>
        <v>-6928.6399999999994</v>
      </c>
      <c r="L4098" s="11">
        <v>-9.4800000000000009E-2</v>
      </c>
      <c r="M4098" s="11">
        <v>0.17</v>
      </c>
      <c r="N4098">
        <v>28.33</v>
      </c>
      <c r="O4098">
        <v>36.82</v>
      </c>
      <c r="P4098">
        <v>5</v>
      </c>
      <c r="Q4098" t="s">
        <v>25</v>
      </c>
      <c r="R4098">
        <v>32.979999999999997</v>
      </c>
      <c r="S4098">
        <v>9.48</v>
      </c>
      <c r="T4098" s="4">
        <v>27.829000000000001</v>
      </c>
      <c r="U4098" s="4">
        <v>19.135354</v>
      </c>
      <c r="V4098" t="str">
        <f>IF(Table1[[#This Row],[ai_disruption_intensity]]&gt;70,"High",
IF(Table1[[#This Row],[ai_disruption_intensity]]&gt;40,"Medium","Low"))</f>
        <v>Low</v>
      </c>
      <c r="W4098" t="str">
        <f>IF(Table1[[#This Row],[skill_gap_index]]&gt;70,"Large Gap",
IF(Table1[[#This Row],[skill_gap_index]]&gt;40,"Medium Gap","Small Gap"))</f>
        <v>Small Gap</v>
      </c>
      <c r="X4098" s="3" t="str">
        <f>IF(Table1[[#This Row],[automation_risk_percent]]&gt;0.7,"Highly Automatable",
IF(Table1[[#This Row],[automation_risk_percent]]&gt;0.4,"Moderate Risk","Safe Job"))</f>
        <v>Moderate Risk</v>
      </c>
    </row>
    <row r="4099" spans="1:24" x14ac:dyDescent="0.3">
      <c r="A4099">
        <v>14257</v>
      </c>
      <c r="B4099" t="s">
        <v>22</v>
      </c>
      <c r="C4099" t="s">
        <v>34</v>
      </c>
      <c r="D4099" t="s">
        <v>35</v>
      </c>
      <c r="E4099" s="1">
        <v>2026</v>
      </c>
      <c r="F4099" s="11">
        <v>0.40200000000000002</v>
      </c>
      <c r="G4099">
        <v>43.66</v>
      </c>
      <c r="H4099">
        <v>52.74</v>
      </c>
      <c r="I4099" s="2">
        <v>117983.03</v>
      </c>
      <c r="J4099" s="2">
        <v>124675.54</v>
      </c>
      <c r="K4099" s="2">
        <f>Table1[[#This Row],[Salary_after]]-Table1[[#This Row],[Salary_before]]</f>
        <v>6692.5099999999948</v>
      </c>
      <c r="L4099" s="11">
        <v>5.67E-2</v>
      </c>
      <c r="M4099" s="11">
        <v>0.1326</v>
      </c>
      <c r="N4099">
        <v>14.65</v>
      </c>
      <c r="O4099">
        <v>99.86</v>
      </c>
      <c r="P4099">
        <v>3</v>
      </c>
      <c r="Q4099" t="s">
        <v>25</v>
      </c>
      <c r="R4099">
        <v>46.47</v>
      </c>
      <c r="S4099">
        <v>5.67</v>
      </c>
      <c r="T4099" s="4">
        <v>33.603000000000002</v>
      </c>
      <c r="U4099" s="4">
        <v>40.143720000000002</v>
      </c>
      <c r="V4099" t="str">
        <f>IF(Table1[[#This Row],[ai_disruption_intensity]]&gt;70,"High",
IF(Table1[[#This Row],[ai_disruption_intensity]]&gt;40,"Medium","Low"))</f>
        <v>Medium</v>
      </c>
      <c r="W4099" t="str">
        <f>IF(Table1[[#This Row],[skill_gap_index]]&gt;70,"Large Gap",
IF(Table1[[#This Row],[skill_gap_index]]&gt;40,"Medium Gap","Small Gap"))</f>
        <v>Medium Gap</v>
      </c>
      <c r="X4099" s="3" t="str">
        <f>IF(Table1[[#This Row],[automation_risk_percent]]&gt;0.7,"Highly Automatable",
IF(Table1[[#This Row],[automation_risk_percent]]&gt;0.4,"Moderate Risk","Safe Job"))</f>
        <v>Moderate Risk</v>
      </c>
    </row>
    <row r="4100" spans="1:24" x14ac:dyDescent="0.3">
      <c r="A4100">
        <v>14259</v>
      </c>
      <c r="B4100" t="s">
        <v>18</v>
      </c>
      <c r="C4100" t="s">
        <v>40</v>
      </c>
      <c r="D4100" t="s">
        <v>31</v>
      </c>
      <c r="E4100" s="1">
        <v>2026</v>
      </c>
      <c r="F4100" s="11">
        <v>0.32770000000000005</v>
      </c>
      <c r="G4100">
        <v>34.94</v>
      </c>
      <c r="H4100">
        <v>3.93</v>
      </c>
      <c r="I4100" s="2">
        <v>63169.95</v>
      </c>
      <c r="J4100" s="2">
        <v>72618.09</v>
      </c>
      <c r="K4100" s="2">
        <f>Table1[[#This Row],[Salary_after]]-Table1[[#This Row],[Salary_before]]</f>
        <v>9448.14</v>
      </c>
      <c r="L4100" s="11">
        <v>0.14960000000000001</v>
      </c>
      <c r="M4100" s="11">
        <v>7.6100000000000001E-2</v>
      </c>
      <c r="N4100">
        <v>85.01</v>
      </c>
      <c r="O4100">
        <v>91.45</v>
      </c>
      <c r="P4100">
        <v>5</v>
      </c>
      <c r="Q4100" t="s">
        <v>25</v>
      </c>
      <c r="R4100">
        <v>18.350000000000001</v>
      </c>
      <c r="S4100">
        <v>14.96</v>
      </c>
      <c r="T4100" s="4">
        <v>18.774999999999999</v>
      </c>
      <c r="U4100" s="4">
        <v>29.968164999999999</v>
      </c>
      <c r="V4100" t="str">
        <f>IF(Table1[[#This Row],[ai_disruption_intensity]]&gt;70,"High",
IF(Table1[[#This Row],[ai_disruption_intensity]]&gt;40,"Medium","Low"))</f>
        <v>Low</v>
      </c>
      <c r="W4100" t="str">
        <f>IF(Table1[[#This Row],[skill_gap_index]]&gt;70,"Large Gap",
IF(Table1[[#This Row],[skill_gap_index]]&gt;40,"Medium Gap","Small Gap"))</f>
        <v>Small Gap</v>
      </c>
      <c r="X4100" s="3" t="str">
        <f>IF(Table1[[#This Row],[automation_risk_percent]]&gt;0.7,"Highly Automatable",
IF(Table1[[#This Row],[automation_risk_percent]]&gt;0.4,"Moderate Risk","Safe Job"))</f>
        <v>Safe Job</v>
      </c>
    </row>
    <row r="4101" spans="1:24" x14ac:dyDescent="0.3">
      <c r="A4101">
        <v>14260</v>
      </c>
      <c r="B4101" t="s">
        <v>46</v>
      </c>
      <c r="C4101" t="s">
        <v>30</v>
      </c>
      <c r="D4101" t="s">
        <v>32</v>
      </c>
      <c r="E4101" s="1">
        <v>2025</v>
      </c>
      <c r="F4101" s="11">
        <v>0.26479999999999998</v>
      </c>
      <c r="G4101">
        <v>27.4</v>
      </c>
      <c r="H4101">
        <v>58.59</v>
      </c>
      <c r="I4101" s="2">
        <v>137931.71</v>
      </c>
      <c r="J4101" s="2">
        <v>134483.76999999999</v>
      </c>
      <c r="K4101" s="2">
        <f>Table1[[#This Row],[Salary_after]]-Table1[[#This Row],[Salary_before]]</f>
        <v>-3447.9400000000023</v>
      </c>
      <c r="L4101" s="11">
        <v>-2.5000000000000001E-2</v>
      </c>
      <c r="M4101" s="11">
        <v>0.16469999999999999</v>
      </c>
      <c r="N4101">
        <v>63.55</v>
      </c>
      <c r="O4101">
        <v>91.57</v>
      </c>
      <c r="P4101">
        <v>1</v>
      </c>
      <c r="Q4101" t="s">
        <v>21</v>
      </c>
      <c r="R4101">
        <v>42.534999999999997</v>
      </c>
      <c r="S4101">
        <v>2.5</v>
      </c>
      <c r="T4101" s="4">
        <v>28.919</v>
      </c>
      <c r="U4101" s="4">
        <v>24.247736</v>
      </c>
      <c r="V4101" t="str">
        <f>IF(Table1[[#This Row],[ai_disruption_intensity]]&gt;70,"High",
IF(Table1[[#This Row],[ai_disruption_intensity]]&gt;40,"Medium","Low"))</f>
        <v>Low</v>
      </c>
      <c r="W4101" t="str">
        <f>IF(Table1[[#This Row],[skill_gap_index]]&gt;70,"Large Gap",
IF(Table1[[#This Row],[skill_gap_index]]&gt;40,"Medium Gap","Small Gap"))</f>
        <v>Medium Gap</v>
      </c>
      <c r="X4101" s="3" t="str">
        <f>IF(Table1[[#This Row],[automation_risk_percent]]&gt;0.7,"Highly Automatable",
IF(Table1[[#This Row],[automation_risk_percent]]&gt;0.4,"Moderate Risk","Safe Job"))</f>
        <v>Safe Job</v>
      </c>
    </row>
    <row r="4102" spans="1:24" x14ac:dyDescent="0.3">
      <c r="A4102">
        <v>14269</v>
      </c>
      <c r="B4102" t="s">
        <v>22</v>
      </c>
      <c r="C4102" t="s">
        <v>23</v>
      </c>
      <c r="D4102" t="s">
        <v>24</v>
      </c>
      <c r="E4102" s="1">
        <v>2025</v>
      </c>
      <c r="F4102" s="11">
        <v>0.25009999999999999</v>
      </c>
      <c r="G4102">
        <v>28.85</v>
      </c>
      <c r="H4102">
        <v>77.52</v>
      </c>
      <c r="I4102" s="2">
        <v>88357.68</v>
      </c>
      <c r="J4102" s="2">
        <v>89345.74</v>
      </c>
      <c r="K4102" s="2">
        <f>Table1[[#This Row],[Salary_after]]-Table1[[#This Row],[Salary_before]]</f>
        <v>988.06000000001222</v>
      </c>
      <c r="L4102" s="11">
        <v>1.1200000000000002E-2</v>
      </c>
      <c r="M4102" s="11">
        <v>0.19949999999999998</v>
      </c>
      <c r="N4102">
        <v>92.97</v>
      </c>
      <c r="O4102">
        <v>28.52</v>
      </c>
      <c r="P4102">
        <v>2</v>
      </c>
      <c r="Q4102" t="s">
        <v>21</v>
      </c>
      <c r="R4102">
        <v>51.265000000000001</v>
      </c>
      <c r="S4102">
        <v>1.1200000000000001</v>
      </c>
      <c r="T4102" s="4">
        <v>33.595999999999997</v>
      </c>
      <c r="U4102" s="4">
        <v>7.1328519999999997</v>
      </c>
      <c r="V4102" t="str">
        <f>IF(Table1[[#This Row],[ai_disruption_intensity]]&gt;70,"High",
IF(Table1[[#This Row],[ai_disruption_intensity]]&gt;40,"Medium","Low"))</f>
        <v>Low</v>
      </c>
      <c r="W4102" t="str">
        <f>IF(Table1[[#This Row],[skill_gap_index]]&gt;70,"Large Gap",
IF(Table1[[#This Row],[skill_gap_index]]&gt;40,"Medium Gap","Small Gap"))</f>
        <v>Large Gap</v>
      </c>
      <c r="X4102" s="3" t="str">
        <f>IF(Table1[[#This Row],[automation_risk_percent]]&gt;0.7,"Highly Automatable",
IF(Table1[[#This Row],[automation_risk_percent]]&gt;0.4,"Moderate Risk","Safe Job"))</f>
        <v>Safe Job</v>
      </c>
    </row>
    <row r="4103" spans="1:24" x14ac:dyDescent="0.3">
      <c r="A4103">
        <v>14280</v>
      </c>
      <c r="B4103" t="s">
        <v>18</v>
      </c>
      <c r="C4103" t="s">
        <v>23</v>
      </c>
      <c r="D4103" t="s">
        <v>20</v>
      </c>
      <c r="E4103" s="1">
        <v>2025</v>
      </c>
      <c r="F4103" s="11">
        <v>0.46270000000000006</v>
      </c>
      <c r="G4103">
        <v>43.09</v>
      </c>
      <c r="H4103">
        <v>4.78</v>
      </c>
      <c r="I4103" s="2">
        <v>61490.879999999997</v>
      </c>
      <c r="J4103" s="2">
        <v>58383.75</v>
      </c>
      <c r="K4103" s="2">
        <f>Table1[[#This Row],[Salary_after]]-Table1[[#This Row],[Salary_before]]</f>
        <v>-3107.1299999999974</v>
      </c>
      <c r="L4103" s="11">
        <v>-5.0499999999999996E-2</v>
      </c>
      <c r="M4103" s="11">
        <v>0.12039999999999999</v>
      </c>
      <c r="N4103">
        <v>52.49</v>
      </c>
      <c r="O4103">
        <v>56.52</v>
      </c>
      <c r="P4103">
        <v>2</v>
      </c>
      <c r="Q4103" t="s">
        <v>25</v>
      </c>
      <c r="R4103">
        <v>25.524999999999999</v>
      </c>
      <c r="S4103">
        <v>5.05</v>
      </c>
      <c r="T4103" s="4">
        <v>21.457000000000001</v>
      </c>
      <c r="U4103" s="4">
        <v>26.151803999999998</v>
      </c>
      <c r="V4103" t="str">
        <f>IF(Table1[[#This Row],[ai_disruption_intensity]]&gt;70,"High",
IF(Table1[[#This Row],[ai_disruption_intensity]]&gt;40,"Medium","Low"))</f>
        <v>Low</v>
      </c>
      <c r="W4103" t="str">
        <f>IF(Table1[[#This Row],[skill_gap_index]]&gt;70,"Large Gap",
IF(Table1[[#This Row],[skill_gap_index]]&gt;40,"Medium Gap","Small Gap"))</f>
        <v>Small Gap</v>
      </c>
      <c r="X4103" s="3" t="str">
        <f>IF(Table1[[#This Row],[automation_risk_percent]]&gt;0.7,"Highly Automatable",
IF(Table1[[#This Row],[automation_risk_percent]]&gt;0.4,"Moderate Risk","Safe Job"))</f>
        <v>Moderate Risk</v>
      </c>
    </row>
    <row r="4104" spans="1:24" x14ac:dyDescent="0.3">
      <c r="A4104">
        <v>14283</v>
      </c>
      <c r="B4104" t="s">
        <v>22</v>
      </c>
      <c r="C4104" t="s">
        <v>27</v>
      </c>
      <c r="D4104" t="s">
        <v>32</v>
      </c>
      <c r="E4104" s="1">
        <v>2025</v>
      </c>
      <c r="F4104" s="11">
        <v>0.66749999999999998</v>
      </c>
      <c r="G4104">
        <v>71.709999999999994</v>
      </c>
      <c r="H4104">
        <v>25.41</v>
      </c>
      <c r="I4104" s="2">
        <v>142653.14000000001</v>
      </c>
      <c r="J4104" s="2">
        <v>145421.51</v>
      </c>
      <c r="K4104" s="2">
        <f>Table1[[#This Row],[Salary_after]]-Table1[[#This Row],[Salary_before]]</f>
        <v>2768.3699999999953</v>
      </c>
      <c r="L4104" s="11">
        <v>1.9400000000000001E-2</v>
      </c>
      <c r="M4104" s="11">
        <v>-1.26E-2</v>
      </c>
      <c r="N4104">
        <v>65.11</v>
      </c>
      <c r="O4104">
        <v>44.44</v>
      </c>
      <c r="P4104">
        <v>1</v>
      </c>
      <c r="Q4104" t="s">
        <v>37</v>
      </c>
      <c r="R4104">
        <v>46.08</v>
      </c>
      <c r="S4104">
        <v>1.94</v>
      </c>
      <c r="T4104" s="4">
        <v>34.905000000000001</v>
      </c>
      <c r="U4104" s="4">
        <v>29.663699999999999</v>
      </c>
      <c r="V4104" t="str">
        <f>IF(Table1[[#This Row],[ai_disruption_intensity]]&gt;70,"High",
IF(Table1[[#This Row],[ai_disruption_intensity]]&gt;40,"Medium","Low"))</f>
        <v>Low</v>
      </c>
      <c r="W4104" t="str">
        <f>IF(Table1[[#This Row],[skill_gap_index]]&gt;70,"Large Gap",
IF(Table1[[#This Row],[skill_gap_index]]&gt;40,"Medium Gap","Small Gap"))</f>
        <v>Small Gap</v>
      </c>
      <c r="X4104" s="3" t="str">
        <f>IF(Table1[[#This Row],[automation_risk_percent]]&gt;0.7,"Highly Automatable",
IF(Table1[[#This Row],[automation_risk_percent]]&gt;0.4,"Moderate Risk","Safe Job"))</f>
        <v>Moderate Risk</v>
      </c>
    </row>
    <row r="4105" spans="1:24" x14ac:dyDescent="0.3">
      <c r="A4105">
        <v>14288</v>
      </c>
      <c r="B4105" t="s">
        <v>43</v>
      </c>
      <c r="C4105" t="s">
        <v>23</v>
      </c>
      <c r="D4105" t="s">
        <v>47</v>
      </c>
      <c r="E4105" s="1">
        <v>2026</v>
      </c>
      <c r="F4105" s="11">
        <v>0.67010000000000003</v>
      </c>
      <c r="G4105">
        <v>59.62</v>
      </c>
      <c r="H4105">
        <v>85.52</v>
      </c>
      <c r="I4105" s="2">
        <v>60514.6</v>
      </c>
      <c r="J4105" s="2">
        <v>63631.45</v>
      </c>
      <c r="K4105" s="2">
        <f>Table1[[#This Row],[Salary_after]]-Table1[[#This Row],[Salary_before]]</f>
        <v>3116.8499999999985</v>
      </c>
      <c r="L4105" s="11">
        <v>5.1500000000000004E-2</v>
      </c>
      <c r="M4105" s="11">
        <v>1.7100000000000001E-2</v>
      </c>
      <c r="N4105">
        <v>41.45</v>
      </c>
      <c r="O4105">
        <v>66.66</v>
      </c>
      <c r="P4105">
        <v>2</v>
      </c>
      <c r="Q4105" t="s">
        <v>37</v>
      </c>
      <c r="R4105">
        <v>76.265000000000001</v>
      </c>
      <c r="S4105">
        <v>5.15</v>
      </c>
      <c r="T4105" s="4">
        <v>54.005000000000003</v>
      </c>
      <c r="U4105" s="4">
        <v>44.668866000000001</v>
      </c>
      <c r="V4105" t="str">
        <f>IF(Table1[[#This Row],[ai_disruption_intensity]]&gt;70,"High",
IF(Table1[[#This Row],[ai_disruption_intensity]]&gt;40,"Medium","Low"))</f>
        <v>Medium</v>
      </c>
      <c r="W4105" t="str">
        <f>IF(Table1[[#This Row],[skill_gap_index]]&gt;70,"Large Gap",
IF(Table1[[#This Row],[skill_gap_index]]&gt;40,"Medium Gap","Small Gap"))</f>
        <v>Large Gap</v>
      </c>
      <c r="X4105" s="3" t="str">
        <f>IF(Table1[[#This Row],[automation_risk_percent]]&gt;0.7,"Highly Automatable",
IF(Table1[[#This Row],[automation_risk_percent]]&gt;0.4,"Moderate Risk","Safe Job"))</f>
        <v>Moderate Risk</v>
      </c>
    </row>
    <row r="4106" spans="1:24" x14ac:dyDescent="0.3">
      <c r="A4106">
        <v>14299</v>
      </c>
      <c r="B4106" t="s">
        <v>22</v>
      </c>
      <c r="C4106" t="s">
        <v>23</v>
      </c>
      <c r="D4106" t="s">
        <v>20</v>
      </c>
      <c r="E4106" s="1">
        <v>2026</v>
      </c>
      <c r="F4106" s="11">
        <v>0.41889999999999999</v>
      </c>
      <c r="G4106">
        <v>39.26</v>
      </c>
      <c r="H4106">
        <v>36.520000000000003</v>
      </c>
      <c r="I4106" s="2">
        <v>81997.279999999999</v>
      </c>
      <c r="J4106" s="2">
        <v>95282.31</v>
      </c>
      <c r="K4106" s="2">
        <f>Table1[[#This Row],[Salary_after]]-Table1[[#This Row],[Salary_before]]</f>
        <v>13285.029999999999</v>
      </c>
      <c r="L4106" s="11">
        <v>0.16200000000000001</v>
      </c>
      <c r="M4106" s="11">
        <v>-2.1600000000000001E-2</v>
      </c>
      <c r="N4106">
        <v>60.81</v>
      </c>
      <c r="O4106">
        <v>51.07</v>
      </c>
      <c r="P4106">
        <v>2</v>
      </c>
      <c r="Q4106" t="s">
        <v>25</v>
      </c>
      <c r="R4106">
        <v>39.204999999999998</v>
      </c>
      <c r="S4106">
        <v>16.2</v>
      </c>
      <c r="T4106" s="4">
        <v>32.572000000000003</v>
      </c>
      <c r="U4106" s="4">
        <v>21.393222999999999</v>
      </c>
      <c r="V4106" t="str">
        <f>IF(Table1[[#This Row],[ai_disruption_intensity]]&gt;70,"High",
IF(Table1[[#This Row],[ai_disruption_intensity]]&gt;40,"Medium","Low"))</f>
        <v>Low</v>
      </c>
      <c r="W4106" t="str">
        <f>IF(Table1[[#This Row],[skill_gap_index]]&gt;70,"Large Gap",
IF(Table1[[#This Row],[skill_gap_index]]&gt;40,"Medium Gap","Small Gap"))</f>
        <v>Small Gap</v>
      </c>
      <c r="X4106" s="3" t="str">
        <f>IF(Table1[[#This Row],[automation_risk_percent]]&gt;0.7,"Highly Automatable",
IF(Table1[[#This Row],[automation_risk_percent]]&gt;0.4,"Moderate Risk","Safe Job"))</f>
        <v>Moderate Risk</v>
      </c>
    </row>
    <row r="4107" spans="1:24" x14ac:dyDescent="0.3">
      <c r="A4107">
        <v>14303</v>
      </c>
      <c r="B4107" t="s">
        <v>22</v>
      </c>
      <c r="C4107" t="s">
        <v>38</v>
      </c>
      <c r="D4107" t="s">
        <v>36</v>
      </c>
      <c r="E4107" s="1">
        <v>2025</v>
      </c>
      <c r="F4107" s="11">
        <v>0.20190000000000002</v>
      </c>
      <c r="G4107">
        <v>17.420000000000002</v>
      </c>
      <c r="H4107">
        <v>63.99</v>
      </c>
      <c r="I4107" s="2">
        <v>60819.06</v>
      </c>
      <c r="J4107" s="2">
        <v>65843.039999999994</v>
      </c>
      <c r="K4107" s="2">
        <f>Table1[[#This Row],[Salary_after]]-Table1[[#This Row],[Salary_before]]</f>
        <v>5023.9799999999959</v>
      </c>
      <c r="L4107" s="11">
        <v>8.2599999999999993E-2</v>
      </c>
      <c r="M4107" s="11">
        <v>-0.1125</v>
      </c>
      <c r="N4107">
        <v>81.12</v>
      </c>
      <c r="O4107">
        <v>40.08</v>
      </c>
      <c r="P4107">
        <v>4</v>
      </c>
      <c r="Q4107" t="s">
        <v>21</v>
      </c>
      <c r="R4107">
        <v>42.09</v>
      </c>
      <c r="S4107">
        <v>8.26</v>
      </c>
      <c r="T4107" s="4">
        <v>29.750999999999902</v>
      </c>
      <c r="U4107" s="4">
        <v>8.0921520000000005</v>
      </c>
      <c r="V4107" t="str">
        <f>IF(Table1[[#This Row],[ai_disruption_intensity]]&gt;70,"High",
IF(Table1[[#This Row],[ai_disruption_intensity]]&gt;40,"Medium","Low"))</f>
        <v>Low</v>
      </c>
      <c r="W4107" t="str">
        <f>IF(Table1[[#This Row],[skill_gap_index]]&gt;70,"Large Gap",
IF(Table1[[#This Row],[skill_gap_index]]&gt;40,"Medium Gap","Small Gap"))</f>
        <v>Medium Gap</v>
      </c>
      <c r="X4107" s="3" t="str">
        <f>IF(Table1[[#This Row],[automation_risk_percent]]&gt;0.7,"Highly Automatable",
IF(Table1[[#This Row],[automation_risk_percent]]&gt;0.4,"Moderate Risk","Safe Job"))</f>
        <v>Safe Job</v>
      </c>
    </row>
    <row r="4108" spans="1:24" x14ac:dyDescent="0.3">
      <c r="A4108">
        <v>14304</v>
      </c>
      <c r="B4108" t="s">
        <v>44</v>
      </c>
      <c r="C4108" t="s">
        <v>30</v>
      </c>
      <c r="D4108" t="s">
        <v>24</v>
      </c>
      <c r="E4108" s="1">
        <v>2025</v>
      </c>
      <c r="F4108" s="11">
        <v>0.127</v>
      </c>
      <c r="G4108">
        <v>13.48</v>
      </c>
      <c r="H4108">
        <v>68.47</v>
      </c>
      <c r="I4108" s="2">
        <v>70375.48</v>
      </c>
      <c r="J4108" s="2">
        <v>65440.34</v>
      </c>
      <c r="K4108" s="2">
        <f>Table1[[#This Row],[Salary_after]]-Table1[[#This Row],[Salary_before]]</f>
        <v>-4935.1399999999994</v>
      </c>
      <c r="L4108" s="11">
        <v>-7.0099999999999996E-2</v>
      </c>
      <c r="M4108" s="11">
        <v>0.11869999999999999</v>
      </c>
      <c r="N4108">
        <v>56.14</v>
      </c>
      <c r="O4108">
        <v>69.75</v>
      </c>
      <c r="P4108">
        <v>4</v>
      </c>
      <c r="Q4108" t="s">
        <v>21</v>
      </c>
      <c r="R4108">
        <v>40.585000000000001</v>
      </c>
      <c r="S4108">
        <v>7.01</v>
      </c>
      <c r="T4108" s="4">
        <v>27.724</v>
      </c>
      <c r="U4108" s="4">
        <v>8.85825</v>
      </c>
      <c r="V4108" t="str">
        <f>IF(Table1[[#This Row],[ai_disruption_intensity]]&gt;70,"High",
IF(Table1[[#This Row],[ai_disruption_intensity]]&gt;40,"Medium","Low"))</f>
        <v>Low</v>
      </c>
      <c r="W4108" t="str">
        <f>IF(Table1[[#This Row],[skill_gap_index]]&gt;70,"Large Gap",
IF(Table1[[#This Row],[skill_gap_index]]&gt;40,"Medium Gap","Small Gap"))</f>
        <v>Medium Gap</v>
      </c>
      <c r="X4108" s="3" t="str">
        <f>IF(Table1[[#This Row],[automation_risk_percent]]&gt;0.7,"Highly Automatable",
IF(Table1[[#This Row],[automation_risk_percent]]&gt;0.4,"Moderate Risk","Safe Job"))</f>
        <v>Safe Job</v>
      </c>
    </row>
    <row r="4109" spans="1:24" x14ac:dyDescent="0.3">
      <c r="A4109">
        <v>14306</v>
      </c>
      <c r="B4109" t="s">
        <v>22</v>
      </c>
      <c r="C4109" t="s">
        <v>19</v>
      </c>
      <c r="D4109" t="s">
        <v>20</v>
      </c>
      <c r="E4109" s="1">
        <v>2026</v>
      </c>
      <c r="F4109" s="11">
        <v>0.76560000000000006</v>
      </c>
      <c r="G4109">
        <v>63.51</v>
      </c>
      <c r="H4109">
        <v>78.77</v>
      </c>
      <c r="I4109" s="2">
        <v>44524.31</v>
      </c>
      <c r="J4109" s="2">
        <v>47699.45</v>
      </c>
      <c r="K4109" s="2">
        <f>Table1[[#This Row],[Salary_after]]-Table1[[#This Row],[Salary_before]]</f>
        <v>3175.1399999999994</v>
      </c>
      <c r="L4109" s="11">
        <v>7.1300000000000002E-2</v>
      </c>
      <c r="M4109" s="11">
        <v>-0.105</v>
      </c>
      <c r="N4109">
        <v>22.62</v>
      </c>
      <c r="O4109">
        <v>9.73</v>
      </c>
      <c r="P4109">
        <v>4</v>
      </c>
      <c r="Q4109" t="s">
        <v>37</v>
      </c>
      <c r="R4109">
        <v>77.664999999999907</v>
      </c>
      <c r="S4109">
        <v>7.13</v>
      </c>
      <c r="T4109" s="4">
        <v>56.393999999999998</v>
      </c>
      <c r="U4109" s="4">
        <v>7.4492880000000001</v>
      </c>
      <c r="V4109" t="str">
        <f>IF(Table1[[#This Row],[ai_disruption_intensity]]&gt;70,"High",
IF(Table1[[#This Row],[ai_disruption_intensity]]&gt;40,"Medium","Low"))</f>
        <v>Low</v>
      </c>
      <c r="W4109" t="str">
        <f>IF(Table1[[#This Row],[skill_gap_index]]&gt;70,"Large Gap",
IF(Table1[[#This Row],[skill_gap_index]]&gt;40,"Medium Gap","Small Gap"))</f>
        <v>Large Gap</v>
      </c>
      <c r="X4109" s="3" t="str">
        <f>IF(Table1[[#This Row],[automation_risk_percent]]&gt;0.7,"Highly Automatable",
IF(Table1[[#This Row],[automation_risk_percent]]&gt;0.4,"Moderate Risk","Safe Job"))</f>
        <v>Highly Automatable</v>
      </c>
    </row>
    <row r="4110" spans="1:24" x14ac:dyDescent="0.3">
      <c r="A4110">
        <v>14308</v>
      </c>
      <c r="B4110" t="s">
        <v>44</v>
      </c>
      <c r="C4110" t="s">
        <v>33</v>
      </c>
      <c r="D4110" t="s">
        <v>47</v>
      </c>
      <c r="E4110" s="1">
        <v>2025</v>
      </c>
      <c r="F4110" s="11">
        <v>0.37490000000000001</v>
      </c>
      <c r="G4110">
        <v>43.53</v>
      </c>
      <c r="H4110">
        <v>89.79</v>
      </c>
      <c r="I4110" s="2">
        <v>115615.27</v>
      </c>
      <c r="J4110" s="2">
        <v>116164.37</v>
      </c>
      <c r="K4110" s="2">
        <f>Table1[[#This Row],[Salary_after]]-Table1[[#This Row],[Salary_before]]</f>
        <v>549.09999999999127</v>
      </c>
      <c r="L4110" s="11">
        <v>4.6999999999999993E-3</v>
      </c>
      <c r="M4110" s="11">
        <v>-8.3699999999999997E-2</v>
      </c>
      <c r="N4110">
        <v>51.44</v>
      </c>
      <c r="O4110">
        <v>38.950000000000003</v>
      </c>
      <c r="P4110">
        <v>5</v>
      </c>
      <c r="Q4110" t="s">
        <v>25</v>
      </c>
      <c r="R4110">
        <v>63.64</v>
      </c>
      <c r="S4110">
        <v>0.47</v>
      </c>
      <c r="T4110" s="4">
        <v>42.073999999999998</v>
      </c>
      <c r="U4110" s="4">
        <v>14.602354999999999</v>
      </c>
      <c r="V4110" t="str">
        <f>IF(Table1[[#This Row],[ai_disruption_intensity]]&gt;70,"High",
IF(Table1[[#This Row],[ai_disruption_intensity]]&gt;40,"Medium","Low"))</f>
        <v>Low</v>
      </c>
      <c r="W4110" t="str">
        <f>IF(Table1[[#This Row],[skill_gap_index]]&gt;70,"Large Gap",
IF(Table1[[#This Row],[skill_gap_index]]&gt;40,"Medium Gap","Small Gap"))</f>
        <v>Large Gap</v>
      </c>
      <c r="X4110" s="3" t="str">
        <f>IF(Table1[[#This Row],[automation_risk_percent]]&gt;0.7,"Highly Automatable",
IF(Table1[[#This Row],[automation_risk_percent]]&gt;0.4,"Moderate Risk","Safe Job"))</f>
        <v>Safe Job</v>
      </c>
    </row>
    <row r="4111" spans="1:24" x14ac:dyDescent="0.3">
      <c r="A4111">
        <v>14313</v>
      </c>
      <c r="B4111" t="s">
        <v>43</v>
      </c>
      <c r="C4111" t="s">
        <v>19</v>
      </c>
      <c r="D4111" t="s">
        <v>31</v>
      </c>
      <c r="E4111" s="1">
        <v>2026</v>
      </c>
      <c r="F4111" s="11">
        <v>0.38369999999999999</v>
      </c>
      <c r="G4111">
        <v>44.15</v>
      </c>
      <c r="H4111">
        <v>96.22</v>
      </c>
      <c r="I4111" s="2">
        <v>62492.91</v>
      </c>
      <c r="J4111" s="2">
        <v>58976.93</v>
      </c>
      <c r="K4111" s="2">
        <f>Table1[[#This Row],[Salary_after]]-Table1[[#This Row],[Salary_before]]</f>
        <v>-3515.9800000000032</v>
      </c>
      <c r="L4111" s="11">
        <v>-5.6299999999999996E-2</v>
      </c>
      <c r="M4111" s="11">
        <v>0.13449999999999998</v>
      </c>
      <c r="N4111">
        <v>71.73</v>
      </c>
      <c r="O4111">
        <v>66.78</v>
      </c>
      <c r="P4111">
        <v>4</v>
      </c>
      <c r="Q4111" t="s">
        <v>25</v>
      </c>
      <c r="R4111">
        <v>67.295000000000002</v>
      </c>
      <c r="S4111">
        <v>5.63</v>
      </c>
      <c r="T4111" s="4">
        <v>45.902999999999999</v>
      </c>
      <c r="U4111" s="4">
        <v>25.623486</v>
      </c>
      <c r="V4111" t="str">
        <f>IF(Table1[[#This Row],[ai_disruption_intensity]]&gt;70,"High",
IF(Table1[[#This Row],[ai_disruption_intensity]]&gt;40,"Medium","Low"))</f>
        <v>Low</v>
      </c>
      <c r="W4111" t="str">
        <f>IF(Table1[[#This Row],[skill_gap_index]]&gt;70,"Large Gap",
IF(Table1[[#This Row],[skill_gap_index]]&gt;40,"Medium Gap","Small Gap"))</f>
        <v>Large Gap</v>
      </c>
      <c r="X4111" s="3" t="str">
        <f>IF(Table1[[#This Row],[automation_risk_percent]]&gt;0.7,"Highly Automatable",
IF(Table1[[#This Row],[automation_risk_percent]]&gt;0.4,"Moderate Risk","Safe Job"))</f>
        <v>Safe Job</v>
      </c>
    </row>
    <row r="4112" spans="1:24" x14ac:dyDescent="0.3">
      <c r="A4112">
        <v>14317</v>
      </c>
      <c r="B4112" t="s">
        <v>29</v>
      </c>
      <c r="C4112" t="s">
        <v>38</v>
      </c>
      <c r="D4112" t="s">
        <v>28</v>
      </c>
      <c r="E4112" s="1">
        <v>2025</v>
      </c>
      <c r="F4112" s="11">
        <v>0.77839999999999998</v>
      </c>
      <c r="G4112">
        <v>77.58</v>
      </c>
      <c r="H4112">
        <v>36.43</v>
      </c>
      <c r="I4112" s="2">
        <v>135072.35</v>
      </c>
      <c r="J4112" s="2">
        <v>135008.89000000001</v>
      </c>
      <c r="K4112" s="2">
        <f>Table1[[#This Row],[Salary_after]]-Table1[[#This Row],[Salary_before]]</f>
        <v>-63.459999999991851</v>
      </c>
      <c r="L4112" s="11">
        <v>-5.0000000000000001E-4</v>
      </c>
      <c r="M4112" s="11">
        <v>3.9100000000000003E-2</v>
      </c>
      <c r="N4112">
        <v>68.709999999999994</v>
      </c>
      <c r="O4112">
        <v>0.41</v>
      </c>
      <c r="P4112">
        <v>4</v>
      </c>
      <c r="Q4112" t="s">
        <v>37</v>
      </c>
      <c r="R4112">
        <v>57.134999999999998</v>
      </c>
      <c r="S4112">
        <v>0.05</v>
      </c>
      <c r="T4112" s="4">
        <v>42.08</v>
      </c>
      <c r="U4112" s="4">
        <v>0.31914399999999998</v>
      </c>
      <c r="V4112" t="str">
        <f>IF(Table1[[#This Row],[ai_disruption_intensity]]&gt;70,"High",
IF(Table1[[#This Row],[ai_disruption_intensity]]&gt;40,"Medium","Low"))</f>
        <v>Low</v>
      </c>
      <c r="W4112" t="str">
        <f>IF(Table1[[#This Row],[skill_gap_index]]&gt;70,"Large Gap",
IF(Table1[[#This Row],[skill_gap_index]]&gt;40,"Medium Gap","Small Gap"))</f>
        <v>Small Gap</v>
      </c>
      <c r="X4112" s="3" t="str">
        <f>IF(Table1[[#This Row],[automation_risk_percent]]&gt;0.7,"Highly Automatable",
IF(Table1[[#This Row],[automation_risk_percent]]&gt;0.4,"Moderate Risk","Safe Job"))</f>
        <v>Highly Automatable</v>
      </c>
    </row>
    <row r="4113" spans="1:24" x14ac:dyDescent="0.3">
      <c r="A4113">
        <v>14318</v>
      </c>
      <c r="B4113" t="s">
        <v>26</v>
      </c>
      <c r="C4113" t="s">
        <v>27</v>
      </c>
      <c r="D4113" t="s">
        <v>24</v>
      </c>
      <c r="E4113" s="1">
        <v>2025</v>
      </c>
      <c r="F4113" s="11">
        <v>0.50929999999999997</v>
      </c>
      <c r="G4113">
        <v>44.13</v>
      </c>
      <c r="H4113">
        <v>84.55</v>
      </c>
      <c r="I4113" s="2">
        <v>121741.55</v>
      </c>
      <c r="J4113" s="2">
        <v>124457.26</v>
      </c>
      <c r="K4113" s="2">
        <f>Table1[[#This Row],[Salary_after]]-Table1[[#This Row],[Salary_before]]</f>
        <v>2715.7099999999919</v>
      </c>
      <c r="L4113" s="11">
        <v>2.23E-2</v>
      </c>
      <c r="M4113" s="11">
        <v>-5.8600000000000006E-2</v>
      </c>
      <c r="N4113">
        <v>78.16</v>
      </c>
      <c r="O4113">
        <v>2.93</v>
      </c>
      <c r="P4113">
        <v>3</v>
      </c>
      <c r="Q4113" t="s">
        <v>25</v>
      </c>
      <c r="R4113">
        <v>67.739999999999995</v>
      </c>
      <c r="S4113">
        <v>2.23</v>
      </c>
      <c r="T4113" s="4">
        <v>46.405999999999899</v>
      </c>
      <c r="U4113" s="4">
        <v>1.4922489999999999</v>
      </c>
      <c r="V4113" t="str">
        <f>IF(Table1[[#This Row],[ai_disruption_intensity]]&gt;70,"High",
IF(Table1[[#This Row],[ai_disruption_intensity]]&gt;40,"Medium","Low"))</f>
        <v>Low</v>
      </c>
      <c r="W4113" t="str">
        <f>IF(Table1[[#This Row],[skill_gap_index]]&gt;70,"Large Gap",
IF(Table1[[#This Row],[skill_gap_index]]&gt;40,"Medium Gap","Small Gap"))</f>
        <v>Large Gap</v>
      </c>
      <c r="X4113" s="3" t="str">
        <f>IF(Table1[[#This Row],[automation_risk_percent]]&gt;0.7,"Highly Automatable",
IF(Table1[[#This Row],[automation_risk_percent]]&gt;0.4,"Moderate Risk","Safe Job"))</f>
        <v>Moderate Risk</v>
      </c>
    </row>
    <row r="4114" spans="1:24" x14ac:dyDescent="0.3">
      <c r="A4114">
        <v>14320</v>
      </c>
      <c r="B4114" t="s">
        <v>41</v>
      </c>
      <c r="C4114" t="s">
        <v>34</v>
      </c>
      <c r="D4114" t="s">
        <v>20</v>
      </c>
      <c r="E4114" s="1">
        <v>2025</v>
      </c>
      <c r="F4114" s="11">
        <v>0.44990000000000002</v>
      </c>
      <c r="G4114">
        <v>53.92</v>
      </c>
      <c r="H4114">
        <v>68.069999999999993</v>
      </c>
      <c r="I4114" s="2">
        <v>99797.48</v>
      </c>
      <c r="J4114" s="2">
        <v>111012.01</v>
      </c>
      <c r="K4114" s="2">
        <f>Table1[[#This Row],[Salary_after]]-Table1[[#This Row],[Salary_before]]</f>
        <v>11214.529999999999</v>
      </c>
      <c r="L4114" s="11">
        <v>0.1124</v>
      </c>
      <c r="M4114" s="11">
        <v>0.11169999999999999</v>
      </c>
      <c r="N4114">
        <v>13.37</v>
      </c>
      <c r="O4114">
        <v>19.989999999999998</v>
      </c>
      <c r="P4114">
        <v>5</v>
      </c>
      <c r="Q4114" t="s">
        <v>25</v>
      </c>
      <c r="R4114">
        <v>56.53</v>
      </c>
      <c r="S4114">
        <v>11.24</v>
      </c>
      <c r="T4114" s="4">
        <v>41.789000000000001</v>
      </c>
      <c r="U4114" s="4">
        <v>8.9935010000000002</v>
      </c>
      <c r="V4114" t="str">
        <f>IF(Table1[[#This Row],[ai_disruption_intensity]]&gt;70,"High",
IF(Table1[[#This Row],[ai_disruption_intensity]]&gt;40,"Medium","Low"))</f>
        <v>Low</v>
      </c>
      <c r="W4114" t="str">
        <f>IF(Table1[[#This Row],[skill_gap_index]]&gt;70,"Large Gap",
IF(Table1[[#This Row],[skill_gap_index]]&gt;40,"Medium Gap","Small Gap"))</f>
        <v>Medium Gap</v>
      </c>
      <c r="X4114" s="3" t="str">
        <f>IF(Table1[[#This Row],[automation_risk_percent]]&gt;0.7,"Highly Automatable",
IF(Table1[[#This Row],[automation_risk_percent]]&gt;0.4,"Moderate Risk","Safe Job"))</f>
        <v>Moderate Risk</v>
      </c>
    </row>
    <row r="4115" spans="1:24" x14ac:dyDescent="0.3">
      <c r="A4115">
        <v>14322</v>
      </c>
      <c r="B4115" t="s">
        <v>45</v>
      </c>
      <c r="C4115" t="s">
        <v>23</v>
      </c>
      <c r="D4115" t="s">
        <v>36</v>
      </c>
      <c r="E4115" s="1">
        <v>2026</v>
      </c>
      <c r="F4115" s="11">
        <v>0.50259999999999994</v>
      </c>
      <c r="G4115">
        <v>52.3</v>
      </c>
      <c r="H4115">
        <v>73</v>
      </c>
      <c r="I4115" s="2">
        <v>31361.16</v>
      </c>
      <c r="J4115" s="2">
        <v>30140.78</v>
      </c>
      <c r="K4115" s="2">
        <f>Table1[[#This Row],[Salary_after]]-Table1[[#This Row],[Salary_before]]</f>
        <v>-1220.380000000001</v>
      </c>
      <c r="L4115" s="11">
        <v>-3.8900000000000004E-2</v>
      </c>
      <c r="M4115" s="11">
        <v>-0.11449999999999999</v>
      </c>
      <c r="N4115">
        <v>57.39</v>
      </c>
      <c r="O4115">
        <v>6.64</v>
      </c>
      <c r="P4115">
        <v>2</v>
      </c>
      <c r="Q4115" t="s">
        <v>25</v>
      </c>
      <c r="R4115">
        <v>61.629999999999903</v>
      </c>
      <c r="S4115">
        <v>3.89</v>
      </c>
      <c r="T4115" s="4">
        <v>43.170999999999999</v>
      </c>
      <c r="U4115" s="4">
        <v>3.33726399999999</v>
      </c>
      <c r="V4115" t="str">
        <f>IF(Table1[[#This Row],[ai_disruption_intensity]]&gt;70,"High",
IF(Table1[[#This Row],[ai_disruption_intensity]]&gt;40,"Medium","Low"))</f>
        <v>Low</v>
      </c>
      <c r="W4115" t="str">
        <f>IF(Table1[[#This Row],[skill_gap_index]]&gt;70,"Large Gap",
IF(Table1[[#This Row],[skill_gap_index]]&gt;40,"Medium Gap","Small Gap"))</f>
        <v>Large Gap</v>
      </c>
      <c r="X4115" s="3" t="str">
        <f>IF(Table1[[#This Row],[automation_risk_percent]]&gt;0.7,"Highly Automatable",
IF(Table1[[#This Row],[automation_risk_percent]]&gt;0.4,"Moderate Risk","Safe Job"))</f>
        <v>Moderate Risk</v>
      </c>
    </row>
    <row r="4116" spans="1:24" x14ac:dyDescent="0.3">
      <c r="A4116">
        <v>14324</v>
      </c>
      <c r="B4116" t="s">
        <v>26</v>
      </c>
      <c r="C4116" t="s">
        <v>34</v>
      </c>
      <c r="D4116" t="s">
        <v>36</v>
      </c>
      <c r="E4116" s="1">
        <v>2025</v>
      </c>
      <c r="F4116" s="11">
        <v>0.20280000000000001</v>
      </c>
      <c r="G4116">
        <v>19.72</v>
      </c>
      <c r="H4116">
        <v>26.85</v>
      </c>
      <c r="I4116" s="2">
        <v>99781.23</v>
      </c>
      <c r="J4116" s="2">
        <v>98039.49</v>
      </c>
      <c r="K4116" s="2">
        <f>Table1[[#This Row],[Salary_after]]-Table1[[#This Row],[Salary_before]]</f>
        <v>-1741.7399999999907</v>
      </c>
      <c r="L4116" s="11">
        <v>-1.7500000000000002E-2</v>
      </c>
      <c r="M4116" s="11">
        <v>0.159</v>
      </c>
      <c r="N4116">
        <v>20.16</v>
      </c>
      <c r="O4116">
        <v>87.67</v>
      </c>
      <c r="P4116">
        <v>2</v>
      </c>
      <c r="Q4116" t="s">
        <v>21</v>
      </c>
      <c r="R4116">
        <v>23.565000000000001</v>
      </c>
      <c r="S4116">
        <v>1.75</v>
      </c>
      <c r="T4116" s="4">
        <v>16.692</v>
      </c>
      <c r="U4116" s="4">
        <v>17.779475999999999</v>
      </c>
      <c r="V4116" t="str">
        <f>IF(Table1[[#This Row],[ai_disruption_intensity]]&gt;70,"High",
IF(Table1[[#This Row],[ai_disruption_intensity]]&gt;40,"Medium","Low"))</f>
        <v>Low</v>
      </c>
      <c r="W4116" t="str">
        <f>IF(Table1[[#This Row],[skill_gap_index]]&gt;70,"Large Gap",
IF(Table1[[#This Row],[skill_gap_index]]&gt;40,"Medium Gap","Small Gap"))</f>
        <v>Small Gap</v>
      </c>
      <c r="X4116" s="3" t="str">
        <f>IF(Table1[[#This Row],[automation_risk_percent]]&gt;0.7,"Highly Automatable",
IF(Table1[[#This Row],[automation_risk_percent]]&gt;0.4,"Moderate Risk","Safe Job"))</f>
        <v>Safe Job</v>
      </c>
    </row>
    <row r="4117" spans="1:24" x14ac:dyDescent="0.3">
      <c r="A4117">
        <v>14331</v>
      </c>
      <c r="B4117" t="s">
        <v>39</v>
      </c>
      <c r="C4117" t="s">
        <v>38</v>
      </c>
      <c r="D4117" t="s">
        <v>47</v>
      </c>
      <c r="E4117" s="1">
        <v>2025</v>
      </c>
      <c r="F4117" s="11">
        <v>0.39450000000000002</v>
      </c>
      <c r="G4117">
        <v>38.92</v>
      </c>
      <c r="H4117">
        <v>72.569999999999993</v>
      </c>
      <c r="I4117" s="2">
        <v>44895.65</v>
      </c>
      <c r="J4117" s="2">
        <v>43041.43</v>
      </c>
      <c r="K4117" s="2">
        <f>Table1[[#This Row],[Salary_after]]-Table1[[#This Row],[Salary_before]]</f>
        <v>-1854.2200000000012</v>
      </c>
      <c r="L4117" s="11">
        <v>-4.1299999999999996E-2</v>
      </c>
      <c r="M4117" s="11">
        <v>1.3999999999999999E-2</v>
      </c>
      <c r="N4117">
        <v>53.15</v>
      </c>
      <c r="O4117">
        <v>58.71</v>
      </c>
      <c r="P4117">
        <v>5</v>
      </c>
      <c r="Q4117" t="s">
        <v>25</v>
      </c>
      <c r="R4117">
        <v>56.01</v>
      </c>
      <c r="S4117">
        <v>4.13</v>
      </c>
      <c r="T4117" s="4">
        <v>38.79</v>
      </c>
      <c r="U4117" s="4">
        <v>23.161095</v>
      </c>
      <c r="V4117" t="str">
        <f>IF(Table1[[#This Row],[ai_disruption_intensity]]&gt;70,"High",
IF(Table1[[#This Row],[ai_disruption_intensity]]&gt;40,"Medium","Low"))</f>
        <v>Low</v>
      </c>
      <c r="W4117" t="str">
        <f>IF(Table1[[#This Row],[skill_gap_index]]&gt;70,"Large Gap",
IF(Table1[[#This Row],[skill_gap_index]]&gt;40,"Medium Gap","Small Gap"))</f>
        <v>Large Gap</v>
      </c>
      <c r="X4117" s="3" t="str">
        <f>IF(Table1[[#This Row],[automation_risk_percent]]&gt;0.7,"Highly Automatable",
IF(Table1[[#This Row],[automation_risk_percent]]&gt;0.4,"Moderate Risk","Safe Job"))</f>
        <v>Safe Job</v>
      </c>
    </row>
    <row r="4118" spans="1:24" x14ac:dyDescent="0.3">
      <c r="A4118">
        <v>14337</v>
      </c>
      <c r="B4118" t="s">
        <v>44</v>
      </c>
      <c r="C4118" t="s">
        <v>34</v>
      </c>
      <c r="D4118" t="s">
        <v>47</v>
      </c>
      <c r="E4118" s="1">
        <v>2026</v>
      </c>
      <c r="F4118" s="11">
        <v>0.60919999999999996</v>
      </c>
      <c r="G4118">
        <v>57.56</v>
      </c>
      <c r="H4118">
        <v>94</v>
      </c>
      <c r="I4118" s="2">
        <v>144019.82999999999</v>
      </c>
      <c r="J4118" s="2">
        <v>116903.28</v>
      </c>
      <c r="K4118" s="2">
        <f>Table1[[#This Row],[Salary_after]]-Table1[[#This Row],[Salary_before]]</f>
        <v>-27116.549999999988</v>
      </c>
      <c r="L4118" s="11">
        <v>-0.1883</v>
      </c>
      <c r="M4118" s="11">
        <v>0.14349999999999999</v>
      </c>
      <c r="N4118">
        <v>45.96</v>
      </c>
      <c r="O4118">
        <v>28.76</v>
      </c>
      <c r="P4118">
        <v>1</v>
      </c>
      <c r="Q4118" t="s">
        <v>37</v>
      </c>
      <c r="R4118">
        <v>77.459999999999994</v>
      </c>
      <c r="S4118">
        <v>18.829999999999998</v>
      </c>
      <c r="T4118" s="4">
        <v>58.216999999999999</v>
      </c>
      <c r="U4118" s="4">
        <v>17.520592000000001</v>
      </c>
      <c r="V4118" t="str">
        <f>IF(Table1[[#This Row],[ai_disruption_intensity]]&gt;70,"High",
IF(Table1[[#This Row],[ai_disruption_intensity]]&gt;40,"Medium","Low"))</f>
        <v>Low</v>
      </c>
      <c r="W4118" t="str">
        <f>IF(Table1[[#This Row],[skill_gap_index]]&gt;70,"Large Gap",
IF(Table1[[#This Row],[skill_gap_index]]&gt;40,"Medium Gap","Small Gap"))</f>
        <v>Large Gap</v>
      </c>
      <c r="X4118" s="3" t="str">
        <f>IF(Table1[[#This Row],[automation_risk_percent]]&gt;0.7,"Highly Automatable",
IF(Table1[[#This Row],[automation_risk_percent]]&gt;0.4,"Moderate Risk","Safe Job"))</f>
        <v>Moderate Risk</v>
      </c>
    </row>
    <row r="4119" spans="1:24" x14ac:dyDescent="0.3">
      <c r="A4119">
        <v>14338</v>
      </c>
      <c r="B4119" t="s">
        <v>43</v>
      </c>
      <c r="C4119" t="s">
        <v>19</v>
      </c>
      <c r="D4119" t="s">
        <v>24</v>
      </c>
      <c r="E4119" s="1">
        <v>2026</v>
      </c>
      <c r="F4119" s="11">
        <v>0.5786</v>
      </c>
      <c r="G4119">
        <v>58.66</v>
      </c>
      <c r="H4119">
        <v>42.23</v>
      </c>
      <c r="I4119" s="2">
        <v>92813.2</v>
      </c>
      <c r="J4119" s="2">
        <v>96040.48</v>
      </c>
      <c r="K4119" s="2">
        <f>Table1[[#This Row],[Salary_after]]-Table1[[#This Row],[Salary_before]]</f>
        <v>3227.2799999999988</v>
      </c>
      <c r="L4119" s="11">
        <v>3.4799999999999998E-2</v>
      </c>
      <c r="M4119" s="11">
        <v>-3.0800000000000001E-2</v>
      </c>
      <c r="N4119">
        <v>56.34</v>
      </c>
      <c r="O4119">
        <v>61.5</v>
      </c>
      <c r="P4119">
        <v>5</v>
      </c>
      <c r="Q4119" t="s">
        <v>25</v>
      </c>
      <c r="R4119">
        <v>50.045000000000002</v>
      </c>
      <c r="S4119">
        <v>3.48</v>
      </c>
      <c r="T4119" s="4">
        <v>36.856999999999999</v>
      </c>
      <c r="U4119" s="4">
        <v>35.5839</v>
      </c>
      <c r="V4119" t="str">
        <f>IF(Table1[[#This Row],[ai_disruption_intensity]]&gt;70,"High",
IF(Table1[[#This Row],[ai_disruption_intensity]]&gt;40,"Medium","Low"))</f>
        <v>Low</v>
      </c>
      <c r="W4119" t="str">
        <f>IF(Table1[[#This Row],[skill_gap_index]]&gt;70,"Large Gap",
IF(Table1[[#This Row],[skill_gap_index]]&gt;40,"Medium Gap","Small Gap"))</f>
        <v>Medium Gap</v>
      </c>
      <c r="X4119" s="3" t="str">
        <f>IF(Table1[[#This Row],[automation_risk_percent]]&gt;0.7,"Highly Automatable",
IF(Table1[[#This Row],[automation_risk_percent]]&gt;0.4,"Moderate Risk","Safe Job"))</f>
        <v>Moderate Risk</v>
      </c>
    </row>
    <row r="4120" spans="1:24" x14ac:dyDescent="0.3">
      <c r="A4120">
        <v>14343</v>
      </c>
      <c r="B4120" t="s">
        <v>39</v>
      </c>
      <c r="C4120" t="s">
        <v>38</v>
      </c>
      <c r="D4120" t="s">
        <v>20</v>
      </c>
      <c r="E4120" s="1">
        <v>2026</v>
      </c>
      <c r="F4120" s="11">
        <v>0.40509999999999996</v>
      </c>
      <c r="G4120">
        <v>32.520000000000003</v>
      </c>
      <c r="H4120">
        <v>21.87</v>
      </c>
      <c r="I4120" s="2">
        <v>134481.9</v>
      </c>
      <c r="J4120" s="2">
        <v>128385.26</v>
      </c>
      <c r="K4120" s="2">
        <f>Table1[[#This Row],[Salary_after]]-Table1[[#This Row],[Salary_before]]</f>
        <v>-6096.6399999999994</v>
      </c>
      <c r="L4120" s="11">
        <v>-4.53E-2</v>
      </c>
      <c r="M4120" s="11">
        <v>-3.2500000000000001E-2</v>
      </c>
      <c r="N4120">
        <v>75.61</v>
      </c>
      <c r="O4120">
        <v>55.04</v>
      </c>
      <c r="P4120">
        <v>2</v>
      </c>
      <c r="Q4120" t="s">
        <v>25</v>
      </c>
      <c r="R4120">
        <v>31.189999999999898</v>
      </c>
      <c r="S4120">
        <v>4.53</v>
      </c>
      <c r="T4120" s="4">
        <v>24.123999999999999</v>
      </c>
      <c r="U4120" s="4">
        <v>22.296703999999998</v>
      </c>
      <c r="V4120" t="str">
        <f>IF(Table1[[#This Row],[ai_disruption_intensity]]&gt;70,"High",
IF(Table1[[#This Row],[ai_disruption_intensity]]&gt;40,"Medium","Low"))</f>
        <v>Low</v>
      </c>
      <c r="W4120" t="str">
        <f>IF(Table1[[#This Row],[skill_gap_index]]&gt;70,"Large Gap",
IF(Table1[[#This Row],[skill_gap_index]]&gt;40,"Medium Gap","Small Gap"))</f>
        <v>Small Gap</v>
      </c>
      <c r="X4120" s="3" t="str">
        <f>IF(Table1[[#This Row],[automation_risk_percent]]&gt;0.7,"Highly Automatable",
IF(Table1[[#This Row],[automation_risk_percent]]&gt;0.4,"Moderate Risk","Safe Job"))</f>
        <v>Moderate Risk</v>
      </c>
    </row>
    <row r="4121" spans="1:24" x14ac:dyDescent="0.3">
      <c r="A4121">
        <v>14344</v>
      </c>
      <c r="B4121" t="s">
        <v>26</v>
      </c>
      <c r="C4121" t="s">
        <v>38</v>
      </c>
      <c r="D4121" t="s">
        <v>28</v>
      </c>
      <c r="E4121" s="1">
        <v>2026</v>
      </c>
      <c r="F4121" s="11">
        <v>0.55770000000000008</v>
      </c>
      <c r="G4121">
        <v>48.33</v>
      </c>
      <c r="H4121">
        <v>36.85</v>
      </c>
      <c r="I4121" s="2">
        <v>120811.19</v>
      </c>
      <c r="J4121" s="2">
        <v>142013.69</v>
      </c>
      <c r="K4121" s="2">
        <f>Table1[[#This Row],[Salary_after]]-Table1[[#This Row],[Salary_before]]</f>
        <v>21202.5</v>
      </c>
      <c r="L4121" s="11">
        <v>0.17550000000000002</v>
      </c>
      <c r="M4121" s="11">
        <v>-4.3099999999999999E-2</v>
      </c>
      <c r="N4121">
        <v>27.61</v>
      </c>
      <c r="O4121">
        <v>65.19</v>
      </c>
      <c r="P4121">
        <v>4</v>
      </c>
      <c r="Q4121" t="s">
        <v>25</v>
      </c>
      <c r="R4121">
        <v>46.31</v>
      </c>
      <c r="S4121">
        <v>17.55</v>
      </c>
      <c r="T4121" s="4">
        <v>38.628</v>
      </c>
      <c r="U4121" s="4">
        <v>36.356462999999998</v>
      </c>
      <c r="V4121" t="str">
        <f>IF(Table1[[#This Row],[ai_disruption_intensity]]&gt;70,"High",
IF(Table1[[#This Row],[ai_disruption_intensity]]&gt;40,"Medium","Low"))</f>
        <v>Low</v>
      </c>
      <c r="W4121" t="str">
        <f>IF(Table1[[#This Row],[skill_gap_index]]&gt;70,"Large Gap",
IF(Table1[[#This Row],[skill_gap_index]]&gt;40,"Medium Gap","Small Gap"))</f>
        <v>Small Gap</v>
      </c>
      <c r="X4121" s="3" t="str">
        <f>IF(Table1[[#This Row],[automation_risk_percent]]&gt;0.7,"Highly Automatable",
IF(Table1[[#This Row],[automation_risk_percent]]&gt;0.4,"Moderate Risk","Safe Job"))</f>
        <v>Moderate Risk</v>
      </c>
    </row>
    <row r="4122" spans="1:24" x14ac:dyDescent="0.3">
      <c r="A4122">
        <v>14353</v>
      </c>
      <c r="B4122" t="s">
        <v>22</v>
      </c>
      <c r="C4122" t="s">
        <v>33</v>
      </c>
      <c r="D4122" t="s">
        <v>31</v>
      </c>
      <c r="E4122" s="1">
        <v>2026</v>
      </c>
      <c r="F4122" s="11">
        <v>0.53280000000000005</v>
      </c>
      <c r="G4122">
        <v>59.6</v>
      </c>
      <c r="H4122">
        <v>17.68</v>
      </c>
      <c r="I4122" s="2">
        <v>67643.59</v>
      </c>
      <c r="J4122" s="2">
        <v>69962.19</v>
      </c>
      <c r="K4122" s="2">
        <f>Table1[[#This Row],[Salary_after]]-Table1[[#This Row],[Salary_before]]</f>
        <v>2318.6000000000058</v>
      </c>
      <c r="L4122" s="11">
        <v>3.4300000000000004E-2</v>
      </c>
      <c r="M4122" s="11">
        <v>-1.7500000000000002E-2</v>
      </c>
      <c r="N4122">
        <v>38.18</v>
      </c>
      <c r="O4122">
        <v>79.45</v>
      </c>
      <c r="P4122">
        <v>3</v>
      </c>
      <c r="Q4122" t="s">
        <v>25</v>
      </c>
      <c r="R4122">
        <v>35.479999999999997</v>
      </c>
      <c r="S4122">
        <v>3.43</v>
      </c>
      <c r="T4122" s="4">
        <v>27.645</v>
      </c>
      <c r="U4122" s="4">
        <v>42.330959999999997</v>
      </c>
      <c r="V4122" t="str">
        <f>IF(Table1[[#This Row],[ai_disruption_intensity]]&gt;70,"High",
IF(Table1[[#This Row],[ai_disruption_intensity]]&gt;40,"Medium","Low"))</f>
        <v>Medium</v>
      </c>
      <c r="W4122" t="str">
        <f>IF(Table1[[#This Row],[skill_gap_index]]&gt;70,"Large Gap",
IF(Table1[[#This Row],[skill_gap_index]]&gt;40,"Medium Gap","Small Gap"))</f>
        <v>Small Gap</v>
      </c>
      <c r="X4122" s="3" t="str">
        <f>IF(Table1[[#This Row],[automation_risk_percent]]&gt;0.7,"Highly Automatable",
IF(Table1[[#This Row],[automation_risk_percent]]&gt;0.4,"Moderate Risk","Safe Job"))</f>
        <v>Moderate Risk</v>
      </c>
    </row>
    <row r="4123" spans="1:24" x14ac:dyDescent="0.3">
      <c r="A4123">
        <v>14357</v>
      </c>
      <c r="B4123" t="s">
        <v>44</v>
      </c>
      <c r="C4123" t="s">
        <v>40</v>
      </c>
      <c r="D4123" t="s">
        <v>31</v>
      </c>
      <c r="E4123" s="1">
        <v>2025</v>
      </c>
      <c r="F4123" s="11">
        <v>0.69090000000000007</v>
      </c>
      <c r="G4123">
        <v>68.489999999999995</v>
      </c>
      <c r="H4123">
        <v>13.15</v>
      </c>
      <c r="I4123" s="2">
        <v>87629.57</v>
      </c>
      <c r="J4123" s="2">
        <v>89178.37</v>
      </c>
      <c r="K4123" s="2">
        <f>Table1[[#This Row],[Salary_after]]-Table1[[#This Row],[Salary_before]]</f>
        <v>1548.7999999999884</v>
      </c>
      <c r="L4123" s="11">
        <v>1.77E-2</v>
      </c>
      <c r="M4123" s="11">
        <v>2.81E-2</v>
      </c>
      <c r="N4123">
        <v>24.97</v>
      </c>
      <c r="O4123">
        <v>36.92</v>
      </c>
      <c r="P4123">
        <v>5</v>
      </c>
      <c r="Q4123" t="s">
        <v>37</v>
      </c>
      <c r="R4123">
        <v>41.12</v>
      </c>
      <c r="S4123">
        <v>1.77</v>
      </c>
      <c r="T4123" s="4">
        <v>32.112000000000002</v>
      </c>
      <c r="U4123" s="4">
        <v>25.508027999999999</v>
      </c>
      <c r="V4123" t="str">
        <f>IF(Table1[[#This Row],[ai_disruption_intensity]]&gt;70,"High",
IF(Table1[[#This Row],[ai_disruption_intensity]]&gt;40,"Medium","Low"))</f>
        <v>Low</v>
      </c>
      <c r="W4123" t="str">
        <f>IF(Table1[[#This Row],[skill_gap_index]]&gt;70,"Large Gap",
IF(Table1[[#This Row],[skill_gap_index]]&gt;40,"Medium Gap","Small Gap"))</f>
        <v>Small Gap</v>
      </c>
      <c r="X4123" s="3" t="str">
        <f>IF(Table1[[#This Row],[automation_risk_percent]]&gt;0.7,"Highly Automatable",
IF(Table1[[#This Row],[automation_risk_percent]]&gt;0.4,"Moderate Risk","Safe Job"))</f>
        <v>Moderate Risk</v>
      </c>
    </row>
    <row r="4124" spans="1:24" x14ac:dyDescent="0.3">
      <c r="A4124">
        <v>14359</v>
      </c>
      <c r="B4124" t="s">
        <v>26</v>
      </c>
      <c r="C4124" t="s">
        <v>27</v>
      </c>
      <c r="D4124" t="s">
        <v>28</v>
      </c>
      <c r="E4124" s="1">
        <v>2026</v>
      </c>
      <c r="F4124" s="11">
        <v>0.19469999999999998</v>
      </c>
      <c r="G4124">
        <v>16.190000000000001</v>
      </c>
      <c r="H4124">
        <v>44.52</v>
      </c>
      <c r="I4124" s="2">
        <v>40239.339999999997</v>
      </c>
      <c r="J4124" s="2">
        <v>44323.92</v>
      </c>
      <c r="K4124" s="2">
        <f>Table1[[#This Row],[Salary_after]]-Table1[[#This Row],[Salary_before]]</f>
        <v>4084.5800000000017</v>
      </c>
      <c r="L4124" s="11">
        <v>0.10150000000000001</v>
      </c>
      <c r="M4124" s="11">
        <v>1.3100000000000001E-2</v>
      </c>
      <c r="N4124">
        <v>45.18</v>
      </c>
      <c r="O4124">
        <v>43.55</v>
      </c>
      <c r="P4124">
        <v>5</v>
      </c>
      <c r="Q4124" t="s">
        <v>21</v>
      </c>
      <c r="R4124">
        <v>31.995000000000001</v>
      </c>
      <c r="S4124">
        <v>10.15</v>
      </c>
      <c r="T4124" s="4">
        <v>24.189</v>
      </c>
      <c r="U4124" s="4">
        <v>8.4791849999999993</v>
      </c>
      <c r="V4124" t="str">
        <f>IF(Table1[[#This Row],[ai_disruption_intensity]]&gt;70,"High",
IF(Table1[[#This Row],[ai_disruption_intensity]]&gt;40,"Medium","Low"))</f>
        <v>Low</v>
      </c>
      <c r="W4124" t="str">
        <f>IF(Table1[[#This Row],[skill_gap_index]]&gt;70,"Large Gap",
IF(Table1[[#This Row],[skill_gap_index]]&gt;40,"Medium Gap","Small Gap"))</f>
        <v>Medium Gap</v>
      </c>
      <c r="X4124" s="3" t="str">
        <f>IF(Table1[[#This Row],[automation_risk_percent]]&gt;0.7,"Highly Automatable",
IF(Table1[[#This Row],[automation_risk_percent]]&gt;0.4,"Moderate Risk","Safe Job"))</f>
        <v>Safe Job</v>
      </c>
    </row>
    <row r="4125" spans="1:24" x14ac:dyDescent="0.3">
      <c r="A4125">
        <v>14361</v>
      </c>
      <c r="B4125" t="s">
        <v>41</v>
      </c>
      <c r="C4125" t="s">
        <v>19</v>
      </c>
      <c r="D4125" t="s">
        <v>35</v>
      </c>
      <c r="E4125" s="1">
        <v>2026</v>
      </c>
      <c r="F4125" s="11">
        <v>0.26200000000000001</v>
      </c>
      <c r="G4125">
        <v>27.18</v>
      </c>
      <c r="H4125">
        <v>34.840000000000003</v>
      </c>
      <c r="I4125" s="2">
        <v>90820.800000000003</v>
      </c>
      <c r="J4125" s="2">
        <v>98174.59</v>
      </c>
      <c r="K4125" s="2">
        <f>Table1[[#This Row],[Salary_after]]-Table1[[#This Row],[Salary_before]]</f>
        <v>7353.7899999999936</v>
      </c>
      <c r="L4125" s="11">
        <v>8.1000000000000003E-2</v>
      </c>
      <c r="M4125" s="11">
        <v>7.7800000000000008E-2</v>
      </c>
      <c r="N4125">
        <v>32</v>
      </c>
      <c r="O4125">
        <v>11.64</v>
      </c>
      <c r="P4125">
        <v>4</v>
      </c>
      <c r="Q4125" t="s">
        <v>21</v>
      </c>
      <c r="R4125">
        <v>30.52</v>
      </c>
      <c r="S4125">
        <v>8.1</v>
      </c>
      <c r="T4125" s="4">
        <v>23.361999999999998</v>
      </c>
      <c r="U4125" s="4">
        <v>3.0496799999999999</v>
      </c>
      <c r="V4125" t="str">
        <f>IF(Table1[[#This Row],[ai_disruption_intensity]]&gt;70,"High",
IF(Table1[[#This Row],[ai_disruption_intensity]]&gt;40,"Medium","Low"))</f>
        <v>Low</v>
      </c>
      <c r="W4125" t="str">
        <f>IF(Table1[[#This Row],[skill_gap_index]]&gt;70,"Large Gap",
IF(Table1[[#This Row],[skill_gap_index]]&gt;40,"Medium Gap","Small Gap"))</f>
        <v>Small Gap</v>
      </c>
      <c r="X4125" s="3" t="str">
        <f>IF(Table1[[#This Row],[automation_risk_percent]]&gt;0.7,"Highly Automatable",
IF(Table1[[#This Row],[automation_risk_percent]]&gt;0.4,"Moderate Risk","Safe Job"))</f>
        <v>Safe Job</v>
      </c>
    </row>
    <row r="4126" spans="1:24" x14ac:dyDescent="0.3">
      <c r="A4126">
        <v>14366</v>
      </c>
      <c r="B4126" t="s">
        <v>45</v>
      </c>
      <c r="C4126" t="s">
        <v>27</v>
      </c>
      <c r="D4126" t="s">
        <v>31</v>
      </c>
      <c r="E4126" s="1">
        <v>2025</v>
      </c>
      <c r="F4126" s="11">
        <v>0.17850000000000002</v>
      </c>
      <c r="G4126">
        <v>18.18</v>
      </c>
      <c r="H4126">
        <v>71.62</v>
      </c>
      <c r="I4126" s="2">
        <v>35829.17</v>
      </c>
      <c r="J4126" s="2">
        <v>40468.28</v>
      </c>
      <c r="K4126" s="2">
        <f>Table1[[#This Row],[Salary_after]]-Table1[[#This Row],[Salary_before]]</f>
        <v>4639.1100000000006</v>
      </c>
      <c r="L4126" s="11">
        <v>0.1295</v>
      </c>
      <c r="M4126" s="11">
        <v>1.7000000000000001E-2</v>
      </c>
      <c r="N4126">
        <v>98.43</v>
      </c>
      <c r="O4126">
        <v>69.81</v>
      </c>
      <c r="P4126">
        <v>2</v>
      </c>
      <c r="Q4126" t="s">
        <v>21</v>
      </c>
      <c r="R4126">
        <v>44.734999999999999</v>
      </c>
      <c r="S4126">
        <v>12.95</v>
      </c>
      <c r="T4126" s="4">
        <v>32.511000000000003</v>
      </c>
      <c r="U4126" s="4">
        <v>12.461085000000001</v>
      </c>
      <c r="V4126" t="str">
        <f>IF(Table1[[#This Row],[ai_disruption_intensity]]&gt;70,"High",
IF(Table1[[#This Row],[ai_disruption_intensity]]&gt;40,"Medium","Low"))</f>
        <v>Low</v>
      </c>
      <c r="W4126" t="str">
        <f>IF(Table1[[#This Row],[skill_gap_index]]&gt;70,"Large Gap",
IF(Table1[[#This Row],[skill_gap_index]]&gt;40,"Medium Gap","Small Gap"))</f>
        <v>Large Gap</v>
      </c>
      <c r="X4126" s="3" t="str">
        <f>IF(Table1[[#This Row],[automation_risk_percent]]&gt;0.7,"Highly Automatable",
IF(Table1[[#This Row],[automation_risk_percent]]&gt;0.4,"Moderate Risk","Safe Job"))</f>
        <v>Safe Job</v>
      </c>
    </row>
    <row r="4127" spans="1:24" x14ac:dyDescent="0.3">
      <c r="A4127">
        <v>14372</v>
      </c>
      <c r="B4127" t="s">
        <v>18</v>
      </c>
      <c r="C4127" t="s">
        <v>30</v>
      </c>
      <c r="D4127" t="s">
        <v>28</v>
      </c>
      <c r="E4127" s="1">
        <v>2026</v>
      </c>
      <c r="F4127" s="11">
        <v>0.46380000000000005</v>
      </c>
      <c r="G4127">
        <v>38.24</v>
      </c>
      <c r="H4127">
        <v>47.62</v>
      </c>
      <c r="I4127" s="2">
        <v>94910.7</v>
      </c>
      <c r="J4127" s="2">
        <v>67399.17</v>
      </c>
      <c r="K4127" s="2">
        <f>Table1[[#This Row],[Salary_after]]-Table1[[#This Row],[Salary_before]]</f>
        <v>-27511.53</v>
      </c>
      <c r="L4127" s="11">
        <v>-0.28989999999999999</v>
      </c>
      <c r="M4127" s="11">
        <v>6.3200000000000006E-2</v>
      </c>
      <c r="N4127">
        <v>31.95</v>
      </c>
      <c r="O4127">
        <v>9.16</v>
      </c>
      <c r="P4127">
        <v>5</v>
      </c>
      <c r="Q4127" t="s">
        <v>25</v>
      </c>
      <c r="R4127">
        <v>47</v>
      </c>
      <c r="S4127">
        <v>28.99</v>
      </c>
      <c r="T4127" s="4">
        <v>41.534999999999997</v>
      </c>
      <c r="U4127" s="4">
        <v>4.2484080000000004</v>
      </c>
      <c r="V4127" t="str">
        <f>IF(Table1[[#This Row],[ai_disruption_intensity]]&gt;70,"High",
IF(Table1[[#This Row],[ai_disruption_intensity]]&gt;40,"Medium","Low"))</f>
        <v>Low</v>
      </c>
      <c r="W4127" t="str">
        <f>IF(Table1[[#This Row],[skill_gap_index]]&gt;70,"Large Gap",
IF(Table1[[#This Row],[skill_gap_index]]&gt;40,"Medium Gap","Small Gap"))</f>
        <v>Medium Gap</v>
      </c>
      <c r="X4127" s="3" t="str">
        <f>IF(Table1[[#This Row],[automation_risk_percent]]&gt;0.7,"Highly Automatable",
IF(Table1[[#This Row],[automation_risk_percent]]&gt;0.4,"Moderate Risk","Safe Job"))</f>
        <v>Moderate Risk</v>
      </c>
    </row>
    <row r="4128" spans="1:24" x14ac:dyDescent="0.3">
      <c r="A4128">
        <v>14373</v>
      </c>
      <c r="B4128" t="s">
        <v>39</v>
      </c>
      <c r="C4128" t="s">
        <v>23</v>
      </c>
      <c r="D4128" t="s">
        <v>32</v>
      </c>
      <c r="E4128" s="1">
        <v>2026</v>
      </c>
      <c r="F4128" s="11">
        <v>0.53849999999999998</v>
      </c>
      <c r="G4128">
        <v>46.41</v>
      </c>
      <c r="H4128">
        <v>38.07</v>
      </c>
      <c r="I4128" s="2">
        <v>118309.28</v>
      </c>
      <c r="J4128" s="2">
        <v>129777.05</v>
      </c>
      <c r="K4128" s="2">
        <f>Table1[[#This Row],[Salary_after]]-Table1[[#This Row],[Salary_before]]</f>
        <v>11467.770000000004</v>
      </c>
      <c r="L4128" s="11">
        <v>9.69E-2</v>
      </c>
      <c r="M4128" s="11">
        <v>7.7699999999999991E-2</v>
      </c>
      <c r="N4128">
        <v>71.28</v>
      </c>
      <c r="O4128">
        <v>93.97</v>
      </c>
      <c r="P4128">
        <v>2</v>
      </c>
      <c r="Q4128" t="s">
        <v>25</v>
      </c>
      <c r="R4128">
        <v>45.96</v>
      </c>
      <c r="S4128">
        <v>9.69</v>
      </c>
      <c r="T4128" s="4">
        <v>35.867999999999903</v>
      </c>
      <c r="U4128" s="4">
        <v>50.602844999999903</v>
      </c>
      <c r="V4128" t="str">
        <f>IF(Table1[[#This Row],[ai_disruption_intensity]]&gt;70,"High",
IF(Table1[[#This Row],[ai_disruption_intensity]]&gt;40,"Medium","Low"))</f>
        <v>Medium</v>
      </c>
      <c r="W4128" t="str">
        <f>IF(Table1[[#This Row],[skill_gap_index]]&gt;70,"Large Gap",
IF(Table1[[#This Row],[skill_gap_index]]&gt;40,"Medium Gap","Small Gap"))</f>
        <v>Small Gap</v>
      </c>
      <c r="X4128" s="3" t="str">
        <f>IF(Table1[[#This Row],[automation_risk_percent]]&gt;0.7,"Highly Automatable",
IF(Table1[[#This Row],[automation_risk_percent]]&gt;0.4,"Moderate Risk","Safe Job"))</f>
        <v>Moderate Risk</v>
      </c>
    </row>
    <row r="4129" spans="1:24" x14ac:dyDescent="0.3">
      <c r="A4129">
        <v>14376</v>
      </c>
      <c r="B4129" t="s">
        <v>45</v>
      </c>
      <c r="C4129" t="s">
        <v>23</v>
      </c>
      <c r="D4129" t="s">
        <v>47</v>
      </c>
      <c r="E4129" s="1">
        <v>2026</v>
      </c>
      <c r="F4129" s="11">
        <v>0.61609999999999998</v>
      </c>
      <c r="G4129">
        <v>60.24</v>
      </c>
      <c r="H4129">
        <v>2.0299999999999998</v>
      </c>
      <c r="I4129" s="2">
        <v>59320.27</v>
      </c>
      <c r="J4129" s="2">
        <v>64773.55</v>
      </c>
      <c r="K4129" s="2">
        <f>Table1[[#This Row],[Salary_after]]-Table1[[#This Row],[Salary_before]]</f>
        <v>5453.2800000000061</v>
      </c>
      <c r="L4129" s="11">
        <v>9.1899999999999996E-2</v>
      </c>
      <c r="M4129" s="11">
        <v>-2.8999999999999998E-2</v>
      </c>
      <c r="N4129">
        <v>58.39</v>
      </c>
      <c r="O4129">
        <v>33.549999999999997</v>
      </c>
      <c r="P4129">
        <v>3</v>
      </c>
      <c r="Q4129" t="s">
        <v>37</v>
      </c>
      <c r="R4129">
        <v>31.82</v>
      </c>
      <c r="S4129">
        <v>9.19</v>
      </c>
      <c r="T4129" s="4">
        <v>28.009999999999899</v>
      </c>
      <c r="U4129" s="4">
        <v>20.670155000000001</v>
      </c>
      <c r="V4129" t="str">
        <f>IF(Table1[[#This Row],[ai_disruption_intensity]]&gt;70,"High",
IF(Table1[[#This Row],[ai_disruption_intensity]]&gt;40,"Medium","Low"))</f>
        <v>Low</v>
      </c>
      <c r="W4129" t="str">
        <f>IF(Table1[[#This Row],[skill_gap_index]]&gt;70,"Large Gap",
IF(Table1[[#This Row],[skill_gap_index]]&gt;40,"Medium Gap","Small Gap"))</f>
        <v>Small Gap</v>
      </c>
      <c r="X4129" s="3" t="str">
        <f>IF(Table1[[#This Row],[automation_risk_percent]]&gt;0.7,"Highly Automatable",
IF(Table1[[#This Row],[automation_risk_percent]]&gt;0.4,"Moderate Risk","Safe Job"))</f>
        <v>Moderate Risk</v>
      </c>
    </row>
    <row r="4130" spans="1:24" x14ac:dyDescent="0.3">
      <c r="A4130">
        <v>14378</v>
      </c>
      <c r="B4130" t="s">
        <v>45</v>
      </c>
      <c r="C4130" t="s">
        <v>40</v>
      </c>
      <c r="D4130" t="s">
        <v>32</v>
      </c>
      <c r="E4130" s="1">
        <v>2026</v>
      </c>
      <c r="F4130" s="11">
        <v>0.48560000000000003</v>
      </c>
      <c r="G4130">
        <v>50.39</v>
      </c>
      <c r="H4130">
        <v>46.5</v>
      </c>
      <c r="I4130" s="2">
        <v>63657.760000000002</v>
      </c>
      <c r="J4130" s="2">
        <v>60181.22</v>
      </c>
      <c r="K4130" s="2">
        <f>Table1[[#This Row],[Salary_after]]-Table1[[#This Row],[Salary_before]]</f>
        <v>-3476.5400000000009</v>
      </c>
      <c r="L4130" s="11">
        <v>-5.4600000000000003E-2</v>
      </c>
      <c r="M4130" s="11">
        <v>0.10779999999999999</v>
      </c>
      <c r="N4130">
        <v>33.53</v>
      </c>
      <c r="O4130">
        <v>41.26</v>
      </c>
      <c r="P4130">
        <v>5</v>
      </c>
      <c r="Q4130" t="s">
        <v>25</v>
      </c>
      <c r="R4130">
        <v>47.53</v>
      </c>
      <c r="S4130">
        <v>5.46</v>
      </c>
      <c r="T4130" s="4">
        <v>35.012</v>
      </c>
      <c r="U4130" s="4">
        <v>20.035855999999999</v>
      </c>
      <c r="V4130" t="str">
        <f>IF(Table1[[#This Row],[ai_disruption_intensity]]&gt;70,"High",
IF(Table1[[#This Row],[ai_disruption_intensity]]&gt;40,"Medium","Low"))</f>
        <v>Low</v>
      </c>
      <c r="W4130" t="str">
        <f>IF(Table1[[#This Row],[skill_gap_index]]&gt;70,"Large Gap",
IF(Table1[[#This Row],[skill_gap_index]]&gt;40,"Medium Gap","Small Gap"))</f>
        <v>Medium Gap</v>
      </c>
      <c r="X4130" s="3" t="str">
        <f>IF(Table1[[#This Row],[automation_risk_percent]]&gt;0.7,"Highly Automatable",
IF(Table1[[#This Row],[automation_risk_percent]]&gt;0.4,"Moderate Risk","Safe Job"))</f>
        <v>Moderate Risk</v>
      </c>
    </row>
    <row r="4131" spans="1:24" x14ac:dyDescent="0.3">
      <c r="A4131">
        <v>14379</v>
      </c>
      <c r="B4131" t="s">
        <v>26</v>
      </c>
      <c r="C4131" t="s">
        <v>27</v>
      </c>
      <c r="D4131" t="s">
        <v>28</v>
      </c>
      <c r="E4131" s="1">
        <v>2025</v>
      </c>
      <c r="F4131" s="11">
        <v>0.58130000000000004</v>
      </c>
      <c r="G4131">
        <v>46.69</v>
      </c>
      <c r="H4131">
        <v>89.42</v>
      </c>
      <c r="I4131" s="2">
        <v>95328.91</v>
      </c>
      <c r="J4131" s="2">
        <v>93889.64</v>
      </c>
      <c r="K4131" s="2">
        <f>Table1[[#This Row],[Salary_after]]-Table1[[#This Row],[Salary_before]]</f>
        <v>-1439.2700000000041</v>
      </c>
      <c r="L4131" s="11">
        <v>-1.5100000000000001E-2</v>
      </c>
      <c r="M4131" s="11">
        <v>2.7900000000000001E-2</v>
      </c>
      <c r="N4131">
        <v>16.43</v>
      </c>
      <c r="O4131">
        <v>44.91</v>
      </c>
      <c r="P4131">
        <v>5</v>
      </c>
      <c r="Q4131" t="s">
        <v>25</v>
      </c>
      <c r="R4131">
        <v>73.775000000000006</v>
      </c>
      <c r="S4131">
        <v>1.51</v>
      </c>
      <c r="T4131" s="4">
        <v>50.530999999999999</v>
      </c>
      <c r="U4131" s="4">
        <v>26.106183000000001</v>
      </c>
      <c r="V4131" t="str">
        <f>IF(Table1[[#This Row],[ai_disruption_intensity]]&gt;70,"High",
IF(Table1[[#This Row],[ai_disruption_intensity]]&gt;40,"Medium","Low"))</f>
        <v>Low</v>
      </c>
      <c r="W4131" t="str">
        <f>IF(Table1[[#This Row],[skill_gap_index]]&gt;70,"Large Gap",
IF(Table1[[#This Row],[skill_gap_index]]&gt;40,"Medium Gap","Small Gap"))</f>
        <v>Large Gap</v>
      </c>
      <c r="X4131" s="3" t="str">
        <f>IF(Table1[[#This Row],[automation_risk_percent]]&gt;0.7,"Highly Automatable",
IF(Table1[[#This Row],[automation_risk_percent]]&gt;0.4,"Moderate Risk","Safe Job"))</f>
        <v>Moderate Risk</v>
      </c>
    </row>
    <row r="4132" spans="1:24" x14ac:dyDescent="0.3">
      <c r="A4132">
        <v>14381</v>
      </c>
      <c r="B4132" t="s">
        <v>29</v>
      </c>
      <c r="C4132" t="s">
        <v>40</v>
      </c>
      <c r="D4132" t="s">
        <v>20</v>
      </c>
      <c r="E4132" s="1">
        <v>2026</v>
      </c>
      <c r="F4132" s="11">
        <v>0.58240000000000003</v>
      </c>
      <c r="G4132">
        <v>53.47</v>
      </c>
      <c r="H4132">
        <v>79.77</v>
      </c>
      <c r="I4132" s="2">
        <v>113501.64</v>
      </c>
      <c r="J4132" s="2">
        <v>110828.11</v>
      </c>
      <c r="K4132" s="2">
        <f>Table1[[#This Row],[Salary_after]]-Table1[[#This Row],[Salary_before]]</f>
        <v>-2673.5299999999988</v>
      </c>
      <c r="L4132" s="11">
        <v>-2.3599999999999999E-2</v>
      </c>
      <c r="M4132" s="11">
        <v>-8.0000000000000002E-3</v>
      </c>
      <c r="N4132">
        <v>69.84</v>
      </c>
      <c r="O4132">
        <v>25.6</v>
      </c>
      <c r="P4132">
        <v>4</v>
      </c>
      <c r="Q4132" t="s">
        <v>25</v>
      </c>
      <c r="R4132">
        <v>69.004999999999995</v>
      </c>
      <c r="S4132">
        <v>2.36</v>
      </c>
      <c r="T4132" s="4">
        <v>47.935000000000002</v>
      </c>
      <c r="U4132" s="4">
        <v>14.90944</v>
      </c>
      <c r="V4132" t="str">
        <f>IF(Table1[[#This Row],[ai_disruption_intensity]]&gt;70,"High",
IF(Table1[[#This Row],[ai_disruption_intensity]]&gt;40,"Medium","Low"))</f>
        <v>Low</v>
      </c>
      <c r="W4132" t="str">
        <f>IF(Table1[[#This Row],[skill_gap_index]]&gt;70,"Large Gap",
IF(Table1[[#This Row],[skill_gap_index]]&gt;40,"Medium Gap","Small Gap"))</f>
        <v>Large Gap</v>
      </c>
      <c r="X4132" s="3" t="str">
        <f>IF(Table1[[#This Row],[automation_risk_percent]]&gt;0.7,"Highly Automatable",
IF(Table1[[#This Row],[automation_risk_percent]]&gt;0.4,"Moderate Risk","Safe Job"))</f>
        <v>Moderate Risk</v>
      </c>
    </row>
    <row r="4133" spans="1:24" x14ac:dyDescent="0.3">
      <c r="A4133">
        <v>14386</v>
      </c>
      <c r="B4133" t="s">
        <v>44</v>
      </c>
      <c r="C4133" t="s">
        <v>30</v>
      </c>
      <c r="D4133" t="s">
        <v>47</v>
      </c>
      <c r="E4133" s="1">
        <v>2025</v>
      </c>
      <c r="F4133" s="11">
        <v>0.79339999999999999</v>
      </c>
      <c r="G4133">
        <v>76.47</v>
      </c>
      <c r="H4133">
        <v>89.29</v>
      </c>
      <c r="I4133" s="2">
        <v>31912.92</v>
      </c>
      <c r="J4133" s="2">
        <v>30811.27</v>
      </c>
      <c r="K4133" s="2">
        <f>Table1[[#This Row],[Salary_after]]-Table1[[#This Row],[Salary_before]]</f>
        <v>-1101.6499999999978</v>
      </c>
      <c r="L4133" s="11">
        <v>-3.4500000000000003E-2</v>
      </c>
      <c r="M4133" s="11">
        <v>0.22589999999999999</v>
      </c>
      <c r="N4133">
        <v>59.22</v>
      </c>
      <c r="O4133">
        <v>99.27</v>
      </c>
      <c r="P4133">
        <v>4</v>
      </c>
      <c r="Q4133" t="s">
        <v>37</v>
      </c>
      <c r="R4133">
        <v>84.314999999999998</v>
      </c>
      <c r="S4133">
        <v>3.45</v>
      </c>
      <c r="T4133" s="4">
        <v>59.558</v>
      </c>
      <c r="U4133" s="4">
        <v>78.760818</v>
      </c>
      <c r="V4133" t="str">
        <f>IF(Table1[[#This Row],[ai_disruption_intensity]]&gt;70,"High",
IF(Table1[[#This Row],[ai_disruption_intensity]]&gt;40,"Medium","Low"))</f>
        <v>High</v>
      </c>
      <c r="W4133" t="str">
        <f>IF(Table1[[#This Row],[skill_gap_index]]&gt;70,"Large Gap",
IF(Table1[[#This Row],[skill_gap_index]]&gt;40,"Medium Gap","Small Gap"))</f>
        <v>Large Gap</v>
      </c>
      <c r="X4133" s="3" t="str">
        <f>IF(Table1[[#This Row],[automation_risk_percent]]&gt;0.7,"Highly Automatable",
IF(Table1[[#This Row],[automation_risk_percent]]&gt;0.4,"Moderate Risk","Safe Job"))</f>
        <v>Highly Automatable</v>
      </c>
    </row>
    <row r="4134" spans="1:24" x14ac:dyDescent="0.3">
      <c r="A4134">
        <v>14387</v>
      </c>
      <c r="B4134" t="s">
        <v>41</v>
      </c>
      <c r="C4134" t="s">
        <v>19</v>
      </c>
      <c r="D4134" t="s">
        <v>28</v>
      </c>
      <c r="E4134" s="1">
        <v>2025</v>
      </c>
      <c r="F4134" s="11">
        <v>0.4637</v>
      </c>
      <c r="G4134">
        <v>53.08</v>
      </c>
      <c r="H4134">
        <v>91.6</v>
      </c>
      <c r="I4134" s="2">
        <v>65716.27</v>
      </c>
      <c r="J4134" s="2">
        <v>65461.22</v>
      </c>
      <c r="K4134" s="2">
        <f>Table1[[#This Row],[Salary_after]]-Table1[[#This Row],[Salary_before]]</f>
        <v>-255.05000000000291</v>
      </c>
      <c r="L4134" s="11">
        <v>-3.9000000000000003E-3</v>
      </c>
      <c r="M4134" s="11">
        <v>0.12509999999999999</v>
      </c>
      <c r="N4134">
        <v>88.73</v>
      </c>
      <c r="O4134">
        <v>22.08</v>
      </c>
      <c r="P4134">
        <v>4</v>
      </c>
      <c r="Q4134" t="s">
        <v>25</v>
      </c>
      <c r="R4134">
        <v>68.984999999999999</v>
      </c>
      <c r="S4134">
        <v>0.39</v>
      </c>
      <c r="T4134" s="4">
        <v>46.144999999999897</v>
      </c>
      <c r="U4134" s="4">
        <v>10.238496</v>
      </c>
      <c r="V4134" t="str">
        <f>IF(Table1[[#This Row],[ai_disruption_intensity]]&gt;70,"High",
IF(Table1[[#This Row],[ai_disruption_intensity]]&gt;40,"Medium","Low"))</f>
        <v>Low</v>
      </c>
      <c r="W4134" t="str">
        <f>IF(Table1[[#This Row],[skill_gap_index]]&gt;70,"Large Gap",
IF(Table1[[#This Row],[skill_gap_index]]&gt;40,"Medium Gap","Small Gap"))</f>
        <v>Large Gap</v>
      </c>
      <c r="X4134" s="3" t="str">
        <f>IF(Table1[[#This Row],[automation_risk_percent]]&gt;0.7,"Highly Automatable",
IF(Table1[[#This Row],[automation_risk_percent]]&gt;0.4,"Moderate Risk","Safe Job"))</f>
        <v>Moderate Risk</v>
      </c>
    </row>
    <row r="4135" spans="1:24" x14ac:dyDescent="0.3">
      <c r="A4135">
        <v>14388</v>
      </c>
      <c r="B4135" t="s">
        <v>29</v>
      </c>
      <c r="C4135" t="s">
        <v>40</v>
      </c>
      <c r="D4135" t="s">
        <v>35</v>
      </c>
      <c r="E4135" s="1">
        <v>2026</v>
      </c>
      <c r="F4135" s="11">
        <v>0.77980000000000005</v>
      </c>
      <c r="G4135">
        <v>84.33</v>
      </c>
      <c r="H4135">
        <v>52.74</v>
      </c>
      <c r="I4135" s="2">
        <v>68287.33</v>
      </c>
      <c r="J4135" s="2">
        <v>74055.73</v>
      </c>
      <c r="K4135" s="2">
        <f>Table1[[#This Row],[Salary_after]]-Table1[[#This Row],[Salary_before]]</f>
        <v>5768.3999999999942</v>
      </c>
      <c r="L4135" s="11">
        <v>8.4499999999999992E-2</v>
      </c>
      <c r="M4135" s="11">
        <v>-4.6300000000000001E-2</v>
      </c>
      <c r="N4135">
        <v>61.39</v>
      </c>
      <c r="O4135">
        <v>86.33</v>
      </c>
      <c r="P4135">
        <v>4</v>
      </c>
      <c r="Q4135" t="s">
        <v>37</v>
      </c>
      <c r="R4135">
        <v>65.36</v>
      </c>
      <c r="S4135">
        <v>8.4499999999999993</v>
      </c>
      <c r="T4135" s="4">
        <v>49.548999999999999</v>
      </c>
      <c r="U4135" s="4">
        <v>67.320133999999996</v>
      </c>
      <c r="V4135" t="str">
        <f>IF(Table1[[#This Row],[ai_disruption_intensity]]&gt;70,"High",
IF(Table1[[#This Row],[ai_disruption_intensity]]&gt;40,"Medium","Low"))</f>
        <v>Medium</v>
      </c>
      <c r="W4135" t="str">
        <f>IF(Table1[[#This Row],[skill_gap_index]]&gt;70,"Large Gap",
IF(Table1[[#This Row],[skill_gap_index]]&gt;40,"Medium Gap","Small Gap"))</f>
        <v>Medium Gap</v>
      </c>
      <c r="X4135" s="3" t="str">
        <f>IF(Table1[[#This Row],[automation_risk_percent]]&gt;0.7,"Highly Automatable",
IF(Table1[[#This Row],[automation_risk_percent]]&gt;0.4,"Moderate Risk","Safe Job"))</f>
        <v>Highly Automatable</v>
      </c>
    </row>
    <row r="4136" spans="1:24" x14ac:dyDescent="0.3">
      <c r="A4136">
        <v>14395</v>
      </c>
      <c r="B4136" t="s">
        <v>44</v>
      </c>
      <c r="C4136" t="s">
        <v>40</v>
      </c>
      <c r="D4136" t="s">
        <v>36</v>
      </c>
      <c r="E4136" s="1">
        <v>2025</v>
      </c>
      <c r="F4136" s="11">
        <v>0.4289</v>
      </c>
      <c r="G4136">
        <v>40.99</v>
      </c>
      <c r="H4136">
        <v>36.96</v>
      </c>
      <c r="I4136" s="2">
        <v>41504.050000000003</v>
      </c>
      <c r="J4136" s="2">
        <v>35284.559999999998</v>
      </c>
      <c r="K4136" s="2">
        <f>Table1[[#This Row],[Salary_after]]-Table1[[#This Row],[Salary_before]]</f>
        <v>-6219.4900000000052</v>
      </c>
      <c r="L4136" s="11">
        <v>-0.14990000000000001</v>
      </c>
      <c r="M4136" s="11">
        <v>-4.7999999999999996E-3</v>
      </c>
      <c r="N4136">
        <v>36.229999999999997</v>
      </c>
      <c r="O4136">
        <v>0.33</v>
      </c>
      <c r="P4136">
        <v>1</v>
      </c>
      <c r="Q4136" t="s">
        <v>25</v>
      </c>
      <c r="R4136">
        <v>39.924999999999997</v>
      </c>
      <c r="S4136">
        <v>14.99</v>
      </c>
      <c r="T4136" s="4">
        <v>32.741</v>
      </c>
      <c r="U4136" s="4">
        <v>0.141537</v>
      </c>
      <c r="V4136" t="str">
        <f>IF(Table1[[#This Row],[ai_disruption_intensity]]&gt;70,"High",
IF(Table1[[#This Row],[ai_disruption_intensity]]&gt;40,"Medium","Low"))</f>
        <v>Low</v>
      </c>
      <c r="W4136" t="str">
        <f>IF(Table1[[#This Row],[skill_gap_index]]&gt;70,"Large Gap",
IF(Table1[[#This Row],[skill_gap_index]]&gt;40,"Medium Gap","Small Gap"))</f>
        <v>Small Gap</v>
      </c>
      <c r="X4136" s="3" t="str">
        <f>IF(Table1[[#This Row],[automation_risk_percent]]&gt;0.7,"Highly Automatable",
IF(Table1[[#This Row],[automation_risk_percent]]&gt;0.4,"Moderate Risk","Safe Job"))</f>
        <v>Moderate Risk</v>
      </c>
    </row>
    <row r="4137" spans="1:24" x14ac:dyDescent="0.3">
      <c r="A4137">
        <v>14398</v>
      </c>
      <c r="B4137" t="s">
        <v>46</v>
      </c>
      <c r="C4137" t="s">
        <v>23</v>
      </c>
      <c r="D4137" t="s">
        <v>28</v>
      </c>
      <c r="E4137" s="1">
        <v>2026</v>
      </c>
      <c r="F4137" s="11">
        <v>0.05</v>
      </c>
      <c r="G4137">
        <v>5.39</v>
      </c>
      <c r="H4137">
        <v>26.29</v>
      </c>
      <c r="I4137" s="2">
        <v>59582.42</v>
      </c>
      <c r="J4137" s="2">
        <v>54819.42</v>
      </c>
      <c r="K4137" s="2">
        <f>Table1[[#This Row],[Salary_after]]-Table1[[#This Row],[Salary_before]]</f>
        <v>-4763</v>
      </c>
      <c r="L4137" s="11">
        <v>-7.9899999999999999E-2</v>
      </c>
      <c r="M4137" s="11">
        <v>-5.7800000000000004E-2</v>
      </c>
      <c r="N4137">
        <v>69.760000000000005</v>
      </c>
      <c r="O4137">
        <v>62.26</v>
      </c>
      <c r="P4137">
        <v>5</v>
      </c>
      <c r="Q4137" t="s">
        <v>21</v>
      </c>
      <c r="R4137">
        <v>15.645</v>
      </c>
      <c r="S4137">
        <v>7.99</v>
      </c>
      <c r="T4137" s="4">
        <v>12.284000000000001</v>
      </c>
      <c r="U4137" s="4">
        <v>3.113</v>
      </c>
      <c r="V4137" t="str">
        <f>IF(Table1[[#This Row],[ai_disruption_intensity]]&gt;70,"High",
IF(Table1[[#This Row],[ai_disruption_intensity]]&gt;40,"Medium","Low"))</f>
        <v>Low</v>
      </c>
      <c r="W4137" t="str">
        <f>IF(Table1[[#This Row],[skill_gap_index]]&gt;70,"Large Gap",
IF(Table1[[#This Row],[skill_gap_index]]&gt;40,"Medium Gap","Small Gap"))</f>
        <v>Small Gap</v>
      </c>
      <c r="X4137" s="3" t="str">
        <f>IF(Table1[[#This Row],[automation_risk_percent]]&gt;0.7,"Highly Automatable",
IF(Table1[[#This Row],[automation_risk_percent]]&gt;0.4,"Moderate Risk","Safe Job"))</f>
        <v>Safe Job</v>
      </c>
    </row>
    <row r="4138" spans="1:24" x14ac:dyDescent="0.3">
      <c r="A4138">
        <v>14399</v>
      </c>
      <c r="B4138" t="s">
        <v>44</v>
      </c>
      <c r="C4138" t="s">
        <v>40</v>
      </c>
      <c r="D4138" t="s">
        <v>20</v>
      </c>
      <c r="E4138" s="1">
        <v>2026</v>
      </c>
      <c r="F4138" s="11">
        <v>0.51629999999999998</v>
      </c>
      <c r="G4138">
        <v>47.57</v>
      </c>
      <c r="H4138">
        <v>74.94</v>
      </c>
      <c r="I4138" s="2">
        <v>147920.37</v>
      </c>
      <c r="J4138" s="2">
        <v>156746.76999999999</v>
      </c>
      <c r="K4138" s="2">
        <f>Table1[[#This Row],[Salary_after]]-Table1[[#This Row],[Salary_before]]</f>
        <v>8826.3999999999942</v>
      </c>
      <c r="L4138" s="11">
        <v>5.9699999999999996E-2</v>
      </c>
      <c r="M4138" s="11">
        <v>0.27239999999999998</v>
      </c>
      <c r="N4138">
        <v>25.69</v>
      </c>
      <c r="O4138">
        <v>7.89</v>
      </c>
      <c r="P4138">
        <v>2</v>
      </c>
      <c r="Q4138" t="s">
        <v>25</v>
      </c>
      <c r="R4138">
        <v>63.284999999999997</v>
      </c>
      <c r="S4138">
        <v>5.97</v>
      </c>
      <c r="T4138" s="4">
        <v>44.924999999999997</v>
      </c>
      <c r="U4138" s="4">
        <v>4.073607</v>
      </c>
      <c r="V4138" t="str">
        <f>IF(Table1[[#This Row],[ai_disruption_intensity]]&gt;70,"High",
IF(Table1[[#This Row],[ai_disruption_intensity]]&gt;40,"Medium","Low"))</f>
        <v>Low</v>
      </c>
      <c r="W4138" t="str">
        <f>IF(Table1[[#This Row],[skill_gap_index]]&gt;70,"Large Gap",
IF(Table1[[#This Row],[skill_gap_index]]&gt;40,"Medium Gap","Small Gap"))</f>
        <v>Large Gap</v>
      </c>
      <c r="X4138" s="3" t="str">
        <f>IF(Table1[[#This Row],[automation_risk_percent]]&gt;0.7,"Highly Automatable",
IF(Table1[[#This Row],[automation_risk_percent]]&gt;0.4,"Moderate Risk","Safe Job"))</f>
        <v>Moderate Risk</v>
      </c>
    </row>
    <row r="4139" spans="1:24" x14ac:dyDescent="0.3">
      <c r="A4139">
        <v>14403</v>
      </c>
      <c r="B4139" t="s">
        <v>22</v>
      </c>
      <c r="C4139" t="s">
        <v>19</v>
      </c>
      <c r="D4139" t="s">
        <v>20</v>
      </c>
      <c r="E4139" s="1">
        <v>2026</v>
      </c>
      <c r="F4139" s="11">
        <v>0.54039999999999999</v>
      </c>
      <c r="G4139">
        <v>58.51</v>
      </c>
      <c r="H4139">
        <v>0.96</v>
      </c>
      <c r="I4139" s="2">
        <v>68987.490000000005</v>
      </c>
      <c r="J4139" s="2">
        <v>72077.37</v>
      </c>
      <c r="K4139" s="2">
        <f>Table1[[#This Row],[Salary_after]]-Table1[[#This Row],[Salary_before]]</f>
        <v>3089.8799999999901</v>
      </c>
      <c r="L4139" s="11">
        <v>4.4800000000000006E-2</v>
      </c>
      <c r="M4139" s="11">
        <v>5.33E-2</v>
      </c>
      <c r="N4139">
        <v>59.68</v>
      </c>
      <c r="O4139">
        <v>82.79</v>
      </c>
      <c r="P4139">
        <v>4</v>
      </c>
      <c r="Q4139" t="s">
        <v>25</v>
      </c>
      <c r="R4139">
        <v>27.5</v>
      </c>
      <c r="S4139">
        <v>4.4800000000000004</v>
      </c>
      <c r="T4139" s="4">
        <v>23.248000000000001</v>
      </c>
      <c r="U4139" s="4">
        <v>44.739716000000001</v>
      </c>
      <c r="V4139" t="str">
        <f>IF(Table1[[#This Row],[ai_disruption_intensity]]&gt;70,"High",
IF(Table1[[#This Row],[ai_disruption_intensity]]&gt;40,"Medium","Low"))</f>
        <v>Medium</v>
      </c>
      <c r="W4139" t="str">
        <f>IF(Table1[[#This Row],[skill_gap_index]]&gt;70,"Large Gap",
IF(Table1[[#This Row],[skill_gap_index]]&gt;40,"Medium Gap","Small Gap"))</f>
        <v>Small Gap</v>
      </c>
      <c r="X4139" s="3" t="str">
        <f>IF(Table1[[#This Row],[automation_risk_percent]]&gt;0.7,"Highly Automatable",
IF(Table1[[#This Row],[automation_risk_percent]]&gt;0.4,"Moderate Risk","Safe Job"))</f>
        <v>Moderate Risk</v>
      </c>
    </row>
    <row r="4140" spans="1:24" x14ac:dyDescent="0.3">
      <c r="A4140">
        <v>14406</v>
      </c>
      <c r="B4140" t="s">
        <v>39</v>
      </c>
      <c r="C4140" t="s">
        <v>27</v>
      </c>
      <c r="D4140" t="s">
        <v>35</v>
      </c>
      <c r="E4140" s="1">
        <v>2025</v>
      </c>
      <c r="F4140" s="11">
        <v>0.19039999999999999</v>
      </c>
      <c r="G4140">
        <v>22.44</v>
      </c>
      <c r="H4140">
        <v>1.57</v>
      </c>
      <c r="I4140" s="2">
        <v>136111.35999999999</v>
      </c>
      <c r="J4140" s="2">
        <v>137551.76</v>
      </c>
      <c r="K4140" s="2">
        <f>Table1[[#This Row],[Salary_after]]-Table1[[#This Row],[Salary_before]]</f>
        <v>1440.4000000000233</v>
      </c>
      <c r="L4140" s="11">
        <v>1.06E-2</v>
      </c>
      <c r="M4140" s="11">
        <v>0.13220000000000001</v>
      </c>
      <c r="N4140">
        <v>43.58</v>
      </c>
      <c r="O4140">
        <v>59.39</v>
      </c>
      <c r="P4140">
        <v>1</v>
      </c>
      <c r="Q4140" t="s">
        <v>21</v>
      </c>
      <c r="R4140">
        <v>10.305</v>
      </c>
      <c r="S4140">
        <v>1.06</v>
      </c>
      <c r="T4140" s="4">
        <v>8.4049999999999994</v>
      </c>
      <c r="U4140" s="4">
        <v>11.307855999999999</v>
      </c>
      <c r="V4140" t="str">
        <f>IF(Table1[[#This Row],[ai_disruption_intensity]]&gt;70,"High",
IF(Table1[[#This Row],[ai_disruption_intensity]]&gt;40,"Medium","Low"))</f>
        <v>Low</v>
      </c>
      <c r="W4140" t="str">
        <f>IF(Table1[[#This Row],[skill_gap_index]]&gt;70,"Large Gap",
IF(Table1[[#This Row],[skill_gap_index]]&gt;40,"Medium Gap","Small Gap"))</f>
        <v>Small Gap</v>
      </c>
      <c r="X4140" s="3" t="str">
        <f>IF(Table1[[#This Row],[automation_risk_percent]]&gt;0.7,"Highly Automatable",
IF(Table1[[#This Row],[automation_risk_percent]]&gt;0.4,"Moderate Risk","Safe Job"))</f>
        <v>Safe Job</v>
      </c>
    </row>
    <row r="4141" spans="1:24" x14ac:dyDescent="0.3">
      <c r="A4141">
        <v>14407</v>
      </c>
      <c r="B4141" t="s">
        <v>44</v>
      </c>
      <c r="C4141" t="s">
        <v>40</v>
      </c>
      <c r="D4141" t="s">
        <v>28</v>
      </c>
      <c r="E4141" s="1">
        <v>2026</v>
      </c>
      <c r="F4141" s="11">
        <v>0.48009999999999997</v>
      </c>
      <c r="G4141">
        <v>57.16</v>
      </c>
      <c r="H4141">
        <v>35.090000000000003</v>
      </c>
      <c r="I4141" s="2">
        <v>101408.5</v>
      </c>
      <c r="J4141" s="2">
        <v>88384.46</v>
      </c>
      <c r="K4141" s="2">
        <f>Table1[[#This Row],[Salary_after]]-Table1[[#This Row],[Salary_before]]</f>
        <v>-13024.039999999994</v>
      </c>
      <c r="L4141" s="11">
        <v>-0.12839999999999999</v>
      </c>
      <c r="M4141" s="11">
        <v>5.96E-2</v>
      </c>
      <c r="N4141">
        <v>88.73</v>
      </c>
      <c r="O4141">
        <v>20.71</v>
      </c>
      <c r="P4141">
        <v>2</v>
      </c>
      <c r="Q4141" t="s">
        <v>25</v>
      </c>
      <c r="R4141">
        <v>41.55</v>
      </c>
      <c r="S4141">
        <v>12.84</v>
      </c>
      <c r="T4141" s="4">
        <v>33.582999999999998</v>
      </c>
      <c r="U4141" s="4">
        <v>9.9428710000000002</v>
      </c>
      <c r="V4141" t="str">
        <f>IF(Table1[[#This Row],[ai_disruption_intensity]]&gt;70,"High",
IF(Table1[[#This Row],[ai_disruption_intensity]]&gt;40,"Medium","Low"))</f>
        <v>Low</v>
      </c>
      <c r="W4141" t="str">
        <f>IF(Table1[[#This Row],[skill_gap_index]]&gt;70,"Large Gap",
IF(Table1[[#This Row],[skill_gap_index]]&gt;40,"Medium Gap","Small Gap"))</f>
        <v>Small Gap</v>
      </c>
      <c r="X4141" s="3" t="str">
        <f>IF(Table1[[#This Row],[automation_risk_percent]]&gt;0.7,"Highly Automatable",
IF(Table1[[#This Row],[automation_risk_percent]]&gt;0.4,"Moderate Risk","Safe Job"))</f>
        <v>Moderate Risk</v>
      </c>
    </row>
    <row r="4142" spans="1:24" x14ac:dyDescent="0.3">
      <c r="A4142">
        <v>14413</v>
      </c>
      <c r="B4142" t="s">
        <v>45</v>
      </c>
      <c r="C4142" t="s">
        <v>38</v>
      </c>
      <c r="D4142" t="s">
        <v>20</v>
      </c>
      <c r="E4142" s="1">
        <v>2025</v>
      </c>
      <c r="F4142" s="11">
        <v>0.2298</v>
      </c>
      <c r="G4142">
        <v>19.940000000000001</v>
      </c>
      <c r="H4142">
        <v>62</v>
      </c>
      <c r="I4142" s="2">
        <v>48915.64</v>
      </c>
      <c r="J4142" s="2">
        <v>45732.11</v>
      </c>
      <c r="K4142" s="2">
        <f>Table1[[#This Row],[Salary_after]]-Table1[[#This Row],[Salary_before]]</f>
        <v>-3183.5299999999988</v>
      </c>
      <c r="L4142" s="11">
        <v>-6.5099999999999991E-2</v>
      </c>
      <c r="M4142" s="11">
        <v>1.7500000000000002E-2</v>
      </c>
      <c r="N4142">
        <v>15.51</v>
      </c>
      <c r="O4142">
        <v>99.73</v>
      </c>
      <c r="P4142">
        <v>4</v>
      </c>
      <c r="Q4142" t="s">
        <v>21</v>
      </c>
      <c r="R4142">
        <v>42.49</v>
      </c>
      <c r="S4142">
        <v>6.51</v>
      </c>
      <c r="T4142" s="4">
        <v>29.744999999999902</v>
      </c>
      <c r="U4142" s="4">
        <v>22.917953999999899</v>
      </c>
      <c r="V4142" t="str">
        <f>IF(Table1[[#This Row],[ai_disruption_intensity]]&gt;70,"High",
IF(Table1[[#This Row],[ai_disruption_intensity]]&gt;40,"Medium","Low"))</f>
        <v>Low</v>
      </c>
      <c r="W4142" t="str">
        <f>IF(Table1[[#This Row],[skill_gap_index]]&gt;70,"Large Gap",
IF(Table1[[#This Row],[skill_gap_index]]&gt;40,"Medium Gap","Small Gap"))</f>
        <v>Medium Gap</v>
      </c>
      <c r="X4142" s="3" t="str">
        <f>IF(Table1[[#This Row],[automation_risk_percent]]&gt;0.7,"Highly Automatable",
IF(Table1[[#This Row],[automation_risk_percent]]&gt;0.4,"Moderate Risk","Safe Job"))</f>
        <v>Safe Job</v>
      </c>
    </row>
    <row r="4143" spans="1:24" x14ac:dyDescent="0.3">
      <c r="A4143">
        <v>14414</v>
      </c>
      <c r="B4143" t="s">
        <v>26</v>
      </c>
      <c r="C4143" t="s">
        <v>34</v>
      </c>
      <c r="D4143" t="s">
        <v>42</v>
      </c>
      <c r="E4143" s="1">
        <v>2026</v>
      </c>
      <c r="F4143" s="11">
        <v>0.27729999999999999</v>
      </c>
      <c r="G4143">
        <v>27.75</v>
      </c>
      <c r="H4143">
        <v>3.64</v>
      </c>
      <c r="I4143" s="2">
        <v>49228.44</v>
      </c>
      <c r="J4143" s="2">
        <v>41350.120000000003</v>
      </c>
      <c r="K4143" s="2">
        <f>Table1[[#This Row],[Salary_after]]-Table1[[#This Row],[Salary_before]]</f>
        <v>-7878.32</v>
      </c>
      <c r="L4143" s="11">
        <v>-0.16</v>
      </c>
      <c r="M4143" s="11">
        <v>0.2087</v>
      </c>
      <c r="N4143">
        <v>65.099999999999994</v>
      </c>
      <c r="O4143">
        <v>31.01</v>
      </c>
      <c r="P4143">
        <v>4</v>
      </c>
      <c r="Q4143" t="s">
        <v>21</v>
      </c>
      <c r="R4143">
        <v>15.685</v>
      </c>
      <c r="S4143">
        <v>16</v>
      </c>
      <c r="T4143" s="4">
        <v>16.984000000000002</v>
      </c>
      <c r="U4143" s="4">
        <v>8.5990730000000006</v>
      </c>
      <c r="V4143" t="str">
        <f>IF(Table1[[#This Row],[ai_disruption_intensity]]&gt;70,"High",
IF(Table1[[#This Row],[ai_disruption_intensity]]&gt;40,"Medium","Low"))</f>
        <v>Low</v>
      </c>
      <c r="W4143" t="str">
        <f>IF(Table1[[#This Row],[skill_gap_index]]&gt;70,"Large Gap",
IF(Table1[[#This Row],[skill_gap_index]]&gt;40,"Medium Gap","Small Gap"))</f>
        <v>Small Gap</v>
      </c>
      <c r="X4143" s="3" t="str">
        <f>IF(Table1[[#This Row],[automation_risk_percent]]&gt;0.7,"Highly Automatable",
IF(Table1[[#This Row],[automation_risk_percent]]&gt;0.4,"Moderate Risk","Safe Job"))</f>
        <v>Safe Job</v>
      </c>
    </row>
    <row r="4144" spans="1:24" x14ac:dyDescent="0.3">
      <c r="A4144">
        <v>14415</v>
      </c>
      <c r="B4144" t="s">
        <v>43</v>
      </c>
      <c r="C4144" t="s">
        <v>40</v>
      </c>
      <c r="D4144" t="s">
        <v>20</v>
      </c>
      <c r="E4144" s="1">
        <v>2025</v>
      </c>
      <c r="F4144" s="11">
        <v>0.44409999999999994</v>
      </c>
      <c r="G4144">
        <v>51.7</v>
      </c>
      <c r="H4144">
        <v>61.68</v>
      </c>
      <c r="I4144" s="2">
        <v>115445.52</v>
      </c>
      <c r="J4144" s="2">
        <v>117721.63</v>
      </c>
      <c r="K4144" s="2">
        <f>Table1[[#This Row],[Salary_after]]-Table1[[#This Row],[Salary_before]]</f>
        <v>2276.1100000000006</v>
      </c>
      <c r="L4144" s="11">
        <v>1.9699999999999999E-2</v>
      </c>
      <c r="M4144" s="11">
        <v>8.8900000000000007E-2</v>
      </c>
      <c r="N4144">
        <v>68.25</v>
      </c>
      <c r="O4144">
        <v>85.35</v>
      </c>
      <c r="P4144">
        <v>5</v>
      </c>
      <c r="Q4144" t="s">
        <v>25</v>
      </c>
      <c r="R4144">
        <v>53.045000000000002</v>
      </c>
      <c r="S4144">
        <v>1.97</v>
      </c>
      <c r="T4144" s="4">
        <v>36.859000000000002</v>
      </c>
      <c r="U4144" s="4">
        <v>37.903934999999997</v>
      </c>
      <c r="V4144" t="str">
        <f>IF(Table1[[#This Row],[ai_disruption_intensity]]&gt;70,"High",
IF(Table1[[#This Row],[ai_disruption_intensity]]&gt;40,"Medium","Low"))</f>
        <v>Low</v>
      </c>
      <c r="W4144" t="str">
        <f>IF(Table1[[#This Row],[skill_gap_index]]&gt;70,"Large Gap",
IF(Table1[[#This Row],[skill_gap_index]]&gt;40,"Medium Gap","Small Gap"))</f>
        <v>Medium Gap</v>
      </c>
      <c r="X4144" s="3" t="str">
        <f>IF(Table1[[#This Row],[automation_risk_percent]]&gt;0.7,"Highly Automatable",
IF(Table1[[#This Row],[automation_risk_percent]]&gt;0.4,"Moderate Risk","Safe Job"))</f>
        <v>Moderate Risk</v>
      </c>
    </row>
    <row r="4145" spans="1:24" x14ac:dyDescent="0.3">
      <c r="A4145">
        <v>14419</v>
      </c>
      <c r="B4145" t="s">
        <v>44</v>
      </c>
      <c r="C4145" t="s">
        <v>19</v>
      </c>
      <c r="D4145" t="s">
        <v>20</v>
      </c>
      <c r="E4145" s="1">
        <v>2026</v>
      </c>
      <c r="F4145" s="11">
        <v>0.78010000000000002</v>
      </c>
      <c r="G4145">
        <v>67.03</v>
      </c>
      <c r="H4145">
        <v>95.81</v>
      </c>
      <c r="I4145" s="2">
        <v>90742.3</v>
      </c>
      <c r="J4145" s="2">
        <v>80780.5</v>
      </c>
      <c r="K4145" s="2">
        <f>Table1[[#This Row],[Salary_after]]-Table1[[#This Row],[Salary_before]]</f>
        <v>-9961.8000000000029</v>
      </c>
      <c r="L4145" s="11">
        <v>-0.10980000000000001</v>
      </c>
      <c r="M4145" s="11">
        <v>2.3300000000000001E-2</v>
      </c>
      <c r="N4145">
        <v>34.35</v>
      </c>
      <c r="O4145">
        <v>29.35</v>
      </c>
      <c r="P4145">
        <v>1</v>
      </c>
      <c r="Q4145" t="s">
        <v>37</v>
      </c>
      <c r="R4145">
        <v>86.91</v>
      </c>
      <c r="S4145">
        <v>10.98</v>
      </c>
      <c r="T4145" s="4">
        <v>63.241</v>
      </c>
      <c r="U4145" s="4">
        <v>22.895935000000001</v>
      </c>
      <c r="V4145" t="str">
        <f>IF(Table1[[#This Row],[ai_disruption_intensity]]&gt;70,"High",
IF(Table1[[#This Row],[ai_disruption_intensity]]&gt;40,"Medium","Low"))</f>
        <v>Low</v>
      </c>
      <c r="W4145" t="str">
        <f>IF(Table1[[#This Row],[skill_gap_index]]&gt;70,"Large Gap",
IF(Table1[[#This Row],[skill_gap_index]]&gt;40,"Medium Gap","Small Gap"))</f>
        <v>Large Gap</v>
      </c>
      <c r="X4145" s="3" t="str">
        <f>IF(Table1[[#This Row],[automation_risk_percent]]&gt;0.7,"Highly Automatable",
IF(Table1[[#This Row],[automation_risk_percent]]&gt;0.4,"Moderate Risk","Safe Job"))</f>
        <v>Highly Automatable</v>
      </c>
    </row>
    <row r="4146" spans="1:24" x14ac:dyDescent="0.3">
      <c r="A4146">
        <v>14429</v>
      </c>
      <c r="B4146" t="s">
        <v>45</v>
      </c>
      <c r="C4146" t="s">
        <v>34</v>
      </c>
      <c r="D4146" t="s">
        <v>36</v>
      </c>
      <c r="E4146" s="1">
        <v>2026</v>
      </c>
      <c r="F4146" s="11">
        <v>0.31940000000000002</v>
      </c>
      <c r="G4146">
        <v>35.58</v>
      </c>
      <c r="H4146">
        <v>76.680000000000007</v>
      </c>
      <c r="I4146" s="2">
        <v>143953.51999999999</v>
      </c>
      <c r="J4146" s="2">
        <v>135199.62</v>
      </c>
      <c r="K4146" s="2">
        <f>Table1[[#This Row],[Salary_after]]-Table1[[#This Row],[Salary_before]]</f>
        <v>-8753.8999999999942</v>
      </c>
      <c r="L4146" s="11">
        <v>-6.08E-2</v>
      </c>
      <c r="M4146" s="11">
        <v>0.30530000000000002</v>
      </c>
      <c r="N4146">
        <v>70.010000000000005</v>
      </c>
      <c r="O4146">
        <v>84.5</v>
      </c>
      <c r="P4146">
        <v>5</v>
      </c>
      <c r="Q4146" t="s">
        <v>25</v>
      </c>
      <c r="R4146">
        <v>54.31</v>
      </c>
      <c r="S4146">
        <v>6.08</v>
      </c>
      <c r="T4146" s="4">
        <v>37.603999999999999</v>
      </c>
      <c r="U4146" s="4">
        <v>26.9893</v>
      </c>
      <c r="V4146" t="str">
        <f>IF(Table1[[#This Row],[ai_disruption_intensity]]&gt;70,"High",
IF(Table1[[#This Row],[ai_disruption_intensity]]&gt;40,"Medium","Low"))</f>
        <v>Low</v>
      </c>
      <c r="W4146" t="str">
        <f>IF(Table1[[#This Row],[skill_gap_index]]&gt;70,"Large Gap",
IF(Table1[[#This Row],[skill_gap_index]]&gt;40,"Medium Gap","Small Gap"))</f>
        <v>Large Gap</v>
      </c>
      <c r="X4146" s="3" t="str">
        <f>IF(Table1[[#This Row],[automation_risk_percent]]&gt;0.7,"Highly Automatable",
IF(Table1[[#This Row],[automation_risk_percent]]&gt;0.4,"Moderate Risk","Safe Job"))</f>
        <v>Safe Job</v>
      </c>
    </row>
    <row r="4147" spans="1:24" x14ac:dyDescent="0.3">
      <c r="A4147">
        <v>14431</v>
      </c>
      <c r="B4147" t="s">
        <v>18</v>
      </c>
      <c r="C4147" t="s">
        <v>19</v>
      </c>
      <c r="D4147" t="s">
        <v>47</v>
      </c>
      <c r="E4147" s="1">
        <v>2026</v>
      </c>
      <c r="F4147" s="11">
        <v>0.48330000000000001</v>
      </c>
      <c r="G4147">
        <v>52.57</v>
      </c>
      <c r="H4147">
        <v>45.38</v>
      </c>
      <c r="I4147" s="2">
        <v>91560.91</v>
      </c>
      <c r="J4147" s="2">
        <v>113247.49</v>
      </c>
      <c r="K4147" s="2">
        <f>Table1[[#This Row],[Salary_after]]-Table1[[#This Row],[Salary_before]]</f>
        <v>21686.58</v>
      </c>
      <c r="L4147" s="11">
        <v>0.2369</v>
      </c>
      <c r="M4147" s="11">
        <v>-2.5499999999999998E-2</v>
      </c>
      <c r="N4147">
        <v>40.520000000000003</v>
      </c>
      <c r="O4147">
        <v>61.33</v>
      </c>
      <c r="P4147">
        <v>4</v>
      </c>
      <c r="Q4147" t="s">
        <v>25</v>
      </c>
      <c r="R4147">
        <v>46.854999999999997</v>
      </c>
      <c r="S4147">
        <v>23.69</v>
      </c>
      <c r="T4147" s="4">
        <v>40.052999999999997</v>
      </c>
      <c r="U4147" s="4">
        <v>29.640788999999899</v>
      </c>
      <c r="V4147" t="str">
        <f>IF(Table1[[#This Row],[ai_disruption_intensity]]&gt;70,"High",
IF(Table1[[#This Row],[ai_disruption_intensity]]&gt;40,"Medium","Low"))</f>
        <v>Low</v>
      </c>
      <c r="W4147" t="str">
        <f>IF(Table1[[#This Row],[skill_gap_index]]&gt;70,"Large Gap",
IF(Table1[[#This Row],[skill_gap_index]]&gt;40,"Medium Gap","Small Gap"))</f>
        <v>Medium Gap</v>
      </c>
      <c r="X4147" s="3" t="str">
        <f>IF(Table1[[#This Row],[automation_risk_percent]]&gt;0.7,"Highly Automatable",
IF(Table1[[#This Row],[automation_risk_percent]]&gt;0.4,"Moderate Risk","Safe Job"))</f>
        <v>Moderate Risk</v>
      </c>
    </row>
    <row r="4148" spans="1:24" x14ac:dyDescent="0.3">
      <c r="A4148">
        <v>14435</v>
      </c>
      <c r="B4148" t="s">
        <v>44</v>
      </c>
      <c r="C4148" t="s">
        <v>34</v>
      </c>
      <c r="D4148" t="s">
        <v>35</v>
      </c>
      <c r="E4148" s="1">
        <v>2026</v>
      </c>
      <c r="F4148" s="11">
        <v>0.44009999999999999</v>
      </c>
      <c r="G4148">
        <v>48.11</v>
      </c>
      <c r="H4148">
        <v>95.86</v>
      </c>
      <c r="I4148" s="2">
        <v>59636.66</v>
      </c>
      <c r="J4148" s="2">
        <v>59220.46</v>
      </c>
      <c r="K4148" s="2">
        <f>Table1[[#This Row],[Salary_after]]-Table1[[#This Row],[Salary_before]]</f>
        <v>-416.20000000000437</v>
      </c>
      <c r="L4148" s="11">
        <v>-6.9999999999999993E-3</v>
      </c>
      <c r="M4148" s="11">
        <v>3.0899999999999997E-2</v>
      </c>
      <c r="N4148">
        <v>84.13</v>
      </c>
      <c r="O4148">
        <v>73.75</v>
      </c>
      <c r="P4148">
        <v>3</v>
      </c>
      <c r="Q4148" t="s">
        <v>25</v>
      </c>
      <c r="R4148">
        <v>69.935000000000002</v>
      </c>
      <c r="S4148">
        <v>0.7</v>
      </c>
      <c r="T4148" s="4">
        <v>46.571999999999903</v>
      </c>
      <c r="U4148" s="4">
        <v>32.457374999999999</v>
      </c>
      <c r="V4148" t="str">
        <f>IF(Table1[[#This Row],[ai_disruption_intensity]]&gt;70,"High",
IF(Table1[[#This Row],[ai_disruption_intensity]]&gt;40,"Medium","Low"))</f>
        <v>Low</v>
      </c>
      <c r="W4148" t="str">
        <f>IF(Table1[[#This Row],[skill_gap_index]]&gt;70,"Large Gap",
IF(Table1[[#This Row],[skill_gap_index]]&gt;40,"Medium Gap","Small Gap"))</f>
        <v>Large Gap</v>
      </c>
      <c r="X4148" s="3" t="str">
        <f>IF(Table1[[#This Row],[automation_risk_percent]]&gt;0.7,"Highly Automatable",
IF(Table1[[#This Row],[automation_risk_percent]]&gt;0.4,"Moderate Risk","Safe Job"))</f>
        <v>Moderate Risk</v>
      </c>
    </row>
    <row r="4149" spans="1:24" x14ac:dyDescent="0.3">
      <c r="A4149">
        <v>14438</v>
      </c>
      <c r="B4149" t="s">
        <v>22</v>
      </c>
      <c r="C4149" t="s">
        <v>19</v>
      </c>
      <c r="D4149" t="s">
        <v>20</v>
      </c>
      <c r="E4149" s="1">
        <v>2025</v>
      </c>
      <c r="F4149" s="11">
        <v>0.45950000000000002</v>
      </c>
      <c r="G4149">
        <v>44.58</v>
      </c>
      <c r="H4149">
        <v>9.8699999999999992</v>
      </c>
      <c r="I4149" s="2">
        <v>119380.66</v>
      </c>
      <c r="J4149" s="2">
        <v>99249.51</v>
      </c>
      <c r="K4149" s="2">
        <f>Table1[[#This Row],[Salary_after]]-Table1[[#This Row],[Salary_before]]</f>
        <v>-20131.150000000009</v>
      </c>
      <c r="L4149" s="11">
        <v>-0.1686</v>
      </c>
      <c r="M4149" s="11">
        <v>2.9300000000000003E-2</v>
      </c>
      <c r="N4149">
        <v>79.31</v>
      </c>
      <c r="O4149">
        <v>38.24</v>
      </c>
      <c r="P4149">
        <v>2</v>
      </c>
      <c r="Q4149" t="s">
        <v>25</v>
      </c>
      <c r="R4149">
        <v>27.91</v>
      </c>
      <c r="S4149">
        <v>16.86</v>
      </c>
      <c r="T4149" s="4">
        <v>26.399000000000001</v>
      </c>
      <c r="U4149" s="4">
        <v>17.571280000000002</v>
      </c>
      <c r="V4149" t="str">
        <f>IF(Table1[[#This Row],[ai_disruption_intensity]]&gt;70,"High",
IF(Table1[[#This Row],[ai_disruption_intensity]]&gt;40,"Medium","Low"))</f>
        <v>Low</v>
      </c>
      <c r="W4149" t="str">
        <f>IF(Table1[[#This Row],[skill_gap_index]]&gt;70,"Large Gap",
IF(Table1[[#This Row],[skill_gap_index]]&gt;40,"Medium Gap","Small Gap"))</f>
        <v>Small Gap</v>
      </c>
      <c r="X4149" s="3" t="str">
        <f>IF(Table1[[#This Row],[automation_risk_percent]]&gt;0.7,"Highly Automatable",
IF(Table1[[#This Row],[automation_risk_percent]]&gt;0.4,"Moderate Risk","Safe Job"))</f>
        <v>Moderate Risk</v>
      </c>
    </row>
    <row r="4150" spans="1:24" x14ac:dyDescent="0.3">
      <c r="A4150">
        <v>14439</v>
      </c>
      <c r="B4150" t="s">
        <v>29</v>
      </c>
      <c r="C4150" t="s">
        <v>33</v>
      </c>
      <c r="D4150" t="s">
        <v>42</v>
      </c>
      <c r="E4150" s="1">
        <v>2026</v>
      </c>
      <c r="F4150" s="11">
        <v>0.4728</v>
      </c>
      <c r="G4150">
        <v>52.07</v>
      </c>
      <c r="H4150">
        <v>11.07</v>
      </c>
      <c r="I4150" s="2">
        <v>139046.54999999999</v>
      </c>
      <c r="J4150" s="2">
        <v>149216.14000000001</v>
      </c>
      <c r="K4150" s="2">
        <f>Table1[[#This Row],[Salary_after]]-Table1[[#This Row],[Salary_before]]</f>
        <v>10169.590000000026</v>
      </c>
      <c r="L4150" s="11">
        <v>7.3099999999999998E-2</v>
      </c>
      <c r="M4150" s="11">
        <v>-6.1699999999999998E-2</v>
      </c>
      <c r="N4150">
        <v>71.84</v>
      </c>
      <c r="O4150">
        <v>99.52</v>
      </c>
      <c r="P4150">
        <v>4</v>
      </c>
      <c r="Q4150" t="s">
        <v>25</v>
      </c>
      <c r="R4150">
        <v>29.175000000000001</v>
      </c>
      <c r="S4150">
        <v>7.31</v>
      </c>
      <c r="T4150" s="4">
        <v>24.425999999999998</v>
      </c>
      <c r="U4150" s="4">
        <v>47.053055999999998</v>
      </c>
      <c r="V4150" t="str">
        <f>IF(Table1[[#This Row],[ai_disruption_intensity]]&gt;70,"High",
IF(Table1[[#This Row],[ai_disruption_intensity]]&gt;40,"Medium","Low"))</f>
        <v>Medium</v>
      </c>
      <c r="W4150" t="str">
        <f>IF(Table1[[#This Row],[skill_gap_index]]&gt;70,"Large Gap",
IF(Table1[[#This Row],[skill_gap_index]]&gt;40,"Medium Gap","Small Gap"))</f>
        <v>Small Gap</v>
      </c>
      <c r="X4150" s="3" t="str">
        <f>IF(Table1[[#This Row],[automation_risk_percent]]&gt;0.7,"Highly Automatable",
IF(Table1[[#This Row],[automation_risk_percent]]&gt;0.4,"Moderate Risk","Safe Job"))</f>
        <v>Moderate Risk</v>
      </c>
    </row>
    <row r="4151" spans="1:24" x14ac:dyDescent="0.3">
      <c r="A4151">
        <v>14440</v>
      </c>
      <c r="B4151" t="s">
        <v>26</v>
      </c>
      <c r="C4151" t="s">
        <v>19</v>
      </c>
      <c r="D4151" t="s">
        <v>36</v>
      </c>
      <c r="E4151" s="1">
        <v>2026</v>
      </c>
      <c r="F4151" s="11">
        <v>0.38290000000000002</v>
      </c>
      <c r="G4151">
        <v>43.32</v>
      </c>
      <c r="H4151">
        <v>45.18</v>
      </c>
      <c r="I4151" s="2">
        <v>107083.07</v>
      </c>
      <c r="J4151" s="2">
        <v>120416.67</v>
      </c>
      <c r="K4151" s="2">
        <f>Table1[[#This Row],[Salary_after]]-Table1[[#This Row],[Salary_before]]</f>
        <v>13333.599999999991</v>
      </c>
      <c r="L4151" s="11">
        <v>0.1245</v>
      </c>
      <c r="M4151" s="11">
        <v>0.1963</v>
      </c>
      <c r="N4151">
        <v>29.83</v>
      </c>
      <c r="O4151">
        <v>40.47</v>
      </c>
      <c r="P4151">
        <v>3</v>
      </c>
      <c r="Q4151" t="s">
        <v>25</v>
      </c>
      <c r="R4151">
        <v>41.734999999999999</v>
      </c>
      <c r="S4151">
        <v>12.45</v>
      </c>
      <c r="T4151" s="4">
        <v>32.604999999999997</v>
      </c>
      <c r="U4151" s="4">
        <v>15.495963</v>
      </c>
      <c r="V4151" t="str">
        <f>IF(Table1[[#This Row],[ai_disruption_intensity]]&gt;70,"High",
IF(Table1[[#This Row],[ai_disruption_intensity]]&gt;40,"Medium","Low"))</f>
        <v>Low</v>
      </c>
      <c r="W4151" t="str">
        <f>IF(Table1[[#This Row],[skill_gap_index]]&gt;70,"Large Gap",
IF(Table1[[#This Row],[skill_gap_index]]&gt;40,"Medium Gap","Small Gap"))</f>
        <v>Medium Gap</v>
      </c>
      <c r="X4151" s="3" t="str">
        <f>IF(Table1[[#This Row],[automation_risk_percent]]&gt;0.7,"Highly Automatable",
IF(Table1[[#This Row],[automation_risk_percent]]&gt;0.4,"Moderate Risk","Safe Job"))</f>
        <v>Safe Job</v>
      </c>
    </row>
    <row r="4152" spans="1:24" x14ac:dyDescent="0.3">
      <c r="A4152">
        <v>14446</v>
      </c>
      <c r="B4152" t="s">
        <v>41</v>
      </c>
      <c r="C4152" t="s">
        <v>33</v>
      </c>
      <c r="D4152" t="s">
        <v>28</v>
      </c>
      <c r="E4152" s="1">
        <v>2025</v>
      </c>
      <c r="F4152" s="11">
        <v>0.65260000000000007</v>
      </c>
      <c r="G4152">
        <v>74.430000000000007</v>
      </c>
      <c r="H4152">
        <v>45.72</v>
      </c>
      <c r="I4152" s="2">
        <v>115758.85</v>
      </c>
      <c r="J4152" s="2">
        <v>132492.68</v>
      </c>
      <c r="K4152" s="2">
        <f>Table1[[#This Row],[Salary_after]]-Table1[[#This Row],[Salary_before]]</f>
        <v>16733.829999999987</v>
      </c>
      <c r="L4152" s="11">
        <v>0.14460000000000001</v>
      </c>
      <c r="M4152" s="11">
        <v>0.12089999999999999</v>
      </c>
      <c r="N4152">
        <v>37.08</v>
      </c>
      <c r="O4152">
        <v>42.49</v>
      </c>
      <c r="P4152">
        <v>3</v>
      </c>
      <c r="Q4152" t="s">
        <v>37</v>
      </c>
      <c r="R4152">
        <v>55.49</v>
      </c>
      <c r="S4152">
        <v>14.46</v>
      </c>
      <c r="T4152" s="4">
        <v>44.158000000000001</v>
      </c>
      <c r="U4152" s="4">
        <v>27.728974000000001</v>
      </c>
      <c r="V4152" t="str">
        <f>IF(Table1[[#This Row],[ai_disruption_intensity]]&gt;70,"High",
IF(Table1[[#This Row],[ai_disruption_intensity]]&gt;40,"Medium","Low"))</f>
        <v>Low</v>
      </c>
      <c r="W4152" t="str">
        <f>IF(Table1[[#This Row],[skill_gap_index]]&gt;70,"Large Gap",
IF(Table1[[#This Row],[skill_gap_index]]&gt;40,"Medium Gap","Small Gap"))</f>
        <v>Medium Gap</v>
      </c>
      <c r="X4152" s="3" t="str">
        <f>IF(Table1[[#This Row],[automation_risk_percent]]&gt;0.7,"Highly Automatable",
IF(Table1[[#This Row],[automation_risk_percent]]&gt;0.4,"Moderate Risk","Safe Job"))</f>
        <v>Moderate Risk</v>
      </c>
    </row>
    <row r="4153" spans="1:24" x14ac:dyDescent="0.3">
      <c r="A4153">
        <v>14450</v>
      </c>
      <c r="B4153" t="s">
        <v>46</v>
      </c>
      <c r="C4153" t="s">
        <v>19</v>
      </c>
      <c r="D4153" t="s">
        <v>47</v>
      </c>
      <c r="E4153" s="1">
        <v>2025</v>
      </c>
      <c r="F4153" s="11">
        <v>8.3499999999999991E-2</v>
      </c>
      <c r="G4153">
        <v>8.11</v>
      </c>
      <c r="H4153">
        <v>89.9</v>
      </c>
      <c r="I4153" s="2">
        <v>48339.32</v>
      </c>
      <c r="J4153" s="2">
        <v>55367.14</v>
      </c>
      <c r="K4153" s="2">
        <f>Table1[[#This Row],[Salary_after]]-Table1[[#This Row],[Salary_before]]</f>
        <v>7027.82</v>
      </c>
      <c r="L4153" s="11">
        <v>0.1454</v>
      </c>
      <c r="M4153" s="11">
        <v>8.1600000000000006E-2</v>
      </c>
      <c r="N4153">
        <v>83.77</v>
      </c>
      <c r="O4153">
        <v>17.309999999999999</v>
      </c>
      <c r="P4153">
        <v>2</v>
      </c>
      <c r="Q4153" t="s">
        <v>21</v>
      </c>
      <c r="R4153">
        <v>49.125</v>
      </c>
      <c r="S4153">
        <v>14.54</v>
      </c>
      <c r="T4153" s="4">
        <v>34.671999999999997</v>
      </c>
      <c r="U4153" s="4">
        <v>1.4453849999999899</v>
      </c>
      <c r="V4153" t="str">
        <f>IF(Table1[[#This Row],[ai_disruption_intensity]]&gt;70,"High",
IF(Table1[[#This Row],[ai_disruption_intensity]]&gt;40,"Medium","Low"))</f>
        <v>Low</v>
      </c>
      <c r="W4153" t="str">
        <f>IF(Table1[[#This Row],[skill_gap_index]]&gt;70,"Large Gap",
IF(Table1[[#This Row],[skill_gap_index]]&gt;40,"Medium Gap","Small Gap"))</f>
        <v>Large Gap</v>
      </c>
      <c r="X4153" s="3" t="str">
        <f>IF(Table1[[#This Row],[automation_risk_percent]]&gt;0.7,"Highly Automatable",
IF(Table1[[#This Row],[automation_risk_percent]]&gt;0.4,"Moderate Risk","Safe Job"))</f>
        <v>Safe Job</v>
      </c>
    </row>
    <row r="4154" spans="1:24" x14ac:dyDescent="0.3">
      <c r="A4154">
        <v>14451</v>
      </c>
      <c r="B4154" t="s">
        <v>43</v>
      </c>
      <c r="C4154" t="s">
        <v>23</v>
      </c>
      <c r="D4154" t="s">
        <v>28</v>
      </c>
      <c r="E4154" s="1">
        <v>2025</v>
      </c>
      <c r="F4154" s="11">
        <v>0.6179</v>
      </c>
      <c r="G4154">
        <v>68.260000000000005</v>
      </c>
      <c r="H4154">
        <v>54.68</v>
      </c>
      <c r="I4154" s="2">
        <v>80800.17</v>
      </c>
      <c r="J4154" s="2">
        <v>66048</v>
      </c>
      <c r="K4154" s="2">
        <f>Table1[[#This Row],[Salary_after]]-Table1[[#This Row],[Salary_before]]</f>
        <v>-14752.169999999998</v>
      </c>
      <c r="L4154" s="11">
        <v>-0.18260000000000001</v>
      </c>
      <c r="M4154" s="11">
        <v>0.15890000000000001</v>
      </c>
      <c r="N4154">
        <v>35.229999999999997</v>
      </c>
      <c r="O4154">
        <v>11.43</v>
      </c>
      <c r="P4154">
        <v>2</v>
      </c>
      <c r="Q4154" t="s">
        <v>37</v>
      </c>
      <c r="R4154">
        <v>58.234999999999999</v>
      </c>
      <c r="S4154">
        <v>18.260000000000002</v>
      </c>
      <c r="T4154" s="4">
        <v>46.597999999999999</v>
      </c>
      <c r="U4154" s="4">
        <v>7.0625969999999896</v>
      </c>
      <c r="V4154" t="str">
        <f>IF(Table1[[#This Row],[ai_disruption_intensity]]&gt;70,"High",
IF(Table1[[#This Row],[ai_disruption_intensity]]&gt;40,"Medium","Low"))</f>
        <v>Low</v>
      </c>
      <c r="W4154" t="str">
        <f>IF(Table1[[#This Row],[skill_gap_index]]&gt;70,"Large Gap",
IF(Table1[[#This Row],[skill_gap_index]]&gt;40,"Medium Gap","Small Gap"))</f>
        <v>Medium Gap</v>
      </c>
      <c r="X4154" s="3" t="str">
        <f>IF(Table1[[#This Row],[automation_risk_percent]]&gt;0.7,"Highly Automatable",
IF(Table1[[#This Row],[automation_risk_percent]]&gt;0.4,"Moderate Risk","Safe Job"))</f>
        <v>Moderate Risk</v>
      </c>
    </row>
    <row r="4155" spans="1:24" x14ac:dyDescent="0.3">
      <c r="A4155">
        <v>14453</v>
      </c>
      <c r="B4155" t="s">
        <v>22</v>
      </c>
      <c r="C4155" t="s">
        <v>38</v>
      </c>
      <c r="D4155" t="s">
        <v>32</v>
      </c>
      <c r="E4155" s="1">
        <v>2025</v>
      </c>
      <c r="F4155" s="11">
        <v>0.1177</v>
      </c>
      <c r="G4155">
        <v>13.93</v>
      </c>
      <c r="H4155">
        <v>9.85</v>
      </c>
      <c r="I4155" s="2">
        <v>58749.79</v>
      </c>
      <c r="J4155" s="2">
        <v>63828.92</v>
      </c>
      <c r="K4155" s="2">
        <f>Table1[[#This Row],[Salary_after]]-Table1[[#This Row],[Salary_before]]</f>
        <v>5079.1299999999974</v>
      </c>
      <c r="L4155" s="11">
        <v>8.6500000000000007E-2</v>
      </c>
      <c r="M4155" s="11">
        <v>0.154</v>
      </c>
      <c r="N4155">
        <v>74.959999999999994</v>
      </c>
      <c r="O4155">
        <v>41.96</v>
      </c>
      <c r="P4155">
        <v>1</v>
      </c>
      <c r="Q4155" t="s">
        <v>21</v>
      </c>
      <c r="R4155">
        <v>10.809999999999899</v>
      </c>
      <c r="S4155">
        <v>8.65</v>
      </c>
      <c r="T4155" s="4">
        <v>10.257999999999999</v>
      </c>
      <c r="U4155" s="4">
        <v>4.9386919999999996</v>
      </c>
      <c r="V4155" t="str">
        <f>IF(Table1[[#This Row],[ai_disruption_intensity]]&gt;70,"High",
IF(Table1[[#This Row],[ai_disruption_intensity]]&gt;40,"Medium","Low"))</f>
        <v>Low</v>
      </c>
      <c r="W4155" t="str">
        <f>IF(Table1[[#This Row],[skill_gap_index]]&gt;70,"Large Gap",
IF(Table1[[#This Row],[skill_gap_index]]&gt;40,"Medium Gap","Small Gap"))</f>
        <v>Small Gap</v>
      </c>
      <c r="X4155" s="3" t="str">
        <f>IF(Table1[[#This Row],[automation_risk_percent]]&gt;0.7,"Highly Automatable",
IF(Table1[[#This Row],[automation_risk_percent]]&gt;0.4,"Moderate Risk","Safe Job"))</f>
        <v>Safe Job</v>
      </c>
    </row>
    <row r="4156" spans="1:24" x14ac:dyDescent="0.3">
      <c r="A4156">
        <v>14458</v>
      </c>
      <c r="B4156" t="s">
        <v>43</v>
      </c>
      <c r="C4156" t="s">
        <v>34</v>
      </c>
      <c r="D4156" t="s">
        <v>31</v>
      </c>
      <c r="E4156" s="1">
        <v>2026</v>
      </c>
      <c r="F4156" s="11">
        <v>0.1009</v>
      </c>
      <c r="G4156">
        <v>11.02</v>
      </c>
      <c r="H4156">
        <v>25.83</v>
      </c>
      <c r="I4156" s="2">
        <v>98290.91</v>
      </c>
      <c r="J4156" s="2">
        <v>102896.85</v>
      </c>
      <c r="K4156" s="2">
        <f>Table1[[#This Row],[Salary_after]]-Table1[[#This Row],[Salary_before]]</f>
        <v>4605.9400000000023</v>
      </c>
      <c r="L4156" s="11">
        <v>4.6900000000000004E-2</v>
      </c>
      <c r="M4156" s="11">
        <v>-0.16020000000000001</v>
      </c>
      <c r="N4156">
        <v>27.45</v>
      </c>
      <c r="O4156">
        <v>61.91</v>
      </c>
      <c r="P4156">
        <v>3</v>
      </c>
      <c r="Q4156" t="s">
        <v>21</v>
      </c>
      <c r="R4156">
        <v>17.96</v>
      </c>
      <c r="S4156">
        <v>4.6900000000000004</v>
      </c>
      <c r="T4156" s="4">
        <v>13.192</v>
      </c>
      <c r="U4156" s="4">
        <v>6.2467189999999997</v>
      </c>
      <c r="V4156" t="str">
        <f>IF(Table1[[#This Row],[ai_disruption_intensity]]&gt;70,"High",
IF(Table1[[#This Row],[ai_disruption_intensity]]&gt;40,"Medium","Low"))</f>
        <v>Low</v>
      </c>
      <c r="W4156" t="str">
        <f>IF(Table1[[#This Row],[skill_gap_index]]&gt;70,"Large Gap",
IF(Table1[[#This Row],[skill_gap_index]]&gt;40,"Medium Gap","Small Gap"))</f>
        <v>Small Gap</v>
      </c>
      <c r="X4156" s="3" t="str">
        <f>IF(Table1[[#This Row],[automation_risk_percent]]&gt;0.7,"Highly Automatable",
IF(Table1[[#This Row],[automation_risk_percent]]&gt;0.4,"Moderate Risk","Safe Job"))</f>
        <v>Safe Job</v>
      </c>
    </row>
    <row r="4157" spans="1:24" x14ac:dyDescent="0.3">
      <c r="A4157">
        <v>14460</v>
      </c>
      <c r="B4157" t="s">
        <v>45</v>
      </c>
      <c r="C4157" t="s">
        <v>30</v>
      </c>
      <c r="D4157" t="s">
        <v>20</v>
      </c>
      <c r="E4157" s="1">
        <v>2025</v>
      </c>
      <c r="F4157" s="11">
        <v>0.58219999999999994</v>
      </c>
      <c r="G4157">
        <v>53.99</v>
      </c>
      <c r="H4157">
        <v>37.67</v>
      </c>
      <c r="I4157" s="2">
        <v>104759.48</v>
      </c>
      <c r="J4157" s="2">
        <v>110056.7</v>
      </c>
      <c r="K4157" s="2">
        <f>Table1[[#This Row],[Salary_after]]-Table1[[#This Row],[Salary_before]]</f>
        <v>5297.2200000000012</v>
      </c>
      <c r="L4157" s="11">
        <v>5.0599999999999999E-2</v>
      </c>
      <c r="M4157" s="11">
        <v>9.2799999999999994E-2</v>
      </c>
      <c r="N4157">
        <v>63.83</v>
      </c>
      <c r="O4157">
        <v>45.81</v>
      </c>
      <c r="P4157">
        <v>4</v>
      </c>
      <c r="Q4157" t="s">
        <v>25</v>
      </c>
      <c r="R4157">
        <v>47.945</v>
      </c>
      <c r="S4157">
        <v>5.0599999999999996</v>
      </c>
      <c r="T4157" s="4">
        <v>36.106999999999999</v>
      </c>
      <c r="U4157" s="4">
        <v>26.670582</v>
      </c>
      <c r="V4157" t="str">
        <f>IF(Table1[[#This Row],[ai_disruption_intensity]]&gt;70,"High",
IF(Table1[[#This Row],[ai_disruption_intensity]]&gt;40,"Medium","Low"))</f>
        <v>Low</v>
      </c>
      <c r="W4157" t="str">
        <f>IF(Table1[[#This Row],[skill_gap_index]]&gt;70,"Large Gap",
IF(Table1[[#This Row],[skill_gap_index]]&gt;40,"Medium Gap","Small Gap"))</f>
        <v>Small Gap</v>
      </c>
      <c r="X4157" s="3" t="str">
        <f>IF(Table1[[#This Row],[automation_risk_percent]]&gt;0.7,"Highly Automatable",
IF(Table1[[#This Row],[automation_risk_percent]]&gt;0.4,"Moderate Risk","Safe Job"))</f>
        <v>Moderate Risk</v>
      </c>
    </row>
    <row r="4158" spans="1:24" x14ac:dyDescent="0.3">
      <c r="A4158">
        <v>14464</v>
      </c>
      <c r="B4158" t="s">
        <v>44</v>
      </c>
      <c r="C4158" t="s">
        <v>23</v>
      </c>
      <c r="D4158" t="s">
        <v>24</v>
      </c>
      <c r="E4158" s="1">
        <v>2026</v>
      </c>
      <c r="F4158" s="11">
        <v>0.52710000000000001</v>
      </c>
      <c r="G4158">
        <v>51.2</v>
      </c>
      <c r="H4158">
        <v>28.78</v>
      </c>
      <c r="I4158" s="2">
        <v>121505.64</v>
      </c>
      <c r="J4158" s="2">
        <v>132354.38</v>
      </c>
      <c r="K4158" s="2">
        <f>Table1[[#This Row],[Salary_after]]-Table1[[#This Row],[Salary_before]]</f>
        <v>10848.740000000005</v>
      </c>
      <c r="L4158" s="11">
        <v>8.929999999999999E-2</v>
      </c>
      <c r="M4158" s="11">
        <v>0.13449999999999998</v>
      </c>
      <c r="N4158">
        <v>63.86</v>
      </c>
      <c r="O4158">
        <v>33.71</v>
      </c>
      <c r="P4158">
        <v>4</v>
      </c>
      <c r="Q4158" t="s">
        <v>25</v>
      </c>
      <c r="R4158">
        <v>40.744999999999997</v>
      </c>
      <c r="S4158">
        <v>8.93</v>
      </c>
      <c r="T4158" s="4">
        <v>32.396999999999998</v>
      </c>
      <c r="U4158" s="4">
        <v>17.768540999999999</v>
      </c>
      <c r="V4158" t="str">
        <f>IF(Table1[[#This Row],[ai_disruption_intensity]]&gt;70,"High",
IF(Table1[[#This Row],[ai_disruption_intensity]]&gt;40,"Medium","Low"))</f>
        <v>Low</v>
      </c>
      <c r="W4158" t="str">
        <f>IF(Table1[[#This Row],[skill_gap_index]]&gt;70,"Large Gap",
IF(Table1[[#This Row],[skill_gap_index]]&gt;40,"Medium Gap","Small Gap"))</f>
        <v>Small Gap</v>
      </c>
      <c r="X4158" s="3" t="str">
        <f>IF(Table1[[#This Row],[automation_risk_percent]]&gt;0.7,"Highly Automatable",
IF(Table1[[#This Row],[automation_risk_percent]]&gt;0.4,"Moderate Risk","Safe Job"))</f>
        <v>Moderate Risk</v>
      </c>
    </row>
    <row r="4159" spans="1:24" x14ac:dyDescent="0.3">
      <c r="A4159">
        <v>14466</v>
      </c>
      <c r="B4159" t="s">
        <v>39</v>
      </c>
      <c r="C4159" t="s">
        <v>30</v>
      </c>
      <c r="D4159" t="s">
        <v>47</v>
      </c>
      <c r="E4159" s="1">
        <v>2025</v>
      </c>
      <c r="F4159" s="11">
        <v>0.45740000000000003</v>
      </c>
      <c r="G4159">
        <v>46.46</v>
      </c>
      <c r="H4159">
        <v>9.6999999999999993</v>
      </c>
      <c r="I4159" s="2">
        <v>55413.78</v>
      </c>
      <c r="J4159" s="2">
        <v>57625.07</v>
      </c>
      <c r="K4159" s="2">
        <f>Table1[[#This Row],[Salary_after]]-Table1[[#This Row],[Salary_before]]</f>
        <v>2211.2900000000009</v>
      </c>
      <c r="L4159" s="11">
        <v>3.9900000000000005E-2</v>
      </c>
      <c r="M4159" s="11">
        <v>4.5700000000000005E-2</v>
      </c>
      <c r="N4159">
        <v>50.49</v>
      </c>
      <c r="O4159">
        <v>27.29</v>
      </c>
      <c r="P4159">
        <v>1</v>
      </c>
      <c r="Q4159" t="s">
        <v>25</v>
      </c>
      <c r="R4159">
        <v>27.72</v>
      </c>
      <c r="S4159">
        <v>3.99</v>
      </c>
      <c r="T4159" s="4">
        <v>22.402999999999999</v>
      </c>
      <c r="U4159" s="4">
        <v>12.482445999999999</v>
      </c>
      <c r="V4159" t="str">
        <f>IF(Table1[[#This Row],[ai_disruption_intensity]]&gt;70,"High",
IF(Table1[[#This Row],[ai_disruption_intensity]]&gt;40,"Medium","Low"))</f>
        <v>Low</v>
      </c>
      <c r="W4159" t="str">
        <f>IF(Table1[[#This Row],[skill_gap_index]]&gt;70,"Large Gap",
IF(Table1[[#This Row],[skill_gap_index]]&gt;40,"Medium Gap","Small Gap"))</f>
        <v>Small Gap</v>
      </c>
      <c r="X4159" s="3" t="str">
        <f>IF(Table1[[#This Row],[automation_risk_percent]]&gt;0.7,"Highly Automatable",
IF(Table1[[#This Row],[automation_risk_percent]]&gt;0.4,"Moderate Risk","Safe Job"))</f>
        <v>Moderate Risk</v>
      </c>
    </row>
    <row r="4160" spans="1:24" x14ac:dyDescent="0.3">
      <c r="A4160">
        <v>14467</v>
      </c>
      <c r="B4160" t="s">
        <v>22</v>
      </c>
      <c r="C4160" t="s">
        <v>19</v>
      </c>
      <c r="D4160" t="s">
        <v>20</v>
      </c>
      <c r="E4160" s="1">
        <v>2025</v>
      </c>
      <c r="F4160" s="11">
        <v>0.74400000000000011</v>
      </c>
      <c r="G4160">
        <v>61.92</v>
      </c>
      <c r="H4160">
        <v>75.680000000000007</v>
      </c>
      <c r="I4160" s="2">
        <v>59643.6</v>
      </c>
      <c r="J4160" s="2">
        <v>55236.31</v>
      </c>
      <c r="K4160" s="2">
        <f>Table1[[#This Row],[Salary_after]]-Table1[[#This Row],[Salary_before]]</f>
        <v>-4407.2900000000009</v>
      </c>
      <c r="L4160" s="11">
        <v>-7.3899999999999993E-2</v>
      </c>
      <c r="M4160" s="11">
        <v>9.2600000000000002E-2</v>
      </c>
      <c r="N4160">
        <v>14.33</v>
      </c>
      <c r="O4160">
        <v>68.05</v>
      </c>
      <c r="P4160">
        <v>1</v>
      </c>
      <c r="Q4160" t="s">
        <v>37</v>
      </c>
      <c r="R4160">
        <v>75.040000000000006</v>
      </c>
      <c r="S4160">
        <v>7.39</v>
      </c>
      <c r="T4160" s="4">
        <v>54.680999999999997</v>
      </c>
      <c r="U4160" s="4">
        <v>50.629199999999997</v>
      </c>
      <c r="V4160" t="str">
        <f>IF(Table1[[#This Row],[ai_disruption_intensity]]&gt;70,"High",
IF(Table1[[#This Row],[ai_disruption_intensity]]&gt;40,"Medium","Low"))</f>
        <v>Medium</v>
      </c>
      <c r="W4160" t="str">
        <f>IF(Table1[[#This Row],[skill_gap_index]]&gt;70,"Large Gap",
IF(Table1[[#This Row],[skill_gap_index]]&gt;40,"Medium Gap","Small Gap"))</f>
        <v>Large Gap</v>
      </c>
      <c r="X4160" s="3" t="str">
        <f>IF(Table1[[#This Row],[automation_risk_percent]]&gt;0.7,"Highly Automatable",
IF(Table1[[#This Row],[automation_risk_percent]]&gt;0.4,"Moderate Risk","Safe Job"))</f>
        <v>Highly Automatable</v>
      </c>
    </row>
    <row r="4161" spans="1:24" x14ac:dyDescent="0.3">
      <c r="A4161">
        <v>14468</v>
      </c>
      <c r="B4161" t="s">
        <v>41</v>
      </c>
      <c r="C4161" t="s">
        <v>19</v>
      </c>
      <c r="D4161" t="s">
        <v>36</v>
      </c>
      <c r="E4161" s="1">
        <v>2026</v>
      </c>
      <c r="F4161" s="11">
        <v>0.51419999999999999</v>
      </c>
      <c r="G4161">
        <v>61.49</v>
      </c>
      <c r="H4161">
        <v>56.14</v>
      </c>
      <c r="I4161" s="2">
        <v>36536.1</v>
      </c>
      <c r="J4161" s="2">
        <v>36791.519999999997</v>
      </c>
      <c r="K4161" s="2">
        <f>Table1[[#This Row],[Salary_after]]-Table1[[#This Row],[Salary_before]]</f>
        <v>255.41999999999825</v>
      </c>
      <c r="L4161" s="11">
        <v>6.9999999999999993E-3</v>
      </c>
      <c r="M4161" s="11">
        <v>-2.6699999999999998E-2</v>
      </c>
      <c r="N4161">
        <v>11.56</v>
      </c>
      <c r="O4161">
        <v>71.8</v>
      </c>
      <c r="P4161">
        <v>4</v>
      </c>
      <c r="Q4161" t="s">
        <v>25</v>
      </c>
      <c r="R4161">
        <v>53.78</v>
      </c>
      <c r="S4161">
        <v>0.7</v>
      </c>
      <c r="T4161" s="4">
        <v>37.619999999999997</v>
      </c>
      <c r="U4161" s="4">
        <v>36.919559999999997</v>
      </c>
      <c r="V4161" t="str">
        <f>IF(Table1[[#This Row],[ai_disruption_intensity]]&gt;70,"High",
IF(Table1[[#This Row],[ai_disruption_intensity]]&gt;40,"Medium","Low"))</f>
        <v>Low</v>
      </c>
      <c r="W4161" t="str">
        <f>IF(Table1[[#This Row],[skill_gap_index]]&gt;70,"Large Gap",
IF(Table1[[#This Row],[skill_gap_index]]&gt;40,"Medium Gap","Small Gap"))</f>
        <v>Medium Gap</v>
      </c>
      <c r="X4161" s="3" t="str">
        <f>IF(Table1[[#This Row],[automation_risk_percent]]&gt;0.7,"Highly Automatable",
IF(Table1[[#This Row],[automation_risk_percent]]&gt;0.4,"Moderate Risk","Safe Job"))</f>
        <v>Moderate Risk</v>
      </c>
    </row>
    <row r="4162" spans="1:24" x14ac:dyDescent="0.3">
      <c r="A4162">
        <v>14469</v>
      </c>
      <c r="B4162" t="s">
        <v>44</v>
      </c>
      <c r="C4162" t="s">
        <v>34</v>
      </c>
      <c r="D4162" t="s">
        <v>42</v>
      </c>
      <c r="E4162" s="1">
        <v>2026</v>
      </c>
      <c r="F4162" s="11">
        <v>0.19820000000000002</v>
      </c>
      <c r="G4162">
        <v>17.28</v>
      </c>
      <c r="H4162">
        <v>28.27</v>
      </c>
      <c r="I4162" s="2">
        <v>30357.84</v>
      </c>
      <c r="J4162" s="2">
        <v>31828.5</v>
      </c>
      <c r="K4162" s="2">
        <f>Table1[[#This Row],[Salary_after]]-Table1[[#This Row],[Salary_before]]</f>
        <v>1470.6599999999999</v>
      </c>
      <c r="L4162" s="11">
        <v>4.8399999999999999E-2</v>
      </c>
      <c r="M4162" s="11">
        <v>5.2499999999999998E-2</v>
      </c>
      <c r="N4162">
        <v>72.55</v>
      </c>
      <c r="O4162">
        <v>95.25</v>
      </c>
      <c r="P4162">
        <v>5</v>
      </c>
      <c r="Q4162" t="s">
        <v>21</v>
      </c>
      <c r="R4162">
        <v>24.045000000000002</v>
      </c>
      <c r="S4162">
        <v>4.84</v>
      </c>
      <c r="T4162" s="4">
        <v>17.860999999999901</v>
      </c>
      <c r="U4162" s="4">
        <v>18.878550000000001</v>
      </c>
      <c r="V4162" t="str">
        <f>IF(Table1[[#This Row],[ai_disruption_intensity]]&gt;70,"High",
IF(Table1[[#This Row],[ai_disruption_intensity]]&gt;40,"Medium","Low"))</f>
        <v>Low</v>
      </c>
      <c r="W4162" t="str">
        <f>IF(Table1[[#This Row],[skill_gap_index]]&gt;70,"Large Gap",
IF(Table1[[#This Row],[skill_gap_index]]&gt;40,"Medium Gap","Small Gap"))</f>
        <v>Small Gap</v>
      </c>
      <c r="X4162" s="3" t="str">
        <f>IF(Table1[[#This Row],[automation_risk_percent]]&gt;0.7,"Highly Automatable",
IF(Table1[[#This Row],[automation_risk_percent]]&gt;0.4,"Moderate Risk","Safe Job"))</f>
        <v>Safe Job</v>
      </c>
    </row>
    <row r="4163" spans="1:24" x14ac:dyDescent="0.3">
      <c r="A4163">
        <v>14477</v>
      </c>
      <c r="B4163" t="s">
        <v>46</v>
      </c>
      <c r="C4163" t="s">
        <v>27</v>
      </c>
      <c r="D4163" t="s">
        <v>28</v>
      </c>
      <c r="E4163" s="1">
        <v>2025</v>
      </c>
      <c r="F4163" s="11">
        <v>0.1351</v>
      </c>
      <c r="G4163">
        <v>14.26</v>
      </c>
      <c r="H4163">
        <v>62</v>
      </c>
      <c r="I4163" s="2">
        <v>144828.85</v>
      </c>
      <c r="J4163" s="2">
        <v>137611.54</v>
      </c>
      <c r="K4163" s="2">
        <f>Table1[[#This Row],[Salary_after]]-Table1[[#This Row],[Salary_before]]</f>
        <v>-7217.3099999999977</v>
      </c>
      <c r="L4163" s="11">
        <v>-4.9800000000000004E-2</v>
      </c>
      <c r="M4163" s="11">
        <v>8.5500000000000007E-2</v>
      </c>
      <c r="N4163">
        <v>27.58</v>
      </c>
      <c r="O4163">
        <v>27.54</v>
      </c>
      <c r="P4163">
        <v>4</v>
      </c>
      <c r="Q4163" t="s">
        <v>21</v>
      </c>
      <c r="R4163">
        <v>37.755000000000003</v>
      </c>
      <c r="S4163">
        <v>4.9800000000000004</v>
      </c>
      <c r="T4163" s="4">
        <v>25.497999999999902</v>
      </c>
      <c r="U4163" s="4">
        <v>3.7206540000000001</v>
      </c>
      <c r="V4163" t="str">
        <f>IF(Table1[[#This Row],[ai_disruption_intensity]]&gt;70,"High",
IF(Table1[[#This Row],[ai_disruption_intensity]]&gt;40,"Medium","Low"))</f>
        <v>Low</v>
      </c>
      <c r="W4163" t="str">
        <f>IF(Table1[[#This Row],[skill_gap_index]]&gt;70,"Large Gap",
IF(Table1[[#This Row],[skill_gap_index]]&gt;40,"Medium Gap","Small Gap"))</f>
        <v>Medium Gap</v>
      </c>
      <c r="X4163" s="3" t="str">
        <f>IF(Table1[[#This Row],[automation_risk_percent]]&gt;0.7,"Highly Automatable",
IF(Table1[[#This Row],[automation_risk_percent]]&gt;0.4,"Moderate Risk","Safe Job"))</f>
        <v>Safe Job</v>
      </c>
    </row>
    <row r="4164" spans="1:24" x14ac:dyDescent="0.3">
      <c r="A4164">
        <v>14481</v>
      </c>
      <c r="B4164" t="s">
        <v>43</v>
      </c>
      <c r="C4164" t="s">
        <v>38</v>
      </c>
      <c r="D4164" t="s">
        <v>28</v>
      </c>
      <c r="E4164" s="1">
        <v>2025</v>
      </c>
      <c r="F4164" s="11">
        <v>0.19210000000000002</v>
      </c>
      <c r="G4164">
        <v>20.98</v>
      </c>
      <c r="H4164">
        <v>4.07</v>
      </c>
      <c r="I4164" s="2">
        <v>119823.72</v>
      </c>
      <c r="J4164" s="2">
        <v>139834.12</v>
      </c>
      <c r="K4164" s="2">
        <f>Table1[[#This Row],[Salary_after]]-Table1[[#This Row],[Salary_before]]</f>
        <v>20010.399999999994</v>
      </c>
      <c r="L4164" s="11">
        <v>0.16699999999999998</v>
      </c>
      <c r="M4164" s="11">
        <v>8.8200000000000001E-2</v>
      </c>
      <c r="N4164">
        <v>83.41</v>
      </c>
      <c r="O4164">
        <v>13.54</v>
      </c>
      <c r="P4164">
        <v>2</v>
      </c>
      <c r="Q4164" t="s">
        <v>21</v>
      </c>
      <c r="R4164">
        <v>11.64</v>
      </c>
      <c r="S4164">
        <v>16.7</v>
      </c>
      <c r="T4164" s="4">
        <v>13.914999999999999</v>
      </c>
      <c r="U4164" s="4">
        <v>2.6010339999999998</v>
      </c>
      <c r="V4164" t="str">
        <f>IF(Table1[[#This Row],[ai_disruption_intensity]]&gt;70,"High",
IF(Table1[[#This Row],[ai_disruption_intensity]]&gt;40,"Medium","Low"))</f>
        <v>Low</v>
      </c>
      <c r="W4164" t="str">
        <f>IF(Table1[[#This Row],[skill_gap_index]]&gt;70,"Large Gap",
IF(Table1[[#This Row],[skill_gap_index]]&gt;40,"Medium Gap","Small Gap"))</f>
        <v>Small Gap</v>
      </c>
      <c r="X4164" s="3" t="str">
        <f>IF(Table1[[#This Row],[automation_risk_percent]]&gt;0.7,"Highly Automatable",
IF(Table1[[#This Row],[automation_risk_percent]]&gt;0.4,"Moderate Risk","Safe Job"))</f>
        <v>Safe Job</v>
      </c>
    </row>
    <row r="4165" spans="1:24" x14ac:dyDescent="0.3">
      <c r="A4165">
        <v>14487</v>
      </c>
      <c r="B4165" t="s">
        <v>26</v>
      </c>
      <c r="C4165" t="s">
        <v>34</v>
      </c>
      <c r="D4165" t="s">
        <v>24</v>
      </c>
      <c r="E4165" s="1">
        <v>2025</v>
      </c>
      <c r="F4165" s="11">
        <v>0.13720000000000002</v>
      </c>
      <c r="G4165">
        <v>14.32</v>
      </c>
      <c r="H4165">
        <v>68.11</v>
      </c>
      <c r="I4165" s="2">
        <v>138904.41</v>
      </c>
      <c r="J4165" s="2">
        <v>120489.83</v>
      </c>
      <c r="K4165" s="2">
        <f>Table1[[#This Row],[Salary_after]]-Table1[[#This Row],[Salary_before]]</f>
        <v>-18414.580000000002</v>
      </c>
      <c r="L4165" s="11">
        <v>-0.1326</v>
      </c>
      <c r="M4165" s="11">
        <v>-1.3000000000000001E-2</v>
      </c>
      <c r="N4165">
        <v>74.73</v>
      </c>
      <c r="O4165">
        <v>67.34</v>
      </c>
      <c r="P4165">
        <v>1</v>
      </c>
      <c r="Q4165" t="s">
        <v>21</v>
      </c>
      <c r="R4165">
        <v>40.914999999999999</v>
      </c>
      <c r="S4165">
        <v>13.26</v>
      </c>
      <c r="T4165" s="4">
        <v>29.899000000000001</v>
      </c>
      <c r="U4165" s="4">
        <v>9.2390480000000004</v>
      </c>
      <c r="V4165" t="str">
        <f>IF(Table1[[#This Row],[ai_disruption_intensity]]&gt;70,"High",
IF(Table1[[#This Row],[ai_disruption_intensity]]&gt;40,"Medium","Low"))</f>
        <v>Low</v>
      </c>
      <c r="W4165" t="str">
        <f>IF(Table1[[#This Row],[skill_gap_index]]&gt;70,"Large Gap",
IF(Table1[[#This Row],[skill_gap_index]]&gt;40,"Medium Gap","Small Gap"))</f>
        <v>Medium Gap</v>
      </c>
      <c r="X4165" s="3" t="str">
        <f>IF(Table1[[#This Row],[automation_risk_percent]]&gt;0.7,"Highly Automatable",
IF(Table1[[#This Row],[automation_risk_percent]]&gt;0.4,"Moderate Risk","Safe Job"))</f>
        <v>Safe Job</v>
      </c>
    </row>
    <row r="4166" spans="1:24" x14ac:dyDescent="0.3">
      <c r="A4166">
        <v>14490</v>
      </c>
      <c r="B4166" t="s">
        <v>39</v>
      </c>
      <c r="C4166" t="s">
        <v>38</v>
      </c>
      <c r="D4166" t="s">
        <v>35</v>
      </c>
      <c r="E4166" s="1">
        <v>2026</v>
      </c>
      <c r="F4166" s="11">
        <v>0.27729999999999999</v>
      </c>
      <c r="G4166">
        <v>30.46</v>
      </c>
      <c r="H4166">
        <v>63.35</v>
      </c>
      <c r="I4166" s="2">
        <v>51561.78</v>
      </c>
      <c r="J4166" s="2">
        <v>50858.74</v>
      </c>
      <c r="K4166" s="2">
        <f>Table1[[#This Row],[Salary_after]]-Table1[[#This Row],[Salary_before]]</f>
        <v>-703.04000000000087</v>
      </c>
      <c r="L4166" s="11">
        <v>-1.3600000000000001E-2</v>
      </c>
      <c r="M4166" s="11">
        <v>5.7300000000000004E-2</v>
      </c>
      <c r="N4166">
        <v>56.7</v>
      </c>
      <c r="O4166">
        <v>11.89</v>
      </c>
      <c r="P4166">
        <v>3</v>
      </c>
      <c r="Q4166" t="s">
        <v>21</v>
      </c>
      <c r="R4166">
        <v>45.54</v>
      </c>
      <c r="S4166">
        <v>1.36</v>
      </c>
      <c r="T4166" s="4">
        <v>30.504999999999999</v>
      </c>
      <c r="U4166" s="4">
        <v>3.2970969999999999</v>
      </c>
      <c r="V4166" t="str">
        <f>IF(Table1[[#This Row],[ai_disruption_intensity]]&gt;70,"High",
IF(Table1[[#This Row],[ai_disruption_intensity]]&gt;40,"Medium","Low"))</f>
        <v>Low</v>
      </c>
      <c r="W4166" t="str">
        <f>IF(Table1[[#This Row],[skill_gap_index]]&gt;70,"Large Gap",
IF(Table1[[#This Row],[skill_gap_index]]&gt;40,"Medium Gap","Small Gap"))</f>
        <v>Medium Gap</v>
      </c>
      <c r="X4166" s="3" t="str">
        <f>IF(Table1[[#This Row],[automation_risk_percent]]&gt;0.7,"Highly Automatable",
IF(Table1[[#This Row],[automation_risk_percent]]&gt;0.4,"Moderate Risk","Safe Job"))</f>
        <v>Safe Job</v>
      </c>
    </row>
    <row r="4167" spans="1:24" x14ac:dyDescent="0.3">
      <c r="A4167">
        <v>14492</v>
      </c>
      <c r="B4167" t="s">
        <v>22</v>
      </c>
      <c r="C4167" t="s">
        <v>33</v>
      </c>
      <c r="D4167" t="s">
        <v>35</v>
      </c>
      <c r="E4167" s="1">
        <v>2025</v>
      </c>
      <c r="F4167" s="11">
        <v>0.28820000000000001</v>
      </c>
      <c r="G4167">
        <v>34.36</v>
      </c>
      <c r="H4167">
        <v>24.38</v>
      </c>
      <c r="I4167" s="2">
        <v>111206.29</v>
      </c>
      <c r="J4167" s="2">
        <v>107915.67</v>
      </c>
      <c r="K4167" s="2">
        <f>Table1[[#This Row],[Salary_after]]-Table1[[#This Row],[Salary_before]]</f>
        <v>-3290.6199999999953</v>
      </c>
      <c r="L4167" s="11">
        <v>-2.9600000000000001E-2</v>
      </c>
      <c r="M4167" s="11">
        <v>3.2899999999999999E-2</v>
      </c>
      <c r="N4167">
        <v>15.66</v>
      </c>
      <c r="O4167">
        <v>92.61</v>
      </c>
      <c r="P4167">
        <v>3</v>
      </c>
      <c r="Q4167" t="s">
        <v>21</v>
      </c>
      <c r="R4167">
        <v>26.6</v>
      </c>
      <c r="S4167">
        <v>2.96</v>
      </c>
      <c r="T4167" s="4">
        <v>19.73</v>
      </c>
      <c r="U4167" s="4">
        <v>26.690201999999999</v>
      </c>
      <c r="V4167" t="str">
        <f>IF(Table1[[#This Row],[ai_disruption_intensity]]&gt;70,"High",
IF(Table1[[#This Row],[ai_disruption_intensity]]&gt;40,"Medium","Low"))</f>
        <v>Low</v>
      </c>
      <c r="W4167" t="str">
        <f>IF(Table1[[#This Row],[skill_gap_index]]&gt;70,"Large Gap",
IF(Table1[[#This Row],[skill_gap_index]]&gt;40,"Medium Gap","Small Gap"))</f>
        <v>Small Gap</v>
      </c>
      <c r="X4167" s="3" t="str">
        <f>IF(Table1[[#This Row],[automation_risk_percent]]&gt;0.7,"Highly Automatable",
IF(Table1[[#This Row],[automation_risk_percent]]&gt;0.4,"Moderate Risk","Safe Job"))</f>
        <v>Safe Job</v>
      </c>
    </row>
    <row r="4168" spans="1:24" x14ac:dyDescent="0.3">
      <c r="A4168">
        <v>14496</v>
      </c>
      <c r="B4168" t="s">
        <v>18</v>
      </c>
      <c r="C4168" t="s">
        <v>33</v>
      </c>
      <c r="D4168" t="s">
        <v>35</v>
      </c>
      <c r="E4168" s="1">
        <v>2026</v>
      </c>
      <c r="F4168" s="11">
        <v>0.29799999999999999</v>
      </c>
      <c r="G4168">
        <v>35.270000000000003</v>
      </c>
      <c r="H4168">
        <v>65.05</v>
      </c>
      <c r="I4168" s="2">
        <v>101299.45</v>
      </c>
      <c r="J4168" s="2">
        <v>90081.69</v>
      </c>
      <c r="K4168" s="2">
        <f>Table1[[#This Row],[Salary_after]]-Table1[[#This Row],[Salary_before]]</f>
        <v>-11217.759999999995</v>
      </c>
      <c r="L4168" s="11">
        <v>-0.11070000000000001</v>
      </c>
      <c r="M4168" s="11">
        <v>-8.6099999999999996E-2</v>
      </c>
      <c r="N4168">
        <v>35.119999999999997</v>
      </c>
      <c r="O4168">
        <v>15.67</v>
      </c>
      <c r="P4168">
        <v>4</v>
      </c>
      <c r="Q4168" t="s">
        <v>21</v>
      </c>
      <c r="R4168">
        <v>47.424999999999997</v>
      </c>
      <c r="S4168">
        <v>11.07</v>
      </c>
      <c r="T4168" s="4">
        <v>34.756</v>
      </c>
      <c r="U4168" s="4">
        <v>4.6696600000000004</v>
      </c>
      <c r="V4168" t="str">
        <f>IF(Table1[[#This Row],[ai_disruption_intensity]]&gt;70,"High",
IF(Table1[[#This Row],[ai_disruption_intensity]]&gt;40,"Medium","Low"))</f>
        <v>Low</v>
      </c>
      <c r="W4168" t="str">
        <f>IF(Table1[[#This Row],[skill_gap_index]]&gt;70,"Large Gap",
IF(Table1[[#This Row],[skill_gap_index]]&gt;40,"Medium Gap","Small Gap"))</f>
        <v>Medium Gap</v>
      </c>
      <c r="X4168" s="3" t="str">
        <f>IF(Table1[[#This Row],[automation_risk_percent]]&gt;0.7,"Highly Automatable",
IF(Table1[[#This Row],[automation_risk_percent]]&gt;0.4,"Moderate Risk","Safe Job"))</f>
        <v>Safe Job</v>
      </c>
    </row>
    <row r="4169" spans="1:24" x14ac:dyDescent="0.3">
      <c r="A4169">
        <v>14501</v>
      </c>
      <c r="B4169" t="s">
        <v>45</v>
      </c>
      <c r="C4169" t="s">
        <v>33</v>
      </c>
      <c r="D4169" t="s">
        <v>42</v>
      </c>
      <c r="E4169" s="1">
        <v>2026</v>
      </c>
      <c r="F4169" s="11">
        <v>0.2</v>
      </c>
      <c r="G4169">
        <v>22.07</v>
      </c>
      <c r="H4169">
        <v>37.46</v>
      </c>
      <c r="I4169" s="2">
        <v>42402.89</v>
      </c>
      <c r="J4169" s="2">
        <v>40727.040000000001</v>
      </c>
      <c r="K4169" s="2">
        <f>Table1[[#This Row],[Salary_after]]-Table1[[#This Row],[Salary_before]]</f>
        <v>-1675.8499999999985</v>
      </c>
      <c r="L4169" s="11">
        <v>-3.95E-2</v>
      </c>
      <c r="M4169" s="11">
        <v>6.8000000000000005E-2</v>
      </c>
      <c r="N4169">
        <v>44.32</v>
      </c>
      <c r="O4169">
        <v>85.98</v>
      </c>
      <c r="P4169">
        <v>2</v>
      </c>
      <c r="Q4169" t="s">
        <v>21</v>
      </c>
      <c r="R4169">
        <v>28.73</v>
      </c>
      <c r="S4169">
        <v>3.95</v>
      </c>
      <c r="T4169" s="4">
        <v>20.422999999999998</v>
      </c>
      <c r="U4169" s="4">
        <v>17.196000000000002</v>
      </c>
      <c r="V4169" t="str">
        <f>IF(Table1[[#This Row],[ai_disruption_intensity]]&gt;70,"High",
IF(Table1[[#This Row],[ai_disruption_intensity]]&gt;40,"Medium","Low"))</f>
        <v>Low</v>
      </c>
      <c r="W4169" t="str">
        <f>IF(Table1[[#This Row],[skill_gap_index]]&gt;70,"Large Gap",
IF(Table1[[#This Row],[skill_gap_index]]&gt;40,"Medium Gap","Small Gap"))</f>
        <v>Small Gap</v>
      </c>
      <c r="X4169" s="3" t="str">
        <f>IF(Table1[[#This Row],[automation_risk_percent]]&gt;0.7,"Highly Automatable",
IF(Table1[[#This Row],[automation_risk_percent]]&gt;0.4,"Moderate Risk","Safe Job"))</f>
        <v>Safe Job</v>
      </c>
    </row>
    <row r="4170" spans="1:24" x14ac:dyDescent="0.3">
      <c r="A4170">
        <v>14503</v>
      </c>
      <c r="B4170" t="s">
        <v>29</v>
      </c>
      <c r="C4170" t="s">
        <v>33</v>
      </c>
      <c r="D4170" t="s">
        <v>28</v>
      </c>
      <c r="E4170" s="1">
        <v>2025</v>
      </c>
      <c r="F4170" s="11">
        <v>0.39020000000000005</v>
      </c>
      <c r="G4170">
        <v>42.54</v>
      </c>
      <c r="H4170">
        <v>17.03</v>
      </c>
      <c r="I4170" s="2">
        <v>49981.82</v>
      </c>
      <c r="J4170" s="2">
        <v>52343.34</v>
      </c>
      <c r="K4170" s="2">
        <f>Table1[[#This Row],[Salary_after]]-Table1[[#This Row],[Salary_before]]</f>
        <v>2361.5199999999968</v>
      </c>
      <c r="L4170" s="11">
        <v>4.7199999999999999E-2</v>
      </c>
      <c r="M4170" s="11">
        <v>0.2581</v>
      </c>
      <c r="N4170">
        <v>78.11</v>
      </c>
      <c r="O4170">
        <v>31.89</v>
      </c>
      <c r="P4170">
        <v>4</v>
      </c>
      <c r="Q4170" t="s">
        <v>25</v>
      </c>
      <c r="R4170">
        <v>28.024999999999999</v>
      </c>
      <c r="S4170">
        <v>4.72</v>
      </c>
      <c r="T4170" s="4">
        <v>22.132999999999999</v>
      </c>
      <c r="U4170" s="4">
        <v>12.443478000000001</v>
      </c>
      <c r="V4170" t="str">
        <f>IF(Table1[[#This Row],[ai_disruption_intensity]]&gt;70,"High",
IF(Table1[[#This Row],[ai_disruption_intensity]]&gt;40,"Medium","Low"))</f>
        <v>Low</v>
      </c>
      <c r="W4170" t="str">
        <f>IF(Table1[[#This Row],[skill_gap_index]]&gt;70,"Large Gap",
IF(Table1[[#This Row],[skill_gap_index]]&gt;40,"Medium Gap","Small Gap"))</f>
        <v>Small Gap</v>
      </c>
      <c r="X4170" s="3" t="str">
        <f>IF(Table1[[#This Row],[automation_risk_percent]]&gt;0.7,"Highly Automatable",
IF(Table1[[#This Row],[automation_risk_percent]]&gt;0.4,"Moderate Risk","Safe Job"))</f>
        <v>Safe Job</v>
      </c>
    </row>
    <row r="4171" spans="1:24" x14ac:dyDescent="0.3">
      <c r="A4171">
        <v>14506</v>
      </c>
      <c r="B4171" t="s">
        <v>18</v>
      </c>
      <c r="C4171" t="s">
        <v>23</v>
      </c>
      <c r="D4171" t="s">
        <v>28</v>
      </c>
      <c r="E4171" s="1">
        <v>2025</v>
      </c>
      <c r="F4171" s="11">
        <v>0.24160000000000001</v>
      </c>
      <c r="G4171">
        <v>24.45</v>
      </c>
      <c r="H4171">
        <v>41.16</v>
      </c>
      <c r="I4171" s="2">
        <v>77263.67</v>
      </c>
      <c r="J4171" s="2">
        <v>80786.37</v>
      </c>
      <c r="K4171" s="2">
        <f>Table1[[#This Row],[Salary_after]]-Table1[[#This Row],[Salary_before]]</f>
        <v>3522.6999999999971</v>
      </c>
      <c r="L4171" s="11">
        <v>4.5599999999999995E-2</v>
      </c>
      <c r="M4171" s="11">
        <v>-4.6900000000000004E-2</v>
      </c>
      <c r="N4171">
        <v>16.32</v>
      </c>
      <c r="O4171">
        <v>93.39</v>
      </c>
      <c r="P4171">
        <v>4</v>
      </c>
      <c r="Q4171" t="s">
        <v>21</v>
      </c>
      <c r="R4171">
        <v>32.659999999999997</v>
      </c>
      <c r="S4171">
        <v>4.5599999999999996</v>
      </c>
      <c r="T4171" s="4">
        <v>23.38</v>
      </c>
      <c r="U4171" s="4">
        <v>22.563023999999999</v>
      </c>
      <c r="V4171" t="str">
        <f>IF(Table1[[#This Row],[ai_disruption_intensity]]&gt;70,"High",
IF(Table1[[#This Row],[ai_disruption_intensity]]&gt;40,"Medium","Low"))</f>
        <v>Low</v>
      </c>
      <c r="W4171" t="str">
        <f>IF(Table1[[#This Row],[skill_gap_index]]&gt;70,"Large Gap",
IF(Table1[[#This Row],[skill_gap_index]]&gt;40,"Medium Gap","Small Gap"))</f>
        <v>Medium Gap</v>
      </c>
      <c r="X4171" s="3" t="str">
        <f>IF(Table1[[#This Row],[automation_risk_percent]]&gt;0.7,"Highly Automatable",
IF(Table1[[#This Row],[automation_risk_percent]]&gt;0.4,"Moderate Risk","Safe Job"))</f>
        <v>Safe Job</v>
      </c>
    </row>
    <row r="4172" spans="1:24" x14ac:dyDescent="0.3">
      <c r="A4172">
        <v>14507</v>
      </c>
      <c r="B4172" t="s">
        <v>46</v>
      </c>
      <c r="C4172" t="s">
        <v>30</v>
      </c>
      <c r="D4172" t="s">
        <v>47</v>
      </c>
      <c r="E4172" s="1">
        <v>2025</v>
      </c>
      <c r="F4172" s="11">
        <v>0.05</v>
      </c>
      <c r="G4172">
        <v>4.82</v>
      </c>
      <c r="H4172">
        <v>28.68</v>
      </c>
      <c r="I4172" s="2">
        <v>96203.86</v>
      </c>
      <c r="J4172" s="2">
        <v>95696.27</v>
      </c>
      <c r="K4172" s="2">
        <f>Table1[[#This Row],[Salary_after]]-Table1[[#This Row],[Salary_before]]</f>
        <v>-507.58999999999651</v>
      </c>
      <c r="L4172" s="11">
        <v>-5.3E-3</v>
      </c>
      <c r="M4172" s="11">
        <v>8.8999999999999999E-3</v>
      </c>
      <c r="N4172">
        <v>77.83</v>
      </c>
      <c r="O4172">
        <v>80.72</v>
      </c>
      <c r="P4172">
        <v>1</v>
      </c>
      <c r="Q4172" t="s">
        <v>21</v>
      </c>
      <c r="R4172">
        <v>16.84</v>
      </c>
      <c r="S4172">
        <v>0.53</v>
      </c>
      <c r="T4172" s="4">
        <v>10.763</v>
      </c>
      <c r="U4172" s="4">
        <v>4.0359999999999996</v>
      </c>
      <c r="V4172" t="str">
        <f>IF(Table1[[#This Row],[ai_disruption_intensity]]&gt;70,"High",
IF(Table1[[#This Row],[ai_disruption_intensity]]&gt;40,"Medium","Low"))</f>
        <v>Low</v>
      </c>
      <c r="W4172" t="str">
        <f>IF(Table1[[#This Row],[skill_gap_index]]&gt;70,"Large Gap",
IF(Table1[[#This Row],[skill_gap_index]]&gt;40,"Medium Gap","Small Gap"))</f>
        <v>Small Gap</v>
      </c>
      <c r="X4172" s="3" t="str">
        <f>IF(Table1[[#This Row],[automation_risk_percent]]&gt;0.7,"Highly Automatable",
IF(Table1[[#This Row],[automation_risk_percent]]&gt;0.4,"Moderate Risk","Safe Job"))</f>
        <v>Safe Job</v>
      </c>
    </row>
    <row r="4173" spans="1:24" x14ac:dyDescent="0.3">
      <c r="A4173">
        <v>14509</v>
      </c>
      <c r="B4173" t="s">
        <v>18</v>
      </c>
      <c r="C4173" t="s">
        <v>30</v>
      </c>
      <c r="D4173" t="s">
        <v>35</v>
      </c>
      <c r="E4173" s="1">
        <v>2025</v>
      </c>
      <c r="F4173" s="11">
        <v>0.32490000000000002</v>
      </c>
      <c r="G4173">
        <v>37.590000000000003</v>
      </c>
      <c r="H4173">
        <v>67.150000000000006</v>
      </c>
      <c r="I4173" s="2">
        <v>101524.3</v>
      </c>
      <c r="J4173" s="2">
        <v>97538.559999999998</v>
      </c>
      <c r="K4173" s="2">
        <f>Table1[[#This Row],[Salary_after]]-Table1[[#This Row],[Salary_before]]</f>
        <v>-3985.7400000000052</v>
      </c>
      <c r="L4173" s="11">
        <v>-3.9300000000000002E-2</v>
      </c>
      <c r="M4173" s="11">
        <v>-3.9300000000000002E-2</v>
      </c>
      <c r="N4173">
        <v>39.08</v>
      </c>
      <c r="O4173">
        <v>2.59</v>
      </c>
      <c r="P4173">
        <v>4</v>
      </c>
      <c r="Q4173" t="s">
        <v>25</v>
      </c>
      <c r="R4173">
        <v>49.82</v>
      </c>
      <c r="S4173">
        <v>3.93</v>
      </c>
      <c r="T4173" s="4">
        <v>34.32</v>
      </c>
      <c r="U4173" s="4">
        <v>0.84149099999999999</v>
      </c>
      <c r="V4173" t="str">
        <f>IF(Table1[[#This Row],[ai_disruption_intensity]]&gt;70,"High",
IF(Table1[[#This Row],[ai_disruption_intensity]]&gt;40,"Medium","Low"))</f>
        <v>Low</v>
      </c>
      <c r="W4173" t="str">
        <f>IF(Table1[[#This Row],[skill_gap_index]]&gt;70,"Large Gap",
IF(Table1[[#This Row],[skill_gap_index]]&gt;40,"Medium Gap","Small Gap"))</f>
        <v>Medium Gap</v>
      </c>
      <c r="X4173" s="3" t="str">
        <f>IF(Table1[[#This Row],[automation_risk_percent]]&gt;0.7,"Highly Automatable",
IF(Table1[[#This Row],[automation_risk_percent]]&gt;0.4,"Moderate Risk","Safe Job"))</f>
        <v>Safe Job</v>
      </c>
    </row>
    <row r="4174" spans="1:24" x14ac:dyDescent="0.3">
      <c r="A4174">
        <v>14515</v>
      </c>
      <c r="B4174" t="s">
        <v>44</v>
      </c>
      <c r="C4174" t="s">
        <v>33</v>
      </c>
      <c r="D4174" t="s">
        <v>31</v>
      </c>
      <c r="E4174" s="1">
        <v>2026</v>
      </c>
      <c r="F4174" s="11">
        <v>0.26039999999999996</v>
      </c>
      <c r="G4174">
        <v>25.59</v>
      </c>
      <c r="H4174">
        <v>51.1</v>
      </c>
      <c r="I4174" s="2">
        <v>70629.789999999994</v>
      </c>
      <c r="J4174" s="2">
        <v>68697</v>
      </c>
      <c r="K4174" s="2">
        <f>Table1[[#This Row],[Salary_after]]-Table1[[#This Row],[Salary_before]]</f>
        <v>-1932.7899999999936</v>
      </c>
      <c r="L4174" s="11">
        <v>-2.7400000000000001E-2</v>
      </c>
      <c r="M4174" s="11">
        <v>0.14760000000000001</v>
      </c>
      <c r="N4174">
        <v>73.38</v>
      </c>
      <c r="O4174">
        <v>83.39</v>
      </c>
      <c r="P4174">
        <v>4</v>
      </c>
      <c r="Q4174" t="s">
        <v>21</v>
      </c>
      <c r="R4174">
        <v>38.57</v>
      </c>
      <c r="S4174">
        <v>2.74</v>
      </c>
      <c r="T4174" s="4">
        <v>26.568000000000001</v>
      </c>
      <c r="U4174" s="4">
        <v>21.714755999999898</v>
      </c>
      <c r="V4174" t="str">
        <f>IF(Table1[[#This Row],[ai_disruption_intensity]]&gt;70,"High",
IF(Table1[[#This Row],[ai_disruption_intensity]]&gt;40,"Medium","Low"))</f>
        <v>Low</v>
      </c>
      <c r="W4174" t="str">
        <f>IF(Table1[[#This Row],[skill_gap_index]]&gt;70,"Large Gap",
IF(Table1[[#This Row],[skill_gap_index]]&gt;40,"Medium Gap","Small Gap"))</f>
        <v>Medium Gap</v>
      </c>
      <c r="X4174" s="3" t="str">
        <f>IF(Table1[[#This Row],[automation_risk_percent]]&gt;0.7,"Highly Automatable",
IF(Table1[[#This Row],[automation_risk_percent]]&gt;0.4,"Moderate Risk","Safe Job"))</f>
        <v>Safe Job</v>
      </c>
    </row>
    <row r="4175" spans="1:24" x14ac:dyDescent="0.3">
      <c r="A4175">
        <v>14517</v>
      </c>
      <c r="B4175" t="s">
        <v>29</v>
      </c>
      <c r="C4175" t="s">
        <v>34</v>
      </c>
      <c r="D4175" t="s">
        <v>32</v>
      </c>
      <c r="E4175" s="1">
        <v>2025</v>
      </c>
      <c r="F4175" s="11">
        <v>0.28470000000000001</v>
      </c>
      <c r="G4175">
        <v>29.07</v>
      </c>
      <c r="H4175">
        <v>2.25</v>
      </c>
      <c r="I4175" s="2">
        <v>139519.89000000001</v>
      </c>
      <c r="J4175" s="2">
        <v>149970.22</v>
      </c>
      <c r="K4175" s="2">
        <f>Table1[[#This Row],[Salary_after]]-Table1[[#This Row],[Salary_before]]</f>
        <v>10450.329999999987</v>
      </c>
      <c r="L4175" s="11">
        <v>7.4900000000000008E-2</v>
      </c>
      <c r="M4175" s="11">
        <v>-7.6200000000000004E-2</v>
      </c>
      <c r="N4175">
        <v>60.43</v>
      </c>
      <c r="O4175">
        <v>61.67</v>
      </c>
      <c r="P4175">
        <v>3</v>
      </c>
      <c r="Q4175" t="s">
        <v>21</v>
      </c>
      <c r="R4175">
        <v>15.36</v>
      </c>
      <c r="S4175">
        <v>7.49</v>
      </c>
      <c r="T4175" s="4">
        <v>14.31</v>
      </c>
      <c r="U4175" s="4">
        <v>17.557448999999998</v>
      </c>
      <c r="V4175" t="str">
        <f>IF(Table1[[#This Row],[ai_disruption_intensity]]&gt;70,"High",
IF(Table1[[#This Row],[ai_disruption_intensity]]&gt;40,"Medium","Low"))</f>
        <v>Low</v>
      </c>
      <c r="W4175" t="str">
        <f>IF(Table1[[#This Row],[skill_gap_index]]&gt;70,"Large Gap",
IF(Table1[[#This Row],[skill_gap_index]]&gt;40,"Medium Gap","Small Gap"))</f>
        <v>Small Gap</v>
      </c>
      <c r="X4175" s="3" t="str">
        <f>IF(Table1[[#This Row],[automation_risk_percent]]&gt;0.7,"Highly Automatable",
IF(Table1[[#This Row],[automation_risk_percent]]&gt;0.4,"Moderate Risk","Safe Job"))</f>
        <v>Safe Job</v>
      </c>
    </row>
    <row r="4176" spans="1:24" x14ac:dyDescent="0.3">
      <c r="A4176">
        <v>14526</v>
      </c>
      <c r="B4176" t="s">
        <v>18</v>
      </c>
      <c r="C4176" t="s">
        <v>23</v>
      </c>
      <c r="D4176" t="s">
        <v>28</v>
      </c>
      <c r="E4176" s="1">
        <v>2026</v>
      </c>
      <c r="F4176" s="11">
        <v>0.42499999999999999</v>
      </c>
      <c r="G4176">
        <v>37.58</v>
      </c>
      <c r="H4176">
        <v>84.22</v>
      </c>
      <c r="I4176" s="2">
        <v>107909.77</v>
      </c>
      <c r="J4176" s="2">
        <v>117323.22</v>
      </c>
      <c r="K4176" s="2">
        <f>Table1[[#This Row],[Salary_after]]-Table1[[#This Row],[Salary_before]]</f>
        <v>9413.4499999999971</v>
      </c>
      <c r="L4176" s="11">
        <v>8.72E-2</v>
      </c>
      <c r="M4176" s="11">
        <v>1.44E-2</v>
      </c>
      <c r="N4176">
        <v>83.63</v>
      </c>
      <c r="O4176">
        <v>0.06</v>
      </c>
      <c r="P4176">
        <v>1</v>
      </c>
      <c r="Q4176" t="s">
        <v>25</v>
      </c>
      <c r="R4176">
        <v>63.36</v>
      </c>
      <c r="S4176">
        <v>8.7200000000000006</v>
      </c>
      <c r="T4176" s="4">
        <v>44.881999999999998</v>
      </c>
      <c r="U4176" s="4">
        <v>2.5499999999999998E-2</v>
      </c>
      <c r="V4176" t="str">
        <f>IF(Table1[[#This Row],[ai_disruption_intensity]]&gt;70,"High",
IF(Table1[[#This Row],[ai_disruption_intensity]]&gt;40,"Medium","Low"))</f>
        <v>Low</v>
      </c>
      <c r="W4176" t="str">
        <f>IF(Table1[[#This Row],[skill_gap_index]]&gt;70,"Large Gap",
IF(Table1[[#This Row],[skill_gap_index]]&gt;40,"Medium Gap","Small Gap"))</f>
        <v>Large Gap</v>
      </c>
      <c r="X4176" s="3" t="str">
        <f>IF(Table1[[#This Row],[automation_risk_percent]]&gt;0.7,"Highly Automatable",
IF(Table1[[#This Row],[automation_risk_percent]]&gt;0.4,"Moderate Risk","Safe Job"))</f>
        <v>Moderate Risk</v>
      </c>
    </row>
    <row r="4177" spans="1:24" x14ac:dyDescent="0.3">
      <c r="A4177">
        <v>14531</v>
      </c>
      <c r="B4177" t="s">
        <v>39</v>
      </c>
      <c r="C4177" t="s">
        <v>33</v>
      </c>
      <c r="D4177" t="s">
        <v>24</v>
      </c>
      <c r="E4177" s="1">
        <v>2026</v>
      </c>
      <c r="F4177" s="11">
        <v>0.61499999999999999</v>
      </c>
      <c r="G4177">
        <v>68.27</v>
      </c>
      <c r="H4177">
        <v>19.77</v>
      </c>
      <c r="I4177" s="2">
        <v>69280.960000000006</v>
      </c>
      <c r="J4177" s="2">
        <v>68260.83</v>
      </c>
      <c r="K4177" s="2">
        <f>Table1[[#This Row],[Salary_after]]-Table1[[#This Row],[Salary_before]]</f>
        <v>-1020.1300000000047</v>
      </c>
      <c r="L4177" s="11">
        <v>-1.47E-2</v>
      </c>
      <c r="M4177" s="11">
        <v>5.1299999999999998E-2</v>
      </c>
      <c r="N4177">
        <v>27.85</v>
      </c>
      <c r="O4177">
        <v>95.7</v>
      </c>
      <c r="P4177">
        <v>4</v>
      </c>
      <c r="Q4177" t="s">
        <v>37</v>
      </c>
      <c r="R4177">
        <v>40.634999999999998</v>
      </c>
      <c r="S4177">
        <v>1.47</v>
      </c>
      <c r="T4177" s="4">
        <v>30.972000000000001</v>
      </c>
      <c r="U4177" s="4">
        <v>58.855499999999999</v>
      </c>
      <c r="V4177" t="str">
        <f>IF(Table1[[#This Row],[ai_disruption_intensity]]&gt;70,"High",
IF(Table1[[#This Row],[ai_disruption_intensity]]&gt;40,"Medium","Low"))</f>
        <v>Medium</v>
      </c>
      <c r="W4177" t="str">
        <f>IF(Table1[[#This Row],[skill_gap_index]]&gt;70,"Large Gap",
IF(Table1[[#This Row],[skill_gap_index]]&gt;40,"Medium Gap","Small Gap"))</f>
        <v>Small Gap</v>
      </c>
      <c r="X4177" s="3" t="str">
        <f>IF(Table1[[#This Row],[automation_risk_percent]]&gt;0.7,"Highly Automatable",
IF(Table1[[#This Row],[automation_risk_percent]]&gt;0.4,"Moderate Risk","Safe Job"))</f>
        <v>Moderate Risk</v>
      </c>
    </row>
    <row r="4178" spans="1:24" x14ac:dyDescent="0.3">
      <c r="A4178">
        <v>14532</v>
      </c>
      <c r="B4178" t="s">
        <v>22</v>
      </c>
      <c r="C4178" t="s">
        <v>34</v>
      </c>
      <c r="D4178" t="s">
        <v>36</v>
      </c>
      <c r="E4178" s="1">
        <v>2025</v>
      </c>
      <c r="F4178" s="11">
        <v>0.35009999999999997</v>
      </c>
      <c r="G4178">
        <v>38.450000000000003</v>
      </c>
      <c r="H4178">
        <v>47.23</v>
      </c>
      <c r="I4178" s="2">
        <v>149894</v>
      </c>
      <c r="J4178" s="2">
        <v>145555.60999999999</v>
      </c>
      <c r="K4178" s="2">
        <f>Table1[[#This Row],[Salary_after]]-Table1[[#This Row],[Salary_before]]</f>
        <v>-4338.390000000014</v>
      </c>
      <c r="L4178" s="11">
        <v>-2.8900000000000002E-2</v>
      </c>
      <c r="M4178" s="11">
        <v>0.1045</v>
      </c>
      <c r="N4178">
        <v>82.24</v>
      </c>
      <c r="O4178">
        <v>55.23</v>
      </c>
      <c r="P4178">
        <v>1</v>
      </c>
      <c r="Q4178" t="s">
        <v>25</v>
      </c>
      <c r="R4178">
        <v>41.12</v>
      </c>
      <c r="S4178">
        <v>2.89</v>
      </c>
      <c r="T4178" s="4">
        <v>29.04</v>
      </c>
      <c r="U4178" s="4">
        <v>19.336022999999901</v>
      </c>
      <c r="V4178" t="str">
        <f>IF(Table1[[#This Row],[ai_disruption_intensity]]&gt;70,"High",
IF(Table1[[#This Row],[ai_disruption_intensity]]&gt;40,"Medium","Low"))</f>
        <v>Low</v>
      </c>
      <c r="W4178" t="str">
        <f>IF(Table1[[#This Row],[skill_gap_index]]&gt;70,"Large Gap",
IF(Table1[[#This Row],[skill_gap_index]]&gt;40,"Medium Gap","Small Gap"))</f>
        <v>Medium Gap</v>
      </c>
      <c r="X4178" s="3" t="str">
        <f>IF(Table1[[#This Row],[automation_risk_percent]]&gt;0.7,"Highly Automatable",
IF(Table1[[#This Row],[automation_risk_percent]]&gt;0.4,"Moderate Risk","Safe Job"))</f>
        <v>Safe Job</v>
      </c>
    </row>
    <row r="4179" spans="1:24" x14ac:dyDescent="0.3">
      <c r="A4179">
        <v>14536</v>
      </c>
      <c r="B4179" t="s">
        <v>26</v>
      </c>
      <c r="C4179" t="s">
        <v>27</v>
      </c>
      <c r="D4179" t="s">
        <v>31</v>
      </c>
      <c r="E4179" s="1">
        <v>2026</v>
      </c>
      <c r="F4179" s="11">
        <v>5.0599999999999999E-2</v>
      </c>
      <c r="G4179">
        <v>4.6500000000000004</v>
      </c>
      <c r="H4179">
        <v>92.18</v>
      </c>
      <c r="I4179" s="2">
        <v>125490.1</v>
      </c>
      <c r="J4179" s="2">
        <v>119765.04</v>
      </c>
      <c r="K4179" s="2">
        <f>Table1[[#This Row],[Salary_after]]-Table1[[#This Row],[Salary_before]]</f>
        <v>-5725.0600000000122</v>
      </c>
      <c r="L4179" s="11">
        <v>-4.5599999999999995E-2</v>
      </c>
      <c r="M4179" s="11">
        <v>-2.5899999999999999E-2</v>
      </c>
      <c r="N4179">
        <v>77.239999999999995</v>
      </c>
      <c r="O4179">
        <v>85.79</v>
      </c>
      <c r="P4179">
        <v>5</v>
      </c>
      <c r="Q4179" t="s">
        <v>21</v>
      </c>
      <c r="R4179">
        <v>48.62</v>
      </c>
      <c r="S4179">
        <v>4.5599999999999996</v>
      </c>
      <c r="T4179" s="4">
        <v>31.045999999999999</v>
      </c>
      <c r="U4179" s="4">
        <v>4.3409740000000001</v>
      </c>
      <c r="V4179" t="str">
        <f>IF(Table1[[#This Row],[ai_disruption_intensity]]&gt;70,"High",
IF(Table1[[#This Row],[ai_disruption_intensity]]&gt;40,"Medium","Low"))</f>
        <v>Low</v>
      </c>
      <c r="W4179" t="str">
        <f>IF(Table1[[#This Row],[skill_gap_index]]&gt;70,"Large Gap",
IF(Table1[[#This Row],[skill_gap_index]]&gt;40,"Medium Gap","Small Gap"))</f>
        <v>Large Gap</v>
      </c>
      <c r="X4179" s="3" t="str">
        <f>IF(Table1[[#This Row],[automation_risk_percent]]&gt;0.7,"Highly Automatable",
IF(Table1[[#This Row],[automation_risk_percent]]&gt;0.4,"Moderate Risk","Safe Job"))</f>
        <v>Safe Job</v>
      </c>
    </row>
    <row r="4180" spans="1:24" x14ac:dyDescent="0.3">
      <c r="A4180">
        <v>14544</v>
      </c>
      <c r="B4180" t="s">
        <v>43</v>
      </c>
      <c r="C4180" t="s">
        <v>19</v>
      </c>
      <c r="D4180" t="s">
        <v>35</v>
      </c>
      <c r="E4180" s="1">
        <v>2025</v>
      </c>
      <c r="F4180" s="11">
        <v>0.33779999999999999</v>
      </c>
      <c r="G4180">
        <v>29.99</v>
      </c>
      <c r="H4180">
        <v>71.45</v>
      </c>
      <c r="I4180" s="2">
        <v>137229.23000000001</v>
      </c>
      <c r="J4180" s="2">
        <v>158918.54999999999</v>
      </c>
      <c r="K4180" s="2">
        <f>Table1[[#This Row],[Salary_after]]-Table1[[#This Row],[Salary_before]]</f>
        <v>21689.319999999978</v>
      </c>
      <c r="L4180" s="11">
        <v>0.15810000000000002</v>
      </c>
      <c r="M4180" s="11">
        <v>-1.7000000000000001E-2</v>
      </c>
      <c r="N4180">
        <v>54.01</v>
      </c>
      <c r="O4180">
        <v>12.83</v>
      </c>
      <c r="P4180">
        <v>1</v>
      </c>
      <c r="Q4180" t="s">
        <v>25</v>
      </c>
      <c r="R4180">
        <v>52.615000000000002</v>
      </c>
      <c r="S4180">
        <v>15.81</v>
      </c>
      <c r="T4180" s="4">
        <v>39.69</v>
      </c>
      <c r="U4180" s="4">
        <v>4.3339740000000004</v>
      </c>
      <c r="V4180" t="str">
        <f>IF(Table1[[#This Row],[ai_disruption_intensity]]&gt;70,"High",
IF(Table1[[#This Row],[ai_disruption_intensity]]&gt;40,"Medium","Low"))</f>
        <v>Low</v>
      </c>
      <c r="W4180" t="str">
        <f>IF(Table1[[#This Row],[skill_gap_index]]&gt;70,"Large Gap",
IF(Table1[[#This Row],[skill_gap_index]]&gt;40,"Medium Gap","Small Gap"))</f>
        <v>Large Gap</v>
      </c>
      <c r="X4180" s="3" t="str">
        <f>IF(Table1[[#This Row],[automation_risk_percent]]&gt;0.7,"Highly Automatable",
IF(Table1[[#This Row],[automation_risk_percent]]&gt;0.4,"Moderate Risk","Safe Job"))</f>
        <v>Safe Job</v>
      </c>
    </row>
    <row r="4181" spans="1:24" x14ac:dyDescent="0.3">
      <c r="A4181">
        <v>14547</v>
      </c>
      <c r="B4181" t="s">
        <v>39</v>
      </c>
      <c r="C4181" t="s">
        <v>23</v>
      </c>
      <c r="D4181" t="s">
        <v>35</v>
      </c>
      <c r="E4181" s="1">
        <v>2026</v>
      </c>
      <c r="F4181" s="11">
        <v>0.42369999999999997</v>
      </c>
      <c r="G4181">
        <v>38.35</v>
      </c>
      <c r="H4181">
        <v>53.9</v>
      </c>
      <c r="I4181" s="2">
        <v>139086.71</v>
      </c>
      <c r="J4181" s="2">
        <v>143607.4</v>
      </c>
      <c r="K4181" s="2">
        <f>Table1[[#This Row],[Salary_after]]-Table1[[#This Row],[Salary_before]]</f>
        <v>4520.6900000000023</v>
      </c>
      <c r="L4181" s="11">
        <v>3.2500000000000001E-2</v>
      </c>
      <c r="M4181" s="11">
        <v>0.2011</v>
      </c>
      <c r="N4181">
        <v>75.67</v>
      </c>
      <c r="O4181">
        <v>78.89</v>
      </c>
      <c r="P4181">
        <v>5</v>
      </c>
      <c r="Q4181" t="s">
        <v>25</v>
      </c>
      <c r="R4181">
        <v>48.134999999999998</v>
      </c>
      <c r="S4181">
        <v>3.25</v>
      </c>
      <c r="T4181" s="4">
        <v>34.092999999999897</v>
      </c>
      <c r="U4181" s="4">
        <v>33.425692999999903</v>
      </c>
      <c r="V4181" t="str">
        <f>IF(Table1[[#This Row],[ai_disruption_intensity]]&gt;70,"High",
IF(Table1[[#This Row],[ai_disruption_intensity]]&gt;40,"Medium","Low"))</f>
        <v>Low</v>
      </c>
      <c r="W4181" t="str">
        <f>IF(Table1[[#This Row],[skill_gap_index]]&gt;70,"Large Gap",
IF(Table1[[#This Row],[skill_gap_index]]&gt;40,"Medium Gap","Small Gap"))</f>
        <v>Medium Gap</v>
      </c>
      <c r="X4181" s="3" t="str">
        <f>IF(Table1[[#This Row],[automation_risk_percent]]&gt;0.7,"Highly Automatable",
IF(Table1[[#This Row],[automation_risk_percent]]&gt;0.4,"Moderate Risk","Safe Job"))</f>
        <v>Moderate Risk</v>
      </c>
    </row>
    <row r="4182" spans="1:24" x14ac:dyDescent="0.3">
      <c r="A4182">
        <v>14554</v>
      </c>
      <c r="B4182" t="s">
        <v>41</v>
      </c>
      <c r="C4182" t="s">
        <v>27</v>
      </c>
      <c r="D4182" t="s">
        <v>24</v>
      </c>
      <c r="E4182" s="1">
        <v>2025</v>
      </c>
      <c r="F4182" s="11">
        <v>0.77280000000000004</v>
      </c>
      <c r="G4182">
        <v>67.03</v>
      </c>
      <c r="H4182">
        <v>99.09</v>
      </c>
      <c r="I4182" s="2">
        <v>72059.789999999994</v>
      </c>
      <c r="J4182" s="2">
        <v>64664.29</v>
      </c>
      <c r="K4182" s="2">
        <f>Table1[[#This Row],[Salary_after]]-Table1[[#This Row],[Salary_before]]</f>
        <v>-7395.4999999999927</v>
      </c>
      <c r="L4182" s="11">
        <v>-0.1026</v>
      </c>
      <c r="M4182" s="11">
        <v>-0.11199999999999999</v>
      </c>
      <c r="N4182">
        <v>85.3</v>
      </c>
      <c r="O4182">
        <v>22.03</v>
      </c>
      <c r="P4182">
        <v>4</v>
      </c>
      <c r="Q4182" t="s">
        <v>37</v>
      </c>
      <c r="R4182">
        <v>88.185000000000002</v>
      </c>
      <c r="S4182">
        <v>10.26</v>
      </c>
      <c r="T4182" s="4">
        <v>63.716999999999999</v>
      </c>
      <c r="U4182" s="4">
        <v>17.024784</v>
      </c>
      <c r="V4182" t="str">
        <f>IF(Table1[[#This Row],[ai_disruption_intensity]]&gt;70,"High",
IF(Table1[[#This Row],[ai_disruption_intensity]]&gt;40,"Medium","Low"))</f>
        <v>Low</v>
      </c>
      <c r="W4182" t="str">
        <f>IF(Table1[[#This Row],[skill_gap_index]]&gt;70,"Large Gap",
IF(Table1[[#This Row],[skill_gap_index]]&gt;40,"Medium Gap","Small Gap"))</f>
        <v>Large Gap</v>
      </c>
      <c r="X4182" s="3" t="str">
        <f>IF(Table1[[#This Row],[automation_risk_percent]]&gt;0.7,"Highly Automatable",
IF(Table1[[#This Row],[automation_risk_percent]]&gt;0.4,"Moderate Risk","Safe Job"))</f>
        <v>Highly Automatable</v>
      </c>
    </row>
    <row r="4183" spans="1:24" x14ac:dyDescent="0.3">
      <c r="A4183">
        <v>14556</v>
      </c>
      <c r="B4183" t="s">
        <v>29</v>
      </c>
      <c r="C4183" t="s">
        <v>23</v>
      </c>
      <c r="D4183" t="s">
        <v>32</v>
      </c>
      <c r="E4183" s="1">
        <v>2025</v>
      </c>
      <c r="F4183" s="11">
        <v>0.72489999999999999</v>
      </c>
      <c r="G4183">
        <v>78.680000000000007</v>
      </c>
      <c r="H4183">
        <v>21.82</v>
      </c>
      <c r="I4183" s="2">
        <v>53689.46</v>
      </c>
      <c r="J4183" s="2">
        <v>53159.76</v>
      </c>
      <c r="K4183" s="2">
        <f>Table1[[#This Row],[Salary_after]]-Table1[[#This Row],[Salary_before]]</f>
        <v>-529.69999999999709</v>
      </c>
      <c r="L4183" s="11">
        <v>-9.8999999999999991E-3</v>
      </c>
      <c r="M4183" s="11">
        <v>0.13519999999999999</v>
      </c>
      <c r="N4183">
        <v>42.31</v>
      </c>
      <c r="O4183">
        <v>62.61</v>
      </c>
      <c r="P4183">
        <v>2</v>
      </c>
      <c r="Q4183" t="s">
        <v>37</v>
      </c>
      <c r="R4183">
        <v>47.155000000000001</v>
      </c>
      <c r="S4183">
        <v>0.99</v>
      </c>
      <c r="T4183" s="4">
        <v>35.838999999999999</v>
      </c>
      <c r="U4183" s="4">
        <v>45.385989000000002</v>
      </c>
      <c r="V4183" t="str">
        <f>IF(Table1[[#This Row],[ai_disruption_intensity]]&gt;70,"High",
IF(Table1[[#This Row],[ai_disruption_intensity]]&gt;40,"Medium","Low"))</f>
        <v>Medium</v>
      </c>
      <c r="W4183" t="str">
        <f>IF(Table1[[#This Row],[skill_gap_index]]&gt;70,"Large Gap",
IF(Table1[[#This Row],[skill_gap_index]]&gt;40,"Medium Gap","Small Gap"))</f>
        <v>Small Gap</v>
      </c>
      <c r="X4183" s="3" t="str">
        <f>IF(Table1[[#This Row],[automation_risk_percent]]&gt;0.7,"Highly Automatable",
IF(Table1[[#This Row],[automation_risk_percent]]&gt;0.4,"Moderate Risk","Safe Job"))</f>
        <v>Highly Automatable</v>
      </c>
    </row>
    <row r="4184" spans="1:24" x14ac:dyDescent="0.3">
      <c r="A4184">
        <v>14564</v>
      </c>
      <c r="B4184" t="s">
        <v>29</v>
      </c>
      <c r="C4184" t="s">
        <v>34</v>
      </c>
      <c r="D4184" t="s">
        <v>47</v>
      </c>
      <c r="E4184" s="1">
        <v>2025</v>
      </c>
      <c r="F4184" s="11">
        <v>0.41389999999999999</v>
      </c>
      <c r="G4184">
        <v>39.07</v>
      </c>
      <c r="H4184">
        <v>36.630000000000003</v>
      </c>
      <c r="I4184" s="2">
        <v>74140.259999999995</v>
      </c>
      <c r="J4184" s="2">
        <v>74903.41</v>
      </c>
      <c r="K4184" s="2">
        <f>Table1[[#This Row],[Salary_after]]-Table1[[#This Row],[Salary_before]]</f>
        <v>763.15000000000873</v>
      </c>
      <c r="L4184" s="11">
        <v>1.03E-2</v>
      </c>
      <c r="M4184" s="11">
        <v>0.1036</v>
      </c>
      <c r="N4184">
        <v>38.25</v>
      </c>
      <c r="O4184">
        <v>30.47</v>
      </c>
      <c r="P4184">
        <v>5</v>
      </c>
      <c r="Q4184" t="s">
        <v>25</v>
      </c>
      <c r="R4184">
        <v>39.01</v>
      </c>
      <c r="S4184">
        <v>1.03</v>
      </c>
      <c r="T4184" s="4">
        <v>27.853999999999999</v>
      </c>
      <c r="U4184" s="4">
        <v>12.611533</v>
      </c>
      <c r="V4184" t="str">
        <f>IF(Table1[[#This Row],[ai_disruption_intensity]]&gt;70,"High",
IF(Table1[[#This Row],[ai_disruption_intensity]]&gt;40,"Medium","Low"))</f>
        <v>Low</v>
      </c>
      <c r="W4184" t="str">
        <f>IF(Table1[[#This Row],[skill_gap_index]]&gt;70,"Large Gap",
IF(Table1[[#This Row],[skill_gap_index]]&gt;40,"Medium Gap","Small Gap"))</f>
        <v>Small Gap</v>
      </c>
      <c r="X4184" s="3" t="str">
        <f>IF(Table1[[#This Row],[automation_risk_percent]]&gt;0.7,"Highly Automatable",
IF(Table1[[#This Row],[automation_risk_percent]]&gt;0.4,"Moderate Risk","Safe Job"))</f>
        <v>Moderate Risk</v>
      </c>
    </row>
    <row r="4185" spans="1:24" x14ac:dyDescent="0.3">
      <c r="A4185">
        <v>14578</v>
      </c>
      <c r="B4185" t="s">
        <v>43</v>
      </c>
      <c r="C4185" t="s">
        <v>38</v>
      </c>
      <c r="D4185" t="s">
        <v>28</v>
      </c>
      <c r="E4185" s="1">
        <v>2025</v>
      </c>
      <c r="F4185" s="11">
        <v>0.47499999999999998</v>
      </c>
      <c r="G4185">
        <v>40.83</v>
      </c>
      <c r="H4185">
        <v>90.98</v>
      </c>
      <c r="I4185" s="2">
        <v>128468.73</v>
      </c>
      <c r="J4185" s="2">
        <v>117527.43</v>
      </c>
      <c r="K4185" s="2">
        <f>Table1[[#This Row],[Salary_after]]-Table1[[#This Row],[Salary_before]]</f>
        <v>-10941.300000000003</v>
      </c>
      <c r="L4185" s="11">
        <v>-8.5199999999999998E-2</v>
      </c>
      <c r="M4185" s="11">
        <v>-0.18489999999999998</v>
      </c>
      <c r="N4185">
        <v>99.03</v>
      </c>
      <c r="O4185">
        <v>60.14</v>
      </c>
      <c r="P4185">
        <v>1</v>
      </c>
      <c r="Q4185" t="s">
        <v>25</v>
      </c>
      <c r="R4185">
        <v>69.239999999999995</v>
      </c>
      <c r="S4185">
        <v>8.52</v>
      </c>
      <c r="T4185" s="4">
        <v>48.849999999999902</v>
      </c>
      <c r="U4185" s="4">
        <v>28.566500000000001</v>
      </c>
      <c r="V4185" t="str">
        <f>IF(Table1[[#This Row],[ai_disruption_intensity]]&gt;70,"High",
IF(Table1[[#This Row],[ai_disruption_intensity]]&gt;40,"Medium","Low"))</f>
        <v>Low</v>
      </c>
      <c r="W4185" t="str">
        <f>IF(Table1[[#This Row],[skill_gap_index]]&gt;70,"Large Gap",
IF(Table1[[#This Row],[skill_gap_index]]&gt;40,"Medium Gap","Small Gap"))</f>
        <v>Large Gap</v>
      </c>
      <c r="X4185" s="3" t="str">
        <f>IF(Table1[[#This Row],[automation_risk_percent]]&gt;0.7,"Highly Automatable",
IF(Table1[[#This Row],[automation_risk_percent]]&gt;0.4,"Moderate Risk","Safe Job"))</f>
        <v>Moderate Risk</v>
      </c>
    </row>
    <row r="4186" spans="1:24" x14ac:dyDescent="0.3">
      <c r="A4186">
        <v>14579</v>
      </c>
      <c r="B4186" t="s">
        <v>22</v>
      </c>
      <c r="C4186" t="s">
        <v>33</v>
      </c>
      <c r="D4186" t="s">
        <v>24</v>
      </c>
      <c r="E4186" s="1">
        <v>2026</v>
      </c>
      <c r="F4186" s="11">
        <v>0.21859999999999999</v>
      </c>
      <c r="G4186">
        <v>18.920000000000002</v>
      </c>
      <c r="H4186">
        <v>6.49</v>
      </c>
      <c r="I4186" s="2">
        <v>100534.74</v>
      </c>
      <c r="J4186" s="2">
        <v>89265.27</v>
      </c>
      <c r="K4186" s="2">
        <f>Table1[[#This Row],[Salary_after]]-Table1[[#This Row],[Salary_before]]</f>
        <v>-11269.470000000001</v>
      </c>
      <c r="L4186" s="11">
        <v>-0.11210000000000001</v>
      </c>
      <c r="M4186" s="11">
        <v>-7.9299999999999995E-2</v>
      </c>
      <c r="N4186">
        <v>78.48</v>
      </c>
      <c r="O4186">
        <v>10.57</v>
      </c>
      <c r="P4186">
        <v>3</v>
      </c>
      <c r="Q4186" t="s">
        <v>21</v>
      </c>
      <c r="R4186">
        <v>14.175000000000001</v>
      </c>
      <c r="S4186">
        <v>11.21</v>
      </c>
      <c r="T4186" s="4">
        <v>14.053999999999901</v>
      </c>
      <c r="U4186" s="4">
        <v>2.3106019999999998</v>
      </c>
      <c r="V4186" t="str">
        <f>IF(Table1[[#This Row],[ai_disruption_intensity]]&gt;70,"High",
IF(Table1[[#This Row],[ai_disruption_intensity]]&gt;40,"Medium","Low"))</f>
        <v>Low</v>
      </c>
      <c r="W4186" t="str">
        <f>IF(Table1[[#This Row],[skill_gap_index]]&gt;70,"Large Gap",
IF(Table1[[#This Row],[skill_gap_index]]&gt;40,"Medium Gap","Small Gap"))</f>
        <v>Small Gap</v>
      </c>
      <c r="X4186" s="3" t="str">
        <f>IF(Table1[[#This Row],[automation_risk_percent]]&gt;0.7,"Highly Automatable",
IF(Table1[[#This Row],[automation_risk_percent]]&gt;0.4,"Moderate Risk","Safe Job"))</f>
        <v>Safe Job</v>
      </c>
    </row>
    <row r="4187" spans="1:24" x14ac:dyDescent="0.3">
      <c r="A4187">
        <v>14584</v>
      </c>
      <c r="B4187" t="s">
        <v>26</v>
      </c>
      <c r="C4187" t="s">
        <v>40</v>
      </c>
      <c r="D4187" t="s">
        <v>47</v>
      </c>
      <c r="E4187" s="1">
        <v>2026</v>
      </c>
      <c r="F4187" s="11">
        <v>0.48259999999999997</v>
      </c>
      <c r="G4187">
        <v>41.19</v>
      </c>
      <c r="H4187">
        <v>79.75</v>
      </c>
      <c r="I4187" s="2">
        <v>68388.600000000006</v>
      </c>
      <c r="J4187" s="2">
        <v>63923.34</v>
      </c>
      <c r="K4187" s="2">
        <f>Table1[[#This Row],[Salary_after]]-Table1[[#This Row],[Salary_before]]</f>
        <v>-4465.2600000000093</v>
      </c>
      <c r="L4187" s="11">
        <v>-6.5299999999999997E-2</v>
      </c>
      <c r="M4187" s="11">
        <v>3.0899999999999997E-2</v>
      </c>
      <c r="N4187">
        <v>48.06</v>
      </c>
      <c r="O4187">
        <v>7.78</v>
      </c>
      <c r="P4187">
        <v>5</v>
      </c>
      <c r="Q4187" t="s">
        <v>25</v>
      </c>
      <c r="R4187">
        <v>64.004999999999995</v>
      </c>
      <c r="S4187">
        <v>6.53</v>
      </c>
      <c r="T4187" s="4">
        <v>45.188000000000002</v>
      </c>
      <c r="U4187" s="4">
        <v>3.7546279999999999</v>
      </c>
      <c r="V4187" t="str">
        <f>IF(Table1[[#This Row],[ai_disruption_intensity]]&gt;70,"High",
IF(Table1[[#This Row],[ai_disruption_intensity]]&gt;40,"Medium","Low"))</f>
        <v>Low</v>
      </c>
      <c r="W4187" t="str">
        <f>IF(Table1[[#This Row],[skill_gap_index]]&gt;70,"Large Gap",
IF(Table1[[#This Row],[skill_gap_index]]&gt;40,"Medium Gap","Small Gap"))</f>
        <v>Large Gap</v>
      </c>
      <c r="X4187" s="3" t="str">
        <f>IF(Table1[[#This Row],[automation_risk_percent]]&gt;0.7,"Highly Automatable",
IF(Table1[[#This Row],[automation_risk_percent]]&gt;0.4,"Moderate Risk","Safe Job"))</f>
        <v>Moderate Risk</v>
      </c>
    </row>
    <row r="4188" spans="1:24" x14ac:dyDescent="0.3">
      <c r="A4188">
        <v>14585</v>
      </c>
      <c r="B4188" t="s">
        <v>43</v>
      </c>
      <c r="C4188" t="s">
        <v>38</v>
      </c>
      <c r="D4188" t="s">
        <v>31</v>
      </c>
      <c r="E4188" s="1">
        <v>2025</v>
      </c>
      <c r="F4188" s="11">
        <v>0.57619999999999993</v>
      </c>
      <c r="G4188">
        <v>54.01</v>
      </c>
      <c r="H4188">
        <v>29.63</v>
      </c>
      <c r="I4188" s="2">
        <v>107801.55</v>
      </c>
      <c r="J4188" s="2">
        <v>118961.64</v>
      </c>
      <c r="K4188" s="2">
        <f>Table1[[#This Row],[Salary_after]]-Table1[[#This Row],[Salary_before]]</f>
        <v>11160.089999999997</v>
      </c>
      <c r="L4188" s="11">
        <v>0.10349999999999999</v>
      </c>
      <c r="M4188" s="11">
        <v>0.19030000000000002</v>
      </c>
      <c r="N4188">
        <v>80.98</v>
      </c>
      <c r="O4188">
        <v>63.83</v>
      </c>
      <c r="P4188">
        <v>3</v>
      </c>
      <c r="Q4188" t="s">
        <v>25</v>
      </c>
      <c r="R4188">
        <v>43.625</v>
      </c>
      <c r="S4188">
        <v>10.35</v>
      </c>
      <c r="T4188" s="4">
        <v>35.042000000000002</v>
      </c>
      <c r="U4188" s="4">
        <v>36.778846000000001</v>
      </c>
      <c r="V4188" t="str">
        <f>IF(Table1[[#This Row],[ai_disruption_intensity]]&gt;70,"High",
IF(Table1[[#This Row],[ai_disruption_intensity]]&gt;40,"Medium","Low"))</f>
        <v>Low</v>
      </c>
      <c r="W4188" t="str">
        <f>IF(Table1[[#This Row],[skill_gap_index]]&gt;70,"Large Gap",
IF(Table1[[#This Row],[skill_gap_index]]&gt;40,"Medium Gap","Small Gap"))</f>
        <v>Small Gap</v>
      </c>
      <c r="X4188" s="3" t="str">
        <f>IF(Table1[[#This Row],[automation_risk_percent]]&gt;0.7,"Highly Automatable",
IF(Table1[[#This Row],[automation_risk_percent]]&gt;0.4,"Moderate Risk","Safe Job"))</f>
        <v>Moderate Risk</v>
      </c>
    </row>
    <row r="4189" spans="1:24" x14ac:dyDescent="0.3">
      <c r="A4189">
        <v>14587</v>
      </c>
      <c r="B4189" t="s">
        <v>22</v>
      </c>
      <c r="C4189" t="s">
        <v>33</v>
      </c>
      <c r="D4189" t="s">
        <v>28</v>
      </c>
      <c r="E4189" s="1">
        <v>2025</v>
      </c>
      <c r="F4189" s="11">
        <v>0.33590000000000003</v>
      </c>
      <c r="G4189">
        <v>32.17</v>
      </c>
      <c r="H4189">
        <v>4.72</v>
      </c>
      <c r="I4189" s="2">
        <v>121953.26</v>
      </c>
      <c r="J4189" s="2">
        <v>125218.29</v>
      </c>
      <c r="K4189" s="2">
        <f>Table1[[#This Row],[Salary_after]]-Table1[[#This Row],[Salary_before]]</f>
        <v>3265.0299999999988</v>
      </c>
      <c r="L4189" s="11">
        <v>2.6800000000000001E-2</v>
      </c>
      <c r="M4189" s="11">
        <v>3.5400000000000001E-2</v>
      </c>
      <c r="N4189">
        <v>69.67</v>
      </c>
      <c r="O4189">
        <v>33.26</v>
      </c>
      <c r="P4189">
        <v>5</v>
      </c>
      <c r="Q4189" t="s">
        <v>25</v>
      </c>
      <c r="R4189">
        <v>19.155000000000001</v>
      </c>
      <c r="S4189">
        <v>2.68</v>
      </c>
      <c r="T4189" s="4">
        <v>15.656000000000001</v>
      </c>
      <c r="U4189" s="4">
        <v>11.172034</v>
      </c>
      <c r="V4189" t="str">
        <f>IF(Table1[[#This Row],[ai_disruption_intensity]]&gt;70,"High",
IF(Table1[[#This Row],[ai_disruption_intensity]]&gt;40,"Medium","Low"))</f>
        <v>Low</v>
      </c>
      <c r="W4189" t="str">
        <f>IF(Table1[[#This Row],[skill_gap_index]]&gt;70,"Large Gap",
IF(Table1[[#This Row],[skill_gap_index]]&gt;40,"Medium Gap","Small Gap"))</f>
        <v>Small Gap</v>
      </c>
      <c r="X4189" s="3" t="str">
        <f>IF(Table1[[#This Row],[automation_risk_percent]]&gt;0.7,"Highly Automatable",
IF(Table1[[#This Row],[automation_risk_percent]]&gt;0.4,"Moderate Risk","Safe Job"))</f>
        <v>Safe Job</v>
      </c>
    </row>
    <row r="4190" spans="1:24" x14ac:dyDescent="0.3">
      <c r="A4190">
        <v>14590</v>
      </c>
      <c r="B4190" t="s">
        <v>46</v>
      </c>
      <c r="C4190" t="s">
        <v>27</v>
      </c>
      <c r="D4190" t="s">
        <v>32</v>
      </c>
      <c r="E4190" s="1">
        <v>2025</v>
      </c>
      <c r="F4190" s="11">
        <v>0.40700000000000003</v>
      </c>
      <c r="G4190">
        <v>38.07</v>
      </c>
      <c r="H4190">
        <v>75.06</v>
      </c>
      <c r="I4190" s="2">
        <v>135954.45000000001</v>
      </c>
      <c r="J4190" s="2">
        <v>124007.13</v>
      </c>
      <c r="K4190" s="2">
        <f>Table1[[#This Row],[Salary_after]]-Table1[[#This Row],[Salary_before]]</f>
        <v>-11947.320000000007</v>
      </c>
      <c r="L4190" s="11">
        <v>-8.7899999999999992E-2</v>
      </c>
      <c r="M4190" s="11">
        <v>9.3599999999999989E-2</v>
      </c>
      <c r="N4190">
        <v>80.62</v>
      </c>
      <c r="O4190">
        <v>15.65</v>
      </c>
      <c r="P4190">
        <v>2</v>
      </c>
      <c r="Q4190" t="s">
        <v>25</v>
      </c>
      <c r="R4190">
        <v>57.88</v>
      </c>
      <c r="S4190">
        <v>8.7899999999999991</v>
      </c>
      <c r="T4190" s="4">
        <v>41.435000000000002</v>
      </c>
      <c r="U4190" s="4">
        <v>6.3695500000000003</v>
      </c>
      <c r="V4190" t="str">
        <f>IF(Table1[[#This Row],[ai_disruption_intensity]]&gt;70,"High",
IF(Table1[[#This Row],[ai_disruption_intensity]]&gt;40,"Medium","Low"))</f>
        <v>Low</v>
      </c>
      <c r="W4190" t="str">
        <f>IF(Table1[[#This Row],[skill_gap_index]]&gt;70,"Large Gap",
IF(Table1[[#This Row],[skill_gap_index]]&gt;40,"Medium Gap","Small Gap"))</f>
        <v>Large Gap</v>
      </c>
      <c r="X4190" s="3" t="str">
        <f>IF(Table1[[#This Row],[automation_risk_percent]]&gt;0.7,"Highly Automatable",
IF(Table1[[#This Row],[automation_risk_percent]]&gt;0.4,"Moderate Risk","Safe Job"))</f>
        <v>Moderate Risk</v>
      </c>
    </row>
    <row r="4191" spans="1:24" x14ac:dyDescent="0.3">
      <c r="A4191">
        <v>14595</v>
      </c>
      <c r="B4191" t="s">
        <v>45</v>
      </c>
      <c r="C4191" t="s">
        <v>19</v>
      </c>
      <c r="D4191" t="s">
        <v>28</v>
      </c>
      <c r="E4191" s="1">
        <v>2025</v>
      </c>
      <c r="F4191" s="11">
        <v>0.39520000000000005</v>
      </c>
      <c r="G4191">
        <v>34.909999999999997</v>
      </c>
      <c r="H4191">
        <v>61.64</v>
      </c>
      <c r="I4191" s="2">
        <v>86185.21</v>
      </c>
      <c r="J4191" s="2">
        <v>103648.04</v>
      </c>
      <c r="K4191" s="2">
        <f>Table1[[#This Row],[Salary_after]]-Table1[[#This Row],[Salary_before]]</f>
        <v>17462.829999999987</v>
      </c>
      <c r="L4191" s="11">
        <v>0.2026</v>
      </c>
      <c r="M4191" s="11">
        <v>9.7799999999999998E-2</v>
      </c>
      <c r="N4191">
        <v>51.58</v>
      </c>
      <c r="O4191">
        <v>9.44</v>
      </c>
      <c r="P4191">
        <v>4</v>
      </c>
      <c r="Q4191" t="s">
        <v>25</v>
      </c>
      <c r="R4191">
        <v>50.58</v>
      </c>
      <c r="S4191">
        <v>20.260000000000002</v>
      </c>
      <c r="T4191" s="4">
        <v>40.378</v>
      </c>
      <c r="U4191" s="4">
        <v>3.7306879999999998</v>
      </c>
      <c r="V4191" t="str">
        <f>IF(Table1[[#This Row],[ai_disruption_intensity]]&gt;70,"High",
IF(Table1[[#This Row],[ai_disruption_intensity]]&gt;40,"Medium","Low"))</f>
        <v>Low</v>
      </c>
      <c r="W4191" t="str">
        <f>IF(Table1[[#This Row],[skill_gap_index]]&gt;70,"Large Gap",
IF(Table1[[#This Row],[skill_gap_index]]&gt;40,"Medium Gap","Small Gap"))</f>
        <v>Medium Gap</v>
      </c>
      <c r="X4191" s="3" t="str">
        <f>IF(Table1[[#This Row],[automation_risk_percent]]&gt;0.7,"Highly Automatable",
IF(Table1[[#This Row],[automation_risk_percent]]&gt;0.4,"Moderate Risk","Safe Job"))</f>
        <v>Safe Job</v>
      </c>
    </row>
    <row r="4192" spans="1:24" x14ac:dyDescent="0.3">
      <c r="A4192">
        <v>14598</v>
      </c>
      <c r="B4192" t="s">
        <v>44</v>
      </c>
      <c r="C4192" t="s">
        <v>38</v>
      </c>
      <c r="D4192" t="s">
        <v>24</v>
      </c>
      <c r="E4192" s="1">
        <v>2026</v>
      </c>
      <c r="F4192" s="11">
        <v>0.62429999999999997</v>
      </c>
      <c r="G4192">
        <v>73.28</v>
      </c>
      <c r="H4192">
        <v>34.5</v>
      </c>
      <c r="I4192" s="2">
        <v>79281</v>
      </c>
      <c r="J4192" s="2">
        <v>83488.289999999994</v>
      </c>
      <c r="K4192" s="2">
        <f>Table1[[#This Row],[Salary_after]]-Table1[[#This Row],[Salary_before]]</f>
        <v>4207.2899999999936</v>
      </c>
      <c r="L4192" s="11">
        <v>5.3099999999999994E-2</v>
      </c>
      <c r="M4192" s="11">
        <v>0.20039999999999999</v>
      </c>
      <c r="N4192">
        <v>74.430000000000007</v>
      </c>
      <c r="O4192">
        <v>16.809999999999999</v>
      </c>
      <c r="P4192">
        <v>4</v>
      </c>
      <c r="Q4192" t="s">
        <v>37</v>
      </c>
      <c r="R4192">
        <v>48.465000000000003</v>
      </c>
      <c r="S4192">
        <v>5.31</v>
      </c>
      <c r="T4192" s="4">
        <v>36.914999999999999</v>
      </c>
      <c r="U4192" s="4">
        <v>10.494483000000001</v>
      </c>
      <c r="V4192" t="str">
        <f>IF(Table1[[#This Row],[ai_disruption_intensity]]&gt;70,"High",
IF(Table1[[#This Row],[ai_disruption_intensity]]&gt;40,"Medium","Low"))</f>
        <v>Low</v>
      </c>
      <c r="W4192" t="str">
        <f>IF(Table1[[#This Row],[skill_gap_index]]&gt;70,"Large Gap",
IF(Table1[[#This Row],[skill_gap_index]]&gt;40,"Medium Gap","Small Gap"))</f>
        <v>Small Gap</v>
      </c>
      <c r="X4192" s="3" t="str">
        <f>IF(Table1[[#This Row],[automation_risk_percent]]&gt;0.7,"Highly Automatable",
IF(Table1[[#This Row],[automation_risk_percent]]&gt;0.4,"Moderate Risk","Safe Job"))</f>
        <v>Moderate Risk</v>
      </c>
    </row>
    <row r="4193" spans="1:24" x14ac:dyDescent="0.3">
      <c r="A4193">
        <v>14605</v>
      </c>
      <c r="B4193" t="s">
        <v>29</v>
      </c>
      <c r="C4193" t="s">
        <v>34</v>
      </c>
      <c r="D4193" t="s">
        <v>35</v>
      </c>
      <c r="E4193" s="1">
        <v>2026</v>
      </c>
      <c r="F4193" s="11">
        <v>0.53210000000000002</v>
      </c>
      <c r="G4193">
        <v>50.55</v>
      </c>
      <c r="H4193">
        <v>31.78</v>
      </c>
      <c r="I4193" s="2">
        <v>31826.22</v>
      </c>
      <c r="J4193" s="2">
        <v>31875.49</v>
      </c>
      <c r="K4193" s="2">
        <f>Table1[[#This Row],[Salary_after]]-Table1[[#This Row],[Salary_before]]</f>
        <v>49.270000000000437</v>
      </c>
      <c r="L4193" s="11">
        <v>1.5E-3</v>
      </c>
      <c r="M4193" s="11">
        <v>-1.5E-3</v>
      </c>
      <c r="N4193">
        <v>13.32</v>
      </c>
      <c r="O4193">
        <v>53.65</v>
      </c>
      <c r="P4193">
        <v>2</v>
      </c>
      <c r="Q4193" t="s">
        <v>25</v>
      </c>
      <c r="R4193">
        <v>42.494999999999997</v>
      </c>
      <c r="S4193">
        <v>0.15</v>
      </c>
      <c r="T4193" s="4">
        <v>30.863</v>
      </c>
      <c r="U4193" s="4">
        <v>28.547165</v>
      </c>
      <c r="V4193" t="str">
        <f>IF(Table1[[#This Row],[ai_disruption_intensity]]&gt;70,"High",
IF(Table1[[#This Row],[ai_disruption_intensity]]&gt;40,"Medium","Low"))</f>
        <v>Low</v>
      </c>
      <c r="W4193" t="str">
        <f>IF(Table1[[#This Row],[skill_gap_index]]&gt;70,"Large Gap",
IF(Table1[[#This Row],[skill_gap_index]]&gt;40,"Medium Gap","Small Gap"))</f>
        <v>Small Gap</v>
      </c>
      <c r="X4193" s="3" t="str">
        <f>IF(Table1[[#This Row],[automation_risk_percent]]&gt;0.7,"Highly Automatable",
IF(Table1[[#This Row],[automation_risk_percent]]&gt;0.4,"Moderate Risk","Safe Job"))</f>
        <v>Moderate Risk</v>
      </c>
    </row>
    <row r="4194" spans="1:24" x14ac:dyDescent="0.3">
      <c r="A4194">
        <v>14606</v>
      </c>
      <c r="B4194" t="s">
        <v>26</v>
      </c>
      <c r="C4194" t="s">
        <v>40</v>
      </c>
      <c r="D4194" t="s">
        <v>32</v>
      </c>
      <c r="E4194" s="1">
        <v>2025</v>
      </c>
      <c r="F4194" s="11">
        <v>0.22850000000000001</v>
      </c>
      <c r="G4194">
        <v>26.3</v>
      </c>
      <c r="H4194">
        <v>35.9</v>
      </c>
      <c r="I4194" s="2">
        <v>128382.86</v>
      </c>
      <c r="J4194" s="2">
        <v>135895.4</v>
      </c>
      <c r="K4194" s="2">
        <f>Table1[[#This Row],[Salary_after]]-Table1[[#This Row],[Salary_before]]</f>
        <v>7512.5399999999936</v>
      </c>
      <c r="L4194" s="11">
        <v>5.8499999999999996E-2</v>
      </c>
      <c r="M4194" s="11">
        <v>4.2599999999999999E-2</v>
      </c>
      <c r="N4194">
        <v>68.2</v>
      </c>
      <c r="O4194">
        <v>38.270000000000003</v>
      </c>
      <c r="P4194">
        <v>4</v>
      </c>
      <c r="Q4194" t="s">
        <v>21</v>
      </c>
      <c r="R4194">
        <v>29.375</v>
      </c>
      <c r="S4194">
        <v>5.85</v>
      </c>
      <c r="T4194" s="4">
        <v>21.664999999999999</v>
      </c>
      <c r="U4194" s="4">
        <v>8.7446950000000001</v>
      </c>
      <c r="V4194" t="str">
        <f>IF(Table1[[#This Row],[ai_disruption_intensity]]&gt;70,"High",
IF(Table1[[#This Row],[ai_disruption_intensity]]&gt;40,"Medium","Low"))</f>
        <v>Low</v>
      </c>
      <c r="W4194" t="str">
        <f>IF(Table1[[#This Row],[skill_gap_index]]&gt;70,"Large Gap",
IF(Table1[[#This Row],[skill_gap_index]]&gt;40,"Medium Gap","Small Gap"))</f>
        <v>Small Gap</v>
      </c>
      <c r="X4194" s="3" t="str">
        <f>IF(Table1[[#This Row],[automation_risk_percent]]&gt;0.7,"Highly Automatable",
IF(Table1[[#This Row],[automation_risk_percent]]&gt;0.4,"Moderate Risk","Safe Job"))</f>
        <v>Safe Job</v>
      </c>
    </row>
    <row r="4195" spans="1:24" x14ac:dyDescent="0.3">
      <c r="A4195">
        <v>14608</v>
      </c>
      <c r="B4195" t="s">
        <v>45</v>
      </c>
      <c r="C4195" t="s">
        <v>23</v>
      </c>
      <c r="D4195" t="s">
        <v>24</v>
      </c>
      <c r="E4195" s="1">
        <v>2025</v>
      </c>
      <c r="F4195" s="11">
        <v>0.25390000000000001</v>
      </c>
      <c r="G4195">
        <v>22.35</v>
      </c>
      <c r="H4195">
        <v>68.19</v>
      </c>
      <c r="I4195" s="2">
        <v>105857.68</v>
      </c>
      <c r="J4195" s="2">
        <v>107560.6</v>
      </c>
      <c r="K4195" s="2">
        <f>Table1[[#This Row],[Salary_after]]-Table1[[#This Row],[Salary_before]]</f>
        <v>1702.9200000000128</v>
      </c>
      <c r="L4195" s="11">
        <v>1.61E-2</v>
      </c>
      <c r="M4195" s="11">
        <v>0.17739999999999997</v>
      </c>
      <c r="N4195">
        <v>75.39</v>
      </c>
      <c r="O4195">
        <v>17</v>
      </c>
      <c r="P4195">
        <v>3</v>
      </c>
      <c r="Q4195" t="s">
        <v>21</v>
      </c>
      <c r="R4195">
        <v>46.79</v>
      </c>
      <c r="S4195">
        <v>1.61</v>
      </c>
      <c r="T4195" s="4">
        <v>31.096</v>
      </c>
      <c r="U4195" s="4">
        <v>4.3163</v>
      </c>
      <c r="V4195" t="str">
        <f>IF(Table1[[#This Row],[ai_disruption_intensity]]&gt;70,"High",
IF(Table1[[#This Row],[ai_disruption_intensity]]&gt;40,"Medium","Low"))</f>
        <v>Low</v>
      </c>
      <c r="W4195" t="str">
        <f>IF(Table1[[#This Row],[skill_gap_index]]&gt;70,"Large Gap",
IF(Table1[[#This Row],[skill_gap_index]]&gt;40,"Medium Gap","Small Gap"))</f>
        <v>Medium Gap</v>
      </c>
      <c r="X4195" s="3" t="str">
        <f>IF(Table1[[#This Row],[automation_risk_percent]]&gt;0.7,"Highly Automatable",
IF(Table1[[#This Row],[automation_risk_percent]]&gt;0.4,"Moderate Risk","Safe Job"))</f>
        <v>Safe Job</v>
      </c>
    </row>
    <row r="4196" spans="1:24" x14ac:dyDescent="0.3">
      <c r="A4196">
        <v>14610</v>
      </c>
      <c r="B4196" t="s">
        <v>26</v>
      </c>
      <c r="C4196" t="s">
        <v>23</v>
      </c>
      <c r="D4196" t="s">
        <v>28</v>
      </c>
      <c r="E4196" s="1">
        <v>2026</v>
      </c>
      <c r="F4196" s="11">
        <v>0.31</v>
      </c>
      <c r="G4196">
        <v>28.4</v>
      </c>
      <c r="H4196">
        <v>13.82</v>
      </c>
      <c r="I4196" s="2">
        <v>140744.65</v>
      </c>
      <c r="J4196" s="2">
        <v>125779.79</v>
      </c>
      <c r="K4196" s="2">
        <f>Table1[[#This Row],[Salary_after]]-Table1[[#This Row],[Salary_before]]</f>
        <v>-14964.86</v>
      </c>
      <c r="L4196" s="11">
        <v>-0.10630000000000001</v>
      </c>
      <c r="M4196" s="11">
        <v>-0.1235</v>
      </c>
      <c r="N4196">
        <v>47.93</v>
      </c>
      <c r="O4196">
        <v>12.78</v>
      </c>
      <c r="P4196">
        <v>3</v>
      </c>
      <c r="Q4196" t="s">
        <v>25</v>
      </c>
      <c r="R4196">
        <v>22.41</v>
      </c>
      <c r="S4196">
        <v>10.63</v>
      </c>
      <c r="T4196" s="4">
        <v>19.734999999999999</v>
      </c>
      <c r="U4196" s="4">
        <v>3.9618000000000002</v>
      </c>
      <c r="V4196" t="str">
        <f>IF(Table1[[#This Row],[ai_disruption_intensity]]&gt;70,"High",
IF(Table1[[#This Row],[ai_disruption_intensity]]&gt;40,"Medium","Low"))</f>
        <v>Low</v>
      </c>
      <c r="W4196" t="str">
        <f>IF(Table1[[#This Row],[skill_gap_index]]&gt;70,"Large Gap",
IF(Table1[[#This Row],[skill_gap_index]]&gt;40,"Medium Gap","Small Gap"))</f>
        <v>Small Gap</v>
      </c>
      <c r="X4196" s="3" t="str">
        <f>IF(Table1[[#This Row],[automation_risk_percent]]&gt;0.7,"Highly Automatable",
IF(Table1[[#This Row],[automation_risk_percent]]&gt;0.4,"Moderate Risk","Safe Job"))</f>
        <v>Safe Job</v>
      </c>
    </row>
    <row r="4197" spans="1:24" x14ac:dyDescent="0.3">
      <c r="A4197">
        <v>14612</v>
      </c>
      <c r="B4197" t="s">
        <v>26</v>
      </c>
      <c r="C4197" t="s">
        <v>33</v>
      </c>
      <c r="D4197" t="s">
        <v>42</v>
      </c>
      <c r="E4197" s="1">
        <v>2025</v>
      </c>
      <c r="F4197" s="11">
        <v>0.25700000000000001</v>
      </c>
      <c r="G4197">
        <v>27.8</v>
      </c>
      <c r="H4197">
        <v>59.68</v>
      </c>
      <c r="I4197" s="2">
        <v>90741.27</v>
      </c>
      <c r="J4197" s="2">
        <v>107899.65</v>
      </c>
      <c r="K4197" s="2">
        <f>Table1[[#This Row],[Salary_after]]-Table1[[#This Row],[Salary_before]]</f>
        <v>17158.37999999999</v>
      </c>
      <c r="L4197" s="11">
        <v>0.18909999999999999</v>
      </c>
      <c r="M4197" s="11">
        <v>7.4700000000000003E-2</v>
      </c>
      <c r="N4197">
        <v>34.85</v>
      </c>
      <c r="O4197">
        <v>28.76</v>
      </c>
      <c r="P4197">
        <v>5</v>
      </c>
      <c r="Q4197" t="s">
        <v>21</v>
      </c>
      <c r="R4197">
        <v>42.69</v>
      </c>
      <c r="S4197">
        <v>18.91</v>
      </c>
      <c r="T4197" s="4">
        <v>33.856999999999999</v>
      </c>
      <c r="U4197" s="4">
        <v>7.3913200000000003</v>
      </c>
      <c r="V4197" t="str">
        <f>IF(Table1[[#This Row],[ai_disruption_intensity]]&gt;70,"High",
IF(Table1[[#This Row],[ai_disruption_intensity]]&gt;40,"Medium","Low"))</f>
        <v>Low</v>
      </c>
      <c r="W4197" t="str">
        <f>IF(Table1[[#This Row],[skill_gap_index]]&gt;70,"Large Gap",
IF(Table1[[#This Row],[skill_gap_index]]&gt;40,"Medium Gap","Small Gap"))</f>
        <v>Medium Gap</v>
      </c>
      <c r="X4197" s="3" t="str">
        <f>IF(Table1[[#This Row],[automation_risk_percent]]&gt;0.7,"Highly Automatable",
IF(Table1[[#This Row],[automation_risk_percent]]&gt;0.4,"Moderate Risk","Safe Job"))</f>
        <v>Safe Job</v>
      </c>
    </row>
    <row r="4198" spans="1:24" x14ac:dyDescent="0.3">
      <c r="A4198">
        <v>14615</v>
      </c>
      <c r="B4198" t="s">
        <v>22</v>
      </c>
      <c r="C4198" t="s">
        <v>27</v>
      </c>
      <c r="D4198" t="s">
        <v>20</v>
      </c>
      <c r="E4198" s="1">
        <v>2025</v>
      </c>
      <c r="F4198" s="11">
        <v>0.20350000000000001</v>
      </c>
      <c r="G4198">
        <v>24.09</v>
      </c>
      <c r="H4198">
        <v>85.6</v>
      </c>
      <c r="I4198" s="2">
        <v>102805.25</v>
      </c>
      <c r="J4198" s="2">
        <v>108208.69</v>
      </c>
      <c r="K4198" s="2">
        <f>Table1[[#This Row],[Salary_after]]-Table1[[#This Row],[Salary_before]]</f>
        <v>5403.4400000000023</v>
      </c>
      <c r="L4198" s="11">
        <v>5.2600000000000001E-2</v>
      </c>
      <c r="M4198" s="11">
        <v>-5.4900000000000004E-2</v>
      </c>
      <c r="N4198">
        <v>97.55</v>
      </c>
      <c r="O4198">
        <v>57.94</v>
      </c>
      <c r="P4198">
        <v>1</v>
      </c>
      <c r="Q4198" t="s">
        <v>21</v>
      </c>
      <c r="R4198">
        <v>52.974999999999902</v>
      </c>
      <c r="S4198">
        <v>5.26</v>
      </c>
      <c r="T4198" s="4">
        <v>35.397999999999897</v>
      </c>
      <c r="U4198" s="4">
        <v>11.790789999999999</v>
      </c>
      <c r="V4198" t="str">
        <f>IF(Table1[[#This Row],[ai_disruption_intensity]]&gt;70,"High",
IF(Table1[[#This Row],[ai_disruption_intensity]]&gt;40,"Medium","Low"))</f>
        <v>Low</v>
      </c>
      <c r="W4198" t="str">
        <f>IF(Table1[[#This Row],[skill_gap_index]]&gt;70,"Large Gap",
IF(Table1[[#This Row],[skill_gap_index]]&gt;40,"Medium Gap","Small Gap"))</f>
        <v>Large Gap</v>
      </c>
      <c r="X4198" s="3" t="str">
        <f>IF(Table1[[#This Row],[automation_risk_percent]]&gt;0.7,"Highly Automatable",
IF(Table1[[#This Row],[automation_risk_percent]]&gt;0.4,"Moderate Risk","Safe Job"))</f>
        <v>Safe Job</v>
      </c>
    </row>
    <row r="4199" spans="1:24" x14ac:dyDescent="0.3">
      <c r="A4199">
        <v>14616</v>
      </c>
      <c r="B4199" t="s">
        <v>26</v>
      </c>
      <c r="C4199" t="s">
        <v>38</v>
      </c>
      <c r="D4199" t="s">
        <v>36</v>
      </c>
      <c r="E4199" s="1">
        <v>2026</v>
      </c>
      <c r="F4199" s="11">
        <v>0.58660000000000001</v>
      </c>
      <c r="G4199">
        <v>64.900000000000006</v>
      </c>
      <c r="H4199">
        <v>26.21</v>
      </c>
      <c r="I4199" s="2">
        <v>99963.01</v>
      </c>
      <c r="J4199" s="2">
        <v>89845.37</v>
      </c>
      <c r="K4199" s="2">
        <f>Table1[[#This Row],[Salary_after]]-Table1[[#This Row],[Salary_before]]</f>
        <v>-10117.64</v>
      </c>
      <c r="L4199" s="11">
        <v>-0.1012</v>
      </c>
      <c r="M4199" s="11">
        <v>0.1681</v>
      </c>
      <c r="N4199">
        <v>64.97</v>
      </c>
      <c r="O4199">
        <v>12.94</v>
      </c>
      <c r="P4199">
        <v>5</v>
      </c>
      <c r="Q4199" t="s">
        <v>25</v>
      </c>
      <c r="R4199">
        <v>42.435000000000002</v>
      </c>
      <c r="S4199">
        <v>10.119999999999999</v>
      </c>
      <c r="T4199" s="4">
        <v>34.363</v>
      </c>
      <c r="U4199" s="4">
        <v>7.5906039999999999</v>
      </c>
      <c r="V4199" t="str">
        <f>IF(Table1[[#This Row],[ai_disruption_intensity]]&gt;70,"High",
IF(Table1[[#This Row],[ai_disruption_intensity]]&gt;40,"Medium","Low"))</f>
        <v>Low</v>
      </c>
      <c r="W4199" t="str">
        <f>IF(Table1[[#This Row],[skill_gap_index]]&gt;70,"Large Gap",
IF(Table1[[#This Row],[skill_gap_index]]&gt;40,"Medium Gap","Small Gap"))</f>
        <v>Small Gap</v>
      </c>
      <c r="X4199" s="3" t="str">
        <f>IF(Table1[[#This Row],[automation_risk_percent]]&gt;0.7,"Highly Automatable",
IF(Table1[[#This Row],[automation_risk_percent]]&gt;0.4,"Moderate Risk","Safe Job"))</f>
        <v>Moderate Risk</v>
      </c>
    </row>
    <row r="4200" spans="1:24" x14ac:dyDescent="0.3">
      <c r="A4200">
        <v>14618</v>
      </c>
      <c r="B4200" t="s">
        <v>22</v>
      </c>
      <c r="C4200" t="s">
        <v>33</v>
      </c>
      <c r="D4200" t="s">
        <v>31</v>
      </c>
      <c r="E4200" s="1">
        <v>2026</v>
      </c>
      <c r="F4200" s="11">
        <v>0.51659999999999995</v>
      </c>
      <c r="G4200">
        <v>48.75</v>
      </c>
      <c r="H4200">
        <v>34.659999999999997</v>
      </c>
      <c r="I4200" s="2">
        <v>39467.379999999997</v>
      </c>
      <c r="J4200" s="2">
        <v>41310.120000000003</v>
      </c>
      <c r="K4200" s="2">
        <f>Table1[[#This Row],[Salary_after]]-Table1[[#This Row],[Salary_before]]</f>
        <v>1842.7400000000052</v>
      </c>
      <c r="L4200" s="11">
        <v>4.6699999999999998E-2</v>
      </c>
      <c r="M4200" s="11">
        <v>-5.1200000000000002E-2</v>
      </c>
      <c r="N4200">
        <v>38.31</v>
      </c>
      <c r="O4200">
        <v>25.79</v>
      </c>
      <c r="P4200">
        <v>5</v>
      </c>
      <c r="Q4200" t="s">
        <v>25</v>
      </c>
      <c r="R4200">
        <v>43.16</v>
      </c>
      <c r="S4200">
        <v>4.67</v>
      </c>
      <c r="T4200" s="4">
        <v>32.463000000000001</v>
      </c>
      <c r="U4200" s="4">
        <v>13.323113999999901</v>
      </c>
      <c r="V4200" t="str">
        <f>IF(Table1[[#This Row],[ai_disruption_intensity]]&gt;70,"High",
IF(Table1[[#This Row],[ai_disruption_intensity]]&gt;40,"Medium","Low"))</f>
        <v>Low</v>
      </c>
      <c r="W4200" t="str">
        <f>IF(Table1[[#This Row],[skill_gap_index]]&gt;70,"Large Gap",
IF(Table1[[#This Row],[skill_gap_index]]&gt;40,"Medium Gap","Small Gap"))</f>
        <v>Small Gap</v>
      </c>
      <c r="X4200" s="3" t="str">
        <f>IF(Table1[[#This Row],[automation_risk_percent]]&gt;0.7,"Highly Automatable",
IF(Table1[[#This Row],[automation_risk_percent]]&gt;0.4,"Moderate Risk","Safe Job"))</f>
        <v>Moderate Risk</v>
      </c>
    </row>
    <row r="4201" spans="1:24" x14ac:dyDescent="0.3">
      <c r="A4201">
        <v>14626</v>
      </c>
      <c r="B4201" t="s">
        <v>41</v>
      </c>
      <c r="C4201" t="s">
        <v>30</v>
      </c>
      <c r="D4201" t="s">
        <v>28</v>
      </c>
      <c r="E4201" s="1">
        <v>2026</v>
      </c>
      <c r="F4201" s="11">
        <v>0.68110000000000004</v>
      </c>
      <c r="G4201">
        <v>77.150000000000006</v>
      </c>
      <c r="H4201">
        <v>34.46</v>
      </c>
      <c r="I4201" s="2">
        <v>58564.34</v>
      </c>
      <c r="J4201" s="2">
        <v>61088.29</v>
      </c>
      <c r="K4201" s="2">
        <f>Table1[[#This Row],[Salary_after]]-Table1[[#This Row],[Salary_before]]</f>
        <v>2523.9500000000044</v>
      </c>
      <c r="L4201" s="11">
        <v>4.3099999999999999E-2</v>
      </c>
      <c r="M4201" s="11">
        <v>-7.6200000000000004E-2</v>
      </c>
      <c r="N4201">
        <v>31.34</v>
      </c>
      <c r="O4201">
        <v>13</v>
      </c>
      <c r="P4201">
        <v>5</v>
      </c>
      <c r="Q4201" t="s">
        <v>37</v>
      </c>
      <c r="R4201">
        <v>51.284999999999997</v>
      </c>
      <c r="S4201">
        <v>4.3099999999999996</v>
      </c>
      <c r="T4201" s="4">
        <v>38.875</v>
      </c>
      <c r="U4201" s="4">
        <v>8.8543000000000003</v>
      </c>
      <c r="V4201" t="str">
        <f>IF(Table1[[#This Row],[ai_disruption_intensity]]&gt;70,"High",
IF(Table1[[#This Row],[ai_disruption_intensity]]&gt;40,"Medium","Low"))</f>
        <v>Low</v>
      </c>
      <c r="W4201" t="str">
        <f>IF(Table1[[#This Row],[skill_gap_index]]&gt;70,"Large Gap",
IF(Table1[[#This Row],[skill_gap_index]]&gt;40,"Medium Gap","Small Gap"))</f>
        <v>Small Gap</v>
      </c>
      <c r="X4201" s="3" t="str">
        <f>IF(Table1[[#This Row],[automation_risk_percent]]&gt;0.7,"Highly Automatable",
IF(Table1[[#This Row],[automation_risk_percent]]&gt;0.4,"Moderate Risk","Safe Job"))</f>
        <v>Moderate Risk</v>
      </c>
    </row>
    <row r="4202" spans="1:24" x14ac:dyDescent="0.3">
      <c r="A4202">
        <v>14635</v>
      </c>
      <c r="B4202" t="s">
        <v>18</v>
      </c>
      <c r="C4202" t="s">
        <v>40</v>
      </c>
      <c r="D4202" t="s">
        <v>42</v>
      </c>
      <c r="E4202" s="1">
        <v>2025</v>
      </c>
      <c r="F4202" s="11">
        <v>0.629</v>
      </c>
      <c r="G4202">
        <v>62.81</v>
      </c>
      <c r="H4202">
        <v>8.9499999999999993</v>
      </c>
      <c r="I4202" s="2">
        <v>99006.86</v>
      </c>
      <c r="J4202" s="2">
        <v>98238.06</v>
      </c>
      <c r="K4202" s="2">
        <f>Table1[[#This Row],[Salary_after]]-Table1[[#This Row],[Salary_before]]</f>
        <v>-768.80000000000291</v>
      </c>
      <c r="L4202" s="11">
        <v>-7.8000000000000005E-3</v>
      </c>
      <c r="M4202" s="11">
        <v>-3.4999999999999996E-3</v>
      </c>
      <c r="N4202">
        <v>49.58</v>
      </c>
      <c r="O4202">
        <v>86.37</v>
      </c>
      <c r="P4202">
        <v>1</v>
      </c>
      <c r="Q4202" t="s">
        <v>37</v>
      </c>
      <c r="R4202">
        <v>35.924999999999997</v>
      </c>
      <c r="S4202">
        <v>0.78</v>
      </c>
      <c r="T4202" s="4">
        <v>28.079000000000001</v>
      </c>
      <c r="U4202" s="4">
        <v>54.326729999999998</v>
      </c>
      <c r="V4202" t="str">
        <f>IF(Table1[[#This Row],[ai_disruption_intensity]]&gt;70,"High",
IF(Table1[[#This Row],[ai_disruption_intensity]]&gt;40,"Medium","Low"))</f>
        <v>Medium</v>
      </c>
      <c r="W4202" t="str">
        <f>IF(Table1[[#This Row],[skill_gap_index]]&gt;70,"Large Gap",
IF(Table1[[#This Row],[skill_gap_index]]&gt;40,"Medium Gap","Small Gap"))</f>
        <v>Small Gap</v>
      </c>
      <c r="X4202" s="3" t="str">
        <f>IF(Table1[[#This Row],[automation_risk_percent]]&gt;0.7,"Highly Automatable",
IF(Table1[[#This Row],[automation_risk_percent]]&gt;0.4,"Moderate Risk","Safe Job"))</f>
        <v>Moderate Risk</v>
      </c>
    </row>
    <row r="4203" spans="1:24" x14ac:dyDescent="0.3">
      <c r="A4203">
        <v>14636</v>
      </c>
      <c r="B4203" t="s">
        <v>22</v>
      </c>
      <c r="C4203" t="s">
        <v>30</v>
      </c>
      <c r="D4203" t="s">
        <v>35</v>
      </c>
      <c r="E4203" s="1">
        <v>2026</v>
      </c>
      <c r="F4203" s="11">
        <v>0.79110000000000003</v>
      </c>
      <c r="G4203">
        <v>67.849999999999994</v>
      </c>
      <c r="H4203">
        <v>70.209999999999994</v>
      </c>
      <c r="I4203" s="2">
        <v>134602.32</v>
      </c>
      <c r="J4203" s="2">
        <v>109839.26</v>
      </c>
      <c r="K4203" s="2">
        <f>Table1[[#This Row],[Salary_after]]-Table1[[#This Row],[Salary_before]]</f>
        <v>-24763.060000000012</v>
      </c>
      <c r="L4203" s="11">
        <v>-0.184</v>
      </c>
      <c r="M4203" s="11">
        <v>-2.4199999999999999E-2</v>
      </c>
      <c r="N4203">
        <v>11.8</v>
      </c>
      <c r="O4203">
        <v>56.35</v>
      </c>
      <c r="P4203">
        <v>3</v>
      </c>
      <c r="Q4203" t="s">
        <v>37</v>
      </c>
      <c r="R4203">
        <v>74.66</v>
      </c>
      <c r="S4203">
        <v>18.399999999999999</v>
      </c>
      <c r="T4203" s="4">
        <v>58.226999999999997</v>
      </c>
      <c r="U4203" s="4">
        <v>44.578485000000001</v>
      </c>
      <c r="V4203" t="str">
        <f>IF(Table1[[#This Row],[ai_disruption_intensity]]&gt;70,"High",
IF(Table1[[#This Row],[ai_disruption_intensity]]&gt;40,"Medium","Low"))</f>
        <v>Medium</v>
      </c>
      <c r="W4203" t="str">
        <f>IF(Table1[[#This Row],[skill_gap_index]]&gt;70,"Large Gap",
IF(Table1[[#This Row],[skill_gap_index]]&gt;40,"Medium Gap","Small Gap"))</f>
        <v>Large Gap</v>
      </c>
      <c r="X4203" s="3" t="str">
        <f>IF(Table1[[#This Row],[automation_risk_percent]]&gt;0.7,"Highly Automatable",
IF(Table1[[#This Row],[automation_risk_percent]]&gt;0.4,"Moderate Risk","Safe Job"))</f>
        <v>Highly Automatable</v>
      </c>
    </row>
    <row r="4204" spans="1:24" x14ac:dyDescent="0.3">
      <c r="A4204">
        <v>14641</v>
      </c>
      <c r="B4204" t="s">
        <v>22</v>
      </c>
      <c r="C4204" t="s">
        <v>19</v>
      </c>
      <c r="D4204" t="s">
        <v>20</v>
      </c>
      <c r="E4204" s="1">
        <v>2026</v>
      </c>
      <c r="F4204" s="11">
        <v>0.313</v>
      </c>
      <c r="G4204">
        <v>30.62</v>
      </c>
      <c r="H4204">
        <v>54.79</v>
      </c>
      <c r="I4204" s="2">
        <v>72552.789999999994</v>
      </c>
      <c r="J4204" s="2">
        <v>68317.820000000007</v>
      </c>
      <c r="K4204" s="2">
        <f>Table1[[#This Row],[Salary_after]]-Table1[[#This Row],[Salary_before]]</f>
        <v>-4234.9699999999866</v>
      </c>
      <c r="L4204" s="11">
        <v>-5.8400000000000001E-2</v>
      </c>
      <c r="M4204" s="11">
        <v>0.13519999999999999</v>
      </c>
      <c r="N4204">
        <v>84.01</v>
      </c>
      <c r="O4204">
        <v>40.9</v>
      </c>
      <c r="P4204">
        <v>1</v>
      </c>
      <c r="Q4204" t="s">
        <v>25</v>
      </c>
      <c r="R4204">
        <v>43.045000000000002</v>
      </c>
      <c r="S4204">
        <v>5.84</v>
      </c>
      <c r="T4204" s="4">
        <v>30.709</v>
      </c>
      <c r="U4204" s="4">
        <v>12.8017</v>
      </c>
      <c r="V4204" t="str">
        <f>IF(Table1[[#This Row],[ai_disruption_intensity]]&gt;70,"High",
IF(Table1[[#This Row],[ai_disruption_intensity]]&gt;40,"Medium","Low"))</f>
        <v>Low</v>
      </c>
      <c r="W4204" t="str">
        <f>IF(Table1[[#This Row],[skill_gap_index]]&gt;70,"Large Gap",
IF(Table1[[#This Row],[skill_gap_index]]&gt;40,"Medium Gap","Small Gap"))</f>
        <v>Medium Gap</v>
      </c>
      <c r="X4204" s="3" t="str">
        <f>IF(Table1[[#This Row],[automation_risk_percent]]&gt;0.7,"Highly Automatable",
IF(Table1[[#This Row],[automation_risk_percent]]&gt;0.4,"Moderate Risk","Safe Job"))</f>
        <v>Safe Job</v>
      </c>
    </row>
    <row r="4205" spans="1:24" x14ac:dyDescent="0.3">
      <c r="A4205">
        <v>14642</v>
      </c>
      <c r="B4205" t="s">
        <v>22</v>
      </c>
      <c r="C4205" t="s">
        <v>27</v>
      </c>
      <c r="D4205" t="s">
        <v>31</v>
      </c>
      <c r="E4205" s="1">
        <v>2026</v>
      </c>
      <c r="F4205" s="11">
        <v>0.70640000000000003</v>
      </c>
      <c r="G4205">
        <v>67.12</v>
      </c>
      <c r="H4205">
        <v>29.24</v>
      </c>
      <c r="I4205" s="2">
        <v>58512.67</v>
      </c>
      <c r="J4205" s="2">
        <v>52910.87</v>
      </c>
      <c r="K4205" s="2">
        <f>Table1[[#This Row],[Salary_after]]-Table1[[#This Row],[Salary_before]]</f>
        <v>-5601.7999999999956</v>
      </c>
      <c r="L4205" s="11">
        <v>-9.5700000000000007E-2</v>
      </c>
      <c r="M4205" s="11">
        <v>-1.26E-2</v>
      </c>
      <c r="N4205">
        <v>77.55</v>
      </c>
      <c r="O4205">
        <v>98.18</v>
      </c>
      <c r="P4205">
        <v>1</v>
      </c>
      <c r="Q4205" t="s">
        <v>37</v>
      </c>
      <c r="R4205">
        <v>49.94</v>
      </c>
      <c r="S4205">
        <v>9.57</v>
      </c>
      <c r="T4205" s="4">
        <v>39.899000000000001</v>
      </c>
      <c r="U4205" s="4">
        <v>69.354352000000006</v>
      </c>
      <c r="V4205" t="str">
        <f>IF(Table1[[#This Row],[ai_disruption_intensity]]&gt;70,"High",
IF(Table1[[#This Row],[ai_disruption_intensity]]&gt;40,"Medium","Low"))</f>
        <v>Medium</v>
      </c>
      <c r="W4205" t="str">
        <f>IF(Table1[[#This Row],[skill_gap_index]]&gt;70,"Large Gap",
IF(Table1[[#This Row],[skill_gap_index]]&gt;40,"Medium Gap","Small Gap"))</f>
        <v>Small Gap</v>
      </c>
      <c r="X4205" s="3" t="str">
        <f>IF(Table1[[#This Row],[automation_risk_percent]]&gt;0.7,"Highly Automatable",
IF(Table1[[#This Row],[automation_risk_percent]]&gt;0.4,"Moderate Risk","Safe Job"))</f>
        <v>Highly Automatable</v>
      </c>
    </row>
    <row r="4206" spans="1:24" x14ac:dyDescent="0.3">
      <c r="A4206">
        <v>14645</v>
      </c>
      <c r="B4206" t="s">
        <v>43</v>
      </c>
      <c r="C4206" t="s">
        <v>38</v>
      </c>
      <c r="D4206" t="s">
        <v>36</v>
      </c>
      <c r="E4206" s="1">
        <v>2025</v>
      </c>
      <c r="F4206" s="11">
        <v>0.77450000000000008</v>
      </c>
      <c r="G4206">
        <v>81.66</v>
      </c>
      <c r="H4206">
        <v>74.55</v>
      </c>
      <c r="I4206" s="2">
        <v>135679.9</v>
      </c>
      <c r="J4206" s="2">
        <v>137799.28</v>
      </c>
      <c r="K4206" s="2">
        <f>Table1[[#This Row],[Salary_after]]-Table1[[#This Row],[Salary_before]]</f>
        <v>2119.3800000000047</v>
      </c>
      <c r="L4206" s="11">
        <v>1.5600000000000001E-2</v>
      </c>
      <c r="M4206" s="11">
        <v>-4.41E-2</v>
      </c>
      <c r="N4206">
        <v>87.72</v>
      </c>
      <c r="O4206">
        <v>91.31</v>
      </c>
      <c r="P4206">
        <v>4</v>
      </c>
      <c r="Q4206" t="s">
        <v>37</v>
      </c>
      <c r="R4206">
        <v>76</v>
      </c>
      <c r="S4206">
        <v>1.56</v>
      </c>
      <c r="T4206" s="4">
        <v>53.813000000000002</v>
      </c>
      <c r="U4206" s="4">
        <v>70.719594999999998</v>
      </c>
      <c r="V4206" t="str">
        <f>IF(Table1[[#This Row],[ai_disruption_intensity]]&gt;70,"High",
IF(Table1[[#This Row],[ai_disruption_intensity]]&gt;40,"Medium","Low"))</f>
        <v>High</v>
      </c>
      <c r="W4206" t="str">
        <f>IF(Table1[[#This Row],[skill_gap_index]]&gt;70,"Large Gap",
IF(Table1[[#This Row],[skill_gap_index]]&gt;40,"Medium Gap","Small Gap"))</f>
        <v>Large Gap</v>
      </c>
      <c r="X4206" s="3" t="str">
        <f>IF(Table1[[#This Row],[automation_risk_percent]]&gt;0.7,"Highly Automatable",
IF(Table1[[#This Row],[automation_risk_percent]]&gt;0.4,"Moderate Risk","Safe Job"))</f>
        <v>Highly Automatable</v>
      </c>
    </row>
    <row r="4207" spans="1:24" x14ac:dyDescent="0.3">
      <c r="A4207">
        <v>14647</v>
      </c>
      <c r="B4207" t="s">
        <v>29</v>
      </c>
      <c r="C4207" t="s">
        <v>38</v>
      </c>
      <c r="D4207" t="s">
        <v>20</v>
      </c>
      <c r="E4207" s="1">
        <v>2026</v>
      </c>
      <c r="F4207" s="11">
        <v>0.49430000000000002</v>
      </c>
      <c r="G4207">
        <v>54.1</v>
      </c>
      <c r="H4207">
        <v>21.04</v>
      </c>
      <c r="I4207" s="2">
        <v>106903.87</v>
      </c>
      <c r="J4207" s="2">
        <v>92029.64</v>
      </c>
      <c r="K4207" s="2">
        <f>Table1[[#This Row],[Salary_after]]-Table1[[#This Row],[Salary_before]]</f>
        <v>-14874.229999999996</v>
      </c>
      <c r="L4207" s="11">
        <v>-0.1391</v>
      </c>
      <c r="M4207" s="11">
        <v>0.12480000000000001</v>
      </c>
      <c r="N4207">
        <v>55.38</v>
      </c>
      <c r="O4207">
        <v>86.64</v>
      </c>
      <c r="P4207">
        <v>4</v>
      </c>
      <c r="Q4207" t="s">
        <v>25</v>
      </c>
      <c r="R4207">
        <v>35.234999999999999</v>
      </c>
      <c r="S4207">
        <v>13.91</v>
      </c>
      <c r="T4207" s="4">
        <v>30.257000000000001</v>
      </c>
      <c r="U4207" s="4">
        <v>42.826152</v>
      </c>
      <c r="V4207" t="str">
        <f>IF(Table1[[#This Row],[ai_disruption_intensity]]&gt;70,"High",
IF(Table1[[#This Row],[ai_disruption_intensity]]&gt;40,"Medium","Low"))</f>
        <v>Medium</v>
      </c>
      <c r="W4207" t="str">
        <f>IF(Table1[[#This Row],[skill_gap_index]]&gt;70,"Large Gap",
IF(Table1[[#This Row],[skill_gap_index]]&gt;40,"Medium Gap","Small Gap"))</f>
        <v>Small Gap</v>
      </c>
      <c r="X4207" s="3" t="str">
        <f>IF(Table1[[#This Row],[automation_risk_percent]]&gt;0.7,"Highly Automatable",
IF(Table1[[#This Row],[automation_risk_percent]]&gt;0.4,"Moderate Risk","Safe Job"))</f>
        <v>Moderate Risk</v>
      </c>
    </row>
    <row r="4208" spans="1:24" x14ac:dyDescent="0.3">
      <c r="A4208">
        <v>14648</v>
      </c>
      <c r="B4208" t="s">
        <v>18</v>
      </c>
      <c r="C4208" t="s">
        <v>33</v>
      </c>
      <c r="D4208" t="s">
        <v>42</v>
      </c>
      <c r="E4208" s="1">
        <v>2025</v>
      </c>
      <c r="F4208" s="11">
        <v>0.65670000000000006</v>
      </c>
      <c r="G4208">
        <v>67.930000000000007</v>
      </c>
      <c r="H4208">
        <v>66.72</v>
      </c>
      <c r="I4208" s="2">
        <v>34204.75</v>
      </c>
      <c r="J4208" s="2">
        <v>33426.449999999997</v>
      </c>
      <c r="K4208" s="2">
        <f>Table1[[#This Row],[Salary_after]]-Table1[[#This Row],[Salary_before]]</f>
        <v>-778.30000000000291</v>
      </c>
      <c r="L4208" s="11">
        <v>-2.2799999999999997E-2</v>
      </c>
      <c r="M4208" s="11">
        <v>-2.46E-2</v>
      </c>
      <c r="N4208">
        <v>44.53</v>
      </c>
      <c r="O4208">
        <v>29.79</v>
      </c>
      <c r="P4208">
        <v>5</v>
      </c>
      <c r="Q4208" t="s">
        <v>37</v>
      </c>
      <c r="R4208">
        <v>66.194999999999993</v>
      </c>
      <c r="S4208">
        <v>2.2799999999999998</v>
      </c>
      <c r="T4208" s="4">
        <v>46.967999999999897</v>
      </c>
      <c r="U4208" s="4">
        <v>19.563092999999999</v>
      </c>
      <c r="V4208" t="str">
        <f>IF(Table1[[#This Row],[ai_disruption_intensity]]&gt;70,"High",
IF(Table1[[#This Row],[ai_disruption_intensity]]&gt;40,"Medium","Low"))</f>
        <v>Low</v>
      </c>
      <c r="W4208" t="str">
        <f>IF(Table1[[#This Row],[skill_gap_index]]&gt;70,"Large Gap",
IF(Table1[[#This Row],[skill_gap_index]]&gt;40,"Medium Gap","Small Gap"))</f>
        <v>Medium Gap</v>
      </c>
      <c r="X4208" s="3" t="str">
        <f>IF(Table1[[#This Row],[automation_risk_percent]]&gt;0.7,"Highly Automatable",
IF(Table1[[#This Row],[automation_risk_percent]]&gt;0.4,"Moderate Risk","Safe Job"))</f>
        <v>Moderate Risk</v>
      </c>
    </row>
    <row r="4209" spans="1:24" x14ac:dyDescent="0.3">
      <c r="A4209">
        <v>14652</v>
      </c>
      <c r="B4209" t="s">
        <v>22</v>
      </c>
      <c r="C4209" t="s">
        <v>33</v>
      </c>
      <c r="D4209" t="s">
        <v>28</v>
      </c>
      <c r="E4209" s="1">
        <v>2025</v>
      </c>
      <c r="F4209" s="11">
        <v>0.16109999999999999</v>
      </c>
      <c r="G4209">
        <v>15.18</v>
      </c>
      <c r="H4209">
        <v>59.33</v>
      </c>
      <c r="I4209" s="2">
        <v>95315.37</v>
      </c>
      <c r="J4209" s="2">
        <v>72443.350000000006</v>
      </c>
      <c r="K4209" s="2">
        <f>Table1[[#This Row],[Salary_after]]-Table1[[#This Row],[Salary_before]]</f>
        <v>-22872.01999999999</v>
      </c>
      <c r="L4209" s="11">
        <v>-0.24</v>
      </c>
      <c r="M4209" s="11">
        <v>2.5399999999999999E-2</v>
      </c>
      <c r="N4209">
        <v>85.12</v>
      </c>
      <c r="O4209">
        <v>13.81</v>
      </c>
      <c r="P4209">
        <v>2</v>
      </c>
      <c r="Q4209" t="s">
        <v>21</v>
      </c>
      <c r="R4209">
        <v>37.72</v>
      </c>
      <c r="S4209">
        <v>24</v>
      </c>
      <c r="T4209" s="4">
        <v>31.442999999999898</v>
      </c>
      <c r="U4209" s="4">
        <v>2.22479099999999</v>
      </c>
      <c r="V4209" t="str">
        <f>IF(Table1[[#This Row],[ai_disruption_intensity]]&gt;70,"High",
IF(Table1[[#This Row],[ai_disruption_intensity]]&gt;40,"Medium","Low"))</f>
        <v>Low</v>
      </c>
      <c r="W4209" t="str">
        <f>IF(Table1[[#This Row],[skill_gap_index]]&gt;70,"Large Gap",
IF(Table1[[#This Row],[skill_gap_index]]&gt;40,"Medium Gap","Small Gap"))</f>
        <v>Medium Gap</v>
      </c>
      <c r="X4209" s="3" t="str">
        <f>IF(Table1[[#This Row],[automation_risk_percent]]&gt;0.7,"Highly Automatable",
IF(Table1[[#This Row],[automation_risk_percent]]&gt;0.4,"Moderate Risk","Safe Job"))</f>
        <v>Safe Job</v>
      </c>
    </row>
    <row r="4210" spans="1:24" x14ac:dyDescent="0.3">
      <c r="A4210">
        <v>14653</v>
      </c>
      <c r="B4210" t="s">
        <v>26</v>
      </c>
      <c r="C4210" t="s">
        <v>23</v>
      </c>
      <c r="D4210" t="s">
        <v>32</v>
      </c>
      <c r="E4210" s="1">
        <v>2025</v>
      </c>
      <c r="F4210" s="11">
        <v>0.35100000000000003</v>
      </c>
      <c r="G4210">
        <v>36.119999999999997</v>
      </c>
      <c r="H4210">
        <v>88.48</v>
      </c>
      <c r="I4210" s="2">
        <v>63895.91</v>
      </c>
      <c r="J4210" s="2">
        <v>69207.53</v>
      </c>
      <c r="K4210" s="2">
        <f>Table1[[#This Row],[Salary_after]]-Table1[[#This Row],[Salary_before]]</f>
        <v>5311.6199999999953</v>
      </c>
      <c r="L4210" s="11">
        <v>8.3100000000000007E-2</v>
      </c>
      <c r="M4210" s="11">
        <v>-1.0700000000000001E-2</v>
      </c>
      <c r="N4210">
        <v>34.92</v>
      </c>
      <c r="O4210">
        <v>5.39</v>
      </c>
      <c r="P4210">
        <v>4</v>
      </c>
      <c r="Q4210" t="s">
        <v>25</v>
      </c>
      <c r="R4210">
        <v>61.79</v>
      </c>
      <c r="S4210">
        <v>8.31</v>
      </c>
      <c r="T4210" s="4">
        <v>43.076999999999998</v>
      </c>
      <c r="U4210" s="4">
        <v>1.8918899999999901</v>
      </c>
      <c r="V4210" t="str">
        <f>IF(Table1[[#This Row],[ai_disruption_intensity]]&gt;70,"High",
IF(Table1[[#This Row],[ai_disruption_intensity]]&gt;40,"Medium","Low"))</f>
        <v>Low</v>
      </c>
      <c r="W4210" t="str">
        <f>IF(Table1[[#This Row],[skill_gap_index]]&gt;70,"Large Gap",
IF(Table1[[#This Row],[skill_gap_index]]&gt;40,"Medium Gap","Small Gap"))</f>
        <v>Large Gap</v>
      </c>
      <c r="X4210" s="3" t="str">
        <f>IF(Table1[[#This Row],[automation_risk_percent]]&gt;0.7,"Highly Automatable",
IF(Table1[[#This Row],[automation_risk_percent]]&gt;0.4,"Moderate Risk","Safe Job"))</f>
        <v>Safe Job</v>
      </c>
    </row>
    <row r="4211" spans="1:24" x14ac:dyDescent="0.3">
      <c r="A4211">
        <v>14655</v>
      </c>
      <c r="B4211" t="s">
        <v>39</v>
      </c>
      <c r="C4211" t="s">
        <v>38</v>
      </c>
      <c r="D4211" t="s">
        <v>24</v>
      </c>
      <c r="E4211" s="1">
        <v>2025</v>
      </c>
      <c r="F4211" s="11">
        <v>0.24710000000000001</v>
      </c>
      <c r="G4211">
        <v>28.63</v>
      </c>
      <c r="H4211">
        <v>27.92</v>
      </c>
      <c r="I4211" s="2">
        <v>61875.94</v>
      </c>
      <c r="J4211" s="2">
        <v>63159.95</v>
      </c>
      <c r="K4211" s="2">
        <f>Table1[[#This Row],[Salary_after]]-Table1[[#This Row],[Salary_before]]</f>
        <v>1284.0099999999948</v>
      </c>
      <c r="L4211" s="11">
        <v>2.0799999999999999E-2</v>
      </c>
      <c r="M4211" s="11">
        <v>5.9500000000000004E-2</v>
      </c>
      <c r="N4211">
        <v>63.12</v>
      </c>
      <c r="O4211">
        <v>94.19</v>
      </c>
      <c r="P4211">
        <v>2</v>
      </c>
      <c r="Q4211" t="s">
        <v>21</v>
      </c>
      <c r="R4211">
        <v>26.315000000000001</v>
      </c>
      <c r="S4211">
        <v>2.08</v>
      </c>
      <c r="T4211" s="4">
        <v>18.883999999999901</v>
      </c>
      <c r="U4211" s="4">
        <v>23.274349000000001</v>
      </c>
      <c r="V4211" t="str">
        <f>IF(Table1[[#This Row],[ai_disruption_intensity]]&gt;70,"High",
IF(Table1[[#This Row],[ai_disruption_intensity]]&gt;40,"Medium","Low"))</f>
        <v>Low</v>
      </c>
      <c r="W4211" t="str">
        <f>IF(Table1[[#This Row],[skill_gap_index]]&gt;70,"Large Gap",
IF(Table1[[#This Row],[skill_gap_index]]&gt;40,"Medium Gap","Small Gap"))</f>
        <v>Small Gap</v>
      </c>
      <c r="X4211" s="3" t="str">
        <f>IF(Table1[[#This Row],[automation_risk_percent]]&gt;0.7,"Highly Automatable",
IF(Table1[[#This Row],[automation_risk_percent]]&gt;0.4,"Moderate Risk","Safe Job"))</f>
        <v>Safe Job</v>
      </c>
    </row>
    <row r="4212" spans="1:24" x14ac:dyDescent="0.3">
      <c r="A4212">
        <v>14657</v>
      </c>
      <c r="B4212" t="s">
        <v>43</v>
      </c>
      <c r="C4212" t="s">
        <v>40</v>
      </c>
      <c r="D4212" t="s">
        <v>28</v>
      </c>
      <c r="E4212" s="1">
        <v>2026</v>
      </c>
      <c r="F4212" s="11">
        <v>0.79099999999999993</v>
      </c>
      <c r="G4212">
        <v>68.66</v>
      </c>
      <c r="H4212">
        <v>63.21</v>
      </c>
      <c r="I4212" s="2">
        <v>77352.899999999994</v>
      </c>
      <c r="J4212" s="2">
        <v>71124.12</v>
      </c>
      <c r="K4212" s="2">
        <f>Table1[[#This Row],[Salary_after]]-Table1[[#This Row],[Salary_before]]</f>
        <v>-6228.7799999999988</v>
      </c>
      <c r="L4212" s="11">
        <v>-8.0500000000000002E-2</v>
      </c>
      <c r="M4212" s="11">
        <v>1.04E-2</v>
      </c>
      <c r="N4212">
        <v>57.93</v>
      </c>
      <c r="O4212">
        <v>56.99</v>
      </c>
      <c r="P4212">
        <v>5</v>
      </c>
      <c r="Q4212" t="s">
        <v>37</v>
      </c>
      <c r="R4212">
        <v>71.155000000000001</v>
      </c>
      <c r="S4212">
        <v>8.0500000000000007</v>
      </c>
      <c r="T4212" s="4">
        <v>53.018000000000001</v>
      </c>
      <c r="U4212" s="4">
        <v>45.079089999999901</v>
      </c>
      <c r="V4212" t="str">
        <f>IF(Table1[[#This Row],[ai_disruption_intensity]]&gt;70,"High",
IF(Table1[[#This Row],[ai_disruption_intensity]]&gt;40,"Medium","Low"))</f>
        <v>Medium</v>
      </c>
      <c r="W4212" t="str">
        <f>IF(Table1[[#This Row],[skill_gap_index]]&gt;70,"Large Gap",
IF(Table1[[#This Row],[skill_gap_index]]&gt;40,"Medium Gap","Small Gap"))</f>
        <v>Medium Gap</v>
      </c>
      <c r="X4212" s="3" t="str">
        <f>IF(Table1[[#This Row],[automation_risk_percent]]&gt;0.7,"Highly Automatable",
IF(Table1[[#This Row],[automation_risk_percent]]&gt;0.4,"Moderate Risk","Safe Job"))</f>
        <v>Highly Automatable</v>
      </c>
    </row>
    <row r="4213" spans="1:24" x14ac:dyDescent="0.3">
      <c r="A4213">
        <v>14661</v>
      </c>
      <c r="B4213" t="s">
        <v>29</v>
      </c>
      <c r="C4213" t="s">
        <v>19</v>
      </c>
      <c r="D4213" t="s">
        <v>24</v>
      </c>
      <c r="E4213" s="1">
        <v>2025</v>
      </c>
      <c r="F4213" s="11">
        <v>0.39380000000000004</v>
      </c>
      <c r="G4213">
        <v>39.08</v>
      </c>
      <c r="H4213">
        <v>21.09</v>
      </c>
      <c r="I4213" s="2">
        <v>134479.14000000001</v>
      </c>
      <c r="J4213" s="2">
        <v>125365.1</v>
      </c>
      <c r="K4213" s="2">
        <f>Table1[[#This Row],[Salary_after]]-Table1[[#This Row],[Salary_before]]</f>
        <v>-9114.0400000000081</v>
      </c>
      <c r="L4213" s="11">
        <v>-6.7799999999999999E-2</v>
      </c>
      <c r="M4213" s="11">
        <v>7.3800000000000004E-2</v>
      </c>
      <c r="N4213">
        <v>42.93</v>
      </c>
      <c r="O4213">
        <v>3.84</v>
      </c>
      <c r="P4213">
        <v>4</v>
      </c>
      <c r="Q4213" t="s">
        <v>25</v>
      </c>
      <c r="R4213">
        <v>30.234999999999999</v>
      </c>
      <c r="S4213">
        <v>6.78</v>
      </c>
      <c r="T4213" s="4">
        <v>24.113</v>
      </c>
      <c r="U4213" s="4">
        <v>1.512192</v>
      </c>
      <c r="V4213" t="str">
        <f>IF(Table1[[#This Row],[ai_disruption_intensity]]&gt;70,"High",
IF(Table1[[#This Row],[ai_disruption_intensity]]&gt;40,"Medium","Low"))</f>
        <v>Low</v>
      </c>
      <c r="W4213" t="str">
        <f>IF(Table1[[#This Row],[skill_gap_index]]&gt;70,"Large Gap",
IF(Table1[[#This Row],[skill_gap_index]]&gt;40,"Medium Gap","Small Gap"))</f>
        <v>Small Gap</v>
      </c>
      <c r="X4213" s="3" t="str">
        <f>IF(Table1[[#This Row],[automation_risk_percent]]&gt;0.7,"Highly Automatable",
IF(Table1[[#This Row],[automation_risk_percent]]&gt;0.4,"Moderate Risk","Safe Job"))</f>
        <v>Safe Job</v>
      </c>
    </row>
    <row r="4214" spans="1:24" x14ac:dyDescent="0.3">
      <c r="A4214">
        <v>14662</v>
      </c>
      <c r="B4214" t="s">
        <v>26</v>
      </c>
      <c r="C4214" t="s">
        <v>19</v>
      </c>
      <c r="D4214" t="s">
        <v>32</v>
      </c>
      <c r="E4214" s="1">
        <v>2026</v>
      </c>
      <c r="F4214" s="11">
        <v>0.68930000000000002</v>
      </c>
      <c r="G4214">
        <v>77.849999999999994</v>
      </c>
      <c r="H4214">
        <v>35.29</v>
      </c>
      <c r="I4214" s="2">
        <v>76118.48</v>
      </c>
      <c r="J4214" s="2">
        <v>87199.64</v>
      </c>
      <c r="K4214" s="2">
        <f>Table1[[#This Row],[Salary_after]]-Table1[[#This Row],[Salary_before]]</f>
        <v>11081.160000000003</v>
      </c>
      <c r="L4214" s="11">
        <v>0.14560000000000001</v>
      </c>
      <c r="M4214" s="11">
        <v>-7.0599999999999996E-2</v>
      </c>
      <c r="N4214">
        <v>41.33</v>
      </c>
      <c r="O4214">
        <v>21.24</v>
      </c>
      <c r="P4214">
        <v>3</v>
      </c>
      <c r="Q4214" t="s">
        <v>37</v>
      </c>
      <c r="R4214">
        <v>52.11</v>
      </c>
      <c r="S4214">
        <v>14.56</v>
      </c>
      <c r="T4214" s="4">
        <v>42.527000000000001</v>
      </c>
      <c r="U4214" s="4">
        <v>14.640732</v>
      </c>
      <c r="V4214" t="str">
        <f>IF(Table1[[#This Row],[ai_disruption_intensity]]&gt;70,"High",
IF(Table1[[#This Row],[ai_disruption_intensity]]&gt;40,"Medium","Low"))</f>
        <v>Low</v>
      </c>
      <c r="W4214" t="str">
        <f>IF(Table1[[#This Row],[skill_gap_index]]&gt;70,"Large Gap",
IF(Table1[[#This Row],[skill_gap_index]]&gt;40,"Medium Gap","Small Gap"))</f>
        <v>Small Gap</v>
      </c>
      <c r="X4214" s="3" t="str">
        <f>IF(Table1[[#This Row],[automation_risk_percent]]&gt;0.7,"Highly Automatable",
IF(Table1[[#This Row],[automation_risk_percent]]&gt;0.4,"Moderate Risk","Safe Job"))</f>
        <v>Moderate Risk</v>
      </c>
    </row>
    <row r="4215" spans="1:24" x14ac:dyDescent="0.3">
      <c r="A4215">
        <v>14667</v>
      </c>
      <c r="B4215" t="s">
        <v>29</v>
      </c>
      <c r="C4215" t="s">
        <v>40</v>
      </c>
      <c r="D4215" t="s">
        <v>47</v>
      </c>
      <c r="E4215" s="1">
        <v>2026</v>
      </c>
      <c r="F4215" s="11">
        <v>0.71189999999999998</v>
      </c>
      <c r="G4215">
        <v>60.66</v>
      </c>
      <c r="H4215">
        <v>52</v>
      </c>
      <c r="I4215" s="2">
        <v>82604.56</v>
      </c>
      <c r="J4215" s="2">
        <v>78648.899999999994</v>
      </c>
      <c r="K4215" s="2">
        <f>Table1[[#This Row],[Salary_after]]-Table1[[#This Row],[Salary_before]]</f>
        <v>-3955.6600000000035</v>
      </c>
      <c r="L4215" s="11">
        <v>-4.7899999999999998E-2</v>
      </c>
      <c r="M4215" s="11">
        <v>0.24829999999999999</v>
      </c>
      <c r="N4215">
        <v>84</v>
      </c>
      <c r="O4215">
        <v>41.2</v>
      </c>
      <c r="P4215">
        <v>1</v>
      </c>
      <c r="Q4215" t="s">
        <v>37</v>
      </c>
      <c r="R4215">
        <v>61.594999999999999</v>
      </c>
      <c r="S4215">
        <v>4.79</v>
      </c>
      <c r="T4215" s="4">
        <v>45.512999999999998</v>
      </c>
      <c r="U4215" s="4">
        <v>29.330279999999998</v>
      </c>
      <c r="V4215" t="str">
        <f>IF(Table1[[#This Row],[ai_disruption_intensity]]&gt;70,"High",
IF(Table1[[#This Row],[ai_disruption_intensity]]&gt;40,"Medium","Low"))</f>
        <v>Low</v>
      </c>
      <c r="W4215" t="str">
        <f>IF(Table1[[#This Row],[skill_gap_index]]&gt;70,"Large Gap",
IF(Table1[[#This Row],[skill_gap_index]]&gt;40,"Medium Gap","Small Gap"))</f>
        <v>Medium Gap</v>
      </c>
      <c r="X4215" s="3" t="str">
        <f>IF(Table1[[#This Row],[automation_risk_percent]]&gt;0.7,"Highly Automatable",
IF(Table1[[#This Row],[automation_risk_percent]]&gt;0.4,"Moderate Risk","Safe Job"))</f>
        <v>Highly Automatable</v>
      </c>
    </row>
    <row r="4216" spans="1:24" x14ac:dyDescent="0.3">
      <c r="A4216">
        <v>14669</v>
      </c>
      <c r="B4216" t="s">
        <v>26</v>
      </c>
      <c r="C4216" t="s">
        <v>23</v>
      </c>
      <c r="D4216" t="s">
        <v>28</v>
      </c>
      <c r="E4216" s="1">
        <v>2025</v>
      </c>
      <c r="F4216" s="11">
        <v>0.55710000000000004</v>
      </c>
      <c r="G4216">
        <v>61.46</v>
      </c>
      <c r="H4216">
        <v>8.9499999999999993</v>
      </c>
      <c r="I4216" s="2">
        <v>69973.649999999994</v>
      </c>
      <c r="J4216" s="2">
        <v>66553.17</v>
      </c>
      <c r="K4216" s="2">
        <f>Table1[[#This Row],[Salary_after]]-Table1[[#This Row],[Salary_before]]</f>
        <v>-3420.4799999999959</v>
      </c>
      <c r="L4216" s="11">
        <v>-4.8899999999999999E-2</v>
      </c>
      <c r="M4216" s="11">
        <v>1.89E-2</v>
      </c>
      <c r="N4216">
        <v>92.26</v>
      </c>
      <c r="O4216">
        <v>61.01</v>
      </c>
      <c r="P4216">
        <v>1</v>
      </c>
      <c r="Q4216" t="s">
        <v>25</v>
      </c>
      <c r="R4216">
        <v>32.33</v>
      </c>
      <c r="S4216">
        <v>4.8899999999999997</v>
      </c>
      <c r="T4216" s="4">
        <v>26.436</v>
      </c>
      <c r="U4216" s="4">
        <v>33.988670999999997</v>
      </c>
      <c r="V4216" t="str">
        <f>IF(Table1[[#This Row],[ai_disruption_intensity]]&gt;70,"High",
IF(Table1[[#This Row],[ai_disruption_intensity]]&gt;40,"Medium","Low"))</f>
        <v>Low</v>
      </c>
      <c r="W4216" t="str">
        <f>IF(Table1[[#This Row],[skill_gap_index]]&gt;70,"Large Gap",
IF(Table1[[#This Row],[skill_gap_index]]&gt;40,"Medium Gap","Small Gap"))</f>
        <v>Small Gap</v>
      </c>
      <c r="X4216" s="3" t="str">
        <f>IF(Table1[[#This Row],[automation_risk_percent]]&gt;0.7,"Highly Automatable",
IF(Table1[[#This Row],[automation_risk_percent]]&gt;0.4,"Moderate Risk","Safe Job"))</f>
        <v>Moderate Risk</v>
      </c>
    </row>
    <row r="4217" spans="1:24" x14ac:dyDescent="0.3">
      <c r="A4217">
        <v>14671</v>
      </c>
      <c r="B4217" t="s">
        <v>44</v>
      </c>
      <c r="C4217" t="s">
        <v>19</v>
      </c>
      <c r="D4217" t="s">
        <v>42</v>
      </c>
      <c r="E4217" s="1">
        <v>2025</v>
      </c>
      <c r="F4217" s="11">
        <v>0.64579999999999993</v>
      </c>
      <c r="G4217">
        <v>60.33</v>
      </c>
      <c r="H4217">
        <v>66.73</v>
      </c>
      <c r="I4217" s="2">
        <v>103332.17</v>
      </c>
      <c r="J4217" s="2">
        <v>116842.63</v>
      </c>
      <c r="K4217" s="2">
        <f>Table1[[#This Row],[Salary_after]]-Table1[[#This Row],[Salary_before]]</f>
        <v>13510.460000000006</v>
      </c>
      <c r="L4217" s="11">
        <v>0.13070000000000001</v>
      </c>
      <c r="M4217" s="11">
        <v>5.4600000000000003E-2</v>
      </c>
      <c r="N4217">
        <v>60.01</v>
      </c>
      <c r="O4217">
        <v>15.33</v>
      </c>
      <c r="P4217">
        <v>1</v>
      </c>
      <c r="Q4217" t="s">
        <v>37</v>
      </c>
      <c r="R4217">
        <v>65.655000000000001</v>
      </c>
      <c r="S4217">
        <v>13.07</v>
      </c>
      <c r="T4217" s="4">
        <v>49.771999999999998</v>
      </c>
      <c r="U4217" s="4">
        <v>9.9001140000000003</v>
      </c>
      <c r="V4217" t="str">
        <f>IF(Table1[[#This Row],[ai_disruption_intensity]]&gt;70,"High",
IF(Table1[[#This Row],[ai_disruption_intensity]]&gt;40,"Medium","Low"))</f>
        <v>Low</v>
      </c>
      <c r="W4217" t="str">
        <f>IF(Table1[[#This Row],[skill_gap_index]]&gt;70,"Large Gap",
IF(Table1[[#This Row],[skill_gap_index]]&gt;40,"Medium Gap","Small Gap"))</f>
        <v>Medium Gap</v>
      </c>
      <c r="X4217" s="3" t="str">
        <f>IF(Table1[[#This Row],[automation_risk_percent]]&gt;0.7,"Highly Automatable",
IF(Table1[[#This Row],[automation_risk_percent]]&gt;0.4,"Moderate Risk","Safe Job"))</f>
        <v>Moderate Risk</v>
      </c>
    </row>
    <row r="4218" spans="1:24" x14ac:dyDescent="0.3">
      <c r="A4218">
        <v>14675</v>
      </c>
      <c r="B4218" t="s">
        <v>18</v>
      </c>
      <c r="C4218" t="s">
        <v>34</v>
      </c>
      <c r="D4218" t="s">
        <v>28</v>
      </c>
      <c r="E4218" s="1">
        <v>2026</v>
      </c>
      <c r="F4218" s="11">
        <v>0.5716</v>
      </c>
      <c r="G4218">
        <v>56.07</v>
      </c>
      <c r="H4218">
        <v>43.1</v>
      </c>
      <c r="I4218" s="2">
        <v>130905.23</v>
      </c>
      <c r="J4218" s="2">
        <v>151338.79</v>
      </c>
      <c r="K4218" s="2">
        <f>Table1[[#This Row],[Salary_after]]-Table1[[#This Row],[Salary_before]]</f>
        <v>20433.560000000012</v>
      </c>
      <c r="L4218" s="11">
        <v>0.15609999999999999</v>
      </c>
      <c r="M4218" s="11">
        <v>9.4299999999999995E-2</v>
      </c>
      <c r="N4218">
        <v>92.84</v>
      </c>
      <c r="O4218">
        <v>88.36</v>
      </c>
      <c r="P4218">
        <v>3</v>
      </c>
      <c r="Q4218" t="s">
        <v>25</v>
      </c>
      <c r="R4218">
        <v>50.129999999999903</v>
      </c>
      <c r="S4218">
        <v>15.61</v>
      </c>
      <c r="T4218" s="4">
        <v>40.476999999999997</v>
      </c>
      <c r="U4218" s="4">
        <v>50.506575999999903</v>
      </c>
      <c r="V4218" t="str">
        <f>IF(Table1[[#This Row],[ai_disruption_intensity]]&gt;70,"High",
IF(Table1[[#This Row],[ai_disruption_intensity]]&gt;40,"Medium","Low"))</f>
        <v>Medium</v>
      </c>
      <c r="W4218" t="str">
        <f>IF(Table1[[#This Row],[skill_gap_index]]&gt;70,"Large Gap",
IF(Table1[[#This Row],[skill_gap_index]]&gt;40,"Medium Gap","Small Gap"))</f>
        <v>Medium Gap</v>
      </c>
      <c r="X4218" s="3" t="str">
        <f>IF(Table1[[#This Row],[automation_risk_percent]]&gt;0.7,"Highly Automatable",
IF(Table1[[#This Row],[automation_risk_percent]]&gt;0.4,"Moderate Risk","Safe Job"))</f>
        <v>Moderate Risk</v>
      </c>
    </row>
    <row r="4219" spans="1:24" x14ac:dyDescent="0.3">
      <c r="A4219">
        <v>14679</v>
      </c>
      <c r="B4219" t="s">
        <v>26</v>
      </c>
      <c r="C4219" t="s">
        <v>34</v>
      </c>
      <c r="D4219" t="s">
        <v>20</v>
      </c>
      <c r="E4219" s="1">
        <v>2025</v>
      </c>
      <c r="F4219" s="11">
        <v>0.60980000000000001</v>
      </c>
      <c r="G4219">
        <v>59.47</v>
      </c>
      <c r="H4219">
        <v>93.66</v>
      </c>
      <c r="I4219" s="2">
        <v>106454.5</v>
      </c>
      <c r="J4219" s="2">
        <v>100844.07</v>
      </c>
      <c r="K4219" s="2">
        <f>Table1[[#This Row],[Salary_after]]-Table1[[#This Row],[Salary_before]]</f>
        <v>-5610.429999999993</v>
      </c>
      <c r="L4219" s="11">
        <v>-5.2699999999999997E-2</v>
      </c>
      <c r="M4219" s="11">
        <v>0.13669999999999999</v>
      </c>
      <c r="N4219">
        <v>55</v>
      </c>
      <c r="O4219">
        <v>11.75</v>
      </c>
      <c r="P4219">
        <v>4</v>
      </c>
      <c r="Q4219" t="s">
        <v>37</v>
      </c>
      <c r="R4219">
        <v>77.319999999999993</v>
      </c>
      <c r="S4219">
        <v>5.27</v>
      </c>
      <c r="T4219" s="4">
        <v>54.070999999999998</v>
      </c>
      <c r="U4219" s="4">
        <v>7.1651499999999997</v>
      </c>
      <c r="V4219" t="str">
        <f>IF(Table1[[#This Row],[ai_disruption_intensity]]&gt;70,"High",
IF(Table1[[#This Row],[ai_disruption_intensity]]&gt;40,"Medium","Low"))</f>
        <v>Low</v>
      </c>
      <c r="W4219" t="str">
        <f>IF(Table1[[#This Row],[skill_gap_index]]&gt;70,"Large Gap",
IF(Table1[[#This Row],[skill_gap_index]]&gt;40,"Medium Gap","Small Gap"))</f>
        <v>Large Gap</v>
      </c>
      <c r="X4219" s="3" t="str">
        <f>IF(Table1[[#This Row],[automation_risk_percent]]&gt;0.7,"Highly Automatable",
IF(Table1[[#This Row],[automation_risk_percent]]&gt;0.4,"Moderate Risk","Safe Job"))</f>
        <v>Moderate Risk</v>
      </c>
    </row>
    <row r="4220" spans="1:24" x14ac:dyDescent="0.3">
      <c r="A4220">
        <v>14683</v>
      </c>
      <c r="B4220" t="s">
        <v>22</v>
      </c>
      <c r="C4220" t="s">
        <v>30</v>
      </c>
      <c r="D4220" t="s">
        <v>47</v>
      </c>
      <c r="E4220" s="1">
        <v>2026</v>
      </c>
      <c r="F4220" s="11">
        <v>0.65709999999999991</v>
      </c>
      <c r="G4220">
        <v>60.96</v>
      </c>
      <c r="H4220">
        <v>58.92</v>
      </c>
      <c r="I4220" s="2">
        <v>115288.06</v>
      </c>
      <c r="J4220" s="2">
        <v>105113.23</v>
      </c>
      <c r="K4220" s="2">
        <f>Table1[[#This Row],[Salary_after]]-Table1[[#This Row],[Salary_before]]</f>
        <v>-10174.830000000002</v>
      </c>
      <c r="L4220" s="11">
        <v>-8.8300000000000003E-2</v>
      </c>
      <c r="M4220" s="11">
        <v>0.11269999999999999</v>
      </c>
      <c r="N4220">
        <v>99.53</v>
      </c>
      <c r="O4220">
        <v>75.400000000000006</v>
      </c>
      <c r="P4220">
        <v>1</v>
      </c>
      <c r="Q4220" t="s">
        <v>37</v>
      </c>
      <c r="R4220">
        <v>62.314999999999998</v>
      </c>
      <c r="S4220">
        <v>8.83</v>
      </c>
      <c r="T4220" s="4">
        <v>46.608999999999902</v>
      </c>
      <c r="U4220" s="4">
        <v>49.545339999999896</v>
      </c>
      <c r="V4220" t="str">
        <f>IF(Table1[[#This Row],[ai_disruption_intensity]]&gt;70,"High",
IF(Table1[[#This Row],[ai_disruption_intensity]]&gt;40,"Medium","Low"))</f>
        <v>Medium</v>
      </c>
      <c r="W4220" t="str">
        <f>IF(Table1[[#This Row],[skill_gap_index]]&gt;70,"Large Gap",
IF(Table1[[#This Row],[skill_gap_index]]&gt;40,"Medium Gap","Small Gap"))</f>
        <v>Medium Gap</v>
      </c>
      <c r="X4220" s="3" t="str">
        <f>IF(Table1[[#This Row],[automation_risk_percent]]&gt;0.7,"Highly Automatable",
IF(Table1[[#This Row],[automation_risk_percent]]&gt;0.4,"Moderate Risk","Safe Job"))</f>
        <v>Moderate Risk</v>
      </c>
    </row>
    <row r="4221" spans="1:24" x14ac:dyDescent="0.3">
      <c r="A4221">
        <v>14685</v>
      </c>
      <c r="B4221" t="s">
        <v>26</v>
      </c>
      <c r="C4221" t="s">
        <v>34</v>
      </c>
      <c r="D4221" t="s">
        <v>32</v>
      </c>
      <c r="E4221" s="1">
        <v>2025</v>
      </c>
      <c r="F4221" s="11">
        <v>0.05</v>
      </c>
      <c r="G4221">
        <v>4.84</v>
      </c>
      <c r="H4221">
        <v>42.06</v>
      </c>
      <c r="I4221" s="2">
        <v>40394.86</v>
      </c>
      <c r="J4221" s="2">
        <v>41109.71</v>
      </c>
      <c r="K4221" s="2">
        <f>Table1[[#This Row],[Salary_after]]-Table1[[#This Row],[Salary_before]]</f>
        <v>714.84999999999854</v>
      </c>
      <c r="L4221" s="11">
        <v>1.77E-2</v>
      </c>
      <c r="M4221" s="11">
        <v>7.5800000000000006E-2</v>
      </c>
      <c r="N4221">
        <v>88.56</v>
      </c>
      <c r="O4221">
        <v>13.85</v>
      </c>
      <c r="P4221">
        <v>5</v>
      </c>
      <c r="Q4221" t="s">
        <v>21</v>
      </c>
      <c r="R4221">
        <v>23.53</v>
      </c>
      <c r="S4221">
        <v>1.77</v>
      </c>
      <c r="T4221" s="4">
        <v>15.148999999999999</v>
      </c>
      <c r="U4221" s="4">
        <v>0.6925</v>
      </c>
      <c r="V4221" t="str">
        <f>IF(Table1[[#This Row],[ai_disruption_intensity]]&gt;70,"High",
IF(Table1[[#This Row],[ai_disruption_intensity]]&gt;40,"Medium","Low"))</f>
        <v>Low</v>
      </c>
      <c r="W4221" t="str">
        <f>IF(Table1[[#This Row],[skill_gap_index]]&gt;70,"Large Gap",
IF(Table1[[#This Row],[skill_gap_index]]&gt;40,"Medium Gap","Small Gap"))</f>
        <v>Medium Gap</v>
      </c>
      <c r="X4221" s="3" t="str">
        <f>IF(Table1[[#This Row],[automation_risk_percent]]&gt;0.7,"Highly Automatable",
IF(Table1[[#This Row],[automation_risk_percent]]&gt;0.4,"Moderate Risk","Safe Job"))</f>
        <v>Safe Job</v>
      </c>
    </row>
    <row r="4222" spans="1:24" x14ac:dyDescent="0.3">
      <c r="A4222">
        <v>14687</v>
      </c>
      <c r="B4222" t="s">
        <v>29</v>
      </c>
      <c r="C4222" t="s">
        <v>27</v>
      </c>
      <c r="D4222" t="s">
        <v>24</v>
      </c>
      <c r="E4222" s="1">
        <v>2025</v>
      </c>
      <c r="F4222" s="11">
        <v>0.50970000000000004</v>
      </c>
      <c r="G4222">
        <v>55.29</v>
      </c>
      <c r="H4222">
        <v>73.069999999999993</v>
      </c>
      <c r="I4222" s="2">
        <v>99269.1</v>
      </c>
      <c r="J4222" s="2">
        <v>106120.8</v>
      </c>
      <c r="K4222" s="2">
        <f>Table1[[#This Row],[Salary_after]]-Table1[[#This Row],[Salary_before]]</f>
        <v>6851.6999999999971</v>
      </c>
      <c r="L4222" s="11">
        <v>6.9000000000000006E-2</v>
      </c>
      <c r="M4222" s="11">
        <v>0.14679999999999999</v>
      </c>
      <c r="N4222">
        <v>81.599999999999994</v>
      </c>
      <c r="O4222">
        <v>97.48</v>
      </c>
      <c r="P4222">
        <v>2</v>
      </c>
      <c r="Q4222" t="s">
        <v>25</v>
      </c>
      <c r="R4222">
        <v>62.019999999999897</v>
      </c>
      <c r="S4222">
        <v>6.9</v>
      </c>
      <c r="T4222" s="4">
        <v>44.378999999999998</v>
      </c>
      <c r="U4222" s="4">
        <v>49.685555999999998</v>
      </c>
      <c r="V4222" t="str">
        <f>IF(Table1[[#This Row],[ai_disruption_intensity]]&gt;70,"High",
IF(Table1[[#This Row],[ai_disruption_intensity]]&gt;40,"Medium","Low"))</f>
        <v>Medium</v>
      </c>
      <c r="W4222" t="str">
        <f>IF(Table1[[#This Row],[skill_gap_index]]&gt;70,"Large Gap",
IF(Table1[[#This Row],[skill_gap_index]]&gt;40,"Medium Gap","Small Gap"))</f>
        <v>Large Gap</v>
      </c>
      <c r="X4222" s="3" t="str">
        <f>IF(Table1[[#This Row],[automation_risk_percent]]&gt;0.7,"Highly Automatable",
IF(Table1[[#This Row],[automation_risk_percent]]&gt;0.4,"Moderate Risk","Safe Job"))</f>
        <v>Moderate Risk</v>
      </c>
    </row>
    <row r="4223" spans="1:24" x14ac:dyDescent="0.3">
      <c r="A4223">
        <v>14688</v>
      </c>
      <c r="B4223" t="s">
        <v>26</v>
      </c>
      <c r="C4223" t="s">
        <v>34</v>
      </c>
      <c r="D4223" t="s">
        <v>32</v>
      </c>
      <c r="E4223" s="1">
        <v>2025</v>
      </c>
      <c r="F4223" s="11">
        <v>0.40560000000000002</v>
      </c>
      <c r="G4223">
        <v>44.89</v>
      </c>
      <c r="H4223">
        <v>83.33</v>
      </c>
      <c r="I4223" s="2">
        <v>139551.39000000001</v>
      </c>
      <c r="J4223" s="2">
        <v>151032</v>
      </c>
      <c r="K4223" s="2">
        <f>Table1[[#This Row],[Salary_after]]-Table1[[#This Row],[Salary_before]]</f>
        <v>11480.609999999986</v>
      </c>
      <c r="L4223" s="11">
        <v>8.2299999999999998E-2</v>
      </c>
      <c r="M4223" s="11">
        <v>5.8899999999999994E-2</v>
      </c>
      <c r="N4223">
        <v>58.51</v>
      </c>
      <c r="O4223">
        <v>69.31</v>
      </c>
      <c r="P4223">
        <v>5</v>
      </c>
      <c r="Q4223" t="s">
        <v>25</v>
      </c>
      <c r="R4223">
        <v>61.945</v>
      </c>
      <c r="S4223">
        <v>8.23</v>
      </c>
      <c r="T4223" s="4">
        <v>43.692</v>
      </c>
      <c r="U4223" s="4">
        <v>28.112136</v>
      </c>
      <c r="V4223" t="str">
        <f>IF(Table1[[#This Row],[ai_disruption_intensity]]&gt;70,"High",
IF(Table1[[#This Row],[ai_disruption_intensity]]&gt;40,"Medium","Low"))</f>
        <v>Low</v>
      </c>
      <c r="W4223" t="str">
        <f>IF(Table1[[#This Row],[skill_gap_index]]&gt;70,"Large Gap",
IF(Table1[[#This Row],[skill_gap_index]]&gt;40,"Medium Gap","Small Gap"))</f>
        <v>Large Gap</v>
      </c>
      <c r="X4223" s="3" t="str">
        <f>IF(Table1[[#This Row],[automation_risk_percent]]&gt;0.7,"Highly Automatable",
IF(Table1[[#This Row],[automation_risk_percent]]&gt;0.4,"Moderate Risk","Safe Job"))</f>
        <v>Moderate Risk</v>
      </c>
    </row>
    <row r="4224" spans="1:24" x14ac:dyDescent="0.3">
      <c r="A4224">
        <v>14694</v>
      </c>
      <c r="B4224" t="s">
        <v>45</v>
      </c>
      <c r="C4224" t="s">
        <v>19</v>
      </c>
      <c r="D4224" t="s">
        <v>32</v>
      </c>
      <c r="E4224" s="1">
        <v>2026</v>
      </c>
      <c r="F4224" s="11">
        <v>0.27140000000000003</v>
      </c>
      <c r="G4224">
        <v>30.16</v>
      </c>
      <c r="H4224">
        <v>62.91</v>
      </c>
      <c r="I4224" s="2">
        <v>34178.44</v>
      </c>
      <c r="J4224" s="2">
        <v>32502.25</v>
      </c>
      <c r="K4224" s="2">
        <f>Table1[[#This Row],[Salary_after]]-Table1[[#This Row],[Salary_before]]</f>
        <v>-1676.1900000000023</v>
      </c>
      <c r="L4224" s="11">
        <v>-4.9000000000000002E-2</v>
      </c>
      <c r="M4224" s="11">
        <v>-1.09E-2</v>
      </c>
      <c r="N4224">
        <v>85.89</v>
      </c>
      <c r="O4224">
        <v>61.4</v>
      </c>
      <c r="P4224">
        <v>5</v>
      </c>
      <c r="Q4224" t="s">
        <v>21</v>
      </c>
      <c r="R4224">
        <v>45.024999999999999</v>
      </c>
      <c r="S4224">
        <v>4.9000000000000004</v>
      </c>
      <c r="T4224" s="4">
        <v>31.198999999999899</v>
      </c>
      <c r="U4224" s="4">
        <v>16.663959999999999</v>
      </c>
      <c r="V4224" t="str">
        <f>IF(Table1[[#This Row],[ai_disruption_intensity]]&gt;70,"High",
IF(Table1[[#This Row],[ai_disruption_intensity]]&gt;40,"Medium","Low"))</f>
        <v>Low</v>
      </c>
      <c r="W4224" t="str">
        <f>IF(Table1[[#This Row],[skill_gap_index]]&gt;70,"Large Gap",
IF(Table1[[#This Row],[skill_gap_index]]&gt;40,"Medium Gap","Small Gap"))</f>
        <v>Medium Gap</v>
      </c>
      <c r="X4224" s="3" t="str">
        <f>IF(Table1[[#This Row],[automation_risk_percent]]&gt;0.7,"Highly Automatable",
IF(Table1[[#This Row],[automation_risk_percent]]&gt;0.4,"Moderate Risk","Safe Job"))</f>
        <v>Safe Job</v>
      </c>
    </row>
    <row r="4225" spans="1:24" x14ac:dyDescent="0.3">
      <c r="A4225">
        <v>14695</v>
      </c>
      <c r="B4225" t="s">
        <v>26</v>
      </c>
      <c r="C4225" t="s">
        <v>19</v>
      </c>
      <c r="D4225" t="s">
        <v>24</v>
      </c>
      <c r="E4225" s="1">
        <v>2025</v>
      </c>
      <c r="F4225" s="11">
        <v>0.129</v>
      </c>
      <c r="G4225">
        <v>11.64</v>
      </c>
      <c r="H4225">
        <v>45.49</v>
      </c>
      <c r="I4225" s="2">
        <v>40049.39</v>
      </c>
      <c r="J4225" s="2">
        <v>45432.22</v>
      </c>
      <c r="K4225" s="2">
        <f>Table1[[#This Row],[Salary_after]]-Table1[[#This Row],[Salary_before]]</f>
        <v>5382.8300000000017</v>
      </c>
      <c r="L4225" s="11">
        <v>0.13439999999999999</v>
      </c>
      <c r="M4225" s="11">
        <v>1.01E-2</v>
      </c>
      <c r="N4225">
        <v>45.59</v>
      </c>
      <c r="O4225">
        <v>78.58</v>
      </c>
      <c r="P4225">
        <v>3</v>
      </c>
      <c r="Q4225" t="s">
        <v>21</v>
      </c>
      <c r="R4225">
        <v>29.195</v>
      </c>
      <c r="S4225">
        <v>13.44</v>
      </c>
      <c r="T4225" s="4">
        <v>22.838999999999999</v>
      </c>
      <c r="U4225" s="4">
        <v>10.13682</v>
      </c>
      <c r="V4225" t="str">
        <f>IF(Table1[[#This Row],[ai_disruption_intensity]]&gt;70,"High",
IF(Table1[[#This Row],[ai_disruption_intensity]]&gt;40,"Medium","Low"))</f>
        <v>Low</v>
      </c>
      <c r="W4225" t="str">
        <f>IF(Table1[[#This Row],[skill_gap_index]]&gt;70,"Large Gap",
IF(Table1[[#This Row],[skill_gap_index]]&gt;40,"Medium Gap","Small Gap"))</f>
        <v>Medium Gap</v>
      </c>
      <c r="X4225" s="3" t="str">
        <f>IF(Table1[[#This Row],[automation_risk_percent]]&gt;0.7,"Highly Automatable",
IF(Table1[[#This Row],[automation_risk_percent]]&gt;0.4,"Moderate Risk","Safe Job"))</f>
        <v>Safe Job</v>
      </c>
    </row>
    <row r="4226" spans="1:24" x14ac:dyDescent="0.3">
      <c r="A4226">
        <v>14699</v>
      </c>
      <c r="B4226" t="s">
        <v>22</v>
      </c>
      <c r="C4226" t="s">
        <v>34</v>
      </c>
      <c r="D4226" t="s">
        <v>31</v>
      </c>
      <c r="E4226" s="1">
        <v>2026</v>
      </c>
      <c r="F4226" s="11">
        <v>0.61990000000000001</v>
      </c>
      <c r="G4226">
        <v>70.25</v>
      </c>
      <c r="H4226">
        <v>85.22</v>
      </c>
      <c r="I4226" s="2">
        <v>148848.54999999999</v>
      </c>
      <c r="J4226" s="2">
        <v>127533.25</v>
      </c>
      <c r="K4226" s="2">
        <f>Table1[[#This Row],[Salary_after]]-Table1[[#This Row],[Salary_before]]</f>
        <v>-21315.299999999988</v>
      </c>
      <c r="L4226" s="11">
        <v>-0.14319999999999999</v>
      </c>
      <c r="M4226" s="11">
        <v>8.1099999999999992E-2</v>
      </c>
      <c r="N4226">
        <v>64.11</v>
      </c>
      <c r="O4226">
        <v>36.26</v>
      </c>
      <c r="P4226">
        <v>4</v>
      </c>
      <c r="Q4226" t="s">
        <v>37</v>
      </c>
      <c r="R4226">
        <v>73.605000000000004</v>
      </c>
      <c r="S4226">
        <v>14.32</v>
      </c>
      <c r="T4226" s="4">
        <v>54.658000000000001</v>
      </c>
      <c r="U4226" s="4">
        <v>22.477574000000001</v>
      </c>
      <c r="V4226" t="str">
        <f>IF(Table1[[#This Row],[ai_disruption_intensity]]&gt;70,"High",
IF(Table1[[#This Row],[ai_disruption_intensity]]&gt;40,"Medium","Low"))</f>
        <v>Low</v>
      </c>
      <c r="W4226" t="str">
        <f>IF(Table1[[#This Row],[skill_gap_index]]&gt;70,"Large Gap",
IF(Table1[[#This Row],[skill_gap_index]]&gt;40,"Medium Gap","Small Gap"))</f>
        <v>Large Gap</v>
      </c>
      <c r="X4226" s="3" t="str">
        <f>IF(Table1[[#This Row],[automation_risk_percent]]&gt;0.7,"Highly Automatable",
IF(Table1[[#This Row],[automation_risk_percent]]&gt;0.4,"Moderate Risk","Safe Job"))</f>
        <v>Moderate Risk</v>
      </c>
    </row>
    <row r="4227" spans="1:24" x14ac:dyDescent="0.3">
      <c r="A4227">
        <v>14700</v>
      </c>
      <c r="B4227" t="s">
        <v>41</v>
      </c>
      <c r="C4227" t="s">
        <v>33</v>
      </c>
      <c r="D4227" t="s">
        <v>31</v>
      </c>
      <c r="E4227" s="1">
        <v>2025</v>
      </c>
      <c r="F4227" s="11">
        <v>0.48369999999999996</v>
      </c>
      <c r="G4227">
        <v>52.24</v>
      </c>
      <c r="H4227">
        <v>20.309999999999999</v>
      </c>
      <c r="I4227" s="2">
        <v>95396.17</v>
      </c>
      <c r="J4227" s="2">
        <v>91141.81</v>
      </c>
      <c r="K4227" s="2">
        <f>Table1[[#This Row],[Salary_after]]-Table1[[#This Row],[Salary_before]]</f>
        <v>-4254.3600000000006</v>
      </c>
      <c r="L4227" s="11">
        <v>-4.4600000000000001E-2</v>
      </c>
      <c r="M4227" s="11">
        <v>7.5199999999999989E-2</v>
      </c>
      <c r="N4227">
        <v>96.53</v>
      </c>
      <c r="O4227">
        <v>65.5</v>
      </c>
      <c r="P4227">
        <v>3</v>
      </c>
      <c r="Q4227" t="s">
        <v>25</v>
      </c>
      <c r="R4227">
        <v>34.339999999999897</v>
      </c>
      <c r="S4227">
        <v>4.46</v>
      </c>
      <c r="T4227" s="4">
        <v>26.779</v>
      </c>
      <c r="U4227" s="4">
        <v>31.6823499999999</v>
      </c>
      <c r="V4227" t="str">
        <f>IF(Table1[[#This Row],[ai_disruption_intensity]]&gt;70,"High",
IF(Table1[[#This Row],[ai_disruption_intensity]]&gt;40,"Medium","Low"))</f>
        <v>Low</v>
      </c>
      <c r="W4227" t="str">
        <f>IF(Table1[[#This Row],[skill_gap_index]]&gt;70,"Large Gap",
IF(Table1[[#This Row],[skill_gap_index]]&gt;40,"Medium Gap","Small Gap"))</f>
        <v>Small Gap</v>
      </c>
      <c r="X4227" s="3" t="str">
        <f>IF(Table1[[#This Row],[automation_risk_percent]]&gt;0.7,"Highly Automatable",
IF(Table1[[#This Row],[automation_risk_percent]]&gt;0.4,"Moderate Risk","Safe Job"))</f>
        <v>Moderate Risk</v>
      </c>
    </row>
    <row r="4228" spans="1:24" x14ac:dyDescent="0.3">
      <c r="A4228">
        <v>14701</v>
      </c>
      <c r="B4228" t="s">
        <v>26</v>
      </c>
      <c r="C4228" t="s">
        <v>33</v>
      </c>
      <c r="D4228" t="s">
        <v>35</v>
      </c>
      <c r="E4228" s="1">
        <v>2025</v>
      </c>
      <c r="F4228" s="11">
        <v>0.65079999999999993</v>
      </c>
      <c r="G4228">
        <v>70.63</v>
      </c>
      <c r="H4228">
        <v>37.56</v>
      </c>
      <c r="I4228" s="2">
        <v>38089.29</v>
      </c>
      <c r="J4228" s="2">
        <v>38242.06</v>
      </c>
      <c r="K4228" s="2">
        <f>Table1[[#This Row],[Salary_after]]-Table1[[#This Row],[Salary_before]]</f>
        <v>152.7699999999968</v>
      </c>
      <c r="L4228" s="11">
        <v>4.0000000000000001E-3</v>
      </c>
      <c r="M4228" s="11">
        <v>3.2300000000000002E-2</v>
      </c>
      <c r="N4228">
        <v>55.25</v>
      </c>
      <c r="O4228">
        <v>57.99</v>
      </c>
      <c r="P4228">
        <v>5</v>
      </c>
      <c r="Q4228" t="s">
        <v>37</v>
      </c>
      <c r="R4228">
        <v>51.32</v>
      </c>
      <c r="S4228">
        <v>0.4</v>
      </c>
      <c r="T4228" s="4">
        <v>37.419999999999902</v>
      </c>
      <c r="U4228" s="4">
        <v>37.739891999999998</v>
      </c>
      <c r="V4228" t="str">
        <f>IF(Table1[[#This Row],[ai_disruption_intensity]]&gt;70,"High",
IF(Table1[[#This Row],[ai_disruption_intensity]]&gt;40,"Medium","Low"))</f>
        <v>Low</v>
      </c>
      <c r="W4228" t="str">
        <f>IF(Table1[[#This Row],[skill_gap_index]]&gt;70,"Large Gap",
IF(Table1[[#This Row],[skill_gap_index]]&gt;40,"Medium Gap","Small Gap"))</f>
        <v>Small Gap</v>
      </c>
      <c r="X4228" s="3" t="str">
        <f>IF(Table1[[#This Row],[automation_risk_percent]]&gt;0.7,"Highly Automatable",
IF(Table1[[#This Row],[automation_risk_percent]]&gt;0.4,"Moderate Risk","Safe Job"))</f>
        <v>Moderate Risk</v>
      </c>
    </row>
    <row r="4229" spans="1:24" x14ac:dyDescent="0.3">
      <c r="A4229">
        <v>14703</v>
      </c>
      <c r="B4229" t="s">
        <v>39</v>
      </c>
      <c r="C4229" t="s">
        <v>38</v>
      </c>
      <c r="D4229" t="s">
        <v>32</v>
      </c>
      <c r="E4229" s="1">
        <v>2025</v>
      </c>
      <c r="F4229" s="11">
        <v>0.26219999999999999</v>
      </c>
      <c r="G4229">
        <v>25.91</v>
      </c>
      <c r="H4229">
        <v>35.51</v>
      </c>
      <c r="I4229" s="2">
        <v>68743.95</v>
      </c>
      <c r="J4229" s="2">
        <v>62005.84</v>
      </c>
      <c r="K4229" s="2">
        <f>Table1[[#This Row],[Salary_after]]-Table1[[#This Row],[Salary_before]]</f>
        <v>-6738.1100000000006</v>
      </c>
      <c r="L4229" s="11">
        <v>-9.8000000000000004E-2</v>
      </c>
      <c r="M4229" s="11">
        <v>-8.3699999999999997E-2</v>
      </c>
      <c r="N4229">
        <v>64.53</v>
      </c>
      <c r="O4229">
        <v>92.61</v>
      </c>
      <c r="P4229">
        <v>1</v>
      </c>
      <c r="Q4229" t="s">
        <v>21</v>
      </c>
      <c r="R4229">
        <v>30.864999999999998</v>
      </c>
      <c r="S4229">
        <v>9.8000000000000007</v>
      </c>
      <c r="T4229" s="4">
        <v>24.081</v>
      </c>
      <c r="U4229" s="4">
        <v>24.282342</v>
      </c>
      <c r="V4229" t="str">
        <f>IF(Table1[[#This Row],[ai_disruption_intensity]]&gt;70,"High",
IF(Table1[[#This Row],[ai_disruption_intensity]]&gt;40,"Medium","Low"))</f>
        <v>Low</v>
      </c>
      <c r="W4229" t="str">
        <f>IF(Table1[[#This Row],[skill_gap_index]]&gt;70,"Large Gap",
IF(Table1[[#This Row],[skill_gap_index]]&gt;40,"Medium Gap","Small Gap"))</f>
        <v>Small Gap</v>
      </c>
      <c r="X4229" s="3" t="str">
        <f>IF(Table1[[#This Row],[automation_risk_percent]]&gt;0.7,"Highly Automatable",
IF(Table1[[#This Row],[automation_risk_percent]]&gt;0.4,"Moderate Risk","Safe Job"))</f>
        <v>Safe Job</v>
      </c>
    </row>
    <row r="4230" spans="1:24" x14ac:dyDescent="0.3">
      <c r="A4230">
        <v>14704</v>
      </c>
      <c r="B4230" t="s">
        <v>46</v>
      </c>
      <c r="C4230" t="s">
        <v>34</v>
      </c>
      <c r="D4230" t="s">
        <v>32</v>
      </c>
      <c r="E4230" s="1">
        <v>2025</v>
      </c>
      <c r="F4230" s="11">
        <v>0.50690000000000002</v>
      </c>
      <c r="G4230">
        <v>53.59</v>
      </c>
      <c r="H4230">
        <v>9.57</v>
      </c>
      <c r="I4230" s="2">
        <v>104839.57</v>
      </c>
      <c r="J4230" s="2">
        <v>113217.47</v>
      </c>
      <c r="K4230" s="2">
        <f>Table1[[#This Row],[Salary_after]]-Table1[[#This Row],[Salary_before]]</f>
        <v>8377.8999999999942</v>
      </c>
      <c r="L4230" s="11">
        <v>7.9899999999999999E-2</v>
      </c>
      <c r="M4230" s="11">
        <v>-8.3900000000000002E-2</v>
      </c>
      <c r="N4230">
        <v>39.47</v>
      </c>
      <c r="O4230">
        <v>7.66</v>
      </c>
      <c r="P4230">
        <v>4</v>
      </c>
      <c r="Q4230" t="s">
        <v>25</v>
      </c>
      <c r="R4230">
        <v>30.13</v>
      </c>
      <c r="S4230">
        <v>7.99</v>
      </c>
      <c r="T4230" s="4">
        <v>25.543999999999901</v>
      </c>
      <c r="U4230" s="4">
        <v>3.882854</v>
      </c>
      <c r="V4230" t="str">
        <f>IF(Table1[[#This Row],[ai_disruption_intensity]]&gt;70,"High",
IF(Table1[[#This Row],[ai_disruption_intensity]]&gt;40,"Medium","Low"))</f>
        <v>Low</v>
      </c>
      <c r="W4230" t="str">
        <f>IF(Table1[[#This Row],[skill_gap_index]]&gt;70,"Large Gap",
IF(Table1[[#This Row],[skill_gap_index]]&gt;40,"Medium Gap","Small Gap"))</f>
        <v>Small Gap</v>
      </c>
      <c r="X4230" s="3" t="str">
        <f>IF(Table1[[#This Row],[automation_risk_percent]]&gt;0.7,"Highly Automatable",
IF(Table1[[#This Row],[automation_risk_percent]]&gt;0.4,"Moderate Risk","Safe Job"))</f>
        <v>Moderate Risk</v>
      </c>
    </row>
    <row r="4231" spans="1:24" x14ac:dyDescent="0.3">
      <c r="A4231">
        <v>14709</v>
      </c>
      <c r="B4231" t="s">
        <v>44</v>
      </c>
      <c r="C4231" t="s">
        <v>40</v>
      </c>
      <c r="D4231" t="s">
        <v>35</v>
      </c>
      <c r="E4231" s="1">
        <v>2026</v>
      </c>
      <c r="F4231" s="11">
        <v>0.59130000000000005</v>
      </c>
      <c r="G4231">
        <v>48.02</v>
      </c>
      <c r="H4231">
        <v>70.7</v>
      </c>
      <c r="I4231" s="2">
        <v>144156.09</v>
      </c>
      <c r="J4231" s="2">
        <v>124762.03</v>
      </c>
      <c r="K4231" s="2">
        <f>Table1[[#This Row],[Salary_after]]-Table1[[#This Row],[Salary_before]]</f>
        <v>-19394.059999999998</v>
      </c>
      <c r="L4231" s="11">
        <v>-0.13449999999999998</v>
      </c>
      <c r="M4231" s="11">
        <v>4.7400000000000005E-2</v>
      </c>
      <c r="N4231">
        <v>89.24</v>
      </c>
      <c r="O4231">
        <v>65.94</v>
      </c>
      <c r="P4231">
        <v>3</v>
      </c>
      <c r="Q4231" t="s">
        <v>25</v>
      </c>
      <c r="R4231">
        <v>64.915000000000006</v>
      </c>
      <c r="S4231">
        <v>13.45</v>
      </c>
      <c r="T4231" s="4">
        <v>48.896999999999998</v>
      </c>
      <c r="U4231" s="4">
        <v>38.990321999999999</v>
      </c>
      <c r="V4231" t="str">
        <f>IF(Table1[[#This Row],[ai_disruption_intensity]]&gt;70,"High",
IF(Table1[[#This Row],[ai_disruption_intensity]]&gt;40,"Medium","Low"))</f>
        <v>Low</v>
      </c>
      <c r="W4231" t="str">
        <f>IF(Table1[[#This Row],[skill_gap_index]]&gt;70,"Large Gap",
IF(Table1[[#This Row],[skill_gap_index]]&gt;40,"Medium Gap","Small Gap"))</f>
        <v>Large Gap</v>
      </c>
      <c r="X4231" s="3" t="str">
        <f>IF(Table1[[#This Row],[automation_risk_percent]]&gt;0.7,"Highly Automatable",
IF(Table1[[#This Row],[automation_risk_percent]]&gt;0.4,"Moderate Risk","Safe Job"))</f>
        <v>Moderate Risk</v>
      </c>
    </row>
    <row r="4232" spans="1:24" x14ac:dyDescent="0.3">
      <c r="A4232">
        <v>14712</v>
      </c>
      <c r="B4232" t="s">
        <v>29</v>
      </c>
      <c r="C4232" t="s">
        <v>27</v>
      </c>
      <c r="D4232" t="s">
        <v>35</v>
      </c>
      <c r="E4232" s="1">
        <v>2026</v>
      </c>
      <c r="F4232" s="11">
        <v>0.76650000000000007</v>
      </c>
      <c r="G4232">
        <v>72.510000000000005</v>
      </c>
      <c r="H4232">
        <v>56.42</v>
      </c>
      <c r="I4232" s="2">
        <v>67997.759999999995</v>
      </c>
      <c r="J4232" s="2">
        <v>67745.13</v>
      </c>
      <c r="K4232" s="2">
        <f>Table1[[#This Row],[Salary_after]]-Table1[[#This Row],[Salary_before]]</f>
        <v>-252.6299999999901</v>
      </c>
      <c r="L4232" s="11">
        <v>-3.7000000000000002E-3</v>
      </c>
      <c r="M4232" s="11">
        <v>1.9299999999999998E-2</v>
      </c>
      <c r="N4232">
        <v>46.32</v>
      </c>
      <c r="O4232">
        <v>1.67</v>
      </c>
      <c r="P4232">
        <v>5</v>
      </c>
      <c r="Q4232" t="s">
        <v>37</v>
      </c>
      <c r="R4232">
        <v>66.534999999999997</v>
      </c>
      <c r="S4232">
        <v>0.37</v>
      </c>
      <c r="T4232" s="4">
        <v>47.696999999999903</v>
      </c>
      <c r="U4232" s="4">
        <v>1.2800549999999999</v>
      </c>
      <c r="V4232" t="str">
        <f>IF(Table1[[#This Row],[ai_disruption_intensity]]&gt;70,"High",
IF(Table1[[#This Row],[ai_disruption_intensity]]&gt;40,"Medium","Low"))</f>
        <v>Low</v>
      </c>
      <c r="W4232" t="str">
        <f>IF(Table1[[#This Row],[skill_gap_index]]&gt;70,"Large Gap",
IF(Table1[[#This Row],[skill_gap_index]]&gt;40,"Medium Gap","Small Gap"))</f>
        <v>Medium Gap</v>
      </c>
      <c r="X4232" s="3" t="str">
        <f>IF(Table1[[#This Row],[automation_risk_percent]]&gt;0.7,"Highly Automatable",
IF(Table1[[#This Row],[automation_risk_percent]]&gt;0.4,"Moderate Risk","Safe Job"))</f>
        <v>Highly Automatable</v>
      </c>
    </row>
    <row r="4233" spans="1:24" x14ac:dyDescent="0.3">
      <c r="A4233">
        <v>14713</v>
      </c>
      <c r="B4233" t="s">
        <v>41</v>
      </c>
      <c r="C4233" t="s">
        <v>33</v>
      </c>
      <c r="D4233" t="s">
        <v>42</v>
      </c>
      <c r="E4233" s="1">
        <v>2025</v>
      </c>
      <c r="F4233" s="11">
        <v>0.83040000000000003</v>
      </c>
      <c r="G4233">
        <v>84.3</v>
      </c>
      <c r="H4233">
        <v>84.06</v>
      </c>
      <c r="I4233" s="2">
        <v>84919.679999999993</v>
      </c>
      <c r="J4233" s="2">
        <v>82252.95</v>
      </c>
      <c r="K4233" s="2">
        <f>Table1[[#This Row],[Salary_after]]-Table1[[#This Row],[Salary_before]]</f>
        <v>-2666.7299999999959</v>
      </c>
      <c r="L4233" s="11">
        <v>-3.1400000000000004E-2</v>
      </c>
      <c r="M4233" s="11">
        <v>5.7999999999999996E-2</v>
      </c>
      <c r="N4233">
        <v>80.53</v>
      </c>
      <c r="O4233">
        <v>6.26</v>
      </c>
      <c r="P4233">
        <v>2</v>
      </c>
      <c r="Q4233" t="s">
        <v>37</v>
      </c>
      <c r="R4233">
        <v>83.55</v>
      </c>
      <c r="S4233">
        <v>3.14</v>
      </c>
      <c r="T4233" s="4">
        <v>59.375999999999998</v>
      </c>
      <c r="U4233" s="4">
        <v>5.1983040000000003</v>
      </c>
      <c r="V4233" t="str">
        <f>IF(Table1[[#This Row],[ai_disruption_intensity]]&gt;70,"High",
IF(Table1[[#This Row],[ai_disruption_intensity]]&gt;40,"Medium","Low"))</f>
        <v>Low</v>
      </c>
      <c r="W4233" t="str">
        <f>IF(Table1[[#This Row],[skill_gap_index]]&gt;70,"Large Gap",
IF(Table1[[#This Row],[skill_gap_index]]&gt;40,"Medium Gap","Small Gap"))</f>
        <v>Large Gap</v>
      </c>
      <c r="X4233" s="3" t="str">
        <f>IF(Table1[[#This Row],[automation_risk_percent]]&gt;0.7,"Highly Automatable",
IF(Table1[[#This Row],[automation_risk_percent]]&gt;0.4,"Moderate Risk","Safe Job"))</f>
        <v>Highly Automatable</v>
      </c>
    </row>
    <row r="4234" spans="1:24" x14ac:dyDescent="0.3">
      <c r="A4234">
        <v>14715</v>
      </c>
      <c r="B4234" t="s">
        <v>45</v>
      </c>
      <c r="C4234" t="s">
        <v>40</v>
      </c>
      <c r="D4234" t="s">
        <v>28</v>
      </c>
      <c r="E4234" s="1">
        <v>2026</v>
      </c>
      <c r="F4234" s="11">
        <v>0.43099999999999999</v>
      </c>
      <c r="G4234">
        <v>40.6</v>
      </c>
      <c r="H4234">
        <v>43.52</v>
      </c>
      <c r="I4234" s="2">
        <v>146743.32999999999</v>
      </c>
      <c r="J4234" s="2">
        <v>152171.46</v>
      </c>
      <c r="K4234" s="2">
        <f>Table1[[#This Row],[Salary_after]]-Table1[[#This Row],[Salary_before]]</f>
        <v>5428.1300000000047</v>
      </c>
      <c r="L4234" s="11">
        <v>3.7000000000000005E-2</v>
      </c>
      <c r="M4234" s="11">
        <v>-0.19949999999999998</v>
      </c>
      <c r="N4234">
        <v>96.36</v>
      </c>
      <c r="O4234">
        <v>4.9400000000000004</v>
      </c>
      <c r="P4234">
        <v>4</v>
      </c>
      <c r="Q4234" t="s">
        <v>25</v>
      </c>
      <c r="R4234">
        <v>43.31</v>
      </c>
      <c r="S4234">
        <v>3.7</v>
      </c>
      <c r="T4234" s="4">
        <v>31.405999999999999</v>
      </c>
      <c r="U4234" s="4">
        <v>2.12914</v>
      </c>
      <c r="V4234" t="str">
        <f>IF(Table1[[#This Row],[ai_disruption_intensity]]&gt;70,"High",
IF(Table1[[#This Row],[ai_disruption_intensity]]&gt;40,"Medium","Low"))</f>
        <v>Low</v>
      </c>
      <c r="W4234" t="str">
        <f>IF(Table1[[#This Row],[skill_gap_index]]&gt;70,"Large Gap",
IF(Table1[[#This Row],[skill_gap_index]]&gt;40,"Medium Gap","Small Gap"))</f>
        <v>Medium Gap</v>
      </c>
      <c r="X4234" s="3" t="str">
        <f>IF(Table1[[#This Row],[automation_risk_percent]]&gt;0.7,"Highly Automatable",
IF(Table1[[#This Row],[automation_risk_percent]]&gt;0.4,"Moderate Risk","Safe Job"))</f>
        <v>Moderate Risk</v>
      </c>
    </row>
    <row r="4235" spans="1:24" x14ac:dyDescent="0.3">
      <c r="A4235">
        <v>14716</v>
      </c>
      <c r="B4235" t="s">
        <v>26</v>
      </c>
      <c r="C4235" t="s">
        <v>27</v>
      </c>
      <c r="D4235" t="s">
        <v>20</v>
      </c>
      <c r="E4235" s="1">
        <v>2025</v>
      </c>
      <c r="F4235" s="11">
        <v>0.223</v>
      </c>
      <c r="G4235">
        <v>19.66</v>
      </c>
      <c r="H4235">
        <v>45.2</v>
      </c>
      <c r="I4235" s="2">
        <v>44263.06</v>
      </c>
      <c r="J4235" s="2">
        <v>36217.75</v>
      </c>
      <c r="K4235" s="2">
        <f>Table1[[#This Row],[Salary_after]]-Table1[[#This Row],[Salary_before]]</f>
        <v>-8045.3099999999977</v>
      </c>
      <c r="L4235" s="11">
        <v>-0.18179999999999999</v>
      </c>
      <c r="M4235" s="11">
        <v>1.5600000000000001E-2</v>
      </c>
      <c r="N4235">
        <v>97.12</v>
      </c>
      <c r="O4235">
        <v>15.99</v>
      </c>
      <c r="P4235">
        <v>2</v>
      </c>
      <c r="Q4235" t="s">
        <v>21</v>
      </c>
      <c r="R4235">
        <v>33.75</v>
      </c>
      <c r="S4235">
        <v>18.18</v>
      </c>
      <c r="T4235" s="4">
        <v>27.934000000000001</v>
      </c>
      <c r="U4235" s="4">
        <v>3.5657700000000001</v>
      </c>
      <c r="V4235" t="str">
        <f>IF(Table1[[#This Row],[ai_disruption_intensity]]&gt;70,"High",
IF(Table1[[#This Row],[ai_disruption_intensity]]&gt;40,"Medium","Low"))</f>
        <v>Low</v>
      </c>
      <c r="W4235" t="str">
        <f>IF(Table1[[#This Row],[skill_gap_index]]&gt;70,"Large Gap",
IF(Table1[[#This Row],[skill_gap_index]]&gt;40,"Medium Gap","Small Gap"))</f>
        <v>Medium Gap</v>
      </c>
      <c r="X4235" s="3" t="str">
        <f>IF(Table1[[#This Row],[automation_risk_percent]]&gt;0.7,"Highly Automatable",
IF(Table1[[#This Row],[automation_risk_percent]]&gt;0.4,"Moderate Risk","Safe Job"))</f>
        <v>Safe Job</v>
      </c>
    </row>
    <row r="4236" spans="1:24" x14ac:dyDescent="0.3">
      <c r="A4236">
        <v>14718</v>
      </c>
      <c r="B4236" t="s">
        <v>46</v>
      </c>
      <c r="C4236" t="s">
        <v>27</v>
      </c>
      <c r="D4236" t="s">
        <v>36</v>
      </c>
      <c r="E4236" s="1">
        <v>2026</v>
      </c>
      <c r="F4236" s="11">
        <v>0.41830000000000001</v>
      </c>
      <c r="G4236">
        <v>50</v>
      </c>
      <c r="H4236">
        <v>63.22</v>
      </c>
      <c r="I4236" s="2">
        <v>143601.54999999999</v>
      </c>
      <c r="J4236" s="2">
        <v>176078.23</v>
      </c>
      <c r="K4236" s="2">
        <f>Table1[[#This Row],[Salary_after]]-Table1[[#This Row],[Salary_before]]</f>
        <v>32476.680000000022</v>
      </c>
      <c r="L4236" s="11">
        <v>0.22620000000000001</v>
      </c>
      <c r="M4236" s="11">
        <v>-1.89E-2</v>
      </c>
      <c r="N4236">
        <v>42.25</v>
      </c>
      <c r="O4236">
        <v>29.4</v>
      </c>
      <c r="P4236">
        <v>1</v>
      </c>
      <c r="Q4236" t="s">
        <v>25</v>
      </c>
      <c r="R4236">
        <v>52.524999999999999</v>
      </c>
      <c r="S4236">
        <v>22.62</v>
      </c>
      <c r="T4236" s="4">
        <v>42.483999999999902</v>
      </c>
      <c r="U4236" s="4">
        <v>12.298019999999999</v>
      </c>
      <c r="V4236" t="str">
        <f>IF(Table1[[#This Row],[ai_disruption_intensity]]&gt;70,"High",
IF(Table1[[#This Row],[ai_disruption_intensity]]&gt;40,"Medium","Low"))</f>
        <v>Low</v>
      </c>
      <c r="W4236" t="str">
        <f>IF(Table1[[#This Row],[skill_gap_index]]&gt;70,"Large Gap",
IF(Table1[[#This Row],[skill_gap_index]]&gt;40,"Medium Gap","Small Gap"))</f>
        <v>Medium Gap</v>
      </c>
      <c r="X4236" s="3" t="str">
        <f>IF(Table1[[#This Row],[automation_risk_percent]]&gt;0.7,"Highly Automatable",
IF(Table1[[#This Row],[automation_risk_percent]]&gt;0.4,"Moderate Risk","Safe Job"))</f>
        <v>Moderate Risk</v>
      </c>
    </row>
    <row r="4237" spans="1:24" x14ac:dyDescent="0.3">
      <c r="A4237">
        <v>14719</v>
      </c>
      <c r="B4237" t="s">
        <v>43</v>
      </c>
      <c r="C4237" t="s">
        <v>38</v>
      </c>
      <c r="D4237" t="s">
        <v>28</v>
      </c>
      <c r="E4237" s="1">
        <v>2025</v>
      </c>
      <c r="F4237" s="11">
        <v>0.34600000000000003</v>
      </c>
      <c r="G4237">
        <v>35.96</v>
      </c>
      <c r="H4237">
        <v>61.76</v>
      </c>
      <c r="I4237" s="2">
        <v>96251.34</v>
      </c>
      <c r="J4237" s="2">
        <v>109411.23</v>
      </c>
      <c r="K4237" s="2">
        <f>Table1[[#This Row],[Salary_after]]-Table1[[#This Row],[Salary_before]]</f>
        <v>13159.89</v>
      </c>
      <c r="L4237" s="11">
        <v>0.13669999999999999</v>
      </c>
      <c r="M4237" s="11">
        <v>5.1000000000000004E-3</v>
      </c>
      <c r="N4237">
        <v>81.709999999999994</v>
      </c>
      <c r="O4237">
        <v>72.16</v>
      </c>
      <c r="P4237">
        <v>3</v>
      </c>
      <c r="Q4237" t="s">
        <v>25</v>
      </c>
      <c r="R4237">
        <v>48.18</v>
      </c>
      <c r="S4237">
        <v>13.67</v>
      </c>
      <c r="T4237" s="4">
        <v>36.469000000000001</v>
      </c>
      <c r="U4237" s="4">
        <v>24.967359999999999</v>
      </c>
      <c r="V4237" t="str">
        <f>IF(Table1[[#This Row],[ai_disruption_intensity]]&gt;70,"High",
IF(Table1[[#This Row],[ai_disruption_intensity]]&gt;40,"Medium","Low"))</f>
        <v>Low</v>
      </c>
      <c r="W4237" t="str">
        <f>IF(Table1[[#This Row],[skill_gap_index]]&gt;70,"Large Gap",
IF(Table1[[#This Row],[skill_gap_index]]&gt;40,"Medium Gap","Small Gap"))</f>
        <v>Medium Gap</v>
      </c>
      <c r="X4237" s="3" t="str">
        <f>IF(Table1[[#This Row],[automation_risk_percent]]&gt;0.7,"Highly Automatable",
IF(Table1[[#This Row],[automation_risk_percent]]&gt;0.4,"Moderate Risk","Safe Job"))</f>
        <v>Safe Job</v>
      </c>
    </row>
    <row r="4238" spans="1:24" x14ac:dyDescent="0.3">
      <c r="A4238">
        <v>14721</v>
      </c>
      <c r="B4238" t="s">
        <v>44</v>
      </c>
      <c r="C4238" t="s">
        <v>27</v>
      </c>
      <c r="D4238" t="s">
        <v>47</v>
      </c>
      <c r="E4238" s="1">
        <v>2026</v>
      </c>
      <c r="F4238" s="11">
        <v>0.27860000000000001</v>
      </c>
      <c r="G4238">
        <v>23.1</v>
      </c>
      <c r="H4238">
        <v>51.92</v>
      </c>
      <c r="I4238" s="2">
        <v>113667.31</v>
      </c>
      <c r="J4238" s="2">
        <v>121786.01</v>
      </c>
      <c r="K4238" s="2">
        <f>Table1[[#This Row],[Salary_after]]-Table1[[#This Row],[Salary_before]]</f>
        <v>8118.6999999999971</v>
      </c>
      <c r="L4238" s="11">
        <v>7.1399999999999991E-2</v>
      </c>
      <c r="M4238" s="11">
        <v>0.16550000000000001</v>
      </c>
      <c r="N4238">
        <v>17.989999999999998</v>
      </c>
      <c r="O4238">
        <v>33.44</v>
      </c>
      <c r="P4238">
        <v>5</v>
      </c>
      <c r="Q4238" t="s">
        <v>21</v>
      </c>
      <c r="R4238">
        <v>39.89</v>
      </c>
      <c r="S4238">
        <v>7.14</v>
      </c>
      <c r="T4238" s="4">
        <v>28.861999999999998</v>
      </c>
      <c r="U4238" s="4">
        <v>9.3163839999999993</v>
      </c>
      <c r="V4238" t="str">
        <f>IF(Table1[[#This Row],[ai_disruption_intensity]]&gt;70,"High",
IF(Table1[[#This Row],[ai_disruption_intensity]]&gt;40,"Medium","Low"))</f>
        <v>Low</v>
      </c>
      <c r="W4238" t="str">
        <f>IF(Table1[[#This Row],[skill_gap_index]]&gt;70,"Large Gap",
IF(Table1[[#This Row],[skill_gap_index]]&gt;40,"Medium Gap","Small Gap"))</f>
        <v>Medium Gap</v>
      </c>
      <c r="X4238" s="3" t="str">
        <f>IF(Table1[[#This Row],[automation_risk_percent]]&gt;0.7,"Highly Automatable",
IF(Table1[[#This Row],[automation_risk_percent]]&gt;0.4,"Moderate Risk","Safe Job"))</f>
        <v>Safe Job</v>
      </c>
    </row>
    <row r="4239" spans="1:24" x14ac:dyDescent="0.3">
      <c r="A4239">
        <v>14736</v>
      </c>
      <c r="B4239" t="s">
        <v>39</v>
      </c>
      <c r="C4239" t="s">
        <v>30</v>
      </c>
      <c r="D4239" t="s">
        <v>42</v>
      </c>
      <c r="E4239" s="1">
        <v>2025</v>
      </c>
      <c r="F4239" s="11">
        <v>0.44750000000000001</v>
      </c>
      <c r="G4239">
        <v>47.12</v>
      </c>
      <c r="H4239">
        <v>37.57</v>
      </c>
      <c r="I4239" s="2">
        <v>57372.78</v>
      </c>
      <c r="J4239" s="2">
        <v>48020.69</v>
      </c>
      <c r="K4239" s="2">
        <f>Table1[[#This Row],[Salary_after]]-Table1[[#This Row],[Salary_before]]</f>
        <v>-9352.0899999999965</v>
      </c>
      <c r="L4239" s="11">
        <v>-0.16300000000000001</v>
      </c>
      <c r="M4239" s="11">
        <v>-4.4199999999999996E-2</v>
      </c>
      <c r="N4239">
        <v>61.14</v>
      </c>
      <c r="O4239">
        <v>72.64</v>
      </c>
      <c r="P4239">
        <v>3</v>
      </c>
      <c r="Q4239" t="s">
        <v>25</v>
      </c>
      <c r="R4239">
        <v>41.16</v>
      </c>
      <c r="S4239">
        <v>16.3</v>
      </c>
      <c r="T4239" s="4">
        <v>34.061</v>
      </c>
      <c r="U4239" s="4">
        <v>32.506399999999999</v>
      </c>
      <c r="V4239" t="str">
        <f>IF(Table1[[#This Row],[ai_disruption_intensity]]&gt;70,"High",
IF(Table1[[#This Row],[ai_disruption_intensity]]&gt;40,"Medium","Low"))</f>
        <v>Low</v>
      </c>
      <c r="W4239" t="str">
        <f>IF(Table1[[#This Row],[skill_gap_index]]&gt;70,"Large Gap",
IF(Table1[[#This Row],[skill_gap_index]]&gt;40,"Medium Gap","Small Gap"))</f>
        <v>Small Gap</v>
      </c>
      <c r="X4239" s="3" t="str">
        <f>IF(Table1[[#This Row],[automation_risk_percent]]&gt;0.7,"Highly Automatable",
IF(Table1[[#This Row],[automation_risk_percent]]&gt;0.4,"Moderate Risk","Safe Job"))</f>
        <v>Moderate Risk</v>
      </c>
    </row>
    <row r="4240" spans="1:24" x14ac:dyDescent="0.3">
      <c r="A4240">
        <v>14742</v>
      </c>
      <c r="B4240" t="s">
        <v>22</v>
      </c>
      <c r="C4240" t="s">
        <v>27</v>
      </c>
      <c r="D4240" t="s">
        <v>32</v>
      </c>
      <c r="E4240" s="1">
        <v>2026</v>
      </c>
      <c r="F4240" s="11">
        <v>0.66900000000000004</v>
      </c>
      <c r="G4240">
        <v>60.04</v>
      </c>
      <c r="H4240">
        <v>93.88</v>
      </c>
      <c r="I4240" s="2">
        <v>68149.009999999995</v>
      </c>
      <c r="J4240" s="2">
        <v>73873.03</v>
      </c>
      <c r="K4240" s="2">
        <f>Table1[[#This Row],[Salary_after]]-Table1[[#This Row],[Salary_before]]</f>
        <v>5724.0200000000041</v>
      </c>
      <c r="L4240" s="11">
        <v>8.4000000000000005E-2</v>
      </c>
      <c r="M4240" s="11">
        <v>0.1986</v>
      </c>
      <c r="N4240">
        <v>12.67</v>
      </c>
      <c r="O4240">
        <v>86.13</v>
      </c>
      <c r="P4240">
        <v>5</v>
      </c>
      <c r="Q4240" t="s">
        <v>37</v>
      </c>
      <c r="R4240">
        <v>80.39</v>
      </c>
      <c r="S4240">
        <v>8.4</v>
      </c>
      <c r="T4240" s="4">
        <v>57.444000000000003</v>
      </c>
      <c r="U4240" s="4">
        <v>57.62097</v>
      </c>
      <c r="V4240" t="str">
        <f>IF(Table1[[#This Row],[ai_disruption_intensity]]&gt;70,"High",
IF(Table1[[#This Row],[ai_disruption_intensity]]&gt;40,"Medium","Low"))</f>
        <v>Medium</v>
      </c>
      <c r="W4240" t="str">
        <f>IF(Table1[[#This Row],[skill_gap_index]]&gt;70,"Large Gap",
IF(Table1[[#This Row],[skill_gap_index]]&gt;40,"Medium Gap","Small Gap"))</f>
        <v>Large Gap</v>
      </c>
      <c r="X4240" s="3" t="str">
        <f>IF(Table1[[#This Row],[automation_risk_percent]]&gt;0.7,"Highly Automatable",
IF(Table1[[#This Row],[automation_risk_percent]]&gt;0.4,"Moderate Risk","Safe Job"))</f>
        <v>Moderate Risk</v>
      </c>
    </row>
    <row r="4241" spans="1:24" x14ac:dyDescent="0.3">
      <c r="A4241">
        <v>14743</v>
      </c>
      <c r="B4241" t="s">
        <v>29</v>
      </c>
      <c r="C4241" t="s">
        <v>27</v>
      </c>
      <c r="D4241" t="s">
        <v>47</v>
      </c>
      <c r="E4241" s="1">
        <v>2025</v>
      </c>
      <c r="F4241" s="11">
        <v>0.69189999999999996</v>
      </c>
      <c r="G4241">
        <v>71.38</v>
      </c>
      <c r="H4241">
        <v>55.22</v>
      </c>
      <c r="I4241" s="2">
        <v>109813.73</v>
      </c>
      <c r="J4241" s="2">
        <v>111406.52</v>
      </c>
      <c r="K4241" s="2">
        <f>Table1[[#This Row],[Salary_after]]-Table1[[#This Row],[Salary_before]]</f>
        <v>1592.7900000000081</v>
      </c>
      <c r="L4241" s="11">
        <v>1.4499999999999999E-2</v>
      </c>
      <c r="M4241" s="11">
        <v>2.6499999999999999E-2</v>
      </c>
      <c r="N4241">
        <v>37.49</v>
      </c>
      <c r="O4241">
        <v>42.16</v>
      </c>
      <c r="P4241">
        <v>5</v>
      </c>
      <c r="Q4241" t="s">
        <v>37</v>
      </c>
      <c r="R4241">
        <v>62.204999999999998</v>
      </c>
      <c r="S4241">
        <v>1.45</v>
      </c>
      <c r="T4241" s="4">
        <v>44.677</v>
      </c>
      <c r="U4241" s="4">
        <v>29.170503999999902</v>
      </c>
      <c r="V4241" t="str">
        <f>IF(Table1[[#This Row],[ai_disruption_intensity]]&gt;70,"High",
IF(Table1[[#This Row],[ai_disruption_intensity]]&gt;40,"Medium","Low"))</f>
        <v>Low</v>
      </c>
      <c r="W4241" t="str">
        <f>IF(Table1[[#This Row],[skill_gap_index]]&gt;70,"Large Gap",
IF(Table1[[#This Row],[skill_gap_index]]&gt;40,"Medium Gap","Small Gap"))</f>
        <v>Medium Gap</v>
      </c>
      <c r="X4241" s="3" t="str">
        <f>IF(Table1[[#This Row],[automation_risk_percent]]&gt;0.7,"Highly Automatable",
IF(Table1[[#This Row],[automation_risk_percent]]&gt;0.4,"Moderate Risk","Safe Job"))</f>
        <v>Moderate Risk</v>
      </c>
    </row>
    <row r="4242" spans="1:24" x14ac:dyDescent="0.3">
      <c r="A4242">
        <v>14745</v>
      </c>
      <c r="B4242" t="s">
        <v>43</v>
      </c>
      <c r="C4242" t="s">
        <v>34</v>
      </c>
      <c r="D4242" t="s">
        <v>20</v>
      </c>
      <c r="E4242" s="1">
        <v>2026</v>
      </c>
      <c r="F4242" s="11">
        <v>0.32539999999999997</v>
      </c>
      <c r="G4242">
        <v>36.31</v>
      </c>
      <c r="H4242">
        <v>56.88</v>
      </c>
      <c r="I4242" s="2">
        <v>97660.85</v>
      </c>
      <c r="J4242" s="2">
        <v>103305.36</v>
      </c>
      <c r="K4242" s="2">
        <f>Table1[[#This Row],[Salary_after]]-Table1[[#This Row],[Salary_before]]</f>
        <v>5644.5099999999948</v>
      </c>
      <c r="L4242" s="11">
        <v>5.7800000000000004E-2</v>
      </c>
      <c r="M4242" s="11">
        <v>-0.1729</v>
      </c>
      <c r="N4242">
        <v>36.65</v>
      </c>
      <c r="O4242">
        <v>38.79</v>
      </c>
      <c r="P4242">
        <v>3</v>
      </c>
      <c r="Q4242" t="s">
        <v>25</v>
      </c>
      <c r="R4242">
        <v>44.71</v>
      </c>
      <c r="S4242">
        <v>5.78</v>
      </c>
      <c r="T4242" s="4">
        <v>31.814</v>
      </c>
      <c r="U4242" s="4">
        <v>12.622266</v>
      </c>
      <c r="V4242" t="str">
        <f>IF(Table1[[#This Row],[ai_disruption_intensity]]&gt;70,"High",
IF(Table1[[#This Row],[ai_disruption_intensity]]&gt;40,"Medium","Low"))</f>
        <v>Low</v>
      </c>
      <c r="W4242" t="str">
        <f>IF(Table1[[#This Row],[skill_gap_index]]&gt;70,"Large Gap",
IF(Table1[[#This Row],[skill_gap_index]]&gt;40,"Medium Gap","Small Gap"))</f>
        <v>Medium Gap</v>
      </c>
      <c r="X4242" s="3" t="str">
        <f>IF(Table1[[#This Row],[automation_risk_percent]]&gt;0.7,"Highly Automatable",
IF(Table1[[#This Row],[automation_risk_percent]]&gt;0.4,"Moderate Risk","Safe Job"))</f>
        <v>Safe Job</v>
      </c>
    </row>
    <row r="4243" spans="1:24" x14ac:dyDescent="0.3">
      <c r="A4243">
        <v>14747</v>
      </c>
      <c r="B4243" t="s">
        <v>22</v>
      </c>
      <c r="C4243" t="s">
        <v>40</v>
      </c>
      <c r="D4243" t="s">
        <v>28</v>
      </c>
      <c r="E4243" s="1">
        <v>2025</v>
      </c>
      <c r="F4243" s="11">
        <v>0.26190000000000002</v>
      </c>
      <c r="G4243">
        <v>22.46</v>
      </c>
      <c r="H4243">
        <v>8.6300000000000008</v>
      </c>
      <c r="I4243" s="2">
        <v>135551.63</v>
      </c>
      <c r="J4243" s="2">
        <v>127420.87</v>
      </c>
      <c r="K4243" s="2">
        <f>Table1[[#This Row],[Salary_after]]-Table1[[#This Row],[Salary_before]]</f>
        <v>-8130.7600000000093</v>
      </c>
      <c r="L4243" s="11">
        <v>-0.06</v>
      </c>
      <c r="M4243" s="11">
        <v>0.17809999999999998</v>
      </c>
      <c r="N4243">
        <v>34.78</v>
      </c>
      <c r="O4243">
        <v>51.91</v>
      </c>
      <c r="P4243">
        <v>4</v>
      </c>
      <c r="Q4243" t="s">
        <v>21</v>
      </c>
      <c r="R4243">
        <v>17.41</v>
      </c>
      <c r="S4243">
        <v>6</v>
      </c>
      <c r="T4243" s="4">
        <v>14.865</v>
      </c>
      <c r="U4243" s="4">
        <v>13.595229</v>
      </c>
      <c r="V4243" t="str">
        <f>IF(Table1[[#This Row],[ai_disruption_intensity]]&gt;70,"High",
IF(Table1[[#This Row],[ai_disruption_intensity]]&gt;40,"Medium","Low"))</f>
        <v>Low</v>
      </c>
      <c r="W4243" t="str">
        <f>IF(Table1[[#This Row],[skill_gap_index]]&gt;70,"Large Gap",
IF(Table1[[#This Row],[skill_gap_index]]&gt;40,"Medium Gap","Small Gap"))</f>
        <v>Small Gap</v>
      </c>
      <c r="X4243" s="3" t="str">
        <f>IF(Table1[[#This Row],[automation_risk_percent]]&gt;0.7,"Highly Automatable",
IF(Table1[[#This Row],[automation_risk_percent]]&gt;0.4,"Moderate Risk","Safe Job"))</f>
        <v>Safe Job</v>
      </c>
    </row>
    <row r="4244" spans="1:24" x14ac:dyDescent="0.3">
      <c r="A4244">
        <v>14749</v>
      </c>
      <c r="B4244" t="s">
        <v>45</v>
      </c>
      <c r="C4244" t="s">
        <v>27</v>
      </c>
      <c r="D4244" t="s">
        <v>28</v>
      </c>
      <c r="E4244" s="1">
        <v>2025</v>
      </c>
      <c r="F4244" s="11">
        <v>0.67310000000000003</v>
      </c>
      <c r="G4244">
        <v>79.34</v>
      </c>
      <c r="H4244">
        <v>17.649999999999999</v>
      </c>
      <c r="I4244" s="2">
        <v>124051.33</v>
      </c>
      <c r="J4244" s="2">
        <v>118408.89</v>
      </c>
      <c r="K4244" s="2">
        <f>Table1[[#This Row],[Salary_after]]-Table1[[#This Row],[Salary_before]]</f>
        <v>-5642.4400000000023</v>
      </c>
      <c r="L4244" s="11">
        <v>-4.5499999999999999E-2</v>
      </c>
      <c r="M4244" s="11">
        <v>5.1000000000000004E-3</v>
      </c>
      <c r="N4244">
        <v>33.64</v>
      </c>
      <c r="O4244">
        <v>69.180000000000007</v>
      </c>
      <c r="P4244">
        <v>1</v>
      </c>
      <c r="Q4244" t="s">
        <v>37</v>
      </c>
      <c r="R4244">
        <v>42.48</v>
      </c>
      <c r="S4244">
        <v>4.55</v>
      </c>
      <c r="T4244" s="4">
        <v>33.584000000000003</v>
      </c>
      <c r="U4244" s="4">
        <v>46.565058000000001</v>
      </c>
      <c r="V4244" t="str">
        <f>IF(Table1[[#This Row],[ai_disruption_intensity]]&gt;70,"High",
IF(Table1[[#This Row],[ai_disruption_intensity]]&gt;40,"Medium","Low"))</f>
        <v>Medium</v>
      </c>
      <c r="W4244" t="str">
        <f>IF(Table1[[#This Row],[skill_gap_index]]&gt;70,"Large Gap",
IF(Table1[[#This Row],[skill_gap_index]]&gt;40,"Medium Gap","Small Gap"))</f>
        <v>Small Gap</v>
      </c>
      <c r="X4244" s="3" t="str">
        <f>IF(Table1[[#This Row],[automation_risk_percent]]&gt;0.7,"Highly Automatable",
IF(Table1[[#This Row],[automation_risk_percent]]&gt;0.4,"Moderate Risk","Safe Job"))</f>
        <v>Moderate Risk</v>
      </c>
    </row>
    <row r="4245" spans="1:24" x14ac:dyDescent="0.3">
      <c r="A4245">
        <v>14751</v>
      </c>
      <c r="B4245" t="s">
        <v>44</v>
      </c>
      <c r="C4245" t="s">
        <v>30</v>
      </c>
      <c r="D4245" t="s">
        <v>31</v>
      </c>
      <c r="E4245" s="1">
        <v>2026</v>
      </c>
      <c r="F4245" s="11">
        <v>0.75090000000000001</v>
      </c>
      <c r="G4245">
        <v>70.94</v>
      </c>
      <c r="H4245">
        <v>74.739999999999995</v>
      </c>
      <c r="I4245" s="2">
        <v>110060.77</v>
      </c>
      <c r="J4245" s="2">
        <v>97608.93</v>
      </c>
      <c r="K4245" s="2">
        <f>Table1[[#This Row],[Salary_after]]-Table1[[#This Row],[Salary_before]]</f>
        <v>-12451.840000000011</v>
      </c>
      <c r="L4245" s="11">
        <v>-0.11310000000000001</v>
      </c>
      <c r="M4245" s="11">
        <v>0.22510000000000002</v>
      </c>
      <c r="N4245">
        <v>87.9</v>
      </c>
      <c r="O4245">
        <v>78.38</v>
      </c>
      <c r="P4245">
        <v>5</v>
      </c>
      <c r="Q4245" t="s">
        <v>37</v>
      </c>
      <c r="R4245">
        <v>74.914999999999907</v>
      </c>
      <c r="S4245">
        <v>11.31</v>
      </c>
      <c r="T4245" s="4">
        <v>55.850999999999999</v>
      </c>
      <c r="U4245" s="4">
        <v>58.8555419999999</v>
      </c>
      <c r="V4245" t="str">
        <f>IF(Table1[[#This Row],[ai_disruption_intensity]]&gt;70,"High",
IF(Table1[[#This Row],[ai_disruption_intensity]]&gt;40,"Medium","Low"))</f>
        <v>Medium</v>
      </c>
      <c r="W4245" t="str">
        <f>IF(Table1[[#This Row],[skill_gap_index]]&gt;70,"Large Gap",
IF(Table1[[#This Row],[skill_gap_index]]&gt;40,"Medium Gap","Small Gap"))</f>
        <v>Large Gap</v>
      </c>
      <c r="X4245" s="3" t="str">
        <f>IF(Table1[[#This Row],[automation_risk_percent]]&gt;0.7,"Highly Automatable",
IF(Table1[[#This Row],[automation_risk_percent]]&gt;0.4,"Moderate Risk","Safe Job"))</f>
        <v>Highly Automatable</v>
      </c>
    </row>
    <row r="4246" spans="1:24" x14ac:dyDescent="0.3">
      <c r="A4246">
        <v>14754</v>
      </c>
      <c r="B4246" t="s">
        <v>39</v>
      </c>
      <c r="C4246" t="s">
        <v>38</v>
      </c>
      <c r="D4246" t="s">
        <v>24</v>
      </c>
      <c r="E4246" s="1">
        <v>2025</v>
      </c>
      <c r="F4246" s="11">
        <v>0.54930000000000001</v>
      </c>
      <c r="G4246">
        <v>49.31</v>
      </c>
      <c r="H4246">
        <v>27.36</v>
      </c>
      <c r="I4246" s="2">
        <v>78474.070000000007</v>
      </c>
      <c r="J4246" s="2">
        <v>73907.63</v>
      </c>
      <c r="K4246" s="2">
        <f>Table1[[#This Row],[Salary_after]]-Table1[[#This Row],[Salary_before]]</f>
        <v>-4566.4400000000023</v>
      </c>
      <c r="L4246" s="11">
        <v>-5.8200000000000002E-2</v>
      </c>
      <c r="M4246" s="11">
        <v>-5.4400000000000004E-2</v>
      </c>
      <c r="N4246">
        <v>61.4</v>
      </c>
      <c r="O4246">
        <v>24.38</v>
      </c>
      <c r="P4246">
        <v>4</v>
      </c>
      <c r="Q4246" t="s">
        <v>25</v>
      </c>
      <c r="R4246">
        <v>41.144999999999897</v>
      </c>
      <c r="S4246">
        <v>5.82</v>
      </c>
      <c r="T4246" s="4">
        <v>31.925999999999998</v>
      </c>
      <c r="U4246" s="4">
        <v>13.391933999999999</v>
      </c>
      <c r="V4246" t="str">
        <f>IF(Table1[[#This Row],[ai_disruption_intensity]]&gt;70,"High",
IF(Table1[[#This Row],[ai_disruption_intensity]]&gt;40,"Medium","Low"))</f>
        <v>Low</v>
      </c>
      <c r="W4246" t="str">
        <f>IF(Table1[[#This Row],[skill_gap_index]]&gt;70,"Large Gap",
IF(Table1[[#This Row],[skill_gap_index]]&gt;40,"Medium Gap","Small Gap"))</f>
        <v>Small Gap</v>
      </c>
      <c r="X4246" s="3" t="str">
        <f>IF(Table1[[#This Row],[automation_risk_percent]]&gt;0.7,"Highly Automatable",
IF(Table1[[#This Row],[automation_risk_percent]]&gt;0.4,"Moderate Risk","Safe Job"))</f>
        <v>Moderate Risk</v>
      </c>
    </row>
    <row r="4247" spans="1:24" x14ac:dyDescent="0.3">
      <c r="A4247">
        <v>14755</v>
      </c>
      <c r="B4247" t="s">
        <v>29</v>
      </c>
      <c r="C4247" t="s">
        <v>33</v>
      </c>
      <c r="D4247" t="s">
        <v>20</v>
      </c>
      <c r="E4247" s="1">
        <v>2025</v>
      </c>
      <c r="F4247" s="11">
        <v>0.45100000000000001</v>
      </c>
      <c r="G4247">
        <v>52.24</v>
      </c>
      <c r="H4247">
        <v>47.18</v>
      </c>
      <c r="I4247" s="2">
        <v>115004.55</v>
      </c>
      <c r="J4247" s="2">
        <v>122366.98</v>
      </c>
      <c r="K4247" s="2">
        <f>Table1[[#This Row],[Salary_after]]-Table1[[#This Row],[Salary_before]]</f>
        <v>7362.429999999993</v>
      </c>
      <c r="L4247" s="11">
        <v>6.4000000000000001E-2</v>
      </c>
      <c r="M4247" s="11">
        <v>-0.10390000000000001</v>
      </c>
      <c r="N4247">
        <v>71.510000000000005</v>
      </c>
      <c r="O4247">
        <v>30.33</v>
      </c>
      <c r="P4247">
        <v>3</v>
      </c>
      <c r="Q4247" t="s">
        <v>25</v>
      </c>
      <c r="R4247">
        <v>46.14</v>
      </c>
      <c r="S4247">
        <v>6.4</v>
      </c>
      <c r="T4247" s="4">
        <v>34.113999999999997</v>
      </c>
      <c r="U4247" s="4">
        <v>13.67883</v>
      </c>
      <c r="V4247" t="str">
        <f>IF(Table1[[#This Row],[ai_disruption_intensity]]&gt;70,"High",
IF(Table1[[#This Row],[ai_disruption_intensity]]&gt;40,"Medium","Low"))</f>
        <v>Low</v>
      </c>
      <c r="W4247" t="str">
        <f>IF(Table1[[#This Row],[skill_gap_index]]&gt;70,"Large Gap",
IF(Table1[[#This Row],[skill_gap_index]]&gt;40,"Medium Gap","Small Gap"))</f>
        <v>Medium Gap</v>
      </c>
      <c r="X4247" s="3" t="str">
        <f>IF(Table1[[#This Row],[automation_risk_percent]]&gt;0.7,"Highly Automatable",
IF(Table1[[#This Row],[automation_risk_percent]]&gt;0.4,"Moderate Risk","Safe Job"))</f>
        <v>Moderate Risk</v>
      </c>
    </row>
    <row r="4248" spans="1:24" x14ac:dyDescent="0.3">
      <c r="A4248">
        <v>14757</v>
      </c>
      <c r="B4248" t="s">
        <v>26</v>
      </c>
      <c r="C4248" t="s">
        <v>23</v>
      </c>
      <c r="D4248" t="s">
        <v>36</v>
      </c>
      <c r="E4248" s="1">
        <v>2026</v>
      </c>
      <c r="F4248" s="11">
        <v>0.05</v>
      </c>
      <c r="G4248">
        <v>5.51</v>
      </c>
      <c r="H4248">
        <v>50.53</v>
      </c>
      <c r="I4248" s="2">
        <v>90498.17</v>
      </c>
      <c r="J4248" s="2">
        <v>84907.27</v>
      </c>
      <c r="K4248" s="2">
        <f>Table1[[#This Row],[Salary_after]]-Table1[[#This Row],[Salary_before]]</f>
        <v>-5590.8999999999942</v>
      </c>
      <c r="L4248" s="11">
        <v>-6.1799999999999994E-2</v>
      </c>
      <c r="M4248" s="11">
        <v>3.6900000000000002E-2</v>
      </c>
      <c r="N4248">
        <v>78.59</v>
      </c>
      <c r="O4248">
        <v>71.69</v>
      </c>
      <c r="P4248">
        <v>3</v>
      </c>
      <c r="Q4248" t="s">
        <v>21</v>
      </c>
      <c r="R4248">
        <v>27.765000000000001</v>
      </c>
      <c r="S4248">
        <v>6.18</v>
      </c>
      <c r="T4248" s="4">
        <v>19.012999999999899</v>
      </c>
      <c r="U4248" s="4">
        <v>3.5844999999999998</v>
      </c>
      <c r="V4248" t="str">
        <f>IF(Table1[[#This Row],[ai_disruption_intensity]]&gt;70,"High",
IF(Table1[[#This Row],[ai_disruption_intensity]]&gt;40,"Medium","Low"))</f>
        <v>Low</v>
      </c>
      <c r="W4248" t="str">
        <f>IF(Table1[[#This Row],[skill_gap_index]]&gt;70,"Large Gap",
IF(Table1[[#This Row],[skill_gap_index]]&gt;40,"Medium Gap","Small Gap"))</f>
        <v>Medium Gap</v>
      </c>
      <c r="X4248" s="3" t="str">
        <f>IF(Table1[[#This Row],[automation_risk_percent]]&gt;0.7,"Highly Automatable",
IF(Table1[[#This Row],[automation_risk_percent]]&gt;0.4,"Moderate Risk","Safe Job"))</f>
        <v>Safe Job</v>
      </c>
    </row>
    <row r="4249" spans="1:24" x14ac:dyDescent="0.3">
      <c r="A4249">
        <v>14758</v>
      </c>
      <c r="B4249" t="s">
        <v>46</v>
      </c>
      <c r="C4249" t="s">
        <v>40</v>
      </c>
      <c r="D4249" t="s">
        <v>47</v>
      </c>
      <c r="E4249" s="1">
        <v>2026</v>
      </c>
      <c r="F4249" s="11">
        <v>0.50119999999999998</v>
      </c>
      <c r="G4249">
        <v>60.02</v>
      </c>
      <c r="H4249">
        <v>83.83</v>
      </c>
      <c r="I4249" s="2">
        <v>62025.08</v>
      </c>
      <c r="J4249" s="2">
        <v>61016.79</v>
      </c>
      <c r="K4249" s="2">
        <f>Table1[[#This Row],[Salary_after]]-Table1[[#This Row],[Salary_before]]</f>
        <v>-1008.2900000000009</v>
      </c>
      <c r="L4249" s="11">
        <v>-1.6299999999999999E-2</v>
      </c>
      <c r="M4249" s="11">
        <v>-6.4500000000000002E-2</v>
      </c>
      <c r="N4249">
        <v>84.96</v>
      </c>
      <c r="O4249">
        <v>15.83</v>
      </c>
      <c r="P4249">
        <v>3</v>
      </c>
      <c r="Q4249" t="s">
        <v>25</v>
      </c>
      <c r="R4249">
        <v>66.974999999999994</v>
      </c>
      <c r="S4249">
        <v>1.63</v>
      </c>
      <c r="T4249" s="4">
        <v>45.686</v>
      </c>
      <c r="U4249" s="4">
        <v>7.9339959999999996</v>
      </c>
      <c r="V4249" t="str">
        <f>IF(Table1[[#This Row],[ai_disruption_intensity]]&gt;70,"High",
IF(Table1[[#This Row],[ai_disruption_intensity]]&gt;40,"Medium","Low"))</f>
        <v>Low</v>
      </c>
      <c r="W4249" t="str">
        <f>IF(Table1[[#This Row],[skill_gap_index]]&gt;70,"Large Gap",
IF(Table1[[#This Row],[skill_gap_index]]&gt;40,"Medium Gap","Small Gap"))</f>
        <v>Large Gap</v>
      </c>
      <c r="X4249" s="3" t="str">
        <f>IF(Table1[[#This Row],[automation_risk_percent]]&gt;0.7,"Highly Automatable",
IF(Table1[[#This Row],[automation_risk_percent]]&gt;0.4,"Moderate Risk","Safe Job"))</f>
        <v>Moderate Risk</v>
      </c>
    </row>
    <row r="4250" spans="1:24" x14ac:dyDescent="0.3">
      <c r="A4250">
        <v>14761</v>
      </c>
      <c r="B4250" t="s">
        <v>45</v>
      </c>
      <c r="C4250" t="s">
        <v>34</v>
      </c>
      <c r="D4250" t="s">
        <v>36</v>
      </c>
      <c r="E4250" s="1">
        <v>2026</v>
      </c>
      <c r="F4250" s="11">
        <v>0.43320000000000003</v>
      </c>
      <c r="G4250">
        <v>38.31</v>
      </c>
      <c r="H4250">
        <v>81.150000000000006</v>
      </c>
      <c r="I4250" s="2">
        <v>120386.61</v>
      </c>
      <c r="J4250" s="2">
        <v>109470.76</v>
      </c>
      <c r="K4250" s="2">
        <f>Table1[[#This Row],[Salary_after]]-Table1[[#This Row],[Salary_before]]</f>
        <v>-10915.850000000006</v>
      </c>
      <c r="L4250" s="11">
        <v>-9.0700000000000003E-2</v>
      </c>
      <c r="M4250" s="11">
        <v>-7.6E-3</v>
      </c>
      <c r="N4250">
        <v>81</v>
      </c>
      <c r="O4250">
        <v>97.73</v>
      </c>
      <c r="P4250">
        <v>2</v>
      </c>
      <c r="Q4250" t="s">
        <v>25</v>
      </c>
      <c r="R4250">
        <v>62.234999999999999</v>
      </c>
      <c r="S4250">
        <v>9.07</v>
      </c>
      <c r="T4250" s="4">
        <v>44.393999999999998</v>
      </c>
      <c r="U4250" s="4">
        <v>42.336635999999999</v>
      </c>
      <c r="V4250" t="str">
        <f>IF(Table1[[#This Row],[ai_disruption_intensity]]&gt;70,"High",
IF(Table1[[#This Row],[ai_disruption_intensity]]&gt;40,"Medium","Low"))</f>
        <v>Medium</v>
      </c>
      <c r="W4250" t="str">
        <f>IF(Table1[[#This Row],[skill_gap_index]]&gt;70,"Large Gap",
IF(Table1[[#This Row],[skill_gap_index]]&gt;40,"Medium Gap","Small Gap"))</f>
        <v>Large Gap</v>
      </c>
      <c r="X4250" s="3" t="str">
        <f>IF(Table1[[#This Row],[automation_risk_percent]]&gt;0.7,"Highly Automatable",
IF(Table1[[#This Row],[automation_risk_percent]]&gt;0.4,"Moderate Risk","Safe Job"))</f>
        <v>Moderate Risk</v>
      </c>
    </row>
    <row r="4251" spans="1:24" x14ac:dyDescent="0.3">
      <c r="A4251">
        <v>14763</v>
      </c>
      <c r="B4251" t="s">
        <v>43</v>
      </c>
      <c r="C4251" t="s">
        <v>30</v>
      </c>
      <c r="D4251" t="s">
        <v>36</v>
      </c>
      <c r="E4251" s="1">
        <v>2026</v>
      </c>
      <c r="F4251" s="11">
        <v>0.1812</v>
      </c>
      <c r="G4251">
        <v>17.25</v>
      </c>
      <c r="H4251">
        <v>98.31</v>
      </c>
      <c r="I4251" s="2">
        <v>74183.56</v>
      </c>
      <c r="J4251" s="2">
        <v>67928.210000000006</v>
      </c>
      <c r="K4251" s="2">
        <f>Table1[[#This Row],[Salary_after]]-Table1[[#This Row],[Salary_before]]</f>
        <v>-6255.3499999999913</v>
      </c>
      <c r="L4251" s="11">
        <v>-8.43E-2</v>
      </c>
      <c r="M4251" s="11">
        <v>-0.14330000000000001</v>
      </c>
      <c r="N4251">
        <v>59.7</v>
      </c>
      <c r="O4251">
        <v>1</v>
      </c>
      <c r="P4251">
        <v>3</v>
      </c>
      <c r="Q4251" t="s">
        <v>21</v>
      </c>
      <c r="R4251">
        <v>58.215000000000003</v>
      </c>
      <c r="S4251">
        <v>8.43</v>
      </c>
      <c r="T4251" s="4">
        <v>39.269999999999897</v>
      </c>
      <c r="U4251" s="4">
        <v>0.1812</v>
      </c>
      <c r="V4251" t="str">
        <f>IF(Table1[[#This Row],[ai_disruption_intensity]]&gt;70,"High",
IF(Table1[[#This Row],[ai_disruption_intensity]]&gt;40,"Medium","Low"))</f>
        <v>Low</v>
      </c>
      <c r="W4251" t="str">
        <f>IF(Table1[[#This Row],[skill_gap_index]]&gt;70,"Large Gap",
IF(Table1[[#This Row],[skill_gap_index]]&gt;40,"Medium Gap","Small Gap"))</f>
        <v>Large Gap</v>
      </c>
      <c r="X4251" s="3" t="str">
        <f>IF(Table1[[#This Row],[automation_risk_percent]]&gt;0.7,"Highly Automatable",
IF(Table1[[#This Row],[automation_risk_percent]]&gt;0.4,"Moderate Risk","Safe Job"))</f>
        <v>Safe Job</v>
      </c>
    </row>
    <row r="4252" spans="1:24" x14ac:dyDescent="0.3">
      <c r="A4252">
        <v>14774</v>
      </c>
      <c r="B4252" t="s">
        <v>22</v>
      </c>
      <c r="C4252" t="s">
        <v>30</v>
      </c>
      <c r="D4252" t="s">
        <v>42</v>
      </c>
      <c r="E4252" s="1">
        <v>2025</v>
      </c>
      <c r="F4252" s="11">
        <v>0.3039</v>
      </c>
      <c r="G4252">
        <v>29.73</v>
      </c>
      <c r="H4252">
        <v>24.62</v>
      </c>
      <c r="I4252" s="2">
        <v>117996.9</v>
      </c>
      <c r="J4252" s="2">
        <v>115582.42</v>
      </c>
      <c r="K4252" s="2">
        <f>Table1[[#This Row],[Salary_after]]-Table1[[#This Row],[Salary_before]]</f>
        <v>-2414.4799999999959</v>
      </c>
      <c r="L4252" s="11">
        <v>-2.0499999999999997E-2</v>
      </c>
      <c r="M4252" s="11">
        <v>0.19640000000000002</v>
      </c>
      <c r="N4252">
        <v>74.47</v>
      </c>
      <c r="O4252">
        <v>32.06</v>
      </c>
      <c r="P4252">
        <v>2</v>
      </c>
      <c r="Q4252" t="s">
        <v>25</v>
      </c>
      <c r="R4252">
        <v>27.504999999999999</v>
      </c>
      <c r="S4252">
        <v>2.0499999999999998</v>
      </c>
      <c r="T4252" s="4">
        <v>20.157</v>
      </c>
      <c r="U4252" s="4">
        <v>9.7430339999999998</v>
      </c>
      <c r="V4252" t="str">
        <f>IF(Table1[[#This Row],[ai_disruption_intensity]]&gt;70,"High",
IF(Table1[[#This Row],[ai_disruption_intensity]]&gt;40,"Medium","Low"))</f>
        <v>Low</v>
      </c>
      <c r="W4252" t="str">
        <f>IF(Table1[[#This Row],[skill_gap_index]]&gt;70,"Large Gap",
IF(Table1[[#This Row],[skill_gap_index]]&gt;40,"Medium Gap","Small Gap"))</f>
        <v>Small Gap</v>
      </c>
      <c r="X4252" s="3" t="str">
        <f>IF(Table1[[#This Row],[automation_risk_percent]]&gt;0.7,"Highly Automatable",
IF(Table1[[#This Row],[automation_risk_percent]]&gt;0.4,"Moderate Risk","Safe Job"))</f>
        <v>Safe Job</v>
      </c>
    </row>
    <row r="4253" spans="1:24" x14ac:dyDescent="0.3">
      <c r="A4253">
        <v>14775</v>
      </c>
      <c r="B4253" t="s">
        <v>29</v>
      </c>
      <c r="C4253" t="s">
        <v>34</v>
      </c>
      <c r="D4253" t="s">
        <v>36</v>
      </c>
      <c r="E4253" s="1">
        <v>2025</v>
      </c>
      <c r="F4253" s="11">
        <v>0.57169999999999999</v>
      </c>
      <c r="G4253">
        <v>65.760000000000005</v>
      </c>
      <c r="H4253">
        <v>4.66</v>
      </c>
      <c r="I4253" s="2">
        <v>84827.91</v>
      </c>
      <c r="J4253" s="2">
        <v>83998.24</v>
      </c>
      <c r="K4253" s="2">
        <f>Table1[[#This Row],[Salary_after]]-Table1[[#This Row],[Salary_before]]</f>
        <v>-829.66999999999825</v>
      </c>
      <c r="L4253" s="11">
        <v>-9.7999999999999997E-3</v>
      </c>
      <c r="M4253" s="11">
        <v>-1.43E-2</v>
      </c>
      <c r="N4253">
        <v>56.9</v>
      </c>
      <c r="O4253">
        <v>75.569999999999993</v>
      </c>
      <c r="P4253">
        <v>1</v>
      </c>
      <c r="Q4253" t="s">
        <v>25</v>
      </c>
      <c r="R4253">
        <v>30.914999999999999</v>
      </c>
      <c r="S4253">
        <v>0.98</v>
      </c>
      <c r="T4253" s="4">
        <v>24.56</v>
      </c>
      <c r="U4253" s="4">
        <v>43.203368999999903</v>
      </c>
      <c r="V4253" t="str">
        <f>IF(Table1[[#This Row],[ai_disruption_intensity]]&gt;70,"High",
IF(Table1[[#This Row],[ai_disruption_intensity]]&gt;40,"Medium","Low"))</f>
        <v>Medium</v>
      </c>
      <c r="W4253" t="str">
        <f>IF(Table1[[#This Row],[skill_gap_index]]&gt;70,"Large Gap",
IF(Table1[[#This Row],[skill_gap_index]]&gt;40,"Medium Gap","Small Gap"))</f>
        <v>Small Gap</v>
      </c>
      <c r="X4253" s="3" t="str">
        <f>IF(Table1[[#This Row],[automation_risk_percent]]&gt;0.7,"Highly Automatable",
IF(Table1[[#This Row],[automation_risk_percent]]&gt;0.4,"Moderate Risk","Safe Job"))</f>
        <v>Moderate Risk</v>
      </c>
    </row>
    <row r="4254" spans="1:24" x14ac:dyDescent="0.3">
      <c r="A4254">
        <v>14779</v>
      </c>
      <c r="B4254" t="s">
        <v>45</v>
      </c>
      <c r="C4254" t="s">
        <v>30</v>
      </c>
      <c r="D4254" t="s">
        <v>36</v>
      </c>
      <c r="E4254" s="1">
        <v>2025</v>
      </c>
      <c r="F4254" s="11">
        <v>0.79390000000000005</v>
      </c>
      <c r="G4254">
        <v>71.03</v>
      </c>
      <c r="H4254">
        <v>89.05</v>
      </c>
      <c r="I4254" s="2">
        <v>62325.4</v>
      </c>
      <c r="J4254" s="2">
        <v>69988.740000000005</v>
      </c>
      <c r="K4254" s="2">
        <f>Table1[[#This Row],[Salary_after]]-Table1[[#This Row],[Salary_before]]</f>
        <v>7663.3400000000038</v>
      </c>
      <c r="L4254" s="11">
        <v>0.12300000000000001</v>
      </c>
      <c r="M4254" s="11">
        <v>7.7499999999999999E-2</v>
      </c>
      <c r="N4254">
        <v>32.39</v>
      </c>
      <c r="O4254">
        <v>56.44</v>
      </c>
      <c r="P4254">
        <v>3</v>
      </c>
      <c r="Q4254" t="s">
        <v>37</v>
      </c>
      <c r="R4254">
        <v>84.22</v>
      </c>
      <c r="S4254">
        <v>12.3</v>
      </c>
      <c r="T4254" s="4">
        <v>62.161000000000001</v>
      </c>
      <c r="U4254" s="4">
        <v>44.807715999999999</v>
      </c>
      <c r="V4254" t="str">
        <f>IF(Table1[[#This Row],[ai_disruption_intensity]]&gt;70,"High",
IF(Table1[[#This Row],[ai_disruption_intensity]]&gt;40,"Medium","Low"))</f>
        <v>Medium</v>
      </c>
      <c r="W4254" t="str">
        <f>IF(Table1[[#This Row],[skill_gap_index]]&gt;70,"Large Gap",
IF(Table1[[#This Row],[skill_gap_index]]&gt;40,"Medium Gap","Small Gap"))</f>
        <v>Large Gap</v>
      </c>
      <c r="X4254" s="3" t="str">
        <f>IF(Table1[[#This Row],[automation_risk_percent]]&gt;0.7,"Highly Automatable",
IF(Table1[[#This Row],[automation_risk_percent]]&gt;0.4,"Moderate Risk","Safe Job"))</f>
        <v>Highly Automatable</v>
      </c>
    </row>
    <row r="4255" spans="1:24" x14ac:dyDescent="0.3">
      <c r="A4255">
        <v>14782</v>
      </c>
      <c r="B4255" t="s">
        <v>43</v>
      </c>
      <c r="C4255" t="s">
        <v>33</v>
      </c>
      <c r="D4255" t="s">
        <v>28</v>
      </c>
      <c r="E4255" s="1">
        <v>2025</v>
      </c>
      <c r="F4255" s="11">
        <v>0.78390000000000004</v>
      </c>
      <c r="G4255">
        <v>86.49</v>
      </c>
      <c r="H4255">
        <v>14.83</v>
      </c>
      <c r="I4255" s="2">
        <v>41917.93</v>
      </c>
      <c r="J4255" s="2">
        <v>39518.1</v>
      </c>
      <c r="K4255" s="2">
        <f>Table1[[#This Row],[Salary_after]]-Table1[[#This Row],[Salary_before]]</f>
        <v>-2399.8300000000017</v>
      </c>
      <c r="L4255" s="11">
        <v>-5.7300000000000004E-2</v>
      </c>
      <c r="M4255" s="11">
        <v>9.8999999999999991E-3</v>
      </c>
      <c r="N4255">
        <v>60.81</v>
      </c>
      <c r="O4255">
        <v>66.069999999999993</v>
      </c>
      <c r="P4255">
        <v>3</v>
      </c>
      <c r="Q4255" t="s">
        <v>37</v>
      </c>
      <c r="R4255">
        <v>46.61</v>
      </c>
      <c r="S4255">
        <v>5.73</v>
      </c>
      <c r="T4255" s="4">
        <v>37.524000000000001</v>
      </c>
      <c r="U4255" s="4">
        <v>51.792272999999902</v>
      </c>
      <c r="V4255" t="str">
        <f>IF(Table1[[#This Row],[ai_disruption_intensity]]&gt;70,"High",
IF(Table1[[#This Row],[ai_disruption_intensity]]&gt;40,"Medium","Low"))</f>
        <v>Medium</v>
      </c>
      <c r="W4255" t="str">
        <f>IF(Table1[[#This Row],[skill_gap_index]]&gt;70,"Large Gap",
IF(Table1[[#This Row],[skill_gap_index]]&gt;40,"Medium Gap","Small Gap"))</f>
        <v>Small Gap</v>
      </c>
      <c r="X4255" s="3" t="str">
        <f>IF(Table1[[#This Row],[automation_risk_percent]]&gt;0.7,"Highly Automatable",
IF(Table1[[#This Row],[automation_risk_percent]]&gt;0.4,"Moderate Risk","Safe Job"))</f>
        <v>Highly Automatable</v>
      </c>
    </row>
    <row r="4256" spans="1:24" x14ac:dyDescent="0.3">
      <c r="A4256">
        <v>14784</v>
      </c>
      <c r="B4256" t="s">
        <v>29</v>
      </c>
      <c r="C4256" t="s">
        <v>38</v>
      </c>
      <c r="D4256" t="s">
        <v>24</v>
      </c>
      <c r="E4256" s="1">
        <v>2025</v>
      </c>
      <c r="F4256" s="11">
        <v>0.29730000000000001</v>
      </c>
      <c r="G4256">
        <v>31.18</v>
      </c>
      <c r="H4256">
        <v>72.27</v>
      </c>
      <c r="I4256" s="2">
        <v>140897.73000000001</v>
      </c>
      <c r="J4256" s="2">
        <v>133164.31</v>
      </c>
      <c r="K4256" s="2">
        <f>Table1[[#This Row],[Salary_after]]-Table1[[#This Row],[Salary_before]]</f>
        <v>-7733.4200000000128</v>
      </c>
      <c r="L4256" s="11">
        <v>-5.4900000000000004E-2</v>
      </c>
      <c r="M4256" s="11">
        <v>0.13189999999999999</v>
      </c>
      <c r="N4256">
        <v>28.01</v>
      </c>
      <c r="O4256">
        <v>30.55</v>
      </c>
      <c r="P4256">
        <v>2</v>
      </c>
      <c r="Q4256" t="s">
        <v>21</v>
      </c>
      <c r="R4256">
        <v>51</v>
      </c>
      <c r="S4256">
        <v>5.49</v>
      </c>
      <c r="T4256" s="4">
        <v>35.22</v>
      </c>
      <c r="U4256" s="4">
        <v>9.0825150000000008</v>
      </c>
      <c r="V4256" t="str">
        <f>IF(Table1[[#This Row],[ai_disruption_intensity]]&gt;70,"High",
IF(Table1[[#This Row],[ai_disruption_intensity]]&gt;40,"Medium","Low"))</f>
        <v>Low</v>
      </c>
      <c r="W4256" t="str">
        <f>IF(Table1[[#This Row],[skill_gap_index]]&gt;70,"Large Gap",
IF(Table1[[#This Row],[skill_gap_index]]&gt;40,"Medium Gap","Small Gap"))</f>
        <v>Large Gap</v>
      </c>
      <c r="X4256" s="3" t="str">
        <f>IF(Table1[[#This Row],[automation_risk_percent]]&gt;0.7,"Highly Automatable",
IF(Table1[[#This Row],[automation_risk_percent]]&gt;0.4,"Moderate Risk","Safe Job"))</f>
        <v>Safe Job</v>
      </c>
    </row>
    <row r="4257" spans="1:24" x14ac:dyDescent="0.3">
      <c r="A4257">
        <v>14785</v>
      </c>
      <c r="B4257" t="s">
        <v>22</v>
      </c>
      <c r="C4257" t="s">
        <v>27</v>
      </c>
      <c r="D4257" t="s">
        <v>28</v>
      </c>
      <c r="E4257" s="1">
        <v>2026</v>
      </c>
      <c r="F4257" s="11">
        <v>0.26910000000000001</v>
      </c>
      <c r="G4257">
        <v>29.27</v>
      </c>
      <c r="H4257">
        <v>69.87</v>
      </c>
      <c r="I4257" s="2">
        <v>97193.47</v>
      </c>
      <c r="J4257" s="2">
        <v>107732.37</v>
      </c>
      <c r="K4257" s="2">
        <f>Table1[[#This Row],[Salary_after]]-Table1[[#This Row],[Salary_before]]</f>
        <v>10538.899999999994</v>
      </c>
      <c r="L4257" s="11">
        <v>0.1084</v>
      </c>
      <c r="M4257" s="11">
        <v>-1.8E-3</v>
      </c>
      <c r="N4257">
        <v>81.75</v>
      </c>
      <c r="O4257">
        <v>29.68</v>
      </c>
      <c r="P4257">
        <v>4</v>
      </c>
      <c r="Q4257" t="s">
        <v>21</v>
      </c>
      <c r="R4257">
        <v>48.39</v>
      </c>
      <c r="S4257">
        <v>10.84</v>
      </c>
      <c r="T4257" s="4">
        <v>34.976999999999997</v>
      </c>
      <c r="U4257" s="4">
        <v>7.9868880000000004</v>
      </c>
      <c r="V4257" t="str">
        <f>IF(Table1[[#This Row],[ai_disruption_intensity]]&gt;70,"High",
IF(Table1[[#This Row],[ai_disruption_intensity]]&gt;40,"Medium","Low"))</f>
        <v>Low</v>
      </c>
      <c r="W4257" t="str">
        <f>IF(Table1[[#This Row],[skill_gap_index]]&gt;70,"Large Gap",
IF(Table1[[#This Row],[skill_gap_index]]&gt;40,"Medium Gap","Small Gap"))</f>
        <v>Medium Gap</v>
      </c>
      <c r="X4257" s="3" t="str">
        <f>IF(Table1[[#This Row],[automation_risk_percent]]&gt;0.7,"Highly Automatable",
IF(Table1[[#This Row],[automation_risk_percent]]&gt;0.4,"Moderate Risk","Safe Job"))</f>
        <v>Safe Job</v>
      </c>
    </row>
    <row r="4258" spans="1:24" x14ac:dyDescent="0.3">
      <c r="A4258">
        <v>14790</v>
      </c>
      <c r="B4258" t="s">
        <v>41</v>
      </c>
      <c r="C4258" t="s">
        <v>27</v>
      </c>
      <c r="D4258" t="s">
        <v>42</v>
      </c>
      <c r="E4258" s="1">
        <v>2025</v>
      </c>
      <c r="F4258" s="11">
        <v>0.52359999999999995</v>
      </c>
      <c r="G4258">
        <v>42.08</v>
      </c>
      <c r="H4258">
        <v>63.75</v>
      </c>
      <c r="I4258" s="2">
        <v>147361.85999999999</v>
      </c>
      <c r="J4258" s="2">
        <v>176430.46</v>
      </c>
      <c r="K4258" s="2">
        <f>Table1[[#This Row],[Salary_after]]-Table1[[#This Row],[Salary_before]]</f>
        <v>29068.600000000006</v>
      </c>
      <c r="L4258" s="11">
        <v>0.1973</v>
      </c>
      <c r="M4258" s="11">
        <v>3.6200000000000003E-2</v>
      </c>
      <c r="N4258">
        <v>57.46</v>
      </c>
      <c r="O4258">
        <v>23.76</v>
      </c>
      <c r="P4258">
        <v>4</v>
      </c>
      <c r="Q4258" t="s">
        <v>25</v>
      </c>
      <c r="R4258">
        <v>58.055</v>
      </c>
      <c r="S4258">
        <v>19.73</v>
      </c>
      <c r="T4258" s="4">
        <v>45.988</v>
      </c>
      <c r="U4258" s="4">
        <v>12.440735999999999</v>
      </c>
      <c r="V4258" t="str">
        <f>IF(Table1[[#This Row],[ai_disruption_intensity]]&gt;70,"High",
IF(Table1[[#This Row],[ai_disruption_intensity]]&gt;40,"Medium","Low"))</f>
        <v>Low</v>
      </c>
      <c r="W4258" t="str">
        <f>IF(Table1[[#This Row],[skill_gap_index]]&gt;70,"Large Gap",
IF(Table1[[#This Row],[skill_gap_index]]&gt;40,"Medium Gap","Small Gap"))</f>
        <v>Medium Gap</v>
      </c>
      <c r="X4258" s="3" t="str">
        <f>IF(Table1[[#This Row],[automation_risk_percent]]&gt;0.7,"Highly Automatable",
IF(Table1[[#This Row],[automation_risk_percent]]&gt;0.4,"Moderate Risk","Safe Job"))</f>
        <v>Moderate Risk</v>
      </c>
    </row>
    <row r="4259" spans="1:24" x14ac:dyDescent="0.3">
      <c r="A4259">
        <v>14793</v>
      </c>
      <c r="B4259" t="s">
        <v>43</v>
      </c>
      <c r="C4259" t="s">
        <v>23</v>
      </c>
      <c r="D4259" t="s">
        <v>42</v>
      </c>
      <c r="E4259" s="1">
        <v>2025</v>
      </c>
      <c r="F4259" s="11">
        <v>0.6119</v>
      </c>
      <c r="G4259">
        <v>61.69</v>
      </c>
      <c r="H4259">
        <v>66.09</v>
      </c>
      <c r="I4259" s="2">
        <v>77013.05</v>
      </c>
      <c r="J4259" s="2">
        <v>77228.429999999993</v>
      </c>
      <c r="K4259" s="2">
        <f>Table1[[#This Row],[Salary_after]]-Table1[[#This Row],[Salary_before]]</f>
        <v>215.3799999999901</v>
      </c>
      <c r="L4259" s="11">
        <v>2.8000000000000004E-3</v>
      </c>
      <c r="M4259" s="11">
        <v>-0.13220000000000001</v>
      </c>
      <c r="N4259">
        <v>52.79</v>
      </c>
      <c r="O4259">
        <v>39.54</v>
      </c>
      <c r="P4259">
        <v>1</v>
      </c>
      <c r="Q4259" t="s">
        <v>37</v>
      </c>
      <c r="R4259">
        <v>63.64</v>
      </c>
      <c r="S4259">
        <v>0.28000000000000003</v>
      </c>
      <c r="T4259" s="4">
        <v>44.387</v>
      </c>
      <c r="U4259" s="4">
        <v>24.194526</v>
      </c>
      <c r="V4259" t="str">
        <f>IF(Table1[[#This Row],[ai_disruption_intensity]]&gt;70,"High",
IF(Table1[[#This Row],[ai_disruption_intensity]]&gt;40,"Medium","Low"))</f>
        <v>Low</v>
      </c>
      <c r="W4259" t="str">
        <f>IF(Table1[[#This Row],[skill_gap_index]]&gt;70,"Large Gap",
IF(Table1[[#This Row],[skill_gap_index]]&gt;40,"Medium Gap","Small Gap"))</f>
        <v>Medium Gap</v>
      </c>
      <c r="X4259" s="3" t="str">
        <f>IF(Table1[[#This Row],[automation_risk_percent]]&gt;0.7,"Highly Automatable",
IF(Table1[[#This Row],[automation_risk_percent]]&gt;0.4,"Moderate Risk","Safe Job"))</f>
        <v>Moderate Risk</v>
      </c>
    </row>
    <row r="4260" spans="1:24" x14ac:dyDescent="0.3">
      <c r="A4260">
        <v>14795</v>
      </c>
      <c r="B4260" t="s">
        <v>43</v>
      </c>
      <c r="C4260" t="s">
        <v>30</v>
      </c>
      <c r="D4260" t="s">
        <v>32</v>
      </c>
      <c r="E4260" s="1">
        <v>2026</v>
      </c>
      <c r="F4260" s="11">
        <v>0.56720000000000004</v>
      </c>
      <c r="G4260">
        <v>47.97</v>
      </c>
      <c r="H4260">
        <v>9.68</v>
      </c>
      <c r="I4260" s="2">
        <v>66363.22</v>
      </c>
      <c r="J4260" s="2">
        <v>59930.27</v>
      </c>
      <c r="K4260" s="2">
        <f>Table1[[#This Row],[Salary_after]]-Table1[[#This Row],[Salary_before]]</f>
        <v>-6432.9500000000044</v>
      </c>
      <c r="L4260" s="11">
        <v>-9.69E-2</v>
      </c>
      <c r="M4260" s="11">
        <v>-4.4000000000000003E-3</v>
      </c>
      <c r="N4260">
        <v>52.07</v>
      </c>
      <c r="O4260">
        <v>61.75</v>
      </c>
      <c r="P4260">
        <v>2</v>
      </c>
      <c r="Q4260" t="s">
        <v>25</v>
      </c>
      <c r="R4260">
        <v>33.200000000000003</v>
      </c>
      <c r="S4260">
        <v>9.69</v>
      </c>
      <c r="T4260" s="4">
        <v>28.498999999999999</v>
      </c>
      <c r="U4260" s="4">
        <v>35.0246</v>
      </c>
      <c r="V4260" t="str">
        <f>IF(Table1[[#This Row],[ai_disruption_intensity]]&gt;70,"High",
IF(Table1[[#This Row],[ai_disruption_intensity]]&gt;40,"Medium","Low"))</f>
        <v>Low</v>
      </c>
      <c r="W4260" t="str">
        <f>IF(Table1[[#This Row],[skill_gap_index]]&gt;70,"Large Gap",
IF(Table1[[#This Row],[skill_gap_index]]&gt;40,"Medium Gap","Small Gap"))</f>
        <v>Small Gap</v>
      </c>
      <c r="X4260" s="3" t="str">
        <f>IF(Table1[[#This Row],[automation_risk_percent]]&gt;0.7,"Highly Automatable",
IF(Table1[[#This Row],[automation_risk_percent]]&gt;0.4,"Moderate Risk","Safe Job"))</f>
        <v>Moderate Risk</v>
      </c>
    </row>
    <row r="4261" spans="1:24" x14ac:dyDescent="0.3">
      <c r="A4261">
        <v>14796</v>
      </c>
      <c r="B4261" t="s">
        <v>22</v>
      </c>
      <c r="C4261" t="s">
        <v>19</v>
      </c>
      <c r="D4261" t="s">
        <v>47</v>
      </c>
      <c r="E4261" s="1">
        <v>2025</v>
      </c>
      <c r="F4261" s="11">
        <v>0.74860000000000004</v>
      </c>
      <c r="G4261">
        <v>80.91</v>
      </c>
      <c r="H4261">
        <v>52.27</v>
      </c>
      <c r="I4261" s="2">
        <v>94726.27</v>
      </c>
      <c r="J4261" s="2">
        <v>78743.92</v>
      </c>
      <c r="K4261" s="2">
        <f>Table1[[#This Row],[Salary_after]]-Table1[[#This Row],[Salary_before]]</f>
        <v>-15982.350000000006</v>
      </c>
      <c r="L4261" s="11">
        <v>-0.16870000000000002</v>
      </c>
      <c r="M4261" s="11">
        <v>0.10920000000000001</v>
      </c>
      <c r="N4261">
        <v>77.05</v>
      </c>
      <c r="O4261">
        <v>65.349999999999994</v>
      </c>
      <c r="P4261">
        <v>4</v>
      </c>
      <c r="Q4261" t="s">
        <v>37</v>
      </c>
      <c r="R4261">
        <v>63.564999999999998</v>
      </c>
      <c r="S4261">
        <v>16.87</v>
      </c>
      <c r="T4261" s="4">
        <v>50.686</v>
      </c>
      <c r="U4261" s="4">
        <v>48.921009999999903</v>
      </c>
      <c r="V4261" t="str">
        <f>IF(Table1[[#This Row],[ai_disruption_intensity]]&gt;70,"High",
IF(Table1[[#This Row],[ai_disruption_intensity]]&gt;40,"Medium","Low"))</f>
        <v>Medium</v>
      </c>
      <c r="W4261" t="str">
        <f>IF(Table1[[#This Row],[skill_gap_index]]&gt;70,"Large Gap",
IF(Table1[[#This Row],[skill_gap_index]]&gt;40,"Medium Gap","Small Gap"))</f>
        <v>Medium Gap</v>
      </c>
      <c r="X4261" s="3" t="str">
        <f>IF(Table1[[#This Row],[automation_risk_percent]]&gt;0.7,"Highly Automatable",
IF(Table1[[#This Row],[automation_risk_percent]]&gt;0.4,"Moderate Risk","Safe Job"))</f>
        <v>Highly Automatable</v>
      </c>
    </row>
    <row r="4262" spans="1:24" x14ac:dyDescent="0.3">
      <c r="A4262">
        <v>14799</v>
      </c>
      <c r="B4262" t="s">
        <v>43</v>
      </c>
      <c r="C4262" t="s">
        <v>30</v>
      </c>
      <c r="D4262" t="s">
        <v>35</v>
      </c>
      <c r="E4262" s="1">
        <v>2026</v>
      </c>
      <c r="F4262" s="11">
        <v>0.18719999999999998</v>
      </c>
      <c r="G4262">
        <v>16.62</v>
      </c>
      <c r="H4262">
        <v>68.72</v>
      </c>
      <c r="I4262" s="2">
        <v>129968.52</v>
      </c>
      <c r="J4262" s="2">
        <v>103789.07</v>
      </c>
      <c r="K4262" s="2">
        <f>Table1[[#This Row],[Salary_after]]-Table1[[#This Row],[Salary_before]]</f>
        <v>-26179.449999999997</v>
      </c>
      <c r="L4262" s="11">
        <v>-0.2014</v>
      </c>
      <c r="M4262" s="11">
        <v>-0.1</v>
      </c>
      <c r="N4262">
        <v>51.58</v>
      </c>
      <c r="O4262">
        <v>47.1</v>
      </c>
      <c r="P4262">
        <v>5</v>
      </c>
      <c r="Q4262" t="s">
        <v>21</v>
      </c>
      <c r="R4262">
        <v>43.72</v>
      </c>
      <c r="S4262">
        <v>20.14</v>
      </c>
      <c r="T4262" s="4">
        <v>34.146000000000001</v>
      </c>
      <c r="U4262" s="4">
        <v>8.8171199999999992</v>
      </c>
      <c r="V4262" t="str">
        <f>IF(Table1[[#This Row],[ai_disruption_intensity]]&gt;70,"High",
IF(Table1[[#This Row],[ai_disruption_intensity]]&gt;40,"Medium","Low"))</f>
        <v>Low</v>
      </c>
      <c r="W4262" t="str">
        <f>IF(Table1[[#This Row],[skill_gap_index]]&gt;70,"Large Gap",
IF(Table1[[#This Row],[skill_gap_index]]&gt;40,"Medium Gap","Small Gap"))</f>
        <v>Medium Gap</v>
      </c>
      <c r="X4262" s="3" t="str">
        <f>IF(Table1[[#This Row],[automation_risk_percent]]&gt;0.7,"Highly Automatable",
IF(Table1[[#This Row],[automation_risk_percent]]&gt;0.4,"Moderate Risk","Safe Job"))</f>
        <v>Safe Job</v>
      </c>
    </row>
    <row r="4263" spans="1:24" x14ac:dyDescent="0.3">
      <c r="A4263">
        <v>14800</v>
      </c>
      <c r="B4263" t="s">
        <v>26</v>
      </c>
      <c r="C4263" t="s">
        <v>33</v>
      </c>
      <c r="D4263" t="s">
        <v>47</v>
      </c>
      <c r="E4263" s="1">
        <v>2025</v>
      </c>
      <c r="F4263" s="11">
        <v>0.16440000000000002</v>
      </c>
      <c r="G4263">
        <v>19.66</v>
      </c>
      <c r="H4263">
        <v>66.83</v>
      </c>
      <c r="I4263" s="2">
        <v>122845.89</v>
      </c>
      <c r="J4263" s="2">
        <v>141839.45000000001</v>
      </c>
      <c r="K4263" s="2">
        <f>Table1[[#This Row],[Salary_after]]-Table1[[#This Row],[Salary_before]]</f>
        <v>18993.560000000012</v>
      </c>
      <c r="L4263" s="11">
        <v>0.15460000000000002</v>
      </c>
      <c r="M4263" s="11">
        <v>1.5800000000000002E-2</v>
      </c>
      <c r="N4263">
        <v>71.5</v>
      </c>
      <c r="O4263">
        <v>82.71</v>
      </c>
      <c r="P4263">
        <v>4</v>
      </c>
      <c r="Q4263" t="s">
        <v>21</v>
      </c>
      <c r="R4263">
        <v>41.634999999999998</v>
      </c>
      <c r="S4263">
        <v>15.46</v>
      </c>
      <c r="T4263" s="4">
        <v>31.262999999999899</v>
      </c>
      <c r="U4263" s="4">
        <v>13.597524</v>
      </c>
      <c r="V4263" t="str">
        <f>IF(Table1[[#This Row],[ai_disruption_intensity]]&gt;70,"High",
IF(Table1[[#This Row],[ai_disruption_intensity]]&gt;40,"Medium","Low"))</f>
        <v>Low</v>
      </c>
      <c r="W4263" t="str">
        <f>IF(Table1[[#This Row],[skill_gap_index]]&gt;70,"Large Gap",
IF(Table1[[#This Row],[skill_gap_index]]&gt;40,"Medium Gap","Small Gap"))</f>
        <v>Medium Gap</v>
      </c>
      <c r="X4263" s="3" t="str">
        <f>IF(Table1[[#This Row],[automation_risk_percent]]&gt;0.7,"Highly Automatable",
IF(Table1[[#This Row],[automation_risk_percent]]&gt;0.4,"Moderate Risk","Safe Job"))</f>
        <v>Safe Job</v>
      </c>
    </row>
    <row r="4264" spans="1:24" x14ac:dyDescent="0.3">
      <c r="A4264">
        <v>14808</v>
      </c>
      <c r="B4264" t="s">
        <v>18</v>
      </c>
      <c r="C4264" t="s">
        <v>23</v>
      </c>
      <c r="D4264" t="s">
        <v>36</v>
      </c>
      <c r="E4264" s="1">
        <v>2025</v>
      </c>
      <c r="F4264" s="11">
        <v>0.54590000000000005</v>
      </c>
      <c r="G4264">
        <v>55.05</v>
      </c>
      <c r="H4264">
        <v>26.58</v>
      </c>
      <c r="I4264" s="2">
        <v>123798.23</v>
      </c>
      <c r="J4264" s="2">
        <v>135989.54999999999</v>
      </c>
      <c r="K4264" s="2">
        <f>Table1[[#This Row],[Salary_after]]-Table1[[#This Row],[Salary_before]]</f>
        <v>12191.319999999992</v>
      </c>
      <c r="L4264" s="11">
        <v>9.849999999999999E-2</v>
      </c>
      <c r="M4264" s="11">
        <v>-2.1600000000000001E-2</v>
      </c>
      <c r="N4264">
        <v>92.12</v>
      </c>
      <c r="O4264">
        <v>57.22</v>
      </c>
      <c r="P4264">
        <v>5</v>
      </c>
      <c r="Q4264" t="s">
        <v>25</v>
      </c>
      <c r="R4264">
        <v>40.585000000000001</v>
      </c>
      <c r="S4264">
        <v>9.85</v>
      </c>
      <c r="T4264" s="4">
        <v>32.765000000000001</v>
      </c>
      <c r="U4264" s="4">
        <v>31.236397999999902</v>
      </c>
      <c r="V4264" t="str">
        <f>IF(Table1[[#This Row],[ai_disruption_intensity]]&gt;70,"High",
IF(Table1[[#This Row],[ai_disruption_intensity]]&gt;40,"Medium","Low"))</f>
        <v>Low</v>
      </c>
      <c r="W4264" t="str">
        <f>IF(Table1[[#This Row],[skill_gap_index]]&gt;70,"Large Gap",
IF(Table1[[#This Row],[skill_gap_index]]&gt;40,"Medium Gap","Small Gap"))</f>
        <v>Small Gap</v>
      </c>
      <c r="X4264" s="3" t="str">
        <f>IF(Table1[[#This Row],[automation_risk_percent]]&gt;0.7,"Highly Automatable",
IF(Table1[[#This Row],[automation_risk_percent]]&gt;0.4,"Moderate Risk","Safe Job"))</f>
        <v>Moderate Risk</v>
      </c>
    </row>
    <row r="4265" spans="1:24" x14ac:dyDescent="0.3">
      <c r="A4265">
        <v>14809</v>
      </c>
      <c r="B4265" t="s">
        <v>26</v>
      </c>
      <c r="C4265" t="s">
        <v>30</v>
      </c>
      <c r="D4265" t="s">
        <v>20</v>
      </c>
      <c r="E4265" s="1">
        <v>2026</v>
      </c>
      <c r="F4265" s="11">
        <v>0.56259999999999999</v>
      </c>
      <c r="G4265">
        <v>50.87</v>
      </c>
      <c r="H4265">
        <v>15.64</v>
      </c>
      <c r="I4265" s="2">
        <v>98080.67</v>
      </c>
      <c r="J4265" s="2">
        <v>80580.34</v>
      </c>
      <c r="K4265" s="2">
        <f>Table1[[#This Row],[Salary_after]]-Table1[[#This Row],[Salary_before]]</f>
        <v>-17500.330000000002</v>
      </c>
      <c r="L4265" s="11">
        <v>-0.1784</v>
      </c>
      <c r="M4265" s="11">
        <v>-0.12390000000000001</v>
      </c>
      <c r="N4265">
        <v>21.48</v>
      </c>
      <c r="O4265">
        <v>93.72</v>
      </c>
      <c r="P4265">
        <v>2</v>
      </c>
      <c r="Q4265" t="s">
        <v>25</v>
      </c>
      <c r="R4265">
        <v>35.950000000000003</v>
      </c>
      <c r="S4265">
        <v>17.84</v>
      </c>
      <c r="T4265" s="4">
        <v>32.548000000000002</v>
      </c>
      <c r="U4265" s="4">
        <v>52.726871999999901</v>
      </c>
      <c r="V4265" t="str">
        <f>IF(Table1[[#This Row],[ai_disruption_intensity]]&gt;70,"High",
IF(Table1[[#This Row],[ai_disruption_intensity]]&gt;40,"Medium","Low"))</f>
        <v>Medium</v>
      </c>
      <c r="W4265" t="str">
        <f>IF(Table1[[#This Row],[skill_gap_index]]&gt;70,"Large Gap",
IF(Table1[[#This Row],[skill_gap_index]]&gt;40,"Medium Gap","Small Gap"))</f>
        <v>Small Gap</v>
      </c>
      <c r="X4265" s="3" t="str">
        <f>IF(Table1[[#This Row],[automation_risk_percent]]&gt;0.7,"Highly Automatable",
IF(Table1[[#This Row],[automation_risk_percent]]&gt;0.4,"Moderate Risk","Safe Job"))</f>
        <v>Moderate Risk</v>
      </c>
    </row>
    <row r="4266" spans="1:24" x14ac:dyDescent="0.3">
      <c r="A4266">
        <v>14813</v>
      </c>
      <c r="B4266" t="s">
        <v>43</v>
      </c>
      <c r="C4266" t="s">
        <v>30</v>
      </c>
      <c r="D4266" t="s">
        <v>24</v>
      </c>
      <c r="E4266" s="1">
        <v>2026</v>
      </c>
      <c r="F4266" s="11">
        <v>0.72199999999999998</v>
      </c>
      <c r="G4266">
        <v>68.23</v>
      </c>
      <c r="H4266">
        <v>63.74</v>
      </c>
      <c r="I4266" s="2">
        <v>135876.03</v>
      </c>
      <c r="J4266" s="2">
        <v>145242.63</v>
      </c>
      <c r="K4266" s="2">
        <f>Table1[[#This Row],[Salary_after]]-Table1[[#This Row],[Salary_before]]</f>
        <v>9366.6000000000058</v>
      </c>
      <c r="L4266" s="11">
        <v>6.8900000000000003E-2</v>
      </c>
      <c r="M4266" s="11">
        <v>7.5300000000000006E-2</v>
      </c>
      <c r="N4266">
        <v>50.91</v>
      </c>
      <c r="O4266">
        <v>95.7</v>
      </c>
      <c r="P4266">
        <v>1</v>
      </c>
      <c r="Q4266" t="s">
        <v>37</v>
      </c>
      <c r="R4266">
        <v>67.97</v>
      </c>
      <c r="S4266">
        <v>6.89</v>
      </c>
      <c r="T4266" s="4">
        <v>50.069000000000003</v>
      </c>
      <c r="U4266" s="4">
        <v>69.095399999999998</v>
      </c>
      <c r="V4266" t="str">
        <f>IF(Table1[[#This Row],[ai_disruption_intensity]]&gt;70,"High",
IF(Table1[[#This Row],[ai_disruption_intensity]]&gt;40,"Medium","Low"))</f>
        <v>Medium</v>
      </c>
      <c r="W4266" t="str">
        <f>IF(Table1[[#This Row],[skill_gap_index]]&gt;70,"Large Gap",
IF(Table1[[#This Row],[skill_gap_index]]&gt;40,"Medium Gap","Small Gap"))</f>
        <v>Medium Gap</v>
      </c>
      <c r="X4266" s="3" t="str">
        <f>IF(Table1[[#This Row],[automation_risk_percent]]&gt;0.7,"Highly Automatable",
IF(Table1[[#This Row],[automation_risk_percent]]&gt;0.4,"Moderate Risk","Safe Job"))</f>
        <v>Highly Automatable</v>
      </c>
    </row>
    <row r="4267" spans="1:24" x14ac:dyDescent="0.3">
      <c r="A4267">
        <v>14817</v>
      </c>
      <c r="B4267" t="s">
        <v>39</v>
      </c>
      <c r="C4267" t="s">
        <v>40</v>
      </c>
      <c r="D4267" t="s">
        <v>35</v>
      </c>
      <c r="E4267" s="1">
        <v>2026</v>
      </c>
      <c r="F4267" s="11">
        <v>0.72730000000000006</v>
      </c>
      <c r="G4267">
        <v>75.41</v>
      </c>
      <c r="H4267">
        <v>20.93</v>
      </c>
      <c r="I4267" s="2">
        <v>141258.71</v>
      </c>
      <c r="J4267" s="2">
        <v>161274.75</v>
      </c>
      <c r="K4267" s="2">
        <f>Table1[[#This Row],[Salary_after]]-Table1[[#This Row],[Salary_before]]</f>
        <v>20016.040000000008</v>
      </c>
      <c r="L4267" s="11">
        <v>0.14169999999999999</v>
      </c>
      <c r="M4267" s="11">
        <v>2.64E-2</v>
      </c>
      <c r="N4267">
        <v>95.48</v>
      </c>
      <c r="O4267">
        <v>30.89</v>
      </c>
      <c r="P4267">
        <v>5</v>
      </c>
      <c r="Q4267" t="s">
        <v>37</v>
      </c>
      <c r="R4267">
        <v>46.83</v>
      </c>
      <c r="S4267">
        <v>14.17</v>
      </c>
      <c r="T4267" s="4">
        <v>39.622</v>
      </c>
      <c r="U4267" s="4">
        <v>22.466297000000001</v>
      </c>
      <c r="V4267" t="str">
        <f>IF(Table1[[#This Row],[ai_disruption_intensity]]&gt;70,"High",
IF(Table1[[#This Row],[ai_disruption_intensity]]&gt;40,"Medium","Low"))</f>
        <v>Low</v>
      </c>
      <c r="W4267" t="str">
        <f>IF(Table1[[#This Row],[skill_gap_index]]&gt;70,"Large Gap",
IF(Table1[[#This Row],[skill_gap_index]]&gt;40,"Medium Gap","Small Gap"))</f>
        <v>Small Gap</v>
      </c>
      <c r="X4267" s="3" t="str">
        <f>IF(Table1[[#This Row],[automation_risk_percent]]&gt;0.7,"Highly Automatable",
IF(Table1[[#This Row],[automation_risk_percent]]&gt;0.4,"Moderate Risk","Safe Job"))</f>
        <v>Highly Automatable</v>
      </c>
    </row>
    <row r="4268" spans="1:24" x14ac:dyDescent="0.3">
      <c r="A4268">
        <v>14819</v>
      </c>
      <c r="B4268" t="s">
        <v>46</v>
      </c>
      <c r="C4268" t="s">
        <v>27</v>
      </c>
      <c r="D4268" t="s">
        <v>35</v>
      </c>
      <c r="E4268" s="1">
        <v>2026</v>
      </c>
      <c r="F4268" s="11">
        <v>0.33759999999999996</v>
      </c>
      <c r="G4268">
        <v>31.13</v>
      </c>
      <c r="H4268">
        <v>52.01</v>
      </c>
      <c r="I4268" s="2">
        <v>42059.72</v>
      </c>
      <c r="J4268" s="2">
        <v>41147.65</v>
      </c>
      <c r="K4268" s="2">
        <f>Table1[[#This Row],[Salary_after]]-Table1[[#This Row],[Salary_before]]</f>
        <v>-912.06999999999971</v>
      </c>
      <c r="L4268" s="11">
        <v>-2.1700000000000001E-2</v>
      </c>
      <c r="M4268" s="11">
        <v>9.01E-2</v>
      </c>
      <c r="N4268">
        <v>67.09</v>
      </c>
      <c r="O4268">
        <v>64.78</v>
      </c>
      <c r="P4268">
        <v>5</v>
      </c>
      <c r="Q4268" t="s">
        <v>25</v>
      </c>
      <c r="R4268">
        <v>42.884999999999998</v>
      </c>
      <c r="S4268">
        <v>2.17</v>
      </c>
      <c r="T4268" s="4">
        <v>29.757999999999999</v>
      </c>
      <c r="U4268" s="4">
        <v>21.869727999999999</v>
      </c>
      <c r="V4268" t="str">
        <f>IF(Table1[[#This Row],[ai_disruption_intensity]]&gt;70,"High",
IF(Table1[[#This Row],[ai_disruption_intensity]]&gt;40,"Medium","Low"))</f>
        <v>Low</v>
      </c>
      <c r="W4268" t="str">
        <f>IF(Table1[[#This Row],[skill_gap_index]]&gt;70,"Large Gap",
IF(Table1[[#This Row],[skill_gap_index]]&gt;40,"Medium Gap","Small Gap"))</f>
        <v>Medium Gap</v>
      </c>
      <c r="X4268" s="3" t="str">
        <f>IF(Table1[[#This Row],[automation_risk_percent]]&gt;0.7,"Highly Automatable",
IF(Table1[[#This Row],[automation_risk_percent]]&gt;0.4,"Moderate Risk","Safe Job"))</f>
        <v>Safe Job</v>
      </c>
    </row>
    <row r="4269" spans="1:24" x14ac:dyDescent="0.3">
      <c r="A4269">
        <v>14820</v>
      </c>
      <c r="B4269" t="s">
        <v>29</v>
      </c>
      <c r="C4269" t="s">
        <v>40</v>
      </c>
      <c r="D4269" t="s">
        <v>31</v>
      </c>
      <c r="E4269" s="1">
        <v>2026</v>
      </c>
      <c r="F4269" s="11">
        <v>0.42520000000000002</v>
      </c>
      <c r="G4269">
        <v>50.97</v>
      </c>
      <c r="H4269">
        <v>48.36</v>
      </c>
      <c r="I4269" s="2">
        <v>120578.53</v>
      </c>
      <c r="J4269" s="2">
        <v>117022</v>
      </c>
      <c r="K4269" s="2">
        <f>Table1[[#This Row],[Salary_after]]-Table1[[#This Row],[Salary_before]]</f>
        <v>-3556.5299999999988</v>
      </c>
      <c r="L4269" s="11">
        <v>-2.9500000000000002E-2</v>
      </c>
      <c r="M4269" s="11">
        <v>-2.64E-2</v>
      </c>
      <c r="N4269">
        <v>76.959999999999994</v>
      </c>
      <c r="O4269">
        <v>14.1</v>
      </c>
      <c r="P4269">
        <v>2</v>
      </c>
      <c r="Q4269" t="s">
        <v>25</v>
      </c>
      <c r="R4269">
        <v>45.44</v>
      </c>
      <c r="S4269">
        <v>2.95</v>
      </c>
      <c r="T4269" s="4">
        <v>32.401000000000003</v>
      </c>
      <c r="U4269" s="4">
        <v>5.9953200000000004</v>
      </c>
      <c r="V4269" t="str">
        <f>IF(Table1[[#This Row],[ai_disruption_intensity]]&gt;70,"High",
IF(Table1[[#This Row],[ai_disruption_intensity]]&gt;40,"Medium","Low"))</f>
        <v>Low</v>
      </c>
      <c r="W4269" t="str">
        <f>IF(Table1[[#This Row],[skill_gap_index]]&gt;70,"Large Gap",
IF(Table1[[#This Row],[skill_gap_index]]&gt;40,"Medium Gap","Small Gap"))</f>
        <v>Medium Gap</v>
      </c>
      <c r="X4269" s="3" t="str">
        <f>IF(Table1[[#This Row],[automation_risk_percent]]&gt;0.7,"Highly Automatable",
IF(Table1[[#This Row],[automation_risk_percent]]&gt;0.4,"Moderate Risk","Safe Job"))</f>
        <v>Moderate Risk</v>
      </c>
    </row>
    <row r="4270" spans="1:24" x14ac:dyDescent="0.3">
      <c r="A4270">
        <v>14822</v>
      </c>
      <c r="B4270" t="s">
        <v>39</v>
      </c>
      <c r="C4270" t="s">
        <v>19</v>
      </c>
      <c r="D4270" t="s">
        <v>35</v>
      </c>
      <c r="E4270" s="1">
        <v>2025</v>
      </c>
      <c r="F4270" s="11">
        <v>0.25929999999999997</v>
      </c>
      <c r="G4270">
        <v>25.7</v>
      </c>
      <c r="H4270">
        <v>8.84</v>
      </c>
      <c r="I4270" s="2">
        <v>114848.5</v>
      </c>
      <c r="J4270" s="2">
        <v>116017.36</v>
      </c>
      <c r="K4270" s="2">
        <f>Table1[[#This Row],[Salary_after]]-Table1[[#This Row],[Salary_before]]</f>
        <v>1168.8600000000006</v>
      </c>
      <c r="L4270" s="11">
        <v>1.0200000000000001E-2</v>
      </c>
      <c r="M4270" s="11">
        <v>-0.13669999999999999</v>
      </c>
      <c r="N4270">
        <v>20.329999999999998</v>
      </c>
      <c r="O4270">
        <v>2.6</v>
      </c>
      <c r="P4270">
        <v>3</v>
      </c>
      <c r="Q4270" t="s">
        <v>21</v>
      </c>
      <c r="R4270">
        <v>17.384999999999899</v>
      </c>
      <c r="S4270">
        <v>1.02</v>
      </c>
      <c r="T4270" s="4">
        <v>13.329999999999901</v>
      </c>
      <c r="U4270" s="4">
        <v>0.67418</v>
      </c>
      <c r="V4270" t="str">
        <f>IF(Table1[[#This Row],[ai_disruption_intensity]]&gt;70,"High",
IF(Table1[[#This Row],[ai_disruption_intensity]]&gt;40,"Medium","Low"))</f>
        <v>Low</v>
      </c>
      <c r="W4270" t="str">
        <f>IF(Table1[[#This Row],[skill_gap_index]]&gt;70,"Large Gap",
IF(Table1[[#This Row],[skill_gap_index]]&gt;40,"Medium Gap","Small Gap"))</f>
        <v>Small Gap</v>
      </c>
      <c r="X4270" s="3" t="str">
        <f>IF(Table1[[#This Row],[automation_risk_percent]]&gt;0.7,"Highly Automatable",
IF(Table1[[#This Row],[automation_risk_percent]]&gt;0.4,"Moderate Risk","Safe Job"))</f>
        <v>Safe Job</v>
      </c>
    </row>
    <row r="4271" spans="1:24" x14ac:dyDescent="0.3">
      <c r="A4271">
        <v>14823</v>
      </c>
      <c r="B4271" t="s">
        <v>39</v>
      </c>
      <c r="C4271" t="s">
        <v>33</v>
      </c>
      <c r="D4271" t="s">
        <v>47</v>
      </c>
      <c r="E4271" s="1">
        <v>2026</v>
      </c>
      <c r="F4271" s="11">
        <v>0.34470000000000001</v>
      </c>
      <c r="G4271">
        <v>36.85</v>
      </c>
      <c r="H4271">
        <v>44.95</v>
      </c>
      <c r="I4271" s="2">
        <v>114995.9</v>
      </c>
      <c r="J4271" s="2">
        <v>129962.3</v>
      </c>
      <c r="K4271" s="2">
        <f>Table1[[#This Row],[Salary_after]]-Table1[[#This Row],[Salary_before]]</f>
        <v>14966.400000000009</v>
      </c>
      <c r="L4271" s="11">
        <v>0.13009999999999999</v>
      </c>
      <c r="M4271" s="11">
        <v>0.1454</v>
      </c>
      <c r="N4271">
        <v>86.79</v>
      </c>
      <c r="O4271">
        <v>26.95</v>
      </c>
      <c r="P4271">
        <v>4</v>
      </c>
      <c r="Q4271" t="s">
        <v>25</v>
      </c>
      <c r="R4271">
        <v>39.71</v>
      </c>
      <c r="S4271">
        <v>13.01</v>
      </c>
      <c r="T4271" s="4">
        <v>31.175999999999998</v>
      </c>
      <c r="U4271" s="4">
        <v>9.2896649999999994</v>
      </c>
      <c r="V4271" t="str">
        <f>IF(Table1[[#This Row],[ai_disruption_intensity]]&gt;70,"High",
IF(Table1[[#This Row],[ai_disruption_intensity]]&gt;40,"Medium","Low"))</f>
        <v>Low</v>
      </c>
      <c r="W4271" t="str">
        <f>IF(Table1[[#This Row],[skill_gap_index]]&gt;70,"Large Gap",
IF(Table1[[#This Row],[skill_gap_index]]&gt;40,"Medium Gap","Small Gap"))</f>
        <v>Medium Gap</v>
      </c>
      <c r="X4271" s="3" t="str">
        <f>IF(Table1[[#This Row],[automation_risk_percent]]&gt;0.7,"Highly Automatable",
IF(Table1[[#This Row],[automation_risk_percent]]&gt;0.4,"Moderate Risk","Safe Job"))</f>
        <v>Safe Job</v>
      </c>
    </row>
    <row r="4272" spans="1:24" x14ac:dyDescent="0.3">
      <c r="A4272">
        <v>14831</v>
      </c>
      <c r="B4272" t="s">
        <v>29</v>
      </c>
      <c r="C4272" t="s">
        <v>34</v>
      </c>
      <c r="D4272" t="s">
        <v>24</v>
      </c>
      <c r="E4272" s="1">
        <v>2026</v>
      </c>
      <c r="F4272" s="11">
        <v>0.80180000000000007</v>
      </c>
      <c r="G4272">
        <v>79.67</v>
      </c>
      <c r="H4272">
        <v>83.73</v>
      </c>
      <c r="I4272" s="2">
        <v>128104.36</v>
      </c>
      <c r="J4272" s="2">
        <v>121932.64</v>
      </c>
      <c r="K4272" s="2">
        <f>Table1[[#This Row],[Salary_after]]-Table1[[#This Row],[Salary_before]]</f>
        <v>-6171.7200000000012</v>
      </c>
      <c r="L4272" s="11">
        <v>-4.82E-2</v>
      </c>
      <c r="M4272" s="11">
        <v>3.1099999999999999E-2</v>
      </c>
      <c r="N4272">
        <v>63.3</v>
      </c>
      <c r="O4272">
        <v>78.540000000000006</v>
      </c>
      <c r="P4272">
        <v>5</v>
      </c>
      <c r="Q4272" t="s">
        <v>37</v>
      </c>
      <c r="R4272">
        <v>81.954999999999998</v>
      </c>
      <c r="S4272">
        <v>4.82</v>
      </c>
      <c r="T4272" s="4">
        <v>58.637</v>
      </c>
      <c r="U4272" s="4">
        <v>62.973371999999998</v>
      </c>
      <c r="V4272" t="str">
        <f>IF(Table1[[#This Row],[ai_disruption_intensity]]&gt;70,"High",
IF(Table1[[#This Row],[ai_disruption_intensity]]&gt;40,"Medium","Low"))</f>
        <v>Medium</v>
      </c>
      <c r="W4272" t="str">
        <f>IF(Table1[[#This Row],[skill_gap_index]]&gt;70,"Large Gap",
IF(Table1[[#This Row],[skill_gap_index]]&gt;40,"Medium Gap","Small Gap"))</f>
        <v>Large Gap</v>
      </c>
      <c r="X4272" s="3" t="str">
        <f>IF(Table1[[#This Row],[automation_risk_percent]]&gt;0.7,"Highly Automatable",
IF(Table1[[#This Row],[automation_risk_percent]]&gt;0.4,"Moderate Risk","Safe Job"))</f>
        <v>Highly Automatable</v>
      </c>
    </row>
    <row r="4273" spans="1:24" x14ac:dyDescent="0.3">
      <c r="A4273">
        <v>14832</v>
      </c>
      <c r="B4273" t="s">
        <v>39</v>
      </c>
      <c r="C4273" t="s">
        <v>38</v>
      </c>
      <c r="D4273" t="s">
        <v>28</v>
      </c>
      <c r="E4273" s="1">
        <v>2025</v>
      </c>
      <c r="F4273" s="11">
        <v>0.74900000000000011</v>
      </c>
      <c r="G4273">
        <v>61.03</v>
      </c>
      <c r="H4273">
        <v>40.409999999999997</v>
      </c>
      <c r="I4273" s="2">
        <v>112030.54</v>
      </c>
      <c r="J4273" s="2">
        <v>95113.79</v>
      </c>
      <c r="K4273" s="2">
        <f>Table1[[#This Row],[Salary_after]]-Table1[[#This Row],[Salary_before]]</f>
        <v>-16916.75</v>
      </c>
      <c r="L4273" s="11">
        <v>-0.151</v>
      </c>
      <c r="M4273" s="11">
        <v>2.69E-2</v>
      </c>
      <c r="N4273">
        <v>63.52</v>
      </c>
      <c r="O4273">
        <v>87.77</v>
      </c>
      <c r="P4273">
        <v>2</v>
      </c>
      <c r="Q4273" t="s">
        <v>37</v>
      </c>
      <c r="R4273">
        <v>57.655000000000001</v>
      </c>
      <c r="S4273">
        <v>15.1</v>
      </c>
      <c r="T4273" s="4">
        <v>46.613</v>
      </c>
      <c r="U4273" s="4">
        <v>65.739729999999994</v>
      </c>
      <c r="V4273" t="str">
        <f>IF(Table1[[#This Row],[ai_disruption_intensity]]&gt;70,"High",
IF(Table1[[#This Row],[ai_disruption_intensity]]&gt;40,"Medium","Low"))</f>
        <v>Medium</v>
      </c>
      <c r="W4273" t="str">
        <f>IF(Table1[[#This Row],[skill_gap_index]]&gt;70,"Large Gap",
IF(Table1[[#This Row],[skill_gap_index]]&gt;40,"Medium Gap","Small Gap"))</f>
        <v>Medium Gap</v>
      </c>
      <c r="X4273" s="3" t="str">
        <f>IF(Table1[[#This Row],[automation_risk_percent]]&gt;0.7,"Highly Automatable",
IF(Table1[[#This Row],[automation_risk_percent]]&gt;0.4,"Moderate Risk","Safe Job"))</f>
        <v>Highly Automatable</v>
      </c>
    </row>
    <row r="4274" spans="1:24" x14ac:dyDescent="0.3">
      <c r="A4274">
        <v>14834</v>
      </c>
      <c r="B4274" t="s">
        <v>26</v>
      </c>
      <c r="C4274" t="s">
        <v>23</v>
      </c>
      <c r="D4274" t="s">
        <v>20</v>
      </c>
      <c r="E4274" s="1">
        <v>2026</v>
      </c>
      <c r="F4274" s="11">
        <v>0.15629999999999999</v>
      </c>
      <c r="G4274">
        <v>17.37</v>
      </c>
      <c r="H4274">
        <v>44.52</v>
      </c>
      <c r="I4274" s="2">
        <v>112624.74</v>
      </c>
      <c r="J4274" s="2">
        <v>108603.23</v>
      </c>
      <c r="K4274" s="2">
        <f>Table1[[#This Row],[Salary_after]]-Table1[[#This Row],[Salary_before]]</f>
        <v>-4021.5100000000093</v>
      </c>
      <c r="L4274" s="11">
        <v>-3.5699999999999996E-2</v>
      </c>
      <c r="M4274" s="11">
        <v>0.13550000000000001</v>
      </c>
      <c r="N4274">
        <v>79.099999999999994</v>
      </c>
      <c r="O4274">
        <v>45.3</v>
      </c>
      <c r="P4274">
        <v>2</v>
      </c>
      <c r="Q4274" t="s">
        <v>21</v>
      </c>
      <c r="R4274">
        <v>30.074999999999999</v>
      </c>
      <c r="S4274">
        <v>3.57</v>
      </c>
      <c r="T4274" s="4">
        <v>20.678999999999998</v>
      </c>
      <c r="U4274" s="4">
        <v>7.0803899999999897</v>
      </c>
      <c r="V4274" t="str">
        <f>IF(Table1[[#This Row],[ai_disruption_intensity]]&gt;70,"High",
IF(Table1[[#This Row],[ai_disruption_intensity]]&gt;40,"Medium","Low"))</f>
        <v>Low</v>
      </c>
      <c r="W4274" t="str">
        <f>IF(Table1[[#This Row],[skill_gap_index]]&gt;70,"Large Gap",
IF(Table1[[#This Row],[skill_gap_index]]&gt;40,"Medium Gap","Small Gap"))</f>
        <v>Medium Gap</v>
      </c>
      <c r="X4274" s="3" t="str">
        <f>IF(Table1[[#This Row],[automation_risk_percent]]&gt;0.7,"Highly Automatable",
IF(Table1[[#This Row],[automation_risk_percent]]&gt;0.4,"Moderate Risk","Safe Job"))</f>
        <v>Safe Job</v>
      </c>
    </row>
    <row r="4275" spans="1:24" x14ac:dyDescent="0.3">
      <c r="A4275">
        <v>14835</v>
      </c>
      <c r="B4275" t="s">
        <v>22</v>
      </c>
      <c r="C4275" t="s">
        <v>34</v>
      </c>
      <c r="D4275" t="s">
        <v>31</v>
      </c>
      <c r="E4275" s="1">
        <v>2026</v>
      </c>
      <c r="F4275" s="11">
        <v>0.53270000000000006</v>
      </c>
      <c r="G4275">
        <v>60.26</v>
      </c>
      <c r="H4275">
        <v>29.87</v>
      </c>
      <c r="I4275" s="2">
        <v>130619.67</v>
      </c>
      <c r="J4275" s="2">
        <v>125946.2</v>
      </c>
      <c r="K4275" s="2">
        <f>Table1[[#This Row],[Salary_after]]-Table1[[#This Row],[Salary_before]]</f>
        <v>-4673.4700000000012</v>
      </c>
      <c r="L4275" s="11">
        <v>-3.5799999999999998E-2</v>
      </c>
      <c r="M4275" s="11">
        <v>-8.6199999999999999E-2</v>
      </c>
      <c r="N4275">
        <v>34.78</v>
      </c>
      <c r="O4275">
        <v>1.63</v>
      </c>
      <c r="P4275">
        <v>4</v>
      </c>
      <c r="Q4275" t="s">
        <v>25</v>
      </c>
      <c r="R4275">
        <v>41.57</v>
      </c>
      <c r="S4275">
        <v>3.58</v>
      </c>
      <c r="T4275" s="4">
        <v>31.343</v>
      </c>
      <c r="U4275" s="4">
        <v>0.86830099999999999</v>
      </c>
      <c r="V4275" t="str">
        <f>IF(Table1[[#This Row],[ai_disruption_intensity]]&gt;70,"High",
IF(Table1[[#This Row],[ai_disruption_intensity]]&gt;40,"Medium","Low"))</f>
        <v>Low</v>
      </c>
      <c r="W4275" t="str">
        <f>IF(Table1[[#This Row],[skill_gap_index]]&gt;70,"Large Gap",
IF(Table1[[#This Row],[skill_gap_index]]&gt;40,"Medium Gap","Small Gap"))</f>
        <v>Small Gap</v>
      </c>
      <c r="X4275" s="3" t="str">
        <f>IF(Table1[[#This Row],[automation_risk_percent]]&gt;0.7,"Highly Automatable",
IF(Table1[[#This Row],[automation_risk_percent]]&gt;0.4,"Moderate Risk","Safe Job"))</f>
        <v>Moderate Risk</v>
      </c>
    </row>
    <row r="4276" spans="1:24" x14ac:dyDescent="0.3">
      <c r="A4276">
        <v>14836</v>
      </c>
      <c r="B4276" t="s">
        <v>44</v>
      </c>
      <c r="C4276" t="s">
        <v>27</v>
      </c>
      <c r="D4276" t="s">
        <v>24</v>
      </c>
      <c r="E4276" s="1">
        <v>2025</v>
      </c>
      <c r="F4276" s="11">
        <v>0.10830000000000001</v>
      </c>
      <c r="G4276">
        <v>9.51</v>
      </c>
      <c r="H4276">
        <v>64.62</v>
      </c>
      <c r="I4276" s="2">
        <v>93023.84</v>
      </c>
      <c r="J4276" s="2">
        <v>87619.09</v>
      </c>
      <c r="K4276" s="2">
        <f>Table1[[#This Row],[Salary_after]]-Table1[[#This Row],[Salary_before]]</f>
        <v>-5404.75</v>
      </c>
      <c r="L4276" s="11">
        <v>-5.8099999999999999E-2</v>
      </c>
      <c r="M4276" s="11">
        <v>-0.1381</v>
      </c>
      <c r="N4276">
        <v>70.819999999999993</v>
      </c>
      <c r="O4276">
        <v>88.93</v>
      </c>
      <c r="P4276">
        <v>3</v>
      </c>
      <c r="Q4276" t="s">
        <v>21</v>
      </c>
      <c r="R4276">
        <v>37.725000000000001</v>
      </c>
      <c r="S4276">
        <v>5.81</v>
      </c>
      <c r="T4276" s="4">
        <v>25.460999999999999</v>
      </c>
      <c r="U4276" s="4">
        <v>9.631119</v>
      </c>
      <c r="V4276" t="str">
        <f>IF(Table1[[#This Row],[ai_disruption_intensity]]&gt;70,"High",
IF(Table1[[#This Row],[ai_disruption_intensity]]&gt;40,"Medium","Low"))</f>
        <v>Low</v>
      </c>
      <c r="W4276" t="str">
        <f>IF(Table1[[#This Row],[skill_gap_index]]&gt;70,"Large Gap",
IF(Table1[[#This Row],[skill_gap_index]]&gt;40,"Medium Gap","Small Gap"))</f>
        <v>Medium Gap</v>
      </c>
      <c r="X4276" s="3" t="str">
        <f>IF(Table1[[#This Row],[automation_risk_percent]]&gt;0.7,"Highly Automatable",
IF(Table1[[#This Row],[automation_risk_percent]]&gt;0.4,"Moderate Risk","Safe Job"))</f>
        <v>Safe Job</v>
      </c>
    </row>
    <row r="4277" spans="1:24" x14ac:dyDescent="0.3">
      <c r="A4277">
        <v>14837</v>
      </c>
      <c r="B4277" t="s">
        <v>43</v>
      </c>
      <c r="C4277" t="s">
        <v>27</v>
      </c>
      <c r="D4277" t="s">
        <v>31</v>
      </c>
      <c r="E4277" s="1">
        <v>2026</v>
      </c>
      <c r="F4277" s="11">
        <v>0.28139999999999998</v>
      </c>
      <c r="G4277">
        <v>32.42</v>
      </c>
      <c r="H4277">
        <v>41.06</v>
      </c>
      <c r="I4277" s="2">
        <v>70167.62</v>
      </c>
      <c r="J4277" s="2">
        <v>56625.65</v>
      </c>
      <c r="K4277" s="2">
        <f>Table1[[#This Row],[Salary_after]]-Table1[[#This Row],[Salary_before]]</f>
        <v>-13541.969999999994</v>
      </c>
      <c r="L4277" s="11">
        <v>-0.193</v>
      </c>
      <c r="M4277" s="11">
        <v>0.1419</v>
      </c>
      <c r="N4277">
        <v>36.17</v>
      </c>
      <c r="O4277">
        <v>89.99</v>
      </c>
      <c r="P4277">
        <v>2</v>
      </c>
      <c r="Q4277" t="s">
        <v>21</v>
      </c>
      <c r="R4277">
        <v>34.6</v>
      </c>
      <c r="S4277">
        <v>19.3</v>
      </c>
      <c r="T4277" s="4">
        <v>29.363999999999901</v>
      </c>
      <c r="U4277" s="4">
        <v>25.323186</v>
      </c>
      <c r="V4277" t="str">
        <f>IF(Table1[[#This Row],[ai_disruption_intensity]]&gt;70,"High",
IF(Table1[[#This Row],[ai_disruption_intensity]]&gt;40,"Medium","Low"))</f>
        <v>Low</v>
      </c>
      <c r="W4277" t="str">
        <f>IF(Table1[[#This Row],[skill_gap_index]]&gt;70,"Large Gap",
IF(Table1[[#This Row],[skill_gap_index]]&gt;40,"Medium Gap","Small Gap"))</f>
        <v>Medium Gap</v>
      </c>
      <c r="X4277" s="3" t="str">
        <f>IF(Table1[[#This Row],[automation_risk_percent]]&gt;0.7,"Highly Automatable",
IF(Table1[[#This Row],[automation_risk_percent]]&gt;0.4,"Moderate Risk","Safe Job"))</f>
        <v>Safe Job</v>
      </c>
    </row>
    <row r="4278" spans="1:24" x14ac:dyDescent="0.3">
      <c r="A4278">
        <v>14842</v>
      </c>
      <c r="B4278" t="s">
        <v>45</v>
      </c>
      <c r="C4278" t="s">
        <v>40</v>
      </c>
      <c r="D4278" t="s">
        <v>32</v>
      </c>
      <c r="E4278" s="1">
        <v>2026</v>
      </c>
      <c r="F4278" s="11">
        <v>0.74430000000000007</v>
      </c>
      <c r="G4278">
        <v>85.05</v>
      </c>
      <c r="H4278">
        <v>14.33</v>
      </c>
      <c r="I4278" s="2">
        <v>144120.16</v>
      </c>
      <c r="J4278" s="2">
        <v>156859.85999999999</v>
      </c>
      <c r="K4278" s="2">
        <f>Table1[[#This Row],[Salary_after]]-Table1[[#This Row],[Salary_before]]</f>
        <v>12739.699999999983</v>
      </c>
      <c r="L4278" s="11">
        <v>8.8399999999999992E-2</v>
      </c>
      <c r="M4278" s="11">
        <v>0.13070000000000001</v>
      </c>
      <c r="N4278">
        <v>59.49</v>
      </c>
      <c r="O4278">
        <v>37.35</v>
      </c>
      <c r="P4278">
        <v>5</v>
      </c>
      <c r="Q4278" t="s">
        <v>37</v>
      </c>
      <c r="R4278">
        <v>44.38</v>
      </c>
      <c r="S4278">
        <v>8.84</v>
      </c>
      <c r="T4278" s="4">
        <v>36.722999999999999</v>
      </c>
      <c r="U4278" s="4">
        <v>27.799605</v>
      </c>
      <c r="V4278" t="str">
        <f>IF(Table1[[#This Row],[ai_disruption_intensity]]&gt;70,"High",
IF(Table1[[#This Row],[ai_disruption_intensity]]&gt;40,"Medium","Low"))</f>
        <v>Low</v>
      </c>
      <c r="W4278" t="str">
        <f>IF(Table1[[#This Row],[skill_gap_index]]&gt;70,"Large Gap",
IF(Table1[[#This Row],[skill_gap_index]]&gt;40,"Medium Gap","Small Gap"))</f>
        <v>Small Gap</v>
      </c>
      <c r="X4278" s="3" t="str">
        <f>IF(Table1[[#This Row],[automation_risk_percent]]&gt;0.7,"Highly Automatable",
IF(Table1[[#This Row],[automation_risk_percent]]&gt;0.4,"Moderate Risk","Safe Job"))</f>
        <v>Highly Automatable</v>
      </c>
    </row>
    <row r="4279" spans="1:24" x14ac:dyDescent="0.3">
      <c r="A4279">
        <v>14844</v>
      </c>
      <c r="B4279" t="s">
        <v>43</v>
      </c>
      <c r="C4279" t="s">
        <v>19</v>
      </c>
      <c r="D4279" t="s">
        <v>47</v>
      </c>
      <c r="E4279" s="1">
        <v>2026</v>
      </c>
      <c r="F4279" s="11">
        <v>0.1966</v>
      </c>
      <c r="G4279">
        <v>16.829999999999998</v>
      </c>
      <c r="H4279">
        <v>9.5399999999999991</v>
      </c>
      <c r="I4279" s="2">
        <v>124488.08</v>
      </c>
      <c r="J4279" s="2">
        <v>109463.77</v>
      </c>
      <c r="K4279" s="2">
        <f>Table1[[#This Row],[Salary_after]]-Table1[[#This Row],[Salary_before]]</f>
        <v>-15024.309999999998</v>
      </c>
      <c r="L4279" s="11">
        <v>-0.1207</v>
      </c>
      <c r="M4279" s="11">
        <v>-7.2999999999999995E-2</v>
      </c>
      <c r="N4279">
        <v>93.26</v>
      </c>
      <c r="O4279">
        <v>64.06</v>
      </c>
      <c r="P4279">
        <v>2</v>
      </c>
      <c r="Q4279" t="s">
        <v>21</v>
      </c>
      <c r="R4279">
        <v>14.6</v>
      </c>
      <c r="S4279">
        <v>12.07</v>
      </c>
      <c r="T4279" s="4">
        <v>14.347</v>
      </c>
      <c r="U4279" s="4">
        <v>12.594196</v>
      </c>
      <c r="V4279" t="str">
        <f>IF(Table1[[#This Row],[ai_disruption_intensity]]&gt;70,"High",
IF(Table1[[#This Row],[ai_disruption_intensity]]&gt;40,"Medium","Low"))</f>
        <v>Low</v>
      </c>
      <c r="W4279" t="str">
        <f>IF(Table1[[#This Row],[skill_gap_index]]&gt;70,"Large Gap",
IF(Table1[[#This Row],[skill_gap_index]]&gt;40,"Medium Gap","Small Gap"))</f>
        <v>Small Gap</v>
      </c>
      <c r="X4279" s="3" t="str">
        <f>IF(Table1[[#This Row],[automation_risk_percent]]&gt;0.7,"Highly Automatable",
IF(Table1[[#This Row],[automation_risk_percent]]&gt;0.4,"Moderate Risk","Safe Job"))</f>
        <v>Safe Job</v>
      </c>
    </row>
    <row r="4280" spans="1:24" x14ac:dyDescent="0.3">
      <c r="A4280">
        <v>14850</v>
      </c>
      <c r="B4280" t="s">
        <v>26</v>
      </c>
      <c r="C4280" t="s">
        <v>38</v>
      </c>
      <c r="D4280" t="s">
        <v>31</v>
      </c>
      <c r="E4280" s="1">
        <v>2026</v>
      </c>
      <c r="F4280" s="11">
        <v>0.61370000000000002</v>
      </c>
      <c r="G4280">
        <v>62.32</v>
      </c>
      <c r="H4280">
        <v>29.17</v>
      </c>
      <c r="I4280" s="2">
        <v>40679.47</v>
      </c>
      <c r="J4280" s="2">
        <v>39356.74</v>
      </c>
      <c r="K4280" s="2">
        <f>Table1[[#This Row],[Salary_after]]-Table1[[#This Row],[Salary_before]]</f>
        <v>-1322.7300000000032</v>
      </c>
      <c r="L4280" s="11">
        <v>-3.2500000000000001E-2</v>
      </c>
      <c r="M4280" s="11">
        <v>-7.4900000000000008E-2</v>
      </c>
      <c r="N4280">
        <v>78.17</v>
      </c>
      <c r="O4280">
        <v>48.51</v>
      </c>
      <c r="P4280">
        <v>3</v>
      </c>
      <c r="Q4280" t="s">
        <v>37</v>
      </c>
      <c r="R4280">
        <v>45.269999999999897</v>
      </c>
      <c r="S4280">
        <v>3.25</v>
      </c>
      <c r="T4280" s="4">
        <v>34.274000000000001</v>
      </c>
      <c r="U4280" s="4">
        <v>29.7705869999999</v>
      </c>
      <c r="V4280" t="str">
        <f>IF(Table1[[#This Row],[ai_disruption_intensity]]&gt;70,"High",
IF(Table1[[#This Row],[ai_disruption_intensity]]&gt;40,"Medium","Low"))</f>
        <v>Low</v>
      </c>
      <c r="W4280" t="str">
        <f>IF(Table1[[#This Row],[skill_gap_index]]&gt;70,"Large Gap",
IF(Table1[[#This Row],[skill_gap_index]]&gt;40,"Medium Gap","Small Gap"))</f>
        <v>Small Gap</v>
      </c>
      <c r="X4280" s="3" t="str">
        <f>IF(Table1[[#This Row],[automation_risk_percent]]&gt;0.7,"Highly Automatable",
IF(Table1[[#This Row],[automation_risk_percent]]&gt;0.4,"Moderate Risk","Safe Job"))</f>
        <v>Moderate Risk</v>
      </c>
    </row>
    <row r="4281" spans="1:24" x14ac:dyDescent="0.3">
      <c r="A4281">
        <v>14852</v>
      </c>
      <c r="B4281" t="s">
        <v>43</v>
      </c>
      <c r="C4281" t="s">
        <v>30</v>
      </c>
      <c r="D4281" t="s">
        <v>20</v>
      </c>
      <c r="E4281" s="1">
        <v>2026</v>
      </c>
      <c r="F4281" s="11">
        <v>0.78120000000000001</v>
      </c>
      <c r="G4281">
        <v>91.14</v>
      </c>
      <c r="H4281">
        <v>4.2300000000000004</v>
      </c>
      <c r="I4281" s="2">
        <v>74654.33</v>
      </c>
      <c r="J4281" s="2">
        <v>63264.47</v>
      </c>
      <c r="K4281" s="2">
        <f>Table1[[#This Row],[Salary_after]]-Table1[[#This Row],[Salary_before]]</f>
        <v>-11389.86</v>
      </c>
      <c r="L4281" s="11">
        <v>-0.15259999999999999</v>
      </c>
      <c r="M4281" s="11">
        <v>-1.54E-2</v>
      </c>
      <c r="N4281">
        <v>49.67</v>
      </c>
      <c r="O4281">
        <v>45.08</v>
      </c>
      <c r="P4281">
        <v>1</v>
      </c>
      <c r="Q4281" t="s">
        <v>37</v>
      </c>
      <c r="R4281">
        <v>41.174999999999997</v>
      </c>
      <c r="S4281">
        <v>15.26</v>
      </c>
      <c r="T4281" s="4">
        <v>37.094999999999999</v>
      </c>
      <c r="U4281" s="4">
        <v>35.216495999999999</v>
      </c>
      <c r="V4281" t="str">
        <f>IF(Table1[[#This Row],[ai_disruption_intensity]]&gt;70,"High",
IF(Table1[[#This Row],[ai_disruption_intensity]]&gt;40,"Medium","Low"))</f>
        <v>Low</v>
      </c>
      <c r="W4281" t="str">
        <f>IF(Table1[[#This Row],[skill_gap_index]]&gt;70,"Large Gap",
IF(Table1[[#This Row],[skill_gap_index]]&gt;40,"Medium Gap","Small Gap"))</f>
        <v>Small Gap</v>
      </c>
      <c r="X4281" s="3" t="str">
        <f>IF(Table1[[#This Row],[automation_risk_percent]]&gt;0.7,"Highly Automatable",
IF(Table1[[#This Row],[automation_risk_percent]]&gt;0.4,"Moderate Risk","Safe Job"))</f>
        <v>Highly Automatable</v>
      </c>
    </row>
    <row r="4282" spans="1:24" x14ac:dyDescent="0.3">
      <c r="A4282">
        <v>14859</v>
      </c>
      <c r="B4282" t="s">
        <v>44</v>
      </c>
      <c r="C4282" t="s">
        <v>23</v>
      </c>
      <c r="D4282" t="s">
        <v>28</v>
      </c>
      <c r="E4282" s="1">
        <v>2025</v>
      </c>
      <c r="F4282" s="11">
        <v>0.58540000000000003</v>
      </c>
      <c r="G4282">
        <v>46.89</v>
      </c>
      <c r="H4282">
        <v>73.89</v>
      </c>
      <c r="I4282" s="2">
        <v>81724.259999999995</v>
      </c>
      <c r="J4282" s="2">
        <v>69226.720000000001</v>
      </c>
      <c r="K4282" s="2">
        <f>Table1[[#This Row],[Salary_after]]-Table1[[#This Row],[Salary_before]]</f>
        <v>-12497.539999999994</v>
      </c>
      <c r="L4282" s="11">
        <v>-0.15289999999999998</v>
      </c>
      <c r="M4282" s="11">
        <v>4.2800000000000005E-2</v>
      </c>
      <c r="N4282">
        <v>47.27</v>
      </c>
      <c r="O4282">
        <v>50.59</v>
      </c>
      <c r="P4282">
        <v>1</v>
      </c>
      <c r="Q4282" t="s">
        <v>25</v>
      </c>
      <c r="R4282">
        <v>66.215000000000003</v>
      </c>
      <c r="S4282">
        <v>15.29</v>
      </c>
      <c r="T4282" s="4">
        <v>50.17</v>
      </c>
      <c r="U4282" s="4">
        <v>29.615386000000001</v>
      </c>
      <c r="V4282" t="str">
        <f>IF(Table1[[#This Row],[ai_disruption_intensity]]&gt;70,"High",
IF(Table1[[#This Row],[ai_disruption_intensity]]&gt;40,"Medium","Low"))</f>
        <v>Low</v>
      </c>
      <c r="W4282" t="str">
        <f>IF(Table1[[#This Row],[skill_gap_index]]&gt;70,"Large Gap",
IF(Table1[[#This Row],[skill_gap_index]]&gt;40,"Medium Gap","Small Gap"))</f>
        <v>Large Gap</v>
      </c>
      <c r="X4282" s="3" t="str">
        <f>IF(Table1[[#This Row],[automation_risk_percent]]&gt;0.7,"Highly Automatable",
IF(Table1[[#This Row],[automation_risk_percent]]&gt;0.4,"Moderate Risk","Safe Job"))</f>
        <v>Moderate Risk</v>
      </c>
    </row>
    <row r="4283" spans="1:24" x14ac:dyDescent="0.3">
      <c r="A4283">
        <v>14862</v>
      </c>
      <c r="B4283" t="s">
        <v>29</v>
      </c>
      <c r="C4283" t="s">
        <v>27</v>
      </c>
      <c r="D4283" t="s">
        <v>31</v>
      </c>
      <c r="E4283" s="1">
        <v>2026</v>
      </c>
      <c r="F4283" s="11">
        <v>0.61229999999999996</v>
      </c>
      <c r="G4283">
        <v>60.97</v>
      </c>
      <c r="H4283">
        <v>70.91</v>
      </c>
      <c r="I4283" s="2">
        <v>99825.71</v>
      </c>
      <c r="J4283" s="2">
        <v>99880.1</v>
      </c>
      <c r="K4283" s="2">
        <f>Table1[[#This Row],[Salary_after]]-Table1[[#This Row],[Salary_before]]</f>
        <v>54.389999999999418</v>
      </c>
      <c r="L4283" s="11">
        <v>5.0000000000000001E-4</v>
      </c>
      <c r="M4283" s="11">
        <v>0.1047</v>
      </c>
      <c r="N4283">
        <v>43.62</v>
      </c>
      <c r="O4283">
        <v>99.21</v>
      </c>
      <c r="P4283">
        <v>1</v>
      </c>
      <c r="Q4283" t="s">
        <v>37</v>
      </c>
      <c r="R4283">
        <v>66.069999999999993</v>
      </c>
      <c r="S4283">
        <v>0.05</v>
      </c>
      <c r="T4283" s="4">
        <v>45.78</v>
      </c>
      <c r="U4283" s="4">
        <v>60.746282999999899</v>
      </c>
      <c r="V4283" t="str">
        <f>IF(Table1[[#This Row],[ai_disruption_intensity]]&gt;70,"High",
IF(Table1[[#This Row],[ai_disruption_intensity]]&gt;40,"Medium","Low"))</f>
        <v>Medium</v>
      </c>
      <c r="W4283" t="str">
        <f>IF(Table1[[#This Row],[skill_gap_index]]&gt;70,"Large Gap",
IF(Table1[[#This Row],[skill_gap_index]]&gt;40,"Medium Gap","Small Gap"))</f>
        <v>Large Gap</v>
      </c>
      <c r="X4283" s="3" t="str">
        <f>IF(Table1[[#This Row],[automation_risk_percent]]&gt;0.7,"Highly Automatable",
IF(Table1[[#This Row],[automation_risk_percent]]&gt;0.4,"Moderate Risk","Safe Job"))</f>
        <v>Moderate Risk</v>
      </c>
    </row>
    <row r="4284" spans="1:24" x14ac:dyDescent="0.3">
      <c r="A4284">
        <v>14869</v>
      </c>
      <c r="B4284" t="s">
        <v>22</v>
      </c>
      <c r="C4284" t="s">
        <v>34</v>
      </c>
      <c r="D4284" t="s">
        <v>28</v>
      </c>
      <c r="E4284" s="1">
        <v>2025</v>
      </c>
      <c r="F4284" s="11">
        <v>0.64200000000000002</v>
      </c>
      <c r="G4284">
        <v>61.26</v>
      </c>
      <c r="H4284">
        <v>78.8</v>
      </c>
      <c r="I4284" s="2">
        <v>129434.09</v>
      </c>
      <c r="J4284" s="2">
        <v>147541.29999999999</v>
      </c>
      <c r="K4284" s="2">
        <f>Table1[[#This Row],[Salary_after]]-Table1[[#This Row],[Salary_before]]</f>
        <v>18107.209999999992</v>
      </c>
      <c r="L4284" s="11">
        <v>0.1399</v>
      </c>
      <c r="M4284" s="11">
        <v>1.3000000000000001E-2</v>
      </c>
      <c r="N4284">
        <v>99.4</v>
      </c>
      <c r="O4284">
        <v>63.04</v>
      </c>
      <c r="P4284">
        <v>3</v>
      </c>
      <c r="Q4284" t="s">
        <v>37</v>
      </c>
      <c r="R4284">
        <v>71.5</v>
      </c>
      <c r="S4284">
        <v>13.99</v>
      </c>
      <c r="T4284" s="4">
        <v>53.517000000000003</v>
      </c>
      <c r="U4284" s="4">
        <v>40.471679999999999</v>
      </c>
      <c r="V4284" t="str">
        <f>IF(Table1[[#This Row],[ai_disruption_intensity]]&gt;70,"High",
IF(Table1[[#This Row],[ai_disruption_intensity]]&gt;40,"Medium","Low"))</f>
        <v>Medium</v>
      </c>
      <c r="W4284" t="str">
        <f>IF(Table1[[#This Row],[skill_gap_index]]&gt;70,"Large Gap",
IF(Table1[[#This Row],[skill_gap_index]]&gt;40,"Medium Gap","Small Gap"))</f>
        <v>Large Gap</v>
      </c>
      <c r="X4284" s="3" t="str">
        <f>IF(Table1[[#This Row],[automation_risk_percent]]&gt;0.7,"Highly Automatable",
IF(Table1[[#This Row],[automation_risk_percent]]&gt;0.4,"Moderate Risk","Safe Job"))</f>
        <v>Moderate Risk</v>
      </c>
    </row>
    <row r="4285" spans="1:24" x14ac:dyDescent="0.3">
      <c r="A4285">
        <v>14870</v>
      </c>
      <c r="B4285" t="s">
        <v>46</v>
      </c>
      <c r="C4285" t="s">
        <v>27</v>
      </c>
      <c r="D4285" t="s">
        <v>47</v>
      </c>
      <c r="E4285" s="1">
        <v>2025</v>
      </c>
      <c r="F4285" s="11">
        <v>0.17420000000000002</v>
      </c>
      <c r="G4285">
        <v>19.78</v>
      </c>
      <c r="H4285">
        <v>12</v>
      </c>
      <c r="I4285" s="2">
        <v>90049.12</v>
      </c>
      <c r="J4285" s="2">
        <v>92591.06</v>
      </c>
      <c r="K4285" s="2">
        <f>Table1[[#This Row],[Salary_after]]-Table1[[#This Row],[Salary_before]]</f>
        <v>2541.9400000000023</v>
      </c>
      <c r="L4285" s="11">
        <v>2.8199999999999999E-2</v>
      </c>
      <c r="M4285" s="11">
        <v>0.1258</v>
      </c>
      <c r="N4285">
        <v>97.49</v>
      </c>
      <c r="O4285">
        <v>39.270000000000003</v>
      </c>
      <c r="P4285">
        <v>4</v>
      </c>
      <c r="Q4285" t="s">
        <v>21</v>
      </c>
      <c r="R4285">
        <v>14.71</v>
      </c>
      <c r="S4285">
        <v>2.82</v>
      </c>
      <c r="T4285" s="4">
        <v>11.414</v>
      </c>
      <c r="U4285" s="4">
        <v>6.8408340000000001</v>
      </c>
      <c r="V4285" t="str">
        <f>IF(Table1[[#This Row],[ai_disruption_intensity]]&gt;70,"High",
IF(Table1[[#This Row],[ai_disruption_intensity]]&gt;40,"Medium","Low"))</f>
        <v>Low</v>
      </c>
      <c r="W4285" t="str">
        <f>IF(Table1[[#This Row],[skill_gap_index]]&gt;70,"Large Gap",
IF(Table1[[#This Row],[skill_gap_index]]&gt;40,"Medium Gap","Small Gap"))</f>
        <v>Small Gap</v>
      </c>
      <c r="X4285" s="3" t="str">
        <f>IF(Table1[[#This Row],[automation_risk_percent]]&gt;0.7,"Highly Automatable",
IF(Table1[[#This Row],[automation_risk_percent]]&gt;0.4,"Moderate Risk","Safe Job"))</f>
        <v>Safe Job</v>
      </c>
    </row>
    <row r="4286" spans="1:24" x14ac:dyDescent="0.3">
      <c r="A4286">
        <v>14871</v>
      </c>
      <c r="B4286" t="s">
        <v>46</v>
      </c>
      <c r="C4286" t="s">
        <v>19</v>
      </c>
      <c r="D4286" t="s">
        <v>35</v>
      </c>
      <c r="E4286" s="1">
        <v>2025</v>
      </c>
      <c r="F4286" s="11">
        <v>0.36930000000000002</v>
      </c>
      <c r="G4286">
        <v>34.93</v>
      </c>
      <c r="H4286">
        <v>65.39</v>
      </c>
      <c r="I4286" s="2">
        <v>66492.899999999994</v>
      </c>
      <c r="J4286" s="2">
        <v>72664.56</v>
      </c>
      <c r="K4286" s="2">
        <f>Table1[[#This Row],[Salary_after]]-Table1[[#This Row],[Salary_before]]</f>
        <v>6171.6600000000035</v>
      </c>
      <c r="L4286" s="11">
        <v>9.2799999999999994E-2</v>
      </c>
      <c r="M4286" s="11">
        <v>-3.8699999999999998E-2</v>
      </c>
      <c r="N4286">
        <v>97.8</v>
      </c>
      <c r="O4286">
        <v>17.11</v>
      </c>
      <c r="P4286">
        <v>3</v>
      </c>
      <c r="Q4286" t="s">
        <v>25</v>
      </c>
      <c r="R4286">
        <v>51.16</v>
      </c>
      <c r="S4286">
        <v>9.2799999999999994</v>
      </c>
      <c r="T4286" s="4">
        <v>37.173000000000002</v>
      </c>
      <c r="U4286" s="4">
        <v>6.3187230000000003</v>
      </c>
      <c r="V4286" t="str">
        <f>IF(Table1[[#This Row],[ai_disruption_intensity]]&gt;70,"High",
IF(Table1[[#This Row],[ai_disruption_intensity]]&gt;40,"Medium","Low"))</f>
        <v>Low</v>
      </c>
      <c r="W4286" t="str">
        <f>IF(Table1[[#This Row],[skill_gap_index]]&gt;70,"Large Gap",
IF(Table1[[#This Row],[skill_gap_index]]&gt;40,"Medium Gap","Small Gap"))</f>
        <v>Medium Gap</v>
      </c>
      <c r="X4286" s="3" t="str">
        <f>IF(Table1[[#This Row],[automation_risk_percent]]&gt;0.7,"Highly Automatable",
IF(Table1[[#This Row],[automation_risk_percent]]&gt;0.4,"Moderate Risk","Safe Job"))</f>
        <v>Safe Job</v>
      </c>
    </row>
    <row r="4287" spans="1:24" x14ac:dyDescent="0.3">
      <c r="A4287">
        <v>14874</v>
      </c>
      <c r="B4287" t="s">
        <v>46</v>
      </c>
      <c r="C4287" t="s">
        <v>19</v>
      </c>
      <c r="D4287" t="s">
        <v>24</v>
      </c>
      <c r="E4287" s="1">
        <v>2026</v>
      </c>
      <c r="F4287" s="11">
        <v>0.66920000000000002</v>
      </c>
      <c r="G4287">
        <v>75.099999999999994</v>
      </c>
      <c r="H4287">
        <v>89.35</v>
      </c>
      <c r="I4287" s="2">
        <v>32336.83</v>
      </c>
      <c r="J4287" s="2">
        <v>30494.35</v>
      </c>
      <c r="K4287" s="2">
        <f>Table1[[#This Row],[Salary_after]]-Table1[[#This Row],[Salary_before]]</f>
        <v>-1842.4800000000032</v>
      </c>
      <c r="L4287" s="11">
        <v>-5.7000000000000002E-2</v>
      </c>
      <c r="M4287" s="11">
        <v>9.0899999999999995E-2</v>
      </c>
      <c r="N4287">
        <v>76.92</v>
      </c>
      <c r="O4287">
        <v>7.17</v>
      </c>
      <c r="P4287">
        <v>5</v>
      </c>
      <c r="Q4287" t="s">
        <v>37</v>
      </c>
      <c r="R4287">
        <v>78.134999999999906</v>
      </c>
      <c r="S4287">
        <v>5.7</v>
      </c>
      <c r="T4287" s="4">
        <v>55.282999999999902</v>
      </c>
      <c r="U4287" s="4">
        <v>4.7981639999999999</v>
      </c>
      <c r="V4287" t="str">
        <f>IF(Table1[[#This Row],[ai_disruption_intensity]]&gt;70,"High",
IF(Table1[[#This Row],[ai_disruption_intensity]]&gt;40,"Medium","Low"))</f>
        <v>Low</v>
      </c>
      <c r="W4287" t="str">
        <f>IF(Table1[[#This Row],[skill_gap_index]]&gt;70,"Large Gap",
IF(Table1[[#This Row],[skill_gap_index]]&gt;40,"Medium Gap","Small Gap"))</f>
        <v>Large Gap</v>
      </c>
      <c r="X4287" s="3" t="str">
        <f>IF(Table1[[#This Row],[automation_risk_percent]]&gt;0.7,"Highly Automatable",
IF(Table1[[#This Row],[automation_risk_percent]]&gt;0.4,"Moderate Risk","Safe Job"))</f>
        <v>Moderate Risk</v>
      </c>
    </row>
    <row r="4288" spans="1:24" x14ac:dyDescent="0.3">
      <c r="A4288">
        <v>14875</v>
      </c>
      <c r="B4288" t="s">
        <v>46</v>
      </c>
      <c r="C4288" t="s">
        <v>23</v>
      </c>
      <c r="D4288" t="s">
        <v>35</v>
      </c>
      <c r="E4288" s="1">
        <v>2025</v>
      </c>
      <c r="F4288" s="11">
        <v>0.20649999999999999</v>
      </c>
      <c r="G4288">
        <v>22.17</v>
      </c>
      <c r="H4288">
        <v>19.37</v>
      </c>
      <c r="I4288" s="2">
        <v>124161.54</v>
      </c>
      <c r="J4288" s="2">
        <v>120096.46</v>
      </c>
      <c r="K4288" s="2">
        <f>Table1[[#This Row],[Salary_after]]-Table1[[#This Row],[Salary_before]]</f>
        <v>-4065.0799999999872</v>
      </c>
      <c r="L4288" s="11">
        <v>-3.27E-2</v>
      </c>
      <c r="M4288" s="11">
        <v>5.4800000000000001E-2</v>
      </c>
      <c r="N4288">
        <v>32.840000000000003</v>
      </c>
      <c r="O4288">
        <v>48.24</v>
      </c>
      <c r="P4288">
        <v>4</v>
      </c>
      <c r="Q4288" t="s">
        <v>21</v>
      </c>
      <c r="R4288">
        <v>20.009999999999899</v>
      </c>
      <c r="S4288">
        <v>3.27</v>
      </c>
      <c r="T4288" s="4">
        <v>15.052</v>
      </c>
      <c r="U4288" s="4">
        <v>9.9615599999999898</v>
      </c>
      <c r="V4288" t="str">
        <f>IF(Table1[[#This Row],[ai_disruption_intensity]]&gt;70,"High",
IF(Table1[[#This Row],[ai_disruption_intensity]]&gt;40,"Medium","Low"))</f>
        <v>Low</v>
      </c>
      <c r="W4288" t="str">
        <f>IF(Table1[[#This Row],[skill_gap_index]]&gt;70,"Large Gap",
IF(Table1[[#This Row],[skill_gap_index]]&gt;40,"Medium Gap","Small Gap"))</f>
        <v>Small Gap</v>
      </c>
      <c r="X4288" s="3" t="str">
        <f>IF(Table1[[#This Row],[automation_risk_percent]]&gt;0.7,"Highly Automatable",
IF(Table1[[#This Row],[automation_risk_percent]]&gt;0.4,"Moderate Risk","Safe Job"))</f>
        <v>Safe Job</v>
      </c>
    </row>
    <row r="4289" spans="1:24" x14ac:dyDescent="0.3">
      <c r="A4289">
        <v>14879</v>
      </c>
      <c r="B4289" t="s">
        <v>18</v>
      </c>
      <c r="C4289" t="s">
        <v>34</v>
      </c>
      <c r="D4289" t="s">
        <v>28</v>
      </c>
      <c r="E4289" s="1">
        <v>2026</v>
      </c>
      <c r="F4289" s="11">
        <v>0.56909999999999994</v>
      </c>
      <c r="G4289">
        <v>64.510000000000005</v>
      </c>
      <c r="H4289">
        <v>21.42</v>
      </c>
      <c r="I4289" s="2">
        <v>85161.36</v>
      </c>
      <c r="J4289" s="2">
        <v>88981.14</v>
      </c>
      <c r="K4289" s="2">
        <f>Table1[[#This Row],[Salary_after]]-Table1[[#This Row],[Salary_before]]</f>
        <v>3819.7799999999988</v>
      </c>
      <c r="L4289" s="11">
        <v>4.4900000000000002E-2</v>
      </c>
      <c r="M4289" s="11">
        <v>5.3899999999999997E-2</v>
      </c>
      <c r="N4289">
        <v>97.87</v>
      </c>
      <c r="O4289">
        <v>49.74</v>
      </c>
      <c r="P4289">
        <v>3</v>
      </c>
      <c r="Q4289" t="s">
        <v>25</v>
      </c>
      <c r="R4289">
        <v>39.164999999999999</v>
      </c>
      <c r="S4289">
        <v>4.49</v>
      </c>
      <c r="T4289" s="4">
        <v>30.536999999999999</v>
      </c>
      <c r="U4289" s="4">
        <v>28.307033999999899</v>
      </c>
      <c r="V4289" t="str">
        <f>IF(Table1[[#This Row],[ai_disruption_intensity]]&gt;70,"High",
IF(Table1[[#This Row],[ai_disruption_intensity]]&gt;40,"Medium","Low"))</f>
        <v>Low</v>
      </c>
      <c r="W4289" t="str">
        <f>IF(Table1[[#This Row],[skill_gap_index]]&gt;70,"Large Gap",
IF(Table1[[#This Row],[skill_gap_index]]&gt;40,"Medium Gap","Small Gap"))</f>
        <v>Small Gap</v>
      </c>
      <c r="X4289" s="3" t="str">
        <f>IF(Table1[[#This Row],[automation_risk_percent]]&gt;0.7,"Highly Automatable",
IF(Table1[[#This Row],[automation_risk_percent]]&gt;0.4,"Moderate Risk","Safe Job"))</f>
        <v>Moderate Risk</v>
      </c>
    </row>
    <row r="4290" spans="1:24" x14ac:dyDescent="0.3">
      <c r="A4290">
        <v>14880</v>
      </c>
      <c r="B4290" t="s">
        <v>43</v>
      </c>
      <c r="C4290" t="s">
        <v>40</v>
      </c>
      <c r="D4290" t="s">
        <v>36</v>
      </c>
      <c r="E4290" s="1">
        <v>2026</v>
      </c>
      <c r="F4290" s="11">
        <v>0.19949999999999998</v>
      </c>
      <c r="G4290">
        <v>23.04</v>
      </c>
      <c r="H4290">
        <v>2.67</v>
      </c>
      <c r="I4290" s="2">
        <v>84229.86</v>
      </c>
      <c r="J4290" s="2">
        <v>74290.98</v>
      </c>
      <c r="K4290" s="2">
        <f>Table1[[#This Row],[Salary_after]]-Table1[[#This Row],[Salary_before]]</f>
        <v>-9938.8800000000047</v>
      </c>
      <c r="L4290" s="11">
        <v>-0.11800000000000001</v>
      </c>
      <c r="M4290" s="11">
        <v>4.9400000000000006E-2</v>
      </c>
      <c r="N4290">
        <v>43.44</v>
      </c>
      <c r="O4290">
        <v>67.17</v>
      </c>
      <c r="P4290">
        <v>1</v>
      </c>
      <c r="Q4290" t="s">
        <v>21</v>
      </c>
      <c r="R4290">
        <v>11.309999999999899</v>
      </c>
      <c r="S4290">
        <v>11.8</v>
      </c>
      <c r="T4290" s="4">
        <v>12.321</v>
      </c>
      <c r="U4290" s="4">
        <v>13.400415000000001</v>
      </c>
      <c r="V4290" t="str">
        <f>IF(Table1[[#This Row],[ai_disruption_intensity]]&gt;70,"High",
IF(Table1[[#This Row],[ai_disruption_intensity]]&gt;40,"Medium","Low"))</f>
        <v>Low</v>
      </c>
      <c r="W4290" t="str">
        <f>IF(Table1[[#This Row],[skill_gap_index]]&gt;70,"Large Gap",
IF(Table1[[#This Row],[skill_gap_index]]&gt;40,"Medium Gap","Small Gap"))</f>
        <v>Small Gap</v>
      </c>
      <c r="X4290" s="3" t="str">
        <f>IF(Table1[[#This Row],[automation_risk_percent]]&gt;0.7,"Highly Automatable",
IF(Table1[[#This Row],[automation_risk_percent]]&gt;0.4,"Moderate Risk","Safe Job"))</f>
        <v>Safe Job</v>
      </c>
    </row>
    <row r="4291" spans="1:24" x14ac:dyDescent="0.3">
      <c r="A4291">
        <v>14882</v>
      </c>
      <c r="B4291" t="s">
        <v>18</v>
      </c>
      <c r="C4291" t="s">
        <v>34</v>
      </c>
      <c r="D4291" t="s">
        <v>36</v>
      </c>
      <c r="E4291" s="1">
        <v>2026</v>
      </c>
      <c r="F4291" s="11">
        <v>0.75150000000000006</v>
      </c>
      <c r="G4291">
        <v>67.27</v>
      </c>
      <c r="H4291">
        <v>70.650000000000006</v>
      </c>
      <c r="I4291" s="2">
        <v>54043.49</v>
      </c>
      <c r="J4291" s="2">
        <v>49088.54</v>
      </c>
      <c r="K4291" s="2">
        <f>Table1[[#This Row],[Salary_after]]-Table1[[#This Row],[Salary_before]]</f>
        <v>-4954.9499999999971</v>
      </c>
      <c r="L4291" s="11">
        <v>-9.1700000000000004E-2</v>
      </c>
      <c r="M4291" s="11">
        <v>-3.7499999999999999E-2</v>
      </c>
      <c r="N4291">
        <v>86.39</v>
      </c>
      <c r="O4291">
        <v>54.77</v>
      </c>
      <c r="P4291">
        <v>3</v>
      </c>
      <c r="Q4291" t="s">
        <v>37</v>
      </c>
      <c r="R4291">
        <v>72.900000000000006</v>
      </c>
      <c r="S4291">
        <v>9.17</v>
      </c>
      <c r="T4291" s="4">
        <v>54.006</v>
      </c>
      <c r="U4291" s="4">
        <v>41.159655000000001</v>
      </c>
      <c r="V4291" t="str">
        <f>IF(Table1[[#This Row],[ai_disruption_intensity]]&gt;70,"High",
IF(Table1[[#This Row],[ai_disruption_intensity]]&gt;40,"Medium","Low"))</f>
        <v>Medium</v>
      </c>
      <c r="W4291" t="str">
        <f>IF(Table1[[#This Row],[skill_gap_index]]&gt;70,"Large Gap",
IF(Table1[[#This Row],[skill_gap_index]]&gt;40,"Medium Gap","Small Gap"))</f>
        <v>Large Gap</v>
      </c>
      <c r="X4291" s="3" t="str">
        <f>IF(Table1[[#This Row],[automation_risk_percent]]&gt;0.7,"Highly Automatable",
IF(Table1[[#This Row],[automation_risk_percent]]&gt;0.4,"Moderate Risk","Safe Job"))</f>
        <v>Highly Automatable</v>
      </c>
    </row>
    <row r="4292" spans="1:24" x14ac:dyDescent="0.3">
      <c r="A4292">
        <v>14883</v>
      </c>
      <c r="B4292" t="s">
        <v>22</v>
      </c>
      <c r="C4292" t="s">
        <v>19</v>
      </c>
      <c r="D4292" t="s">
        <v>24</v>
      </c>
      <c r="E4292" s="1">
        <v>2025</v>
      </c>
      <c r="F4292" s="11">
        <v>0.38939999999999997</v>
      </c>
      <c r="G4292">
        <v>34.96</v>
      </c>
      <c r="H4292">
        <v>32.28</v>
      </c>
      <c r="I4292" s="2">
        <v>116575.56</v>
      </c>
      <c r="J4292" s="2">
        <v>116941.62</v>
      </c>
      <c r="K4292" s="2">
        <f>Table1[[#This Row],[Salary_after]]-Table1[[#This Row],[Salary_before]]</f>
        <v>366.05999999999767</v>
      </c>
      <c r="L4292" s="11">
        <v>3.0999999999999999E-3</v>
      </c>
      <c r="M4292" s="11">
        <v>1.89E-2</v>
      </c>
      <c r="N4292">
        <v>85.39</v>
      </c>
      <c r="O4292">
        <v>2.27</v>
      </c>
      <c r="P4292">
        <v>2</v>
      </c>
      <c r="Q4292" t="s">
        <v>25</v>
      </c>
      <c r="R4292">
        <v>35.61</v>
      </c>
      <c r="S4292">
        <v>0.31</v>
      </c>
      <c r="T4292" s="4">
        <v>25.352999999999899</v>
      </c>
      <c r="U4292" s="4">
        <v>0.883938</v>
      </c>
      <c r="V4292" t="str">
        <f>IF(Table1[[#This Row],[ai_disruption_intensity]]&gt;70,"High",
IF(Table1[[#This Row],[ai_disruption_intensity]]&gt;40,"Medium","Low"))</f>
        <v>Low</v>
      </c>
      <c r="W4292" t="str">
        <f>IF(Table1[[#This Row],[skill_gap_index]]&gt;70,"Large Gap",
IF(Table1[[#This Row],[skill_gap_index]]&gt;40,"Medium Gap","Small Gap"))</f>
        <v>Small Gap</v>
      </c>
      <c r="X4292" s="3" t="str">
        <f>IF(Table1[[#This Row],[automation_risk_percent]]&gt;0.7,"Highly Automatable",
IF(Table1[[#This Row],[automation_risk_percent]]&gt;0.4,"Moderate Risk","Safe Job"))</f>
        <v>Safe Job</v>
      </c>
    </row>
    <row r="4293" spans="1:24" x14ac:dyDescent="0.3">
      <c r="A4293">
        <v>14885</v>
      </c>
      <c r="B4293" t="s">
        <v>29</v>
      </c>
      <c r="C4293" t="s">
        <v>19</v>
      </c>
      <c r="D4293" t="s">
        <v>42</v>
      </c>
      <c r="E4293" s="1">
        <v>2026</v>
      </c>
      <c r="F4293" s="11">
        <v>0.43240000000000001</v>
      </c>
      <c r="G4293">
        <v>45.36</v>
      </c>
      <c r="H4293">
        <v>94.73</v>
      </c>
      <c r="I4293" s="2">
        <v>52286.26</v>
      </c>
      <c r="J4293" s="2">
        <v>51292.81</v>
      </c>
      <c r="K4293" s="2">
        <f>Table1[[#This Row],[Salary_after]]-Table1[[#This Row],[Salary_before]]</f>
        <v>-993.45000000000437</v>
      </c>
      <c r="L4293" s="11">
        <v>-1.9E-2</v>
      </c>
      <c r="M4293" s="11">
        <v>-5.7200000000000001E-2</v>
      </c>
      <c r="N4293">
        <v>80.33</v>
      </c>
      <c r="O4293">
        <v>37.53</v>
      </c>
      <c r="P4293">
        <v>1</v>
      </c>
      <c r="Q4293" t="s">
        <v>25</v>
      </c>
      <c r="R4293">
        <v>68.984999999999999</v>
      </c>
      <c r="S4293">
        <v>1.9</v>
      </c>
      <c r="T4293" s="4">
        <v>46.284999999999997</v>
      </c>
      <c r="U4293" s="4">
        <v>16.227972000000001</v>
      </c>
      <c r="V4293" t="str">
        <f>IF(Table1[[#This Row],[ai_disruption_intensity]]&gt;70,"High",
IF(Table1[[#This Row],[ai_disruption_intensity]]&gt;40,"Medium","Low"))</f>
        <v>Low</v>
      </c>
      <c r="W4293" t="str">
        <f>IF(Table1[[#This Row],[skill_gap_index]]&gt;70,"Large Gap",
IF(Table1[[#This Row],[skill_gap_index]]&gt;40,"Medium Gap","Small Gap"))</f>
        <v>Large Gap</v>
      </c>
      <c r="X4293" s="3" t="str">
        <f>IF(Table1[[#This Row],[automation_risk_percent]]&gt;0.7,"Highly Automatable",
IF(Table1[[#This Row],[automation_risk_percent]]&gt;0.4,"Moderate Risk","Safe Job"))</f>
        <v>Moderate Risk</v>
      </c>
    </row>
    <row r="4294" spans="1:24" x14ac:dyDescent="0.3">
      <c r="A4294">
        <v>14887</v>
      </c>
      <c r="B4294" t="s">
        <v>41</v>
      </c>
      <c r="C4294" t="s">
        <v>33</v>
      </c>
      <c r="D4294" t="s">
        <v>47</v>
      </c>
      <c r="E4294" s="1">
        <v>2025</v>
      </c>
      <c r="F4294" s="11">
        <v>0.82469999999999999</v>
      </c>
      <c r="G4294">
        <v>85.62</v>
      </c>
      <c r="H4294">
        <v>69.040000000000006</v>
      </c>
      <c r="I4294" s="2">
        <v>108784.61</v>
      </c>
      <c r="J4294" s="2">
        <v>123018.63</v>
      </c>
      <c r="K4294" s="2">
        <f>Table1[[#This Row],[Salary_after]]-Table1[[#This Row],[Salary_before]]</f>
        <v>14234.020000000004</v>
      </c>
      <c r="L4294" s="11">
        <v>0.1308</v>
      </c>
      <c r="M4294" s="11">
        <v>0.21329999999999999</v>
      </c>
      <c r="N4294">
        <v>20.100000000000001</v>
      </c>
      <c r="O4294">
        <v>92.15</v>
      </c>
      <c r="P4294">
        <v>3</v>
      </c>
      <c r="Q4294" t="s">
        <v>37</v>
      </c>
      <c r="R4294">
        <v>75.754999999999995</v>
      </c>
      <c r="S4294">
        <v>13.08</v>
      </c>
      <c r="T4294" s="4">
        <v>57.624000000000002</v>
      </c>
      <c r="U4294" s="4">
        <v>75.996105</v>
      </c>
      <c r="V4294" t="str">
        <f>IF(Table1[[#This Row],[ai_disruption_intensity]]&gt;70,"High",
IF(Table1[[#This Row],[ai_disruption_intensity]]&gt;40,"Medium","Low"))</f>
        <v>High</v>
      </c>
      <c r="W4294" t="str">
        <f>IF(Table1[[#This Row],[skill_gap_index]]&gt;70,"Large Gap",
IF(Table1[[#This Row],[skill_gap_index]]&gt;40,"Medium Gap","Small Gap"))</f>
        <v>Medium Gap</v>
      </c>
      <c r="X4294" s="3" t="str">
        <f>IF(Table1[[#This Row],[automation_risk_percent]]&gt;0.7,"Highly Automatable",
IF(Table1[[#This Row],[automation_risk_percent]]&gt;0.4,"Moderate Risk","Safe Job"))</f>
        <v>Highly Automatable</v>
      </c>
    </row>
    <row r="4295" spans="1:24" x14ac:dyDescent="0.3">
      <c r="A4295">
        <v>14891</v>
      </c>
      <c r="B4295" t="s">
        <v>39</v>
      </c>
      <c r="C4295" t="s">
        <v>27</v>
      </c>
      <c r="D4295" t="s">
        <v>31</v>
      </c>
      <c r="E4295" s="1">
        <v>2025</v>
      </c>
      <c r="F4295" s="11">
        <v>0.48829999999999996</v>
      </c>
      <c r="G4295">
        <v>48.25</v>
      </c>
      <c r="H4295">
        <v>35.950000000000003</v>
      </c>
      <c r="I4295" s="2">
        <v>75319.64</v>
      </c>
      <c r="J4295" s="2">
        <v>73349.27</v>
      </c>
      <c r="K4295" s="2">
        <f>Table1[[#This Row],[Salary_after]]-Table1[[#This Row],[Salary_before]]</f>
        <v>-1970.3699999999953</v>
      </c>
      <c r="L4295" s="11">
        <v>-2.6200000000000001E-2</v>
      </c>
      <c r="M4295" s="11">
        <v>-8.8000000000000009E-2</v>
      </c>
      <c r="N4295">
        <v>77.790000000000006</v>
      </c>
      <c r="O4295">
        <v>51.88</v>
      </c>
      <c r="P4295">
        <v>5</v>
      </c>
      <c r="Q4295" t="s">
        <v>25</v>
      </c>
      <c r="R4295">
        <v>42.39</v>
      </c>
      <c r="S4295">
        <v>2.62</v>
      </c>
      <c r="T4295" s="4">
        <v>31.103000000000002</v>
      </c>
      <c r="U4295" s="4">
        <v>25.333003999999999</v>
      </c>
      <c r="V4295" t="str">
        <f>IF(Table1[[#This Row],[ai_disruption_intensity]]&gt;70,"High",
IF(Table1[[#This Row],[ai_disruption_intensity]]&gt;40,"Medium","Low"))</f>
        <v>Low</v>
      </c>
      <c r="W4295" t="str">
        <f>IF(Table1[[#This Row],[skill_gap_index]]&gt;70,"Large Gap",
IF(Table1[[#This Row],[skill_gap_index]]&gt;40,"Medium Gap","Small Gap"))</f>
        <v>Small Gap</v>
      </c>
      <c r="X4295" s="3" t="str">
        <f>IF(Table1[[#This Row],[automation_risk_percent]]&gt;0.7,"Highly Automatable",
IF(Table1[[#This Row],[automation_risk_percent]]&gt;0.4,"Moderate Risk","Safe Job"))</f>
        <v>Moderate Risk</v>
      </c>
    </row>
    <row r="4296" spans="1:24" x14ac:dyDescent="0.3">
      <c r="A4296">
        <v>14892</v>
      </c>
      <c r="B4296" t="s">
        <v>18</v>
      </c>
      <c r="C4296" t="s">
        <v>34</v>
      </c>
      <c r="D4296" t="s">
        <v>31</v>
      </c>
      <c r="E4296" s="1">
        <v>2026</v>
      </c>
      <c r="F4296" s="11">
        <v>0.75360000000000005</v>
      </c>
      <c r="G4296">
        <v>81.739999999999995</v>
      </c>
      <c r="H4296">
        <v>14.04</v>
      </c>
      <c r="I4296" s="2">
        <v>77939.95</v>
      </c>
      <c r="J4296" s="2">
        <v>75661.72</v>
      </c>
      <c r="K4296" s="2">
        <f>Table1[[#This Row],[Salary_after]]-Table1[[#This Row],[Salary_before]]</f>
        <v>-2278.2299999999959</v>
      </c>
      <c r="L4296" s="11">
        <v>-2.92E-2</v>
      </c>
      <c r="M4296" s="11">
        <v>0.1555</v>
      </c>
      <c r="N4296">
        <v>55.87</v>
      </c>
      <c r="O4296">
        <v>81.510000000000005</v>
      </c>
      <c r="P4296">
        <v>1</v>
      </c>
      <c r="Q4296" t="s">
        <v>37</v>
      </c>
      <c r="R4296">
        <v>44.7</v>
      </c>
      <c r="S4296">
        <v>2.92</v>
      </c>
      <c r="T4296" s="4">
        <v>35.231999999999999</v>
      </c>
      <c r="U4296" s="4">
        <v>61.425936</v>
      </c>
      <c r="V4296" t="str">
        <f>IF(Table1[[#This Row],[ai_disruption_intensity]]&gt;70,"High",
IF(Table1[[#This Row],[ai_disruption_intensity]]&gt;40,"Medium","Low"))</f>
        <v>Medium</v>
      </c>
      <c r="W4296" t="str">
        <f>IF(Table1[[#This Row],[skill_gap_index]]&gt;70,"Large Gap",
IF(Table1[[#This Row],[skill_gap_index]]&gt;40,"Medium Gap","Small Gap"))</f>
        <v>Small Gap</v>
      </c>
      <c r="X4296" s="3" t="str">
        <f>IF(Table1[[#This Row],[automation_risk_percent]]&gt;0.7,"Highly Automatable",
IF(Table1[[#This Row],[automation_risk_percent]]&gt;0.4,"Moderate Risk","Safe Job"))</f>
        <v>Highly Automatable</v>
      </c>
    </row>
    <row r="4297" spans="1:24" x14ac:dyDescent="0.3">
      <c r="A4297">
        <v>14893</v>
      </c>
      <c r="B4297" t="s">
        <v>39</v>
      </c>
      <c r="C4297" t="s">
        <v>40</v>
      </c>
      <c r="D4297" t="s">
        <v>36</v>
      </c>
      <c r="E4297" s="1">
        <v>2026</v>
      </c>
      <c r="F4297" s="11">
        <v>0.11410000000000001</v>
      </c>
      <c r="G4297">
        <v>9.48</v>
      </c>
      <c r="H4297">
        <v>26.51</v>
      </c>
      <c r="I4297" s="2">
        <v>121930.76</v>
      </c>
      <c r="J4297" s="2">
        <v>114429.55</v>
      </c>
      <c r="K4297" s="2">
        <f>Table1[[#This Row],[Salary_after]]-Table1[[#This Row],[Salary_before]]</f>
        <v>-7501.2099999999919</v>
      </c>
      <c r="L4297" s="11">
        <v>-6.1500000000000006E-2</v>
      </c>
      <c r="M4297" s="11">
        <v>-0.11</v>
      </c>
      <c r="N4297">
        <v>40.97</v>
      </c>
      <c r="O4297">
        <v>80.03</v>
      </c>
      <c r="P4297">
        <v>5</v>
      </c>
      <c r="Q4297" t="s">
        <v>21</v>
      </c>
      <c r="R4297">
        <v>18.96</v>
      </c>
      <c r="S4297">
        <v>6.15</v>
      </c>
      <c r="T4297" s="4">
        <v>14.362</v>
      </c>
      <c r="U4297" s="4">
        <v>9.1314229999999998</v>
      </c>
      <c r="V4297" t="str">
        <f>IF(Table1[[#This Row],[ai_disruption_intensity]]&gt;70,"High",
IF(Table1[[#This Row],[ai_disruption_intensity]]&gt;40,"Medium","Low"))</f>
        <v>Low</v>
      </c>
      <c r="W4297" t="str">
        <f>IF(Table1[[#This Row],[skill_gap_index]]&gt;70,"Large Gap",
IF(Table1[[#This Row],[skill_gap_index]]&gt;40,"Medium Gap","Small Gap"))</f>
        <v>Small Gap</v>
      </c>
      <c r="X4297" s="3" t="str">
        <f>IF(Table1[[#This Row],[automation_risk_percent]]&gt;0.7,"Highly Automatable",
IF(Table1[[#This Row],[automation_risk_percent]]&gt;0.4,"Moderate Risk","Safe Job"))</f>
        <v>Safe Job</v>
      </c>
    </row>
    <row r="4298" spans="1:24" x14ac:dyDescent="0.3">
      <c r="A4298">
        <v>14896</v>
      </c>
      <c r="B4298" t="s">
        <v>26</v>
      </c>
      <c r="C4298" t="s">
        <v>19</v>
      </c>
      <c r="D4298" t="s">
        <v>31</v>
      </c>
      <c r="E4298" s="1">
        <v>2025</v>
      </c>
      <c r="F4298" s="11">
        <v>0.19829999999999998</v>
      </c>
      <c r="G4298">
        <v>17.010000000000002</v>
      </c>
      <c r="H4298">
        <v>64.08</v>
      </c>
      <c r="I4298" s="2">
        <v>65973.009999999995</v>
      </c>
      <c r="J4298" s="2">
        <v>57976.25</v>
      </c>
      <c r="K4298" s="2">
        <f>Table1[[#This Row],[Salary_after]]-Table1[[#This Row],[Salary_before]]</f>
        <v>-7996.7599999999948</v>
      </c>
      <c r="L4298" s="11">
        <v>-0.12119999999999999</v>
      </c>
      <c r="M4298" s="11">
        <v>-0.21879999999999999</v>
      </c>
      <c r="N4298">
        <v>70.290000000000006</v>
      </c>
      <c r="O4298">
        <v>82.51</v>
      </c>
      <c r="P4298">
        <v>4</v>
      </c>
      <c r="Q4298" t="s">
        <v>21</v>
      </c>
      <c r="R4298">
        <v>41.954999999999998</v>
      </c>
      <c r="S4298">
        <v>12.12</v>
      </c>
      <c r="T4298" s="4">
        <v>30.791999999999899</v>
      </c>
      <c r="U4298" s="4">
        <v>16.361733000000001</v>
      </c>
      <c r="V4298" t="str">
        <f>IF(Table1[[#This Row],[ai_disruption_intensity]]&gt;70,"High",
IF(Table1[[#This Row],[ai_disruption_intensity]]&gt;40,"Medium","Low"))</f>
        <v>Low</v>
      </c>
      <c r="W4298" t="str">
        <f>IF(Table1[[#This Row],[skill_gap_index]]&gt;70,"Large Gap",
IF(Table1[[#This Row],[skill_gap_index]]&gt;40,"Medium Gap","Small Gap"))</f>
        <v>Medium Gap</v>
      </c>
      <c r="X4298" s="3" t="str">
        <f>IF(Table1[[#This Row],[automation_risk_percent]]&gt;0.7,"Highly Automatable",
IF(Table1[[#This Row],[automation_risk_percent]]&gt;0.4,"Moderate Risk","Safe Job"))</f>
        <v>Safe Job</v>
      </c>
    </row>
    <row r="4299" spans="1:24" x14ac:dyDescent="0.3">
      <c r="A4299">
        <v>14897</v>
      </c>
      <c r="B4299" t="s">
        <v>45</v>
      </c>
      <c r="C4299" t="s">
        <v>40</v>
      </c>
      <c r="D4299" t="s">
        <v>35</v>
      </c>
      <c r="E4299" s="1">
        <v>2026</v>
      </c>
      <c r="F4299" s="11">
        <v>0.77829999999999999</v>
      </c>
      <c r="G4299">
        <v>75.94</v>
      </c>
      <c r="H4299">
        <v>85.38</v>
      </c>
      <c r="I4299" s="2">
        <v>93964.03</v>
      </c>
      <c r="J4299" s="2">
        <v>86744.03</v>
      </c>
      <c r="K4299" s="2">
        <f>Table1[[#This Row],[Salary_after]]-Table1[[#This Row],[Salary_before]]</f>
        <v>-7220</v>
      </c>
      <c r="L4299" s="11">
        <v>-7.6799999999999993E-2</v>
      </c>
      <c r="M4299" s="11">
        <v>0.2235</v>
      </c>
      <c r="N4299">
        <v>37.32</v>
      </c>
      <c r="O4299">
        <v>80.69</v>
      </c>
      <c r="P4299">
        <v>1</v>
      </c>
      <c r="Q4299" t="s">
        <v>37</v>
      </c>
      <c r="R4299">
        <v>81.604999999999905</v>
      </c>
      <c r="S4299">
        <v>7.68</v>
      </c>
      <c r="T4299" s="4">
        <v>59.05</v>
      </c>
      <c r="U4299" s="4">
        <v>62.801026999999998</v>
      </c>
      <c r="V4299" t="str">
        <f>IF(Table1[[#This Row],[ai_disruption_intensity]]&gt;70,"High",
IF(Table1[[#This Row],[ai_disruption_intensity]]&gt;40,"Medium","Low"))</f>
        <v>Medium</v>
      </c>
      <c r="W4299" t="str">
        <f>IF(Table1[[#This Row],[skill_gap_index]]&gt;70,"Large Gap",
IF(Table1[[#This Row],[skill_gap_index]]&gt;40,"Medium Gap","Small Gap"))</f>
        <v>Large Gap</v>
      </c>
      <c r="X4299" s="3" t="str">
        <f>IF(Table1[[#This Row],[automation_risk_percent]]&gt;0.7,"Highly Automatable",
IF(Table1[[#This Row],[automation_risk_percent]]&gt;0.4,"Moderate Risk","Safe Job"))</f>
        <v>Highly Automatable</v>
      </c>
    </row>
    <row r="4300" spans="1:24" x14ac:dyDescent="0.3">
      <c r="A4300">
        <v>14899</v>
      </c>
      <c r="B4300" t="s">
        <v>44</v>
      </c>
      <c r="C4300" t="s">
        <v>38</v>
      </c>
      <c r="D4300" t="s">
        <v>32</v>
      </c>
      <c r="E4300" s="1">
        <v>2026</v>
      </c>
      <c r="F4300" s="11">
        <v>0.79330000000000001</v>
      </c>
      <c r="G4300">
        <v>84.23</v>
      </c>
      <c r="H4300">
        <v>16.27</v>
      </c>
      <c r="I4300" s="2">
        <v>124388.08</v>
      </c>
      <c r="J4300" s="2">
        <v>121812.64</v>
      </c>
      <c r="K4300" s="2">
        <f>Table1[[#This Row],[Salary_after]]-Table1[[#This Row],[Salary_before]]</f>
        <v>-2575.4400000000023</v>
      </c>
      <c r="L4300" s="11">
        <v>-2.07E-2</v>
      </c>
      <c r="M4300" s="11">
        <v>0.1</v>
      </c>
      <c r="N4300">
        <v>30.12</v>
      </c>
      <c r="O4300">
        <v>26.48</v>
      </c>
      <c r="P4300">
        <v>3</v>
      </c>
      <c r="Q4300" t="s">
        <v>37</v>
      </c>
      <c r="R4300">
        <v>47.8</v>
      </c>
      <c r="S4300">
        <v>2.0699999999999998</v>
      </c>
      <c r="T4300" s="4">
        <v>37.234000000000002</v>
      </c>
      <c r="U4300" s="4">
        <v>21.006583999999901</v>
      </c>
      <c r="V4300" t="str">
        <f>IF(Table1[[#This Row],[ai_disruption_intensity]]&gt;70,"High",
IF(Table1[[#This Row],[ai_disruption_intensity]]&gt;40,"Medium","Low"))</f>
        <v>Low</v>
      </c>
      <c r="W4300" t="str">
        <f>IF(Table1[[#This Row],[skill_gap_index]]&gt;70,"Large Gap",
IF(Table1[[#This Row],[skill_gap_index]]&gt;40,"Medium Gap","Small Gap"))</f>
        <v>Small Gap</v>
      </c>
      <c r="X4300" s="3" t="str">
        <f>IF(Table1[[#This Row],[automation_risk_percent]]&gt;0.7,"Highly Automatable",
IF(Table1[[#This Row],[automation_risk_percent]]&gt;0.4,"Moderate Risk","Safe Job"))</f>
        <v>Highly Automatable</v>
      </c>
    </row>
    <row r="4301" spans="1:24" x14ac:dyDescent="0.3">
      <c r="A4301">
        <v>14901</v>
      </c>
      <c r="B4301" t="s">
        <v>41</v>
      </c>
      <c r="C4301" t="s">
        <v>38</v>
      </c>
      <c r="D4301" t="s">
        <v>47</v>
      </c>
      <c r="E4301" s="1">
        <v>2026</v>
      </c>
      <c r="F4301" s="11">
        <v>0.2737</v>
      </c>
      <c r="G4301">
        <v>30.46</v>
      </c>
      <c r="H4301">
        <v>76.77</v>
      </c>
      <c r="I4301" s="2">
        <v>113771.39</v>
      </c>
      <c r="J4301" s="2">
        <v>98573.05</v>
      </c>
      <c r="K4301" s="2">
        <f>Table1[[#This Row],[Salary_after]]-Table1[[#This Row],[Salary_before]]</f>
        <v>-15198.339999999997</v>
      </c>
      <c r="L4301" s="11">
        <v>-0.1336</v>
      </c>
      <c r="M4301" s="11">
        <v>1.5100000000000001E-2</v>
      </c>
      <c r="N4301">
        <v>30.72</v>
      </c>
      <c r="O4301">
        <v>80.11</v>
      </c>
      <c r="P4301">
        <v>2</v>
      </c>
      <c r="Q4301" t="s">
        <v>21</v>
      </c>
      <c r="R4301">
        <v>52.07</v>
      </c>
      <c r="S4301">
        <v>13.36</v>
      </c>
      <c r="T4301" s="4">
        <v>37.987000000000002</v>
      </c>
      <c r="U4301" s="4">
        <v>21.926106999999998</v>
      </c>
      <c r="V4301" t="str">
        <f>IF(Table1[[#This Row],[ai_disruption_intensity]]&gt;70,"High",
IF(Table1[[#This Row],[ai_disruption_intensity]]&gt;40,"Medium","Low"))</f>
        <v>Low</v>
      </c>
      <c r="W4301" t="str">
        <f>IF(Table1[[#This Row],[skill_gap_index]]&gt;70,"Large Gap",
IF(Table1[[#This Row],[skill_gap_index]]&gt;40,"Medium Gap","Small Gap"))</f>
        <v>Large Gap</v>
      </c>
      <c r="X4301" s="3" t="str">
        <f>IF(Table1[[#This Row],[automation_risk_percent]]&gt;0.7,"Highly Automatable",
IF(Table1[[#This Row],[automation_risk_percent]]&gt;0.4,"Moderate Risk","Safe Job"))</f>
        <v>Safe Job</v>
      </c>
    </row>
    <row r="4302" spans="1:24" x14ac:dyDescent="0.3">
      <c r="A4302">
        <v>14907</v>
      </c>
      <c r="B4302" t="s">
        <v>45</v>
      </c>
      <c r="C4302" t="s">
        <v>19</v>
      </c>
      <c r="D4302" t="s">
        <v>35</v>
      </c>
      <c r="E4302" s="1">
        <v>2025</v>
      </c>
      <c r="F4302" s="11">
        <v>0.22750000000000001</v>
      </c>
      <c r="G4302">
        <v>19.75</v>
      </c>
      <c r="H4302">
        <v>13.09</v>
      </c>
      <c r="I4302" s="2">
        <v>89513.07</v>
      </c>
      <c r="J4302" s="2">
        <v>82203.69</v>
      </c>
      <c r="K4302" s="2">
        <f>Table1[[#This Row],[Salary_after]]-Table1[[#This Row],[Salary_before]]</f>
        <v>-7309.3800000000047</v>
      </c>
      <c r="L4302" s="11">
        <v>-8.1699999999999995E-2</v>
      </c>
      <c r="M4302" s="11">
        <v>0.1961</v>
      </c>
      <c r="N4302">
        <v>15.23</v>
      </c>
      <c r="O4302">
        <v>35.97</v>
      </c>
      <c r="P4302">
        <v>1</v>
      </c>
      <c r="Q4302" t="s">
        <v>21</v>
      </c>
      <c r="R4302">
        <v>17.920000000000002</v>
      </c>
      <c r="S4302">
        <v>8.17</v>
      </c>
      <c r="T4302" s="4">
        <v>15.478</v>
      </c>
      <c r="U4302" s="4">
        <v>8.1831750000000003</v>
      </c>
      <c r="V4302" t="str">
        <f>IF(Table1[[#This Row],[ai_disruption_intensity]]&gt;70,"High",
IF(Table1[[#This Row],[ai_disruption_intensity]]&gt;40,"Medium","Low"))</f>
        <v>Low</v>
      </c>
      <c r="W4302" t="str">
        <f>IF(Table1[[#This Row],[skill_gap_index]]&gt;70,"Large Gap",
IF(Table1[[#This Row],[skill_gap_index]]&gt;40,"Medium Gap","Small Gap"))</f>
        <v>Small Gap</v>
      </c>
      <c r="X4302" s="3" t="str">
        <f>IF(Table1[[#This Row],[automation_risk_percent]]&gt;0.7,"Highly Automatable",
IF(Table1[[#This Row],[automation_risk_percent]]&gt;0.4,"Moderate Risk","Safe Job"))</f>
        <v>Safe Job</v>
      </c>
    </row>
    <row r="4303" spans="1:24" x14ac:dyDescent="0.3">
      <c r="A4303">
        <v>14918</v>
      </c>
      <c r="B4303" t="s">
        <v>26</v>
      </c>
      <c r="C4303" t="s">
        <v>30</v>
      </c>
      <c r="D4303" t="s">
        <v>35</v>
      </c>
      <c r="E4303" s="1">
        <v>2025</v>
      </c>
      <c r="F4303" s="11">
        <v>0.47729999999999995</v>
      </c>
      <c r="G4303">
        <v>50</v>
      </c>
      <c r="H4303">
        <v>69.569999999999993</v>
      </c>
      <c r="I4303" s="2">
        <v>48323.35</v>
      </c>
      <c r="J4303" s="2">
        <v>42506.080000000002</v>
      </c>
      <c r="K4303" s="2">
        <f>Table1[[#This Row],[Salary_after]]-Table1[[#This Row],[Salary_before]]</f>
        <v>-5817.2699999999968</v>
      </c>
      <c r="L4303" s="11">
        <v>-0.12039999999999999</v>
      </c>
      <c r="M4303" s="11">
        <v>3.4999999999999996E-3</v>
      </c>
      <c r="N4303">
        <v>95.43</v>
      </c>
      <c r="O4303">
        <v>19.46</v>
      </c>
      <c r="P4303">
        <v>4</v>
      </c>
      <c r="Q4303" t="s">
        <v>25</v>
      </c>
      <c r="R4303">
        <v>58.649999999999899</v>
      </c>
      <c r="S4303">
        <v>12.04</v>
      </c>
      <c r="T4303" s="4">
        <v>43.574999999999903</v>
      </c>
      <c r="U4303" s="4">
        <v>9.2882579999999901</v>
      </c>
      <c r="V4303" t="str">
        <f>IF(Table1[[#This Row],[ai_disruption_intensity]]&gt;70,"High",
IF(Table1[[#This Row],[ai_disruption_intensity]]&gt;40,"Medium","Low"))</f>
        <v>Low</v>
      </c>
      <c r="W4303" t="str">
        <f>IF(Table1[[#This Row],[skill_gap_index]]&gt;70,"Large Gap",
IF(Table1[[#This Row],[skill_gap_index]]&gt;40,"Medium Gap","Small Gap"))</f>
        <v>Medium Gap</v>
      </c>
      <c r="X4303" s="3" t="str">
        <f>IF(Table1[[#This Row],[automation_risk_percent]]&gt;0.7,"Highly Automatable",
IF(Table1[[#This Row],[automation_risk_percent]]&gt;0.4,"Moderate Risk","Safe Job"))</f>
        <v>Moderate Risk</v>
      </c>
    </row>
    <row r="4304" spans="1:24" x14ac:dyDescent="0.3">
      <c r="A4304">
        <v>14921</v>
      </c>
      <c r="B4304" t="s">
        <v>18</v>
      </c>
      <c r="C4304" t="s">
        <v>38</v>
      </c>
      <c r="D4304" t="s">
        <v>32</v>
      </c>
      <c r="E4304" s="1">
        <v>2025</v>
      </c>
      <c r="F4304" s="11">
        <v>0.10339999999999999</v>
      </c>
      <c r="G4304">
        <v>8.6999999999999993</v>
      </c>
      <c r="H4304">
        <v>81.83</v>
      </c>
      <c r="I4304" s="2">
        <v>89484.07</v>
      </c>
      <c r="J4304" s="2">
        <v>77363.850000000006</v>
      </c>
      <c r="K4304" s="2">
        <f>Table1[[#This Row],[Salary_after]]-Table1[[#This Row],[Salary_before]]</f>
        <v>-12120.220000000001</v>
      </c>
      <c r="L4304" s="11">
        <v>-0.13539999999999999</v>
      </c>
      <c r="M4304" s="11">
        <v>-9.0000000000000011E-3</v>
      </c>
      <c r="N4304">
        <v>21.68</v>
      </c>
      <c r="O4304">
        <v>57.93</v>
      </c>
      <c r="P4304">
        <v>4</v>
      </c>
      <c r="Q4304" t="s">
        <v>21</v>
      </c>
      <c r="R4304">
        <v>46.085000000000001</v>
      </c>
      <c r="S4304">
        <v>13.54</v>
      </c>
      <c r="T4304" s="4">
        <v>32.747</v>
      </c>
      <c r="U4304" s="4">
        <v>5.9899620000000002</v>
      </c>
      <c r="V4304" t="str">
        <f>IF(Table1[[#This Row],[ai_disruption_intensity]]&gt;70,"High",
IF(Table1[[#This Row],[ai_disruption_intensity]]&gt;40,"Medium","Low"))</f>
        <v>Low</v>
      </c>
      <c r="W4304" t="str">
        <f>IF(Table1[[#This Row],[skill_gap_index]]&gt;70,"Large Gap",
IF(Table1[[#This Row],[skill_gap_index]]&gt;40,"Medium Gap","Small Gap"))</f>
        <v>Large Gap</v>
      </c>
      <c r="X4304" s="3" t="str">
        <f>IF(Table1[[#This Row],[automation_risk_percent]]&gt;0.7,"Highly Automatable",
IF(Table1[[#This Row],[automation_risk_percent]]&gt;0.4,"Moderate Risk","Safe Job"))</f>
        <v>Safe Job</v>
      </c>
    </row>
    <row r="4305" spans="1:24" x14ac:dyDescent="0.3">
      <c r="A4305">
        <v>14924</v>
      </c>
      <c r="B4305" t="s">
        <v>22</v>
      </c>
      <c r="C4305" t="s">
        <v>19</v>
      </c>
      <c r="D4305" t="s">
        <v>20</v>
      </c>
      <c r="E4305" s="1">
        <v>2026</v>
      </c>
      <c r="F4305" s="11">
        <v>0.37829999999999997</v>
      </c>
      <c r="G4305">
        <v>30.62</v>
      </c>
      <c r="H4305">
        <v>64.59</v>
      </c>
      <c r="I4305" s="2">
        <v>71774.87</v>
      </c>
      <c r="J4305" s="2">
        <v>66643.960000000006</v>
      </c>
      <c r="K4305" s="2">
        <f>Table1[[#This Row],[Salary_after]]-Table1[[#This Row],[Salary_before]]</f>
        <v>-5130.9099999999889</v>
      </c>
      <c r="L4305" s="11">
        <v>-7.1500000000000008E-2</v>
      </c>
      <c r="M4305" s="11">
        <v>3.8699999999999998E-2</v>
      </c>
      <c r="N4305">
        <v>85.88</v>
      </c>
      <c r="O4305">
        <v>73.239999999999995</v>
      </c>
      <c r="P4305">
        <v>2</v>
      </c>
      <c r="Q4305" t="s">
        <v>25</v>
      </c>
      <c r="R4305">
        <v>51.21</v>
      </c>
      <c r="S4305">
        <v>7.15</v>
      </c>
      <c r="T4305" s="4">
        <v>36.654000000000003</v>
      </c>
      <c r="U4305" s="4">
        <v>27.706691999999901</v>
      </c>
      <c r="V4305" t="str">
        <f>IF(Table1[[#This Row],[ai_disruption_intensity]]&gt;70,"High",
IF(Table1[[#This Row],[ai_disruption_intensity]]&gt;40,"Medium","Low"))</f>
        <v>Low</v>
      </c>
      <c r="W4305" t="str">
        <f>IF(Table1[[#This Row],[skill_gap_index]]&gt;70,"Large Gap",
IF(Table1[[#This Row],[skill_gap_index]]&gt;40,"Medium Gap","Small Gap"))</f>
        <v>Medium Gap</v>
      </c>
      <c r="X4305" s="3" t="str">
        <f>IF(Table1[[#This Row],[automation_risk_percent]]&gt;0.7,"Highly Automatable",
IF(Table1[[#This Row],[automation_risk_percent]]&gt;0.4,"Moderate Risk","Safe Job"))</f>
        <v>Safe Job</v>
      </c>
    </row>
    <row r="4306" spans="1:24" x14ac:dyDescent="0.3">
      <c r="A4306">
        <v>14926</v>
      </c>
      <c r="B4306" t="s">
        <v>45</v>
      </c>
      <c r="C4306" t="s">
        <v>40</v>
      </c>
      <c r="D4306" t="s">
        <v>35</v>
      </c>
      <c r="E4306" s="1">
        <v>2025</v>
      </c>
      <c r="F4306" s="11">
        <v>0.4582</v>
      </c>
      <c r="G4306">
        <v>48.86</v>
      </c>
      <c r="H4306">
        <v>83.49</v>
      </c>
      <c r="I4306" s="2">
        <v>96527.83</v>
      </c>
      <c r="J4306" s="2">
        <v>112078.21</v>
      </c>
      <c r="K4306" s="2">
        <f>Table1[[#This Row],[Salary_after]]-Table1[[#This Row],[Salary_before]]</f>
        <v>15550.380000000005</v>
      </c>
      <c r="L4306" s="11">
        <v>0.16109999999999999</v>
      </c>
      <c r="M4306" s="11">
        <v>0.18890000000000001</v>
      </c>
      <c r="N4306">
        <v>93.62</v>
      </c>
      <c r="O4306">
        <v>45.49</v>
      </c>
      <c r="P4306">
        <v>2</v>
      </c>
      <c r="Q4306" t="s">
        <v>25</v>
      </c>
      <c r="R4306">
        <v>64.655000000000001</v>
      </c>
      <c r="S4306">
        <v>16.11</v>
      </c>
      <c r="T4306" s="4">
        <v>48.207999999999998</v>
      </c>
      <c r="U4306" s="4">
        <v>20.843518</v>
      </c>
      <c r="V4306" t="str">
        <f>IF(Table1[[#This Row],[ai_disruption_intensity]]&gt;70,"High",
IF(Table1[[#This Row],[ai_disruption_intensity]]&gt;40,"Medium","Low"))</f>
        <v>Low</v>
      </c>
      <c r="W4306" t="str">
        <f>IF(Table1[[#This Row],[skill_gap_index]]&gt;70,"Large Gap",
IF(Table1[[#This Row],[skill_gap_index]]&gt;40,"Medium Gap","Small Gap"))</f>
        <v>Large Gap</v>
      </c>
      <c r="X4306" s="3" t="str">
        <f>IF(Table1[[#This Row],[automation_risk_percent]]&gt;0.7,"Highly Automatable",
IF(Table1[[#This Row],[automation_risk_percent]]&gt;0.4,"Moderate Risk","Safe Job"))</f>
        <v>Moderate Risk</v>
      </c>
    </row>
    <row r="4307" spans="1:24" x14ac:dyDescent="0.3">
      <c r="A4307">
        <v>14927</v>
      </c>
      <c r="B4307" t="s">
        <v>39</v>
      </c>
      <c r="C4307" t="s">
        <v>19</v>
      </c>
      <c r="D4307" t="s">
        <v>20</v>
      </c>
      <c r="E4307" s="1">
        <v>2026</v>
      </c>
      <c r="F4307" s="11">
        <v>0.16339999999999999</v>
      </c>
      <c r="G4307">
        <v>18.760000000000002</v>
      </c>
      <c r="H4307">
        <v>5.59</v>
      </c>
      <c r="I4307" s="2">
        <v>35535.879999999997</v>
      </c>
      <c r="J4307" s="2">
        <v>39312.54</v>
      </c>
      <c r="K4307" s="2">
        <f>Table1[[#This Row],[Salary_after]]-Table1[[#This Row],[Salary_before]]</f>
        <v>3776.6600000000035</v>
      </c>
      <c r="L4307" s="11">
        <v>0.10630000000000001</v>
      </c>
      <c r="M4307" s="11">
        <v>5.62E-2</v>
      </c>
      <c r="N4307">
        <v>31.97</v>
      </c>
      <c r="O4307">
        <v>5.01</v>
      </c>
      <c r="P4307">
        <v>5</v>
      </c>
      <c r="Q4307" t="s">
        <v>21</v>
      </c>
      <c r="R4307">
        <v>10.965</v>
      </c>
      <c r="S4307">
        <v>10.63</v>
      </c>
      <c r="T4307" s="4">
        <v>11.401999999999999</v>
      </c>
      <c r="U4307" s="4">
        <v>0.81863399999999997</v>
      </c>
      <c r="V4307" t="str">
        <f>IF(Table1[[#This Row],[ai_disruption_intensity]]&gt;70,"High",
IF(Table1[[#This Row],[ai_disruption_intensity]]&gt;40,"Medium","Low"))</f>
        <v>Low</v>
      </c>
      <c r="W4307" t="str">
        <f>IF(Table1[[#This Row],[skill_gap_index]]&gt;70,"Large Gap",
IF(Table1[[#This Row],[skill_gap_index]]&gt;40,"Medium Gap","Small Gap"))</f>
        <v>Small Gap</v>
      </c>
      <c r="X4307" s="3" t="str">
        <f>IF(Table1[[#This Row],[automation_risk_percent]]&gt;0.7,"Highly Automatable",
IF(Table1[[#This Row],[automation_risk_percent]]&gt;0.4,"Moderate Risk","Safe Job"))</f>
        <v>Safe Job</v>
      </c>
    </row>
    <row r="4308" spans="1:24" x14ac:dyDescent="0.3">
      <c r="A4308">
        <v>14928</v>
      </c>
      <c r="B4308" t="s">
        <v>39</v>
      </c>
      <c r="C4308" t="s">
        <v>19</v>
      </c>
      <c r="D4308" t="s">
        <v>32</v>
      </c>
      <c r="E4308" s="1">
        <v>2026</v>
      </c>
      <c r="F4308" s="11">
        <v>0.27639999999999998</v>
      </c>
      <c r="G4308">
        <v>25.32</v>
      </c>
      <c r="H4308">
        <v>86.58</v>
      </c>
      <c r="I4308" s="2">
        <v>108873.4</v>
      </c>
      <c r="J4308" s="2">
        <v>103885.32</v>
      </c>
      <c r="K4308" s="2">
        <f>Table1[[#This Row],[Salary_after]]-Table1[[#This Row],[Salary_before]]</f>
        <v>-4988.0799999999872</v>
      </c>
      <c r="L4308" s="11">
        <v>-4.58E-2</v>
      </c>
      <c r="M4308" s="11">
        <v>-2.6499999999999999E-2</v>
      </c>
      <c r="N4308">
        <v>66.69</v>
      </c>
      <c r="O4308">
        <v>5.33</v>
      </c>
      <c r="P4308">
        <v>1</v>
      </c>
      <c r="Q4308" t="s">
        <v>21</v>
      </c>
      <c r="R4308">
        <v>57.11</v>
      </c>
      <c r="S4308">
        <v>4.58</v>
      </c>
      <c r="T4308" s="4">
        <v>38.404000000000003</v>
      </c>
      <c r="U4308" s="4">
        <v>1.473212</v>
      </c>
      <c r="V4308" t="str">
        <f>IF(Table1[[#This Row],[ai_disruption_intensity]]&gt;70,"High",
IF(Table1[[#This Row],[ai_disruption_intensity]]&gt;40,"Medium","Low"))</f>
        <v>Low</v>
      </c>
      <c r="W4308" t="str">
        <f>IF(Table1[[#This Row],[skill_gap_index]]&gt;70,"Large Gap",
IF(Table1[[#This Row],[skill_gap_index]]&gt;40,"Medium Gap","Small Gap"))</f>
        <v>Large Gap</v>
      </c>
      <c r="X4308" s="3" t="str">
        <f>IF(Table1[[#This Row],[automation_risk_percent]]&gt;0.7,"Highly Automatable",
IF(Table1[[#This Row],[automation_risk_percent]]&gt;0.4,"Moderate Risk","Safe Job"))</f>
        <v>Safe Job</v>
      </c>
    </row>
    <row r="4309" spans="1:24" x14ac:dyDescent="0.3">
      <c r="A4309">
        <v>14933</v>
      </c>
      <c r="B4309" t="s">
        <v>22</v>
      </c>
      <c r="C4309" t="s">
        <v>23</v>
      </c>
      <c r="D4309" t="s">
        <v>24</v>
      </c>
      <c r="E4309" s="1">
        <v>2026</v>
      </c>
      <c r="F4309" s="11">
        <v>0.30769999999999997</v>
      </c>
      <c r="G4309">
        <v>31.49</v>
      </c>
      <c r="H4309">
        <v>79.63</v>
      </c>
      <c r="I4309" s="2">
        <v>90023.72</v>
      </c>
      <c r="J4309" s="2">
        <v>95790.44</v>
      </c>
      <c r="K4309" s="2">
        <f>Table1[[#This Row],[Salary_after]]-Table1[[#This Row],[Salary_before]]</f>
        <v>5766.7200000000012</v>
      </c>
      <c r="L4309" s="11">
        <v>6.4100000000000004E-2</v>
      </c>
      <c r="M4309" s="11">
        <v>4.5899999999999996E-2</v>
      </c>
      <c r="N4309">
        <v>43.83</v>
      </c>
      <c r="O4309">
        <v>2.97</v>
      </c>
      <c r="P4309">
        <v>5</v>
      </c>
      <c r="Q4309" t="s">
        <v>25</v>
      </c>
      <c r="R4309">
        <v>55.199999999999903</v>
      </c>
      <c r="S4309">
        <v>6.41</v>
      </c>
      <c r="T4309" s="4">
        <v>38.119999999999997</v>
      </c>
      <c r="U4309" s="4">
        <v>0.91386900000000004</v>
      </c>
      <c r="V4309" t="str">
        <f>IF(Table1[[#This Row],[ai_disruption_intensity]]&gt;70,"High",
IF(Table1[[#This Row],[ai_disruption_intensity]]&gt;40,"Medium","Low"))</f>
        <v>Low</v>
      </c>
      <c r="W4309" t="str">
        <f>IF(Table1[[#This Row],[skill_gap_index]]&gt;70,"Large Gap",
IF(Table1[[#This Row],[skill_gap_index]]&gt;40,"Medium Gap","Small Gap"))</f>
        <v>Large Gap</v>
      </c>
      <c r="X4309" s="3" t="str">
        <f>IF(Table1[[#This Row],[automation_risk_percent]]&gt;0.7,"Highly Automatable",
IF(Table1[[#This Row],[automation_risk_percent]]&gt;0.4,"Moderate Risk","Safe Job"))</f>
        <v>Safe Job</v>
      </c>
    </row>
    <row r="4310" spans="1:24" x14ac:dyDescent="0.3">
      <c r="A4310">
        <v>14934</v>
      </c>
      <c r="B4310" t="s">
        <v>44</v>
      </c>
      <c r="C4310" t="s">
        <v>19</v>
      </c>
      <c r="D4310" t="s">
        <v>31</v>
      </c>
      <c r="E4310" s="1">
        <v>2026</v>
      </c>
      <c r="F4310" s="11">
        <v>0.71719999999999995</v>
      </c>
      <c r="G4310">
        <v>63.81</v>
      </c>
      <c r="H4310">
        <v>59.74</v>
      </c>
      <c r="I4310" s="2">
        <v>142513.51</v>
      </c>
      <c r="J4310" s="2">
        <v>152502.57999999999</v>
      </c>
      <c r="K4310" s="2">
        <f>Table1[[#This Row],[Salary_after]]-Table1[[#This Row],[Salary_before]]</f>
        <v>9989.0699999999779</v>
      </c>
      <c r="L4310" s="11">
        <v>7.0099999999999996E-2</v>
      </c>
      <c r="M4310" s="11">
        <v>0.1014</v>
      </c>
      <c r="N4310">
        <v>48.11</v>
      </c>
      <c r="O4310">
        <v>45.92</v>
      </c>
      <c r="P4310">
        <v>2</v>
      </c>
      <c r="Q4310" t="s">
        <v>37</v>
      </c>
      <c r="R4310">
        <v>65.73</v>
      </c>
      <c r="S4310">
        <v>7.01</v>
      </c>
      <c r="T4310" s="4">
        <v>48.713000000000001</v>
      </c>
      <c r="U4310" s="4">
        <v>32.933824000000001</v>
      </c>
      <c r="V4310" t="str">
        <f>IF(Table1[[#This Row],[ai_disruption_intensity]]&gt;70,"High",
IF(Table1[[#This Row],[ai_disruption_intensity]]&gt;40,"Medium","Low"))</f>
        <v>Low</v>
      </c>
      <c r="W4310" t="str">
        <f>IF(Table1[[#This Row],[skill_gap_index]]&gt;70,"Large Gap",
IF(Table1[[#This Row],[skill_gap_index]]&gt;40,"Medium Gap","Small Gap"))</f>
        <v>Medium Gap</v>
      </c>
      <c r="X4310" s="3" t="str">
        <f>IF(Table1[[#This Row],[automation_risk_percent]]&gt;0.7,"Highly Automatable",
IF(Table1[[#This Row],[automation_risk_percent]]&gt;0.4,"Moderate Risk","Safe Job"))</f>
        <v>Highly Automatable</v>
      </c>
    </row>
    <row r="4311" spans="1:24" x14ac:dyDescent="0.3">
      <c r="A4311">
        <v>14941</v>
      </c>
      <c r="B4311" t="s">
        <v>41</v>
      </c>
      <c r="C4311" t="s">
        <v>38</v>
      </c>
      <c r="D4311" t="s">
        <v>35</v>
      </c>
      <c r="E4311" s="1">
        <v>2025</v>
      </c>
      <c r="F4311" s="11">
        <v>0.74269999999999992</v>
      </c>
      <c r="G4311">
        <v>87.08</v>
      </c>
      <c r="H4311">
        <v>96.96</v>
      </c>
      <c r="I4311" s="2">
        <v>127446.6</v>
      </c>
      <c r="J4311" s="2">
        <v>121745.92</v>
      </c>
      <c r="K4311" s="2">
        <f>Table1[[#This Row],[Salary_after]]-Table1[[#This Row],[Salary_before]]</f>
        <v>-5700.6800000000076</v>
      </c>
      <c r="L4311" s="11">
        <v>-4.4699999999999997E-2</v>
      </c>
      <c r="M4311" s="11">
        <v>9.1300000000000006E-2</v>
      </c>
      <c r="N4311">
        <v>39.479999999999997</v>
      </c>
      <c r="O4311">
        <v>76.150000000000006</v>
      </c>
      <c r="P4311">
        <v>3</v>
      </c>
      <c r="Q4311" t="s">
        <v>37</v>
      </c>
      <c r="R4311">
        <v>85.614999999999995</v>
      </c>
      <c r="S4311">
        <v>4.47</v>
      </c>
      <c r="T4311" s="4">
        <v>60.136999999999901</v>
      </c>
      <c r="U4311" s="4">
        <v>56.556604999999998</v>
      </c>
      <c r="V4311" t="str">
        <f>IF(Table1[[#This Row],[ai_disruption_intensity]]&gt;70,"High",
IF(Table1[[#This Row],[ai_disruption_intensity]]&gt;40,"Medium","Low"))</f>
        <v>Medium</v>
      </c>
      <c r="W4311" t="str">
        <f>IF(Table1[[#This Row],[skill_gap_index]]&gt;70,"Large Gap",
IF(Table1[[#This Row],[skill_gap_index]]&gt;40,"Medium Gap","Small Gap"))</f>
        <v>Large Gap</v>
      </c>
      <c r="X4311" s="3" t="str">
        <f>IF(Table1[[#This Row],[automation_risk_percent]]&gt;0.7,"Highly Automatable",
IF(Table1[[#This Row],[automation_risk_percent]]&gt;0.4,"Moderate Risk","Safe Job"))</f>
        <v>Highly Automatable</v>
      </c>
    </row>
    <row r="4312" spans="1:24" x14ac:dyDescent="0.3">
      <c r="A4312">
        <v>14943</v>
      </c>
      <c r="B4312" t="s">
        <v>46</v>
      </c>
      <c r="C4312" t="s">
        <v>23</v>
      </c>
      <c r="D4312" t="s">
        <v>32</v>
      </c>
      <c r="E4312" s="1">
        <v>2025</v>
      </c>
      <c r="F4312" s="11">
        <v>0.54789999999999994</v>
      </c>
      <c r="G4312">
        <v>53.97</v>
      </c>
      <c r="H4312">
        <v>88.05</v>
      </c>
      <c r="I4312" s="2">
        <v>56751.85</v>
      </c>
      <c r="J4312" s="2">
        <v>49298.07</v>
      </c>
      <c r="K4312" s="2">
        <f>Table1[[#This Row],[Salary_after]]-Table1[[#This Row],[Salary_before]]</f>
        <v>-7453.7799999999988</v>
      </c>
      <c r="L4312" s="11">
        <v>-0.1313</v>
      </c>
      <c r="M4312" s="11">
        <v>-1.78E-2</v>
      </c>
      <c r="N4312">
        <v>17.79</v>
      </c>
      <c r="O4312">
        <v>65.28</v>
      </c>
      <c r="P4312">
        <v>5</v>
      </c>
      <c r="Q4312" t="s">
        <v>25</v>
      </c>
      <c r="R4312">
        <v>71.42</v>
      </c>
      <c r="S4312">
        <v>13.13</v>
      </c>
      <c r="T4312" s="4">
        <v>52.27</v>
      </c>
      <c r="U4312" s="4">
        <v>35.766911999999998</v>
      </c>
      <c r="V4312" t="str">
        <f>IF(Table1[[#This Row],[ai_disruption_intensity]]&gt;70,"High",
IF(Table1[[#This Row],[ai_disruption_intensity]]&gt;40,"Medium","Low"))</f>
        <v>Low</v>
      </c>
      <c r="W4312" t="str">
        <f>IF(Table1[[#This Row],[skill_gap_index]]&gt;70,"Large Gap",
IF(Table1[[#This Row],[skill_gap_index]]&gt;40,"Medium Gap","Small Gap"))</f>
        <v>Large Gap</v>
      </c>
      <c r="X4312" s="3" t="str">
        <f>IF(Table1[[#This Row],[automation_risk_percent]]&gt;0.7,"Highly Automatable",
IF(Table1[[#This Row],[automation_risk_percent]]&gt;0.4,"Moderate Risk","Safe Job"))</f>
        <v>Moderate Risk</v>
      </c>
    </row>
    <row r="4313" spans="1:24" x14ac:dyDescent="0.3">
      <c r="A4313">
        <v>14946</v>
      </c>
      <c r="B4313" t="s">
        <v>39</v>
      </c>
      <c r="C4313" t="s">
        <v>27</v>
      </c>
      <c r="D4313" t="s">
        <v>31</v>
      </c>
      <c r="E4313" s="1">
        <v>2025</v>
      </c>
      <c r="F4313" s="11">
        <v>0.4415</v>
      </c>
      <c r="G4313">
        <v>35.549999999999997</v>
      </c>
      <c r="H4313">
        <v>64.7</v>
      </c>
      <c r="I4313" s="2">
        <v>58978.16</v>
      </c>
      <c r="J4313" s="2">
        <v>72608.789999999994</v>
      </c>
      <c r="K4313" s="2">
        <f>Table1[[#This Row],[Salary_after]]-Table1[[#This Row],[Salary_before]]</f>
        <v>13630.62999999999</v>
      </c>
      <c r="L4313" s="11">
        <v>0.2311</v>
      </c>
      <c r="M4313" s="11">
        <v>7.6200000000000004E-2</v>
      </c>
      <c r="N4313">
        <v>66.92</v>
      </c>
      <c r="O4313">
        <v>72.08</v>
      </c>
      <c r="P4313">
        <v>2</v>
      </c>
      <c r="Q4313" t="s">
        <v>25</v>
      </c>
      <c r="R4313">
        <v>54.424999999999997</v>
      </c>
      <c r="S4313">
        <v>23.11</v>
      </c>
      <c r="T4313" s="4">
        <v>44.003</v>
      </c>
      <c r="U4313" s="4">
        <v>31.823319999999999</v>
      </c>
      <c r="V4313" t="str">
        <f>IF(Table1[[#This Row],[ai_disruption_intensity]]&gt;70,"High",
IF(Table1[[#This Row],[ai_disruption_intensity]]&gt;40,"Medium","Low"))</f>
        <v>Low</v>
      </c>
      <c r="W4313" t="str">
        <f>IF(Table1[[#This Row],[skill_gap_index]]&gt;70,"Large Gap",
IF(Table1[[#This Row],[skill_gap_index]]&gt;40,"Medium Gap","Small Gap"))</f>
        <v>Medium Gap</v>
      </c>
      <c r="X4313" s="3" t="str">
        <f>IF(Table1[[#This Row],[automation_risk_percent]]&gt;0.7,"Highly Automatable",
IF(Table1[[#This Row],[automation_risk_percent]]&gt;0.4,"Moderate Risk","Safe Job"))</f>
        <v>Moderate Risk</v>
      </c>
    </row>
    <row r="4314" spans="1:24" x14ac:dyDescent="0.3">
      <c r="A4314">
        <v>14952</v>
      </c>
      <c r="B4314" t="s">
        <v>41</v>
      </c>
      <c r="C4314" t="s">
        <v>33</v>
      </c>
      <c r="D4314" t="s">
        <v>31</v>
      </c>
      <c r="E4314" s="1">
        <v>2026</v>
      </c>
      <c r="F4314" s="11">
        <v>0.94819999999999993</v>
      </c>
      <c r="G4314">
        <v>77.3</v>
      </c>
      <c r="H4314">
        <v>2.95</v>
      </c>
      <c r="I4314" s="2">
        <v>113668.72</v>
      </c>
      <c r="J4314" s="2">
        <v>98804.98</v>
      </c>
      <c r="K4314" s="2">
        <f>Table1[[#This Row],[Salary_after]]-Table1[[#This Row],[Salary_before]]</f>
        <v>-14863.740000000005</v>
      </c>
      <c r="L4314" s="11">
        <v>-0.1308</v>
      </c>
      <c r="M4314" s="11">
        <v>2.69E-2</v>
      </c>
      <c r="N4314">
        <v>56.62</v>
      </c>
      <c r="O4314">
        <v>89.12</v>
      </c>
      <c r="P4314">
        <v>1</v>
      </c>
      <c r="Q4314" t="s">
        <v>37</v>
      </c>
      <c r="R4314">
        <v>48.884999999999998</v>
      </c>
      <c r="S4314">
        <v>13.08</v>
      </c>
      <c r="T4314" s="4">
        <v>42.736999999999902</v>
      </c>
      <c r="U4314" s="4">
        <v>84.503583999999904</v>
      </c>
      <c r="V4314" t="str">
        <f>IF(Table1[[#This Row],[ai_disruption_intensity]]&gt;70,"High",
IF(Table1[[#This Row],[ai_disruption_intensity]]&gt;40,"Medium","Low"))</f>
        <v>High</v>
      </c>
      <c r="W4314" t="str">
        <f>IF(Table1[[#This Row],[skill_gap_index]]&gt;70,"Large Gap",
IF(Table1[[#This Row],[skill_gap_index]]&gt;40,"Medium Gap","Small Gap"))</f>
        <v>Small Gap</v>
      </c>
      <c r="X4314" s="3" t="str">
        <f>IF(Table1[[#This Row],[automation_risk_percent]]&gt;0.7,"Highly Automatable",
IF(Table1[[#This Row],[automation_risk_percent]]&gt;0.4,"Moderate Risk","Safe Job"))</f>
        <v>Highly Automatable</v>
      </c>
    </row>
    <row r="4315" spans="1:24" x14ac:dyDescent="0.3">
      <c r="A4315">
        <v>14954</v>
      </c>
      <c r="B4315" t="s">
        <v>29</v>
      </c>
      <c r="C4315" t="s">
        <v>27</v>
      </c>
      <c r="D4315" t="s">
        <v>47</v>
      </c>
      <c r="E4315" s="1">
        <v>2026</v>
      </c>
      <c r="F4315" s="11">
        <v>0.54749999999999999</v>
      </c>
      <c r="G4315">
        <v>47.59</v>
      </c>
      <c r="H4315">
        <v>62.57</v>
      </c>
      <c r="I4315" s="2">
        <v>67923.25</v>
      </c>
      <c r="J4315" s="2">
        <v>60353.25</v>
      </c>
      <c r="K4315" s="2">
        <f>Table1[[#This Row],[Salary_after]]-Table1[[#This Row],[Salary_before]]</f>
        <v>-7570</v>
      </c>
      <c r="L4315" s="11">
        <v>-0.1114</v>
      </c>
      <c r="M4315" s="11">
        <v>-4.4000000000000003E-3</v>
      </c>
      <c r="N4315">
        <v>40.83</v>
      </c>
      <c r="O4315">
        <v>82.13</v>
      </c>
      <c r="P4315">
        <v>4</v>
      </c>
      <c r="Q4315" t="s">
        <v>25</v>
      </c>
      <c r="R4315">
        <v>58.66</v>
      </c>
      <c r="S4315">
        <v>11.14</v>
      </c>
      <c r="T4315" s="4">
        <v>44.012999999999998</v>
      </c>
      <c r="U4315" s="4">
        <v>44.9661749999999</v>
      </c>
      <c r="V4315" t="str">
        <f>IF(Table1[[#This Row],[ai_disruption_intensity]]&gt;70,"High",
IF(Table1[[#This Row],[ai_disruption_intensity]]&gt;40,"Medium","Low"))</f>
        <v>Medium</v>
      </c>
      <c r="W4315" t="str">
        <f>IF(Table1[[#This Row],[skill_gap_index]]&gt;70,"Large Gap",
IF(Table1[[#This Row],[skill_gap_index]]&gt;40,"Medium Gap","Small Gap"))</f>
        <v>Medium Gap</v>
      </c>
      <c r="X4315" s="3" t="str">
        <f>IF(Table1[[#This Row],[automation_risk_percent]]&gt;0.7,"Highly Automatable",
IF(Table1[[#This Row],[automation_risk_percent]]&gt;0.4,"Moderate Risk","Safe Job"))</f>
        <v>Moderate Risk</v>
      </c>
    </row>
    <row r="4316" spans="1:24" x14ac:dyDescent="0.3">
      <c r="A4316">
        <v>14956</v>
      </c>
      <c r="B4316" t="s">
        <v>26</v>
      </c>
      <c r="C4316" t="s">
        <v>40</v>
      </c>
      <c r="D4316" t="s">
        <v>31</v>
      </c>
      <c r="E4316" s="1">
        <v>2026</v>
      </c>
      <c r="F4316" s="11">
        <v>0.21420000000000003</v>
      </c>
      <c r="G4316">
        <v>21.64</v>
      </c>
      <c r="H4316">
        <v>96.5</v>
      </c>
      <c r="I4316" s="2">
        <v>87141.93</v>
      </c>
      <c r="J4316" s="2">
        <v>92918.07</v>
      </c>
      <c r="K4316" s="2">
        <f>Table1[[#This Row],[Salary_after]]-Table1[[#This Row],[Salary_before]]</f>
        <v>5776.140000000014</v>
      </c>
      <c r="L4316" s="11">
        <v>6.6299999999999998E-2</v>
      </c>
      <c r="M4316" s="11">
        <v>2.8999999999999998E-2</v>
      </c>
      <c r="N4316">
        <v>19.600000000000001</v>
      </c>
      <c r="O4316">
        <v>70.8</v>
      </c>
      <c r="P4316">
        <v>5</v>
      </c>
      <c r="Q4316" t="s">
        <v>21</v>
      </c>
      <c r="R4316">
        <v>58.96</v>
      </c>
      <c r="S4316">
        <v>6.63</v>
      </c>
      <c r="T4316" s="4">
        <v>39.506999999999998</v>
      </c>
      <c r="U4316" s="4">
        <v>15.16536</v>
      </c>
      <c r="V4316" t="str">
        <f>IF(Table1[[#This Row],[ai_disruption_intensity]]&gt;70,"High",
IF(Table1[[#This Row],[ai_disruption_intensity]]&gt;40,"Medium","Low"))</f>
        <v>Low</v>
      </c>
      <c r="W4316" t="str">
        <f>IF(Table1[[#This Row],[skill_gap_index]]&gt;70,"Large Gap",
IF(Table1[[#This Row],[skill_gap_index]]&gt;40,"Medium Gap","Small Gap"))</f>
        <v>Large Gap</v>
      </c>
      <c r="X4316" s="3" t="str">
        <f>IF(Table1[[#This Row],[automation_risk_percent]]&gt;0.7,"Highly Automatable",
IF(Table1[[#This Row],[automation_risk_percent]]&gt;0.4,"Moderate Risk","Safe Job"))</f>
        <v>Safe Job</v>
      </c>
    </row>
    <row r="4317" spans="1:24" x14ac:dyDescent="0.3">
      <c r="A4317">
        <v>14957</v>
      </c>
      <c r="B4317" t="s">
        <v>39</v>
      </c>
      <c r="C4317" t="s">
        <v>38</v>
      </c>
      <c r="D4317" t="s">
        <v>31</v>
      </c>
      <c r="E4317" s="1">
        <v>2025</v>
      </c>
      <c r="F4317" s="11">
        <v>0.4017</v>
      </c>
      <c r="G4317">
        <v>44.77</v>
      </c>
      <c r="H4317">
        <v>47.15</v>
      </c>
      <c r="I4317" s="2">
        <v>129687.6</v>
      </c>
      <c r="J4317" s="2">
        <v>114603.03</v>
      </c>
      <c r="K4317" s="2">
        <f>Table1[[#This Row],[Salary_after]]-Table1[[#This Row],[Salary_before]]</f>
        <v>-15084.570000000007</v>
      </c>
      <c r="L4317" s="11">
        <v>-0.11630000000000001</v>
      </c>
      <c r="M4317" s="11">
        <v>2.6699999999999998E-2</v>
      </c>
      <c r="N4317">
        <v>45.9</v>
      </c>
      <c r="O4317">
        <v>13.1</v>
      </c>
      <c r="P4317">
        <v>1</v>
      </c>
      <c r="Q4317" t="s">
        <v>25</v>
      </c>
      <c r="R4317">
        <v>43.66</v>
      </c>
      <c r="S4317">
        <v>11.63</v>
      </c>
      <c r="T4317" s="4">
        <v>33.701999999999998</v>
      </c>
      <c r="U4317" s="4">
        <v>5.26227</v>
      </c>
      <c r="V4317" t="str">
        <f>IF(Table1[[#This Row],[ai_disruption_intensity]]&gt;70,"High",
IF(Table1[[#This Row],[ai_disruption_intensity]]&gt;40,"Medium","Low"))</f>
        <v>Low</v>
      </c>
      <c r="W4317" t="str">
        <f>IF(Table1[[#This Row],[skill_gap_index]]&gt;70,"Large Gap",
IF(Table1[[#This Row],[skill_gap_index]]&gt;40,"Medium Gap","Small Gap"))</f>
        <v>Medium Gap</v>
      </c>
      <c r="X4317" s="3" t="str">
        <f>IF(Table1[[#This Row],[automation_risk_percent]]&gt;0.7,"Highly Automatable",
IF(Table1[[#This Row],[automation_risk_percent]]&gt;0.4,"Moderate Risk","Safe Job"))</f>
        <v>Moderate Risk</v>
      </c>
    </row>
    <row r="4318" spans="1:24" x14ac:dyDescent="0.3">
      <c r="A4318">
        <v>14963</v>
      </c>
      <c r="B4318" t="s">
        <v>41</v>
      </c>
      <c r="C4318" t="s">
        <v>30</v>
      </c>
      <c r="D4318" t="s">
        <v>47</v>
      </c>
      <c r="E4318" s="1">
        <v>2026</v>
      </c>
      <c r="F4318" s="11">
        <v>0.47399999999999998</v>
      </c>
      <c r="G4318">
        <v>46.41</v>
      </c>
      <c r="H4318">
        <v>91.23</v>
      </c>
      <c r="I4318" s="2">
        <v>45272.39</v>
      </c>
      <c r="J4318" s="2">
        <v>44763.9</v>
      </c>
      <c r="K4318" s="2">
        <f>Table1[[#This Row],[Salary_after]]-Table1[[#This Row],[Salary_before]]</f>
        <v>-508.48999999999796</v>
      </c>
      <c r="L4318" s="11">
        <v>-1.1200000000000002E-2</v>
      </c>
      <c r="M4318" s="11">
        <v>-1.9699999999999999E-2</v>
      </c>
      <c r="N4318">
        <v>65.34</v>
      </c>
      <c r="O4318">
        <v>46.55</v>
      </c>
      <c r="P4318">
        <v>4</v>
      </c>
      <c r="Q4318" t="s">
        <v>25</v>
      </c>
      <c r="R4318">
        <v>69.314999999999998</v>
      </c>
      <c r="S4318">
        <v>1.1200000000000001</v>
      </c>
      <c r="T4318" s="4">
        <v>46.664999999999999</v>
      </c>
      <c r="U4318" s="4">
        <v>22.064699999999998</v>
      </c>
      <c r="V4318" t="str">
        <f>IF(Table1[[#This Row],[ai_disruption_intensity]]&gt;70,"High",
IF(Table1[[#This Row],[ai_disruption_intensity]]&gt;40,"Medium","Low"))</f>
        <v>Low</v>
      </c>
      <c r="W4318" t="str">
        <f>IF(Table1[[#This Row],[skill_gap_index]]&gt;70,"Large Gap",
IF(Table1[[#This Row],[skill_gap_index]]&gt;40,"Medium Gap","Small Gap"))</f>
        <v>Large Gap</v>
      </c>
      <c r="X4318" s="3" t="str">
        <f>IF(Table1[[#This Row],[automation_risk_percent]]&gt;0.7,"Highly Automatable",
IF(Table1[[#This Row],[automation_risk_percent]]&gt;0.4,"Moderate Risk","Safe Job"))</f>
        <v>Moderate Risk</v>
      </c>
    </row>
    <row r="4319" spans="1:24" x14ac:dyDescent="0.3">
      <c r="A4319">
        <v>14965</v>
      </c>
      <c r="B4319" t="s">
        <v>22</v>
      </c>
      <c r="C4319" t="s">
        <v>40</v>
      </c>
      <c r="D4319" t="s">
        <v>31</v>
      </c>
      <c r="E4319" s="1">
        <v>2026</v>
      </c>
      <c r="F4319" s="11">
        <v>0.56159999999999999</v>
      </c>
      <c r="G4319">
        <v>53.77</v>
      </c>
      <c r="H4319">
        <v>63.96</v>
      </c>
      <c r="I4319" s="2">
        <v>83573.3</v>
      </c>
      <c r="J4319" s="2">
        <v>91156.47</v>
      </c>
      <c r="K4319" s="2">
        <f>Table1[[#This Row],[Salary_after]]-Table1[[#This Row],[Salary_before]]</f>
        <v>7583.1699999999983</v>
      </c>
      <c r="L4319" s="11">
        <v>9.0700000000000003E-2</v>
      </c>
      <c r="M4319" s="11">
        <v>0.11800000000000001</v>
      </c>
      <c r="N4319">
        <v>72.42</v>
      </c>
      <c r="O4319">
        <v>37.36</v>
      </c>
      <c r="P4319">
        <v>5</v>
      </c>
      <c r="Q4319" t="s">
        <v>25</v>
      </c>
      <c r="R4319">
        <v>60.06</v>
      </c>
      <c r="S4319">
        <v>9.07</v>
      </c>
      <c r="T4319" s="4">
        <v>44.372999999999998</v>
      </c>
      <c r="U4319" s="4">
        <v>20.981376000000001</v>
      </c>
      <c r="V4319" t="str">
        <f>IF(Table1[[#This Row],[ai_disruption_intensity]]&gt;70,"High",
IF(Table1[[#This Row],[ai_disruption_intensity]]&gt;40,"Medium","Low"))</f>
        <v>Low</v>
      </c>
      <c r="W4319" t="str">
        <f>IF(Table1[[#This Row],[skill_gap_index]]&gt;70,"Large Gap",
IF(Table1[[#This Row],[skill_gap_index]]&gt;40,"Medium Gap","Small Gap"))</f>
        <v>Medium Gap</v>
      </c>
      <c r="X4319" s="3" t="str">
        <f>IF(Table1[[#This Row],[automation_risk_percent]]&gt;0.7,"Highly Automatable",
IF(Table1[[#This Row],[automation_risk_percent]]&gt;0.4,"Moderate Risk","Safe Job"))</f>
        <v>Moderate Risk</v>
      </c>
    </row>
    <row r="4320" spans="1:24" x14ac:dyDescent="0.3">
      <c r="A4320">
        <v>14966</v>
      </c>
      <c r="B4320" t="s">
        <v>22</v>
      </c>
      <c r="C4320" t="s">
        <v>33</v>
      </c>
      <c r="D4320" t="s">
        <v>36</v>
      </c>
      <c r="E4320" s="1">
        <v>2025</v>
      </c>
      <c r="F4320" s="11">
        <v>0.1244</v>
      </c>
      <c r="G4320">
        <v>10.64</v>
      </c>
      <c r="H4320">
        <v>46.39</v>
      </c>
      <c r="I4320" s="2">
        <v>100225.36</v>
      </c>
      <c r="J4320" s="2">
        <v>99406.71</v>
      </c>
      <c r="K4320" s="2">
        <f>Table1[[#This Row],[Salary_after]]-Table1[[#This Row],[Salary_before]]</f>
        <v>-818.64999999999418</v>
      </c>
      <c r="L4320" s="11">
        <v>-8.199999999999999E-3</v>
      </c>
      <c r="M4320" s="11">
        <v>-3.9699999999999999E-2</v>
      </c>
      <c r="N4320">
        <v>35.75</v>
      </c>
      <c r="O4320">
        <v>6.82</v>
      </c>
      <c r="P4320">
        <v>3</v>
      </c>
      <c r="Q4320" t="s">
        <v>21</v>
      </c>
      <c r="R4320">
        <v>29.414999999999999</v>
      </c>
      <c r="S4320">
        <v>0.82</v>
      </c>
      <c r="T4320" s="4">
        <v>19.138999999999999</v>
      </c>
      <c r="U4320" s="4">
        <v>0.84840800000000005</v>
      </c>
      <c r="V4320" t="str">
        <f>IF(Table1[[#This Row],[ai_disruption_intensity]]&gt;70,"High",
IF(Table1[[#This Row],[ai_disruption_intensity]]&gt;40,"Medium","Low"))</f>
        <v>Low</v>
      </c>
      <c r="W4320" t="str">
        <f>IF(Table1[[#This Row],[skill_gap_index]]&gt;70,"Large Gap",
IF(Table1[[#This Row],[skill_gap_index]]&gt;40,"Medium Gap","Small Gap"))</f>
        <v>Medium Gap</v>
      </c>
      <c r="X4320" s="3" t="str">
        <f>IF(Table1[[#This Row],[automation_risk_percent]]&gt;0.7,"Highly Automatable",
IF(Table1[[#This Row],[automation_risk_percent]]&gt;0.4,"Moderate Risk","Safe Job"))</f>
        <v>Safe Job</v>
      </c>
    </row>
    <row r="4321" spans="1:24" x14ac:dyDescent="0.3">
      <c r="A4321">
        <v>14967</v>
      </c>
      <c r="B4321" t="s">
        <v>43</v>
      </c>
      <c r="C4321" t="s">
        <v>23</v>
      </c>
      <c r="D4321" t="s">
        <v>20</v>
      </c>
      <c r="E4321" s="1">
        <v>2026</v>
      </c>
      <c r="F4321" s="11">
        <v>0.34749999999999998</v>
      </c>
      <c r="G4321">
        <v>36.6</v>
      </c>
      <c r="H4321">
        <v>77.599999999999994</v>
      </c>
      <c r="I4321" s="2">
        <v>121397.02</v>
      </c>
      <c r="J4321" s="2">
        <v>110270.3</v>
      </c>
      <c r="K4321" s="2">
        <f>Table1[[#This Row],[Salary_after]]-Table1[[#This Row],[Salary_before]]</f>
        <v>-11126.720000000001</v>
      </c>
      <c r="L4321" s="11">
        <v>-9.1700000000000004E-2</v>
      </c>
      <c r="M4321" s="11">
        <v>5.2400000000000002E-2</v>
      </c>
      <c r="N4321">
        <v>63.61</v>
      </c>
      <c r="O4321">
        <v>5.13</v>
      </c>
      <c r="P4321">
        <v>1</v>
      </c>
      <c r="Q4321" t="s">
        <v>25</v>
      </c>
      <c r="R4321">
        <v>56.174999999999997</v>
      </c>
      <c r="S4321">
        <v>9.17</v>
      </c>
      <c r="T4321" s="4">
        <v>39.930999999999997</v>
      </c>
      <c r="U4321" s="4">
        <v>1.78267499999999</v>
      </c>
      <c r="V4321" t="str">
        <f>IF(Table1[[#This Row],[ai_disruption_intensity]]&gt;70,"High",
IF(Table1[[#This Row],[ai_disruption_intensity]]&gt;40,"Medium","Low"))</f>
        <v>Low</v>
      </c>
      <c r="W4321" t="str">
        <f>IF(Table1[[#This Row],[skill_gap_index]]&gt;70,"Large Gap",
IF(Table1[[#This Row],[skill_gap_index]]&gt;40,"Medium Gap","Small Gap"))</f>
        <v>Large Gap</v>
      </c>
      <c r="X4321" s="3" t="str">
        <f>IF(Table1[[#This Row],[automation_risk_percent]]&gt;0.7,"Highly Automatable",
IF(Table1[[#This Row],[automation_risk_percent]]&gt;0.4,"Moderate Risk","Safe Job"))</f>
        <v>Safe Job</v>
      </c>
    </row>
    <row r="4322" spans="1:24" x14ac:dyDescent="0.3">
      <c r="A4322">
        <v>14969</v>
      </c>
      <c r="B4322" t="s">
        <v>26</v>
      </c>
      <c r="C4322" t="s">
        <v>19</v>
      </c>
      <c r="D4322" t="s">
        <v>36</v>
      </c>
      <c r="E4322" s="1">
        <v>2026</v>
      </c>
      <c r="F4322" s="11">
        <v>0.24079999999999999</v>
      </c>
      <c r="G4322">
        <v>23</v>
      </c>
      <c r="H4322">
        <v>96.51</v>
      </c>
      <c r="I4322" s="2">
        <v>90979.48</v>
      </c>
      <c r="J4322" s="2">
        <v>94574.56</v>
      </c>
      <c r="K4322" s="2">
        <f>Table1[[#This Row],[Salary_after]]-Table1[[#This Row],[Salary_before]]</f>
        <v>3595.0800000000017</v>
      </c>
      <c r="L4322" s="11">
        <v>3.95E-2</v>
      </c>
      <c r="M4322" s="11">
        <v>0.12359999999999999</v>
      </c>
      <c r="N4322">
        <v>47.71</v>
      </c>
      <c r="O4322">
        <v>4.32</v>
      </c>
      <c r="P4322">
        <v>2</v>
      </c>
      <c r="Q4322" t="s">
        <v>21</v>
      </c>
      <c r="R4322">
        <v>60.295000000000002</v>
      </c>
      <c r="S4322">
        <v>3.95</v>
      </c>
      <c r="T4322" s="4">
        <v>39.770000000000003</v>
      </c>
      <c r="U4322" s="4">
        <v>1.0402560000000001</v>
      </c>
      <c r="V4322" t="str">
        <f>IF(Table1[[#This Row],[ai_disruption_intensity]]&gt;70,"High",
IF(Table1[[#This Row],[ai_disruption_intensity]]&gt;40,"Medium","Low"))</f>
        <v>Low</v>
      </c>
      <c r="W4322" t="str">
        <f>IF(Table1[[#This Row],[skill_gap_index]]&gt;70,"Large Gap",
IF(Table1[[#This Row],[skill_gap_index]]&gt;40,"Medium Gap","Small Gap"))</f>
        <v>Large Gap</v>
      </c>
      <c r="X4322" s="3" t="str">
        <f>IF(Table1[[#This Row],[automation_risk_percent]]&gt;0.7,"Highly Automatable",
IF(Table1[[#This Row],[automation_risk_percent]]&gt;0.4,"Moderate Risk","Safe Job"))</f>
        <v>Safe Job</v>
      </c>
    </row>
    <row r="4323" spans="1:24" x14ac:dyDescent="0.3">
      <c r="A4323">
        <v>14974</v>
      </c>
      <c r="B4323" t="s">
        <v>44</v>
      </c>
      <c r="C4323" t="s">
        <v>38</v>
      </c>
      <c r="D4323" t="s">
        <v>20</v>
      </c>
      <c r="E4323" s="1">
        <v>2025</v>
      </c>
      <c r="F4323" s="11">
        <v>0.59619999999999995</v>
      </c>
      <c r="G4323">
        <v>58.45</v>
      </c>
      <c r="H4323">
        <v>54.2</v>
      </c>
      <c r="I4323" s="2">
        <v>39746.839999999997</v>
      </c>
      <c r="J4323" s="2">
        <v>39940.92</v>
      </c>
      <c r="K4323" s="2">
        <f>Table1[[#This Row],[Salary_after]]-Table1[[#This Row],[Salary_before]]</f>
        <v>194.08000000000175</v>
      </c>
      <c r="L4323" s="11">
        <v>4.8999999999999998E-3</v>
      </c>
      <c r="M4323" s="11">
        <v>0.20449999999999999</v>
      </c>
      <c r="N4323">
        <v>83.38</v>
      </c>
      <c r="O4323">
        <v>78.180000000000007</v>
      </c>
      <c r="P4323">
        <v>3</v>
      </c>
      <c r="Q4323" t="s">
        <v>25</v>
      </c>
      <c r="R4323">
        <v>56.91</v>
      </c>
      <c r="S4323">
        <v>0.49</v>
      </c>
      <c r="T4323" s="4">
        <v>40.255000000000003</v>
      </c>
      <c r="U4323" s="4">
        <v>46.610916000000003</v>
      </c>
      <c r="V4323" t="str">
        <f>IF(Table1[[#This Row],[ai_disruption_intensity]]&gt;70,"High",
IF(Table1[[#This Row],[ai_disruption_intensity]]&gt;40,"Medium","Low"))</f>
        <v>Medium</v>
      </c>
      <c r="W4323" t="str">
        <f>IF(Table1[[#This Row],[skill_gap_index]]&gt;70,"Large Gap",
IF(Table1[[#This Row],[skill_gap_index]]&gt;40,"Medium Gap","Small Gap"))</f>
        <v>Medium Gap</v>
      </c>
      <c r="X4323" s="3" t="str">
        <f>IF(Table1[[#This Row],[automation_risk_percent]]&gt;0.7,"Highly Automatable",
IF(Table1[[#This Row],[automation_risk_percent]]&gt;0.4,"Moderate Risk","Safe Job"))</f>
        <v>Moderate Risk</v>
      </c>
    </row>
    <row r="4324" spans="1:24" x14ac:dyDescent="0.3">
      <c r="A4324">
        <v>14978</v>
      </c>
      <c r="B4324" t="s">
        <v>26</v>
      </c>
      <c r="C4324" t="s">
        <v>19</v>
      </c>
      <c r="D4324" t="s">
        <v>28</v>
      </c>
      <c r="E4324" s="1">
        <v>2026</v>
      </c>
      <c r="F4324" s="11">
        <v>0.47170000000000001</v>
      </c>
      <c r="G4324">
        <v>39.880000000000003</v>
      </c>
      <c r="H4324">
        <v>82.94</v>
      </c>
      <c r="I4324" s="2">
        <v>117840.08</v>
      </c>
      <c r="J4324" s="2">
        <v>112805.59</v>
      </c>
      <c r="K4324" s="2">
        <f>Table1[[#This Row],[Salary_after]]-Table1[[#This Row],[Salary_before]]</f>
        <v>-5034.4900000000052</v>
      </c>
      <c r="L4324" s="11">
        <v>-4.2699999999999995E-2</v>
      </c>
      <c r="M4324" s="11">
        <v>-0.14529999999999998</v>
      </c>
      <c r="N4324">
        <v>53.2</v>
      </c>
      <c r="O4324">
        <v>79.430000000000007</v>
      </c>
      <c r="P4324">
        <v>4</v>
      </c>
      <c r="Q4324" t="s">
        <v>25</v>
      </c>
      <c r="R4324">
        <v>65.055000000000007</v>
      </c>
      <c r="S4324">
        <v>4.2699999999999996</v>
      </c>
      <c r="T4324" s="4">
        <v>45.030999999999999</v>
      </c>
      <c r="U4324" s="4">
        <v>37.467131000000002</v>
      </c>
      <c r="V4324" t="str">
        <f>IF(Table1[[#This Row],[ai_disruption_intensity]]&gt;70,"High",
IF(Table1[[#This Row],[ai_disruption_intensity]]&gt;40,"Medium","Low"))</f>
        <v>Low</v>
      </c>
      <c r="W4324" t="str">
        <f>IF(Table1[[#This Row],[skill_gap_index]]&gt;70,"Large Gap",
IF(Table1[[#This Row],[skill_gap_index]]&gt;40,"Medium Gap","Small Gap"))</f>
        <v>Large Gap</v>
      </c>
      <c r="X4324" s="3" t="str">
        <f>IF(Table1[[#This Row],[automation_risk_percent]]&gt;0.7,"Highly Automatable",
IF(Table1[[#This Row],[automation_risk_percent]]&gt;0.4,"Moderate Risk","Safe Job"))</f>
        <v>Moderate Risk</v>
      </c>
    </row>
    <row r="4325" spans="1:24" x14ac:dyDescent="0.3">
      <c r="A4325">
        <v>14984</v>
      </c>
      <c r="B4325" t="s">
        <v>43</v>
      </c>
      <c r="C4325" t="s">
        <v>34</v>
      </c>
      <c r="D4325" t="s">
        <v>42</v>
      </c>
      <c r="E4325" s="1">
        <v>2025</v>
      </c>
      <c r="F4325" s="11">
        <v>0.28539999999999999</v>
      </c>
      <c r="G4325">
        <v>31.88</v>
      </c>
      <c r="H4325">
        <v>58.21</v>
      </c>
      <c r="I4325" s="2">
        <v>51793.48</v>
      </c>
      <c r="J4325" s="2">
        <v>48757.68</v>
      </c>
      <c r="K4325" s="2">
        <f>Table1[[#This Row],[Salary_after]]-Table1[[#This Row],[Salary_before]]</f>
        <v>-3035.8000000000029</v>
      </c>
      <c r="L4325" s="11">
        <v>-5.8600000000000006E-2</v>
      </c>
      <c r="M4325" s="11">
        <v>2.7000000000000003E-2</v>
      </c>
      <c r="N4325">
        <v>31.93</v>
      </c>
      <c r="O4325">
        <v>7.73</v>
      </c>
      <c r="P4325">
        <v>3</v>
      </c>
      <c r="Q4325" t="s">
        <v>21</v>
      </c>
      <c r="R4325">
        <v>43.375</v>
      </c>
      <c r="S4325">
        <v>5.86</v>
      </c>
      <c r="T4325" s="4">
        <v>30.637</v>
      </c>
      <c r="U4325" s="4">
        <v>2.2061419999999998</v>
      </c>
      <c r="V4325" t="str">
        <f>IF(Table1[[#This Row],[ai_disruption_intensity]]&gt;70,"High",
IF(Table1[[#This Row],[ai_disruption_intensity]]&gt;40,"Medium","Low"))</f>
        <v>Low</v>
      </c>
      <c r="W4325" t="str">
        <f>IF(Table1[[#This Row],[skill_gap_index]]&gt;70,"Large Gap",
IF(Table1[[#This Row],[skill_gap_index]]&gt;40,"Medium Gap","Small Gap"))</f>
        <v>Medium Gap</v>
      </c>
      <c r="X4325" s="3" t="str">
        <f>IF(Table1[[#This Row],[automation_risk_percent]]&gt;0.7,"Highly Automatable",
IF(Table1[[#This Row],[automation_risk_percent]]&gt;0.4,"Moderate Risk","Safe Job"))</f>
        <v>Safe Job</v>
      </c>
    </row>
    <row r="4326" spans="1:24" x14ac:dyDescent="0.3">
      <c r="A4326">
        <v>14991</v>
      </c>
      <c r="B4326" t="s">
        <v>22</v>
      </c>
      <c r="C4326" t="s">
        <v>19</v>
      </c>
      <c r="D4326" t="s">
        <v>20</v>
      </c>
      <c r="E4326" s="1">
        <v>2026</v>
      </c>
      <c r="F4326" s="11">
        <v>0.70540000000000003</v>
      </c>
      <c r="G4326">
        <v>67.47</v>
      </c>
      <c r="H4326">
        <v>15.66</v>
      </c>
      <c r="I4326" s="2">
        <v>147071.98000000001</v>
      </c>
      <c r="J4326" s="2">
        <v>150309.1</v>
      </c>
      <c r="K4326" s="2">
        <f>Table1[[#This Row],[Salary_after]]-Table1[[#This Row],[Salary_before]]</f>
        <v>3237.1199999999953</v>
      </c>
      <c r="L4326" s="11">
        <v>2.2000000000000002E-2</v>
      </c>
      <c r="M4326" s="11">
        <v>0.14219999999999999</v>
      </c>
      <c r="N4326">
        <v>95.14</v>
      </c>
      <c r="O4326">
        <v>61.22</v>
      </c>
      <c r="P4326">
        <v>3</v>
      </c>
      <c r="Q4326" t="s">
        <v>37</v>
      </c>
      <c r="R4326">
        <v>43.1</v>
      </c>
      <c r="S4326">
        <v>2.2000000000000002</v>
      </c>
      <c r="T4326" s="4">
        <v>33.573999999999998</v>
      </c>
      <c r="U4326" s="4">
        <v>43.184587999999998</v>
      </c>
      <c r="V4326" t="str">
        <f>IF(Table1[[#This Row],[ai_disruption_intensity]]&gt;70,"High",
IF(Table1[[#This Row],[ai_disruption_intensity]]&gt;40,"Medium","Low"))</f>
        <v>Medium</v>
      </c>
      <c r="W4326" t="str">
        <f>IF(Table1[[#This Row],[skill_gap_index]]&gt;70,"Large Gap",
IF(Table1[[#This Row],[skill_gap_index]]&gt;40,"Medium Gap","Small Gap"))</f>
        <v>Small Gap</v>
      </c>
      <c r="X4326" s="3" t="str">
        <f>IF(Table1[[#This Row],[automation_risk_percent]]&gt;0.7,"Highly Automatable",
IF(Table1[[#This Row],[automation_risk_percent]]&gt;0.4,"Moderate Risk","Safe Job"))</f>
        <v>Highly Automatable</v>
      </c>
    </row>
    <row r="4327" spans="1:24" x14ac:dyDescent="0.3">
      <c r="A4327">
        <v>14995</v>
      </c>
      <c r="B4327" t="s">
        <v>22</v>
      </c>
      <c r="C4327" t="s">
        <v>30</v>
      </c>
      <c r="D4327" t="s">
        <v>35</v>
      </c>
      <c r="E4327" s="1">
        <v>2025</v>
      </c>
      <c r="F4327" s="11">
        <v>0.44049999999999995</v>
      </c>
      <c r="G4327">
        <v>38.61</v>
      </c>
      <c r="H4327">
        <v>1.06</v>
      </c>
      <c r="I4327" s="2">
        <v>74458.3</v>
      </c>
      <c r="J4327" s="2">
        <v>76568.31</v>
      </c>
      <c r="K4327" s="2">
        <f>Table1[[#This Row],[Salary_after]]-Table1[[#This Row],[Salary_before]]</f>
        <v>2110.0099999999948</v>
      </c>
      <c r="L4327" s="11">
        <v>2.8300000000000002E-2</v>
      </c>
      <c r="M4327" s="11">
        <v>-0.17879999999999999</v>
      </c>
      <c r="N4327">
        <v>96.56</v>
      </c>
      <c r="O4327">
        <v>7.94</v>
      </c>
      <c r="P4327">
        <v>1</v>
      </c>
      <c r="Q4327" t="s">
        <v>25</v>
      </c>
      <c r="R4327">
        <v>22.555</v>
      </c>
      <c r="S4327">
        <v>2.83</v>
      </c>
      <c r="T4327" s="4">
        <v>18.786999999999999</v>
      </c>
      <c r="U4327" s="4">
        <v>3.4975700000000001</v>
      </c>
      <c r="V4327" t="str">
        <f>IF(Table1[[#This Row],[ai_disruption_intensity]]&gt;70,"High",
IF(Table1[[#This Row],[ai_disruption_intensity]]&gt;40,"Medium","Low"))</f>
        <v>Low</v>
      </c>
      <c r="W4327" t="str">
        <f>IF(Table1[[#This Row],[skill_gap_index]]&gt;70,"Large Gap",
IF(Table1[[#This Row],[skill_gap_index]]&gt;40,"Medium Gap","Small Gap"))</f>
        <v>Small Gap</v>
      </c>
      <c r="X4327" s="3" t="str">
        <f>IF(Table1[[#This Row],[automation_risk_percent]]&gt;0.7,"Highly Automatable",
IF(Table1[[#This Row],[automation_risk_percent]]&gt;0.4,"Moderate Risk","Safe Job"))</f>
        <v>Moderate Risk</v>
      </c>
    </row>
    <row r="4328" spans="1:24" x14ac:dyDescent="0.3">
      <c r="A4328">
        <v>14997</v>
      </c>
      <c r="B4328" t="s">
        <v>41</v>
      </c>
      <c r="C4328" t="s">
        <v>38</v>
      </c>
      <c r="D4328" t="s">
        <v>42</v>
      </c>
      <c r="E4328" s="1">
        <v>2026</v>
      </c>
      <c r="F4328" s="11">
        <v>0.80159999999999998</v>
      </c>
      <c r="G4328">
        <v>67.09</v>
      </c>
      <c r="H4328">
        <v>48.57</v>
      </c>
      <c r="I4328" s="2">
        <v>74801.259999999995</v>
      </c>
      <c r="J4328" s="2">
        <v>79989.740000000005</v>
      </c>
      <c r="K4328" s="2">
        <f>Table1[[#This Row],[Salary_after]]-Table1[[#This Row],[Salary_before]]</f>
        <v>5188.4800000000105</v>
      </c>
      <c r="L4328" s="11">
        <v>6.9400000000000003E-2</v>
      </c>
      <c r="M4328" s="11">
        <v>0.2651</v>
      </c>
      <c r="N4328">
        <v>41.2</v>
      </c>
      <c r="O4328">
        <v>10.57</v>
      </c>
      <c r="P4328">
        <v>3</v>
      </c>
      <c r="Q4328" t="s">
        <v>37</v>
      </c>
      <c r="R4328">
        <v>64.364999999999995</v>
      </c>
      <c r="S4328">
        <v>6.94</v>
      </c>
      <c r="T4328" s="4">
        <v>48.716999999999999</v>
      </c>
      <c r="U4328" s="4">
        <v>8.4729120000000009</v>
      </c>
      <c r="V4328" t="str">
        <f>IF(Table1[[#This Row],[ai_disruption_intensity]]&gt;70,"High",
IF(Table1[[#This Row],[ai_disruption_intensity]]&gt;40,"Medium","Low"))</f>
        <v>Low</v>
      </c>
      <c r="W4328" t="str">
        <f>IF(Table1[[#This Row],[skill_gap_index]]&gt;70,"Large Gap",
IF(Table1[[#This Row],[skill_gap_index]]&gt;40,"Medium Gap","Small Gap"))</f>
        <v>Medium Gap</v>
      </c>
      <c r="X4328" s="3" t="str">
        <f>IF(Table1[[#This Row],[automation_risk_percent]]&gt;0.7,"Highly Automatable",
IF(Table1[[#This Row],[automation_risk_percent]]&gt;0.4,"Moderate Risk","Safe Job"))</f>
        <v>Highly Automatable</v>
      </c>
    </row>
  </sheetData>
  <autoFilter ref="V1:X4328" xr:uid="{7BDFCAF1-3B7B-4B79-BE09-9BC126D7BDE0}"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Makarajothi  . S S 22BVC009</dc:creator>
  <cp:lastModifiedBy>Makarajothi  . S S 22BVC009</cp:lastModifiedBy>
  <dcterms:created xsi:type="dcterms:W3CDTF">2026-03-14T04:21:12Z</dcterms:created>
  <dcterms:modified xsi:type="dcterms:W3CDTF">2026-03-16T16:48:23Z</dcterms:modified>
</cp:coreProperties>
</file>